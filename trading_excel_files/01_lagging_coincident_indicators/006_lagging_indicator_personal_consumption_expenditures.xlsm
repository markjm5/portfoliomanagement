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2FB6DEDE-92C7-3244-8396-FD1380353C9C}" xr6:coauthVersionLast="47" xr6:coauthVersionMax="47" xr10:uidLastSave="{00000000-0000-0000-0000-000000000000}"/>
  <bookViews>
    <workbookView xWindow="-50740" yWindow="-500" windowWidth="50140" windowHeight="27560" activeTab="3" xr2:uid="{00000000-000D-0000-FFFF-FFFF00000000}"/>
  </bookViews>
  <sheets>
    <sheet name="Note" sheetId="1" r:id="rId1"/>
    <sheet name="Database" sheetId="3" r:id="rId2"/>
    <sheet name="PCE Deflator" sheetId="4" r:id="rId3"/>
    <sheet name="PCE Core" sheetId="5" r:id="rId4"/>
    <sheet name="PCE Core vs Core CPI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94" i="6" l="1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F638" i="6" s="1"/>
  <c r="C627" i="6"/>
  <c r="F639" i="6" s="1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F652" i="6" s="1"/>
  <c r="C641" i="6"/>
  <c r="F641" i="6" s="1"/>
  <c r="C642" i="6"/>
  <c r="C643" i="6"/>
  <c r="C644" i="6"/>
  <c r="C645" i="6"/>
  <c r="C646" i="6"/>
  <c r="C647" i="6"/>
  <c r="C648" i="6"/>
  <c r="F648" i="6" s="1"/>
  <c r="C649" i="6"/>
  <c r="F661" i="6" s="1"/>
  <c r="C650" i="6"/>
  <c r="F662" i="6" s="1"/>
  <c r="C651" i="6"/>
  <c r="F663" i="6" s="1"/>
  <c r="C652" i="6"/>
  <c r="C653" i="6"/>
  <c r="C654" i="6"/>
  <c r="C655" i="6"/>
  <c r="C656" i="6"/>
  <c r="C657" i="6"/>
  <c r="C658" i="6"/>
  <c r="F658" i="6" s="1"/>
  <c r="C659" i="6"/>
  <c r="F671" i="6" s="1"/>
  <c r="C660" i="6"/>
  <c r="C661" i="6"/>
  <c r="C662" i="6"/>
  <c r="C663" i="6"/>
  <c r="C664" i="6"/>
  <c r="F664" i="6" s="1"/>
  <c r="C665" i="6"/>
  <c r="C666" i="6"/>
  <c r="C667" i="6"/>
  <c r="C668" i="6"/>
  <c r="C669" i="6"/>
  <c r="C670" i="6"/>
  <c r="C671" i="6"/>
  <c r="C672" i="6"/>
  <c r="F684" i="6" s="1"/>
  <c r="C673" i="6"/>
  <c r="F673" i="6" s="1"/>
  <c r="C674" i="6"/>
  <c r="C675" i="6"/>
  <c r="C676" i="6"/>
  <c r="C677" i="6"/>
  <c r="C678" i="6"/>
  <c r="C679" i="6"/>
  <c r="C680" i="6"/>
  <c r="F692" i="6" s="1"/>
  <c r="C681" i="6"/>
  <c r="F693" i="6" s="1"/>
  <c r="C682" i="6"/>
  <c r="F682" i="6" s="1"/>
  <c r="C683" i="6"/>
  <c r="C684" i="6"/>
  <c r="C685" i="6"/>
  <c r="C686" i="6"/>
  <c r="C687" i="6"/>
  <c r="C688" i="6"/>
  <c r="F700" i="6" s="1"/>
  <c r="C689" i="6"/>
  <c r="F701" i="6" s="1"/>
  <c r="C690" i="6"/>
  <c r="F690" i="6" s="1"/>
  <c r="C691" i="6"/>
  <c r="F691" i="6" s="1"/>
  <c r="C692" i="6"/>
  <c r="C693" i="6"/>
  <c r="C694" i="6"/>
  <c r="C695" i="6"/>
  <c r="C696" i="6"/>
  <c r="F708" i="6" s="1"/>
  <c r="C697" i="6"/>
  <c r="F709" i="6" s="1"/>
  <c r="C698" i="6"/>
  <c r="F710" i="6" s="1"/>
  <c r="C699" i="6"/>
  <c r="F699" i="6" s="1"/>
  <c r="C700" i="6"/>
  <c r="C701" i="6"/>
  <c r="C702" i="6"/>
  <c r="C703" i="6"/>
  <c r="C704" i="6"/>
  <c r="F716" i="6" s="1"/>
  <c r="C705" i="6"/>
  <c r="C706" i="6"/>
  <c r="C707" i="6"/>
  <c r="F719" i="6" s="1"/>
  <c r="C708" i="6"/>
  <c r="C709" i="6"/>
  <c r="C710" i="6"/>
  <c r="C711" i="6"/>
  <c r="C712" i="6"/>
  <c r="F724" i="6" s="1"/>
  <c r="C713" i="6"/>
  <c r="F713" i="6" s="1"/>
  <c r="C714" i="6"/>
  <c r="F726" i="6" s="1"/>
  <c r="C715" i="6"/>
  <c r="F727" i="6" s="1"/>
  <c r="C716" i="6"/>
  <c r="C717" i="6"/>
  <c r="C718" i="6"/>
  <c r="C719" i="6"/>
  <c r="C720" i="6"/>
  <c r="F732" i="6" s="1"/>
  <c r="C721" i="6"/>
  <c r="F721" i="6" s="1"/>
  <c r="C722" i="6"/>
  <c r="F734" i="6" s="1"/>
  <c r="C723" i="6"/>
  <c r="F735" i="6" s="1"/>
  <c r="C724" i="6"/>
  <c r="C725" i="6"/>
  <c r="C726" i="6"/>
  <c r="C727" i="6"/>
  <c r="C728" i="6"/>
  <c r="F740" i="6" s="1"/>
  <c r="C729" i="6"/>
  <c r="F729" i="6" s="1"/>
  <c r="C730" i="6"/>
  <c r="F742" i="6" s="1"/>
  <c r="C731" i="6"/>
  <c r="F743" i="6" s="1"/>
  <c r="C732" i="6"/>
  <c r="C733" i="6"/>
  <c r="C734" i="6"/>
  <c r="C735" i="6"/>
  <c r="C736" i="6"/>
  <c r="F748" i="6" s="1"/>
  <c r="C737" i="6"/>
  <c r="F737" i="6" s="1"/>
  <c r="C738" i="6"/>
  <c r="F750" i="6" s="1"/>
  <c r="C739" i="6"/>
  <c r="F751" i="6" s="1"/>
  <c r="C740" i="6"/>
  <c r="C741" i="6"/>
  <c r="C742" i="6"/>
  <c r="C743" i="6"/>
  <c r="C744" i="6"/>
  <c r="F756" i="6" s="1"/>
  <c r="C745" i="6"/>
  <c r="F745" i="6" s="1"/>
  <c r="C746" i="6"/>
  <c r="F758" i="6" s="1"/>
  <c r="C747" i="6"/>
  <c r="C748" i="6"/>
  <c r="C749" i="6"/>
  <c r="C750" i="6"/>
  <c r="C751" i="6"/>
  <c r="C752" i="6"/>
  <c r="F752" i="6" s="1"/>
  <c r="C753" i="6"/>
  <c r="F753" i="6" s="1"/>
  <c r="C754" i="6"/>
  <c r="C755" i="6"/>
  <c r="C756" i="6"/>
  <c r="C757" i="6"/>
  <c r="C758" i="6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60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C706" i="5" s="1"/>
  <c r="B706" i="5"/>
  <c r="B707" i="5"/>
  <c r="B708" i="5"/>
  <c r="B709" i="5"/>
  <c r="B710" i="5"/>
  <c r="B711" i="5"/>
  <c r="B712" i="5"/>
  <c r="B713" i="5"/>
  <c r="D725" i="5" s="1"/>
  <c r="G725" i="6" s="1"/>
  <c r="B714" i="5"/>
  <c r="B715" i="5"/>
  <c r="D715" i="5" s="1"/>
  <c r="G715" i="6" s="1"/>
  <c r="B716" i="5"/>
  <c r="B717" i="5"/>
  <c r="B718" i="5"/>
  <c r="B719" i="5"/>
  <c r="B720" i="5"/>
  <c r="B721" i="5"/>
  <c r="B722" i="5"/>
  <c r="D734" i="5" s="1"/>
  <c r="G734" i="6" s="1"/>
  <c r="B723" i="5"/>
  <c r="D723" i="5" s="1"/>
  <c r="G723" i="6" s="1"/>
  <c r="B724" i="5"/>
  <c r="B725" i="5"/>
  <c r="B726" i="5"/>
  <c r="B727" i="5"/>
  <c r="B728" i="5"/>
  <c r="D740" i="5" s="1"/>
  <c r="G740" i="6" s="1"/>
  <c r="B729" i="5"/>
  <c r="D729" i="5" s="1"/>
  <c r="G729" i="6" s="1"/>
  <c r="B730" i="5"/>
  <c r="B731" i="5"/>
  <c r="C732" i="5" s="1"/>
  <c r="B732" i="5"/>
  <c r="B733" i="5"/>
  <c r="B734" i="5"/>
  <c r="B735" i="5"/>
  <c r="B736" i="5"/>
  <c r="B737" i="5"/>
  <c r="B738" i="5"/>
  <c r="B739" i="5"/>
  <c r="D751" i="5" s="1"/>
  <c r="G751" i="6" s="1"/>
  <c r="B740" i="5"/>
  <c r="B741" i="5"/>
  <c r="B742" i="5"/>
  <c r="B743" i="5"/>
  <c r="B744" i="5"/>
  <c r="B745" i="5"/>
  <c r="D745" i="5" s="1"/>
  <c r="G745" i="6" s="1"/>
  <c r="B746" i="5"/>
  <c r="B747" i="5"/>
  <c r="B748" i="5"/>
  <c r="B749" i="5"/>
  <c r="B750" i="5"/>
  <c r="B751" i="5"/>
  <c r="B752" i="5"/>
  <c r="B753" i="5"/>
  <c r="B754" i="5"/>
  <c r="C754" i="5" s="1"/>
  <c r="B755" i="5"/>
  <c r="D755" i="5" s="1"/>
  <c r="G755" i="6" s="1"/>
  <c r="B756" i="5"/>
  <c r="B757" i="5"/>
  <c r="B758" i="5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C714" i="4" s="1"/>
  <c r="B714" i="4"/>
  <c r="B715" i="4"/>
  <c r="B716" i="4"/>
  <c r="B717" i="4"/>
  <c r="B718" i="4"/>
  <c r="B719" i="4"/>
  <c r="B720" i="4"/>
  <c r="B721" i="4"/>
  <c r="B722" i="4"/>
  <c r="B723" i="4"/>
  <c r="B724" i="4"/>
  <c r="C724" i="4" s="1"/>
  <c r="B725" i="4"/>
  <c r="B726" i="4"/>
  <c r="B727" i="4"/>
  <c r="B728" i="4"/>
  <c r="D740" i="4" s="1"/>
  <c r="B729" i="4"/>
  <c r="D729" i="4" s="1"/>
  <c r="B730" i="4"/>
  <c r="B731" i="4"/>
  <c r="B732" i="4"/>
  <c r="D732" i="4" s="1"/>
  <c r="B733" i="4"/>
  <c r="B734" i="4"/>
  <c r="B735" i="4"/>
  <c r="B736" i="4"/>
  <c r="B737" i="4"/>
  <c r="D737" i="4" s="1"/>
  <c r="B738" i="4"/>
  <c r="B739" i="4"/>
  <c r="B740" i="4"/>
  <c r="B741" i="4"/>
  <c r="B742" i="4"/>
  <c r="B743" i="4"/>
  <c r="B744" i="4"/>
  <c r="B745" i="4"/>
  <c r="C745" i="4" s="1"/>
  <c r="B746" i="4"/>
  <c r="B747" i="4"/>
  <c r="B748" i="4"/>
  <c r="C748" i="4" s="1"/>
  <c r="B749" i="4"/>
  <c r="B750" i="4"/>
  <c r="B751" i="4"/>
  <c r="B752" i="4"/>
  <c r="B753" i="4"/>
  <c r="D753" i="4" s="1"/>
  <c r="B754" i="4"/>
  <c r="B755" i="4"/>
  <c r="B756" i="4"/>
  <c r="C756" i="4" s="1"/>
  <c r="B757" i="4"/>
  <c r="C757" i="4" s="1"/>
  <c r="B758" i="4"/>
  <c r="C648" i="4"/>
  <c r="C651" i="4"/>
  <c r="C657" i="4"/>
  <c r="D671" i="4"/>
  <c r="C661" i="4"/>
  <c r="D665" i="4"/>
  <c r="C669" i="4"/>
  <c r="C677" i="4"/>
  <c r="D681" i="4"/>
  <c r="D684" i="4"/>
  <c r="D703" i="4"/>
  <c r="C693" i="4"/>
  <c r="C698" i="4"/>
  <c r="C701" i="4"/>
  <c r="C706" i="4"/>
  <c r="C709" i="4"/>
  <c r="C715" i="4"/>
  <c r="C720" i="4"/>
  <c r="D735" i="4"/>
  <c r="D743" i="4"/>
  <c r="D751" i="4"/>
  <c r="C741" i="4"/>
  <c r="C755" i="4"/>
  <c r="F757" i="6"/>
  <c r="F744" i="6"/>
  <c r="F755" i="6"/>
  <c r="F754" i="6"/>
  <c r="F749" i="6"/>
  <c r="F736" i="6"/>
  <c r="F747" i="6"/>
  <c r="F746" i="6"/>
  <c r="F741" i="6"/>
  <c r="F728" i="6"/>
  <c r="F739" i="6"/>
  <c r="F738" i="6"/>
  <c r="F733" i="6"/>
  <c r="F720" i="6"/>
  <c r="F731" i="6"/>
  <c r="F730" i="6"/>
  <c r="F725" i="6"/>
  <c r="F712" i="6"/>
  <c r="F711" i="6"/>
  <c r="F723" i="6"/>
  <c r="F718" i="6"/>
  <c r="F717" i="6"/>
  <c r="F715" i="6"/>
  <c r="F714" i="6"/>
  <c r="F696" i="6"/>
  <c r="F707" i="6"/>
  <c r="F706" i="6"/>
  <c r="F705" i="6"/>
  <c r="F697" i="6"/>
  <c r="F683" i="6"/>
  <c r="F695" i="6"/>
  <c r="F694" i="6"/>
  <c r="F676" i="6"/>
  <c r="F688" i="6"/>
  <c r="F687" i="6"/>
  <c r="F686" i="6"/>
  <c r="F681" i="6"/>
  <c r="F667" i="6"/>
  <c r="F678" i="6"/>
  <c r="F677" i="6"/>
  <c r="F669" i="6"/>
  <c r="F666" i="6"/>
  <c r="F665" i="6"/>
  <c r="F651" i="6"/>
  <c r="F656" i="6"/>
  <c r="F643" i="6"/>
  <c r="F655" i="6"/>
  <c r="F654" i="6"/>
  <c r="F647" i="6"/>
  <c r="F646" i="6"/>
  <c r="F644" i="6"/>
  <c r="F642" i="6"/>
  <c r="E497" i="6"/>
  <c r="E612" i="6"/>
  <c r="E494" i="6"/>
  <c r="E487" i="6"/>
  <c r="E476" i="6"/>
  <c r="E474" i="6"/>
  <c r="E467" i="6"/>
  <c r="E465" i="6"/>
  <c r="E462" i="6"/>
  <c r="E458" i="6"/>
  <c r="E456" i="6"/>
  <c r="E455" i="6"/>
  <c r="E449" i="6"/>
  <c r="E446" i="6"/>
  <c r="E444" i="6"/>
  <c r="E442" i="6"/>
  <c r="E439" i="6"/>
  <c r="E435" i="6"/>
  <c r="E433" i="6"/>
  <c r="E431" i="6"/>
  <c r="E430" i="6"/>
  <c r="E428" i="6"/>
  <c r="E426" i="6"/>
  <c r="E424" i="6"/>
  <c r="E423" i="6"/>
  <c r="E419" i="6"/>
  <c r="E417" i="6"/>
  <c r="E415" i="6"/>
  <c r="E414" i="6"/>
  <c r="E412" i="6"/>
  <c r="E411" i="6"/>
  <c r="E410" i="6"/>
  <c r="E408" i="6"/>
  <c r="E404" i="6"/>
  <c r="E402" i="6"/>
  <c r="E400" i="6"/>
  <c r="E399" i="6"/>
  <c r="E398" i="6"/>
  <c r="E396" i="6"/>
  <c r="E394" i="6"/>
  <c r="E392" i="6"/>
  <c r="E391" i="6"/>
  <c r="E388" i="6"/>
  <c r="E387" i="6"/>
  <c r="E386" i="6"/>
  <c r="E385" i="6"/>
  <c r="E384" i="6"/>
  <c r="E383" i="6"/>
  <c r="E382" i="6"/>
  <c r="E380" i="6"/>
  <c r="E379" i="6"/>
  <c r="E378" i="6"/>
  <c r="E377" i="6"/>
  <c r="E376" i="6"/>
  <c r="E375" i="6"/>
  <c r="E373" i="6"/>
  <c r="E372" i="6"/>
  <c r="E371" i="6"/>
  <c r="E369" i="6"/>
  <c r="E368" i="6"/>
  <c r="E367" i="6"/>
  <c r="E365" i="6"/>
  <c r="E364" i="6"/>
  <c r="E362" i="6"/>
  <c r="E360" i="6"/>
  <c r="E359" i="6"/>
  <c r="E357" i="6"/>
  <c r="E356" i="6"/>
  <c r="E355" i="6"/>
  <c r="E353" i="6"/>
  <c r="E352" i="6"/>
  <c r="E351" i="6"/>
  <c r="E349" i="6"/>
  <c r="E348" i="6"/>
  <c r="E346" i="6"/>
  <c r="E344" i="6"/>
  <c r="E343" i="6"/>
  <c r="E341" i="6"/>
  <c r="E340" i="6"/>
  <c r="E339" i="6"/>
  <c r="E338" i="6"/>
  <c r="E337" i="6"/>
  <c r="E336" i="6"/>
  <c r="E334" i="6"/>
  <c r="E333" i="6"/>
  <c r="E332" i="6"/>
  <c r="E331" i="6"/>
  <c r="E330" i="6"/>
  <c r="E329" i="6"/>
  <c r="E328" i="6"/>
  <c r="E326" i="6"/>
  <c r="E325" i="6"/>
  <c r="E324" i="6"/>
  <c r="E323" i="6"/>
  <c r="E322" i="6"/>
  <c r="E321" i="6"/>
  <c r="E320" i="6"/>
  <c r="E318" i="6"/>
  <c r="E317" i="6"/>
  <c r="E316" i="6"/>
  <c r="E315" i="6"/>
  <c r="E314" i="6"/>
  <c r="E313" i="6"/>
  <c r="E312" i="6"/>
  <c r="E310" i="6"/>
  <c r="E309" i="6"/>
  <c r="E308" i="6"/>
  <c r="E307" i="6"/>
  <c r="E306" i="6"/>
  <c r="E305" i="6"/>
  <c r="E304" i="6"/>
  <c r="E302" i="6"/>
  <c r="E301" i="6"/>
  <c r="E300" i="6"/>
  <c r="E299" i="6"/>
  <c r="E298" i="6"/>
  <c r="E297" i="6"/>
  <c r="E296" i="6"/>
  <c r="E294" i="6"/>
  <c r="E293" i="6"/>
  <c r="E292" i="6"/>
  <c r="E291" i="6"/>
  <c r="E290" i="6"/>
  <c r="E289" i="6"/>
  <c r="E288" i="6"/>
  <c r="E286" i="6"/>
  <c r="E285" i="6"/>
  <c r="E284" i="6"/>
  <c r="E283" i="6"/>
  <c r="E282" i="6"/>
  <c r="E281" i="6"/>
  <c r="E280" i="6"/>
  <c r="E278" i="6"/>
  <c r="E277" i="6"/>
  <c r="E276" i="6"/>
  <c r="E275" i="6"/>
  <c r="E274" i="6"/>
  <c r="E273" i="6"/>
  <c r="E272" i="6"/>
  <c r="E270" i="6"/>
  <c r="E269" i="6"/>
  <c r="E268" i="6"/>
  <c r="E267" i="6"/>
  <c r="E266" i="6"/>
  <c r="E265" i="6"/>
  <c r="E264" i="6"/>
  <c r="E262" i="6"/>
  <c r="E261" i="6"/>
  <c r="E260" i="6"/>
  <c r="E259" i="6"/>
  <c r="E258" i="6"/>
  <c r="E257" i="6"/>
  <c r="E256" i="6"/>
  <c r="E254" i="6"/>
  <c r="E253" i="6"/>
  <c r="E252" i="6"/>
  <c r="E251" i="6"/>
  <c r="E250" i="6"/>
  <c r="E249" i="6"/>
  <c r="E248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D756" i="5"/>
  <c r="G756" i="6" s="1"/>
  <c r="D753" i="5"/>
  <c r="G753" i="6" s="1"/>
  <c r="D750" i="5"/>
  <c r="G750" i="6" s="1"/>
  <c r="C750" i="5"/>
  <c r="D741" i="5"/>
  <c r="G741" i="6" s="1"/>
  <c r="D739" i="5"/>
  <c r="G739" i="6" s="1"/>
  <c r="D735" i="5"/>
  <c r="G735" i="6" s="1"/>
  <c r="C734" i="5"/>
  <c r="D733" i="5"/>
  <c r="G733" i="6" s="1"/>
  <c r="D731" i="5"/>
  <c r="G731" i="6" s="1"/>
  <c r="D727" i="5"/>
  <c r="G727" i="6" s="1"/>
  <c r="D724" i="5"/>
  <c r="G724" i="6" s="1"/>
  <c r="D722" i="5"/>
  <c r="G722" i="6" s="1"/>
  <c r="C722" i="5"/>
  <c r="D719" i="5"/>
  <c r="G719" i="6" s="1"/>
  <c r="D718" i="5"/>
  <c r="G718" i="6" s="1"/>
  <c r="C718" i="5"/>
  <c r="C716" i="5"/>
  <c r="D713" i="5"/>
  <c r="G713" i="6" s="1"/>
  <c r="D711" i="5"/>
  <c r="G711" i="6" s="1"/>
  <c r="D709" i="5"/>
  <c r="G709" i="6" s="1"/>
  <c r="D708" i="5"/>
  <c r="G708" i="6" s="1"/>
  <c r="D707" i="5"/>
  <c r="G707" i="6" s="1"/>
  <c r="D706" i="5"/>
  <c r="G706" i="6" s="1"/>
  <c r="D705" i="5"/>
  <c r="G705" i="6" s="1"/>
  <c r="D703" i="5"/>
  <c r="G703" i="6" s="1"/>
  <c r="D702" i="5"/>
  <c r="G702" i="6" s="1"/>
  <c r="C702" i="5"/>
  <c r="D701" i="5"/>
  <c r="G701" i="6" s="1"/>
  <c r="C700" i="5"/>
  <c r="D699" i="5"/>
  <c r="G699" i="6" s="1"/>
  <c r="D695" i="5"/>
  <c r="G695" i="6" s="1"/>
  <c r="D693" i="5"/>
  <c r="G693" i="6" s="1"/>
  <c r="D692" i="5"/>
  <c r="G692" i="6" s="1"/>
  <c r="D691" i="5"/>
  <c r="G691" i="6" s="1"/>
  <c r="D690" i="5"/>
  <c r="G690" i="6" s="1"/>
  <c r="C690" i="5"/>
  <c r="D689" i="5"/>
  <c r="G689" i="6" s="1"/>
  <c r="D688" i="5"/>
  <c r="G688" i="6" s="1"/>
  <c r="D687" i="5"/>
  <c r="G687" i="6" s="1"/>
  <c r="D686" i="5"/>
  <c r="G686" i="6" s="1"/>
  <c r="C686" i="5"/>
  <c r="D685" i="5"/>
  <c r="G685" i="6" s="1"/>
  <c r="D684" i="5"/>
  <c r="G684" i="6" s="1"/>
  <c r="C684" i="5"/>
  <c r="D683" i="5"/>
  <c r="G683" i="6" s="1"/>
  <c r="D681" i="5"/>
  <c r="G681" i="6" s="1"/>
  <c r="D679" i="5"/>
  <c r="G679" i="6" s="1"/>
  <c r="D677" i="5"/>
  <c r="G677" i="6" s="1"/>
  <c r="D676" i="5"/>
  <c r="G676" i="6" s="1"/>
  <c r="D675" i="5"/>
  <c r="G675" i="6" s="1"/>
  <c r="D674" i="5"/>
  <c r="G674" i="6" s="1"/>
  <c r="C674" i="5"/>
  <c r="D673" i="5"/>
  <c r="G673" i="6" s="1"/>
  <c r="D671" i="5"/>
  <c r="G671" i="6" s="1"/>
  <c r="D670" i="5"/>
  <c r="G670" i="6" s="1"/>
  <c r="C670" i="5"/>
  <c r="D669" i="5"/>
  <c r="G669" i="6" s="1"/>
  <c r="D667" i="5"/>
  <c r="G667" i="6" s="1"/>
  <c r="D665" i="5"/>
  <c r="G665" i="6" s="1"/>
  <c r="D663" i="5"/>
  <c r="G663" i="6" s="1"/>
  <c r="D661" i="5"/>
  <c r="G661" i="6" s="1"/>
  <c r="D660" i="5"/>
  <c r="G660" i="6" s="1"/>
  <c r="D659" i="5"/>
  <c r="G659" i="6" s="1"/>
  <c r="D658" i="5"/>
  <c r="G658" i="6" s="1"/>
  <c r="C658" i="5"/>
  <c r="D657" i="5"/>
  <c r="G657" i="6" s="1"/>
  <c r="D655" i="5"/>
  <c r="G655" i="6" s="1"/>
  <c r="D654" i="5"/>
  <c r="G654" i="6" s="1"/>
  <c r="C654" i="5"/>
  <c r="D653" i="5"/>
  <c r="G653" i="6" s="1"/>
  <c r="D652" i="5"/>
  <c r="G652" i="6" s="1"/>
  <c r="C652" i="5"/>
  <c r="D651" i="5"/>
  <c r="G651" i="6" s="1"/>
  <c r="C650" i="5"/>
  <c r="D649" i="5"/>
  <c r="G649" i="6" s="1"/>
  <c r="D647" i="5"/>
  <c r="G647" i="6" s="1"/>
  <c r="D645" i="5"/>
  <c r="G645" i="6" s="1"/>
  <c r="D644" i="5"/>
  <c r="G644" i="6" s="1"/>
  <c r="D643" i="5"/>
  <c r="G643" i="6" s="1"/>
  <c r="D642" i="5"/>
  <c r="G642" i="6" s="1"/>
  <c r="C642" i="5"/>
  <c r="D638" i="5"/>
  <c r="G638" i="6" s="1"/>
  <c r="C638" i="5"/>
  <c r="D636" i="5"/>
  <c r="G636" i="6" s="1"/>
  <c r="C636" i="5"/>
  <c r="D635" i="5"/>
  <c r="G635" i="6" s="1"/>
  <c r="D633" i="5"/>
  <c r="G633" i="6" s="1"/>
  <c r="D631" i="5"/>
  <c r="G631" i="6" s="1"/>
  <c r="D628" i="5"/>
  <c r="G628" i="6" s="1"/>
  <c r="D626" i="5"/>
  <c r="G626" i="6" s="1"/>
  <c r="D624" i="5"/>
  <c r="G624" i="6" s="1"/>
  <c r="D622" i="5"/>
  <c r="G622" i="6" s="1"/>
  <c r="C622" i="5"/>
  <c r="D619" i="5"/>
  <c r="G619" i="6" s="1"/>
  <c r="D613" i="5"/>
  <c r="G613" i="6" s="1"/>
  <c r="D612" i="5"/>
  <c r="G612" i="6" s="1"/>
  <c r="D610" i="5"/>
  <c r="G610" i="6" s="1"/>
  <c r="C610" i="5"/>
  <c r="D606" i="5"/>
  <c r="G606" i="6" s="1"/>
  <c r="C606" i="5"/>
  <c r="D603" i="5"/>
  <c r="G603" i="6" s="1"/>
  <c r="C602" i="5"/>
  <c r="C600" i="5"/>
  <c r="D599" i="5"/>
  <c r="G599" i="6" s="1"/>
  <c r="D598" i="5"/>
  <c r="G598" i="6" s="1"/>
  <c r="C593" i="5"/>
  <c r="C592" i="5"/>
  <c r="D590" i="5"/>
  <c r="G590" i="6" s="1"/>
  <c r="D589" i="5"/>
  <c r="G589" i="6" s="1"/>
  <c r="D585" i="5"/>
  <c r="G585" i="6" s="1"/>
  <c r="C585" i="5"/>
  <c r="C584" i="5"/>
  <c r="D582" i="5"/>
  <c r="G582" i="6" s="1"/>
  <c r="C578" i="5"/>
  <c r="C577" i="5"/>
  <c r="D575" i="5"/>
  <c r="G575" i="6" s="1"/>
  <c r="D574" i="5"/>
  <c r="G574" i="6" s="1"/>
  <c r="C574" i="5"/>
  <c r="D571" i="5"/>
  <c r="G571" i="6" s="1"/>
  <c r="C571" i="5"/>
  <c r="C570" i="5"/>
  <c r="C568" i="5"/>
  <c r="D567" i="5"/>
  <c r="G567" i="6" s="1"/>
  <c r="D555" i="5"/>
  <c r="G555" i="6" s="1"/>
  <c r="C555" i="5"/>
  <c r="D552" i="5"/>
  <c r="G552" i="6" s="1"/>
  <c r="C552" i="5"/>
  <c r="D551" i="5"/>
  <c r="G551" i="6" s="1"/>
  <c r="D561" i="5"/>
  <c r="G561" i="6" s="1"/>
  <c r="C546" i="5"/>
  <c r="D539" i="5"/>
  <c r="G539" i="6" s="1"/>
  <c r="C539" i="5"/>
  <c r="C536" i="5"/>
  <c r="D535" i="5"/>
  <c r="G535" i="6" s="1"/>
  <c r="D527" i="5"/>
  <c r="G527" i="6" s="1"/>
  <c r="D523" i="5"/>
  <c r="G523" i="6" s="1"/>
  <c r="C523" i="5"/>
  <c r="C520" i="5"/>
  <c r="D519" i="5"/>
  <c r="G519" i="6" s="1"/>
  <c r="C514" i="5"/>
  <c r="D513" i="5"/>
  <c r="G513" i="6" s="1"/>
  <c r="C507" i="5"/>
  <c r="D504" i="5"/>
  <c r="G504" i="6" s="1"/>
  <c r="C504" i="5"/>
  <c r="D503" i="5"/>
  <c r="G503" i="6" s="1"/>
  <c r="D348" i="6"/>
  <c r="D495" i="5"/>
  <c r="G495" i="6" s="1"/>
  <c r="D494" i="5"/>
  <c r="G494" i="6" s="1"/>
  <c r="D491" i="5"/>
  <c r="G491" i="6" s="1"/>
  <c r="C491" i="5"/>
  <c r="C490" i="5"/>
  <c r="C488" i="5"/>
  <c r="D487" i="5"/>
  <c r="G487" i="6" s="1"/>
  <c r="D485" i="5"/>
  <c r="G485" i="6" s="1"/>
  <c r="C482" i="5"/>
  <c r="D481" i="5"/>
  <c r="G481" i="6" s="1"/>
  <c r="C475" i="5"/>
  <c r="D472" i="5"/>
  <c r="G472" i="6" s="1"/>
  <c r="C472" i="5"/>
  <c r="D471" i="5"/>
  <c r="G471" i="6" s="1"/>
  <c r="C466" i="5"/>
  <c r="D475" i="5"/>
  <c r="G475" i="6" s="1"/>
  <c r="D462" i="5"/>
  <c r="G462" i="6" s="1"/>
  <c r="C459" i="5"/>
  <c r="C458" i="5"/>
  <c r="D456" i="5"/>
  <c r="G456" i="6" s="1"/>
  <c r="C456" i="5"/>
  <c r="D455" i="5"/>
  <c r="G455" i="6" s="1"/>
  <c r="D453" i="5"/>
  <c r="G453" i="6" s="1"/>
  <c r="D443" i="5"/>
  <c r="G443" i="6" s="1"/>
  <c r="C443" i="5"/>
  <c r="C442" i="5"/>
  <c r="C440" i="5"/>
  <c r="D439" i="5"/>
  <c r="G439" i="6" s="1"/>
  <c r="D430" i="5"/>
  <c r="G430" i="6" s="1"/>
  <c r="C430" i="5"/>
  <c r="D427" i="5"/>
  <c r="G427" i="6" s="1"/>
  <c r="C427" i="5"/>
  <c r="D425" i="5"/>
  <c r="G425" i="6" s="1"/>
  <c r="D424" i="5"/>
  <c r="G424" i="6" s="1"/>
  <c r="D422" i="5"/>
  <c r="G422" i="6" s="1"/>
  <c r="C422" i="5"/>
  <c r="D421" i="5"/>
  <c r="G421" i="6" s="1"/>
  <c r="C419" i="5"/>
  <c r="C418" i="5"/>
  <c r="C416" i="5"/>
  <c r="D415" i="5"/>
  <c r="G415" i="6" s="1"/>
  <c r="C414" i="5"/>
  <c r="D412" i="5"/>
  <c r="G412" i="6" s="1"/>
  <c r="C411" i="5"/>
  <c r="C410" i="5"/>
  <c r="D409" i="5"/>
  <c r="G409" i="6" s="1"/>
  <c r="C402" i="5"/>
  <c r="D399" i="5"/>
  <c r="G399" i="6" s="1"/>
  <c r="D398" i="5"/>
  <c r="G398" i="6" s="1"/>
  <c r="C398" i="5"/>
  <c r="D396" i="5"/>
  <c r="G396" i="6" s="1"/>
  <c r="C396" i="5"/>
  <c r="D395" i="5"/>
  <c r="G395" i="6" s="1"/>
  <c r="C395" i="5"/>
  <c r="D392" i="5"/>
  <c r="G392" i="6" s="1"/>
  <c r="C392" i="5"/>
  <c r="D389" i="5"/>
  <c r="G389" i="6" s="1"/>
  <c r="D384" i="5"/>
  <c r="G384" i="6" s="1"/>
  <c r="C384" i="5"/>
  <c r="D383" i="5"/>
  <c r="G383" i="6" s="1"/>
  <c r="D381" i="5"/>
  <c r="G381" i="6" s="1"/>
  <c r="D380" i="5"/>
  <c r="G380" i="6" s="1"/>
  <c r="D377" i="5"/>
  <c r="G377" i="6" s="1"/>
  <c r="C376" i="5"/>
  <c r="D373" i="5"/>
  <c r="G373" i="6" s="1"/>
  <c r="D372" i="5"/>
  <c r="G372" i="6" s="1"/>
  <c r="D369" i="5"/>
  <c r="G369" i="6" s="1"/>
  <c r="D366" i="5"/>
  <c r="G366" i="6" s="1"/>
  <c r="C366" i="5"/>
  <c r="D363" i="5"/>
  <c r="G363" i="6" s="1"/>
  <c r="C363" i="5"/>
  <c r="D361" i="5"/>
  <c r="G361" i="6" s="1"/>
  <c r="D360" i="5"/>
  <c r="G360" i="6" s="1"/>
  <c r="D358" i="5"/>
  <c r="G358" i="6" s="1"/>
  <c r="C358" i="5"/>
  <c r="D357" i="5"/>
  <c r="G357" i="6" s="1"/>
  <c r="D355" i="5"/>
  <c r="G355" i="6" s="1"/>
  <c r="C355" i="5"/>
  <c r="C354" i="5"/>
  <c r="C352" i="5"/>
  <c r="D351" i="5"/>
  <c r="G351" i="6" s="1"/>
  <c r="C350" i="5"/>
  <c r="D348" i="5"/>
  <c r="G348" i="6" s="1"/>
  <c r="C347" i="5"/>
  <c r="C346" i="5"/>
  <c r="D345" i="5"/>
  <c r="G345" i="6" s="1"/>
  <c r="C340" i="5"/>
  <c r="C338" i="5"/>
  <c r="D334" i="5"/>
  <c r="G334" i="6" s="1"/>
  <c r="C334" i="5"/>
  <c r="D332" i="5"/>
  <c r="G332" i="6" s="1"/>
  <c r="C332" i="5"/>
  <c r="D331" i="5"/>
  <c r="G331" i="6" s="1"/>
  <c r="C331" i="5"/>
  <c r="D328" i="5"/>
  <c r="G328" i="6" s="1"/>
  <c r="C328" i="5"/>
  <c r="D325" i="5"/>
  <c r="G325" i="6" s="1"/>
  <c r="D320" i="5"/>
  <c r="G320" i="6" s="1"/>
  <c r="C320" i="5"/>
  <c r="D319" i="5"/>
  <c r="G319" i="6" s="1"/>
  <c r="D316" i="5"/>
  <c r="G316" i="6" s="1"/>
  <c r="C314" i="5"/>
  <c r="D313" i="5"/>
  <c r="G313" i="6" s="1"/>
  <c r="D309" i="5"/>
  <c r="G309" i="6" s="1"/>
  <c r="D308" i="5"/>
  <c r="G308" i="6" s="1"/>
  <c r="D302" i="5"/>
  <c r="G302" i="6" s="1"/>
  <c r="C302" i="5"/>
  <c r="D299" i="5"/>
  <c r="G299" i="6" s="1"/>
  <c r="C299" i="5"/>
  <c r="D297" i="5"/>
  <c r="G297" i="6" s="1"/>
  <c r="D296" i="5"/>
  <c r="G296" i="6" s="1"/>
  <c r="C296" i="5"/>
  <c r="D294" i="5"/>
  <c r="G294" i="6" s="1"/>
  <c r="C294" i="5"/>
  <c r="D293" i="5"/>
  <c r="G293" i="6" s="1"/>
  <c r="D291" i="5"/>
  <c r="G291" i="6" s="1"/>
  <c r="C291" i="5"/>
  <c r="C290" i="5"/>
  <c r="C288" i="5"/>
  <c r="D287" i="5"/>
  <c r="G287" i="6" s="1"/>
  <c r="C286" i="5"/>
  <c r="D284" i="5"/>
  <c r="G284" i="6" s="1"/>
  <c r="C283" i="5"/>
  <c r="C282" i="5"/>
  <c r="D281" i="5"/>
  <c r="G281" i="6" s="1"/>
  <c r="C274" i="5"/>
  <c r="D270" i="5"/>
  <c r="G270" i="6" s="1"/>
  <c r="C270" i="5"/>
  <c r="D268" i="5"/>
  <c r="G268" i="6" s="1"/>
  <c r="C268" i="5"/>
  <c r="D267" i="5"/>
  <c r="G267" i="6" s="1"/>
  <c r="C267" i="5"/>
  <c r="D265" i="5"/>
  <c r="G265" i="6" s="1"/>
  <c r="D264" i="5"/>
  <c r="G264" i="6" s="1"/>
  <c r="C264" i="5"/>
  <c r="D262" i="5"/>
  <c r="G262" i="6" s="1"/>
  <c r="C262" i="5"/>
  <c r="D261" i="5"/>
  <c r="G261" i="6" s="1"/>
  <c r="C259" i="5"/>
  <c r="C258" i="5"/>
  <c r="C257" i="5"/>
  <c r="C256" i="5"/>
  <c r="D255" i="5"/>
  <c r="G255" i="6" s="1"/>
  <c r="D254" i="5"/>
  <c r="G254" i="6" s="1"/>
  <c r="C254" i="5"/>
  <c r="D252" i="5"/>
  <c r="G252" i="6" s="1"/>
  <c r="D251" i="5"/>
  <c r="G251" i="6" s="1"/>
  <c r="D248" i="5"/>
  <c r="G248" i="6" s="1"/>
  <c r="C248" i="5"/>
  <c r="D247" i="5"/>
  <c r="G247" i="6" s="1"/>
  <c r="D241" i="5"/>
  <c r="G241" i="6" s="1"/>
  <c r="C241" i="5"/>
  <c r="D239" i="5"/>
  <c r="G239" i="6" s="1"/>
  <c r="D238" i="5"/>
  <c r="G238" i="6" s="1"/>
  <c r="C238" i="5"/>
  <c r="D236" i="5"/>
  <c r="G236" i="6" s="1"/>
  <c r="C236" i="5"/>
  <c r="D235" i="5"/>
  <c r="G235" i="6" s="1"/>
  <c r="D245" i="5"/>
  <c r="G245" i="6" s="1"/>
  <c r="D232" i="5"/>
  <c r="G232" i="6" s="1"/>
  <c r="D229" i="5"/>
  <c r="G229" i="6" s="1"/>
  <c r="D227" i="5"/>
  <c r="G227" i="6" s="1"/>
  <c r="C227" i="5"/>
  <c r="C226" i="5"/>
  <c r="D224" i="5"/>
  <c r="G224" i="6" s="1"/>
  <c r="C224" i="5"/>
  <c r="D223" i="5"/>
  <c r="G223" i="6" s="1"/>
  <c r="D220" i="5"/>
  <c r="G220" i="6" s="1"/>
  <c r="D219" i="5"/>
  <c r="G219" i="6" s="1"/>
  <c r="D216" i="5"/>
  <c r="G216" i="6" s="1"/>
  <c r="D213" i="5"/>
  <c r="G213" i="6" s="1"/>
  <c r="D212" i="5"/>
  <c r="G212" i="6" s="1"/>
  <c r="D206" i="5"/>
  <c r="G206" i="6" s="1"/>
  <c r="D203" i="5"/>
  <c r="G203" i="6" s="1"/>
  <c r="C203" i="5"/>
  <c r="D201" i="5"/>
  <c r="G201" i="6" s="1"/>
  <c r="D200" i="5"/>
  <c r="G200" i="6" s="1"/>
  <c r="C200" i="5"/>
  <c r="D200" i="6"/>
  <c r="C199" i="5"/>
  <c r="D197" i="5"/>
  <c r="G197" i="6" s="1"/>
  <c r="C195" i="5"/>
  <c r="C193" i="5"/>
  <c r="D192" i="5"/>
  <c r="G192" i="6" s="1"/>
  <c r="C192" i="5"/>
  <c r="D189" i="5"/>
  <c r="G189" i="6" s="1"/>
  <c r="D188" i="5"/>
  <c r="G188" i="6" s="1"/>
  <c r="D185" i="5"/>
  <c r="G185" i="6" s="1"/>
  <c r="D185" i="6"/>
  <c r="D183" i="5"/>
  <c r="G183" i="6" s="1"/>
  <c r="D181" i="5"/>
  <c r="G181" i="6" s="1"/>
  <c r="C178" i="5"/>
  <c r="D177" i="5"/>
  <c r="G177" i="6" s="1"/>
  <c r="D176" i="6"/>
  <c r="D175" i="5"/>
  <c r="G175" i="6" s="1"/>
  <c r="C175" i="5"/>
  <c r="D174" i="5"/>
  <c r="G174" i="6" s="1"/>
  <c r="C174" i="5"/>
  <c r="C172" i="5"/>
  <c r="D171" i="5"/>
  <c r="G171" i="6" s="1"/>
  <c r="C171" i="5"/>
  <c r="D168" i="5"/>
  <c r="G168" i="6" s="1"/>
  <c r="C168" i="5"/>
  <c r="D165" i="5"/>
  <c r="G165" i="6" s="1"/>
  <c r="C162" i="5"/>
  <c r="C161" i="5"/>
  <c r="C160" i="5"/>
  <c r="D158" i="5"/>
  <c r="G158" i="6" s="1"/>
  <c r="C158" i="5"/>
  <c r="D157" i="5"/>
  <c r="G157" i="6" s="1"/>
  <c r="D156" i="5"/>
  <c r="G156" i="6" s="1"/>
  <c r="D148" i="5"/>
  <c r="G148" i="6" s="1"/>
  <c r="C148" i="5"/>
  <c r="D142" i="5"/>
  <c r="G142" i="6" s="1"/>
  <c r="D140" i="5"/>
  <c r="G140" i="6" s="1"/>
  <c r="C140" i="5"/>
  <c r="D139" i="5"/>
  <c r="G139" i="6" s="1"/>
  <c r="D136" i="5"/>
  <c r="G136" i="6" s="1"/>
  <c r="C136" i="5"/>
  <c r="D136" i="6"/>
  <c r="D133" i="5"/>
  <c r="G133" i="6" s="1"/>
  <c r="C130" i="5"/>
  <c r="C129" i="5"/>
  <c r="C128" i="5"/>
  <c r="D127" i="5"/>
  <c r="G127" i="6" s="1"/>
  <c r="D127" i="6"/>
  <c r="D126" i="5"/>
  <c r="G126" i="6" s="1"/>
  <c r="C126" i="5"/>
  <c r="D124" i="5"/>
  <c r="G124" i="6" s="1"/>
  <c r="D120" i="5"/>
  <c r="G120" i="6" s="1"/>
  <c r="C120" i="5"/>
  <c r="D119" i="5"/>
  <c r="G119" i="6" s="1"/>
  <c r="D113" i="5"/>
  <c r="G113" i="6" s="1"/>
  <c r="C113" i="5"/>
  <c r="D111" i="5"/>
  <c r="G111" i="6" s="1"/>
  <c r="D110" i="5"/>
  <c r="G110" i="6" s="1"/>
  <c r="D108" i="5"/>
  <c r="G108" i="6" s="1"/>
  <c r="C108" i="5"/>
  <c r="D105" i="5"/>
  <c r="G105" i="6" s="1"/>
  <c r="C100" i="5"/>
  <c r="D99" i="5"/>
  <c r="G99" i="6" s="1"/>
  <c r="D96" i="5"/>
  <c r="G96" i="6" s="1"/>
  <c r="C96" i="5"/>
  <c r="D92" i="5"/>
  <c r="G92" i="6" s="1"/>
  <c r="C90" i="5"/>
  <c r="D88" i="6"/>
  <c r="C83" i="5"/>
  <c r="C82" i="5"/>
  <c r="C80" i="5"/>
  <c r="D79" i="5"/>
  <c r="G79" i="6" s="1"/>
  <c r="C79" i="5"/>
  <c r="D78" i="5"/>
  <c r="G78" i="6" s="1"/>
  <c r="D76" i="5"/>
  <c r="G76" i="6" s="1"/>
  <c r="C76" i="5"/>
  <c r="D73" i="5"/>
  <c r="G73" i="6" s="1"/>
  <c r="C73" i="5"/>
  <c r="D73" i="6"/>
  <c r="C71" i="5"/>
  <c r="D70" i="5"/>
  <c r="G70" i="6" s="1"/>
  <c r="D69" i="5"/>
  <c r="G69" i="6" s="1"/>
  <c r="D68" i="5"/>
  <c r="G68" i="6" s="1"/>
  <c r="C68" i="5"/>
  <c r="D67" i="5"/>
  <c r="G67" i="6" s="1"/>
  <c r="D67" i="6"/>
  <c r="C65" i="5"/>
  <c r="D64" i="5"/>
  <c r="G64" i="6" s="1"/>
  <c r="D62" i="5"/>
  <c r="G62" i="6" s="1"/>
  <c r="C62" i="5"/>
  <c r="D56" i="6"/>
  <c r="D52" i="5"/>
  <c r="G52" i="6" s="1"/>
  <c r="C52" i="5"/>
  <c r="C51" i="5"/>
  <c r="D49" i="5"/>
  <c r="G49" i="6" s="1"/>
  <c r="C49" i="5"/>
  <c r="C48" i="5"/>
  <c r="D46" i="5"/>
  <c r="G46" i="6" s="1"/>
  <c r="D43" i="5"/>
  <c r="G43" i="6" s="1"/>
  <c r="D43" i="6"/>
  <c r="D40" i="5"/>
  <c r="G40" i="6" s="1"/>
  <c r="C40" i="5"/>
  <c r="C39" i="5"/>
  <c r="D37" i="5"/>
  <c r="G37" i="6" s="1"/>
  <c r="D37" i="6"/>
  <c r="D36" i="5"/>
  <c r="G36" i="6" s="1"/>
  <c r="C34" i="5"/>
  <c r="C33" i="5"/>
  <c r="D32" i="5"/>
  <c r="G32" i="6" s="1"/>
  <c r="C30" i="5"/>
  <c r="D27" i="5"/>
  <c r="G27" i="6" s="1"/>
  <c r="D24" i="5"/>
  <c r="G24" i="6" s="1"/>
  <c r="C24" i="5"/>
  <c r="D23" i="5"/>
  <c r="G23" i="6" s="1"/>
  <c r="C23" i="5"/>
  <c r="D21" i="5"/>
  <c r="G21" i="6" s="1"/>
  <c r="C20" i="5"/>
  <c r="C12" i="5"/>
  <c r="C8" i="5"/>
  <c r="D8" i="6"/>
  <c r="C758" i="4"/>
  <c r="D755" i="4"/>
  <c r="C751" i="4"/>
  <c r="D750" i="4"/>
  <c r="C747" i="4"/>
  <c r="C739" i="4"/>
  <c r="C735" i="4"/>
  <c r="D747" i="4"/>
  <c r="D734" i="4"/>
  <c r="D731" i="4"/>
  <c r="C726" i="4"/>
  <c r="C723" i="4"/>
  <c r="D720" i="4"/>
  <c r="D719" i="4"/>
  <c r="D714" i="4"/>
  <c r="C711" i="4"/>
  <c r="C710" i="4"/>
  <c r="D722" i="4"/>
  <c r="C708" i="4"/>
  <c r="C707" i="4"/>
  <c r="D706" i="4"/>
  <c r="C703" i="4"/>
  <c r="D715" i="4"/>
  <c r="D700" i="4"/>
  <c r="D712" i="4"/>
  <c r="D698" i="4"/>
  <c r="D710" i="4"/>
  <c r="D697" i="4"/>
  <c r="D709" i="4"/>
  <c r="C695" i="4"/>
  <c r="D707" i="4"/>
  <c r="D694" i="4"/>
  <c r="D686" i="4"/>
  <c r="C686" i="4"/>
  <c r="C685" i="4"/>
  <c r="D696" i="4"/>
  <c r="D682" i="4"/>
  <c r="C678" i="4"/>
  <c r="D677" i="4"/>
  <c r="D674" i="4"/>
  <c r="C672" i="4"/>
  <c r="C671" i="4"/>
  <c r="C670" i="4"/>
  <c r="D668" i="4"/>
  <c r="D675" i="4"/>
  <c r="D662" i="4"/>
  <c r="D667" i="4"/>
  <c r="D654" i="4"/>
  <c r="C654" i="4"/>
  <c r="C653" i="4"/>
  <c r="D652" i="4"/>
  <c r="D650" i="4"/>
  <c r="D659" i="4"/>
  <c r="D646" i="4"/>
  <c r="C646" i="4"/>
  <c r="D645" i="4"/>
  <c r="C645" i="4"/>
  <c r="D642" i="4"/>
  <c r="C642" i="4"/>
  <c r="C640" i="4"/>
  <c r="D639" i="4"/>
  <c r="C639" i="4"/>
  <c r="D637" i="4"/>
  <c r="C637" i="4"/>
  <c r="C638" i="4"/>
  <c r="D636" i="4"/>
  <c r="D634" i="4"/>
  <c r="C634" i="4"/>
  <c r="D633" i="4"/>
  <c r="D630" i="4"/>
  <c r="C629" i="4"/>
  <c r="D640" i="4"/>
  <c r="C626" i="4"/>
  <c r="D625" i="4"/>
  <c r="C625" i="4"/>
  <c r="C623" i="4"/>
  <c r="D635" i="4"/>
  <c r="D622" i="4"/>
  <c r="C622" i="4"/>
  <c r="D632" i="4"/>
  <c r="D619" i="4"/>
  <c r="D618" i="4"/>
  <c r="D617" i="4"/>
  <c r="D629" i="4"/>
  <c r="D628" i="4"/>
  <c r="D627" i="4"/>
  <c r="D614" i="4"/>
  <c r="C614" i="4"/>
  <c r="D613" i="4"/>
  <c r="D610" i="4"/>
  <c r="C610" i="4"/>
  <c r="D620" i="4"/>
  <c r="D607" i="4"/>
  <c r="C607" i="4"/>
  <c r="C606" i="4"/>
  <c r="D604" i="4"/>
  <c r="D602" i="4"/>
  <c r="C602" i="4"/>
  <c r="D601" i="4"/>
  <c r="C599" i="4"/>
  <c r="D598" i="4"/>
  <c r="C596" i="4"/>
  <c r="D608" i="4"/>
  <c r="C592" i="4"/>
  <c r="C591" i="4"/>
  <c r="D590" i="4"/>
  <c r="C590" i="4"/>
  <c r="D588" i="4"/>
  <c r="D586" i="4"/>
  <c r="C584" i="4"/>
  <c r="D595" i="4"/>
  <c r="C582" i="4"/>
  <c r="D581" i="4"/>
  <c r="C576" i="4"/>
  <c r="D575" i="4"/>
  <c r="C575" i="4"/>
  <c r="C573" i="4"/>
  <c r="D572" i="4"/>
  <c r="C570" i="4"/>
  <c r="C569" i="4"/>
  <c r="D568" i="4"/>
  <c r="D565" i="4"/>
  <c r="C565" i="4"/>
  <c r="D564" i="4"/>
  <c r="D563" i="4"/>
  <c r="D562" i="4"/>
  <c r="D574" i="4"/>
  <c r="C561" i="4"/>
  <c r="D560" i="4"/>
  <c r="C560" i="4"/>
  <c r="C559" i="4"/>
  <c r="D557" i="4"/>
  <c r="C557" i="4"/>
  <c r="D569" i="4"/>
  <c r="D551" i="4"/>
  <c r="C550" i="4"/>
  <c r="D561" i="4"/>
  <c r="D548" i="4"/>
  <c r="C548" i="4"/>
  <c r="C547" i="4"/>
  <c r="D547" i="4"/>
  <c r="D546" i="4"/>
  <c r="D544" i="4"/>
  <c r="C544" i="4"/>
  <c r="D556" i="4"/>
  <c r="D543" i="4"/>
  <c r="C543" i="4"/>
  <c r="C541" i="4"/>
  <c r="D540" i="4"/>
  <c r="C540" i="4"/>
  <c r="D539" i="4"/>
  <c r="C537" i="4"/>
  <c r="D536" i="4"/>
  <c r="C536" i="4"/>
  <c r="D533" i="4"/>
  <c r="C533" i="4"/>
  <c r="D545" i="4"/>
  <c r="D532" i="4"/>
  <c r="D531" i="4"/>
  <c r="D530" i="4"/>
  <c r="D542" i="4"/>
  <c r="C529" i="4"/>
  <c r="D528" i="4"/>
  <c r="C528" i="4"/>
  <c r="C527" i="4"/>
  <c r="D525" i="4"/>
  <c r="C525" i="4"/>
  <c r="D537" i="4"/>
  <c r="D522" i="4"/>
  <c r="D519" i="4"/>
  <c r="C518" i="4"/>
  <c r="D529" i="4"/>
  <c r="D516" i="4"/>
  <c r="C516" i="4"/>
  <c r="C515" i="4"/>
  <c r="D515" i="4"/>
  <c r="D514" i="4"/>
  <c r="D512" i="4"/>
  <c r="C512" i="4"/>
  <c r="D524" i="4"/>
  <c r="D511" i="4"/>
  <c r="C511" i="4"/>
  <c r="C509" i="4"/>
  <c r="D508" i="4"/>
  <c r="C508" i="4"/>
  <c r="D507" i="4"/>
  <c r="C505" i="4"/>
  <c r="D504" i="4"/>
  <c r="C504" i="4"/>
  <c r="D501" i="4"/>
  <c r="C501" i="4"/>
  <c r="D513" i="4"/>
  <c r="D500" i="4"/>
  <c r="D499" i="4"/>
  <c r="D498" i="4"/>
  <c r="D510" i="4"/>
  <c r="C497" i="4"/>
  <c r="D496" i="4"/>
  <c r="C496" i="4"/>
  <c r="C495" i="4"/>
  <c r="D493" i="4"/>
  <c r="C493" i="4"/>
  <c r="D505" i="4"/>
  <c r="D490" i="4"/>
  <c r="D487" i="4"/>
  <c r="C486" i="4"/>
  <c r="D497" i="4"/>
  <c r="D484" i="4"/>
  <c r="C484" i="4"/>
  <c r="C483" i="4"/>
  <c r="D483" i="4"/>
  <c r="D482" i="4"/>
  <c r="D480" i="4"/>
  <c r="C480" i="4"/>
  <c r="D492" i="4"/>
  <c r="D479" i="4"/>
  <c r="C479" i="4"/>
  <c r="C477" i="4"/>
  <c r="D476" i="4"/>
  <c r="C476" i="4"/>
  <c r="D475" i="4"/>
  <c r="C473" i="4"/>
  <c r="D472" i="4"/>
  <c r="C472" i="4"/>
  <c r="D469" i="4"/>
  <c r="C469" i="4"/>
  <c r="D481" i="4"/>
  <c r="D468" i="4"/>
  <c r="D467" i="4"/>
  <c r="D466" i="4"/>
  <c r="D478" i="4"/>
  <c r="C465" i="4"/>
  <c r="D464" i="4"/>
  <c r="C464" i="4"/>
  <c r="C463" i="4"/>
  <c r="D461" i="4"/>
  <c r="C461" i="4"/>
  <c r="D473" i="4"/>
  <c r="D458" i="4"/>
  <c r="D455" i="4"/>
  <c r="C454" i="4"/>
  <c r="D465" i="4"/>
  <c r="D452" i="4"/>
  <c r="C452" i="4"/>
  <c r="C451" i="4"/>
  <c r="D451" i="4"/>
  <c r="D450" i="4"/>
  <c r="D448" i="4"/>
  <c r="C448" i="4"/>
  <c r="D460" i="4"/>
  <c r="D447" i="4"/>
  <c r="C447" i="4"/>
  <c r="C445" i="4"/>
  <c r="D444" i="4"/>
  <c r="C444" i="4"/>
  <c r="D443" i="4"/>
  <c r="C441" i="4"/>
  <c r="D440" i="4"/>
  <c r="C440" i="4"/>
  <c r="D437" i="4"/>
  <c r="C437" i="4"/>
  <c r="D449" i="4"/>
  <c r="D436" i="4"/>
  <c r="D435" i="4"/>
  <c r="D434" i="4"/>
  <c r="D446" i="4"/>
  <c r="C433" i="4"/>
  <c r="D432" i="4"/>
  <c r="C432" i="4"/>
  <c r="C431" i="4"/>
  <c r="D429" i="4"/>
  <c r="C429" i="4"/>
  <c r="D441" i="4"/>
  <c r="D426" i="4"/>
  <c r="D423" i="4"/>
  <c r="C422" i="4"/>
  <c r="D433" i="4"/>
  <c r="D420" i="4"/>
  <c r="C420" i="4"/>
  <c r="C419" i="4"/>
  <c r="D419" i="4"/>
  <c r="D418" i="4"/>
  <c r="D416" i="4"/>
  <c r="C416" i="4"/>
  <c r="D428" i="4"/>
  <c r="D415" i="4"/>
  <c r="C415" i="4"/>
  <c r="C413" i="4"/>
  <c r="D412" i="4"/>
  <c r="C412" i="4"/>
  <c r="D411" i="4"/>
  <c r="C409" i="4"/>
  <c r="D408" i="4"/>
  <c r="C408" i="4"/>
  <c r="D405" i="4"/>
  <c r="C405" i="4"/>
  <c r="D417" i="4"/>
  <c r="D404" i="4"/>
  <c r="D403" i="4"/>
  <c r="D402" i="4"/>
  <c r="D414" i="4"/>
  <c r="C401" i="4"/>
  <c r="D400" i="4"/>
  <c r="C400" i="4"/>
  <c r="C399" i="4"/>
  <c r="D397" i="4"/>
  <c r="C397" i="4"/>
  <c r="D409" i="4"/>
  <c r="D391" i="4"/>
  <c r="C390" i="4"/>
  <c r="D401" i="4"/>
  <c r="D388" i="4"/>
  <c r="C388" i="4"/>
  <c r="C387" i="4"/>
  <c r="D387" i="4"/>
  <c r="D386" i="4"/>
  <c r="D384" i="4"/>
  <c r="C384" i="4"/>
  <c r="D396" i="4"/>
  <c r="C383" i="4"/>
  <c r="D380" i="4"/>
  <c r="C380" i="4"/>
  <c r="D379" i="4"/>
  <c r="C376" i="4"/>
  <c r="C374" i="4"/>
  <c r="C375" i="4"/>
  <c r="D367" i="4"/>
  <c r="C367" i="4"/>
  <c r="C364" i="4"/>
  <c r="D363" i="4"/>
  <c r="D375" i="4"/>
  <c r="C361" i="4"/>
  <c r="D360" i="4"/>
  <c r="C359" i="4"/>
  <c r="D357" i="4"/>
  <c r="C355" i="4"/>
  <c r="D355" i="4"/>
  <c r="D351" i="4"/>
  <c r="C351" i="4"/>
  <c r="C348" i="4"/>
  <c r="D347" i="4"/>
  <c r="C347" i="4"/>
  <c r="D359" i="4"/>
  <c r="C342" i="4"/>
  <c r="C343" i="4"/>
  <c r="D341" i="4"/>
  <c r="D339" i="4"/>
  <c r="D338" i="4"/>
  <c r="C335" i="4"/>
  <c r="C334" i="4"/>
  <c r="D332" i="4"/>
  <c r="C332" i="4"/>
  <c r="D331" i="4"/>
  <c r="D343" i="4"/>
  <c r="C329" i="4"/>
  <c r="D328" i="4"/>
  <c r="C327" i="4"/>
  <c r="C323" i="4"/>
  <c r="D323" i="4"/>
  <c r="D322" i="4"/>
  <c r="D319" i="4"/>
  <c r="C319" i="4"/>
  <c r="C318" i="4"/>
  <c r="C316" i="4"/>
  <c r="D315" i="4"/>
  <c r="C315" i="4"/>
  <c r="D327" i="4"/>
  <c r="C313" i="4"/>
  <c r="C311" i="4"/>
  <c r="D309" i="4"/>
  <c r="D307" i="4"/>
  <c r="C303" i="4"/>
  <c r="C302" i="4"/>
  <c r="D300" i="4"/>
  <c r="C300" i="4"/>
  <c r="D299" i="4"/>
  <c r="C299" i="4"/>
  <c r="D311" i="4"/>
  <c r="D296" i="4"/>
  <c r="C295" i="4"/>
  <c r="D291" i="4"/>
  <c r="D290" i="4"/>
  <c r="C287" i="4"/>
  <c r="C286" i="4"/>
  <c r="D284" i="4"/>
  <c r="C284" i="4"/>
  <c r="D283" i="4"/>
  <c r="D295" i="4"/>
  <c r="C283" i="4"/>
  <c r="D280" i="4"/>
  <c r="C279" i="4"/>
  <c r="D275" i="4"/>
  <c r="D271" i="4"/>
  <c r="C271" i="4"/>
  <c r="C270" i="4"/>
  <c r="C268" i="4"/>
  <c r="D267" i="4"/>
  <c r="D279" i="4"/>
  <c r="C267" i="4"/>
  <c r="C263" i="4"/>
  <c r="D259" i="4"/>
  <c r="C256" i="4"/>
  <c r="D255" i="4"/>
  <c r="C255" i="4"/>
  <c r="C254" i="4"/>
  <c r="C252" i="4"/>
  <c r="D251" i="4"/>
  <c r="D263" i="4"/>
  <c r="D261" i="4"/>
  <c r="D246" i="4"/>
  <c r="C247" i="4"/>
  <c r="D245" i="4"/>
  <c r="C245" i="4"/>
  <c r="D257" i="4"/>
  <c r="D243" i="4"/>
  <c r="C243" i="4"/>
  <c r="D242" i="4"/>
  <c r="C242" i="4"/>
  <c r="D254" i="4"/>
  <c r="D253" i="4"/>
  <c r="D252" i="4"/>
  <c r="D239" i="4"/>
  <c r="D237" i="4"/>
  <c r="C237" i="4"/>
  <c r="D236" i="4"/>
  <c r="C234" i="4"/>
  <c r="C231" i="4"/>
  <c r="D230" i="4"/>
  <c r="C230" i="4"/>
  <c r="C229" i="4"/>
  <c r="D241" i="4"/>
  <c r="D228" i="4"/>
  <c r="C228" i="4"/>
  <c r="D227" i="4"/>
  <c r="D238" i="4"/>
  <c r="C225" i="4"/>
  <c r="D224" i="4"/>
  <c r="C224" i="4"/>
  <c r="C222" i="4"/>
  <c r="D233" i="4"/>
  <c r="D220" i="4"/>
  <c r="C219" i="4"/>
  <c r="D229" i="4"/>
  <c r="D216" i="4"/>
  <c r="C216" i="4"/>
  <c r="D213" i="4"/>
  <c r="C213" i="4"/>
  <c r="D211" i="4"/>
  <c r="D223" i="4"/>
  <c r="D210" i="4"/>
  <c r="C210" i="4"/>
  <c r="D221" i="4"/>
  <c r="D208" i="4"/>
  <c r="C208" i="4"/>
  <c r="D207" i="4"/>
  <c r="D205" i="4"/>
  <c r="C205" i="4"/>
  <c r="D204" i="4"/>
  <c r="C202" i="4"/>
  <c r="C201" i="4"/>
  <c r="C199" i="4"/>
  <c r="D198" i="4"/>
  <c r="D209" i="4"/>
  <c r="C196" i="4"/>
  <c r="D195" i="4"/>
  <c r="D206" i="4"/>
  <c r="C193" i="4"/>
  <c r="D192" i="4"/>
  <c r="C192" i="4"/>
  <c r="C190" i="4"/>
  <c r="D201" i="4"/>
  <c r="D188" i="4"/>
  <c r="C187" i="4"/>
  <c r="C185" i="4"/>
  <c r="C184" i="4"/>
  <c r="D181" i="4"/>
  <c r="C181" i="4"/>
  <c r="D191" i="4"/>
  <c r="D178" i="4"/>
  <c r="C178" i="4"/>
  <c r="D189" i="4"/>
  <c r="D176" i="4"/>
  <c r="C176" i="4"/>
  <c r="D175" i="4"/>
  <c r="D173" i="4"/>
  <c r="C173" i="4"/>
  <c r="D172" i="4"/>
  <c r="D170" i="4"/>
  <c r="C170" i="4"/>
  <c r="C169" i="4"/>
  <c r="C167" i="4"/>
  <c r="D166" i="4"/>
  <c r="C166" i="4"/>
  <c r="C165" i="4"/>
  <c r="D177" i="4"/>
  <c r="D164" i="4"/>
  <c r="C164" i="4"/>
  <c r="D163" i="4"/>
  <c r="C163" i="4"/>
  <c r="C162" i="4"/>
  <c r="C161" i="4"/>
  <c r="D160" i="4"/>
  <c r="C160" i="4"/>
  <c r="C159" i="4"/>
  <c r="D158" i="4"/>
  <c r="C158" i="4"/>
  <c r="D169" i="4"/>
  <c r="C155" i="4"/>
  <c r="C154" i="4"/>
  <c r="C153" i="4"/>
  <c r="D165" i="4"/>
  <c r="D152" i="4"/>
  <c r="C152" i="4"/>
  <c r="D149" i="4"/>
  <c r="C149" i="4"/>
  <c r="D159" i="4"/>
  <c r="D146" i="4"/>
  <c r="C146" i="4"/>
  <c r="D157" i="4"/>
  <c r="D156" i="4"/>
  <c r="D143" i="4"/>
  <c r="C143" i="4"/>
  <c r="D141" i="4"/>
  <c r="C141" i="4"/>
  <c r="D140" i="4"/>
  <c r="C138" i="4"/>
  <c r="C135" i="4"/>
  <c r="D134" i="4"/>
  <c r="C134" i="4"/>
  <c r="D145" i="4"/>
  <c r="D132" i="4"/>
  <c r="C132" i="4"/>
  <c r="D131" i="4"/>
  <c r="D142" i="4"/>
  <c r="C129" i="4"/>
  <c r="D128" i="4"/>
  <c r="C128" i="4"/>
  <c r="C126" i="4"/>
  <c r="D137" i="4"/>
  <c r="C123" i="4"/>
  <c r="D133" i="4"/>
  <c r="C120" i="4"/>
  <c r="D117" i="4"/>
  <c r="C117" i="4"/>
  <c r="D127" i="4"/>
  <c r="D114" i="4"/>
  <c r="C114" i="4"/>
  <c r="D125" i="4"/>
  <c r="D124" i="4"/>
  <c r="D111" i="4"/>
  <c r="C111" i="4"/>
  <c r="C109" i="4"/>
  <c r="D108" i="4"/>
  <c r="D106" i="4"/>
  <c r="C106" i="4"/>
  <c r="C103" i="4"/>
  <c r="D102" i="4"/>
  <c r="D113" i="4"/>
  <c r="C100" i="4"/>
  <c r="D99" i="4"/>
  <c r="C99" i="4"/>
  <c r="C98" i="4"/>
  <c r="D109" i="4"/>
  <c r="D96" i="4"/>
  <c r="C96" i="4"/>
  <c r="C95" i="4"/>
  <c r="D94" i="4"/>
  <c r="C94" i="4"/>
  <c r="D105" i="4"/>
  <c r="D91" i="4"/>
  <c r="D101" i="4"/>
  <c r="D100" i="4"/>
  <c r="D86" i="4"/>
  <c r="D85" i="4"/>
  <c r="C85" i="4"/>
  <c r="D83" i="4"/>
  <c r="C83" i="4"/>
  <c r="D95" i="4"/>
  <c r="D82" i="4"/>
  <c r="C82" i="4"/>
  <c r="D93" i="4"/>
  <c r="D92" i="4"/>
  <c r="D79" i="4"/>
  <c r="C79" i="4"/>
  <c r="D77" i="4"/>
  <c r="C77" i="4"/>
  <c r="D89" i="4"/>
  <c r="D76" i="4"/>
  <c r="C74" i="4"/>
  <c r="C73" i="4"/>
  <c r="C71" i="4"/>
  <c r="D70" i="4"/>
  <c r="C70" i="4"/>
  <c r="C69" i="4"/>
  <c r="D81" i="4"/>
  <c r="D68" i="4"/>
  <c r="C68" i="4"/>
  <c r="D67" i="4"/>
  <c r="D78" i="4"/>
  <c r="C65" i="4"/>
  <c r="D64" i="4"/>
  <c r="C64" i="4"/>
  <c r="C63" i="4"/>
  <c r="D73" i="4"/>
  <c r="D60" i="4"/>
  <c r="D71" i="4"/>
  <c r="C58" i="4"/>
  <c r="C57" i="4"/>
  <c r="D69" i="4"/>
  <c r="D56" i="4"/>
  <c r="C56" i="4"/>
  <c r="D53" i="4"/>
  <c r="C53" i="4"/>
  <c r="D63" i="4"/>
  <c r="D50" i="4"/>
  <c r="C50" i="4"/>
  <c r="C49" i="4"/>
  <c r="C48" i="4"/>
  <c r="D58" i="4"/>
  <c r="C44" i="4"/>
  <c r="D43" i="4"/>
  <c r="C43" i="4"/>
  <c r="D55" i="4"/>
  <c r="D42" i="4"/>
  <c r="D41" i="4"/>
  <c r="D52" i="4"/>
  <c r="C39" i="4"/>
  <c r="D38" i="4"/>
  <c r="C38" i="4"/>
  <c r="C36" i="4"/>
  <c r="D35" i="4"/>
  <c r="C35" i="4"/>
  <c r="D47" i="4"/>
  <c r="D33" i="4"/>
  <c r="D44" i="4"/>
  <c r="D30" i="4"/>
  <c r="D29" i="4"/>
  <c r="C28" i="4"/>
  <c r="D39" i="4"/>
  <c r="D26" i="4"/>
  <c r="C26" i="4"/>
  <c r="C25" i="4"/>
  <c r="D37" i="4"/>
  <c r="D24" i="4"/>
  <c r="D34" i="4"/>
  <c r="C21" i="4"/>
  <c r="D31" i="4"/>
  <c r="D18" i="4"/>
  <c r="C18" i="4"/>
  <c r="C17" i="4"/>
  <c r="C15" i="4"/>
  <c r="D25" i="4"/>
  <c r="C12" i="4"/>
  <c r="C11" i="4"/>
  <c r="D23" i="4"/>
  <c r="C10" i="4"/>
  <c r="C9" i="4"/>
  <c r="D21" i="4"/>
  <c r="C8" i="4"/>
  <c r="C7" i="4"/>
  <c r="D17" i="4"/>
  <c r="F640" i="6" l="1"/>
  <c r="F722" i="6"/>
  <c r="F649" i="6"/>
  <c r="F672" i="6"/>
  <c r="F689" i="6"/>
  <c r="F659" i="6"/>
  <c r="F704" i="6"/>
  <c r="D32" i="6"/>
  <c r="D112" i="6"/>
  <c r="D5" i="6"/>
  <c r="D26" i="6"/>
  <c r="D41" i="6"/>
  <c r="D49" i="6"/>
  <c r="D72" i="6"/>
  <c r="D83" i="6"/>
  <c r="D119" i="6"/>
  <c r="D160" i="6"/>
  <c r="D697" i="5"/>
  <c r="G697" i="6" s="1"/>
  <c r="D721" i="5"/>
  <c r="G721" i="6" s="1"/>
  <c r="C738" i="5"/>
  <c r="D747" i="5"/>
  <c r="G747" i="6" s="1"/>
  <c r="D69" i="6"/>
  <c r="D120" i="6"/>
  <c r="D51" i="6"/>
  <c r="D80" i="6"/>
  <c r="D128" i="6"/>
  <c r="D12" i="6"/>
  <c r="D24" i="6"/>
  <c r="D33" i="6"/>
  <c r="D40" i="6"/>
  <c r="D163" i="6"/>
  <c r="D201" i="6"/>
  <c r="D717" i="5"/>
  <c r="G717" i="6" s="1"/>
  <c r="D737" i="5"/>
  <c r="G737" i="6" s="1"/>
  <c r="D757" i="5"/>
  <c r="G757" i="6" s="1"/>
  <c r="D9" i="6"/>
  <c r="D10" i="6"/>
  <c r="D64" i="6"/>
  <c r="D104" i="6"/>
  <c r="D186" i="6"/>
  <c r="D48" i="6"/>
  <c r="D65" i="6"/>
  <c r="D96" i="6"/>
  <c r="D107" i="6"/>
  <c r="D195" i="6"/>
  <c r="D743" i="5"/>
  <c r="G743" i="6" s="1"/>
  <c r="D749" i="5"/>
  <c r="G749" i="6" s="1"/>
  <c r="D144" i="6"/>
  <c r="C748" i="5"/>
  <c r="D75" i="6"/>
  <c r="D146" i="6"/>
  <c r="D19" i="6"/>
  <c r="D34" i="6"/>
  <c r="D114" i="6"/>
  <c r="D130" i="6"/>
  <c r="D159" i="6"/>
  <c r="C754" i="4"/>
  <c r="C738" i="4"/>
  <c r="D757" i="4"/>
  <c r="C732" i="4"/>
  <c r="C740" i="4"/>
  <c r="D691" i="4"/>
  <c r="D660" i="4"/>
  <c r="D693" i="4"/>
  <c r="C692" i="4"/>
  <c r="D244" i="4"/>
  <c r="C232" i="4"/>
  <c r="D406" i="4"/>
  <c r="C394" i="4"/>
  <c r="D566" i="4"/>
  <c r="C554" i="4"/>
  <c r="C587" i="4"/>
  <c r="D587" i="4"/>
  <c r="C716" i="4"/>
  <c r="D728" i="4"/>
  <c r="C736" i="4"/>
  <c r="C737" i="4"/>
  <c r="D748" i="4"/>
  <c r="C752" i="4"/>
  <c r="D752" i="4"/>
  <c r="D17" i="6"/>
  <c r="D29" i="5"/>
  <c r="G29" i="6" s="1"/>
  <c r="C17" i="5"/>
  <c r="D17" i="5"/>
  <c r="G17" i="6" s="1"/>
  <c r="D131" i="5"/>
  <c r="G131" i="6" s="1"/>
  <c r="D143" i="5"/>
  <c r="G143" i="6" s="1"/>
  <c r="C131" i="5"/>
  <c r="C13" i="4"/>
  <c r="C32" i="4"/>
  <c r="C46" i="4"/>
  <c r="C80" i="4"/>
  <c r="C91" i="4"/>
  <c r="C121" i="4"/>
  <c r="D126" i="4"/>
  <c r="C130" i="4"/>
  <c r="D154" i="4"/>
  <c r="C142" i="4"/>
  <c r="D174" i="4"/>
  <c r="D184" i="4"/>
  <c r="C197" i="4"/>
  <c r="C240" i="4"/>
  <c r="C275" i="4"/>
  <c r="D297" i="4"/>
  <c r="D285" i="4"/>
  <c r="C285" i="4"/>
  <c r="D302" i="4"/>
  <c r="C290" i="4"/>
  <c r="C294" i="4"/>
  <c r="D303" i="4"/>
  <c r="D321" i="4"/>
  <c r="C309" i="4"/>
  <c r="D326" i="4"/>
  <c r="D314" i="4"/>
  <c r="C314" i="4"/>
  <c r="D340" i="4"/>
  <c r="C328" i="4"/>
  <c r="D370" i="4"/>
  <c r="D394" i="4"/>
  <c r="D425" i="4"/>
  <c r="D413" i="4"/>
  <c r="D457" i="4"/>
  <c r="D445" i="4"/>
  <c r="D489" i="4"/>
  <c r="D477" i="4"/>
  <c r="D521" i="4"/>
  <c r="D509" i="4"/>
  <c r="D553" i="4"/>
  <c r="D541" i="4"/>
  <c r="D554" i="4"/>
  <c r="D580" i="4"/>
  <c r="C568" i="4"/>
  <c r="C574" i="4"/>
  <c r="D585" i="4"/>
  <c r="D573" i="4"/>
  <c r="D589" i="4"/>
  <c r="C577" i="4"/>
  <c r="C578" i="4"/>
  <c r="D600" i="4"/>
  <c r="D596" i="4"/>
  <c r="D657" i="4"/>
  <c r="C717" i="4"/>
  <c r="D18" i="6"/>
  <c r="D30" i="5"/>
  <c r="G30" i="6" s="1"/>
  <c r="D123" i="6"/>
  <c r="D135" i="5"/>
  <c r="G135" i="6" s="1"/>
  <c r="C123" i="5"/>
  <c r="D123" i="5"/>
  <c r="G123" i="6" s="1"/>
  <c r="D554" i="5"/>
  <c r="G554" i="6" s="1"/>
  <c r="C542" i="5"/>
  <c r="D542" i="5"/>
  <c r="G542" i="6" s="1"/>
  <c r="D438" i="4"/>
  <c r="C426" i="4"/>
  <c r="D46" i="4"/>
  <c r="D186" i="4"/>
  <c r="C174" i="4"/>
  <c r="D374" i="4"/>
  <c r="D362" i="4"/>
  <c r="C362" i="4"/>
  <c r="D393" i="4"/>
  <c r="D381" i="4"/>
  <c r="D395" i="4"/>
  <c r="D407" i="4"/>
  <c r="D427" i="4"/>
  <c r="D439" i="4"/>
  <c r="D459" i="4"/>
  <c r="D471" i="4"/>
  <c r="D491" i="4"/>
  <c r="D503" i="4"/>
  <c r="D523" i="4"/>
  <c r="D535" i="4"/>
  <c r="D555" i="4"/>
  <c r="D567" i="4"/>
  <c r="D582" i="4"/>
  <c r="C588" i="4"/>
  <c r="D670" i="4"/>
  <c r="D658" i="4"/>
  <c r="C658" i="4"/>
  <c r="D685" i="4"/>
  <c r="C673" i="4"/>
  <c r="C674" i="4"/>
  <c r="D745" i="4"/>
  <c r="C734" i="4"/>
  <c r="C733" i="4"/>
  <c r="D754" i="4"/>
  <c r="C742" i="4"/>
  <c r="C18" i="5"/>
  <c r="C28" i="5"/>
  <c r="D28" i="5"/>
  <c r="G28" i="6" s="1"/>
  <c r="C220" i="4"/>
  <c r="D232" i="4"/>
  <c r="D240" i="4"/>
  <c r="C92" i="4"/>
  <c r="D104" i="4"/>
  <c r="C381" i="4"/>
  <c r="C395" i="4"/>
  <c r="C427" i="4"/>
  <c r="C459" i="4"/>
  <c r="C491" i="4"/>
  <c r="C523" i="4"/>
  <c r="C555" i="4"/>
  <c r="C579" i="4"/>
  <c r="D591" i="4"/>
  <c r="D579" i="4"/>
  <c r="D605" i="4"/>
  <c r="D593" i="4"/>
  <c r="C593" i="4"/>
  <c r="C611" i="4"/>
  <c r="D623" i="4"/>
  <c r="D676" i="4"/>
  <c r="C664" i="4"/>
  <c r="C689" i="4"/>
  <c r="D701" i="4"/>
  <c r="D689" i="4"/>
  <c r="D723" i="4"/>
  <c r="D59" i="6"/>
  <c r="D59" i="5"/>
  <c r="G59" i="6" s="1"/>
  <c r="D71" i="5"/>
  <c r="G71" i="6" s="1"/>
  <c r="C144" i="5"/>
  <c r="C143" i="5"/>
  <c r="D155" i="5"/>
  <c r="G155" i="6" s="1"/>
  <c r="D215" i="5"/>
  <c r="G215" i="6" s="1"/>
  <c r="C215" i="5"/>
  <c r="C216" i="5"/>
  <c r="D369" i="4"/>
  <c r="C357" i="4"/>
  <c r="C22" i="4"/>
  <c r="C37" i="4"/>
  <c r="D518" i="4"/>
  <c r="C506" i="4"/>
  <c r="C519" i="4"/>
  <c r="C551" i="4"/>
  <c r="D592" i="4"/>
  <c r="C580" i="4"/>
  <c r="D611" i="4"/>
  <c r="D643" i="4"/>
  <c r="C631" i="4"/>
  <c r="D661" i="4"/>
  <c r="C649" i="4"/>
  <c r="D669" i="4"/>
  <c r="D702" i="4"/>
  <c r="D690" i="4"/>
  <c r="D742" i="4"/>
  <c r="C731" i="4"/>
  <c r="C730" i="4"/>
  <c r="D13" i="6"/>
  <c r="D25" i="5"/>
  <c r="G25" i="6" s="1"/>
  <c r="C13" i="5"/>
  <c r="C59" i="5"/>
  <c r="C109" i="5"/>
  <c r="D109" i="6"/>
  <c r="D121" i="5"/>
  <c r="G121" i="6" s="1"/>
  <c r="C110" i="5"/>
  <c r="D178" i="5"/>
  <c r="G178" i="6" s="1"/>
  <c r="C166" i="5"/>
  <c r="C167" i="5"/>
  <c r="D222" i="5"/>
  <c r="G222" i="6" s="1"/>
  <c r="C210" i="5"/>
  <c r="C245" i="5"/>
  <c r="D257" i="5"/>
  <c r="G257" i="6" s="1"/>
  <c r="C336" i="5"/>
  <c r="D347" i="5"/>
  <c r="G347" i="6" s="1"/>
  <c r="C335" i="5"/>
  <c r="D335" i="5"/>
  <c r="G335" i="6" s="1"/>
  <c r="D377" i="4"/>
  <c r="D365" i="4"/>
  <c r="C365" i="4"/>
  <c r="C398" i="4"/>
  <c r="D410" i="4"/>
  <c r="C430" i="4"/>
  <c r="D442" i="4"/>
  <c r="C462" i="4"/>
  <c r="D474" i="4"/>
  <c r="D502" i="4"/>
  <c r="C490" i="4"/>
  <c r="C526" i="4"/>
  <c r="D538" i="4"/>
  <c r="D612" i="4"/>
  <c r="C600" i="4"/>
  <c r="C119" i="4"/>
  <c r="D130" i="4"/>
  <c r="D304" i="4"/>
  <c r="C304" i="4"/>
  <c r="D103" i="4"/>
  <c r="C118" i="4"/>
  <c r="C151" i="4"/>
  <c r="D162" i="4"/>
  <c r="C194" i="4"/>
  <c r="D218" i="4"/>
  <c r="C206" i="4"/>
  <c r="D270" i="4"/>
  <c r="C258" i="4"/>
  <c r="D289" i="4"/>
  <c r="C277" i="4"/>
  <c r="D376" i="4"/>
  <c r="C19" i="4"/>
  <c r="C33" i="4"/>
  <c r="D40" i="4"/>
  <c r="C66" i="4"/>
  <c r="D88" i="4"/>
  <c r="D116" i="4"/>
  <c r="C104" i="4"/>
  <c r="C115" i="4"/>
  <c r="C183" i="4"/>
  <c r="D194" i="4"/>
  <c r="C195" i="4"/>
  <c r="C217" i="4"/>
  <c r="C226" i="4"/>
  <c r="D277" i="4"/>
  <c r="C291" i="4"/>
  <c r="C310" i="4"/>
  <c r="D337" i="4"/>
  <c r="C325" i="4"/>
  <c r="D356" i="4"/>
  <c r="C344" i="4"/>
  <c r="C377" i="4"/>
  <c r="D389" i="4"/>
  <c r="D454" i="4"/>
  <c r="C442" i="4"/>
  <c r="C455" i="4"/>
  <c r="D486" i="4"/>
  <c r="C474" i="4"/>
  <c r="C487" i="4"/>
  <c r="D28" i="4"/>
  <c r="D19" i="4"/>
  <c r="C23" i="4"/>
  <c r="C34" i="4"/>
  <c r="C67" i="4"/>
  <c r="C112" i="4"/>
  <c r="D115" i="4"/>
  <c r="C124" i="4"/>
  <c r="D136" i="4"/>
  <c r="D148" i="4"/>
  <c r="C136" i="4"/>
  <c r="C147" i="4"/>
  <c r="D150" i="4"/>
  <c r="D155" i="4"/>
  <c r="D167" i="4"/>
  <c r="C182" i="4"/>
  <c r="C191" i="4"/>
  <c r="D215" i="4"/>
  <c r="D203" i="4"/>
  <c r="C203" i="4"/>
  <c r="C207" i="4"/>
  <c r="C215" i="4"/>
  <c r="D226" i="4"/>
  <c r="C218" i="4"/>
  <c r="C227" i="4"/>
  <c r="D234" i="4"/>
  <c r="D262" i="4"/>
  <c r="C250" i="4"/>
  <c r="D276" i="4"/>
  <c r="C264" i="4"/>
  <c r="D268" i="4"/>
  <c r="C297" i="4"/>
  <c r="D306" i="4"/>
  <c r="D320" i="4"/>
  <c r="C320" i="4"/>
  <c r="D325" i="4"/>
  <c r="C339" i="4"/>
  <c r="D344" i="4"/>
  <c r="D361" i="4"/>
  <c r="D349" i="4"/>
  <c r="C349" i="4"/>
  <c r="D366" i="4"/>
  <c r="C354" i="4"/>
  <c r="C358" i="4"/>
  <c r="D385" i="4"/>
  <c r="C373" i="4"/>
  <c r="D390" i="4"/>
  <c r="D378" i="4"/>
  <c r="C378" i="4"/>
  <c r="C594" i="4"/>
  <c r="D649" i="4"/>
  <c r="C680" i="4"/>
  <c r="D692" i="4"/>
  <c r="C690" i="4"/>
  <c r="D35" i="6"/>
  <c r="D47" i="5"/>
  <c r="G47" i="6" s="1"/>
  <c r="C35" i="5"/>
  <c r="C53" i="5"/>
  <c r="D53" i="6"/>
  <c r="C77" i="5"/>
  <c r="D77" i="6"/>
  <c r="C78" i="5"/>
  <c r="D89" i="5"/>
  <c r="G89" i="6" s="1"/>
  <c r="D77" i="5"/>
  <c r="G77" i="6" s="1"/>
  <c r="C305" i="5"/>
  <c r="D317" i="5"/>
  <c r="G317" i="6" s="1"/>
  <c r="D305" i="5"/>
  <c r="G305" i="6" s="1"/>
  <c r="D84" i="4"/>
  <c r="C72" i="4"/>
  <c r="D273" i="4"/>
  <c r="C261" i="4"/>
  <c r="D292" i="4"/>
  <c r="C280" i="4"/>
  <c r="D382" i="4"/>
  <c r="C370" i="4"/>
  <c r="C494" i="4"/>
  <c r="D506" i="4"/>
  <c r="C558" i="4"/>
  <c r="D570" i="4"/>
  <c r="C14" i="4"/>
  <c r="C29" i="4"/>
  <c r="D32" i="4"/>
  <c r="D66" i="4"/>
  <c r="C55" i="4"/>
  <c r="D80" i="4"/>
  <c r="C122" i="4"/>
  <c r="C131" i="4"/>
  <c r="D350" i="4"/>
  <c r="C338" i="4"/>
  <c r="C366" i="4"/>
  <c r="C40" i="4"/>
  <c r="C47" i="4"/>
  <c r="C54" i="4"/>
  <c r="C62" i="4"/>
  <c r="C88" i="4"/>
  <c r="C127" i="4"/>
  <c r="D151" i="4"/>
  <c r="D139" i="4"/>
  <c r="C139" i="4"/>
  <c r="D265" i="4"/>
  <c r="C253" i="4"/>
  <c r="D352" i="4"/>
  <c r="C352" i="4"/>
  <c r="C6" i="4"/>
  <c r="D54" i="4"/>
  <c r="D118" i="4"/>
  <c r="D135" i="4"/>
  <c r="C150" i="4"/>
  <c r="C175" i="4"/>
  <c r="C186" i="4"/>
  <c r="D202" i="4"/>
  <c r="D222" i="4"/>
  <c r="D250" i="4"/>
  <c r="C238" i="4"/>
  <c r="D258" i="4"/>
  <c r="D318" i="4"/>
  <c r="C306" i="4"/>
  <c r="D342" i="4"/>
  <c r="D330" i="4"/>
  <c r="C330" i="4"/>
  <c r="C391" i="4"/>
  <c r="C423" i="4"/>
  <c r="D550" i="4"/>
  <c r="C538" i="4"/>
  <c r="C59" i="4"/>
  <c r="C20" i="4"/>
  <c r="C27" i="4"/>
  <c r="C41" i="4"/>
  <c r="D48" i="4"/>
  <c r="D98" i="4"/>
  <c r="C87" i="4"/>
  <c r="C89" i="4"/>
  <c r="C97" i="4"/>
  <c r="C105" i="4"/>
  <c r="C156" i="4"/>
  <c r="D168" i="4"/>
  <c r="D182" i="4"/>
  <c r="D199" i="4"/>
  <c r="D264" i="4"/>
  <c r="D281" i="4"/>
  <c r="D269" i="4"/>
  <c r="C269" i="4"/>
  <c r="C278" i="4"/>
  <c r="D287" i="4"/>
  <c r="D310" i="4"/>
  <c r="D298" i="4"/>
  <c r="C298" i="4"/>
  <c r="D324" i="4"/>
  <c r="C312" i="4"/>
  <c r="D316" i="4"/>
  <c r="D373" i="4"/>
  <c r="D424" i="4"/>
  <c r="C424" i="4"/>
  <c r="C475" i="4"/>
  <c r="C539" i="4"/>
  <c r="C571" i="4"/>
  <c r="C581" i="4"/>
  <c r="C603" i="4"/>
  <c r="D615" i="4"/>
  <c r="D653" i="4"/>
  <c r="C641" i="4"/>
  <c r="C666" i="4"/>
  <c r="D678" i="4"/>
  <c r="D666" i="4"/>
  <c r="D688" i="4"/>
  <c r="C676" i="4"/>
  <c r="C31" i="5"/>
  <c r="C32" i="5"/>
  <c r="D31" i="5"/>
  <c r="G31" i="6" s="1"/>
  <c r="C45" i="5"/>
  <c r="D45" i="6"/>
  <c r="D57" i="5"/>
  <c r="G57" i="6" s="1"/>
  <c r="D45" i="5"/>
  <c r="G45" i="6" s="1"/>
  <c r="C46" i="5"/>
  <c r="C205" i="5"/>
  <c r="D217" i="5"/>
  <c r="G217" i="6" s="1"/>
  <c r="C206" i="5"/>
  <c r="D122" i="4"/>
  <c r="C110" i="4"/>
  <c r="D278" i="4"/>
  <c r="D266" i="4"/>
  <c r="C266" i="4"/>
  <c r="D336" i="4"/>
  <c r="C336" i="4"/>
  <c r="D470" i="4"/>
  <c r="C458" i="4"/>
  <c r="D534" i="4"/>
  <c r="C522" i="4"/>
  <c r="C619" i="4"/>
  <c r="D631" i="4"/>
  <c r="D119" i="4"/>
  <c r="D107" i="4"/>
  <c r="C107" i="4"/>
  <c r="D138" i="4"/>
  <c r="D197" i="4"/>
  <c r="C198" i="4"/>
  <c r="C233" i="4"/>
  <c r="D260" i="4"/>
  <c r="C248" i="4"/>
  <c r="C281" i="4"/>
  <c r="D345" i="4"/>
  <c r="D333" i="4"/>
  <c r="C333" i="4"/>
  <c r="D371" i="4"/>
  <c r="D383" i="4"/>
  <c r="D190" i="4"/>
  <c r="D248" i="4"/>
  <c r="C262" i="4"/>
  <c r="D294" i="4"/>
  <c r="D282" i="4"/>
  <c r="C282" i="4"/>
  <c r="D308" i="4"/>
  <c r="C296" i="4"/>
  <c r="C371" i="4"/>
  <c r="D22" i="4"/>
  <c r="C51" i="4"/>
  <c r="D62" i="4"/>
  <c r="D90" i="4"/>
  <c r="C78" i="4"/>
  <c r="D123" i="4"/>
  <c r="D183" i="4"/>
  <c r="D171" i="4"/>
  <c r="C171" i="4"/>
  <c r="C249" i="4"/>
  <c r="D272" i="4"/>
  <c r="C272" i="4"/>
  <c r="D313" i="4"/>
  <c r="D301" i="4"/>
  <c r="C301" i="4"/>
  <c r="D348" i="4"/>
  <c r="C363" i="4"/>
  <c r="D422" i="4"/>
  <c r="C410" i="4"/>
  <c r="C30" i="4"/>
  <c r="D51" i="4"/>
  <c r="D74" i="4"/>
  <c r="C16" i="4"/>
  <c r="D36" i="4"/>
  <c r="C45" i="4"/>
  <c r="C52" i="4"/>
  <c r="D59" i="4"/>
  <c r="D87" i="4"/>
  <c r="D75" i="4"/>
  <c r="C75" i="4"/>
  <c r="C101" i="4"/>
  <c r="D112" i="4"/>
  <c r="C144" i="4"/>
  <c r="D147" i="4"/>
  <c r="C168" i="4"/>
  <c r="D180" i="4"/>
  <c r="C179" i="4"/>
  <c r="D187" i="4"/>
  <c r="C214" i="4"/>
  <c r="C223" i="4"/>
  <c r="D247" i="4"/>
  <c r="D235" i="4"/>
  <c r="C235" i="4"/>
  <c r="C239" i="4"/>
  <c r="C259" i="4"/>
  <c r="D286" i="4"/>
  <c r="C274" i="4"/>
  <c r="D305" i="4"/>
  <c r="C293" i="4"/>
  <c r="C331" i="4"/>
  <c r="C345" i="4"/>
  <c r="D354" i="4"/>
  <c r="D368" i="4"/>
  <c r="C368" i="4"/>
  <c r="D392" i="4"/>
  <c r="C392" i="4"/>
  <c r="C411" i="4"/>
  <c r="C443" i="4"/>
  <c r="D456" i="4"/>
  <c r="C456" i="4"/>
  <c r="D488" i="4"/>
  <c r="C488" i="4"/>
  <c r="C507" i="4"/>
  <c r="D520" i="4"/>
  <c r="C520" i="4"/>
  <c r="D552" i="4"/>
  <c r="C552" i="4"/>
  <c r="D597" i="4"/>
  <c r="C585" i="4"/>
  <c r="D20" i="4"/>
  <c r="C24" i="4"/>
  <c r="D27" i="4"/>
  <c r="C31" i="4"/>
  <c r="C42" i="4"/>
  <c r="D45" i="4"/>
  <c r="D61" i="4"/>
  <c r="D49" i="4"/>
  <c r="C60" i="4"/>
  <c r="D72" i="4"/>
  <c r="C86" i="4"/>
  <c r="C90" i="4"/>
  <c r="D110" i="4"/>
  <c r="C102" i="4"/>
  <c r="D120" i="4"/>
  <c r="C133" i="4"/>
  <c r="C137" i="4"/>
  <c r="D144" i="4"/>
  <c r="D179" i="4"/>
  <c r="C188" i="4"/>
  <c r="D200" i="4"/>
  <c r="D196" i="4"/>
  <c r="D212" i="4"/>
  <c r="C200" i="4"/>
  <c r="C211" i="4"/>
  <c r="D214" i="4"/>
  <c r="D219" i="4"/>
  <c r="D231" i="4"/>
  <c r="C246" i="4"/>
  <c r="C251" i="4"/>
  <c r="C265" i="4"/>
  <c r="D274" i="4"/>
  <c r="D288" i="4"/>
  <c r="C288" i="4"/>
  <c r="D293" i="4"/>
  <c r="C307" i="4"/>
  <c r="D312" i="4"/>
  <c r="D329" i="4"/>
  <c r="D317" i="4"/>
  <c r="C317" i="4"/>
  <c r="D334" i="4"/>
  <c r="C322" i="4"/>
  <c r="C326" i="4"/>
  <c r="D335" i="4"/>
  <c r="D353" i="4"/>
  <c r="C341" i="4"/>
  <c r="D358" i="4"/>
  <c r="D346" i="4"/>
  <c r="C346" i="4"/>
  <c r="C350" i="4"/>
  <c r="D372" i="4"/>
  <c r="C360" i="4"/>
  <c r="D364" i="4"/>
  <c r="C379" i="4"/>
  <c r="C402" i="4"/>
  <c r="C406" i="4"/>
  <c r="C407" i="4"/>
  <c r="C434" i="4"/>
  <c r="C438" i="4"/>
  <c r="C439" i="4"/>
  <c r="C466" i="4"/>
  <c r="C470" i="4"/>
  <c r="C471" i="4"/>
  <c r="C498" i="4"/>
  <c r="C502" i="4"/>
  <c r="C503" i="4"/>
  <c r="C530" i="4"/>
  <c r="C534" i="4"/>
  <c r="C535" i="4"/>
  <c r="C562" i="4"/>
  <c r="C566" i="4"/>
  <c r="D578" i="4"/>
  <c r="C567" i="4"/>
  <c r="D599" i="4"/>
  <c r="C681" i="4"/>
  <c r="D733" i="4"/>
  <c r="D721" i="4"/>
  <c r="C721" i="4"/>
  <c r="C36" i="5"/>
  <c r="D65" i="5"/>
  <c r="G65" i="6" s="1"/>
  <c r="C279" i="5"/>
  <c r="C280" i="5"/>
  <c r="D279" i="5"/>
  <c r="G279" i="6" s="1"/>
  <c r="D121" i="4"/>
  <c r="D153" i="4"/>
  <c r="D185" i="4"/>
  <c r="D217" i="4"/>
  <c r="D249" i="4"/>
  <c r="D577" i="4"/>
  <c r="D603" i="4"/>
  <c r="D638" i="4"/>
  <c r="D626" i="4"/>
  <c r="C662" i="4"/>
  <c r="D673" i="4"/>
  <c r="C665" i="4"/>
  <c r="C725" i="4"/>
  <c r="D736" i="4"/>
  <c r="D724" i="4"/>
  <c r="D741" i="4"/>
  <c r="C729" i="4"/>
  <c r="D746" i="4"/>
  <c r="C746" i="4"/>
  <c r="D22" i="6"/>
  <c r="D34" i="5"/>
  <c r="G34" i="6" s="1"/>
  <c r="C22" i="5"/>
  <c r="D27" i="6"/>
  <c r="D39" i="5"/>
  <c r="G39" i="6" s="1"/>
  <c r="C27" i="5"/>
  <c r="D58" i="6"/>
  <c r="C58" i="5"/>
  <c r="D81" i="6"/>
  <c r="D81" i="5"/>
  <c r="G81" i="6" s="1"/>
  <c r="C81" i="5"/>
  <c r="D86" i="6"/>
  <c r="D98" i="5"/>
  <c r="G98" i="6" s="1"/>
  <c r="C86" i="5"/>
  <c r="D103" i="5"/>
  <c r="G103" i="6" s="1"/>
  <c r="D91" i="6"/>
  <c r="D91" i="5"/>
  <c r="G91" i="6" s="1"/>
  <c r="C91" i="5"/>
  <c r="D112" i="5"/>
  <c r="G112" i="6" s="1"/>
  <c r="D100" i="5"/>
  <c r="G100" i="6" s="1"/>
  <c r="D105" i="6"/>
  <c r="C105" i="5"/>
  <c r="D154" i="6"/>
  <c r="D166" i="5"/>
  <c r="G166" i="6" s="1"/>
  <c r="C154" i="5"/>
  <c r="D175" i="6"/>
  <c r="C176" i="5"/>
  <c r="D187" i="5"/>
  <c r="G187" i="6" s="1"/>
  <c r="C179" i="5"/>
  <c r="D191" i="5"/>
  <c r="G191" i="6" s="1"/>
  <c r="D193" i="6"/>
  <c r="D205" i="5"/>
  <c r="G205" i="6" s="1"/>
  <c r="C194" i="5"/>
  <c r="D240" i="5"/>
  <c r="G240" i="6" s="1"/>
  <c r="D228" i="5"/>
  <c r="G228" i="6" s="1"/>
  <c r="C228" i="5"/>
  <c r="D253" i="5"/>
  <c r="G253" i="6" s="1"/>
  <c r="D304" i="5"/>
  <c r="G304" i="6" s="1"/>
  <c r="D292" i="5"/>
  <c r="G292" i="6" s="1"/>
  <c r="C292" i="5"/>
  <c r="D336" i="5"/>
  <c r="G336" i="6" s="1"/>
  <c r="D324" i="5"/>
  <c r="G324" i="6" s="1"/>
  <c r="C324" i="5"/>
  <c r="D371" i="5"/>
  <c r="G371" i="6" s="1"/>
  <c r="C359" i="5"/>
  <c r="C360" i="5"/>
  <c r="D369" i="6"/>
  <c r="C369" i="5"/>
  <c r="D416" i="5"/>
  <c r="G416" i="6" s="1"/>
  <c r="D404" i="5"/>
  <c r="G404" i="6" s="1"/>
  <c r="C404" i="5"/>
  <c r="D445" i="5"/>
  <c r="G445" i="6" s="1"/>
  <c r="C433" i="5"/>
  <c r="D433" i="5"/>
  <c r="G433" i="6" s="1"/>
  <c r="D452" i="5"/>
  <c r="G452" i="6" s="1"/>
  <c r="D464" i="5"/>
  <c r="G464" i="6" s="1"/>
  <c r="C452" i="5"/>
  <c r="C537" i="5"/>
  <c r="D549" i="5"/>
  <c r="G549" i="6" s="1"/>
  <c r="C538" i="5"/>
  <c r="D573" i="5"/>
  <c r="G573" i="6" s="1"/>
  <c r="C561" i="5"/>
  <c r="C562" i="5"/>
  <c r="D86" i="5"/>
  <c r="G86" i="6" s="1"/>
  <c r="C75" i="5"/>
  <c r="C88" i="5"/>
  <c r="D87" i="6"/>
  <c r="D155" i="6"/>
  <c r="D167" i="5"/>
  <c r="G167" i="6" s="1"/>
  <c r="D180" i="5"/>
  <c r="G180" i="6" s="1"/>
  <c r="C180" i="5"/>
  <c r="D233" i="6"/>
  <c r="C233" i="5"/>
  <c r="C237" i="5"/>
  <c r="D249" i="5"/>
  <c r="G249" i="6" s="1"/>
  <c r="D263" i="5"/>
  <c r="G263" i="6" s="1"/>
  <c r="C251" i="5"/>
  <c r="D259" i="5"/>
  <c r="G259" i="6" s="1"/>
  <c r="D318" i="5"/>
  <c r="G318" i="6" s="1"/>
  <c r="D323" i="5"/>
  <c r="G323" i="6" s="1"/>
  <c r="D311" i="5"/>
  <c r="G311" i="6" s="1"/>
  <c r="C311" i="5"/>
  <c r="D329" i="6"/>
  <c r="D341" i="5"/>
  <c r="G341" i="6" s="1"/>
  <c r="C400" i="5"/>
  <c r="D411" i="5"/>
  <c r="G411" i="6" s="1"/>
  <c r="C399" i="5"/>
  <c r="C63" i="5"/>
  <c r="C64" i="5"/>
  <c r="D75" i="5"/>
  <c r="G75" i="6" s="1"/>
  <c r="D63" i="5"/>
  <c r="G63" i="6" s="1"/>
  <c r="C74" i="5"/>
  <c r="C87" i="5"/>
  <c r="D118" i="5"/>
  <c r="G118" i="6" s="1"/>
  <c r="C106" i="5"/>
  <c r="C107" i="5"/>
  <c r="D145" i="5"/>
  <c r="G145" i="6" s="1"/>
  <c r="C145" i="5"/>
  <c r="C155" i="5"/>
  <c r="D184" i="5"/>
  <c r="G184" i="6" s="1"/>
  <c r="D172" i="5"/>
  <c r="G172" i="6" s="1"/>
  <c r="D190" i="6"/>
  <c r="D202" i="5"/>
  <c r="G202" i="6" s="1"/>
  <c r="D198" i="5"/>
  <c r="G198" i="6" s="1"/>
  <c r="C221" i="5"/>
  <c r="D233" i="5"/>
  <c r="G233" i="6" s="1"/>
  <c r="D288" i="5"/>
  <c r="G288" i="6" s="1"/>
  <c r="C306" i="5"/>
  <c r="C329" i="5"/>
  <c r="C344" i="5"/>
  <c r="C343" i="5"/>
  <c r="D397" i="5"/>
  <c r="G397" i="6" s="1"/>
  <c r="C385" i="5"/>
  <c r="C386" i="5"/>
  <c r="D508" i="6"/>
  <c r="D508" i="5"/>
  <c r="G508" i="6" s="1"/>
  <c r="C508" i="5"/>
  <c r="D520" i="5"/>
  <c r="G520" i="6" s="1"/>
  <c r="C533" i="5"/>
  <c r="D545" i="5"/>
  <c r="G545" i="6" s="1"/>
  <c r="D533" i="5"/>
  <c r="G533" i="6" s="1"/>
  <c r="C627" i="5"/>
  <c r="D639" i="5"/>
  <c r="G639" i="6" s="1"/>
  <c r="D627" i="5"/>
  <c r="G627" i="6" s="1"/>
  <c r="D87" i="5"/>
  <c r="G87" i="6" s="1"/>
  <c r="D97" i="6"/>
  <c r="D109" i="5"/>
  <c r="G109" i="6" s="1"/>
  <c r="C98" i="5"/>
  <c r="D97" i="5"/>
  <c r="G97" i="6" s="1"/>
  <c r="D102" i="6"/>
  <c r="D114" i="5"/>
  <c r="G114" i="6" s="1"/>
  <c r="C102" i="5"/>
  <c r="D128" i="5"/>
  <c r="G128" i="6" s="1"/>
  <c r="C116" i="5"/>
  <c r="D151" i="6"/>
  <c r="D163" i="5"/>
  <c r="G163" i="6" s="1"/>
  <c r="C151" i="5"/>
  <c r="C190" i="5"/>
  <c r="D207" i="6"/>
  <c r="C208" i="5"/>
  <c r="D207" i="5"/>
  <c r="G207" i="6" s="1"/>
  <c r="C207" i="5"/>
  <c r="D221" i="5"/>
  <c r="G221" i="6" s="1"/>
  <c r="D242" i="5"/>
  <c r="G242" i="6" s="1"/>
  <c r="C230" i="5"/>
  <c r="D246" i="5"/>
  <c r="G246" i="6" s="1"/>
  <c r="C234" i="5"/>
  <c r="C235" i="5"/>
  <c r="C272" i="5"/>
  <c r="D283" i="5"/>
  <c r="G283" i="6" s="1"/>
  <c r="C271" i="5"/>
  <c r="C276" i="5"/>
  <c r="C312" i="5"/>
  <c r="D338" i="5"/>
  <c r="G338" i="6" s="1"/>
  <c r="D329" i="5"/>
  <c r="G329" i="6" s="1"/>
  <c r="D343" i="5"/>
  <c r="G343" i="6" s="1"/>
  <c r="D407" i="6"/>
  <c r="C408" i="5"/>
  <c r="D419" i="5"/>
  <c r="G419" i="6" s="1"/>
  <c r="C407" i="5"/>
  <c r="C447" i="5"/>
  <c r="C448" i="5"/>
  <c r="D459" i="5"/>
  <c r="G459" i="6" s="1"/>
  <c r="D447" i="5"/>
  <c r="G447" i="6" s="1"/>
  <c r="D624" i="4"/>
  <c r="C612" i="4"/>
  <c r="C55" i="5"/>
  <c r="D149" i="5"/>
  <c r="G149" i="6" s="1"/>
  <c r="C84" i="4"/>
  <c r="C116" i="4"/>
  <c r="C180" i="4"/>
  <c r="C212" i="4"/>
  <c r="C244" i="4"/>
  <c r="C385" i="4"/>
  <c r="C396" i="4"/>
  <c r="D399" i="4"/>
  <c r="C417" i="4"/>
  <c r="C428" i="4"/>
  <c r="D431" i="4"/>
  <c r="C449" i="4"/>
  <c r="C460" i="4"/>
  <c r="D463" i="4"/>
  <c r="C481" i="4"/>
  <c r="C492" i="4"/>
  <c r="D495" i="4"/>
  <c r="C513" i="4"/>
  <c r="C524" i="4"/>
  <c r="D527" i="4"/>
  <c r="C545" i="4"/>
  <c r="C556" i="4"/>
  <c r="D559" i="4"/>
  <c r="C589" i="4"/>
  <c r="C598" i="4"/>
  <c r="D609" i="4"/>
  <c r="C601" i="4"/>
  <c r="C608" i="4"/>
  <c r="C616" i="4"/>
  <c r="C620" i="4"/>
  <c r="C624" i="4"/>
  <c r="C628" i="4"/>
  <c r="D651" i="4"/>
  <c r="C683" i="4"/>
  <c r="D683" i="4"/>
  <c r="D699" i="4"/>
  <c r="D695" i="4"/>
  <c r="D726" i="4"/>
  <c r="D738" i="4"/>
  <c r="C753" i="4"/>
  <c r="D26" i="5"/>
  <c r="G26" i="6" s="1"/>
  <c r="D14" i="6"/>
  <c r="C14" i="5"/>
  <c r="D54" i="5"/>
  <c r="G54" i="6" s="1"/>
  <c r="D42" i="6"/>
  <c r="C42" i="5"/>
  <c r="D55" i="5"/>
  <c r="G55" i="6" s="1"/>
  <c r="D93" i="5"/>
  <c r="G93" i="6" s="1"/>
  <c r="C97" i="5"/>
  <c r="D102" i="5"/>
  <c r="G102" i="6" s="1"/>
  <c r="D116" i="5"/>
  <c r="G116" i="6" s="1"/>
  <c r="D134" i="6"/>
  <c r="D146" i="5"/>
  <c r="G146" i="6" s="1"/>
  <c r="C137" i="5"/>
  <c r="C141" i="5"/>
  <c r="D141" i="6"/>
  <c r="D153" i="5"/>
  <c r="G153" i="6" s="1"/>
  <c r="C142" i="5"/>
  <c r="C146" i="5"/>
  <c r="D151" i="5"/>
  <c r="G151" i="6" s="1"/>
  <c r="D176" i="5"/>
  <c r="G176" i="6" s="1"/>
  <c r="D164" i="5"/>
  <c r="G164" i="6" s="1"/>
  <c r="C164" i="5"/>
  <c r="C186" i="5"/>
  <c r="D230" i="5"/>
  <c r="G230" i="6" s="1"/>
  <c r="D271" i="5"/>
  <c r="G271" i="6" s="1"/>
  <c r="D276" i="5"/>
  <c r="G276" i="6" s="1"/>
  <c r="D333" i="5"/>
  <c r="G333" i="6" s="1"/>
  <c r="C321" i="5"/>
  <c r="C326" i="5"/>
  <c r="D407" i="5"/>
  <c r="G407" i="6" s="1"/>
  <c r="D579" i="6"/>
  <c r="C579" i="5"/>
  <c r="D579" i="5"/>
  <c r="G579" i="6" s="1"/>
  <c r="D591" i="5"/>
  <c r="G591" i="6" s="1"/>
  <c r="D680" i="5"/>
  <c r="G680" i="6" s="1"/>
  <c r="D668" i="5"/>
  <c r="G668" i="6" s="1"/>
  <c r="C668" i="5"/>
  <c r="C148" i="4"/>
  <c r="C61" i="4"/>
  <c r="C93" i="4"/>
  <c r="C145" i="4"/>
  <c r="C157" i="4"/>
  <c r="C177" i="4"/>
  <c r="C189" i="4"/>
  <c r="C209" i="4"/>
  <c r="C221" i="4"/>
  <c r="C241" i="4"/>
  <c r="D256" i="4"/>
  <c r="C260" i="4"/>
  <c r="C276" i="4"/>
  <c r="C292" i="4"/>
  <c r="C308" i="4"/>
  <c r="C324" i="4"/>
  <c r="C340" i="4"/>
  <c r="C356" i="4"/>
  <c r="C372" i="4"/>
  <c r="C382" i="4"/>
  <c r="D398" i="4"/>
  <c r="C389" i="4"/>
  <c r="C403" i="4"/>
  <c r="C414" i="4"/>
  <c r="D430" i="4"/>
  <c r="C421" i="4"/>
  <c r="C435" i="4"/>
  <c r="C446" i="4"/>
  <c r="D462" i="4"/>
  <c r="C453" i="4"/>
  <c r="C467" i="4"/>
  <c r="C478" i="4"/>
  <c r="D494" i="4"/>
  <c r="C485" i="4"/>
  <c r="C499" i="4"/>
  <c r="C510" i="4"/>
  <c r="D526" i="4"/>
  <c r="C517" i="4"/>
  <c r="C531" i="4"/>
  <c r="C542" i="4"/>
  <c r="D558" i="4"/>
  <c r="C549" i="4"/>
  <c r="C563" i="4"/>
  <c r="C597" i="4"/>
  <c r="C605" i="4"/>
  <c r="D621" i="4"/>
  <c r="C609" i="4"/>
  <c r="C613" i="4"/>
  <c r="D644" i="4"/>
  <c r="C632" i="4"/>
  <c r="D656" i="4"/>
  <c r="C644" i="4"/>
  <c r="D664" i="4"/>
  <c r="C655" i="4"/>
  <c r="D672" i="4"/>
  <c r="C663" i="4"/>
  <c r="C667" i="4"/>
  <c r="D679" i="4"/>
  <c r="C675" i="4"/>
  <c r="D687" i="4"/>
  <c r="C687" i="4"/>
  <c r="D708" i="4"/>
  <c r="C696" i="4"/>
  <c r="C704" i="4"/>
  <c r="C705" i="4"/>
  <c r="D716" i="4"/>
  <c r="D725" i="4"/>
  <c r="C713" i="4"/>
  <c r="D718" i="4"/>
  <c r="D730" i="4"/>
  <c r="C718" i="4"/>
  <c r="D739" i="4"/>
  <c r="D727" i="4"/>
  <c r="C744" i="4"/>
  <c r="D756" i="4"/>
  <c r="C749" i="4"/>
  <c r="C9" i="5"/>
  <c r="D38" i="6"/>
  <c r="D50" i="5"/>
  <c r="G50" i="6" s="1"/>
  <c r="C38" i="5"/>
  <c r="D84" i="5"/>
  <c r="G84" i="6" s="1"/>
  <c r="D89" i="6"/>
  <c r="C89" i="5"/>
  <c r="D101" i="5"/>
  <c r="G101" i="6" s="1"/>
  <c r="D94" i="6"/>
  <c r="D106" i="5"/>
  <c r="G106" i="6" s="1"/>
  <c r="D94" i="5"/>
  <c r="G94" i="6" s="1"/>
  <c r="D103" i="6"/>
  <c r="D115" i="5"/>
  <c r="G115" i="6" s="1"/>
  <c r="C104" i="5"/>
  <c r="C117" i="5"/>
  <c r="D129" i="5"/>
  <c r="G129" i="6" s="1"/>
  <c r="C134" i="5"/>
  <c r="D137" i="5"/>
  <c r="G137" i="6" s="1"/>
  <c r="D169" i="6"/>
  <c r="D169" i="5"/>
  <c r="G169" i="6" s="1"/>
  <c r="C169" i="5"/>
  <c r="C184" i="5"/>
  <c r="D195" i="5"/>
  <c r="G195" i="6" s="1"/>
  <c r="D199" i="5"/>
  <c r="G199" i="6" s="1"/>
  <c r="C187" i="5"/>
  <c r="D196" i="6"/>
  <c r="D208" i="5"/>
  <c r="G208" i="6" s="1"/>
  <c r="D196" i="5"/>
  <c r="G196" i="6" s="1"/>
  <c r="D209" i="6"/>
  <c r="C209" i="5"/>
  <c r="D218" i="6"/>
  <c r="C218" i="5"/>
  <c r="D231" i="6"/>
  <c r="D243" i="5"/>
  <c r="G243" i="6" s="1"/>
  <c r="C232" i="5"/>
  <c r="D256" i="5"/>
  <c r="G256" i="6" s="1"/>
  <c r="C244" i="5"/>
  <c r="D277" i="5"/>
  <c r="G277" i="6" s="1"/>
  <c r="C304" i="5"/>
  <c r="D315" i="5"/>
  <c r="G315" i="6" s="1"/>
  <c r="C303" i="5"/>
  <c r="D330" i="5"/>
  <c r="G330" i="6" s="1"/>
  <c r="D400" i="5"/>
  <c r="G400" i="6" s="1"/>
  <c r="D388" i="5"/>
  <c r="G388" i="6" s="1"/>
  <c r="C388" i="5"/>
  <c r="D405" i="5"/>
  <c r="G405" i="6" s="1"/>
  <c r="D393" i="5"/>
  <c r="G393" i="6" s="1"/>
  <c r="C393" i="5"/>
  <c r="D438" i="6"/>
  <c r="D450" i="5"/>
  <c r="G450" i="6" s="1"/>
  <c r="C438" i="5"/>
  <c r="D566" i="6"/>
  <c r="D578" i="5"/>
  <c r="G578" i="6" s="1"/>
  <c r="D566" i="5"/>
  <c r="G566" i="6" s="1"/>
  <c r="C566" i="5"/>
  <c r="C635" i="4"/>
  <c r="D647" i="4"/>
  <c r="C643" i="4"/>
  <c r="D655" i="4"/>
  <c r="C699" i="4"/>
  <c r="D711" i="4"/>
  <c r="C81" i="4"/>
  <c r="C113" i="4"/>
  <c r="C125" i="4"/>
  <c r="D57" i="4"/>
  <c r="D65" i="4"/>
  <c r="C76" i="4"/>
  <c r="D97" i="4"/>
  <c r="C108" i="4"/>
  <c r="D129" i="4"/>
  <c r="C140" i="4"/>
  <c r="D161" i="4"/>
  <c r="C172" i="4"/>
  <c r="D193" i="4"/>
  <c r="C204" i="4"/>
  <c r="D225" i="4"/>
  <c r="C236" i="4"/>
  <c r="C257" i="4"/>
  <c r="C273" i="4"/>
  <c r="C289" i="4"/>
  <c r="C305" i="4"/>
  <c r="C321" i="4"/>
  <c r="C337" i="4"/>
  <c r="C353" i="4"/>
  <c r="C369" i="4"/>
  <c r="C386" i="4"/>
  <c r="C393" i="4"/>
  <c r="C404" i="4"/>
  <c r="C418" i="4"/>
  <c r="D421" i="4"/>
  <c r="C425" i="4"/>
  <c r="C436" i="4"/>
  <c r="C450" i="4"/>
  <c r="D453" i="4"/>
  <c r="C457" i="4"/>
  <c r="C468" i="4"/>
  <c r="C482" i="4"/>
  <c r="D485" i="4"/>
  <c r="C489" i="4"/>
  <c r="C500" i="4"/>
  <c r="C514" i="4"/>
  <c r="D517" i="4"/>
  <c r="C521" i="4"/>
  <c r="C532" i="4"/>
  <c r="C546" i="4"/>
  <c r="D549" i="4"/>
  <c r="C553" i="4"/>
  <c r="D583" i="4"/>
  <c r="D571" i="4"/>
  <c r="D606" i="4"/>
  <c r="D594" i="4"/>
  <c r="C617" i="4"/>
  <c r="C621" i="4"/>
  <c r="C630" i="4"/>
  <c r="D641" i="4"/>
  <c r="C633" i="4"/>
  <c r="C652" i="4"/>
  <c r="C656" i="4"/>
  <c r="C660" i="4"/>
  <c r="D663" i="4"/>
  <c r="C684" i="4"/>
  <c r="C688" i="4"/>
  <c r="C694" i="4"/>
  <c r="D705" i="4"/>
  <c r="D704" i="4"/>
  <c r="C727" i="4"/>
  <c r="D744" i="4"/>
  <c r="C750" i="4"/>
  <c r="D758" i="4"/>
  <c r="C21" i="5"/>
  <c r="D21" i="6"/>
  <c r="D33" i="5"/>
  <c r="G33" i="6" s="1"/>
  <c r="D25" i="6"/>
  <c r="C25" i="5"/>
  <c r="C43" i="5"/>
  <c r="C56" i="5"/>
  <c r="D61" i="5"/>
  <c r="G61" i="6" s="1"/>
  <c r="C84" i="5"/>
  <c r="C94" i="5"/>
  <c r="D99" i="6"/>
  <c r="C99" i="5"/>
  <c r="C103" i="5"/>
  <c r="D125" i="5"/>
  <c r="G125" i="6" s="1"/>
  <c r="D117" i="5"/>
  <c r="G117" i="6" s="1"/>
  <c r="D134" i="5"/>
  <c r="G134" i="6" s="1"/>
  <c r="C152" i="5"/>
  <c r="D160" i="5"/>
  <c r="G160" i="6" s="1"/>
  <c r="C183" i="5"/>
  <c r="C196" i="5"/>
  <c r="D209" i="5"/>
  <c r="G209" i="6" s="1"/>
  <c r="D226" i="5"/>
  <c r="G226" i="6" s="1"/>
  <c r="C214" i="5"/>
  <c r="C231" i="5"/>
  <c r="D244" i="5"/>
  <c r="G244" i="6" s="1"/>
  <c r="D274" i="5"/>
  <c r="G274" i="6" s="1"/>
  <c r="C265" i="5"/>
  <c r="D285" i="5"/>
  <c r="G285" i="6" s="1"/>
  <c r="D273" i="5"/>
  <c r="G273" i="6" s="1"/>
  <c r="C273" i="5"/>
  <c r="D295" i="6"/>
  <c r="D307" i="5"/>
  <c r="G307" i="6" s="1"/>
  <c r="C295" i="5"/>
  <c r="D326" i="5"/>
  <c r="G326" i="6" s="1"/>
  <c r="C318" i="5"/>
  <c r="C322" i="5"/>
  <c r="D340" i="6"/>
  <c r="D352" i="5"/>
  <c r="G352" i="6" s="1"/>
  <c r="D340" i="5"/>
  <c r="G340" i="6" s="1"/>
  <c r="D713" i="4"/>
  <c r="D20" i="5"/>
  <c r="G20" i="6" s="1"/>
  <c r="D62" i="6"/>
  <c r="D74" i="5"/>
  <c r="G74" i="6" s="1"/>
  <c r="D68" i="6"/>
  <c r="D80" i="5"/>
  <c r="G80" i="6" s="1"/>
  <c r="D83" i="5"/>
  <c r="G83" i="6" s="1"/>
  <c r="C93" i="5"/>
  <c r="D93" i="6"/>
  <c r="C147" i="5"/>
  <c r="D158" i="6"/>
  <c r="D170" i="5"/>
  <c r="G170" i="6" s="1"/>
  <c r="D161" i="6"/>
  <c r="D173" i="5"/>
  <c r="G173" i="6" s="1"/>
  <c r="D194" i="5"/>
  <c r="G194" i="6" s="1"/>
  <c r="C182" i="5"/>
  <c r="D189" i="6"/>
  <c r="C189" i="5"/>
  <c r="D199" i="6"/>
  <c r="D211" i="5"/>
  <c r="G211" i="6" s="1"/>
  <c r="D202" i="6"/>
  <c r="D214" i="5"/>
  <c r="G214" i="6" s="1"/>
  <c r="C202" i="5"/>
  <c r="C213" i="5"/>
  <c r="D213" i="6"/>
  <c r="D225" i="5"/>
  <c r="G225" i="6" s="1"/>
  <c r="D280" i="5"/>
  <c r="G280" i="6" s="1"/>
  <c r="D295" i="5"/>
  <c r="G295" i="6" s="1"/>
  <c r="C309" i="5"/>
  <c r="D321" i="5"/>
  <c r="G321" i="6" s="1"/>
  <c r="D317" i="6"/>
  <c r="C317" i="5"/>
  <c r="D332" i="6"/>
  <c r="D344" i="5"/>
  <c r="G344" i="6" s="1"/>
  <c r="D359" i="5"/>
  <c r="G359" i="6" s="1"/>
  <c r="C373" i="5"/>
  <c r="D385" i="5"/>
  <c r="G385" i="6" s="1"/>
  <c r="C381" i="5"/>
  <c r="D408" i="5"/>
  <c r="G408" i="6" s="1"/>
  <c r="D423" i="5"/>
  <c r="G423" i="6" s="1"/>
  <c r="D453" i="6"/>
  <c r="C453" i="5"/>
  <c r="D457" i="6"/>
  <c r="C457" i="5"/>
  <c r="D474" i="5"/>
  <c r="G474" i="6" s="1"/>
  <c r="C462" i="5"/>
  <c r="D493" i="5"/>
  <c r="G493" i="6" s="1"/>
  <c r="C481" i="5"/>
  <c r="D486" i="6"/>
  <c r="D498" i="5"/>
  <c r="G498" i="6" s="1"/>
  <c r="D486" i="5"/>
  <c r="G486" i="6" s="1"/>
  <c r="C486" i="5"/>
  <c r="C495" i="5"/>
  <c r="C496" i="5"/>
  <c r="D500" i="6"/>
  <c r="D500" i="5"/>
  <c r="G500" i="6" s="1"/>
  <c r="D512" i="5"/>
  <c r="G512" i="6" s="1"/>
  <c r="C500" i="5"/>
  <c r="D556" i="5"/>
  <c r="G556" i="6" s="1"/>
  <c r="C556" i="5"/>
  <c r="C575" i="5"/>
  <c r="D587" i="5"/>
  <c r="G587" i="6" s="1"/>
  <c r="C576" i="5"/>
  <c r="D604" i="5"/>
  <c r="G604" i="6" s="1"/>
  <c r="D616" i="5"/>
  <c r="G616" i="6" s="1"/>
  <c r="C604" i="5"/>
  <c r="C613" i="5"/>
  <c r="D625" i="5"/>
  <c r="G625" i="6" s="1"/>
  <c r="D616" i="6"/>
  <c r="C616" i="5"/>
  <c r="D648" i="5"/>
  <c r="G648" i="6" s="1"/>
  <c r="D662" i="5"/>
  <c r="G662" i="6" s="1"/>
  <c r="D684" i="6"/>
  <c r="D696" i="5"/>
  <c r="G696" i="6" s="1"/>
  <c r="D700" i="6"/>
  <c r="D712" i="5"/>
  <c r="G712" i="6" s="1"/>
  <c r="D435" i="5"/>
  <c r="G435" i="6" s="1"/>
  <c r="C423" i="5"/>
  <c r="D476" i="6"/>
  <c r="D476" i="5"/>
  <c r="G476" i="6" s="1"/>
  <c r="C476" i="5"/>
  <c r="D501" i="6"/>
  <c r="C501" i="5"/>
  <c r="C505" i="5"/>
  <c r="D522" i="5"/>
  <c r="G522" i="6" s="1"/>
  <c r="C510" i="5"/>
  <c r="D529" i="6"/>
  <c r="D541" i="5"/>
  <c r="G541" i="6" s="1"/>
  <c r="C529" i="5"/>
  <c r="D546" i="5"/>
  <c r="G546" i="6" s="1"/>
  <c r="D534" i="5"/>
  <c r="G534" i="6" s="1"/>
  <c r="C534" i="5"/>
  <c r="D543" i="6"/>
  <c r="C543" i="5"/>
  <c r="C544" i="5"/>
  <c r="D548" i="5"/>
  <c r="G548" i="6" s="1"/>
  <c r="D560" i="5"/>
  <c r="G560" i="6" s="1"/>
  <c r="C548" i="5"/>
  <c r="D581" i="6"/>
  <c r="C581" i="5"/>
  <c r="D593" i="5"/>
  <c r="G593" i="6" s="1"/>
  <c r="D595" i="6"/>
  <c r="C595" i="5"/>
  <c r="D607" i="5"/>
  <c r="G607" i="6" s="1"/>
  <c r="D595" i="5"/>
  <c r="G595" i="6" s="1"/>
  <c r="C608" i="5"/>
  <c r="D625" i="6"/>
  <c r="C625" i="5"/>
  <c r="D637" i="5"/>
  <c r="G637" i="6" s="1"/>
  <c r="D678" i="5"/>
  <c r="G678" i="6" s="1"/>
  <c r="D726" i="5"/>
  <c r="G726" i="6" s="1"/>
  <c r="C714" i="5"/>
  <c r="D748" i="5"/>
  <c r="G748" i="6" s="1"/>
  <c r="D736" i="5"/>
  <c r="G736" i="6" s="1"/>
  <c r="C736" i="5"/>
  <c r="D382" i="5"/>
  <c r="G382" i="6" s="1"/>
  <c r="D382" i="6"/>
  <c r="D394" i="5"/>
  <c r="G394" i="6" s="1"/>
  <c r="D390" i="6"/>
  <c r="D402" i="5"/>
  <c r="G402" i="6" s="1"/>
  <c r="C434" i="5"/>
  <c r="D461" i="5"/>
  <c r="G461" i="6" s="1"/>
  <c r="C449" i="5"/>
  <c r="D454" i="6"/>
  <c r="D466" i="5"/>
  <c r="G466" i="6" s="1"/>
  <c r="D454" i="5"/>
  <c r="G454" i="6" s="1"/>
  <c r="C454" i="5"/>
  <c r="C463" i="5"/>
  <c r="C464" i="5"/>
  <c r="D468" i="5"/>
  <c r="G468" i="6" s="1"/>
  <c r="D480" i="5"/>
  <c r="G480" i="6" s="1"/>
  <c r="C468" i="5"/>
  <c r="D501" i="5"/>
  <c r="G501" i="6" s="1"/>
  <c r="D510" i="5"/>
  <c r="G510" i="6" s="1"/>
  <c r="D524" i="5"/>
  <c r="G524" i="6" s="1"/>
  <c r="C524" i="5"/>
  <c r="D529" i="5"/>
  <c r="G529" i="6" s="1"/>
  <c r="D543" i="5"/>
  <c r="G543" i="6" s="1"/>
  <c r="C549" i="5"/>
  <c r="C553" i="5"/>
  <c r="D570" i="5"/>
  <c r="G570" i="6" s="1"/>
  <c r="C558" i="5"/>
  <c r="D596" i="5"/>
  <c r="G596" i="6" s="1"/>
  <c r="D608" i="5"/>
  <c r="G608" i="6" s="1"/>
  <c r="C611" i="5"/>
  <c r="D623" i="5"/>
  <c r="G623" i="6" s="1"/>
  <c r="C617" i="5"/>
  <c r="D617" i="5"/>
  <c r="G617" i="6" s="1"/>
  <c r="D620" i="6"/>
  <c r="D632" i="5"/>
  <c r="G632" i="6" s="1"/>
  <c r="D646" i="5"/>
  <c r="G646" i="6" s="1"/>
  <c r="C666" i="5"/>
  <c r="D694" i="5"/>
  <c r="D356" i="6"/>
  <c r="D368" i="5"/>
  <c r="G368" i="6" s="1"/>
  <c r="D356" i="5"/>
  <c r="G356" i="6" s="1"/>
  <c r="C356" i="5"/>
  <c r="C368" i="5"/>
  <c r="D379" i="5"/>
  <c r="G379" i="6" s="1"/>
  <c r="C370" i="5"/>
  <c r="C378" i="5"/>
  <c r="C382" i="5"/>
  <c r="C390" i="5"/>
  <c r="D432" i="5"/>
  <c r="G432" i="6" s="1"/>
  <c r="D420" i="5"/>
  <c r="G420" i="6" s="1"/>
  <c r="C420" i="5"/>
  <c r="C424" i="5"/>
  <c r="C432" i="5"/>
  <c r="D444" i="6"/>
  <c r="D444" i="5"/>
  <c r="G444" i="6" s="1"/>
  <c r="C444" i="5"/>
  <c r="D449" i="5"/>
  <c r="G449" i="6" s="1"/>
  <c r="D463" i="5"/>
  <c r="G463" i="6" s="1"/>
  <c r="D469" i="6"/>
  <c r="C469" i="5"/>
  <c r="D473" i="6"/>
  <c r="C473" i="5"/>
  <c r="D490" i="5"/>
  <c r="G490" i="6" s="1"/>
  <c r="C478" i="5"/>
  <c r="D509" i="5"/>
  <c r="G509" i="6" s="1"/>
  <c r="C497" i="5"/>
  <c r="D502" i="6"/>
  <c r="D514" i="5"/>
  <c r="G514" i="6" s="1"/>
  <c r="D502" i="5"/>
  <c r="G502" i="6" s="1"/>
  <c r="C502" i="5"/>
  <c r="C506" i="5"/>
  <c r="C511" i="5"/>
  <c r="C512" i="5"/>
  <c r="D516" i="6"/>
  <c r="D516" i="5"/>
  <c r="G516" i="6" s="1"/>
  <c r="D528" i="5"/>
  <c r="G528" i="6" s="1"/>
  <c r="C516" i="5"/>
  <c r="D558" i="5"/>
  <c r="G558" i="6" s="1"/>
  <c r="D572" i="5"/>
  <c r="G572" i="6" s="1"/>
  <c r="D584" i="5"/>
  <c r="G584" i="6" s="1"/>
  <c r="C572" i="5"/>
  <c r="C582" i="5"/>
  <c r="C596" i="5"/>
  <c r="D611" i="5"/>
  <c r="G611" i="6" s="1"/>
  <c r="C620" i="5"/>
  <c r="C634" i="5"/>
  <c r="C648" i="5"/>
  <c r="C682" i="5"/>
  <c r="D710" i="5"/>
  <c r="G710" i="6" s="1"/>
  <c r="C698" i="5"/>
  <c r="D732" i="5"/>
  <c r="G732" i="6" s="1"/>
  <c r="D720" i="5"/>
  <c r="G720" i="6" s="1"/>
  <c r="C720" i="5"/>
  <c r="C702" i="4"/>
  <c r="D22" i="5"/>
  <c r="G22" i="6" s="1"/>
  <c r="C29" i="5"/>
  <c r="D29" i="6"/>
  <c r="D53" i="5"/>
  <c r="G53" i="6" s="1"/>
  <c r="D56" i="5"/>
  <c r="G56" i="6" s="1"/>
  <c r="D60" i="6"/>
  <c r="C60" i="5"/>
  <c r="C66" i="5"/>
  <c r="C72" i="5"/>
  <c r="D118" i="6"/>
  <c r="D130" i="5"/>
  <c r="G130" i="6" s="1"/>
  <c r="C118" i="5"/>
  <c r="C125" i="5"/>
  <c r="D125" i="6"/>
  <c r="D135" i="6"/>
  <c r="D147" i="5"/>
  <c r="G147" i="6" s="1"/>
  <c r="D138" i="6"/>
  <c r="D150" i="5"/>
  <c r="G150" i="6" s="1"/>
  <c r="C138" i="5"/>
  <c r="C149" i="5"/>
  <c r="D161" i="5"/>
  <c r="G161" i="6" s="1"/>
  <c r="D152" i="5"/>
  <c r="G152" i="6" s="1"/>
  <c r="D159" i="5"/>
  <c r="G159" i="6" s="1"/>
  <c r="D190" i="5"/>
  <c r="G190" i="6" s="1"/>
  <c r="C211" i="5"/>
  <c r="D234" i="5"/>
  <c r="G234" i="6" s="1"/>
  <c r="D237" i="5"/>
  <c r="G237" i="6" s="1"/>
  <c r="D246" i="6"/>
  <c r="D258" i="5"/>
  <c r="G258" i="6" s="1"/>
  <c r="C246" i="5"/>
  <c r="C253" i="5"/>
  <c r="D275" i="5"/>
  <c r="G275" i="6" s="1"/>
  <c r="C277" i="5"/>
  <c r="D289" i="5"/>
  <c r="G289" i="6" s="1"/>
  <c r="C285" i="5"/>
  <c r="D312" i="5"/>
  <c r="G312" i="6" s="1"/>
  <c r="D327" i="5"/>
  <c r="G327" i="6" s="1"/>
  <c r="C337" i="5"/>
  <c r="D341" i="6"/>
  <c r="C341" i="5"/>
  <c r="D353" i="5"/>
  <c r="G353" i="6" s="1"/>
  <c r="C349" i="5"/>
  <c r="D376" i="5"/>
  <c r="G376" i="6" s="1"/>
  <c r="C367" i="5"/>
  <c r="C375" i="5"/>
  <c r="D391" i="5"/>
  <c r="G391" i="6" s="1"/>
  <c r="D390" i="5"/>
  <c r="G390" i="6" s="1"/>
  <c r="C401" i="5"/>
  <c r="D405" i="6"/>
  <c r="C405" i="5"/>
  <c r="D417" i="5"/>
  <c r="G417" i="6" s="1"/>
  <c r="C431" i="5"/>
  <c r="D436" i="6"/>
  <c r="D436" i="5"/>
  <c r="G436" i="6" s="1"/>
  <c r="D448" i="5"/>
  <c r="G448" i="6" s="1"/>
  <c r="C436" i="5"/>
  <c r="D440" i="5"/>
  <c r="G440" i="6" s="1"/>
  <c r="D469" i="5"/>
  <c r="G469" i="6" s="1"/>
  <c r="D478" i="5"/>
  <c r="G478" i="6" s="1"/>
  <c r="D492" i="6"/>
  <c r="D492" i="5"/>
  <c r="G492" i="6" s="1"/>
  <c r="C492" i="5"/>
  <c r="D497" i="5"/>
  <c r="G497" i="6" s="1"/>
  <c r="D511" i="5"/>
  <c r="G511" i="6" s="1"/>
  <c r="D517" i="6"/>
  <c r="C517" i="5"/>
  <c r="D521" i="6"/>
  <c r="C521" i="5"/>
  <c r="D526" i="6"/>
  <c r="D538" i="5"/>
  <c r="G538" i="6" s="1"/>
  <c r="C526" i="5"/>
  <c r="C530" i="5"/>
  <c r="D545" i="6"/>
  <c r="D557" i="5"/>
  <c r="G557" i="6" s="1"/>
  <c r="C545" i="5"/>
  <c r="D562" i="5"/>
  <c r="G562" i="6" s="1"/>
  <c r="D550" i="5"/>
  <c r="G550" i="6" s="1"/>
  <c r="C550" i="5"/>
  <c r="C554" i="5"/>
  <c r="D559" i="6"/>
  <c r="C559" i="5"/>
  <c r="C560" i="5"/>
  <c r="D564" i="6"/>
  <c r="D564" i="5"/>
  <c r="G564" i="6" s="1"/>
  <c r="D576" i="5"/>
  <c r="G576" i="6" s="1"/>
  <c r="C564" i="5"/>
  <c r="D568" i="5"/>
  <c r="G568" i="6" s="1"/>
  <c r="D597" i="6"/>
  <c r="C597" i="5"/>
  <c r="C598" i="5"/>
  <c r="D609" i="5"/>
  <c r="G609" i="6" s="1"/>
  <c r="D609" i="6"/>
  <c r="C609" i="5"/>
  <c r="D621" i="5"/>
  <c r="G621" i="6" s="1"/>
  <c r="D630" i="5"/>
  <c r="G630" i="6" s="1"/>
  <c r="D620" i="5"/>
  <c r="G620" i="6" s="1"/>
  <c r="C626" i="5"/>
  <c r="D640" i="6"/>
  <c r="C640" i="5"/>
  <c r="C656" i="5"/>
  <c r="C664" i="5"/>
  <c r="D576" i="4"/>
  <c r="D584" i="4"/>
  <c r="C583" i="4"/>
  <c r="C586" i="4"/>
  <c r="C595" i="4"/>
  <c r="D616" i="4"/>
  <c r="C615" i="4"/>
  <c r="C618" i="4"/>
  <c r="C627" i="4"/>
  <c r="D648" i="4"/>
  <c r="C647" i="4"/>
  <c r="C650" i="4"/>
  <c r="C659" i="4"/>
  <c r="D680" i="4"/>
  <c r="C679" i="4"/>
  <c r="C682" i="4"/>
  <c r="C691" i="4"/>
  <c r="C712" i="4"/>
  <c r="C722" i="4"/>
  <c r="C743" i="4"/>
  <c r="D18" i="5"/>
  <c r="G18" i="6" s="1"/>
  <c r="D6" i="6"/>
  <c r="C10" i="5"/>
  <c r="C15" i="5"/>
  <c r="D15" i="6"/>
  <c r="C19" i="5"/>
  <c r="D35" i="5"/>
  <c r="G35" i="6" s="1"/>
  <c r="D38" i="5"/>
  <c r="G38" i="6" s="1"/>
  <c r="C41" i="5"/>
  <c r="C44" i="5"/>
  <c r="C47" i="5"/>
  <c r="C50" i="5"/>
  <c r="D54" i="6"/>
  <c r="D66" i="5"/>
  <c r="G66" i="6" s="1"/>
  <c r="D57" i="6"/>
  <c r="C57" i="5"/>
  <c r="D60" i="5"/>
  <c r="G60" i="6" s="1"/>
  <c r="D70" i="6"/>
  <c r="D82" i="5"/>
  <c r="G82" i="6" s="1"/>
  <c r="D72" i="5"/>
  <c r="G72" i="6" s="1"/>
  <c r="C85" i="5"/>
  <c r="D85" i="6"/>
  <c r="D95" i="6"/>
  <c r="C95" i="5"/>
  <c r="D107" i="5"/>
  <c r="G107" i="6" s="1"/>
  <c r="D111" i="6"/>
  <c r="C112" i="5"/>
  <c r="C114" i="5"/>
  <c r="D132" i="6"/>
  <c r="D144" i="5"/>
  <c r="G144" i="6" s="1"/>
  <c r="D132" i="5"/>
  <c r="G132" i="6" s="1"/>
  <c r="C135" i="5"/>
  <c r="C163" i="5"/>
  <c r="C173" i="5"/>
  <c r="D198" i="6"/>
  <c r="D210" i="5"/>
  <c r="G210" i="6" s="1"/>
  <c r="C204" i="5"/>
  <c r="D219" i="6"/>
  <c r="D231" i="5"/>
  <c r="G231" i="6" s="1"/>
  <c r="C222" i="5"/>
  <c r="C225" i="5"/>
  <c r="C240" i="5"/>
  <c r="C242" i="5"/>
  <c r="D272" i="5"/>
  <c r="G272" i="6" s="1"/>
  <c r="D260" i="5"/>
  <c r="G260" i="6" s="1"/>
  <c r="C263" i="5"/>
  <c r="D301" i="5"/>
  <c r="G301" i="6" s="1"/>
  <c r="C289" i="5"/>
  <c r="C300" i="5"/>
  <c r="D303" i="5"/>
  <c r="G303" i="6" s="1"/>
  <c r="C315" i="5"/>
  <c r="C323" i="5"/>
  <c r="D339" i="5"/>
  <c r="G339" i="6" s="1"/>
  <c r="C327" i="5"/>
  <c r="D337" i="5"/>
  <c r="G337" i="6" s="1"/>
  <c r="D349" i="5"/>
  <c r="G349" i="6" s="1"/>
  <c r="D353" i="6"/>
  <c r="D365" i="5"/>
  <c r="G365" i="6" s="1"/>
  <c r="C353" i="5"/>
  <c r="C364" i="5"/>
  <c r="D367" i="5"/>
  <c r="G367" i="6" s="1"/>
  <c r="D375" i="5"/>
  <c r="G375" i="6" s="1"/>
  <c r="C379" i="5"/>
  <c r="C387" i="5"/>
  <c r="D391" i="6"/>
  <c r="D403" i="5"/>
  <c r="G403" i="6" s="1"/>
  <c r="C391" i="5"/>
  <c r="D401" i="5"/>
  <c r="G401" i="6" s="1"/>
  <c r="D413" i="5"/>
  <c r="G413" i="6" s="1"/>
  <c r="D429" i="5"/>
  <c r="G429" i="6" s="1"/>
  <c r="C417" i="5"/>
  <c r="C428" i="5"/>
  <c r="D431" i="5"/>
  <c r="G431" i="6" s="1"/>
  <c r="C437" i="5"/>
  <c r="C441" i="5"/>
  <c r="D446" i="6"/>
  <c r="D458" i="5"/>
  <c r="G458" i="6" s="1"/>
  <c r="C446" i="5"/>
  <c r="C450" i="5"/>
  <c r="D477" i="5"/>
  <c r="G477" i="6" s="1"/>
  <c r="C465" i="5"/>
  <c r="D482" i="5"/>
  <c r="G482" i="6" s="1"/>
  <c r="D470" i="5"/>
  <c r="G470" i="6" s="1"/>
  <c r="C470" i="5"/>
  <c r="C474" i="5"/>
  <c r="D479" i="6"/>
  <c r="C479" i="5"/>
  <c r="C480" i="5"/>
  <c r="D484" i="5"/>
  <c r="G484" i="6" s="1"/>
  <c r="D496" i="5"/>
  <c r="G496" i="6" s="1"/>
  <c r="C484" i="5"/>
  <c r="D488" i="5"/>
  <c r="G488" i="6" s="1"/>
  <c r="D517" i="5"/>
  <c r="G517" i="6" s="1"/>
  <c r="D526" i="5"/>
  <c r="G526" i="6" s="1"/>
  <c r="D540" i="5"/>
  <c r="G540" i="6" s="1"/>
  <c r="C540" i="5"/>
  <c r="D559" i="5"/>
  <c r="G559" i="6" s="1"/>
  <c r="C565" i="5"/>
  <c r="D577" i="5"/>
  <c r="G577" i="6" s="1"/>
  <c r="C569" i="5"/>
  <c r="D581" i="5"/>
  <c r="G581" i="6" s="1"/>
  <c r="D588" i="5"/>
  <c r="G588" i="6" s="1"/>
  <c r="D600" i="5"/>
  <c r="G600" i="6" s="1"/>
  <c r="C588" i="5"/>
  <c r="C618" i="5"/>
  <c r="C629" i="5"/>
  <c r="D641" i="5"/>
  <c r="G641" i="6" s="1"/>
  <c r="D632" i="6"/>
  <c r="C632" i="5"/>
  <c r="D640" i="5"/>
  <c r="G640" i="6" s="1"/>
  <c r="D656" i="5"/>
  <c r="G656" i="6" s="1"/>
  <c r="C672" i="5"/>
  <c r="C680" i="5"/>
  <c r="D704" i="6"/>
  <c r="D716" i="5"/>
  <c r="G716" i="6" s="1"/>
  <c r="D704" i="5"/>
  <c r="G704" i="6" s="1"/>
  <c r="C704" i="5"/>
  <c r="C564" i="4"/>
  <c r="C572" i="4"/>
  <c r="C604" i="4"/>
  <c r="C636" i="4"/>
  <c r="C668" i="4"/>
  <c r="C697" i="4"/>
  <c r="C700" i="4"/>
  <c r="C719" i="4"/>
  <c r="C6" i="5"/>
  <c r="C11" i="5"/>
  <c r="D11" i="6"/>
  <c r="C16" i="5"/>
  <c r="D16" i="6"/>
  <c r="C26" i="5"/>
  <c r="D30" i="6"/>
  <c r="D42" i="5"/>
  <c r="G42" i="6" s="1"/>
  <c r="D48" i="5"/>
  <c r="G48" i="6" s="1"/>
  <c r="D51" i="5"/>
  <c r="G51" i="6" s="1"/>
  <c r="D41" i="5"/>
  <c r="G41" i="6" s="1"/>
  <c r="D44" i="5"/>
  <c r="G44" i="6" s="1"/>
  <c r="C54" i="5"/>
  <c r="C61" i="5"/>
  <c r="D61" i="6"/>
  <c r="C67" i="5"/>
  <c r="C70" i="5"/>
  <c r="D85" i="5"/>
  <c r="G85" i="6" s="1"/>
  <c r="D88" i="5"/>
  <c r="G88" i="6" s="1"/>
  <c r="D92" i="6"/>
  <c r="C92" i="5"/>
  <c r="D95" i="5"/>
  <c r="G95" i="6" s="1"/>
  <c r="D104" i="5"/>
  <c r="G104" i="6" s="1"/>
  <c r="C111" i="5"/>
  <c r="C115" i="5"/>
  <c r="C119" i="5"/>
  <c r="C122" i="5"/>
  <c r="D138" i="5"/>
  <c r="G138" i="6" s="1"/>
  <c r="D129" i="6"/>
  <c r="D141" i="5"/>
  <c r="G141" i="6" s="1"/>
  <c r="C132" i="5"/>
  <c r="C139" i="5"/>
  <c r="D150" i="6"/>
  <c r="D162" i="5"/>
  <c r="G162" i="6" s="1"/>
  <c r="C150" i="5"/>
  <c r="C157" i="5"/>
  <c r="D167" i="6"/>
  <c r="D179" i="5"/>
  <c r="G179" i="6" s="1"/>
  <c r="D182" i="5"/>
  <c r="G182" i="6" s="1"/>
  <c r="C170" i="5"/>
  <c r="C177" i="5"/>
  <c r="C181" i="5"/>
  <c r="D193" i="5"/>
  <c r="G193" i="6" s="1"/>
  <c r="C198" i="5"/>
  <c r="C201" i="5"/>
  <c r="D204" i="5"/>
  <c r="G204" i="6" s="1"/>
  <c r="C212" i="5"/>
  <c r="C219" i="5"/>
  <c r="C239" i="5"/>
  <c r="C243" i="5"/>
  <c r="C247" i="5"/>
  <c r="C250" i="5"/>
  <c r="D254" i="6"/>
  <c r="D266" i="5"/>
  <c r="G266" i="6" s="1"/>
  <c r="D257" i="6"/>
  <c r="D269" i="5"/>
  <c r="G269" i="6" s="1"/>
  <c r="C260" i="5"/>
  <c r="D286" i="5"/>
  <c r="G286" i="6" s="1"/>
  <c r="D298" i="5"/>
  <c r="G298" i="6" s="1"/>
  <c r="D294" i="6"/>
  <c r="D306" i="5"/>
  <c r="G306" i="6" s="1"/>
  <c r="C297" i="5"/>
  <c r="D300" i="5"/>
  <c r="G300" i="6" s="1"/>
  <c r="C308" i="5"/>
  <c r="D350" i="5"/>
  <c r="G350" i="6" s="1"/>
  <c r="D350" i="6"/>
  <c r="D362" i="5"/>
  <c r="G362" i="6" s="1"/>
  <c r="D358" i="6"/>
  <c r="D370" i="5"/>
  <c r="G370" i="6" s="1"/>
  <c r="C361" i="5"/>
  <c r="D364" i="5"/>
  <c r="G364" i="6" s="1"/>
  <c r="C372" i="5"/>
  <c r="D387" i="5"/>
  <c r="G387" i="6" s="1"/>
  <c r="D402" i="6"/>
  <c r="D414" i="5"/>
  <c r="G414" i="6" s="1"/>
  <c r="D414" i="6"/>
  <c r="D426" i="5"/>
  <c r="G426" i="6" s="1"/>
  <c r="C425" i="5"/>
  <c r="D428" i="5"/>
  <c r="G428" i="6" s="1"/>
  <c r="D437" i="5"/>
  <c r="G437" i="6" s="1"/>
  <c r="D446" i="5"/>
  <c r="G446" i="6" s="1"/>
  <c r="D460" i="5"/>
  <c r="G460" i="6" s="1"/>
  <c r="C460" i="5"/>
  <c r="D465" i="5"/>
  <c r="G465" i="6" s="1"/>
  <c r="D479" i="5"/>
  <c r="G479" i="6" s="1"/>
  <c r="C485" i="5"/>
  <c r="C489" i="5"/>
  <c r="D506" i="5"/>
  <c r="G506" i="6" s="1"/>
  <c r="C494" i="5"/>
  <c r="C498" i="5"/>
  <c r="D507" i="5"/>
  <c r="G507" i="6" s="1"/>
  <c r="D525" i="5"/>
  <c r="G525" i="6" s="1"/>
  <c r="C513" i="5"/>
  <c r="D530" i="5"/>
  <c r="G530" i="6" s="1"/>
  <c r="D518" i="5"/>
  <c r="G518" i="6" s="1"/>
  <c r="C518" i="5"/>
  <c r="C522" i="5"/>
  <c r="C527" i="5"/>
  <c r="C528" i="5"/>
  <c r="D532" i="6"/>
  <c r="D532" i="5"/>
  <c r="G532" i="6" s="1"/>
  <c r="D544" i="5"/>
  <c r="G544" i="6" s="1"/>
  <c r="C532" i="5"/>
  <c r="D536" i="5"/>
  <c r="G536" i="6" s="1"/>
  <c r="D565" i="5"/>
  <c r="G565" i="6" s="1"/>
  <c r="C589" i="5"/>
  <c r="D601" i="5"/>
  <c r="G601" i="6" s="1"/>
  <c r="C590" i="5"/>
  <c r="D593" i="6"/>
  <c r="D605" i="5"/>
  <c r="G605" i="6" s="1"/>
  <c r="C594" i="5"/>
  <c r="C603" i="5"/>
  <c r="D615" i="5"/>
  <c r="G615" i="6" s="1"/>
  <c r="D624" i="6"/>
  <c r="C624" i="5"/>
  <c r="D629" i="5"/>
  <c r="G629" i="6" s="1"/>
  <c r="D652" i="6"/>
  <c r="D664" i="5"/>
  <c r="G664" i="6" s="1"/>
  <c r="D672" i="5"/>
  <c r="G672" i="6" s="1"/>
  <c r="D700" i="5"/>
  <c r="G700" i="6" s="1"/>
  <c r="C688" i="5"/>
  <c r="D752" i="6"/>
  <c r="D752" i="5"/>
  <c r="G752" i="6" s="1"/>
  <c r="C752" i="5"/>
  <c r="C413" i="5"/>
  <c r="D434" i="5"/>
  <c r="G434" i="6" s="1"/>
  <c r="D599" i="6"/>
  <c r="C599" i="5"/>
  <c r="D615" i="6"/>
  <c r="C615" i="5"/>
  <c r="C631" i="5"/>
  <c r="D738" i="5"/>
  <c r="G738" i="6" s="1"/>
  <c r="D754" i="5"/>
  <c r="G754" i="6" s="1"/>
  <c r="C730" i="5"/>
  <c r="C746" i="5"/>
  <c r="C269" i="5"/>
  <c r="D269" i="6"/>
  <c r="D290" i="5"/>
  <c r="G290" i="6" s="1"/>
  <c r="C301" i="5"/>
  <c r="D310" i="6"/>
  <c r="D322" i="5"/>
  <c r="G322" i="6" s="1"/>
  <c r="D333" i="6"/>
  <c r="C333" i="5"/>
  <c r="D354" i="5"/>
  <c r="G354" i="6" s="1"/>
  <c r="C365" i="5"/>
  <c r="D374" i="6"/>
  <c r="D386" i="5"/>
  <c r="G386" i="6" s="1"/>
  <c r="D397" i="6"/>
  <c r="C397" i="5"/>
  <c r="D418" i="5"/>
  <c r="G418" i="6" s="1"/>
  <c r="C429" i="5"/>
  <c r="D583" i="6"/>
  <c r="C583" i="5"/>
  <c r="C586" i="5"/>
  <c r="D597" i="5"/>
  <c r="G597" i="6" s="1"/>
  <c r="C607" i="5"/>
  <c r="D618" i="5"/>
  <c r="G618" i="6" s="1"/>
  <c r="D623" i="6"/>
  <c r="C623" i="5"/>
  <c r="D634" i="5"/>
  <c r="G634" i="6" s="1"/>
  <c r="D650" i="5"/>
  <c r="G650" i="6" s="1"/>
  <c r="D666" i="5"/>
  <c r="G666" i="6" s="1"/>
  <c r="D682" i="5"/>
  <c r="G682" i="6" s="1"/>
  <c r="C696" i="5"/>
  <c r="D698" i="5"/>
  <c r="G698" i="6" s="1"/>
  <c r="C712" i="5"/>
  <c r="D714" i="5"/>
  <c r="G714" i="6" s="1"/>
  <c r="C728" i="5"/>
  <c r="D730" i="5"/>
  <c r="G730" i="6" s="1"/>
  <c r="C744" i="5"/>
  <c r="D746" i="5"/>
  <c r="G746" i="6" s="1"/>
  <c r="C266" i="5"/>
  <c r="C275" i="5"/>
  <c r="C278" i="5"/>
  <c r="C298" i="5"/>
  <c r="C307" i="5"/>
  <c r="C310" i="5"/>
  <c r="C330" i="5"/>
  <c r="C339" i="5"/>
  <c r="C342" i="5"/>
  <c r="C362" i="5"/>
  <c r="C371" i="5"/>
  <c r="C374" i="5"/>
  <c r="C394" i="5"/>
  <c r="C403" i="5"/>
  <c r="C406" i="5"/>
  <c r="C426" i="5"/>
  <c r="C435" i="5"/>
  <c r="D438" i="5"/>
  <c r="G438" i="6" s="1"/>
  <c r="D441" i="5"/>
  <c r="G441" i="6" s="1"/>
  <c r="D445" i="6"/>
  <c r="C445" i="5"/>
  <c r="C451" i="5"/>
  <c r="D457" i="5"/>
  <c r="G457" i="6" s="1"/>
  <c r="C461" i="5"/>
  <c r="C467" i="5"/>
  <c r="D473" i="5"/>
  <c r="G473" i="6" s="1"/>
  <c r="D477" i="6"/>
  <c r="C477" i="5"/>
  <c r="C483" i="5"/>
  <c r="D489" i="5"/>
  <c r="G489" i="6" s="1"/>
  <c r="C493" i="5"/>
  <c r="C499" i="5"/>
  <c r="D505" i="5"/>
  <c r="G505" i="6" s="1"/>
  <c r="C509" i="5"/>
  <c r="C515" i="5"/>
  <c r="D521" i="5"/>
  <c r="G521" i="6" s="1"/>
  <c r="C525" i="5"/>
  <c r="C531" i="5"/>
  <c r="D537" i="5"/>
  <c r="G537" i="6" s="1"/>
  <c r="D541" i="6"/>
  <c r="C541" i="5"/>
  <c r="C547" i="5"/>
  <c r="D553" i="5"/>
  <c r="G553" i="6" s="1"/>
  <c r="C557" i="5"/>
  <c r="C563" i="5"/>
  <c r="D569" i="5"/>
  <c r="G569" i="6" s="1"/>
  <c r="D573" i="6"/>
  <c r="C573" i="5"/>
  <c r="D580" i="6"/>
  <c r="D580" i="5"/>
  <c r="G580" i="6" s="1"/>
  <c r="D592" i="5"/>
  <c r="G592" i="6" s="1"/>
  <c r="D583" i="5"/>
  <c r="G583" i="6" s="1"/>
  <c r="C587" i="5"/>
  <c r="C601" i="5"/>
  <c r="D605" i="6"/>
  <c r="C605" i="5"/>
  <c r="C614" i="5"/>
  <c r="C621" i="5"/>
  <c r="C630" i="5"/>
  <c r="C646" i="5"/>
  <c r="C662" i="5"/>
  <c r="C678" i="5"/>
  <c r="C694" i="5"/>
  <c r="C710" i="5"/>
  <c r="C726" i="5"/>
  <c r="D728" i="5"/>
  <c r="G728" i="6" s="1"/>
  <c r="C742" i="5"/>
  <c r="D744" i="5"/>
  <c r="G744" i="6" s="1"/>
  <c r="C758" i="5"/>
  <c r="D717" i="4"/>
  <c r="C728" i="4"/>
  <c r="D749" i="4"/>
  <c r="C7" i="5"/>
  <c r="D7" i="6"/>
  <c r="D19" i="5"/>
  <c r="G19" i="6" s="1"/>
  <c r="C37" i="5"/>
  <c r="D46" i="6"/>
  <c r="D58" i="5"/>
  <c r="G58" i="6" s="1"/>
  <c r="C69" i="5"/>
  <c r="D78" i="6"/>
  <c r="D90" i="5"/>
  <c r="G90" i="6" s="1"/>
  <c r="C101" i="5"/>
  <c r="D101" i="6"/>
  <c r="D110" i="6"/>
  <c r="D122" i="5"/>
  <c r="G122" i="6" s="1"/>
  <c r="C121" i="5"/>
  <c r="C124" i="5"/>
  <c r="C127" i="5"/>
  <c r="C133" i="5"/>
  <c r="D142" i="6"/>
  <c r="D154" i="5"/>
  <c r="G154" i="6" s="1"/>
  <c r="C153" i="5"/>
  <c r="C156" i="5"/>
  <c r="C159" i="5"/>
  <c r="C165" i="5"/>
  <c r="D165" i="6"/>
  <c r="D174" i="6"/>
  <c r="D186" i="5"/>
  <c r="G186" i="6" s="1"/>
  <c r="C185" i="5"/>
  <c r="C188" i="5"/>
  <c r="C191" i="5"/>
  <c r="C197" i="5"/>
  <c r="D218" i="5"/>
  <c r="G218" i="6" s="1"/>
  <c r="C217" i="5"/>
  <c r="C220" i="5"/>
  <c r="C223" i="5"/>
  <c r="C229" i="5"/>
  <c r="D229" i="6"/>
  <c r="D238" i="6"/>
  <c r="D250" i="5"/>
  <c r="G250" i="6" s="1"/>
  <c r="C249" i="5"/>
  <c r="C252" i="5"/>
  <c r="C255" i="5"/>
  <c r="C261" i="5"/>
  <c r="D261" i="6"/>
  <c r="D270" i="6"/>
  <c r="D282" i="5"/>
  <c r="G282" i="6" s="1"/>
  <c r="D278" i="5"/>
  <c r="G278" i="6" s="1"/>
  <c r="C281" i="5"/>
  <c r="C284" i="5"/>
  <c r="C287" i="5"/>
  <c r="C293" i="5"/>
  <c r="D302" i="6"/>
  <c r="D314" i="5"/>
  <c r="G314" i="6" s="1"/>
  <c r="D310" i="5"/>
  <c r="G310" i="6" s="1"/>
  <c r="C313" i="5"/>
  <c r="C316" i="5"/>
  <c r="C319" i="5"/>
  <c r="D325" i="6"/>
  <c r="C325" i="5"/>
  <c r="D334" i="6"/>
  <c r="D346" i="5"/>
  <c r="G346" i="6" s="1"/>
  <c r="D342" i="5"/>
  <c r="G342" i="6" s="1"/>
  <c r="C345" i="5"/>
  <c r="C348" i="5"/>
  <c r="C351" i="5"/>
  <c r="D357" i="6"/>
  <c r="C357" i="5"/>
  <c r="D366" i="6"/>
  <c r="D378" i="5"/>
  <c r="G378" i="6" s="1"/>
  <c r="D374" i="5"/>
  <c r="G374" i="6" s="1"/>
  <c r="C377" i="5"/>
  <c r="C380" i="5"/>
  <c r="C383" i="5"/>
  <c r="D389" i="6"/>
  <c r="C389" i="5"/>
  <c r="D398" i="6"/>
  <c r="D410" i="5"/>
  <c r="G410" i="6" s="1"/>
  <c r="D406" i="5"/>
  <c r="G406" i="6" s="1"/>
  <c r="C409" i="5"/>
  <c r="C412" i="5"/>
  <c r="C415" i="5"/>
  <c r="D421" i="6"/>
  <c r="C421" i="5"/>
  <c r="D430" i="6"/>
  <c r="D442" i="5"/>
  <c r="G442" i="6" s="1"/>
  <c r="C439" i="5"/>
  <c r="D451" i="5"/>
  <c r="G451" i="6" s="1"/>
  <c r="D455" i="6"/>
  <c r="C455" i="5"/>
  <c r="D467" i="5"/>
  <c r="G467" i="6" s="1"/>
  <c r="D471" i="6"/>
  <c r="C471" i="5"/>
  <c r="D483" i="5"/>
  <c r="G483" i="6" s="1"/>
  <c r="D487" i="6"/>
  <c r="C487" i="5"/>
  <c r="D499" i="5"/>
  <c r="G499" i="6" s="1"/>
  <c r="D503" i="6"/>
  <c r="C503" i="5"/>
  <c r="D515" i="5"/>
  <c r="G515" i="6" s="1"/>
  <c r="C519" i="5"/>
  <c r="D531" i="5"/>
  <c r="G531" i="6" s="1"/>
  <c r="C535" i="5"/>
  <c r="D547" i="5"/>
  <c r="G547" i="6" s="1"/>
  <c r="D551" i="6"/>
  <c r="C551" i="5"/>
  <c r="D563" i="5"/>
  <c r="G563" i="6" s="1"/>
  <c r="D567" i="6"/>
  <c r="C567" i="5"/>
  <c r="C580" i="5"/>
  <c r="D591" i="6"/>
  <c r="C591" i="5"/>
  <c r="C612" i="5"/>
  <c r="D614" i="5"/>
  <c r="G614" i="6" s="1"/>
  <c r="D619" i="6"/>
  <c r="C619" i="5"/>
  <c r="C628" i="5"/>
  <c r="C644" i="5"/>
  <c r="C660" i="5"/>
  <c r="C676" i="5"/>
  <c r="C692" i="5"/>
  <c r="C708" i="5"/>
  <c r="C724" i="5"/>
  <c r="C740" i="5"/>
  <c r="D742" i="5"/>
  <c r="G742" i="6" s="1"/>
  <c r="C756" i="5"/>
  <c r="D758" i="5"/>
  <c r="G758" i="6" s="1"/>
  <c r="D265" i="6"/>
  <c r="D271" i="6"/>
  <c r="D291" i="6"/>
  <c r="D314" i="6"/>
  <c r="D320" i="6"/>
  <c r="D326" i="6"/>
  <c r="D121" i="6"/>
  <c r="D152" i="6"/>
  <c r="D217" i="6"/>
  <c r="D223" i="6"/>
  <c r="D243" i="6"/>
  <c r="D280" i="6"/>
  <c r="D282" i="6"/>
  <c r="D232" i="6"/>
  <c r="D234" i="6"/>
  <c r="D306" i="6"/>
  <c r="D309" i="6"/>
  <c r="D312" i="6"/>
  <c r="D318" i="6"/>
  <c r="D338" i="6"/>
  <c r="D249" i="6"/>
  <c r="D255" i="6"/>
  <c r="D275" i="6"/>
  <c r="D289" i="6"/>
  <c r="D375" i="6"/>
  <c r="D227" i="6"/>
  <c r="D241" i="6"/>
  <c r="D264" i="6"/>
  <c r="D266" i="6"/>
  <c r="D298" i="6"/>
  <c r="D301" i="6"/>
  <c r="D304" i="6"/>
  <c r="D330" i="6"/>
  <c r="D336" i="6"/>
  <c r="D404" i="6"/>
  <c r="D50" i="6"/>
  <c r="D66" i="6"/>
  <c r="D74" i="6"/>
  <c r="D82" i="6"/>
  <c r="D90" i="6"/>
  <c r="D98" i="6"/>
  <c r="D106" i="6"/>
  <c r="D113" i="6"/>
  <c r="D168" i="6"/>
  <c r="D216" i="6"/>
  <c r="D281" i="6"/>
  <c r="D287" i="6"/>
  <c r="D343" i="6"/>
  <c r="D360" i="6"/>
  <c r="D23" i="6"/>
  <c r="D31" i="6"/>
  <c r="D39" i="6"/>
  <c r="D47" i="6"/>
  <c r="D55" i="6"/>
  <c r="D63" i="6"/>
  <c r="D71" i="6"/>
  <c r="D79" i="6"/>
  <c r="D115" i="6"/>
  <c r="D122" i="6"/>
  <c r="D131" i="6"/>
  <c r="D137" i="6"/>
  <c r="D139" i="6"/>
  <c r="D145" i="6"/>
  <c r="D147" i="6"/>
  <c r="D149" i="6"/>
  <c r="D153" i="6"/>
  <c r="D170" i="6"/>
  <c r="D179" i="6"/>
  <c r="D181" i="6"/>
  <c r="D239" i="6"/>
  <c r="D259" i="6"/>
  <c r="D273" i="6"/>
  <c r="D296" i="6"/>
  <c r="D322" i="6"/>
  <c r="D328" i="6"/>
  <c r="D757" i="6"/>
  <c r="D753" i="6"/>
  <c r="D749" i="6"/>
  <c r="D745" i="6"/>
  <c r="D741" i="6"/>
  <c r="D737" i="6"/>
  <c r="D733" i="6"/>
  <c r="D729" i="6"/>
  <c r="D725" i="6"/>
  <c r="D721" i="6"/>
  <c r="D717" i="6"/>
  <c r="D713" i="6"/>
  <c r="D709" i="6"/>
  <c r="D705" i="6"/>
  <c r="D701" i="6"/>
  <c r="D697" i="6"/>
  <c r="D693" i="6"/>
  <c r="D689" i="6"/>
  <c r="D685" i="6"/>
  <c r="D681" i="6"/>
  <c r="D677" i="6"/>
  <c r="D673" i="6"/>
  <c r="D669" i="6"/>
  <c r="D665" i="6"/>
  <c r="D661" i="6"/>
  <c r="D657" i="6"/>
  <c r="D653" i="6"/>
  <c r="D649" i="6"/>
  <c r="D758" i="6"/>
  <c r="D754" i="6"/>
  <c r="D750" i="6"/>
  <c r="D746" i="6"/>
  <c r="D742" i="6"/>
  <c r="D738" i="6"/>
  <c r="D734" i="6"/>
  <c r="D730" i="6"/>
  <c r="D755" i="6"/>
  <c r="D751" i="6"/>
  <c r="D747" i="6"/>
  <c r="D743" i="6"/>
  <c r="D739" i="6"/>
  <c r="D735" i="6"/>
  <c r="D731" i="6"/>
  <c r="D727" i="6"/>
  <c r="D723" i="6"/>
  <c r="D756" i="6"/>
  <c r="D748" i="6"/>
  <c r="D744" i="6"/>
  <c r="D740" i="6"/>
  <c r="D736" i="6"/>
  <c r="D732" i="6"/>
  <c r="D728" i="6"/>
  <c r="D724" i="6"/>
  <c r="D720" i="6"/>
  <c r="D716" i="6"/>
  <c r="D712" i="6"/>
  <c r="D708" i="6"/>
  <c r="D696" i="6"/>
  <c r="D715" i="6"/>
  <c r="D710" i="6"/>
  <c r="D699" i="6"/>
  <c r="D670" i="6"/>
  <c r="D667" i="6"/>
  <c r="D664" i="6"/>
  <c r="D643" i="6"/>
  <c r="D639" i="6"/>
  <c r="D636" i="6"/>
  <c r="D628" i="6"/>
  <c r="D612" i="6"/>
  <c r="D604" i="6"/>
  <c r="D596" i="6"/>
  <c r="D588" i="6"/>
  <c r="D572" i="6"/>
  <c r="D556" i="6"/>
  <c r="D726" i="6"/>
  <c r="D722" i="6"/>
  <c r="D719" i="6"/>
  <c r="D714" i="6"/>
  <c r="D703" i="6"/>
  <c r="D698" i="6"/>
  <c r="D694" i="6"/>
  <c r="D691" i="6"/>
  <c r="D688" i="6"/>
  <c r="D692" i="6"/>
  <c r="D690" i="6"/>
  <c r="D683" i="6"/>
  <c r="D676" i="6"/>
  <c r="D662" i="6"/>
  <c r="D654" i="6"/>
  <c r="D644" i="6"/>
  <c r="D641" i="6"/>
  <c r="D638" i="6"/>
  <c r="D629" i="6"/>
  <c r="D622" i="6"/>
  <c r="D613" i="6"/>
  <c r="D606" i="6"/>
  <c r="D590" i="6"/>
  <c r="D574" i="6"/>
  <c r="D565" i="6"/>
  <c r="D558" i="6"/>
  <c r="D546" i="6"/>
  <c r="D538" i="6"/>
  <c r="D530" i="6"/>
  <c r="D522" i="6"/>
  <c r="D514" i="6"/>
  <c r="D506" i="6"/>
  <c r="D498" i="6"/>
  <c r="D490" i="6"/>
  <c r="D482" i="6"/>
  <c r="D474" i="6"/>
  <c r="D466" i="6"/>
  <c r="D458" i="6"/>
  <c r="D450" i="6"/>
  <c r="D442" i="6"/>
  <c r="D434" i="6"/>
  <c r="D426" i="6"/>
  <c r="D418" i="6"/>
  <c r="D410" i="6"/>
  <c r="D394" i="6"/>
  <c r="D386" i="6"/>
  <c r="D378" i="6"/>
  <c r="D711" i="6"/>
  <c r="D707" i="6"/>
  <c r="D686" i="6"/>
  <c r="D674" i="6"/>
  <c r="D647" i="6"/>
  <c r="D634" i="6"/>
  <c r="D627" i="6"/>
  <c r="D618" i="6"/>
  <c r="D611" i="6"/>
  <c r="D602" i="6"/>
  <c r="D586" i="6"/>
  <c r="D570" i="6"/>
  <c r="D563" i="6"/>
  <c r="D554" i="6"/>
  <c r="D549" i="6"/>
  <c r="D533" i="6"/>
  <c r="D718" i="6"/>
  <c r="D679" i="6"/>
  <c r="D577" i="6"/>
  <c r="D561" i="6"/>
  <c r="D706" i="6"/>
  <c r="D702" i="6"/>
  <c r="D682" i="6"/>
  <c r="D695" i="6"/>
  <c r="D678" i="6"/>
  <c r="D671" i="6"/>
  <c r="D659" i="6"/>
  <c r="D651" i="6"/>
  <c r="D631" i="6"/>
  <c r="D608" i="6"/>
  <c r="D592" i="6"/>
  <c r="D576" i="6"/>
  <c r="D560" i="6"/>
  <c r="D535" i="6"/>
  <c r="D656" i="6"/>
  <c r="D650" i="6"/>
  <c r="D642" i="6"/>
  <c r="D527" i="6"/>
  <c r="D511" i="6"/>
  <c r="D495" i="6"/>
  <c r="D463" i="6"/>
  <c r="D447" i="6"/>
  <c r="D431" i="6"/>
  <c r="D415" i="6"/>
  <c r="D399" i="6"/>
  <c r="D383" i="6"/>
  <c r="D371" i="6"/>
  <c r="D363" i="6"/>
  <c r="D355" i="6"/>
  <c r="D347" i="6"/>
  <c r="D687" i="6"/>
  <c r="D672" i="6"/>
  <c r="D658" i="6"/>
  <c r="D607" i="6"/>
  <c r="D587" i="6"/>
  <c r="D584" i="6"/>
  <c r="D575" i="6"/>
  <c r="D555" i="6"/>
  <c r="D552" i="6"/>
  <c r="D547" i="6"/>
  <c r="D531" i="6"/>
  <c r="D525" i="6"/>
  <c r="D518" i="6"/>
  <c r="D509" i="6"/>
  <c r="D493" i="6"/>
  <c r="D470" i="6"/>
  <c r="D461" i="6"/>
  <c r="D429" i="6"/>
  <c r="D422" i="6"/>
  <c r="D655" i="6"/>
  <c r="D610" i="6"/>
  <c r="D578" i="6"/>
  <c r="D540" i="6"/>
  <c r="D523" i="6"/>
  <c r="D507" i="6"/>
  <c r="D491" i="6"/>
  <c r="D484" i="6"/>
  <c r="D475" i="6"/>
  <c r="D468" i="6"/>
  <c r="D459" i="6"/>
  <c r="D452" i="6"/>
  <c r="D443" i="6"/>
  <c r="D427" i="6"/>
  <c r="D420" i="6"/>
  <c r="D411" i="6"/>
  <c r="D675" i="6"/>
  <c r="D666" i="6"/>
  <c r="D663" i="6"/>
  <c r="D660" i="6"/>
  <c r="D668" i="6"/>
  <c r="D680" i="6"/>
  <c r="D648" i="6"/>
  <c r="D645" i="6"/>
  <c r="D637" i="6"/>
  <c r="D617" i="6"/>
  <c r="D614" i="6"/>
  <c r="D585" i="6"/>
  <c r="D582" i="6"/>
  <c r="D553" i="6"/>
  <c r="D550" i="6"/>
  <c r="D536" i="6"/>
  <c r="D534" i="6"/>
  <c r="D520" i="6"/>
  <c r="D513" i="6"/>
  <c r="D504" i="6"/>
  <c r="D497" i="6"/>
  <c r="D488" i="6"/>
  <c r="D481" i="6"/>
  <c r="D472" i="6"/>
  <c r="D465" i="6"/>
  <c r="D456" i="6"/>
  <c r="D449" i="6"/>
  <c r="D440" i="6"/>
  <c r="D633" i="6"/>
  <c r="D569" i="6"/>
  <c r="D510" i="6"/>
  <c r="D478" i="6"/>
  <c r="D424" i="6"/>
  <c r="D419" i="6"/>
  <c r="D416" i="6"/>
  <c r="D412" i="6"/>
  <c r="D372" i="6"/>
  <c r="D365" i="6"/>
  <c r="D349" i="6"/>
  <c r="D324" i="6"/>
  <c r="D316" i="6"/>
  <c r="D308" i="6"/>
  <c r="D300" i="6"/>
  <c r="D292" i="6"/>
  <c r="D284" i="6"/>
  <c r="D276" i="6"/>
  <c r="D268" i="6"/>
  <c r="D260" i="6"/>
  <c r="D252" i="6"/>
  <c r="D244" i="6"/>
  <c r="D236" i="6"/>
  <c r="D228" i="6"/>
  <c r="D220" i="6"/>
  <c r="D212" i="6"/>
  <c r="D204" i="6"/>
  <c r="D188" i="6"/>
  <c r="D180" i="6"/>
  <c r="D172" i="6"/>
  <c r="D164" i="6"/>
  <c r="D156" i="6"/>
  <c r="D148" i="6"/>
  <c r="D603" i="6"/>
  <c r="D598" i="6"/>
  <c r="D594" i="6"/>
  <c r="D589" i="6"/>
  <c r="D548" i="6"/>
  <c r="D544" i="6"/>
  <c r="D537" i="6"/>
  <c r="D512" i="6"/>
  <c r="D489" i="6"/>
  <c r="D480" i="6"/>
  <c r="D448" i="6"/>
  <c r="D437" i="6"/>
  <c r="D409" i="6"/>
  <c r="D403" i="6"/>
  <c r="D401" i="6"/>
  <c r="D395" i="6"/>
  <c r="D393" i="6"/>
  <c r="D370" i="6"/>
  <c r="D361" i="6"/>
  <c r="D354" i="6"/>
  <c r="D345" i="6"/>
  <c r="D335" i="6"/>
  <c r="D327" i="6"/>
  <c r="D319" i="6"/>
  <c r="D311" i="6"/>
  <c r="D303" i="6"/>
  <c r="D568" i="6"/>
  <c r="D524" i="6"/>
  <c r="D515" i="6"/>
  <c r="D483" i="6"/>
  <c r="D460" i="6"/>
  <c r="D451" i="6"/>
  <c r="D387" i="6"/>
  <c r="D385" i="6"/>
  <c r="D381" i="6"/>
  <c r="D379" i="6"/>
  <c r="D377" i="6"/>
  <c r="D368" i="6"/>
  <c r="D352" i="6"/>
  <c r="D601" i="6"/>
  <c r="D539" i="6"/>
  <c r="D494" i="6"/>
  <c r="D462" i="6"/>
  <c r="D433" i="6"/>
  <c r="D635" i="6"/>
  <c r="D630" i="6"/>
  <c r="D626" i="6"/>
  <c r="D621" i="6"/>
  <c r="D571" i="6"/>
  <c r="D562" i="6"/>
  <c r="D557" i="6"/>
  <c r="D528" i="6"/>
  <c r="D505" i="6"/>
  <c r="D496" i="6"/>
  <c r="D485" i="6"/>
  <c r="D464" i="6"/>
  <c r="D441" i="6"/>
  <c r="D428" i="6"/>
  <c r="D646" i="6"/>
  <c r="D600" i="6"/>
  <c r="D542" i="6"/>
  <c r="D499" i="6"/>
  <c r="D467" i="6"/>
  <c r="D435" i="6"/>
  <c r="D432" i="6"/>
  <c r="D519" i="6"/>
  <c r="D380" i="6"/>
  <c r="D367" i="6"/>
  <c r="D425" i="6"/>
  <c r="D406" i="6"/>
  <c r="D376" i="6"/>
  <c r="D373" i="6"/>
  <c r="D285" i="6"/>
  <c r="D278" i="6"/>
  <c r="D262" i="6"/>
  <c r="D253" i="6"/>
  <c r="D237" i="6"/>
  <c r="D230" i="6"/>
  <c r="D221" i="6"/>
  <c r="D214" i="6"/>
  <c r="D205" i="6"/>
  <c r="D182" i="6"/>
  <c r="D173" i="6"/>
  <c r="D166" i="6"/>
  <c r="D157" i="6"/>
  <c r="D140" i="6"/>
  <c r="D124" i="6"/>
  <c r="D116" i="6"/>
  <c r="D108" i="6"/>
  <c r="D388" i="6"/>
  <c r="D362" i="6"/>
  <c r="D359" i="6"/>
  <c r="D342" i="6"/>
  <c r="D290" i="6"/>
  <c r="D283" i="6"/>
  <c r="D274" i="6"/>
  <c r="D267" i="6"/>
  <c r="D258" i="6"/>
  <c r="D251" i="6"/>
  <c r="D242" i="6"/>
  <c r="D235" i="6"/>
  <c r="D226" i="6"/>
  <c r="D210" i="6"/>
  <c r="D203" i="6"/>
  <c r="D194" i="6"/>
  <c r="D187" i="6"/>
  <c r="D178" i="6"/>
  <c r="D171" i="6"/>
  <c r="D162" i="6"/>
  <c r="D143" i="6"/>
  <c r="D439" i="6"/>
  <c r="D408" i="6"/>
  <c r="D384" i="6"/>
  <c r="D364" i="6"/>
  <c r="D344" i="6"/>
  <c r="D339" i="6"/>
  <c r="D337" i="6"/>
  <c r="D331" i="6"/>
  <c r="D323" i="6"/>
  <c r="D321" i="6"/>
  <c r="D315" i="6"/>
  <c r="D313" i="6"/>
  <c r="D307" i="6"/>
  <c r="D305" i="6"/>
  <c r="D299" i="6"/>
  <c r="D297" i="6"/>
  <c r="D288" i="6"/>
  <c r="D279" i="6"/>
  <c r="D272" i="6"/>
  <c r="D263" i="6"/>
  <c r="D256" i="6"/>
  <c r="D247" i="6"/>
  <c r="D240" i="6"/>
  <c r="D224" i="6"/>
  <c r="D215" i="6"/>
  <c r="D208" i="6"/>
  <c r="D192" i="6"/>
  <c r="D183" i="6"/>
  <c r="D417" i="6"/>
  <c r="D396" i="6"/>
  <c r="D351" i="6"/>
  <c r="D346" i="6"/>
  <c r="D293" i="6"/>
  <c r="D286" i="6"/>
  <c r="D277" i="6"/>
  <c r="D245" i="6"/>
  <c r="D222" i="6"/>
  <c r="D206" i="6"/>
  <c r="D197" i="6"/>
  <c r="D413" i="6"/>
  <c r="D423" i="6"/>
  <c r="D392" i="6"/>
  <c r="D400" i="6"/>
  <c r="D586" i="5"/>
  <c r="G586" i="6" s="1"/>
  <c r="D594" i="5"/>
  <c r="G594" i="6" s="1"/>
  <c r="D602" i="5"/>
  <c r="G602" i="6" s="1"/>
  <c r="C633" i="5"/>
  <c r="C635" i="5"/>
  <c r="C637" i="5"/>
  <c r="C639" i="5"/>
  <c r="C641" i="5"/>
  <c r="C643" i="5"/>
  <c r="C645" i="5"/>
  <c r="C647" i="5"/>
  <c r="C649" i="5"/>
  <c r="C651" i="5"/>
  <c r="C653" i="5"/>
  <c r="C655" i="5"/>
  <c r="C657" i="5"/>
  <c r="C659" i="5"/>
  <c r="C661" i="5"/>
  <c r="C663" i="5"/>
  <c r="C665" i="5"/>
  <c r="C667" i="5"/>
  <c r="C669" i="5"/>
  <c r="C671" i="5"/>
  <c r="C673" i="5"/>
  <c r="C675" i="5"/>
  <c r="C677" i="5"/>
  <c r="C679" i="5"/>
  <c r="C681" i="5"/>
  <c r="C683" i="5"/>
  <c r="C685" i="5"/>
  <c r="C687" i="5"/>
  <c r="C689" i="5"/>
  <c r="C691" i="5"/>
  <c r="C693" i="5"/>
  <c r="C695" i="5"/>
  <c r="C697" i="5"/>
  <c r="C699" i="5"/>
  <c r="C701" i="5"/>
  <c r="C703" i="5"/>
  <c r="C705" i="5"/>
  <c r="C707" i="5"/>
  <c r="C709" i="5"/>
  <c r="C711" i="5"/>
  <c r="C713" i="5"/>
  <c r="C715" i="5"/>
  <c r="C717" i="5"/>
  <c r="C719" i="5"/>
  <c r="C721" i="5"/>
  <c r="C723" i="5"/>
  <c r="C725" i="5"/>
  <c r="C727" i="5"/>
  <c r="C729" i="5"/>
  <c r="C731" i="5"/>
  <c r="C733" i="5"/>
  <c r="C735" i="5"/>
  <c r="C737" i="5"/>
  <c r="C739" i="5"/>
  <c r="C741" i="5"/>
  <c r="C743" i="5"/>
  <c r="C745" i="5"/>
  <c r="C747" i="5"/>
  <c r="C749" i="5"/>
  <c r="C751" i="5"/>
  <c r="C753" i="5"/>
  <c r="C755" i="5"/>
  <c r="C757" i="5"/>
  <c r="D20" i="6"/>
  <c r="D28" i="6"/>
  <c r="D36" i="6"/>
  <c r="D44" i="6"/>
  <c r="D52" i="6"/>
  <c r="D76" i="6"/>
  <c r="D84" i="6"/>
  <c r="D100" i="6"/>
  <c r="D117" i="6"/>
  <c r="D126" i="6"/>
  <c r="D133" i="6"/>
  <c r="D177" i="6"/>
  <c r="D184" i="6"/>
  <c r="D191" i="6"/>
  <c r="D211" i="6"/>
  <c r="D225" i="6"/>
  <c r="D248" i="6"/>
  <c r="D250" i="6"/>
  <c r="E478" i="6"/>
  <c r="E481" i="6"/>
  <c r="E490" i="6"/>
  <c r="E510" i="6"/>
  <c r="E513" i="6"/>
  <c r="E522" i="6"/>
  <c r="E534" i="6"/>
  <c r="E582" i="6"/>
  <c r="E757" i="6"/>
  <c r="E753" i="6"/>
  <c r="E749" i="6"/>
  <c r="E745" i="6"/>
  <c r="E741" i="6"/>
  <c r="E737" i="6"/>
  <c r="E733" i="6"/>
  <c r="E729" i="6"/>
  <c r="E725" i="6"/>
  <c r="E721" i="6"/>
  <c r="E717" i="6"/>
  <c r="E713" i="6"/>
  <c r="E709" i="6"/>
  <c r="E705" i="6"/>
  <c r="E701" i="6"/>
  <c r="E697" i="6"/>
  <c r="E758" i="6"/>
  <c r="E754" i="6"/>
  <c r="E750" i="6"/>
  <c r="E746" i="6"/>
  <c r="E742" i="6"/>
  <c r="E738" i="6"/>
  <c r="E734" i="6"/>
  <c r="E730" i="6"/>
  <c r="E726" i="6"/>
  <c r="E722" i="6"/>
  <c r="E718" i="6"/>
  <c r="E714" i="6"/>
  <c r="E710" i="6"/>
  <c r="E706" i="6"/>
  <c r="E702" i="6"/>
  <c r="E698" i="6"/>
  <c r="E755" i="6"/>
  <c r="E751" i="6"/>
  <c r="E747" i="6"/>
  <c r="E743" i="6"/>
  <c r="E739" i="6"/>
  <c r="E735" i="6"/>
  <c r="E731" i="6"/>
  <c r="E727" i="6"/>
  <c r="E723" i="6"/>
  <c r="E756" i="6"/>
  <c r="E752" i="6"/>
  <c r="E748" i="6"/>
  <c r="E744" i="6"/>
  <c r="E740" i="6"/>
  <c r="E736" i="6"/>
  <c r="E732" i="6"/>
  <c r="E728" i="6"/>
  <c r="E724" i="6"/>
  <c r="E708" i="6"/>
  <c r="E682" i="6"/>
  <c r="E679" i="6"/>
  <c r="E676" i="6"/>
  <c r="E673" i="6"/>
  <c r="E650" i="6"/>
  <c r="E647" i="6"/>
  <c r="E631" i="6"/>
  <c r="E623" i="6"/>
  <c r="E615" i="6"/>
  <c r="E607" i="6"/>
  <c r="E599" i="6"/>
  <c r="E591" i="6"/>
  <c r="E583" i="6"/>
  <c r="E575" i="6"/>
  <c r="E567" i="6"/>
  <c r="E559" i="6"/>
  <c r="E551" i="6"/>
  <c r="E719" i="6"/>
  <c r="E703" i="6"/>
  <c r="E694" i="6"/>
  <c r="E712" i="6"/>
  <c r="E696" i="6"/>
  <c r="E707" i="6"/>
  <c r="E720" i="6"/>
  <c r="E715" i="6"/>
  <c r="E711" i="6"/>
  <c r="E704" i="6"/>
  <c r="E700" i="6"/>
  <c r="E688" i="6"/>
  <c r="E686" i="6"/>
  <c r="E674" i="6"/>
  <c r="E669" i="6"/>
  <c r="E649" i="6"/>
  <c r="E636" i="6"/>
  <c r="E634" i="6"/>
  <c r="E627" i="6"/>
  <c r="E620" i="6"/>
  <c r="E618" i="6"/>
  <c r="E611" i="6"/>
  <c r="E604" i="6"/>
  <c r="E602" i="6"/>
  <c r="E595" i="6"/>
  <c r="E588" i="6"/>
  <c r="E586" i="6"/>
  <c r="E579" i="6"/>
  <c r="E572" i="6"/>
  <c r="E570" i="6"/>
  <c r="E563" i="6"/>
  <c r="E556" i="6"/>
  <c r="E554" i="6"/>
  <c r="E549" i="6"/>
  <c r="E541" i="6"/>
  <c r="E533" i="6"/>
  <c r="E525" i="6"/>
  <c r="E517" i="6"/>
  <c r="E509" i="6"/>
  <c r="E501" i="6"/>
  <c r="E493" i="6"/>
  <c r="E485" i="6"/>
  <c r="E477" i="6"/>
  <c r="E469" i="6"/>
  <c r="E461" i="6"/>
  <c r="E453" i="6"/>
  <c r="E445" i="6"/>
  <c r="E437" i="6"/>
  <c r="E429" i="6"/>
  <c r="E421" i="6"/>
  <c r="E413" i="6"/>
  <c r="E405" i="6"/>
  <c r="E397" i="6"/>
  <c r="E389" i="6"/>
  <c r="E381" i="6"/>
  <c r="E681" i="6"/>
  <c r="E667" i="6"/>
  <c r="E657" i="6"/>
  <c r="E652" i="6"/>
  <c r="E625" i="6"/>
  <c r="E609" i="6"/>
  <c r="E593" i="6"/>
  <c r="E577" i="6"/>
  <c r="E561" i="6"/>
  <c r="E544" i="6"/>
  <c r="E536" i="6"/>
  <c r="E528" i="6"/>
  <c r="E684" i="6"/>
  <c r="E672" i="6"/>
  <c r="E665" i="6"/>
  <c r="E660" i="6"/>
  <c r="E655" i="6"/>
  <c r="E645" i="6"/>
  <c r="E642" i="6"/>
  <c r="E639" i="6"/>
  <c r="E632" i="6"/>
  <c r="E616" i="6"/>
  <c r="E600" i="6"/>
  <c r="E584" i="6"/>
  <c r="E568" i="6"/>
  <c r="E552" i="6"/>
  <c r="E699" i="6"/>
  <c r="E691" i="6"/>
  <c r="E693" i="6"/>
  <c r="E689" i="6"/>
  <c r="E687" i="6"/>
  <c r="E675" i="6"/>
  <c r="E695" i="6"/>
  <c r="E716" i="6"/>
  <c r="E692" i="6"/>
  <c r="E690" i="6"/>
  <c r="E683" i="6"/>
  <c r="E664" i="6"/>
  <c r="E662" i="6"/>
  <c r="E654" i="6"/>
  <c r="E644" i="6"/>
  <c r="E641" i="6"/>
  <c r="E638" i="6"/>
  <c r="E629" i="6"/>
  <c r="E622" i="6"/>
  <c r="E613" i="6"/>
  <c r="E606" i="6"/>
  <c r="E597" i="6"/>
  <c r="E590" i="6"/>
  <c r="E581" i="6"/>
  <c r="E574" i="6"/>
  <c r="E565" i="6"/>
  <c r="E558" i="6"/>
  <c r="E546" i="6"/>
  <c r="E538" i="6"/>
  <c r="E530" i="6"/>
  <c r="E658" i="6"/>
  <c r="E653" i="6"/>
  <c r="E628" i="6"/>
  <c r="E619" i="6"/>
  <c r="E596" i="6"/>
  <c r="E587" i="6"/>
  <c r="E564" i="6"/>
  <c r="E555" i="6"/>
  <c r="E547" i="6"/>
  <c r="E545" i="6"/>
  <c r="E531" i="6"/>
  <c r="E529" i="6"/>
  <c r="E518" i="6"/>
  <c r="E502" i="6"/>
  <c r="E486" i="6"/>
  <c r="E470" i="6"/>
  <c r="E454" i="6"/>
  <c r="E438" i="6"/>
  <c r="E422" i="6"/>
  <c r="E406" i="6"/>
  <c r="E390" i="6"/>
  <c r="E374" i="6"/>
  <c r="E366" i="6"/>
  <c r="E358" i="6"/>
  <c r="E350" i="6"/>
  <c r="E342" i="6"/>
  <c r="E661" i="6"/>
  <c r="E610" i="6"/>
  <c r="E578" i="6"/>
  <c r="E540" i="6"/>
  <c r="E523" i="6"/>
  <c r="E516" i="6"/>
  <c r="E507" i="6"/>
  <c r="E500" i="6"/>
  <c r="E491" i="6"/>
  <c r="E484" i="6"/>
  <c r="E475" i="6"/>
  <c r="E468" i="6"/>
  <c r="E459" i="6"/>
  <c r="E452" i="6"/>
  <c r="E443" i="6"/>
  <c r="E436" i="6"/>
  <c r="E427" i="6"/>
  <c r="E420" i="6"/>
  <c r="E678" i="6"/>
  <c r="E666" i="6"/>
  <c r="E663" i="6"/>
  <c r="E633" i="6"/>
  <c r="E630" i="6"/>
  <c r="E621" i="6"/>
  <c r="E601" i="6"/>
  <c r="E598" i="6"/>
  <c r="E589" i="6"/>
  <c r="E569" i="6"/>
  <c r="E566" i="6"/>
  <c r="E557" i="6"/>
  <c r="E542" i="6"/>
  <c r="E521" i="6"/>
  <c r="E514" i="6"/>
  <c r="E512" i="6"/>
  <c r="E505" i="6"/>
  <c r="E498" i="6"/>
  <c r="E496" i="6"/>
  <c r="E489" i="6"/>
  <c r="E482" i="6"/>
  <c r="E480" i="6"/>
  <c r="E473" i="6"/>
  <c r="E466" i="6"/>
  <c r="E464" i="6"/>
  <c r="E457" i="6"/>
  <c r="E450" i="6"/>
  <c r="E448" i="6"/>
  <c r="E441" i="6"/>
  <c r="E434" i="6"/>
  <c r="E432" i="6"/>
  <c r="E425" i="6"/>
  <c r="E418" i="6"/>
  <c r="E416" i="6"/>
  <c r="E409" i="6"/>
  <c r="E685" i="6"/>
  <c r="E677" i="6"/>
  <c r="E671" i="6"/>
  <c r="E668" i="6"/>
  <c r="E680" i="6"/>
  <c r="E656" i="6"/>
  <c r="E608" i="6"/>
  <c r="E576" i="6"/>
  <c r="E543" i="6"/>
  <c r="E527" i="6"/>
  <c r="E511" i="6"/>
  <c r="E495" i="6"/>
  <c r="E479" i="6"/>
  <c r="E463" i="6"/>
  <c r="E447" i="6"/>
  <c r="E519" i="6"/>
  <c r="E670" i="6"/>
  <c r="E499" i="6"/>
  <c r="E508" i="6"/>
  <c r="E553" i="6"/>
  <c r="E617" i="6"/>
  <c r="E646" i="6"/>
  <c r="E659" i="6"/>
  <c r="E488" i="6"/>
  <c r="E520" i="6"/>
  <c r="E532" i="6"/>
  <c r="E535" i="6"/>
  <c r="E562" i="6"/>
  <c r="E571" i="6"/>
  <c r="E592" i="6"/>
  <c r="E605" i="6"/>
  <c r="E626" i="6"/>
  <c r="E635" i="6"/>
  <c r="E643" i="6"/>
  <c r="E506" i="6"/>
  <c r="E526" i="6"/>
  <c r="E539" i="6"/>
  <c r="E550" i="6"/>
  <c r="E580" i="6"/>
  <c r="E614" i="6"/>
  <c r="E651" i="6"/>
  <c r="E471" i="6"/>
  <c r="E503" i="6"/>
  <c r="E640" i="6"/>
  <c r="E451" i="6"/>
  <c r="E460" i="6"/>
  <c r="E483" i="6"/>
  <c r="E492" i="6"/>
  <c r="E515" i="6"/>
  <c r="E524" i="6"/>
  <c r="E585" i="6"/>
  <c r="E648" i="6"/>
  <c r="F680" i="6"/>
  <c r="F668" i="6"/>
  <c r="E247" i="6"/>
  <c r="E255" i="6"/>
  <c r="E263" i="6"/>
  <c r="E271" i="6"/>
  <c r="E279" i="6"/>
  <c r="E287" i="6"/>
  <c r="E295" i="6"/>
  <c r="E303" i="6"/>
  <c r="E311" i="6"/>
  <c r="E319" i="6"/>
  <c r="E327" i="6"/>
  <c r="E335" i="6"/>
  <c r="E345" i="6"/>
  <c r="E347" i="6"/>
  <c r="E354" i="6"/>
  <c r="E361" i="6"/>
  <c r="E363" i="6"/>
  <c r="E370" i="6"/>
  <c r="E393" i="6"/>
  <c r="E395" i="6"/>
  <c r="E401" i="6"/>
  <c r="E403" i="6"/>
  <c r="E407" i="6"/>
  <c r="E440" i="6"/>
  <c r="E472" i="6"/>
  <c r="E504" i="6"/>
  <c r="E537" i="6"/>
  <c r="E548" i="6"/>
  <c r="E560" i="6"/>
  <c r="E573" i="6"/>
  <c r="E594" i="6"/>
  <c r="E603" i="6"/>
  <c r="E624" i="6"/>
  <c r="E637" i="6"/>
  <c r="F675" i="6"/>
  <c r="F657" i="6"/>
  <c r="F645" i="6"/>
  <c r="F660" i="6"/>
  <c r="F685" i="6"/>
  <c r="F703" i="6"/>
  <c r="F698" i="6"/>
  <c r="F650" i="6"/>
  <c r="F653" i="6"/>
  <c r="F674" i="6"/>
  <c r="F679" i="6"/>
  <c r="F670" i="6"/>
  <c r="F702" i="6"/>
</calcChain>
</file>

<file path=xl/sharedStrings.xml><?xml version="1.0" encoding="utf-8"?>
<sst xmlns="http://schemas.openxmlformats.org/spreadsheetml/2006/main" count="27" uniqueCount="20">
  <si>
    <t>DATE</t>
  </si>
  <si>
    <t>PCEPI</t>
  </si>
  <si>
    <t>PCEPILFE</t>
  </si>
  <si>
    <t>DFEDTARU</t>
  </si>
  <si>
    <t>CPILFESL</t>
  </si>
  <si>
    <t>Personal Consumption Expenditures: Chain-type Price Index (PCEPI)</t>
  </si>
  <si>
    <t>Date</t>
  </si>
  <si>
    <t>Value</t>
  </si>
  <si>
    <t>PCE Core MoM</t>
  </si>
  <si>
    <t>PCE Core YoY</t>
  </si>
  <si>
    <t>Personal Consumption Expenditures Excluding Food and Energy (Chain-Type Price Index)</t>
  </si>
  <si>
    <t>https://fred.stlouisfed.org/series/DFEDTARU</t>
  </si>
  <si>
    <t>Fed Target</t>
  </si>
  <si>
    <t>Fed Fund Target</t>
  </si>
  <si>
    <t>Core PCE</t>
  </si>
  <si>
    <t>Core CPI</t>
  </si>
  <si>
    <t>Core PCE base 2000</t>
  </si>
  <si>
    <t>Core CPI base 2000</t>
  </si>
  <si>
    <t>Core CPI yoy</t>
  </si>
  <si>
    <t>Core PCE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</si>
</sst>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mm/dd/yyyy"/>
    <numFmt numFmtId="166" formatCode="yyyy\-mm\-dd"/>
    <numFmt numFmtId="167" formatCode="0.000"/>
    <numFmt numFmtId="168" formatCode="dd\-mm\-yyyy"/>
  </numFmts>
  <fonts count="1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6" fillId="0" borderId="0"/>
    <xf numFmtId="0" fontId="10" fillId="0" borderId="0"/>
  </cellStyleXfs>
  <cellXfs count="52">
    <xf numFmtId="0" fontId="0" fillId="0" borderId="0" xfId="0"/>
    <xf numFmtId="10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0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0" fontId="1" fillId="2" borderId="4" xfId="0" applyNumberFormat="1" applyFont="1" applyFill="1" applyBorder="1" applyAlignment="1">
      <alignment horizontal="center"/>
    </xf>
    <xf numFmtId="10" fontId="1" fillId="2" borderId="4" xfId="0" applyNumberFormat="1" applyFont="1" applyFill="1" applyBorder="1" applyAlignment="1">
      <alignment horizontal="center" vertical="center"/>
    </xf>
    <xf numFmtId="10" fontId="4" fillId="2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2" fontId="0" fillId="2" borderId="0" xfId="0" applyNumberFormat="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2" borderId="4" xfId="0" applyFill="1" applyBorder="1" applyAlignment="1">
      <alignment horizontal="center"/>
    </xf>
    <xf numFmtId="9" fontId="0" fillId="2" borderId="4" xfId="6" applyFont="1" applyFill="1" applyBorder="1" applyAlignment="1">
      <alignment horizontal="center"/>
    </xf>
    <xf numFmtId="10" fontId="0" fillId="2" borderId="0" xfId="6" applyNumberFormat="1" applyFont="1" applyFill="1"/>
    <xf numFmtId="0" fontId="7" fillId="3" borderId="5" xfId="0" applyFont="1" applyFill="1" applyBorder="1" applyAlignment="1">
      <alignment horizontal="center" vertical="center" wrapText="1"/>
    </xf>
    <xf numFmtId="10" fontId="7" fillId="3" borderId="6" xfId="0" applyNumberFormat="1" applyFont="1" applyFill="1" applyBorder="1" applyAlignment="1">
      <alignment horizontal="center" vertical="center" wrapText="1"/>
    </xf>
    <xf numFmtId="2" fontId="7" fillId="3" borderId="6" xfId="0" applyNumberFormat="1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/>
    </xf>
    <xf numFmtId="10" fontId="9" fillId="3" borderId="6" xfId="0" applyNumberFormat="1" applyFont="1" applyFill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/>
    </xf>
    <xf numFmtId="10" fontId="0" fillId="2" borderId="4" xfId="6" applyNumberFormat="1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10" fontId="0" fillId="2" borderId="8" xfId="6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10" fontId="0" fillId="2" borderId="0" xfId="0" applyNumberFormat="1" applyFill="1"/>
    <xf numFmtId="0" fontId="0" fillId="0" borderId="0" xfId="0"/>
    <xf numFmtId="0" fontId="2" fillId="2" borderId="0" xfId="1" applyFill="1"/>
    <xf numFmtId="166" fontId="5" fillId="2" borderId="4" xfId="2" applyNumberFormat="1" applyFont="1" applyFill="1" applyBorder="1" applyAlignment="1">
      <alignment horizontal="center"/>
    </xf>
    <xf numFmtId="167" fontId="0" fillId="2" borderId="4" xfId="0" applyNumberFormat="1" applyFill="1" applyBorder="1" applyAlignment="1">
      <alignment horizontal="center"/>
    </xf>
    <xf numFmtId="166" fontId="0" fillId="2" borderId="4" xfId="0" applyNumberFormat="1" applyFill="1" applyBorder="1" applyAlignment="1">
      <alignment horizontal="center"/>
    </xf>
    <xf numFmtId="166" fontId="0" fillId="5" borderId="8" xfId="0" applyNumberFormat="1" applyFill="1" applyBorder="1" applyAlignment="1">
      <alignment horizontal="center"/>
    </xf>
    <xf numFmtId="166" fontId="0" fillId="2" borderId="8" xfId="0" applyNumberFormat="1" applyFill="1" applyBorder="1" applyAlignment="1">
      <alignment horizontal="center"/>
    </xf>
    <xf numFmtId="166" fontId="0" fillId="5" borderId="4" xfId="0" applyNumberFormat="1" applyFill="1" applyBorder="1" applyAlignment="1">
      <alignment horizontal="center"/>
    </xf>
    <xf numFmtId="0" fontId="0" fillId="2" borderId="0" xfId="0" applyFill="1"/>
    <xf numFmtId="168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5" fontId="1" fillId="2" borderId="0" xfId="0" applyNumberFormat="1" applyFont="1" applyFill="1"/>
    <xf numFmtId="164" fontId="1" fillId="2" borderId="0" xfId="0" applyNumberFormat="1" applyFont="1" applyFill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164" fontId="0" fillId="2" borderId="0" xfId="0" applyNumberFormat="1" applyFill="1"/>
    <xf numFmtId="164" fontId="9" fillId="3" borderId="6" xfId="0" applyNumberFormat="1" applyFont="1" applyFill="1" applyBorder="1" applyAlignment="1">
      <alignment horizontal="center" vertical="center"/>
    </xf>
    <xf numFmtId="164" fontId="7" fillId="3" borderId="6" xfId="0" applyNumberFormat="1" applyFont="1" applyFill="1" applyBorder="1" applyAlignment="1">
      <alignment horizontal="center" vertical="center" wrapText="1"/>
    </xf>
    <xf numFmtId="0" fontId="0" fillId="2" borderId="0" xfId="0" applyFill="1"/>
  </cellXfs>
  <cellStyles count="8">
    <cellStyle name="Hyperlink" xfId="1" builtinId="8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7" xr:uid="{00000000-0005-0000-0000-000007000000}"/>
    <cellStyle name="Per cent" xfId="6" builtinId="5"/>
  </cellStyles>
  <dxfs count="28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>
          <bgColor theme="0"/>
        </patternFill>
      </fill>
      <alignment horizontal="center"/>
    </dxf>
    <dxf>
      <border>
        <bottom style="medium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rgb="FF00B050"/>
        </patternFill>
      </fill>
      <alignment horizontal="center" vertical="center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indexed="64"/>
          <bgColor theme="0"/>
        </patternFill>
      </fill>
      <alignment horizontal="center"/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indexed="64"/>
          <bgColor theme="0"/>
        </patternFill>
      </fill>
      <alignment horizontal="center"/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/>
      <border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Core PCE  yoy since 2000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'PCE Core'!$D$4</c:f>
              <c:strCache>
                <c:ptCount val="1"/>
                <c:pt idx="0">
                  <c:v>PCE Core YoY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Core'!$A$497:$A$759</c:f>
              <c:numCache>
                <c:formatCode>yyyy\-mm\-dd</c:formatCode>
                <c:ptCount val="263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</c:numCache>
            </c:numRef>
          </c:cat>
          <c:val>
            <c:numRef>
              <c:f>'PCE Core'!$D$497:$D$759</c:f>
              <c:numCache>
                <c:formatCode>0.00%</c:formatCode>
                <c:ptCount val="263"/>
                <c:pt idx="0">
                  <c:v>1.5372702345892131E-2</c:v>
                </c:pt>
                <c:pt idx="1">
                  <c:v>1.7231964850347298E-2</c:v>
                </c:pt>
                <c:pt idx="2">
                  <c:v>1.9003973442677059E-2</c:v>
                </c:pt>
                <c:pt idx="3">
                  <c:v>1.7068692624248167E-2</c:v>
                </c:pt>
                <c:pt idx="4">
                  <c:v>1.7178783317099138E-2</c:v>
                </c:pt>
                <c:pt idx="5">
                  <c:v>1.7422748191978962E-2</c:v>
                </c:pt>
                <c:pt idx="6">
                  <c:v>1.790875244525774E-2</c:v>
                </c:pt>
                <c:pt idx="7">
                  <c:v>1.8720119082159235E-2</c:v>
                </c:pt>
                <c:pt idx="8">
                  <c:v>1.8494520840934524E-2</c:v>
                </c:pt>
                <c:pt idx="9">
                  <c:v>1.8186613747974645E-2</c:v>
                </c:pt>
                <c:pt idx="10">
                  <c:v>1.9009975531714671E-2</c:v>
                </c:pt>
                <c:pt idx="11">
                  <c:v>1.8710211038147212E-2</c:v>
                </c:pt>
                <c:pt idx="12">
                  <c:v>2.0065760686111545E-2</c:v>
                </c:pt>
                <c:pt idx="13">
                  <c:v>2.0348038848525825E-2</c:v>
                </c:pt>
                <c:pt idx="14">
                  <c:v>1.932228728042858E-2</c:v>
                </c:pt>
                <c:pt idx="15">
                  <c:v>2.0268167274628691E-2</c:v>
                </c:pt>
                <c:pt idx="16">
                  <c:v>1.9413249760598848E-2</c:v>
                </c:pt>
                <c:pt idx="17">
                  <c:v>2.0927053560333014E-2</c:v>
                </c:pt>
                <c:pt idx="18">
                  <c:v>2.1226473578495837E-2</c:v>
                </c:pt>
                <c:pt idx="19">
                  <c:v>2.0419282538974959E-2</c:v>
                </c:pt>
                <c:pt idx="20">
                  <c:v>1.2179906859535655E-2</c:v>
                </c:pt>
                <c:pt idx="21">
                  <c:v>1.7874104136085121E-2</c:v>
                </c:pt>
                <c:pt idx="22">
                  <c:v>1.813816032508328E-2</c:v>
                </c:pt>
                <c:pt idx="23">
                  <c:v>1.7382425666449295E-2</c:v>
                </c:pt>
                <c:pt idx="24">
                  <c:v>1.4192567898813624E-2</c:v>
                </c:pt>
                <c:pt idx="25">
                  <c:v>1.4326612508564063E-2</c:v>
                </c:pt>
                <c:pt idx="26">
                  <c:v>1.4482834480145711E-2</c:v>
                </c:pt>
                <c:pt idx="27">
                  <c:v>1.5704506351356375E-2</c:v>
                </c:pt>
                <c:pt idx="28">
                  <c:v>1.6603635476393853E-2</c:v>
                </c:pt>
                <c:pt idx="29">
                  <c:v>1.5933490761253225E-2</c:v>
                </c:pt>
                <c:pt idx="30">
                  <c:v>1.5370419833426479E-2</c:v>
                </c:pt>
                <c:pt idx="31">
                  <c:v>1.6879838846685813E-2</c:v>
                </c:pt>
                <c:pt idx="32">
                  <c:v>2.4347380368322836E-2</c:v>
                </c:pt>
                <c:pt idx="33">
                  <c:v>1.8044985214988488E-2</c:v>
                </c:pt>
                <c:pt idx="34">
                  <c:v>1.698051594644602E-2</c:v>
                </c:pt>
                <c:pt idx="35">
                  <c:v>1.7690019588401829E-2</c:v>
                </c:pt>
                <c:pt idx="36">
                  <c:v>1.7800604229607237E-2</c:v>
                </c:pt>
                <c:pt idx="37">
                  <c:v>1.7272365421496402E-2</c:v>
                </c:pt>
                <c:pt idx="38">
                  <c:v>1.7685468520347969E-2</c:v>
                </c:pt>
                <c:pt idx="39">
                  <c:v>1.5978279151349122E-2</c:v>
                </c:pt>
                <c:pt idx="40">
                  <c:v>1.6308456636785765E-2</c:v>
                </c:pt>
                <c:pt idx="41">
                  <c:v>1.5276230185830917E-2</c:v>
                </c:pt>
                <c:pt idx="42">
                  <c:v>1.5747560742299514E-2</c:v>
                </c:pt>
                <c:pt idx="43">
                  <c:v>1.4893134599090715E-2</c:v>
                </c:pt>
                <c:pt idx="44">
                  <c:v>1.4654371291729263E-2</c:v>
                </c:pt>
                <c:pt idx="45">
                  <c:v>1.5653830129158951E-2</c:v>
                </c:pt>
                <c:pt idx="46">
                  <c:v>1.6054800385315142E-2</c:v>
                </c:pt>
                <c:pt idx="47">
                  <c:v>1.6384482861046643E-2</c:v>
                </c:pt>
                <c:pt idx="48">
                  <c:v>1.828479156524947E-2</c:v>
                </c:pt>
                <c:pt idx="49">
                  <c:v>1.8532351581119082E-2</c:v>
                </c:pt>
                <c:pt idx="50">
                  <c:v>1.8609276227004791E-2</c:v>
                </c:pt>
                <c:pt idx="51">
                  <c:v>2.012581591145585E-2</c:v>
                </c:pt>
                <c:pt idx="52">
                  <c:v>2.0049592631951912E-2</c:v>
                </c:pt>
                <c:pt idx="53">
                  <c:v>2.1088531709504664E-2</c:v>
                </c:pt>
                <c:pt idx="54">
                  <c:v>1.9764800056504515E-2</c:v>
                </c:pt>
                <c:pt idx="55">
                  <c:v>1.9001704979716615E-2</c:v>
                </c:pt>
                <c:pt idx="56">
                  <c:v>1.9480061998027241E-2</c:v>
                </c:pt>
                <c:pt idx="57">
                  <c:v>1.9831223628692069E-2</c:v>
                </c:pt>
                <c:pt idx="58">
                  <c:v>2.0623383311679958E-2</c:v>
                </c:pt>
                <c:pt idx="59">
                  <c:v>2.0656036659496987E-2</c:v>
                </c:pt>
                <c:pt idx="60">
                  <c:v>2.171099425160028E-2</c:v>
                </c:pt>
                <c:pt idx="61">
                  <c:v>2.17457102279341E-2</c:v>
                </c:pt>
                <c:pt idx="62">
                  <c:v>2.2557701694442371E-2</c:v>
                </c:pt>
                <c:pt idx="63">
                  <c:v>2.1084965805030748E-2</c:v>
                </c:pt>
                <c:pt idx="64">
                  <c:v>2.1773857480205584E-2</c:v>
                </c:pt>
                <c:pt idx="65">
                  <c:v>2.0861022825772811E-2</c:v>
                </c:pt>
                <c:pt idx="66">
                  <c:v>2.1147896753936298E-2</c:v>
                </c:pt>
                <c:pt idx="67">
                  <c:v>2.1589873184015822E-2</c:v>
                </c:pt>
                <c:pt idx="68">
                  <c:v>2.1941190698317282E-2</c:v>
                </c:pt>
                <c:pt idx="69">
                  <c:v>2.2640555325702187E-2</c:v>
                </c:pt>
                <c:pt idx="70">
                  <c:v>2.3062191080172888E-2</c:v>
                </c:pt>
                <c:pt idx="71">
                  <c:v>2.2803541363631153E-2</c:v>
                </c:pt>
                <c:pt idx="72">
                  <c:v>2.1432239657631955E-2</c:v>
                </c:pt>
                <c:pt idx="73">
                  <c:v>2.1385439216133183E-2</c:v>
                </c:pt>
                <c:pt idx="74">
                  <c:v>2.1673656335595155E-2</c:v>
                </c:pt>
                <c:pt idx="75">
                  <c:v>2.3612482829865229E-2</c:v>
                </c:pt>
                <c:pt idx="76">
                  <c:v>2.4085466018647434E-2</c:v>
                </c:pt>
                <c:pt idx="77">
                  <c:v>2.5959470168685682E-2</c:v>
                </c:pt>
                <c:pt idx="78">
                  <c:v>2.5457834049287923E-2</c:v>
                </c:pt>
                <c:pt idx="79">
                  <c:v>2.6702209370623103E-2</c:v>
                </c:pt>
                <c:pt idx="80">
                  <c:v>2.6057163465873365E-2</c:v>
                </c:pt>
                <c:pt idx="81">
                  <c:v>2.4971342518711585E-2</c:v>
                </c:pt>
                <c:pt idx="82">
                  <c:v>2.2844972536711253E-2</c:v>
                </c:pt>
                <c:pt idx="83">
                  <c:v>2.3157376094600318E-2</c:v>
                </c:pt>
                <c:pt idx="84">
                  <c:v>2.5004748444186223E-2</c:v>
                </c:pt>
                <c:pt idx="85">
                  <c:v>2.5566945910069354E-2</c:v>
                </c:pt>
                <c:pt idx="86">
                  <c:v>2.3783567312612532E-2</c:v>
                </c:pt>
                <c:pt idx="87">
                  <c:v>2.2114030320841974E-2</c:v>
                </c:pt>
                <c:pt idx="88">
                  <c:v>2.0764422810996289E-2</c:v>
                </c:pt>
                <c:pt idx="89">
                  <c:v>1.9873542036789798E-2</c:v>
                </c:pt>
                <c:pt idx="90">
                  <c:v>2.0405238557191983E-2</c:v>
                </c:pt>
                <c:pt idx="91">
                  <c:v>1.9857859531772493E-2</c:v>
                </c:pt>
                <c:pt idx="92">
                  <c:v>2.1023725834797748E-2</c:v>
                </c:pt>
                <c:pt idx="93">
                  <c:v>2.1841147318100135E-2</c:v>
                </c:pt>
                <c:pt idx="94">
                  <c:v>2.3353936524636156E-2</c:v>
                </c:pt>
                <c:pt idx="95">
                  <c:v>2.4045091386669458E-2</c:v>
                </c:pt>
                <c:pt idx="96">
                  <c:v>2.193130661318277E-2</c:v>
                </c:pt>
                <c:pt idx="97">
                  <c:v>2.0720260172505698E-2</c:v>
                </c:pt>
                <c:pt idx="98">
                  <c:v>2.1688108484005666E-2</c:v>
                </c:pt>
                <c:pt idx="99">
                  <c:v>2.0832655187005649E-2</c:v>
                </c:pt>
                <c:pt idx="100">
                  <c:v>2.1490809779781406E-2</c:v>
                </c:pt>
                <c:pt idx="101">
                  <c:v>2.2147926945382118E-2</c:v>
                </c:pt>
                <c:pt idx="102">
                  <c:v>2.2449574884132999E-2</c:v>
                </c:pt>
                <c:pt idx="103">
                  <c:v>2.2178833022297621E-2</c:v>
                </c:pt>
                <c:pt idx="104">
                  <c:v>2.0440217742109062E-2</c:v>
                </c:pt>
                <c:pt idx="105">
                  <c:v>1.6341903085969313E-2</c:v>
                </c:pt>
                <c:pt idx="106">
                  <c:v>1.390034161856522E-2</c:v>
                </c:pt>
                <c:pt idx="107">
                  <c:v>1.137153056098846E-2</c:v>
                </c:pt>
                <c:pt idx="108">
                  <c:v>9.0557102172730865E-3</c:v>
                </c:pt>
                <c:pt idx="109">
                  <c:v>8.8764332296152413E-3</c:v>
                </c:pt>
                <c:pt idx="110">
                  <c:v>7.625388182243573E-3</c:v>
                </c:pt>
                <c:pt idx="111">
                  <c:v>9.2896697596802323E-3</c:v>
                </c:pt>
                <c:pt idx="112">
                  <c:v>8.2223754707973652E-3</c:v>
                </c:pt>
                <c:pt idx="113">
                  <c:v>7.1979760984851706E-3</c:v>
                </c:pt>
                <c:pt idx="114">
                  <c:v>6.255217083505021E-3</c:v>
                </c:pt>
                <c:pt idx="115">
                  <c:v>6.5113922981942249E-3</c:v>
                </c:pt>
                <c:pt idx="116">
                  <c:v>7.2427098488202675E-3</c:v>
                </c:pt>
                <c:pt idx="117">
                  <c:v>1.2394556530368845E-2</c:v>
                </c:pt>
                <c:pt idx="118">
                  <c:v>1.3741457798620443E-2</c:v>
                </c:pt>
                <c:pt idx="119">
                  <c:v>1.5100759793302427E-2</c:v>
                </c:pt>
                <c:pt idx="120">
                  <c:v>1.6902391069956127E-2</c:v>
                </c:pt>
                <c:pt idx="121">
                  <c:v>1.6984061598909871E-2</c:v>
                </c:pt>
                <c:pt idx="122">
                  <c:v>1.7774025014512612E-2</c:v>
                </c:pt>
                <c:pt idx="123">
                  <c:v>1.6017776467243078E-2</c:v>
                </c:pt>
                <c:pt idx="124">
                  <c:v>1.6363253709354864E-2</c:v>
                </c:pt>
                <c:pt idx="125">
                  <c:v>1.5564733949196633E-2</c:v>
                </c:pt>
                <c:pt idx="126">
                  <c:v>1.4700786492077235E-2</c:v>
                </c:pt>
                <c:pt idx="127">
                  <c:v>1.4175771174533981E-2</c:v>
                </c:pt>
                <c:pt idx="128">
                  <c:v>1.2978721177295706E-2</c:v>
                </c:pt>
                <c:pt idx="129">
                  <c:v>1.0793280010011123E-2</c:v>
                </c:pt>
                <c:pt idx="130">
                  <c:v>1.1210902498489318E-2</c:v>
                </c:pt>
                <c:pt idx="131">
                  <c:v>1.0555902560899394E-2</c:v>
                </c:pt>
                <c:pt idx="132">
                  <c:v>1.1247284331763785E-2</c:v>
                </c:pt>
                <c:pt idx="133">
                  <c:v>1.2130653788232916E-2</c:v>
                </c:pt>
                <c:pt idx="134">
                  <c:v>1.2143649731927037E-2</c:v>
                </c:pt>
                <c:pt idx="135">
                  <c:v>1.3951367151060384E-2</c:v>
                </c:pt>
                <c:pt idx="136">
                  <c:v>1.5240461769425982E-2</c:v>
                </c:pt>
                <c:pt idx="137">
                  <c:v>1.5853961420647367E-2</c:v>
                </c:pt>
                <c:pt idx="138">
                  <c:v>1.7343971521115997E-2</c:v>
                </c:pt>
                <c:pt idx="139">
                  <c:v>1.8392159295329037E-2</c:v>
                </c:pt>
                <c:pt idx="140">
                  <c:v>1.8505698432543544E-2</c:v>
                </c:pt>
                <c:pt idx="141">
                  <c:v>1.7445939253879196E-2</c:v>
                </c:pt>
                <c:pt idx="142">
                  <c:v>1.8278484142848321E-2</c:v>
                </c:pt>
                <c:pt idx="143">
                  <c:v>1.9758122669303897E-2</c:v>
                </c:pt>
                <c:pt idx="144">
                  <c:v>2.0609972965471825E-2</c:v>
                </c:pt>
                <c:pt idx="145">
                  <c:v>2.0245656880752763E-2</c:v>
                </c:pt>
                <c:pt idx="146">
                  <c:v>2.0440573770491851E-2</c:v>
                </c:pt>
                <c:pt idx="147">
                  <c:v>1.9647530258423262E-2</c:v>
                </c:pt>
                <c:pt idx="148">
                  <c:v>1.8254688599487971E-2</c:v>
                </c:pt>
                <c:pt idx="149">
                  <c:v>1.8194042622550033E-2</c:v>
                </c:pt>
                <c:pt idx="150">
                  <c:v>1.7739983114465611E-2</c:v>
                </c:pt>
                <c:pt idx="151">
                  <c:v>1.6354499771585242E-2</c:v>
                </c:pt>
                <c:pt idx="152">
                  <c:v>1.692164103396494E-2</c:v>
                </c:pt>
                <c:pt idx="153">
                  <c:v>1.8890883095549534E-2</c:v>
                </c:pt>
                <c:pt idx="154">
                  <c:v>1.7839073946654703E-2</c:v>
                </c:pt>
                <c:pt idx="155">
                  <c:v>1.6890253757879396E-2</c:v>
                </c:pt>
                <c:pt idx="156">
                  <c:v>1.5943517847071133E-2</c:v>
                </c:pt>
                <c:pt idx="157">
                  <c:v>1.5750407338120838E-2</c:v>
                </c:pt>
                <c:pt idx="158">
                  <c:v>1.4960590391083838E-2</c:v>
                </c:pt>
                <c:pt idx="159">
                  <c:v>1.4206083451968015E-2</c:v>
                </c:pt>
                <c:pt idx="160">
                  <c:v>1.4271835908940794E-2</c:v>
                </c:pt>
                <c:pt idx="161">
                  <c:v>1.4887443721860925E-2</c:v>
                </c:pt>
                <c:pt idx="162">
                  <c:v>1.5131980050573155E-2</c:v>
                </c:pt>
                <c:pt idx="163">
                  <c:v>1.5671820688001943E-2</c:v>
                </c:pt>
                <c:pt idx="164">
                  <c:v>1.5552673583399958E-2</c:v>
                </c:pt>
                <c:pt idx="165">
                  <c:v>1.5256463844270629E-2</c:v>
                </c:pt>
                <c:pt idx="166">
                  <c:v>1.5935819307890453E-2</c:v>
                </c:pt>
                <c:pt idx="167">
                  <c:v>1.6579909401573521E-2</c:v>
                </c:pt>
                <c:pt idx="168">
                  <c:v>1.5415729000406529E-2</c:v>
                </c:pt>
                <c:pt idx="169">
                  <c:v>1.4822956273764256E-2</c:v>
                </c:pt>
                <c:pt idx="170">
                  <c:v>1.5818370678142197E-2</c:v>
                </c:pt>
                <c:pt idx="171">
                  <c:v>1.6962723525399685E-2</c:v>
                </c:pt>
                <c:pt idx="172">
                  <c:v>1.7665297416857587E-2</c:v>
                </c:pt>
                <c:pt idx="173">
                  <c:v>1.7173051519154599E-2</c:v>
                </c:pt>
                <c:pt idx="174">
                  <c:v>1.7741983124440093E-2</c:v>
                </c:pt>
                <c:pt idx="175">
                  <c:v>1.6944485420661837E-2</c:v>
                </c:pt>
                <c:pt idx="176">
                  <c:v>1.7063035982671684E-2</c:v>
                </c:pt>
                <c:pt idx="177">
                  <c:v>1.5821202764299411E-2</c:v>
                </c:pt>
                <c:pt idx="178">
                  <c:v>1.5128089711724683E-2</c:v>
                </c:pt>
                <c:pt idx="179">
                  <c:v>1.4697116277251765E-2</c:v>
                </c:pt>
                <c:pt idx="180">
                  <c:v>1.3570773045906318E-2</c:v>
                </c:pt>
                <c:pt idx="181">
                  <c:v>1.3962474021602292E-2</c:v>
                </c:pt>
                <c:pt idx="182">
                  <c:v>1.3595107319543462E-2</c:v>
                </c:pt>
                <c:pt idx="183">
                  <c:v>1.3384655760650815E-2</c:v>
                </c:pt>
                <c:pt idx="184">
                  <c:v>1.2846760656310321E-2</c:v>
                </c:pt>
                <c:pt idx="185">
                  <c:v>1.2899786780383686E-2</c:v>
                </c:pt>
                <c:pt idx="186">
                  <c:v>1.193781501223766E-2</c:v>
                </c:pt>
                <c:pt idx="187">
                  <c:v>1.2291118675537683E-2</c:v>
                </c:pt>
                <c:pt idx="188">
                  <c:v>1.2343532684283646E-2</c:v>
                </c:pt>
                <c:pt idx="189">
                  <c:v>1.1579770141562579E-2</c:v>
                </c:pt>
                <c:pt idx="190">
                  <c:v>1.1567379988432647E-2</c:v>
                </c:pt>
                <c:pt idx="191">
                  <c:v>1.1286920847096864E-2</c:v>
                </c:pt>
                <c:pt idx="192">
                  <c:v>1.3369808122062022E-2</c:v>
                </c:pt>
                <c:pt idx="193">
                  <c:v>1.3943418013856793E-2</c:v>
                </c:pt>
                <c:pt idx="194">
                  <c:v>1.3845119139123774E-2</c:v>
                </c:pt>
                <c:pt idx="195">
                  <c:v>1.4675414364640895E-2</c:v>
                </c:pt>
                <c:pt idx="196">
                  <c:v>1.4973415720649405E-2</c:v>
                </c:pt>
                <c:pt idx="197">
                  <c:v>1.4984068662628839E-2</c:v>
                </c:pt>
                <c:pt idx="198">
                  <c:v>1.5812165999063228E-2</c:v>
                </c:pt>
                <c:pt idx="199">
                  <c:v>1.6975706684244224E-2</c:v>
                </c:pt>
                <c:pt idx="200">
                  <c:v>1.6839353521476145E-2</c:v>
                </c:pt>
                <c:pt idx="201">
                  <c:v>1.8201070314512218E-2</c:v>
                </c:pt>
                <c:pt idx="202">
                  <c:v>1.7619592147894072E-2</c:v>
                </c:pt>
                <c:pt idx="203">
                  <c:v>1.8284147073108034E-2</c:v>
                </c:pt>
                <c:pt idx="204">
                  <c:v>1.9010684004410479E-2</c:v>
                </c:pt>
                <c:pt idx="205">
                  <c:v>1.8867029202137248E-2</c:v>
                </c:pt>
                <c:pt idx="206">
                  <c:v>1.6925540887595847E-2</c:v>
                </c:pt>
                <c:pt idx="207">
                  <c:v>1.7024937137239349E-2</c:v>
                </c:pt>
                <c:pt idx="208">
                  <c:v>1.6526975497413873E-2</c:v>
                </c:pt>
                <c:pt idx="209">
                  <c:v>1.6959378564627644E-2</c:v>
                </c:pt>
                <c:pt idx="210">
                  <c:v>1.587660107098824E-2</c:v>
                </c:pt>
                <c:pt idx="211">
                  <c:v>1.5048470729691175E-2</c:v>
                </c:pt>
                <c:pt idx="212">
                  <c:v>1.583801687011515E-2</c:v>
                </c:pt>
                <c:pt idx="213">
                  <c:v>1.6948199780769665E-2</c:v>
                </c:pt>
                <c:pt idx="214">
                  <c:v>1.6968039779378004E-2</c:v>
                </c:pt>
                <c:pt idx="215">
                  <c:v>1.7207679862338593E-2</c:v>
                </c:pt>
                <c:pt idx="216">
                  <c:v>1.7312786836312162E-2</c:v>
                </c:pt>
                <c:pt idx="217">
                  <c:v>1.7846996469722484E-2</c:v>
                </c:pt>
                <c:pt idx="218">
                  <c:v>2.0828091364030299E-2</c:v>
                </c:pt>
                <c:pt idx="219">
                  <c:v>2.0123249091432906E-2</c:v>
                </c:pt>
                <c:pt idx="220">
                  <c:v>2.1077261627313125E-2</c:v>
                </c:pt>
                <c:pt idx="221">
                  <c:v>2.0671882531795669E-2</c:v>
                </c:pt>
                <c:pt idx="222">
                  <c:v>2.1251760171940977E-2</c:v>
                </c:pt>
                <c:pt idx="223">
                  <c:v>2.0257639415869187E-2</c:v>
                </c:pt>
                <c:pt idx="224">
                  <c:v>2.0394025880462175E-2</c:v>
                </c:pt>
                <c:pt idx="225">
                  <c:v>1.9300573028946243E-2</c:v>
                </c:pt>
                <c:pt idx="226">
                  <c:v>2.059833703188732E-2</c:v>
                </c:pt>
                <c:pt idx="227">
                  <c:v>2.0566521711149269E-2</c:v>
                </c:pt>
                <c:pt idx="228">
                  <c:v>1.8338529249954154E-2</c:v>
                </c:pt>
                <c:pt idx="229">
                  <c:v>1.6682986648119916E-2</c:v>
                </c:pt>
                <c:pt idx="230">
                  <c:v>1.5628708623176529E-2</c:v>
                </c:pt>
                <c:pt idx="231">
                  <c:v>1.6901742109483236E-2</c:v>
                </c:pt>
                <c:pt idx="232">
                  <c:v>1.6140912438960122E-2</c:v>
                </c:pt>
                <c:pt idx="233">
                  <c:v>1.7174359253810015E-2</c:v>
                </c:pt>
                <c:pt idx="234">
                  <c:v>1.7344291442152489E-2</c:v>
                </c:pt>
                <c:pt idx="235">
                  <c:v>1.852204595136377E-2</c:v>
                </c:pt>
                <c:pt idx="236">
                  <c:v>1.7126046616881739E-2</c:v>
                </c:pt>
                <c:pt idx="237">
                  <c:v>1.7163619273144682E-2</c:v>
                </c:pt>
                <c:pt idx="238">
                  <c:v>1.5680542774138832E-2</c:v>
                </c:pt>
                <c:pt idx="239">
                  <c:v>1.6377493108480603E-2</c:v>
                </c:pt>
                <c:pt idx="240">
                  <c:v>1.7828200972447361E-2</c:v>
                </c:pt>
                <c:pt idx="241">
                  <c:v>1.9073594008785191E-2</c:v>
                </c:pt>
                <c:pt idx="242">
                  <c:v>1.7042083880130159E-2</c:v>
                </c:pt>
                <c:pt idx="243">
                  <c:v>9.1481717096597963E-3</c:v>
                </c:pt>
                <c:pt idx="244">
                  <c:v>1.0022909507445631E-2</c:v>
                </c:pt>
                <c:pt idx="245">
                  <c:v>1.1321731832102652E-2</c:v>
                </c:pt>
                <c:pt idx="246">
                  <c:v>1.3018279090503734E-2</c:v>
                </c:pt>
                <c:pt idx="247">
                  <c:v>1.497920544309774E-2</c:v>
                </c:pt>
                <c:pt idx="248">
                  <c:v>1.569855918552596E-2</c:v>
                </c:pt>
                <c:pt idx="249">
                  <c:v>1.4190510040874304E-2</c:v>
                </c:pt>
                <c:pt idx="250">
                  <c:v>1.3839539511085906E-2</c:v>
                </c:pt>
                <c:pt idx="251">
                  <c:v>1.4801815216620592E-2</c:v>
                </c:pt>
                <c:pt idx="252">
                  <c:v>1.5092002830856235E-2</c:v>
                </c:pt>
                <c:pt idx="253">
                  <c:v>1.4874354105021397E-2</c:v>
                </c:pt>
                <c:pt idx="254">
                  <c:v>1.9734865223155013E-2</c:v>
                </c:pt>
                <c:pt idx="255">
                  <c:v>3.0827147778527492E-2</c:v>
                </c:pt>
                <c:pt idx="256">
                  <c:v>3.4572582931669982E-2</c:v>
                </c:pt>
                <c:pt idx="257">
                  <c:v>3.5862799629188168E-2</c:v>
                </c:pt>
                <c:pt idx="258">
                  <c:v>3.6035560249977942E-2</c:v>
                </c:pt>
                <c:pt idx="259">
                  <c:v>3.5991611901273042E-2</c:v>
                </c:pt>
                <c:pt idx="260">
                  <c:v>3.7027626148899061E-2</c:v>
                </c:pt>
                <c:pt idx="261">
                  <c:v>4.1914541296862597E-2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5-7341-8730-5043B90ED304}"/>
            </c:ext>
          </c:extLst>
        </c:ser>
        <c:ser>
          <c:idx val="1"/>
          <c:order val="1"/>
          <c:tx>
            <c:strRef>
              <c:f>'PCE Core'!$E$4</c:f>
              <c:strCache>
                <c:ptCount val="1"/>
                <c:pt idx="0">
                  <c:v>Fed Target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val>
            <c:numRef>
              <c:f>'PCE Core'!$E$497:$E$759</c:f>
              <c:numCache>
                <c:formatCode>0%</c:formatCode>
                <c:ptCount val="263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0.02</c:v>
                </c:pt>
                <c:pt idx="82">
                  <c:v>0.02</c:v>
                </c:pt>
                <c:pt idx="83">
                  <c:v>0.02</c:v>
                </c:pt>
                <c:pt idx="84">
                  <c:v>0.02</c:v>
                </c:pt>
                <c:pt idx="85">
                  <c:v>0.02</c:v>
                </c:pt>
                <c:pt idx="86">
                  <c:v>0.02</c:v>
                </c:pt>
                <c:pt idx="87">
                  <c:v>0.02</c:v>
                </c:pt>
                <c:pt idx="88">
                  <c:v>0.02</c:v>
                </c:pt>
                <c:pt idx="89">
                  <c:v>0.02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  <c:pt idx="93">
                  <c:v>0.02</c:v>
                </c:pt>
                <c:pt idx="94">
                  <c:v>0.02</c:v>
                </c:pt>
                <c:pt idx="95">
                  <c:v>0.02</c:v>
                </c:pt>
                <c:pt idx="96">
                  <c:v>0.02</c:v>
                </c:pt>
                <c:pt idx="97">
                  <c:v>0.02</c:v>
                </c:pt>
                <c:pt idx="98">
                  <c:v>0.02</c:v>
                </c:pt>
                <c:pt idx="99">
                  <c:v>0.02</c:v>
                </c:pt>
                <c:pt idx="100">
                  <c:v>0.02</c:v>
                </c:pt>
                <c:pt idx="101">
                  <c:v>0.02</c:v>
                </c:pt>
                <c:pt idx="102">
                  <c:v>0.02</c:v>
                </c:pt>
                <c:pt idx="103">
                  <c:v>0.02</c:v>
                </c:pt>
                <c:pt idx="104">
                  <c:v>0.02</c:v>
                </c:pt>
                <c:pt idx="105">
                  <c:v>0.02</c:v>
                </c:pt>
                <c:pt idx="106">
                  <c:v>0.02</c:v>
                </c:pt>
                <c:pt idx="107">
                  <c:v>0.02</c:v>
                </c:pt>
                <c:pt idx="108">
                  <c:v>0.02</c:v>
                </c:pt>
                <c:pt idx="109">
                  <c:v>0.02</c:v>
                </c:pt>
                <c:pt idx="110">
                  <c:v>0.02</c:v>
                </c:pt>
                <c:pt idx="111">
                  <c:v>0.02</c:v>
                </c:pt>
                <c:pt idx="112">
                  <c:v>0.02</c:v>
                </c:pt>
                <c:pt idx="113">
                  <c:v>0.02</c:v>
                </c:pt>
                <c:pt idx="114">
                  <c:v>0.02</c:v>
                </c:pt>
                <c:pt idx="115">
                  <c:v>0.02</c:v>
                </c:pt>
                <c:pt idx="116">
                  <c:v>0.02</c:v>
                </c:pt>
                <c:pt idx="117">
                  <c:v>0.02</c:v>
                </c:pt>
                <c:pt idx="118">
                  <c:v>0.02</c:v>
                </c:pt>
                <c:pt idx="119">
                  <c:v>0.02</c:v>
                </c:pt>
                <c:pt idx="120">
                  <c:v>0.02</c:v>
                </c:pt>
                <c:pt idx="121">
                  <c:v>0.02</c:v>
                </c:pt>
                <c:pt idx="122">
                  <c:v>0.02</c:v>
                </c:pt>
                <c:pt idx="123">
                  <c:v>0.02</c:v>
                </c:pt>
                <c:pt idx="124">
                  <c:v>0.02</c:v>
                </c:pt>
                <c:pt idx="125">
                  <c:v>0.02</c:v>
                </c:pt>
                <c:pt idx="126">
                  <c:v>0.02</c:v>
                </c:pt>
                <c:pt idx="127">
                  <c:v>0.02</c:v>
                </c:pt>
                <c:pt idx="128">
                  <c:v>0.02</c:v>
                </c:pt>
                <c:pt idx="129">
                  <c:v>0.02</c:v>
                </c:pt>
                <c:pt idx="130">
                  <c:v>0.02</c:v>
                </c:pt>
                <c:pt idx="131">
                  <c:v>0.02</c:v>
                </c:pt>
                <c:pt idx="132">
                  <c:v>0.02</c:v>
                </c:pt>
                <c:pt idx="133">
                  <c:v>0.02</c:v>
                </c:pt>
                <c:pt idx="134">
                  <c:v>0.02</c:v>
                </c:pt>
                <c:pt idx="135">
                  <c:v>0.02</c:v>
                </c:pt>
                <c:pt idx="136">
                  <c:v>0.02</c:v>
                </c:pt>
                <c:pt idx="137">
                  <c:v>0.02</c:v>
                </c:pt>
                <c:pt idx="138">
                  <c:v>0.02</c:v>
                </c:pt>
                <c:pt idx="139">
                  <c:v>0.02</c:v>
                </c:pt>
                <c:pt idx="140">
                  <c:v>0.02</c:v>
                </c:pt>
                <c:pt idx="141">
                  <c:v>0.02</c:v>
                </c:pt>
                <c:pt idx="142">
                  <c:v>0.02</c:v>
                </c:pt>
                <c:pt idx="143">
                  <c:v>0.02</c:v>
                </c:pt>
                <c:pt idx="144">
                  <c:v>0.02</c:v>
                </c:pt>
                <c:pt idx="145">
                  <c:v>0.02</c:v>
                </c:pt>
                <c:pt idx="146">
                  <c:v>0.02</c:v>
                </c:pt>
                <c:pt idx="147">
                  <c:v>0.02</c:v>
                </c:pt>
                <c:pt idx="148">
                  <c:v>0.02</c:v>
                </c:pt>
                <c:pt idx="149">
                  <c:v>0.02</c:v>
                </c:pt>
                <c:pt idx="150">
                  <c:v>0.02</c:v>
                </c:pt>
                <c:pt idx="151">
                  <c:v>0.02</c:v>
                </c:pt>
                <c:pt idx="152">
                  <c:v>0.02</c:v>
                </c:pt>
                <c:pt idx="153">
                  <c:v>0.02</c:v>
                </c:pt>
                <c:pt idx="154">
                  <c:v>0.02</c:v>
                </c:pt>
                <c:pt idx="155">
                  <c:v>0.02</c:v>
                </c:pt>
                <c:pt idx="156">
                  <c:v>0.02</c:v>
                </c:pt>
                <c:pt idx="157">
                  <c:v>0.02</c:v>
                </c:pt>
                <c:pt idx="158">
                  <c:v>0.02</c:v>
                </c:pt>
                <c:pt idx="159">
                  <c:v>0.02</c:v>
                </c:pt>
                <c:pt idx="160">
                  <c:v>0.02</c:v>
                </c:pt>
                <c:pt idx="161">
                  <c:v>0.02</c:v>
                </c:pt>
                <c:pt idx="162">
                  <c:v>0.02</c:v>
                </c:pt>
                <c:pt idx="163">
                  <c:v>0.02</c:v>
                </c:pt>
                <c:pt idx="164">
                  <c:v>0.02</c:v>
                </c:pt>
                <c:pt idx="165">
                  <c:v>0.02</c:v>
                </c:pt>
                <c:pt idx="166">
                  <c:v>0.02</c:v>
                </c:pt>
                <c:pt idx="167">
                  <c:v>0.02</c:v>
                </c:pt>
                <c:pt idx="168">
                  <c:v>0.02</c:v>
                </c:pt>
                <c:pt idx="169">
                  <c:v>0.02</c:v>
                </c:pt>
                <c:pt idx="170">
                  <c:v>0.02</c:v>
                </c:pt>
                <c:pt idx="171">
                  <c:v>0.02</c:v>
                </c:pt>
                <c:pt idx="172">
                  <c:v>0.02</c:v>
                </c:pt>
                <c:pt idx="173">
                  <c:v>0.02</c:v>
                </c:pt>
                <c:pt idx="174">
                  <c:v>0.02</c:v>
                </c:pt>
                <c:pt idx="175">
                  <c:v>0.02</c:v>
                </c:pt>
                <c:pt idx="176">
                  <c:v>0.02</c:v>
                </c:pt>
                <c:pt idx="177">
                  <c:v>0.02</c:v>
                </c:pt>
                <c:pt idx="178">
                  <c:v>0.02</c:v>
                </c:pt>
                <c:pt idx="179">
                  <c:v>0.02</c:v>
                </c:pt>
                <c:pt idx="180">
                  <c:v>0.02</c:v>
                </c:pt>
                <c:pt idx="181">
                  <c:v>0.02</c:v>
                </c:pt>
                <c:pt idx="182">
                  <c:v>0.02</c:v>
                </c:pt>
                <c:pt idx="183">
                  <c:v>0.02</c:v>
                </c:pt>
                <c:pt idx="184">
                  <c:v>0.02</c:v>
                </c:pt>
                <c:pt idx="185">
                  <c:v>0.02</c:v>
                </c:pt>
                <c:pt idx="186">
                  <c:v>0.02</c:v>
                </c:pt>
                <c:pt idx="187">
                  <c:v>0.02</c:v>
                </c:pt>
                <c:pt idx="188">
                  <c:v>0.02</c:v>
                </c:pt>
                <c:pt idx="189">
                  <c:v>0.02</c:v>
                </c:pt>
                <c:pt idx="190">
                  <c:v>0.02</c:v>
                </c:pt>
                <c:pt idx="191">
                  <c:v>0.02</c:v>
                </c:pt>
                <c:pt idx="192">
                  <c:v>0.02</c:v>
                </c:pt>
                <c:pt idx="193">
                  <c:v>0.02</c:v>
                </c:pt>
                <c:pt idx="194">
                  <c:v>0.02</c:v>
                </c:pt>
                <c:pt idx="195">
                  <c:v>0.02</c:v>
                </c:pt>
                <c:pt idx="196">
                  <c:v>0.02</c:v>
                </c:pt>
                <c:pt idx="197">
                  <c:v>0.02</c:v>
                </c:pt>
                <c:pt idx="198">
                  <c:v>0.02</c:v>
                </c:pt>
                <c:pt idx="199">
                  <c:v>0.02</c:v>
                </c:pt>
                <c:pt idx="200">
                  <c:v>0.02</c:v>
                </c:pt>
                <c:pt idx="201">
                  <c:v>0.02</c:v>
                </c:pt>
                <c:pt idx="202">
                  <c:v>0.02</c:v>
                </c:pt>
                <c:pt idx="203">
                  <c:v>0.02</c:v>
                </c:pt>
                <c:pt idx="204">
                  <c:v>0.02</c:v>
                </c:pt>
                <c:pt idx="205">
                  <c:v>0.02</c:v>
                </c:pt>
                <c:pt idx="206">
                  <c:v>0.02</c:v>
                </c:pt>
                <c:pt idx="207">
                  <c:v>0.02</c:v>
                </c:pt>
                <c:pt idx="208">
                  <c:v>0.02</c:v>
                </c:pt>
                <c:pt idx="209">
                  <c:v>0.02</c:v>
                </c:pt>
                <c:pt idx="210">
                  <c:v>0.02</c:v>
                </c:pt>
                <c:pt idx="211">
                  <c:v>0.02</c:v>
                </c:pt>
                <c:pt idx="212">
                  <c:v>0.02</c:v>
                </c:pt>
                <c:pt idx="213">
                  <c:v>0.02</c:v>
                </c:pt>
                <c:pt idx="214">
                  <c:v>0.02</c:v>
                </c:pt>
                <c:pt idx="215">
                  <c:v>0.02</c:v>
                </c:pt>
                <c:pt idx="216">
                  <c:v>0.02</c:v>
                </c:pt>
                <c:pt idx="217">
                  <c:v>0.02</c:v>
                </c:pt>
                <c:pt idx="218">
                  <c:v>0.02</c:v>
                </c:pt>
                <c:pt idx="219">
                  <c:v>0.02</c:v>
                </c:pt>
                <c:pt idx="220">
                  <c:v>0.02</c:v>
                </c:pt>
                <c:pt idx="221">
                  <c:v>0.02</c:v>
                </c:pt>
                <c:pt idx="222">
                  <c:v>0.02</c:v>
                </c:pt>
                <c:pt idx="223">
                  <c:v>0.02</c:v>
                </c:pt>
                <c:pt idx="224">
                  <c:v>0.02</c:v>
                </c:pt>
                <c:pt idx="225">
                  <c:v>0.02</c:v>
                </c:pt>
                <c:pt idx="226">
                  <c:v>0.02</c:v>
                </c:pt>
                <c:pt idx="227">
                  <c:v>0.02</c:v>
                </c:pt>
                <c:pt idx="228">
                  <c:v>0.02</c:v>
                </c:pt>
                <c:pt idx="229">
                  <c:v>0.02</c:v>
                </c:pt>
                <c:pt idx="230">
                  <c:v>0.02</c:v>
                </c:pt>
                <c:pt idx="231">
                  <c:v>0.02</c:v>
                </c:pt>
                <c:pt idx="232">
                  <c:v>0.02</c:v>
                </c:pt>
                <c:pt idx="233">
                  <c:v>0.02</c:v>
                </c:pt>
                <c:pt idx="234">
                  <c:v>0.02</c:v>
                </c:pt>
                <c:pt idx="235">
                  <c:v>0.02</c:v>
                </c:pt>
                <c:pt idx="236">
                  <c:v>0.02</c:v>
                </c:pt>
                <c:pt idx="237">
                  <c:v>0.02</c:v>
                </c:pt>
                <c:pt idx="238">
                  <c:v>0.02</c:v>
                </c:pt>
                <c:pt idx="239">
                  <c:v>0.02</c:v>
                </c:pt>
                <c:pt idx="240">
                  <c:v>0.02</c:v>
                </c:pt>
                <c:pt idx="241">
                  <c:v>0.02</c:v>
                </c:pt>
                <c:pt idx="242">
                  <c:v>0.02</c:v>
                </c:pt>
                <c:pt idx="243">
                  <c:v>0.02</c:v>
                </c:pt>
                <c:pt idx="244">
                  <c:v>0.02</c:v>
                </c:pt>
                <c:pt idx="245">
                  <c:v>0.02</c:v>
                </c:pt>
                <c:pt idx="246">
                  <c:v>0.02</c:v>
                </c:pt>
                <c:pt idx="247">
                  <c:v>0.02</c:v>
                </c:pt>
                <c:pt idx="248">
                  <c:v>0.02</c:v>
                </c:pt>
                <c:pt idx="249">
                  <c:v>0.02</c:v>
                </c:pt>
                <c:pt idx="250">
                  <c:v>0.02</c:v>
                </c:pt>
                <c:pt idx="251">
                  <c:v>0.02</c:v>
                </c:pt>
                <c:pt idx="252">
                  <c:v>0.02</c:v>
                </c:pt>
                <c:pt idx="253">
                  <c:v>0.02</c:v>
                </c:pt>
                <c:pt idx="254">
                  <c:v>0.02</c:v>
                </c:pt>
                <c:pt idx="255">
                  <c:v>0.02</c:v>
                </c:pt>
                <c:pt idx="256">
                  <c:v>0.02</c:v>
                </c:pt>
                <c:pt idx="257">
                  <c:v>0.02</c:v>
                </c:pt>
                <c:pt idx="258">
                  <c:v>0.02</c:v>
                </c:pt>
                <c:pt idx="259">
                  <c:v>0.02</c:v>
                </c:pt>
                <c:pt idx="260">
                  <c:v>0.02</c:v>
                </c:pt>
                <c:pt idx="261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5-7341-8730-5043B90ED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699024"/>
        <c:axId val="495403552"/>
      </c:lineChart>
      <c:dateAx>
        <c:axId val="61569902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03552"/>
        <c:crosses val="autoZero"/>
        <c:auto val="0"/>
        <c:lblOffset val="100"/>
        <c:baseTimeUnit val="months"/>
      </c:dateAx>
      <c:valAx>
        <c:axId val="495403552"/>
        <c:scaling>
          <c:orientation val="minMax"/>
          <c:min val="5.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99024"/>
        <c:crosses val="autoZero"/>
        <c:crossBetween val="between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PCE yoy</a:t>
            </a:r>
            <a:r>
              <a:rPr lang="en-GB" b="1" baseline="0"/>
              <a:t> since 2000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spPr>
            <a:ln w="28575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'PCE Deflator'!$A$497:$A$778</c:f>
              <c:numCache>
                <c:formatCode>yyyy\-mm\-dd</c:formatCode>
                <c:ptCount val="282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</c:numCache>
            </c:numRef>
          </c:cat>
          <c:val>
            <c:numRef>
              <c:f>'PCE Deflator'!$D$497:$D$778</c:f>
              <c:numCache>
                <c:formatCode>0.00%</c:formatCode>
                <c:ptCount val="282"/>
                <c:pt idx="0">
                  <c:v>2.1886212877514077E-2</c:v>
                </c:pt>
                <c:pt idx="1">
                  <c:v>2.5674315086640909E-2</c:v>
                </c:pt>
                <c:pt idx="2">
                  <c:v>2.9308587389629454E-2</c:v>
                </c:pt>
                <c:pt idx="3">
                  <c:v>2.3502753405527779E-2</c:v>
                </c:pt>
                <c:pt idx="4">
                  <c:v>2.3698242380356754E-2</c:v>
                </c:pt>
                <c:pt idx="5">
                  <c:v>2.6849524210637233E-2</c:v>
                </c:pt>
                <c:pt idx="6">
                  <c:v>2.6686444126488251E-2</c:v>
                </c:pt>
                <c:pt idx="7">
                  <c:v>2.4764475425516588E-2</c:v>
                </c:pt>
                <c:pt idx="8">
                  <c:v>2.548535766976092E-2</c:v>
                </c:pt>
                <c:pt idx="9">
                  <c:v>2.5142395370358329E-2</c:v>
                </c:pt>
                <c:pt idx="10">
                  <c:v>2.5653713928534206E-2</c:v>
                </c:pt>
                <c:pt idx="11">
                  <c:v>2.4853839158113507E-2</c:v>
                </c:pt>
                <c:pt idx="12">
                  <c:v>2.7014770665975556E-2</c:v>
                </c:pt>
                <c:pt idx="13">
                  <c:v>2.5393299062282146E-2</c:v>
                </c:pt>
                <c:pt idx="14">
                  <c:v>2.1091891196707617E-2</c:v>
                </c:pt>
                <c:pt idx="15">
                  <c:v>2.3735358475994443E-2</c:v>
                </c:pt>
                <c:pt idx="16">
                  <c:v>2.5567487621374826E-2</c:v>
                </c:pt>
                <c:pt idx="17">
                  <c:v>2.3917250926056469E-2</c:v>
                </c:pt>
                <c:pt idx="18">
                  <c:v>2.1019254864858023E-2</c:v>
                </c:pt>
                <c:pt idx="19">
                  <c:v>2.0956667391220905E-2</c:v>
                </c:pt>
                <c:pt idx="20">
                  <c:v>1.3138964924565491E-2</c:v>
                </c:pt>
                <c:pt idx="21">
                  <c:v>1.5320653003102251E-2</c:v>
                </c:pt>
                <c:pt idx="22">
                  <c:v>1.321703359488074E-2</c:v>
                </c:pt>
                <c:pt idx="23">
                  <c:v>1.0623328220275702E-2</c:v>
                </c:pt>
                <c:pt idx="24">
                  <c:v>6.661199772913717E-3</c:v>
                </c:pt>
                <c:pt idx="25">
                  <c:v>6.7768428477855179E-3</c:v>
                </c:pt>
                <c:pt idx="26">
                  <c:v>9.4338434410228544E-3</c:v>
                </c:pt>
                <c:pt idx="27">
                  <c:v>1.1881710966379072E-2</c:v>
                </c:pt>
                <c:pt idx="28">
                  <c:v>9.8817451061536561E-3</c:v>
                </c:pt>
                <c:pt idx="29">
                  <c:v>9.3509419790949472E-3</c:v>
                </c:pt>
                <c:pt idx="30">
                  <c:v>1.1921160059104888E-2</c:v>
                </c:pt>
                <c:pt idx="31">
                  <c:v>1.4039174431419636E-2</c:v>
                </c:pt>
                <c:pt idx="32">
                  <c:v>1.9327192530505004E-2</c:v>
                </c:pt>
                <c:pt idx="33">
                  <c:v>1.7593949184166711E-2</c:v>
                </c:pt>
                <c:pt idx="34">
                  <c:v>1.9297520143353085E-2</c:v>
                </c:pt>
                <c:pt idx="35">
                  <c:v>2.1324368735966718E-2</c:v>
                </c:pt>
                <c:pt idx="36">
                  <c:v>2.3448172145426226E-2</c:v>
                </c:pt>
                <c:pt idx="37">
                  <c:v>2.6061606986462458E-2</c:v>
                </c:pt>
                <c:pt idx="38">
                  <c:v>2.5890896386504148E-2</c:v>
                </c:pt>
                <c:pt idx="39">
                  <c:v>1.9893388337330224E-2</c:v>
                </c:pt>
                <c:pt idx="40">
                  <c:v>1.8067576461238508E-2</c:v>
                </c:pt>
                <c:pt idx="41">
                  <c:v>1.7883718622879168E-2</c:v>
                </c:pt>
                <c:pt idx="42">
                  <c:v>1.8623932681598756E-2</c:v>
                </c:pt>
                <c:pt idx="43">
                  <c:v>2.0057058874384141E-2</c:v>
                </c:pt>
                <c:pt idx="44">
                  <c:v>2.1414041792516908E-2</c:v>
                </c:pt>
                <c:pt idx="45">
                  <c:v>1.9689399719425984E-2</c:v>
                </c:pt>
                <c:pt idx="46">
                  <c:v>1.9964840244397122E-2</c:v>
                </c:pt>
                <c:pt idx="47">
                  <c:v>2.1235307844413593E-2</c:v>
                </c:pt>
                <c:pt idx="48">
                  <c:v>2.2127253134796264E-2</c:v>
                </c:pt>
                <c:pt idx="49">
                  <c:v>1.9997805118950367E-2</c:v>
                </c:pt>
                <c:pt idx="50">
                  <c:v>1.8961553898734013E-2</c:v>
                </c:pt>
                <c:pt idx="51">
                  <c:v>2.2587719298245604E-2</c:v>
                </c:pt>
                <c:pt idx="52">
                  <c:v>2.7077793769667978E-2</c:v>
                </c:pt>
                <c:pt idx="53">
                  <c:v>2.8912932231888355E-2</c:v>
                </c:pt>
                <c:pt idx="54">
                  <c:v>2.6848083581364368E-2</c:v>
                </c:pt>
                <c:pt idx="55">
                  <c:v>2.3924545663676085E-2</c:v>
                </c:pt>
                <c:pt idx="56">
                  <c:v>2.2727272727272672E-2</c:v>
                </c:pt>
                <c:pt idx="57">
                  <c:v>2.6996693297289581E-2</c:v>
                </c:pt>
                <c:pt idx="58">
                  <c:v>2.9650342907421121E-2</c:v>
                </c:pt>
                <c:pt idx="59">
                  <c:v>2.7937462417318017E-2</c:v>
                </c:pt>
                <c:pt idx="60">
                  <c:v>2.5326161181727667E-2</c:v>
                </c:pt>
                <c:pt idx="61">
                  <c:v>2.5989551578620096E-2</c:v>
                </c:pt>
                <c:pt idx="62">
                  <c:v>2.7477380696602834E-2</c:v>
                </c:pt>
                <c:pt idx="63">
                  <c:v>2.8439011604355809E-2</c:v>
                </c:pt>
                <c:pt idx="64">
                  <c:v>2.5698881314870692E-2</c:v>
                </c:pt>
                <c:pt idx="65">
                  <c:v>2.3399291863535697E-2</c:v>
                </c:pt>
                <c:pt idx="66">
                  <c:v>2.6796805678793261E-2</c:v>
                </c:pt>
                <c:pt idx="67">
                  <c:v>3.0401210845581689E-2</c:v>
                </c:pt>
                <c:pt idx="68">
                  <c:v>3.8307665073464274E-2</c:v>
                </c:pt>
                <c:pt idx="69">
                  <c:v>3.5511580629619517E-2</c:v>
                </c:pt>
                <c:pt idx="70">
                  <c:v>2.9393517272056791E-2</c:v>
                </c:pt>
                <c:pt idx="71">
                  <c:v>2.883951657248492E-2</c:v>
                </c:pt>
                <c:pt idx="72">
                  <c:v>3.2470643220190581E-2</c:v>
                </c:pt>
                <c:pt idx="73">
                  <c:v>3.0224997960919667E-2</c:v>
                </c:pt>
                <c:pt idx="74">
                  <c:v>2.9135687732341955E-2</c:v>
                </c:pt>
                <c:pt idx="75">
                  <c:v>3.102373698173095E-2</c:v>
                </c:pt>
                <c:pt idx="76">
                  <c:v>3.3217552390876461E-2</c:v>
                </c:pt>
                <c:pt idx="77">
                  <c:v>3.5129537275956649E-2</c:v>
                </c:pt>
                <c:pt idx="78">
                  <c:v>3.4278142643161584E-2</c:v>
                </c:pt>
                <c:pt idx="79">
                  <c:v>3.3360110167546433E-2</c:v>
                </c:pt>
                <c:pt idx="80">
                  <c:v>2.0811311533171971E-2</c:v>
                </c:pt>
                <c:pt idx="81">
                  <c:v>1.6772392505759227E-2</c:v>
                </c:pt>
                <c:pt idx="82">
                  <c:v>1.9240828765721224E-2</c:v>
                </c:pt>
                <c:pt idx="83">
                  <c:v>2.2868384543655709E-2</c:v>
                </c:pt>
                <c:pt idx="84">
                  <c:v>2.1332216739848704E-2</c:v>
                </c:pt>
                <c:pt idx="85">
                  <c:v>2.3886809097797876E-2</c:v>
                </c:pt>
                <c:pt idx="86">
                  <c:v>2.565810267756367E-2</c:v>
                </c:pt>
                <c:pt idx="87">
                  <c:v>2.3314868706389994E-2</c:v>
                </c:pt>
                <c:pt idx="88">
                  <c:v>2.3532312105693634E-2</c:v>
                </c:pt>
                <c:pt idx="89">
                  <c:v>2.3172626566359933E-2</c:v>
                </c:pt>
                <c:pt idx="90">
                  <c:v>2.1244360274048867E-2</c:v>
                </c:pt>
                <c:pt idx="91">
                  <c:v>1.8734660788254996E-2</c:v>
                </c:pt>
                <c:pt idx="92">
                  <c:v>2.5341825145860201E-2</c:v>
                </c:pt>
                <c:pt idx="93">
                  <c:v>3.0893201933057293E-2</c:v>
                </c:pt>
                <c:pt idx="94">
                  <c:v>3.5992413254490672E-2</c:v>
                </c:pt>
                <c:pt idx="95">
                  <c:v>3.4719674482206635E-2</c:v>
                </c:pt>
                <c:pt idx="96">
                  <c:v>3.3884031956032831E-2</c:v>
                </c:pt>
                <c:pt idx="97">
                  <c:v>3.2729843475571452E-2</c:v>
                </c:pt>
                <c:pt idx="98">
                  <c:v>3.1905878209572872E-2</c:v>
                </c:pt>
                <c:pt idx="99">
                  <c:v>3.1403034894701004E-2</c:v>
                </c:pt>
                <c:pt idx="100">
                  <c:v>3.2822781068327929E-2</c:v>
                </c:pt>
                <c:pt idx="101">
                  <c:v>3.8117816719835731E-2</c:v>
                </c:pt>
                <c:pt idx="102">
                  <c:v>4.1353957587922124E-2</c:v>
                </c:pt>
                <c:pt idx="103">
                  <c:v>3.9810757189264627E-2</c:v>
                </c:pt>
                <c:pt idx="104">
                  <c:v>3.6671444705064823E-2</c:v>
                </c:pt>
                <c:pt idx="105">
                  <c:v>2.6719499388309562E-2</c:v>
                </c:pt>
                <c:pt idx="106">
                  <c:v>9.2616524511070844E-3</c:v>
                </c:pt>
                <c:pt idx="107">
                  <c:v>1.289324394017431E-3</c:v>
                </c:pt>
                <c:pt idx="108">
                  <c:v>-1.1146001907681011E-3</c:v>
                </c:pt>
                <c:pt idx="109">
                  <c:v>-1.3156205878578344E-3</c:v>
                </c:pt>
                <c:pt idx="110">
                  <c:v>-5.2581058020478794E-3</c:v>
                </c:pt>
                <c:pt idx="111">
                  <c:v>-5.6741967764600814E-3</c:v>
                </c:pt>
                <c:pt idx="112">
                  <c:v>-8.8936472433933517E-3</c:v>
                </c:pt>
                <c:pt idx="113">
                  <c:v>-1.0187221772029378E-2</c:v>
                </c:pt>
                <c:pt idx="114">
                  <c:v>-1.4665367734095843E-2</c:v>
                </c:pt>
                <c:pt idx="115">
                  <c:v>-1.1007904723963655E-2</c:v>
                </c:pt>
                <c:pt idx="116">
                  <c:v>-1.0223642172523952E-2</c:v>
                </c:pt>
                <c:pt idx="117">
                  <c:v>1.265355617651759E-4</c:v>
                </c:pt>
                <c:pt idx="118">
                  <c:v>1.4597293951940003E-2</c:v>
                </c:pt>
                <c:pt idx="119">
                  <c:v>2.0903081809597473E-2</c:v>
                </c:pt>
                <c:pt idx="120">
                  <c:v>2.3014280656202011E-2</c:v>
                </c:pt>
                <c:pt idx="121">
                  <c:v>2.1163341151774134E-2</c:v>
                </c:pt>
                <c:pt idx="122">
                  <c:v>2.3727577814232344E-2</c:v>
                </c:pt>
                <c:pt idx="123">
                  <c:v>2.2815601546021993E-2</c:v>
                </c:pt>
                <c:pt idx="124">
                  <c:v>2.2075338509914576E-2</c:v>
                </c:pt>
                <c:pt idx="125">
                  <c:v>1.5618853199791696E-2</c:v>
                </c:pt>
                <c:pt idx="126">
                  <c:v>1.6382637168706044E-2</c:v>
                </c:pt>
                <c:pt idx="127">
                  <c:v>1.4829969470827689E-2</c:v>
                </c:pt>
                <c:pt idx="128">
                  <c:v>1.4192128184233021E-2</c:v>
                </c:pt>
                <c:pt idx="129">
                  <c:v>1.3579765306230149E-2</c:v>
                </c:pt>
                <c:pt idx="130">
                  <c:v>1.3072651550208184E-2</c:v>
                </c:pt>
                <c:pt idx="131">
                  <c:v>1.4767710742064339E-2</c:v>
                </c:pt>
                <c:pt idx="132">
                  <c:v>1.5595502789780539E-2</c:v>
                </c:pt>
                <c:pt idx="133">
                  <c:v>1.8459279458807543E-2</c:v>
                </c:pt>
                <c:pt idx="134">
                  <c:v>2.1114369501466182E-2</c:v>
                </c:pt>
                <c:pt idx="135">
                  <c:v>2.4871247330737395E-2</c:v>
                </c:pt>
                <c:pt idx="136">
                  <c:v>2.7667901467110415E-2</c:v>
                </c:pt>
                <c:pt idx="137">
                  <c:v>2.7888863298507163E-2</c:v>
                </c:pt>
                <c:pt idx="138">
                  <c:v>2.8754027028157769E-2</c:v>
                </c:pt>
                <c:pt idx="139">
                  <c:v>2.9759231211155833E-2</c:v>
                </c:pt>
                <c:pt idx="140">
                  <c:v>3.0188876134822087E-2</c:v>
                </c:pt>
                <c:pt idx="141">
                  <c:v>2.6941280490976119E-2</c:v>
                </c:pt>
                <c:pt idx="142">
                  <c:v>2.7001775203214042E-2</c:v>
                </c:pt>
                <c:pt idx="143">
                  <c:v>2.5262830804288084E-2</c:v>
                </c:pt>
                <c:pt idx="144">
                  <c:v>2.5693189445964784E-2</c:v>
                </c:pt>
                <c:pt idx="145">
                  <c:v>2.5127439369754364E-2</c:v>
                </c:pt>
                <c:pt idx="146">
                  <c:v>2.2965044719783421E-2</c:v>
                </c:pt>
                <c:pt idx="147">
                  <c:v>1.9998365812803839E-2</c:v>
                </c:pt>
                <c:pt idx="148">
                  <c:v>1.576278435126165E-2</c:v>
                </c:pt>
                <c:pt idx="149">
                  <c:v>1.5460452610351642E-2</c:v>
                </c:pt>
                <c:pt idx="150">
                  <c:v>1.4102264292904136E-2</c:v>
                </c:pt>
                <c:pt idx="151">
                  <c:v>1.5124158078389998E-2</c:v>
                </c:pt>
                <c:pt idx="152">
                  <c:v>1.6774206618518542E-2</c:v>
                </c:pt>
                <c:pt idx="153">
                  <c:v>1.9772094201063687E-2</c:v>
                </c:pt>
                <c:pt idx="154">
                  <c:v>1.699215591136986E-2</c:v>
                </c:pt>
                <c:pt idx="155">
                  <c:v>1.6255152347854289E-2</c:v>
                </c:pt>
                <c:pt idx="156">
                  <c:v>1.4739788367246388E-2</c:v>
                </c:pt>
                <c:pt idx="157">
                  <c:v>1.6183635541714845E-2</c:v>
                </c:pt>
                <c:pt idx="158">
                  <c:v>1.2914222690128808E-2</c:v>
                </c:pt>
                <c:pt idx="159">
                  <c:v>1.0794464582540634E-2</c:v>
                </c:pt>
                <c:pt idx="160">
                  <c:v>1.2590973795537024E-2</c:v>
                </c:pt>
                <c:pt idx="161">
                  <c:v>1.5285244323196672E-2</c:v>
                </c:pt>
                <c:pt idx="162">
                  <c:v>1.6182073390816166E-2</c:v>
                </c:pt>
                <c:pt idx="163">
                  <c:v>1.4339245565825652E-2</c:v>
                </c:pt>
                <c:pt idx="164">
                  <c:v>1.1665786668526208E-2</c:v>
                </c:pt>
                <c:pt idx="165">
                  <c:v>1.0379729233091842E-2</c:v>
                </c:pt>
                <c:pt idx="166">
                  <c:v>1.2643004105000603E-2</c:v>
                </c:pt>
                <c:pt idx="167">
                  <c:v>1.4822104917837222E-2</c:v>
                </c:pt>
                <c:pt idx="168">
                  <c:v>1.4793574568148666E-2</c:v>
                </c:pt>
                <c:pt idx="169">
                  <c:v>1.1684922298232312E-2</c:v>
                </c:pt>
                <c:pt idx="170">
                  <c:v>1.5046078615760869E-2</c:v>
                </c:pt>
                <c:pt idx="171">
                  <c:v>1.7811856078617867E-2</c:v>
                </c:pt>
                <c:pt idx="172">
                  <c:v>1.8899118899118817E-2</c:v>
                </c:pt>
                <c:pt idx="173">
                  <c:v>1.7850792270913209E-2</c:v>
                </c:pt>
                <c:pt idx="174">
                  <c:v>1.8114726601811459E-2</c:v>
                </c:pt>
                <c:pt idx="175">
                  <c:v>1.6422027386464401E-2</c:v>
                </c:pt>
                <c:pt idx="176">
                  <c:v>1.627769571639592E-2</c:v>
                </c:pt>
                <c:pt idx="177">
                  <c:v>1.4303690450443489E-2</c:v>
                </c:pt>
                <c:pt idx="178">
                  <c:v>1.1945308742552573E-2</c:v>
                </c:pt>
                <c:pt idx="179">
                  <c:v>8.3852513616237065E-3</c:v>
                </c:pt>
                <c:pt idx="180">
                  <c:v>1.8283501828349948E-3</c:v>
                </c:pt>
                <c:pt idx="181">
                  <c:v>2.892376243428702E-3</c:v>
                </c:pt>
                <c:pt idx="182">
                  <c:v>2.8085778648956699E-3</c:v>
                </c:pt>
                <c:pt idx="183">
                  <c:v>1.6351638083742983E-3</c:v>
                </c:pt>
                <c:pt idx="184">
                  <c:v>2.3027817992791319E-3</c:v>
                </c:pt>
                <c:pt idx="185">
                  <c:v>3.1154462075993396E-3</c:v>
                </c:pt>
                <c:pt idx="186">
                  <c:v>2.4324062409148638E-3</c:v>
                </c:pt>
                <c:pt idx="187">
                  <c:v>2.5684018725102139E-3</c:v>
                </c:pt>
                <c:pt idx="188">
                  <c:v>8.3330910923130647E-4</c:v>
                </c:pt>
                <c:pt idx="189">
                  <c:v>9.4013200616410828E-4</c:v>
                </c:pt>
                <c:pt idx="190">
                  <c:v>2.3181826999554241E-3</c:v>
                </c:pt>
                <c:pt idx="191">
                  <c:v>3.0406061783563474E-3</c:v>
                </c:pt>
                <c:pt idx="192">
                  <c:v>8.2076806714487284E-3</c:v>
                </c:pt>
                <c:pt idx="193">
                  <c:v>5.9239628193386608E-3</c:v>
                </c:pt>
                <c:pt idx="194">
                  <c:v>6.3210510449182777E-3</c:v>
                </c:pt>
                <c:pt idx="195">
                  <c:v>8.8718297541540841E-3</c:v>
                </c:pt>
                <c:pt idx="196">
                  <c:v>7.9588196517895032E-3</c:v>
                </c:pt>
                <c:pt idx="197">
                  <c:v>7.9240682688958806E-3</c:v>
                </c:pt>
                <c:pt idx="198">
                  <c:v>7.5115283108245379E-3</c:v>
                </c:pt>
                <c:pt idx="199">
                  <c:v>9.0098799327159394E-3</c:v>
                </c:pt>
                <c:pt idx="200">
                  <c:v>1.22568714964808E-2</c:v>
                </c:pt>
                <c:pt idx="201">
                  <c:v>1.4640664639696346E-2</c:v>
                </c:pt>
                <c:pt idx="202">
                  <c:v>1.4409166126363162E-2</c:v>
                </c:pt>
                <c:pt idx="203">
                  <c:v>1.7084249368057063E-2</c:v>
                </c:pt>
                <c:pt idx="204">
                  <c:v>2.0366677637310506E-2</c:v>
                </c:pt>
                <c:pt idx="205">
                  <c:v>2.1890315956684205E-2</c:v>
                </c:pt>
                <c:pt idx="206">
                  <c:v>1.9008320367990248E-2</c:v>
                </c:pt>
                <c:pt idx="207">
                  <c:v>1.8387062596919818E-2</c:v>
                </c:pt>
                <c:pt idx="208">
                  <c:v>1.6599824961289505E-2</c:v>
                </c:pt>
                <c:pt idx="209">
                  <c:v>1.5771538276937853E-2</c:v>
                </c:pt>
                <c:pt idx="210">
                  <c:v>1.5601911378072795E-2</c:v>
                </c:pt>
                <c:pt idx="211">
                  <c:v>1.6287581198382767E-2</c:v>
                </c:pt>
                <c:pt idx="212">
                  <c:v>1.879393620582458E-2</c:v>
                </c:pt>
                <c:pt idx="213">
                  <c:v>1.8189452789494701E-2</c:v>
                </c:pt>
                <c:pt idx="214">
                  <c:v>1.9594375441207356E-2</c:v>
                </c:pt>
                <c:pt idx="215">
                  <c:v>1.8835045754496973E-2</c:v>
                </c:pt>
                <c:pt idx="216">
                  <c:v>1.8442273029124396E-2</c:v>
                </c:pt>
                <c:pt idx="217">
                  <c:v>1.9639438114917279E-2</c:v>
                </c:pt>
                <c:pt idx="218">
                  <c:v>2.1773765268189124E-2</c:v>
                </c:pt>
                <c:pt idx="219">
                  <c:v>2.1526122649718121E-2</c:v>
                </c:pt>
                <c:pt idx="220">
                  <c:v>2.3651173571232604E-2</c:v>
                </c:pt>
                <c:pt idx="221">
                  <c:v>2.384282447220696E-2</c:v>
                </c:pt>
                <c:pt idx="222">
                  <c:v>2.4403839613015503E-2</c:v>
                </c:pt>
                <c:pt idx="223">
                  <c:v>2.2785979599147781E-2</c:v>
                </c:pt>
                <c:pt idx="224">
                  <c:v>2.0653398422831419E-2</c:v>
                </c:pt>
                <c:pt idx="225">
                  <c:v>2.1135605293742827E-2</c:v>
                </c:pt>
                <c:pt idx="226">
                  <c:v>2.0050523952095816E-2</c:v>
                </c:pt>
                <c:pt idx="227">
                  <c:v>1.8645731108930232E-2</c:v>
                </c:pt>
                <c:pt idx="228">
                  <c:v>1.4680403152188159E-2</c:v>
                </c:pt>
                <c:pt idx="229">
                  <c:v>1.3590644579545274E-2</c:v>
                </c:pt>
                <c:pt idx="230">
                  <c:v>1.4747920997920985E-2</c:v>
                </c:pt>
                <c:pt idx="231">
                  <c:v>1.6211762091696957E-2</c:v>
                </c:pt>
                <c:pt idx="232">
                  <c:v>1.5008826002975843E-2</c:v>
                </c:pt>
                <c:pt idx="233">
                  <c:v>1.4574353199619791E-2</c:v>
                </c:pt>
                <c:pt idx="234">
                  <c:v>1.5189943464266199E-2</c:v>
                </c:pt>
                <c:pt idx="235">
                  <c:v>1.5134895982155163E-2</c:v>
                </c:pt>
                <c:pt idx="236">
                  <c:v>1.3750919793966193E-2</c:v>
                </c:pt>
                <c:pt idx="237">
                  <c:v>1.4061883301054609E-2</c:v>
                </c:pt>
                <c:pt idx="238">
                  <c:v>1.4171321647725726E-2</c:v>
                </c:pt>
                <c:pt idx="239">
                  <c:v>1.6506101477199803E-2</c:v>
                </c:pt>
                <c:pt idx="240">
                  <c:v>1.9021389883411257E-2</c:v>
                </c:pt>
                <c:pt idx="241">
                  <c:v>1.8663560658864931E-2</c:v>
                </c:pt>
                <c:pt idx="242">
                  <c:v>1.3436016573221335E-2</c:v>
                </c:pt>
                <c:pt idx="243">
                  <c:v>4.1363350613616515E-3</c:v>
                </c:pt>
                <c:pt idx="244">
                  <c:v>5.080717856264916E-3</c:v>
                </c:pt>
                <c:pt idx="245">
                  <c:v>9.0793304221252237E-3</c:v>
                </c:pt>
                <c:pt idx="246">
                  <c:v>1.0420262732343746E-2</c:v>
                </c:pt>
                <c:pt idx="247">
                  <c:v>1.298430079994195E-2</c:v>
                </c:pt>
                <c:pt idx="248">
                  <c:v>1.3800299414780209E-2</c:v>
                </c:pt>
                <c:pt idx="249">
                  <c:v>1.1730736158002937E-2</c:v>
                </c:pt>
                <c:pt idx="250">
                  <c:v>1.1052022284928808E-2</c:v>
                </c:pt>
                <c:pt idx="251">
                  <c:v>1.2916444773398057E-2</c:v>
                </c:pt>
                <c:pt idx="252">
                  <c:v>1.4125871605916992E-2</c:v>
                </c:pt>
                <c:pt idx="253">
                  <c:v>1.6268873063175825E-2</c:v>
                </c:pt>
                <c:pt idx="254">
                  <c:v>2.4512192920705347E-2</c:v>
                </c:pt>
                <c:pt idx="255">
                  <c:v>3.5821545552702568E-2</c:v>
                </c:pt>
                <c:pt idx="256">
                  <c:v>3.969742265706383E-2</c:v>
                </c:pt>
                <c:pt idx="257">
                  <c:v>4.0300041472078461E-2</c:v>
                </c:pt>
                <c:pt idx="258">
                  <c:v>4.1592864656854286E-2</c:v>
                </c:pt>
                <c:pt idx="259">
                  <c:v>4.237067845074087E-2</c:v>
                </c:pt>
                <c:pt idx="260">
                  <c:v>4.4363499677811925E-2</c:v>
                </c:pt>
                <c:pt idx="261">
                  <c:v>5.1084768508163667E-2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5-BD43-9F1E-931F935C7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36976"/>
        <c:axId val="502336584"/>
      </c:lineChart>
      <c:dateAx>
        <c:axId val="50233697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6584"/>
        <c:crosses val="autoZero"/>
        <c:auto val="0"/>
        <c:lblOffset val="100"/>
        <c:baseTimeUnit val="months"/>
      </c:dateAx>
      <c:valAx>
        <c:axId val="50233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6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Core PCE  yoy since 2000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'PCE Core'!$D$4</c:f>
              <c:strCache>
                <c:ptCount val="1"/>
                <c:pt idx="0">
                  <c:v>PCE Core YoY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Core'!$A$497:$A$776</c:f>
              <c:numCache>
                <c:formatCode>yyyy\-mm\-dd</c:formatCode>
                <c:ptCount val="280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</c:numCache>
            </c:numRef>
          </c:cat>
          <c:val>
            <c:numRef>
              <c:f>'PCE Core'!$D$497:$D$776</c:f>
              <c:numCache>
                <c:formatCode>0.00%</c:formatCode>
                <c:ptCount val="280"/>
                <c:pt idx="0">
                  <c:v>1.5372702345892131E-2</c:v>
                </c:pt>
                <c:pt idx="1">
                  <c:v>1.7231964850347298E-2</c:v>
                </c:pt>
                <c:pt idx="2">
                  <c:v>1.9003973442677059E-2</c:v>
                </c:pt>
                <c:pt idx="3">
                  <c:v>1.7068692624248167E-2</c:v>
                </c:pt>
                <c:pt idx="4">
                  <c:v>1.7178783317099138E-2</c:v>
                </c:pt>
                <c:pt idx="5">
                  <c:v>1.7422748191978962E-2</c:v>
                </c:pt>
                <c:pt idx="6">
                  <c:v>1.790875244525774E-2</c:v>
                </c:pt>
                <c:pt idx="7">
                  <c:v>1.8720119082159235E-2</c:v>
                </c:pt>
                <c:pt idx="8">
                  <c:v>1.8494520840934524E-2</c:v>
                </c:pt>
                <c:pt idx="9">
                  <c:v>1.8186613747974645E-2</c:v>
                </c:pt>
                <c:pt idx="10">
                  <c:v>1.9009975531714671E-2</c:v>
                </c:pt>
                <c:pt idx="11">
                  <c:v>1.8710211038147212E-2</c:v>
                </c:pt>
                <c:pt idx="12">
                  <c:v>2.0065760686111545E-2</c:v>
                </c:pt>
                <c:pt idx="13">
                  <c:v>2.0348038848525825E-2</c:v>
                </c:pt>
                <c:pt idx="14">
                  <c:v>1.932228728042858E-2</c:v>
                </c:pt>
                <c:pt idx="15">
                  <c:v>2.0268167274628691E-2</c:v>
                </c:pt>
                <c:pt idx="16">
                  <c:v>1.9413249760598848E-2</c:v>
                </c:pt>
                <c:pt idx="17">
                  <c:v>2.0927053560333014E-2</c:v>
                </c:pt>
                <c:pt idx="18">
                  <c:v>2.1226473578495837E-2</c:v>
                </c:pt>
                <c:pt idx="19">
                  <c:v>2.0419282538974959E-2</c:v>
                </c:pt>
                <c:pt idx="20">
                  <c:v>1.2179906859535655E-2</c:v>
                </c:pt>
                <c:pt idx="21">
                  <c:v>1.7874104136085121E-2</c:v>
                </c:pt>
                <c:pt idx="22">
                  <c:v>1.813816032508328E-2</c:v>
                </c:pt>
                <c:pt idx="23">
                  <c:v>1.7382425666449295E-2</c:v>
                </c:pt>
                <c:pt idx="24">
                  <c:v>1.4192567898813624E-2</c:v>
                </c:pt>
                <c:pt idx="25">
                  <c:v>1.4326612508564063E-2</c:v>
                </c:pt>
                <c:pt idx="26">
                  <c:v>1.4482834480145711E-2</c:v>
                </c:pt>
                <c:pt idx="27">
                  <c:v>1.5704506351356375E-2</c:v>
                </c:pt>
                <c:pt idx="28">
                  <c:v>1.6603635476393853E-2</c:v>
                </c:pt>
                <c:pt idx="29">
                  <c:v>1.5933490761253225E-2</c:v>
                </c:pt>
                <c:pt idx="30">
                  <c:v>1.5370419833426479E-2</c:v>
                </c:pt>
                <c:pt idx="31">
                  <c:v>1.6879838846685813E-2</c:v>
                </c:pt>
                <c:pt idx="32">
                  <c:v>2.4347380368322836E-2</c:v>
                </c:pt>
                <c:pt idx="33">
                  <c:v>1.8044985214988488E-2</c:v>
                </c:pt>
                <c:pt idx="34">
                  <c:v>1.698051594644602E-2</c:v>
                </c:pt>
                <c:pt idx="35">
                  <c:v>1.7690019588401829E-2</c:v>
                </c:pt>
                <c:pt idx="36">
                  <c:v>1.7800604229607237E-2</c:v>
                </c:pt>
                <c:pt idx="37">
                  <c:v>1.7272365421496402E-2</c:v>
                </c:pt>
                <c:pt idx="38">
                  <c:v>1.7685468520347969E-2</c:v>
                </c:pt>
                <c:pt idx="39">
                  <c:v>1.5978279151349122E-2</c:v>
                </c:pt>
                <c:pt idx="40">
                  <c:v>1.6308456636785765E-2</c:v>
                </c:pt>
                <c:pt idx="41">
                  <c:v>1.5276230185830917E-2</c:v>
                </c:pt>
                <c:pt idx="42">
                  <c:v>1.5747560742299514E-2</c:v>
                </c:pt>
                <c:pt idx="43">
                  <c:v>1.4893134599090715E-2</c:v>
                </c:pt>
                <c:pt idx="44">
                  <c:v>1.4654371291729263E-2</c:v>
                </c:pt>
                <c:pt idx="45">
                  <c:v>1.5653830129158951E-2</c:v>
                </c:pt>
                <c:pt idx="46">
                  <c:v>1.6054800385315142E-2</c:v>
                </c:pt>
                <c:pt idx="47">
                  <c:v>1.6384482861046643E-2</c:v>
                </c:pt>
                <c:pt idx="48">
                  <c:v>1.828479156524947E-2</c:v>
                </c:pt>
                <c:pt idx="49">
                  <c:v>1.8532351581119082E-2</c:v>
                </c:pt>
                <c:pt idx="50">
                  <c:v>1.8609276227004791E-2</c:v>
                </c:pt>
                <c:pt idx="51">
                  <c:v>2.012581591145585E-2</c:v>
                </c:pt>
                <c:pt idx="52">
                  <c:v>2.0049592631951912E-2</c:v>
                </c:pt>
                <c:pt idx="53">
                  <c:v>2.1088531709504664E-2</c:v>
                </c:pt>
                <c:pt idx="54">
                  <c:v>1.9764800056504515E-2</c:v>
                </c:pt>
                <c:pt idx="55">
                  <c:v>1.9001704979716615E-2</c:v>
                </c:pt>
                <c:pt idx="56">
                  <c:v>1.9480061998027241E-2</c:v>
                </c:pt>
                <c:pt idx="57">
                  <c:v>1.9831223628692069E-2</c:v>
                </c:pt>
                <c:pt idx="58">
                  <c:v>2.0623383311679958E-2</c:v>
                </c:pt>
                <c:pt idx="59">
                  <c:v>2.0656036659496987E-2</c:v>
                </c:pt>
                <c:pt idx="60">
                  <c:v>2.171099425160028E-2</c:v>
                </c:pt>
                <c:pt idx="61">
                  <c:v>2.17457102279341E-2</c:v>
                </c:pt>
                <c:pt idx="62">
                  <c:v>2.2557701694442371E-2</c:v>
                </c:pt>
                <c:pt idx="63">
                  <c:v>2.1084965805030748E-2</c:v>
                </c:pt>
                <c:pt idx="64">
                  <c:v>2.1773857480205584E-2</c:v>
                </c:pt>
                <c:pt idx="65">
                  <c:v>2.0861022825772811E-2</c:v>
                </c:pt>
                <c:pt idx="66">
                  <c:v>2.1147896753936298E-2</c:v>
                </c:pt>
                <c:pt idx="67">
                  <c:v>2.1589873184015822E-2</c:v>
                </c:pt>
                <c:pt idx="68">
                  <c:v>2.1941190698317282E-2</c:v>
                </c:pt>
                <c:pt idx="69">
                  <c:v>2.2640555325702187E-2</c:v>
                </c:pt>
                <c:pt idx="70">
                  <c:v>2.3062191080172888E-2</c:v>
                </c:pt>
                <c:pt idx="71">
                  <c:v>2.2803541363631153E-2</c:v>
                </c:pt>
                <c:pt idx="72">
                  <c:v>2.1432239657631955E-2</c:v>
                </c:pt>
                <c:pt idx="73">
                  <c:v>2.1385439216133183E-2</c:v>
                </c:pt>
                <c:pt idx="74">
                  <c:v>2.1673656335595155E-2</c:v>
                </c:pt>
                <c:pt idx="75">
                  <c:v>2.3612482829865229E-2</c:v>
                </c:pt>
                <c:pt idx="76">
                  <c:v>2.4085466018647434E-2</c:v>
                </c:pt>
                <c:pt idx="77">
                  <c:v>2.5959470168685682E-2</c:v>
                </c:pt>
                <c:pt idx="78">
                  <c:v>2.5457834049287923E-2</c:v>
                </c:pt>
                <c:pt idx="79">
                  <c:v>2.6702209370623103E-2</c:v>
                </c:pt>
                <c:pt idx="80">
                  <c:v>2.6057163465873365E-2</c:v>
                </c:pt>
                <c:pt idx="81">
                  <c:v>2.4971342518711585E-2</c:v>
                </c:pt>
                <c:pt idx="82">
                  <c:v>2.2844972536711253E-2</c:v>
                </c:pt>
                <c:pt idx="83">
                  <c:v>2.3157376094600318E-2</c:v>
                </c:pt>
                <c:pt idx="84">
                  <c:v>2.5004748444186223E-2</c:v>
                </c:pt>
                <c:pt idx="85">
                  <c:v>2.5566945910069354E-2</c:v>
                </c:pt>
                <c:pt idx="86">
                  <c:v>2.3783567312612532E-2</c:v>
                </c:pt>
                <c:pt idx="87">
                  <c:v>2.2114030320841974E-2</c:v>
                </c:pt>
                <c:pt idx="88">
                  <c:v>2.0764422810996289E-2</c:v>
                </c:pt>
                <c:pt idx="89">
                  <c:v>1.9873542036789798E-2</c:v>
                </c:pt>
                <c:pt idx="90">
                  <c:v>2.0405238557191983E-2</c:v>
                </c:pt>
                <c:pt idx="91">
                  <c:v>1.9857859531772493E-2</c:v>
                </c:pt>
                <c:pt idx="92">
                  <c:v>2.1023725834797748E-2</c:v>
                </c:pt>
                <c:pt idx="93">
                  <c:v>2.1841147318100135E-2</c:v>
                </c:pt>
                <c:pt idx="94">
                  <c:v>2.3353936524636156E-2</c:v>
                </c:pt>
                <c:pt idx="95">
                  <c:v>2.4045091386669458E-2</c:v>
                </c:pt>
                <c:pt idx="96">
                  <c:v>2.193130661318277E-2</c:v>
                </c:pt>
                <c:pt idx="97">
                  <c:v>2.0720260172505698E-2</c:v>
                </c:pt>
                <c:pt idx="98">
                  <c:v>2.1688108484005666E-2</c:v>
                </c:pt>
                <c:pt idx="99">
                  <c:v>2.0832655187005649E-2</c:v>
                </c:pt>
                <c:pt idx="100">
                  <c:v>2.1490809779781406E-2</c:v>
                </c:pt>
                <c:pt idx="101">
                  <c:v>2.2147926945382118E-2</c:v>
                </c:pt>
                <c:pt idx="102">
                  <c:v>2.2449574884132999E-2</c:v>
                </c:pt>
                <c:pt idx="103">
                  <c:v>2.2178833022297621E-2</c:v>
                </c:pt>
                <c:pt idx="104">
                  <c:v>2.0440217742109062E-2</c:v>
                </c:pt>
                <c:pt idx="105">
                  <c:v>1.6341903085969313E-2</c:v>
                </c:pt>
                <c:pt idx="106">
                  <c:v>1.390034161856522E-2</c:v>
                </c:pt>
                <c:pt idx="107">
                  <c:v>1.137153056098846E-2</c:v>
                </c:pt>
                <c:pt idx="108">
                  <c:v>9.0557102172730865E-3</c:v>
                </c:pt>
                <c:pt idx="109">
                  <c:v>8.8764332296152413E-3</c:v>
                </c:pt>
                <c:pt idx="110">
                  <c:v>7.625388182243573E-3</c:v>
                </c:pt>
                <c:pt idx="111">
                  <c:v>9.2896697596802323E-3</c:v>
                </c:pt>
                <c:pt idx="112">
                  <c:v>8.2223754707973652E-3</c:v>
                </c:pt>
                <c:pt idx="113">
                  <c:v>7.1979760984851706E-3</c:v>
                </c:pt>
                <c:pt idx="114">
                  <c:v>6.255217083505021E-3</c:v>
                </c:pt>
                <c:pt idx="115">
                  <c:v>6.5113922981942249E-3</c:v>
                </c:pt>
                <c:pt idx="116">
                  <c:v>7.2427098488202675E-3</c:v>
                </c:pt>
                <c:pt idx="117">
                  <c:v>1.2394556530368845E-2</c:v>
                </c:pt>
                <c:pt idx="118">
                  <c:v>1.3741457798620443E-2</c:v>
                </c:pt>
                <c:pt idx="119">
                  <c:v>1.5100759793302427E-2</c:v>
                </c:pt>
                <c:pt idx="120">
                  <c:v>1.6902391069956127E-2</c:v>
                </c:pt>
                <c:pt idx="121">
                  <c:v>1.6984061598909871E-2</c:v>
                </c:pt>
                <c:pt idx="122">
                  <c:v>1.7774025014512612E-2</c:v>
                </c:pt>
                <c:pt idx="123">
                  <c:v>1.6017776467243078E-2</c:v>
                </c:pt>
                <c:pt idx="124">
                  <c:v>1.6363253709354864E-2</c:v>
                </c:pt>
                <c:pt idx="125">
                  <c:v>1.5564733949196633E-2</c:v>
                </c:pt>
                <c:pt idx="126">
                  <c:v>1.4700786492077235E-2</c:v>
                </c:pt>
                <c:pt idx="127">
                  <c:v>1.4175771174533981E-2</c:v>
                </c:pt>
                <c:pt idx="128">
                  <c:v>1.2978721177295706E-2</c:v>
                </c:pt>
                <c:pt idx="129">
                  <c:v>1.0793280010011123E-2</c:v>
                </c:pt>
                <c:pt idx="130">
                  <c:v>1.1210902498489318E-2</c:v>
                </c:pt>
                <c:pt idx="131">
                  <c:v>1.0555902560899394E-2</c:v>
                </c:pt>
                <c:pt idx="132">
                  <c:v>1.1247284331763785E-2</c:v>
                </c:pt>
                <c:pt idx="133">
                  <c:v>1.2130653788232916E-2</c:v>
                </c:pt>
                <c:pt idx="134">
                  <c:v>1.2143649731927037E-2</c:v>
                </c:pt>
                <c:pt idx="135">
                  <c:v>1.3951367151060384E-2</c:v>
                </c:pt>
                <c:pt idx="136">
                  <c:v>1.5240461769425982E-2</c:v>
                </c:pt>
                <c:pt idx="137">
                  <c:v>1.5853961420647367E-2</c:v>
                </c:pt>
                <c:pt idx="138">
                  <c:v>1.7343971521115997E-2</c:v>
                </c:pt>
                <c:pt idx="139">
                  <c:v>1.8392159295329037E-2</c:v>
                </c:pt>
                <c:pt idx="140">
                  <c:v>1.8505698432543544E-2</c:v>
                </c:pt>
                <c:pt idx="141">
                  <c:v>1.7445939253879196E-2</c:v>
                </c:pt>
                <c:pt idx="142">
                  <c:v>1.8278484142848321E-2</c:v>
                </c:pt>
                <c:pt idx="143">
                  <c:v>1.9758122669303897E-2</c:v>
                </c:pt>
                <c:pt idx="144">
                  <c:v>2.0609972965471825E-2</c:v>
                </c:pt>
                <c:pt idx="145">
                  <c:v>2.0245656880752763E-2</c:v>
                </c:pt>
                <c:pt idx="146">
                  <c:v>2.0440573770491851E-2</c:v>
                </c:pt>
                <c:pt idx="147">
                  <c:v>1.9647530258423262E-2</c:v>
                </c:pt>
                <c:pt idx="148">
                  <c:v>1.8254688599487971E-2</c:v>
                </c:pt>
                <c:pt idx="149">
                  <c:v>1.8194042622550033E-2</c:v>
                </c:pt>
                <c:pt idx="150">
                  <c:v>1.7739983114465611E-2</c:v>
                </c:pt>
                <c:pt idx="151">
                  <c:v>1.6354499771585242E-2</c:v>
                </c:pt>
                <c:pt idx="152">
                  <c:v>1.692164103396494E-2</c:v>
                </c:pt>
                <c:pt idx="153">
                  <c:v>1.8890883095549534E-2</c:v>
                </c:pt>
                <c:pt idx="154">
                  <c:v>1.7839073946654703E-2</c:v>
                </c:pt>
                <c:pt idx="155">
                  <c:v>1.6890253757879396E-2</c:v>
                </c:pt>
                <c:pt idx="156">
                  <c:v>1.5943517847071133E-2</c:v>
                </c:pt>
                <c:pt idx="157">
                  <c:v>1.5750407338120838E-2</c:v>
                </c:pt>
                <c:pt idx="158">
                  <c:v>1.4960590391083838E-2</c:v>
                </c:pt>
                <c:pt idx="159">
                  <c:v>1.4206083451968015E-2</c:v>
                </c:pt>
                <c:pt idx="160">
                  <c:v>1.4271835908940794E-2</c:v>
                </c:pt>
                <c:pt idx="161">
                  <c:v>1.4887443721860925E-2</c:v>
                </c:pt>
                <c:pt idx="162">
                  <c:v>1.5131980050573155E-2</c:v>
                </c:pt>
                <c:pt idx="163">
                  <c:v>1.5671820688001943E-2</c:v>
                </c:pt>
                <c:pt idx="164">
                  <c:v>1.5552673583399958E-2</c:v>
                </c:pt>
                <c:pt idx="165">
                  <c:v>1.5256463844270629E-2</c:v>
                </c:pt>
                <c:pt idx="166">
                  <c:v>1.5935819307890453E-2</c:v>
                </c:pt>
                <c:pt idx="167">
                  <c:v>1.6579909401573521E-2</c:v>
                </c:pt>
                <c:pt idx="168">
                  <c:v>1.5415729000406529E-2</c:v>
                </c:pt>
                <c:pt idx="169">
                  <c:v>1.4822956273764256E-2</c:v>
                </c:pt>
                <c:pt idx="170">
                  <c:v>1.5818370678142197E-2</c:v>
                </c:pt>
                <c:pt idx="171">
                  <c:v>1.6962723525399685E-2</c:v>
                </c:pt>
                <c:pt idx="172">
                  <c:v>1.7665297416857587E-2</c:v>
                </c:pt>
                <c:pt idx="173">
                  <c:v>1.7173051519154599E-2</c:v>
                </c:pt>
                <c:pt idx="174">
                  <c:v>1.7741983124440093E-2</c:v>
                </c:pt>
                <c:pt idx="175">
                  <c:v>1.6944485420661837E-2</c:v>
                </c:pt>
                <c:pt idx="176">
                  <c:v>1.7063035982671684E-2</c:v>
                </c:pt>
                <c:pt idx="177">
                  <c:v>1.5821202764299411E-2</c:v>
                </c:pt>
                <c:pt idx="178">
                  <c:v>1.5128089711724683E-2</c:v>
                </c:pt>
                <c:pt idx="179">
                  <c:v>1.4697116277251765E-2</c:v>
                </c:pt>
                <c:pt idx="180">
                  <c:v>1.3570773045906318E-2</c:v>
                </c:pt>
                <c:pt idx="181">
                  <c:v>1.3962474021602292E-2</c:v>
                </c:pt>
                <c:pt idx="182">
                  <c:v>1.3595107319543462E-2</c:v>
                </c:pt>
                <c:pt idx="183">
                  <c:v>1.3384655760650815E-2</c:v>
                </c:pt>
                <c:pt idx="184">
                  <c:v>1.2846760656310321E-2</c:v>
                </c:pt>
                <c:pt idx="185">
                  <c:v>1.2899786780383686E-2</c:v>
                </c:pt>
                <c:pt idx="186">
                  <c:v>1.193781501223766E-2</c:v>
                </c:pt>
                <c:pt idx="187">
                  <c:v>1.2291118675537683E-2</c:v>
                </c:pt>
                <c:pt idx="188">
                  <c:v>1.2343532684283646E-2</c:v>
                </c:pt>
                <c:pt idx="189">
                  <c:v>1.1579770141562579E-2</c:v>
                </c:pt>
                <c:pt idx="190">
                  <c:v>1.1567379988432647E-2</c:v>
                </c:pt>
                <c:pt idx="191">
                  <c:v>1.1286920847096864E-2</c:v>
                </c:pt>
                <c:pt idx="192">
                  <c:v>1.3369808122062022E-2</c:v>
                </c:pt>
                <c:pt idx="193">
                  <c:v>1.3943418013856793E-2</c:v>
                </c:pt>
                <c:pt idx="194">
                  <c:v>1.3845119139123774E-2</c:v>
                </c:pt>
                <c:pt idx="195">
                  <c:v>1.4675414364640895E-2</c:v>
                </c:pt>
                <c:pt idx="196">
                  <c:v>1.4973415720649405E-2</c:v>
                </c:pt>
                <c:pt idx="197">
                  <c:v>1.4984068662628839E-2</c:v>
                </c:pt>
                <c:pt idx="198">
                  <c:v>1.5812165999063228E-2</c:v>
                </c:pt>
                <c:pt idx="199">
                  <c:v>1.6975706684244224E-2</c:v>
                </c:pt>
                <c:pt idx="200">
                  <c:v>1.6839353521476145E-2</c:v>
                </c:pt>
                <c:pt idx="201">
                  <c:v>1.8201070314512218E-2</c:v>
                </c:pt>
                <c:pt idx="202">
                  <c:v>1.7619592147894072E-2</c:v>
                </c:pt>
                <c:pt idx="203">
                  <c:v>1.8284147073108034E-2</c:v>
                </c:pt>
                <c:pt idx="204">
                  <c:v>1.9010684004410479E-2</c:v>
                </c:pt>
                <c:pt idx="205">
                  <c:v>1.8867029202137248E-2</c:v>
                </c:pt>
                <c:pt idx="206">
                  <c:v>1.6925540887595847E-2</c:v>
                </c:pt>
                <c:pt idx="207">
                  <c:v>1.7024937137239349E-2</c:v>
                </c:pt>
                <c:pt idx="208">
                  <c:v>1.6526975497413873E-2</c:v>
                </c:pt>
                <c:pt idx="209">
                  <c:v>1.6959378564627644E-2</c:v>
                </c:pt>
                <c:pt idx="210">
                  <c:v>1.587660107098824E-2</c:v>
                </c:pt>
                <c:pt idx="211">
                  <c:v>1.5048470729691175E-2</c:v>
                </c:pt>
                <c:pt idx="212">
                  <c:v>1.583801687011515E-2</c:v>
                </c:pt>
                <c:pt idx="213">
                  <c:v>1.6948199780769665E-2</c:v>
                </c:pt>
                <c:pt idx="214">
                  <c:v>1.6968039779378004E-2</c:v>
                </c:pt>
                <c:pt idx="215">
                  <c:v>1.7207679862338593E-2</c:v>
                </c:pt>
                <c:pt idx="216">
                  <c:v>1.7312786836312162E-2</c:v>
                </c:pt>
                <c:pt idx="217">
                  <c:v>1.7846996469722484E-2</c:v>
                </c:pt>
                <c:pt idx="218">
                  <c:v>2.0828091364030299E-2</c:v>
                </c:pt>
                <c:pt idx="219">
                  <c:v>2.0123249091432906E-2</c:v>
                </c:pt>
                <c:pt idx="220">
                  <c:v>2.1077261627313125E-2</c:v>
                </c:pt>
                <c:pt idx="221">
                  <c:v>2.0671882531795669E-2</c:v>
                </c:pt>
                <c:pt idx="222">
                  <c:v>2.1251760171940977E-2</c:v>
                </c:pt>
                <c:pt idx="223">
                  <c:v>2.0257639415869187E-2</c:v>
                </c:pt>
                <c:pt idx="224">
                  <c:v>2.0394025880462175E-2</c:v>
                </c:pt>
                <c:pt idx="225">
                  <c:v>1.9300573028946243E-2</c:v>
                </c:pt>
                <c:pt idx="226">
                  <c:v>2.059833703188732E-2</c:v>
                </c:pt>
                <c:pt idx="227">
                  <c:v>2.0566521711149269E-2</c:v>
                </c:pt>
                <c:pt idx="228">
                  <c:v>1.8338529249954154E-2</c:v>
                </c:pt>
                <c:pt idx="229">
                  <c:v>1.6682986648119916E-2</c:v>
                </c:pt>
                <c:pt idx="230">
                  <c:v>1.5628708623176529E-2</c:v>
                </c:pt>
                <c:pt idx="231">
                  <c:v>1.6901742109483236E-2</c:v>
                </c:pt>
                <c:pt idx="232">
                  <c:v>1.6140912438960122E-2</c:v>
                </c:pt>
                <c:pt idx="233">
                  <c:v>1.7174359253810015E-2</c:v>
                </c:pt>
                <c:pt idx="234">
                  <c:v>1.7344291442152489E-2</c:v>
                </c:pt>
                <c:pt idx="235">
                  <c:v>1.852204595136377E-2</c:v>
                </c:pt>
                <c:pt idx="236">
                  <c:v>1.7126046616881739E-2</c:v>
                </c:pt>
                <c:pt idx="237">
                  <c:v>1.7163619273144682E-2</c:v>
                </c:pt>
                <c:pt idx="238">
                  <c:v>1.5680542774138832E-2</c:v>
                </c:pt>
                <c:pt idx="239">
                  <c:v>1.6377493108480603E-2</c:v>
                </c:pt>
                <c:pt idx="240">
                  <c:v>1.7828200972447361E-2</c:v>
                </c:pt>
                <c:pt idx="241">
                  <c:v>1.9073594008785191E-2</c:v>
                </c:pt>
                <c:pt idx="242">
                  <c:v>1.7042083880130159E-2</c:v>
                </c:pt>
                <c:pt idx="243">
                  <c:v>9.1481717096597963E-3</c:v>
                </c:pt>
                <c:pt idx="244">
                  <c:v>1.0022909507445631E-2</c:v>
                </c:pt>
                <c:pt idx="245">
                  <c:v>1.1321731832102652E-2</c:v>
                </c:pt>
                <c:pt idx="246">
                  <c:v>1.3018279090503734E-2</c:v>
                </c:pt>
                <c:pt idx="247">
                  <c:v>1.497920544309774E-2</c:v>
                </c:pt>
                <c:pt idx="248">
                  <c:v>1.569855918552596E-2</c:v>
                </c:pt>
                <c:pt idx="249">
                  <c:v>1.4190510040874304E-2</c:v>
                </c:pt>
                <c:pt idx="250">
                  <c:v>1.3839539511085906E-2</c:v>
                </c:pt>
                <c:pt idx="251">
                  <c:v>1.4801815216620592E-2</c:v>
                </c:pt>
                <c:pt idx="252">
                  <c:v>1.5092002830856235E-2</c:v>
                </c:pt>
                <c:pt idx="253">
                  <c:v>1.4874354105021397E-2</c:v>
                </c:pt>
                <c:pt idx="254">
                  <c:v>1.9734865223155013E-2</c:v>
                </c:pt>
                <c:pt idx="255">
                  <c:v>3.0827147778527492E-2</c:v>
                </c:pt>
                <c:pt idx="256">
                  <c:v>3.4572582931669982E-2</c:v>
                </c:pt>
                <c:pt idx="257">
                  <c:v>3.5862799629188168E-2</c:v>
                </c:pt>
                <c:pt idx="258">
                  <c:v>3.6035560249977942E-2</c:v>
                </c:pt>
                <c:pt idx="259">
                  <c:v>3.5991611901273042E-2</c:v>
                </c:pt>
                <c:pt idx="260">
                  <c:v>3.7027626148899061E-2</c:v>
                </c:pt>
                <c:pt idx="261">
                  <c:v>4.1914541296862597E-2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B0-6E43-8ED0-6A357F3CA34A}"/>
            </c:ext>
          </c:extLst>
        </c:ser>
        <c:ser>
          <c:idx val="1"/>
          <c:order val="1"/>
          <c:tx>
            <c:strRef>
              <c:f>'PCE Core'!$E$4</c:f>
              <c:strCache>
                <c:ptCount val="1"/>
                <c:pt idx="0">
                  <c:v>Fed Target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Core'!$A$497:$A$776</c:f>
              <c:numCache>
                <c:formatCode>yyyy\-mm\-dd</c:formatCode>
                <c:ptCount val="280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</c:numCache>
            </c:numRef>
          </c:cat>
          <c:val>
            <c:numRef>
              <c:f>'PCE Core'!$E$497:$E$759</c:f>
              <c:numCache>
                <c:formatCode>0%</c:formatCode>
                <c:ptCount val="263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0.02</c:v>
                </c:pt>
                <c:pt idx="82">
                  <c:v>0.02</c:v>
                </c:pt>
                <c:pt idx="83">
                  <c:v>0.02</c:v>
                </c:pt>
                <c:pt idx="84">
                  <c:v>0.02</c:v>
                </c:pt>
                <c:pt idx="85">
                  <c:v>0.02</c:v>
                </c:pt>
                <c:pt idx="86">
                  <c:v>0.02</c:v>
                </c:pt>
                <c:pt idx="87">
                  <c:v>0.02</c:v>
                </c:pt>
                <c:pt idx="88">
                  <c:v>0.02</c:v>
                </c:pt>
                <c:pt idx="89">
                  <c:v>0.02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  <c:pt idx="93">
                  <c:v>0.02</c:v>
                </c:pt>
                <c:pt idx="94">
                  <c:v>0.02</c:v>
                </c:pt>
                <c:pt idx="95">
                  <c:v>0.02</c:v>
                </c:pt>
                <c:pt idx="96">
                  <c:v>0.02</c:v>
                </c:pt>
                <c:pt idx="97">
                  <c:v>0.02</c:v>
                </c:pt>
                <c:pt idx="98">
                  <c:v>0.02</c:v>
                </c:pt>
                <c:pt idx="99">
                  <c:v>0.02</c:v>
                </c:pt>
                <c:pt idx="100">
                  <c:v>0.02</c:v>
                </c:pt>
                <c:pt idx="101">
                  <c:v>0.02</c:v>
                </c:pt>
                <c:pt idx="102">
                  <c:v>0.02</c:v>
                </c:pt>
                <c:pt idx="103">
                  <c:v>0.02</c:v>
                </c:pt>
                <c:pt idx="104">
                  <c:v>0.02</c:v>
                </c:pt>
                <c:pt idx="105">
                  <c:v>0.02</c:v>
                </c:pt>
                <c:pt idx="106">
                  <c:v>0.02</c:v>
                </c:pt>
                <c:pt idx="107">
                  <c:v>0.02</c:v>
                </c:pt>
                <c:pt idx="108">
                  <c:v>0.02</c:v>
                </c:pt>
                <c:pt idx="109">
                  <c:v>0.02</c:v>
                </c:pt>
                <c:pt idx="110">
                  <c:v>0.02</c:v>
                </c:pt>
                <c:pt idx="111">
                  <c:v>0.02</c:v>
                </c:pt>
                <c:pt idx="112">
                  <c:v>0.02</c:v>
                </c:pt>
                <c:pt idx="113">
                  <c:v>0.02</c:v>
                </c:pt>
                <c:pt idx="114">
                  <c:v>0.02</c:v>
                </c:pt>
                <c:pt idx="115">
                  <c:v>0.02</c:v>
                </c:pt>
                <c:pt idx="116">
                  <c:v>0.02</c:v>
                </c:pt>
                <c:pt idx="117">
                  <c:v>0.02</c:v>
                </c:pt>
                <c:pt idx="118">
                  <c:v>0.02</c:v>
                </c:pt>
                <c:pt idx="119">
                  <c:v>0.02</c:v>
                </c:pt>
                <c:pt idx="120">
                  <c:v>0.02</c:v>
                </c:pt>
                <c:pt idx="121">
                  <c:v>0.02</c:v>
                </c:pt>
                <c:pt idx="122">
                  <c:v>0.02</c:v>
                </c:pt>
                <c:pt idx="123">
                  <c:v>0.02</c:v>
                </c:pt>
                <c:pt idx="124">
                  <c:v>0.02</c:v>
                </c:pt>
                <c:pt idx="125">
                  <c:v>0.02</c:v>
                </c:pt>
                <c:pt idx="126">
                  <c:v>0.02</c:v>
                </c:pt>
                <c:pt idx="127">
                  <c:v>0.02</c:v>
                </c:pt>
                <c:pt idx="128">
                  <c:v>0.02</c:v>
                </c:pt>
                <c:pt idx="129">
                  <c:v>0.02</c:v>
                </c:pt>
                <c:pt idx="130">
                  <c:v>0.02</c:v>
                </c:pt>
                <c:pt idx="131">
                  <c:v>0.02</c:v>
                </c:pt>
                <c:pt idx="132">
                  <c:v>0.02</c:v>
                </c:pt>
                <c:pt idx="133">
                  <c:v>0.02</c:v>
                </c:pt>
                <c:pt idx="134">
                  <c:v>0.02</c:v>
                </c:pt>
                <c:pt idx="135">
                  <c:v>0.02</c:v>
                </c:pt>
                <c:pt idx="136">
                  <c:v>0.02</c:v>
                </c:pt>
                <c:pt idx="137">
                  <c:v>0.02</c:v>
                </c:pt>
                <c:pt idx="138">
                  <c:v>0.02</c:v>
                </c:pt>
                <c:pt idx="139">
                  <c:v>0.02</c:v>
                </c:pt>
                <c:pt idx="140">
                  <c:v>0.02</c:v>
                </c:pt>
                <c:pt idx="141">
                  <c:v>0.02</c:v>
                </c:pt>
                <c:pt idx="142">
                  <c:v>0.02</c:v>
                </c:pt>
                <c:pt idx="143">
                  <c:v>0.02</c:v>
                </c:pt>
                <c:pt idx="144">
                  <c:v>0.02</c:v>
                </c:pt>
                <c:pt idx="145">
                  <c:v>0.02</c:v>
                </c:pt>
                <c:pt idx="146">
                  <c:v>0.02</c:v>
                </c:pt>
                <c:pt idx="147">
                  <c:v>0.02</c:v>
                </c:pt>
                <c:pt idx="148">
                  <c:v>0.02</c:v>
                </c:pt>
                <c:pt idx="149">
                  <c:v>0.02</c:v>
                </c:pt>
                <c:pt idx="150">
                  <c:v>0.02</c:v>
                </c:pt>
                <c:pt idx="151">
                  <c:v>0.02</c:v>
                </c:pt>
                <c:pt idx="152">
                  <c:v>0.02</c:v>
                </c:pt>
                <c:pt idx="153">
                  <c:v>0.02</c:v>
                </c:pt>
                <c:pt idx="154">
                  <c:v>0.02</c:v>
                </c:pt>
                <c:pt idx="155">
                  <c:v>0.02</c:v>
                </c:pt>
                <c:pt idx="156">
                  <c:v>0.02</c:v>
                </c:pt>
                <c:pt idx="157">
                  <c:v>0.02</c:v>
                </c:pt>
                <c:pt idx="158">
                  <c:v>0.02</c:v>
                </c:pt>
                <c:pt idx="159">
                  <c:v>0.02</c:v>
                </c:pt>
                <c:pt idx="160">
                  <c:v>0.02</c:v>
                </c:pt>
                <c:pt idx="161">
                  <c:v>0.02</c:v>
                </c:pt>
                <c:pt idx="162">
                  <c:v>0.02</c:v>
                </c:pt>
                <c:pt idx="163">
                  <c:v>0.02</c:v>
                </c:pt>
                <c:pt idx="164">
                  <c:v>0.02</c:v>
                </c:pt>
                <c:pt idx="165">
                  <c:v>0.02</c:v>
                </c:pt>
                <c:pt idx="166">
                  <c:v>0.02</c:v>
                </c:pt>
                <c:pt idx="167">
                  <c:v>0.02</c:v>
                </c:pt>
                <c:pt idx="168">
                  <c:v>0.02</c:v>
                </c:pt>
                <c:pt idx="169">
                  <c:v>0.02</c:v>
                </c:pt>
                <c:pt idx="170">
                  <c:v>0.02</c:v>
                </c:pt>
                <c:pt idx="171">
                  <c:v>0.02</c:v>
                </c:pt>
                <c:pt idx="172">
                  <c:v>0.02</c:v>
                </c:pt>
                <c:pt idx="173">
                  <c:v>0.02</c:v>
                </c:pt>
                <c:pt idx="174">
                  <c:v>0.02</c:v>
                </c:pt>
                <c:pt idx="175">
                  <c:v>0.02</c:v>
                </c:pt>
                <c:pt idx="176">
                  <c:v>0.02</c:v>
                </c:pt>
                <c:pt idx="177">
                  <c:v>0.02</c:v>
                </c:pt>
                <c:pt idx="178">
                  <c:v>0.02</c:v>
                </c:pt>
                <c:pt idx="179">
                  <c:v>0.02</c:v>
                </c:pt>
                <c:pt idx="180">
                  <c:v>0.02</c:v>
                </c:pt>
                <c:pt idx="181">
                  <c:v>0.02</c:v>
                </c:pt>
                <c:pt idx="182">
                  <c:v>0.02</c:v>
                </c:pt>
                <c:pt idx="183">
                  <c:v>0.02</c:v>
                </c:pt>
                <c:pt idx="184">
                  <c:v>0.02</c:v>
                </c:pt>
                <c:pt idx="185">
                  <c:v>0.02</c:v>
                </c:pt>
                <c:pt idx="186">
                  <c:v>0.02</c:v>
                </c:pt>
                <c:pt idx="187">
                  <c:v>0.02</c:v>
                </c:pt>
                <c:pt idx="188">
                  <c:v>0.02</c:v>
                </c:pt>
                <c:pt idx="189">
                  <c:v>0.02</c:v>
                </c:pt>
                <c:pt idx="190">
                  <c:v>0.02</c:v>
                </c:pt>
                <c:pt idx="191">
                  <c:v>0.02</c:v>
                </c:pt>
                <c:pt idx="192">
                  <c:v>0.02</c:v>
                </c:pt>
                <c:pt idx="193">
                  <c:v>0.02</c:v>
                </c:pt>
                <c:pt idx="194">
                  <c:v>0.02</c:v>
                </c:pt>
                <c:pt idx="195">
                  <c:v>0.02</c:v>
                </c:pt>
                <c:pt idx="196">
                  <c:v>0.02</c:v>
                </c:pt>
                <c:pt idx="197">
                  <c:v>0.02</c:v>
                </c:pt>
                <c:pt idx="198">
                  <c:v>0.02</c:v>
                </c:pt>
                <c:pt idx="199">
                  <c:v>0.02</c:v>
                </c:pt>
                <c:pt idx="200">
                  <c:v>0.02</c:v>
                </c:pt>
                <c:pt idx="201">
                  <c:v>0.02</c:v>
                </c:pt>
                <c:pt idx="202">
                  <c:v>0.02</c:v>
                </c:pt>
                <c:pt idx="203">
                  <c:v>0.02</c:v>
                </c:pt>
                <c:pt idx="204">
                  <c:v>0.02</c:v>
                </c:pt>
                <c:pt idx="205">
                  <c:v>0.02</c:v>
                </c:pt>
                <c:pt idx="206">
                  <c:v>0.02</c:v>
                </c:pt>
                <c:pt idx="207">
                  <c:v>0.02</c:v>
                </c:pt>
                <c:pt idx="208">
                  <c:v>0.02</c:v>
                </c:pt>
                <c:pt idx="209">
                  <c:v>0.02</c:v>
                </c:pt>
                <c:pt idx="210">
                  <c:v>0.02</c:v>
                </c:pt>
                <c:pt idx="211">
                  <c:v>0.02</c:v>
                </c:pt>
                <c:pt idx="212">
                  <c:v>0.02</c:v>
                </c:pt>
                <c:pt idx="213">
                  <c:v>0.02</c:v>
                </c:pt>
                <c:pt idx="214">
                  <c:v>0.02</c:v>
                </c:pt>
                <c:pt idx="215">
                  <c:v>0.02</c:v>
                </c:pt>
                <c:pt idx="216">
                  <c:v>0.02</c:v>
                </c:pt>
                <c:pt idx="217">
                  <c:v>0.02</c:v>
                </c:pt>
                <c:pt idx="218">
                  <c:v>0.02</c:v>
                </c:pt>
                <c:pt idx="219">
                  <c:v>0.02</c:v>
                </c:pt>
                <c:pt idx="220">
                  <c:v>0.02</c:v>
                </c:pt>
                <c:pt idx="221">
                  <c:v>0.02</c:v>
                </c:pt>
                <c:pt idx="222">
                  <c:v>0.02</c:v>
                </c:pt>
                <c:pt idx="223">
                  <c:v>0.02</c:v>
                </c:pt>
                <c:pt idx="224">
                  <c:v>0.02</c:v>
                </c:pt>
                <c:pt idx="225">
                  <c:v>0.02</c:v>
                </c:pt>
                <c:pt idx="226">
                  <c:v>0.02</c:v>
                </c:pt>
                <c:pt idx="227">
                  <c:v>0.02</c:v>
                </c:pt>
                <c:pt idx="228">
                  <c:v>0.02</c:v>
                </c:pt>
                <c:pt idx="229">
                  <c:v>0.02</c:v>
                </c:pt>
                <c:pt idx="230">
                  <c:v>0.02</c:v>
                </c:pt>
                <c:pt idx="231">
                  <c:v>0.02</c:v>
                </c:pt>
                <c:pt idx="232">
                  <c:v>0.02</c:v>
                </c:pt>
                <c:pt idx="233">
                  <c:v>0.02</c:v>
                </c:pt>
                <c:pt idx="234">
                  <c:v>0.02</c:v>
                </c:pt>
                <c:pt idx="235">
                  <c:v>0.02</c:v>
                </c:pt>
                <c:pt idx="236">
                  <c:v>0.02</c:v>
                </c:pt>
                <c:pt idx="237">
                  <c:v>0.02</c:v>
                </c:pt>
                <c:pt idx="238">
                  <c:v>0.02</c:v>
                </c:pt>
                <c:pt idx="239">
                  <c:v>0.02</c:v>
                </c:pt>
                <c:pt idx="240">
                  <c:v>0.02</c:v>
                </c:pt>
                <c:pt idx="241">
                  <c:v>0.02</c:v>
                </c:pt>
                <c:pt idx="242">
                  <c:v>0.02</c:v>
                </c:pt>
                <c:pt idx="243">
                  <c:v>0.02</c:v>
                </c:pt>
                <c:pt idx="244">
                  <c:v>0.02</c:v>
                </c:pt>
                <c:pt idx="245">
                  <c:v>0.02</c:v>
                </c:pt>
                <c:pt idx="246">
                  <c:v>0.02</c:v>
                </c:pt>
                <c:pt idx="247">
                  <c:v>0.02</c:v>
                </c:pt>
                <c:pt idx="248">
                  <c:v>0.02</c:v>
                </c:pt>
                <c:pt idx="249">
                  <c:v>0.02</c:v>
                </c:pt>
                <c:pt idx="250">
                  <c:v>0.02</c:v>
                </c:pt>
                <c:pt idx="251">
                  <c:v>0.02</c:v>
                </c:pt>
                <c:pt idx="252">
                  <c:v>0.02</c:v>
                </c:pt>
                <c:pt idx="253">
                  <c:v>0.02</c:v>
                </c:pt>
                <c:pt idx="254">
                  <c:v>0.02</c:v>
                </c:pt>
                <c:pt idx="255">
                  <c:v>0.02</c:v>
                </c:pt>
                <c:pt idx="256">
                  <c:v>0.02</c:v>
                </c:pt>
                <c:pt idx="257">
                  <c:v>0.02</c:v>
                </c:pt>
                <c:pt idx="258">
                  <c:v>0.02</c:v>
                </c:pt>
                <c:pt idx="259">
                  <c:v>0.02</c:v>
                </c:pt>
                <c:pt idx="260">
                  <c:v>0.02</c:v>
                </c:pt>
                <c:pt idx="261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B0-6E43-8ED0-6A357F3CA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699024"/>
        <c:axId val="495403552"/>
      </c:lineChart>
      <c:dateAx>
        <c:axId val="61569902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03552"/>
        <c:crosses val="autoZero"/>
        <c:auto val="0"/>
        <c:lblOffset val="100"/>
        <c:baseTimeUnit val="months"/>
        <c:majorUnit val="12"/>
        <c:majorTimeUnit val="months"/>
      </c:dateAx>
      <c:valAx>
        <c:axId val="495403552"/>
        <c:scaling>
          <c:orientation val="minMax"/>
          <c:min val="5.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99024"/>
        <c:crosses val="autoZero"/>
        <c:crossBetween val="between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baseline="0"/>
              <a:t>PCE Core (lhs) vs Fed Fund Target (rhs)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'PCE Core'!$D$4</c:f>
              <c:strCache>
                <c:ptCount val="1"/>
                <c:pt idx="0">
                  <c:v>PCE Core YoY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Core'!$A$149:$A$774</c:f>
              <c:numCache>
                <c:formatCode>yyyy\-mm\-dd</c:formatCode>
                <c:ptCount val="626"/>
                <c:pt idx="0">
                  <c:v>25934</c:v>
                </c:pt>
                <c:pt idx="1">
                  <c:v>25965</c:v>
                </c:pt>
                <c:pt idx="2">
                  <c:v>25993</c:v>
                </c:pt>
                <c:pt idx="3">
                  <c:v>26024</c:v>
                </c:pt>
                <c:pt idx="4">
                  <c:v>26054</c:v>
                </c:pt>
                <c:pt idx="5">
                  <c:v>26085</c:v>
                </c:pt>
                <c:pt idx="6">
                  <c:v>26115</c:v>
                </c:pt>
                <c:pt idx="7">
                  <c:v>26146</c:v>
                </c:pt>
                <c:pt idx="8">
                  <c:v>26177</c:v>
                </c:pt>
                <c:pt idx="9">
                  <c:v>26207</c:v>
                </c:pt>
                <c:pt idx="10">
                  <c:v>26238</c:v>
                </c:pt>
                <c:pt idx="11">
                  <c:v>26268</c:v>
                </c:pt>
                <c:pt idx="12">
                  <c:v>26299</c:v>
                </c:pt>
                <c:pt idx="13">
                  <c:v>26330</c:v>
                </c:pt>
                <c:pt idx="14">
                  <c:v>26359</c:v>
                </c:pt>
                <c:pt idx="15">
                  <c:v>26390</c:v>
                </c:pt>
                <c:pt idx="16">
                  <c:v>26420</c:v>
                </c:pt>
                <c:pt idx="17">
                  <c:v>26451</c:v>
                </c:pt>
                <c:pt idx="18">
                  <c:v>26481</c:v>
                </c:pt>
                <c:pt idx="19">
                  <c:v>26512</c:v>
                </c:pt>
                <c:pt idx="20">
                  <c:v>26543</c:v>
                </c:pt>
                <c:pt idx="21">
                  <c:v>26573</c:v>
                </c:pt>
                <c:pt idx="22">
                  <c:v>26604</c:v>
                </c:pt>
                <c:pt idx="23">
                  <c:v>26634</c:v>
                </c:pt>
                <c:pt idx="24">
                  <c:v>26665</c:v>
                </c:pt>
                <c:pt idx="25">
                  <c:v>26696</c:v>
                </c:pt>
                <c:pt idx="26">
                  <c:v>26724</c:v>
                </c:pt>
                <c:pt idx="27">
                  <c:v>26755</c:v>
                </c:pt>
                <c:pt idx="28">
                  <c:v>26785</c:v>
                </c:pt>
                <c:pt idx="29">
                  <c:v>26816</c:v>
                </c:pt>
                <c:pt idx="30">
                  <c:v>26846</c:v>
                </c:pt>
                <c:pt idx="31">
                  <c:v>26877</c:v>
                </c:pt>
                <c:pt idx="32">
                  <c:v>26908</c:v>
                </c:pt>
                <c:pt idx="33">
                  <c:v>26938</c:v>
                </c:pt>
                <c:pt idx="34">
                  <c:v>26969</c:v>
                </c:pt>
                <c:pt idx="35">
                  <c:v>26999</c:v>
                </c:pt>
                <c:pt idx="36">
                  <c:v>27030</c:v>
                </c:pt>
                <c:pt idx="37">
                  <c:v>27061</c:v>
                </c:pt>
                <c:pt idx="38">
                  <c:v>27089</c:v>
                </c:pt>
                <c:pt idx="39">
                  <c:v>27120</c:v>
                </c:pt>
                <c:pt idx="40">
                  <c:v>27150</c:v>
                </c:pt>
                <c:pt idx="41">
                  <c:v>27181</c:v>
                </c:pt>
                <c:pt idx="42">
                  <c:v>27211</c:v>
                </c:pt>
                <c:pt idx="43">
                  <c:v>27242</c:v>
                </c:pt>
                <c:pt idx="44">
                  <c:v>27273</c:v>
                </c:pt>
                <c:pt idx="45">
                  <c:v>27303</c:v>
                </c:pt>
                <c:pt idx="46">
                  <c:v>27334</c:v>
                </c:pt>
                <c:pt idx="47">
                  <c:v>27364</c:v>
                </c:pt>
                <c:pt idx="48">
                  <c:v>27395</c:v>
                </c:pt>
                <c:pt idx="49">
                  <c:v>27426</c:v>
                </c:pt>
                <c:pt idx="50">
                  <c:v>27454</c:v>
                </c:pt>
                <c:pt idx="51">
                  <c:v>27485</c:v>
                </c:pt>
                <c:pt idx="52">
                  <c:v>27515</c:v>
                </c:pt>
                <c:pt idx="53">
                  <c:v>27546</c:v>
                </c:pt>
                <c:pt idx="54">
                  <c:v>27576</c:v>
                </c:pt>
                <c:pt idx="55">
                  <c:v>27607</c:v>
                </c:pt>
                <c:pt idx="56">
                  <c:v>27638</c:v>
                </c:pt>
                <c:pt idx="57">
                  <c:v>27668</c:v>
                </c:pt>
                <c:pt idx="58">
                  <c:v>27699</c:v>
                </c:pt>
                <c:pt idx="59">
                  <c:v>27729</c:v>
                </c:pt>
                <c:pt idx="60">
                  <c:v>27760</c:v>
                </c:pt>
                <c:pt idx="61">
                  <c:v>27791</c:v>
                </c:pt>
                <c:pt idx="62">
                  <c:v>27820</c:v>
                </c:pt>
                <c:pt idx="63">
                  <c:v>27851</c:v>
                </c:pt>
                <c:pt idx="64">
                  <c:v>27881</c:v>
                </c:pt>
                <c:pt idx="65">
                  <c:v>27912</c:v>
                </c:pt>
                <c:pt idx="66">
                  <c:v>27942</c:v>
                </c:pt>
                <c:pt idx="67">
                  <c:v>27973</c:v>
                </c:pt>
                <c:pt idx="68">
                  <c:v>28004</c:v>
                </c:pt>
                <c:pt idx="69">
                  <c:v>28034</c:v>
                </c:pt>
                <c:pt idx="70">
                  <c:v>28065</c:v>
                </c:pt>
                <c:pt idx="71">
                  <c:v>28095</c:v>
                </c:pt>
                <c:pt idx="72">
                  <c:v>28126</c:v>
                </c:pt>
                <c:pt idx="73">
                  <c:v>28157</c:v>
                </c:pt>
                <c:pt idx="74">
                  <c:v>28185</c:v>
                </c:pt>
                <c:pt idx="75">
                  <c:v>28216</c:v>
                </c:pt>
                <c:pt idx="76">
                  <c:v>28246</c:v>
                </c:pt>
                <c:pt idx="77">
                  <c:v>28277</c:v>
                </c:pt>
                <c:pt idx="78">
                  <c:v>28307</c:v>
                </c:pt>
                <c:pt idx="79">
                  <c:v>28338</c:v>
                </c:pt>
                <c:pt idx="80">
                  <c:v>28369</c:v>
                </c:pt>
                <c:pt idx="81">
                  <c:v>28399</c:v>
                </c:pt>
                <c:pt idx="82">
                  <c:v>28430</c:v>
                </c:pt>
                <c:pt idx="83">
                  <c:v>28460</c:v>
                </c:pt>
                <c:pt idx="84">
                  <c:v>28491</c:v>
                </c:pt>
                <c:pt idx="85">
                  <c:v>28522</c:v>
                </c:pt>
                <c:pt idx="86">
                  <c:v>28550</c:v>
                </c:pt>
                <c:pt idx="87">
                  <c:v>28581</c:v>
                </c:pt>
                <c:pt idx="88">
                  <c:v>28611</c:v>
                </c:pt>
                <c:pt idx="89">
                  <c:v>28642</c:v>
                </c:pt>
                <c:pt idx="90">
                  <c:v>28672</c:v>
                </c:pt>
                <c:pt idx="91">
                  <c:v>28703</c:v>
                </c:pt>
                <c:pt idx="92">
                  <c:v>28734</c:v>
                </c:pt>
                <c:pt idx="93">
                  <c:v>28764</c:v>
                </c:pt>
                <c:pt idx="94">
                  <c:v>28795</c:v>
                </c:pt>
                <c:pt idx="95">
                  <c:v>28825</c:v>
                </c:pt>
                <c:pt idx="96">
                  <c:v>28856</c:v>
                </c:pt>
                <c:pt idx="97">
                  <c:v>28887</c:v>
                </c:pt>
                <c:pt idx="98">
                  <c:v>28915</c:v>
                </c:pt>
                <c:pt idx="99">
                  <c:v>28946</c:v>
                </c:pt>
                <c:pt idx="100">
                  <c:v>28976</c:v>
                </c:pt>
                <c:pt idx="101">
                  <c:v>29007</c:v>
                </c:pt>
                <c:pt idx="102">
                  <c:v>29037</c:v>
                </c:pt>
                <c:pt idx="103">
                  <c:v>29068</c:v>
                </c:pt>
                <c:pt idx="104">
                  <c:v>29099</c:v>
                </c:pt>
                <c:pt idx="105">
                  <c:v>29129</c:v>
                </c:pt>
                <c:pt idx="106">
                  <c:v>29160</c:v>
                </c:pt>
                <c:pt idx="107">
                  <c:v>29190</c:v>
                </c:pt>
                <c:pt idx="108">
                  <c:v>29221</c:v>
                </c:pt>
                <c:pt idx="109">
                  <c:v>29252</c:v>
                </c:pt>
                <c:pt idx="110">
                  <c:v>29281</c:v>
                </c:pt>
                <c:pt idx="111">
                  <c:v>29312</c:v>
                </c:pt>
                <c:pt idx="112">
                  <c:v>29342</c:v>
                </c:pt>
                <c:pt idx="113">
                  <c:v>29373</c:v>
                </c:pt>
                <c:pt idx="114">
                  <c:v>29403</c:v>
                </c:pt>
                <c:pt idx="115">
                  <c:v>29434</c:v>
                </c:pt>
                <c:pt idx="116">
                  <c:v>29465</c:v>
                </c:pt>
                <c:pt idx="117">
                  <c:v>29495</c:v>
                </c:pt>
                <c:pt idx="118">
                  <c:v>29526</c:v>
                </c:pt>
                <c:pt idx="119">
                  <c:v>29556</c:v>
                </c:pt>
                <c:pt idx="120">
                  <c:v>29587</c:v>
                </c:pt>
                <c:pt idx="121">
                  <c:v>29618</c:v>
                </c:pt>
                <c:pt idx="122">
                  <c:v>29646</c:v>
                </c:pt>
                <c:pt idx="123">
                  <c:v>29677</c:v>
                </c:pt>
                <c:pt idx="124">
                  <c:v>29707</c:v>
                </c:pt>
                <c:pt idx="125">
                  <c:v>29738</c:v>
                </c:pt>
                <c:pt idx="126">
                  <c:v>29768</c:v>
                </c:pt>
                <c:pt idx="127">
                  <c:v>29799</c:v>
                </c:pt>
                <c:pt idx="128">
                  <c:v>29830</c:v>
                </c:pt>
                <c:pt idx="129">
                  <c:v>29860</c:v>
                </c:pt>
                <c:pt idx="130">
                  <c:v>29891</c:v>
                </c:pt>
                <c:pt idx="131">
                  <c:v>29921</c:v>
                </c:pt>
                <c:pt idx="132">
                  <c:v>29952</c:v>
                </c:pt>
                <c:pt idx="133">
                  <c:v>29983</c:v>
                </c:pt>
                <c:pt idx="134">
                  <c:v>30011</c:v>
                </c:pt>
                <c:pt idx="135">
                  <c:v>30042</c:v>
                </c:pt>
                <c:pt idx="136">
                  <c:v>30072</c:v>
                </c:pt>
                <c:pt idx="137">
                  <c:v>30103</c:v>
                </c:pt>
                <c:pt idx="138">
                  <c:v>30133</c:v>
                </c:pt>
                <c:pt idx="139">
                  <c:v>30164</c:v>
                </c:pt>
                <c:pt idx="140">
                  <c:v>30195</c:v>
                </c:pt>
                <c:pt idx="141">
                  <c:v>30225</c:v>
                </c:pt>
                <c:pt idx="142">
                  <c:v>30256</c:v>
                </c:pt>
                <c:pt idx="143">
                  <c:v>30286</c:v>
                </c:pt>
                <c:pt idx="144">
                  <c:v>30317</c:v>
                </c:pt>
                <c:pt idx="145">
                  <c:v>30348</c:v>
                </c:pt>
                <c:pt idx="146">
                  <c:v>30376</c:v>
                </c:pt>
                <c:pt idx="147">
                  <c:v>30407</c:v>
                </c:pt>
                <c:pt idx="148">
                  <c:v>30437</c:v>
                </c:pt>
                <c:pt idx="149">
                  <c:v>30468</c:v>
                </c:pt>
                <c:pt idx="150">
                  <c:v>30498</c:v>
                </c:pt>
                <c:pt idx="151">
                  <c:v>30529</c:v>
                </c:pt>
                <c:pt idx="152">
                  <c:v>30560</c:v>
                </c:pt>
                <c:pt idx="153">
                  <c:v>30590</c:v>
                </c:pt>
                <c:pt idx="154">
                  <c:v>30621</c:v>
                </c:pt>
                <c:pt idx="155">
                  <c:v>30651</c:v>
                </c:pt>
                <c:pt idx="156">
                  <c:v>30682</c:v>
                </c:pt>
                <c:pt idx="157">
                  <c:v>30713</c:v>
                </c:pt>
                <c:pt idx="158">
                  <c:v>30742</c:v>
                </c:pt>
                <c:pt idx="159">
                  <c:v>30773</c:v>
                </c:pt>
                <c:pt idx="160">
                  <c:v>30803</c:v>
                </c:pt>
                <c:pt idx="161">
                  <c:v>30834</c:v>
                </c:pt>
                <c:pt idx="162">
                  <c:v>30864</c:v>
                </c:pt>
                <c:pt idx="163">
                  <c:v>30895</c:v>
                </c:pt>
                <c:pt idx="164">
                  <c:v>30926</c:v>
                </c:pt>
                <c:pt idx="165">
                  <c:v>30956</c:v>
                </c:pt>
                <c:pt idx="166">
                  <c:v>30987</c:v>
                </c:pt>
                <c:pt idx="167">
                  <c:v>31017</c:v>
                </c:pt>
                <c:pt idx="168">
                  <c:v>31048</c:v>
                </c:pt>
                <c:pt idx="169">
                  <c:v>31079</c:v>
                </c:pt>
                <c:pt idx="170">
                  <c:v>31107</c:v>
                </c:pt>
                <c:pt idx="171">
                  <c:v>31138</c:v>
                </c:pt>
                <c:pt idx="172">
                  <c:v>31168</c:v>
                </c:pt>
                <c:pt idx="173">
                  <c:v>31199</c:v>
                </c:pt>
                <c:pt idx="174">
                  <c:v>31229</c:v>
                </c:pt>
                <c:pt idx="175">
                  <c:v>31260</c:v>
                </c:pt>
                <c:pt idx="176">
                  <c:v>31291</c:v>
                </c:pt>
                <c:pt idx="177">
                  <c:v>31321</c:v>
                </c:pt>
                <c:pt idx="178">
                  <c:v>31352</c:v>
                </c:pt>
                <c:pt idx="179">
                  <c:v>31382</c:v>
                </c:pt>
                <c:pt idx="180">
                  <c:v>31413</c:v>
                </c:pt>
                <c:pt idx="181">
                  <c:v>31444</c:v>
                </c:pt>
                <c:pt idx="182">
                  <c:v>31472</c:v>
                </c:pt>
                <c:pt idx="183">
                  <c:v>31503</c:v>
                </c:pt>
                <c:pt idx="184">
                  <c:v>31533</c:v>
                </c:pt>
                <c:pt idx="185">
                  <c:v>31564</c:v>
                </c:pt>
                <c:pt idx="186">
                  <c:v>31594</c:v>
                </c:pt>
                <c:pt idx="187">
                  <c:v>31625</c:v>
                </c:pt>
                <c:pt idx="188">
                  <c:v>31656</c:v>
                </c:pt>
                <c:pt idx="189">
                  <c:v>31686</c:v>
                </c:pt>
                <c:pt idx="190">
                  <c:v>31717</c:v>
                </c:pt>
                <c:pt idx="191">
                  <c:v>31747</c:v>
                </c:pt>
                <c:pt idx="192">
                  <c:v>31778</c:v>
                </c:pt>
                <c:pt idx="193">
                  <c:v>31809</c:v>
                </c:pt>
                <c:pt idx="194">
                  <c:v>31837</c:v>
                </c:pt>
                <c:pt idx="195">
                  <c:v>31868</c:v>
                </c:pt>
                <c:pt idx="196">
                  <c:v>31898</c:v>
                </c:pt>
                <c:pt idx="197">
                  <c:v>31929</c:v>
                </c:pt>
                <c:pt idx="198">
                  <c:v>31959</c:v>
                </c:pt>
                <c:pt idx="199">
                  <c:v>31990</c:v>
                </c:pt>
                <c:pt idx="200">
                  <c:v>32021</c:v>
                </c:pt>
                <c:pt idx="201">
                  <c:v>32051</c:v>
                </c:pt>
                <c:pt idx="202">
                  <c:v>32082</c:v>
                </c:pt>
                <c:pt idx="203">
                  <c:v>32112</c:v>
                </c:pt>
                <c:pt idx="204">
                  <c:v>32143</c:v>
                </c:pt>
                <c:pt idx="205">
                  <c:v>32174</c:v>
                </c:pt>
                <c:pt idx="206">
                  <c:v>32203</c:v>
                </c:pt>
                <c:pt idx="207">
                  <c:v>32234</c:v>
                </c:pt>
                <c:pt idx="208">
                  <c:v>32264</c:v>
                </c:pt>
                <c:pt idx="209">
                  <c:v>32295</c:v>
                </c:pt>
                <c:pt idx="210">
                  <c:v>32325</c:v>
                </c:pt>
                <c:pt idx="211">
                  <c:v>32356</c:v>
                </c:pt>
                <c:pt idx="212">
                  <c:v>32387</c:v>
                </c:pt>
                <c:pt idx="213">
                  <c:v>32417</c:v>
                </c:pt>
                <c:pt idx="214">
                  <c:v>32448</c:v>
                </c:pt>
                <c:pt idx="215">
                  <c:v>32478</c:v>
                </c:pt>
                <c:pt idx="216">
                  <c:v>32509</c:v>
                </c:pt>
                <c:pt idx="217">
                  <c:v>32540</c:v>
                </c:pt>
                <c:pt idx="218">
                  <c:v>32568</c:v>
                </c:pt>
                <c:pt idx="219">
                  <c:v>32599</c:v>
                </c:pt>
                <c:pt idx="220">
                  <c:v>32629</c:v>
                </c:pt>
                <c:pt idx="221">
                  <c:v>32660</c:v>
                </c:pt>
                <c:pt idx="222">
                  <c:v>32690</c:v>
                </c:pt>
                <c:pt idx="223">
                  <c:v>32721</c:v>
                </c:pt>
                <c:pt idx="224">
                  <c:v>32752</c:v>
                </c:pt>
                <c:pt idx="225">
                  <c:v>32782</c:v>
                </c:pt>
                <c:pt idx="226">
                  <c:v>32813</c:v>
                </c:pt>
                <c:pt idx="227">
                  <c:v>32843</c:v>
                </c:pt>
                <c:pt idx="228">
                  <c:v>32874</c:v>
                </c:pt>
                <c:pt idx="229">
                  <c:v>32905</c:v>
                </c:pt>
                <c:pt idx="230">
                  <c:v>32933</c:v>
                </c:pt>
                <c:pt idx="231">
                  <c:v>32964</c:v>
                </c:pt>
                <c:pt idx="232">
                  <c:v>32994</c:v>
                </c:pt>
                <c:pt idx="233">
                  <c:v>33025</c:v>
                </c:pt>
                <c:pt idx="234">
                  <c:v>33055</c:v>
                </c:pt>
                <c:pt idx="235">
                  <c:v>33086</c:v>
                </c:pt>
                <c:pt idx="236">
                  <c:v>33117</c:v>
                </c:pt>
                <c:pt idx="237">
                  <c:v>33147</c:v>
                </c:pt>
                <c:pt idx="238">
                  <c:v>33178</c:v>
                </c:pt>
                <c:pt idx="239">
                  <c:v>33208</c:v>
                </c:pt>
                <c:pt idx="240">
                  <c:v>33239</c:v>
                </c:pt>
                <c:pt idx="241">
                  <c:v>33270</c:v>
                </c:pt>
                <c:pt idx="242">
                  <c:v>33298</c:v>
                </c:pt>
                <c:pt idx="243">
                  <c:v>33329</c:v>
                </c:pt>
                <c:pt idx="244">
                  <c:v>33359</c:v>
                </c:pt>
                <c:pt idx="245">
                  <c:v>33390</c:v>
                </c:pt>
                <c:pt idx="246">
                  <c:v>33420</c:v>
                </c:pt>
                <c:pt idx="247">
                  <c:v>33451</c:v>
                </c:pt>
                <c:pt idx="248">
                  <c:v>33482</c:v>
                </c:pt>
                <c:pt idx="249">
                  <c:v>33512</c:v>
                </c:pt>
                <c:pt idx="250">
                  <c:v>33543</c:v>
                </c:pt>
                <c:pt idx="251">
                  <c:v>33573</c:v>
                </c:pt>
                <c:pt idx="252">
                  <c:v>33604</c:v>
                </c:pt>
                <c:pt idx="253">
                  <c:v>33635</c:v>
                </c:pt>
                <c:pt idx="254">
                  <c:v>33664</c:v>
                </c:pt>
                <c:pt idx="255">
                  <c:v>33695</c:v>
                </c:pt>
                <c:pt idx="256">
                  <c:v>33725</c:v>
                </c:pt>
                <c:pt idx="257">
                  <c:v>33756</c:v>
                </c:pt>
                <c:pt idx="258">
                  <c:v>33786</c:v>
                </c:pt>
                <c:pt idx="259">
                  <c:v>33817</c:v>
                </c:pt>
                <c:pt idx="260">
                  <c:v>33848</c:v>
                </c:pt>
                <c:pt idx="261">
                  <c:v>33878</c:v>
                </c:pt>
                <c:pt idx="262">
                  <c:v>33909</c:v>
                </c:pt>
                <c:pt idx="263">
                  <c:v>33939</c:v>
                </c:pt>
                <c:pt idx="264">
                  <c:v>33970</c:v>
                </c:pt>
                <c:pt idx="265">
                  <c:v>34001</c:v>
                </c:pt>
                <c:pt idx="266">
                  <c:v>34029</c:v>
                </c:pt>
                <c:pt idx="267">
                  <c:v>34060</c:v>
                </c:pt>
                <c:pt idx="268">
                  <c:v>34090</c:v>
                </c:pt>
                <c:pt idx="269">
                  <c:v>34121</c:v>
                </c:pt>
                <c:pt idx="270">
                  <c:v>34151</c:v>
                </c:pt>
                <c:pt idx="271">
                  <c:v>34182</c:v>
                </c:pt>
                <c:pt idx="272">
                  <c:v>34213</c:v>
                </c:pt>
                <c:pt idx="273">
                  <c:v>34243</c:v>
                </c:pt>
                <c:pt idx="274">
                  <c:v>34274</c:v>
                </c:pt>
                <c:pt idx="275">
                  <c:v>34304</c:v>
                </c:pt>
                <c:pt idx="276">
                  <c:v>34335</c:v>
                </c:pt>
                <c:pt idx="277">
                  <c:v>34366</c:v>
                </c:pt>
                <c:pt idx="278">
                  <c:v>34394</c:v>
                </c:pt>
                <c:pt idx="279">
                  <c:v>34425</c:v>
                </c:pt>
                <c:pt idx="280">
                  <c:v>34455</c:v>
                </c:pt>
                <c:pt idx="281">
                  <c:v>34486</c:v>
                </c:pt>
                <c:pt idx="282">
                  <c:v>34516</c:v>
                </c:pt>
                <c:pt idx="283">
                  <c:v>34547</c:v>
                </c:pt>
                <c:pt idx="284">
                  <c:v>34578</c:v>
                </c:pt>
                <c:pt idx="285">
                  <c:v>34608</c:v>
                </c:pt>
                <c:pt idx="286">
                  <c:v>34639</c:v>
                </c:pt>
                <c:pt idx="287">
                  <c:v>34669</c:v>
                </c:pt>
                <c:pt idx="288">
                  <c:v>34700</c:v>
                </c:pt>
                <c:pt idx="289">
                  <c:v>34731</c:v>
                </c:pt>
                <c:pt idx="290">
                  <c:v>34759</c:v>
                </c:pt>
                <c:pt idx="291">
                  <c:v>34790</c:v>
                </c:pt>
                <c:pt idx="292">
                  <c:v>34820</c:v>
                </c:pt>
                <c:pt idx="293">
                  <c:v>34851</c:v>
                </c:pt>
                <c:pt idx="294">
                  <c:v>34881</c:v>
                </c:pt>
                <c:pt idx="295">
                  <c:v>34912</c:v>
                </c:pt>
                <c:pt idx="296">
                  <c:v>34943</c:v>
                </c:pt>
                <c:pt idx="297">
                  <c:v>34973</c:v>
                </c:pt>
                <c:pt idx="298">
                  <c:v>35004</c:v>
                </c:pt>
                <c:pt idx="299">
                  <c:v>35034</c:v>
                </c:pt>
                <c:pt idx="300">
                  <c:v>35065</c:v>
                </c:pt>
                <c:pt idx="301">
                  <c:v>35096</c:v>
                </c:pt>
                <c:pt idx="302">
                  <c:v>35125</c:v>
                </c:pt>
                <c:pt idx="303">
                  <c:v>35156</c:v>
                </c:pt>
                <c:pt idx="304">
                  <c:v>35186</c:v>
                </c:pt>
                <c:pt idx="305">
                  <c:v>35217</c:v>
                </c:pt>
                <c:pt idx="306">
                  <c:v>35247</c:v>
                </c:pt>
                <c:pt idx="307">
                  <c:v>35278</c:v>
                </c:pt>
                <c:pt idx="308">
                  <c:v>35309</c:v>
                </c:pt>
                <c:pt idx="309">
                  <c:v>35339</c:v>
                </c:pt>
                <c:pt idx="310">
                  <c:v>35370</c:v>
                </c:pt>
                <c:pt idx="311">
                  <c:v>35400</c:v>
                </c:pt>
                <c:pt idx="312">
                  <c:v>35431</c:v>
                </c:pt>
                <c:pt idx="313">
                  <c:v>35462</c:v>
                </c:pt>
                <c:pt idx="314">
                  <c:v>35490</c:v>
                </c:pt>
                <c:pt idx="315">
                  <c:v>35521</c:v>
                </c:pt>
                <c:pt idx="316">
                  <c:v>35551</c:v>
                </c:pt>
                <c:pt idx="317">
                  <c:v>35582</c:v>
                </c:pt>
                <c:pt idx="318">
                  <c:v>35612</c:v>
                </c:pt>
                <c:pt idx="319">
                  <c:v>35643</c:v>
                </c:pt>
                <c:pt idx="320">
                  <c:v>35674</c:v>
                </c:pt>
                <c:pt idx="321">
                  <c:v>35704</c:v>
                </c:pt>
                <c:pt idx="322">
                  <c:v>35735</c:v>
                </c:pt>
                <c:pt idx="323">
                  <c:v>35765</c:v>
                </c:pt>
                <c:pt idx="324">
                  <c:v>35796</c:v>
                </c:pt>
                <c:pt idx="325">
                  <c:v>35827</c:v>
                </c:pt>
                <c:pt idx="326">
                  <c:v>35855</c:v>
                </c:pt>
                <c:pt idx="327">
                  <c:v>35886</c:v>
                </c:pt>
                <c:pt idx="328">
                  <c:v>35916</c:v>
                </c:pt>
                <c:pt idx="329">
                  <c:v>35947</c:v>
                </c:pt>
                <c:pt idx="330">
                  <c:v>35977</c:v>
                </c:pt>
                <c:pt idx="331">
                  <c:v>36008</c:v>
                </c:pt>
                <c:pt idx="332">
                  <c:v>36039</c:v>
                </c:pt>
                <c:pt idx="333">
                  <c:v>36069</c:v>
                </c:pt>
                <c:pt idx="334">
                  <c:v>36100</c:v>
                </c:pt>
                <c:pt idx="335">
                  <c:v>36130</c:v>
                </c:pt>
                <c:pt idx="336">
                  <c:v>36161</c:v>
                </c:pt>
                <c:pt idx="337">
                  <c:v>36192</c:v>
                </c:pt>
                <c:pt idx="338">
                  <c:v>36220</c:v>
                </c:pt>
                <c:pt idx="339">
                  <c:v>36251</c:v>
                </c:pt>
                <c:pt idx="340">
                  <c:v>36281</c:v>
                </c:pt>
                <c:pt idx="341">
                  <c:v>36312</c:v>
                </c:pt>
                <c:pt idx="342">
                  <c:v>36342</c:v>
                </c:pt>
                <c:pt idx="343">
                  <c:v>36373</c:v>
                </c:pt>
                <c:pt idx="344">
                  <c:v>36404</c:v>
                </c:pt>
                <c:pt idx="345">
                  <c:v>36434</c:v>
                </c:pt>
                <c:pt idx="346">
                  <c:v>36465</c:v>
                </c:pt>
                <c:pt idx="347">
                  <c:v>36495</c:v>
                </c:pt>
                <c:pt idx="348">
                  <c:v>36526</c:v>
                </c:pt>
                <c:pt idx="349">
                  <c:v>36557</c:v>
                </c:pt>
                <c:pt idx="350">
                  <c:v>36586</c:v>
                </c:pt>
                <c:pt idx="351">
                  <c:v>36617</c:v>
                </c:pt>
                <c:pt idx="352">
                  <c:v>36647</c:v>
                </c:pt>
                <c:pt idx="353">
                  <c:v>36678</c:v>
                </c:pt>
                <c:pt idx="354">
                  <c:v>36708</c:v>
                </c:pt>
                <c:pt idx="355">
                  <c:v>36739</c:v>
                </c:pt>
                <c:pt idx="356">
                  <c:v>36770</c:v>
                </c:pt>
                <c:pt idx="357">
                  <c:v>36800</c:v>
                </c:pt>
                <c:pt idx="358">
                  <c:v>36831</c:v>
                </c:pt>
                <c:pt idx="359">
                  <c:v>36861</c:v>
                </c:pt>
                <c:pt idx="360">
                  <c:v>36892</c:v>
                </c:pt>
                <c:pt idx="361">
                  <c:v>36923</c:v>
                </c:pt>
                <c:pt idx="362">
                  <c:v>36951</c:v>
                </c:pt>
                <c:pt idx="363">
                  <c:v>36982</c:v>
                </c:pt>
                <c:pt idx="364">
                  <c:v>37012</c:v>
                </c:pt>
                <c:pt idx="365">
                  <c:v>37043</c:v>
                </c:pt>
                <c:pt idx="366">
                  <c:v>37073</c:v>
                </c:pt>
                <c:pt idx="367">
                  <c:v>37104</c:v>
                </c:pt>
                <c:pt idx="368">
                  <c:v>37135</c:v>
                </c:pt>
                <c:pt idx="369">
                  <c:v>37165</c:v>
                </c:pt>
                <c:pt idx="370">
                  <c:v>37196</c:v>
                </c:pt>
                <c:pt idx="371">
                  <c:v>37226</c:v>
                </c:pt>
                <c:pt idx="372">
                  <c:v>37257</c:v>
                </c:pt>
                <c:pt idx="373">
                  <c:v>37288</c:v>
                </c:pt>
                <c:pt idx="374">
                  <c:v>37316</c:v>
                </c:pt>
                <c:pt idx="375">
                  <c:v>37347</c:v>
                </c:pt>
                <c:pt idx="376">
                  <c:v>37377</c:v>
                </c:pt>
                <c:pt idx="377">
                  <c:v>37408</c:v>
                </c:pt>
                <c:pt idx="378">
                  <c:v>37438</c:v>
                </c:pt>
                <c:pt idx="379">
                  <c:v>37469</c:v>
                </c:pt>
                <c:pt idx="380">
                  <c:v>37500</c:v>
                </c:pt>
                <c:pt idx="381">
                  <c:v>37530</c:v>
                </c:pt>
                <c:pt idx="382">
                  <c:v>37561</c:v>
                </c:pt>
                <c:pt idx="383">
                  <c:v>37591</c:v>
                </c:pt>
                <c:pt idx="384">
                  <c:v>37622</c:v>
                </c:pt>
                <c:pt idx="385">
                  <c:v>37653</c:v>
                </c:pt>
                <c:pt idx="386">
                  <c:v>37681</c:v>
                </c:pt>
                <c:pt idx="387">
                  <c:v>37712</c:v>
                </c:pt>
                <c:pt idx="388">
                  <c:v>37742</c:v>
                </c:pt>
                <c:pt idx="389">
                  <c:v>37773</c:v>
                </c:pt>
                <c:pt idx="390">
                  <c:v>37803</c:v>
                </c:pt>
                <c:pt idx="391">
                  <c:v>37834</c:v>
                </c:pt>
                <c:pt idx="392">
                  <c:v>37865</c:v>
                </c:pt>
                <c:pt idx="393">
                  <c:v>37895</c:v>
                </c:pt>
                <c:pt idx="394">
                  <c:v>37926</c:v>
                </c:pt>
                <c:pt idx="395">
                  <c:v>37956</c:v>
                </c:pt>
                <c:pt idx="396">
                  <c:v>37987</c:v>
                </c:pt>
                <c:pt idx="397">
                  <c:v>38018</c:v>
                </c:pt>
                <c:pt idx="398">
                  <c:v>38047</c:v>
                </c:pt>
                <c:pt idx="399">
                  <c:v>38078</c:v>
                </c:pt>
                <c:pt idx="400">
                  <c:v>38108</c:v>
                </c:pt>
                <c:pt idx="401">
                  <c:v>38139</c:v>
                </c:pt>
                <c:pt idx="402">
                  <c:v>38169</c:v>
                </c:pt>
                <c:pt idx="403">
                  <c:v>38200</c:v>
                </c:pt>
                <c:pt idx="404">
                  <c:v>38231</c:v>
                </c:pt>
                <c:pt idx="405">
                  <c:v>38261</c:v>
                </c:pt>
                <c:pt idx="406">
                  <c:v>38292</c:v>
                </c:pt>
                <c:pt idx="407">
                  <c:v>38322</c:v>
                </c:pt>
                <c:pt idx="408">
                  <c:v>38353</c:v>
                </c:pt>
                <c:pt idx="409">
                  <c:v>38384</c:v>
                </c:pt>
                <c:pt idx="410">
                  <c:v>38412</c:v>
                </c:pt>
                <c:pt idx="411">
                  <c:v>38443</c:v>
                </c:pt>
                <c:pt idx="412">
                  <c:v>38473</c:v>
                </c:pt>
                <c:pt idx="413">
                  <c:v>38504</c:v>
                </c:pt>
                <c:pt idx="414">
                  <c:v>38534</c:v>
                </c:pt>
                <c:pt idx="415">
                  <c:v>38565</c:v>
                </c:pt>
                <c:pt idx="416">
                  <c:v>38596</c:v>
                </c:pt>
                <c:pt idx="417">
                  <c:v>38626</c:v>
                </c:pt>
                <c:pt idx="418">
                  <c:v>38657</c:v>
                </c:pt>
                <c:pt idx="419">
                  <c:v>38687</c:v>
                </c:pt>
                <c:pt idx="420">
                  <c:v>38718</c:v>
                </c:pt>
                <c:pt idx="421">
                  <c:v>38749</c:v>
                </c:pt>
                <c:pt idx="422">
                  <c:v>38777</c:v>
                </c:pt>
                <c:pt idx="423">
                  <c:v>38808</c:v>
                </c:pt>
                <c:pt idx="424">
                  <c:v>38838</c:v>
                </c:pt>
                <c:pt idx="425">
                  <c:v>38869</c:v>
                </c:pt>
                <c:pt idx="426">
                  <c:v>38899</c:v>
                </c:pt>
                <c:pt idx="427">
                  <c:v>38930</c:v>
                </c:pt>
                <c:pt idx="428">
                  <c:v>38961</c:v>
                </c:pt>
                <c:pt idx="429">
                  <c:v>38991</c:v>
                </c:pt>
                <c:pt idx="430">
                  <c:v>39022</c:v>
                </c:pt>
                <c:pt idx="431">
                  <c:v>39052</c:v>
                </c:pt>
                <c:pt idx="432">
                  <c:v>39083</c:v>
                </c:pt>
                <c:pt idx="433">
                  <c:v>39114</c:v>
                </c:pt>
                <c:pt idx="434">
                  <c:v>39142</c:v>
                </c:pt>
                <c:pt idx="435">
                  <c:v>39173</c:v>
                </c:pt>
                <c:pt idx="436">
                  <c:v>39203</c:v>
                </c:pt>
                <c:pt idx="437">
                  <c:v>39234</c:v>
                </c:pt>
                <c:pt idx="438">
                  <c:v>39264</c:v>
                </c:pt>
                <c:pt idx="439">
                  <c:v>39295</c:v>
                </c:pt>
                <c:pt idx="440">
                  <c:v>39326</c:v>
                </c:pt>
                <c:pt idx="441">
                  <c:v>39356</c:v>
                </c:pt>
                <c:pt idx="442">
                  <c:v>39387</c:v>
                </c:pt>
                <c:pt idx="443">
                  <c:v>39417</c:v>
                </c:pt>
                <c:pt idx="444">
                  <c:v>39448</c:v>
                </c:pt>
                <c:pt idx="445">
                  <c:v>39479</c:v>
                </c:pt>
                <c:pt idx="446">
                  <c:v>39508</c:v>
                </c:pt>
                <c:pt idx="447">
                  <c:v>39539</c:v>
                </c:pt>
                <c:pt idx="448">
                  <c:v>39569</c:v>
                </c:pt>
                <c:pt idx="449">
                  <c:v>39600</c:v>
                </c:pt>
                <c:pt idx="450">
                  <c:v>39630</c:v>
                </c:pt>
                <c:pt idx="451">
                  <c:v>39661</c:v>
                </c:pt>
                <c:pt idx="452">
                  <c:v>39692</c:v>
                </c:pt>
                <c:pt idx="453">
                  <c:v>39722</c:v>
                </c:pt>
                <c:pt idx="454">
                  <c:v>39753</c:v>
                </c:pt>
                <c:pt idx="455">
                  <c:v>39783</c:v>
                </c:pt>
                <c:pt idx="456">
                  <c:v>39814</c:v>
                </c:pt>
                <c:pt idx="457">
                  <c:v>39845</c:v>
                </c:pt>
                <c:pt idx="458">
                  <c:v>39873</c:v>
                </c:pt>
                <c:pt idx="459">
                  <c:v>39904</c:v>
                </c:pt>
                <c:pt idx="460">
                  <c:v>39934</c:v>
                </c:pt>
                <c:pt idx="461">
                  <c:v>39965</c:v>
                </c:pt>
                <c:pt idx="462">
                  <c:v>39995</c:v>
                </c:pt>
                <c:pt idx="463">
                  <c:v>40026</c:v>
                </c:pt>
                <c:pt idx="464">
                  <c:v>40057</c:v>
                </c:pt>
                <c:pt idx="465">
                  <c:v>40087</c:v>
                </c:pt>
                <c:pt idx="466">
                  <c:v>40118</c:v>
                </c:pt>
                <c:pt idx="467">
                  <c:v>40148</c:v>
                </c:pt>
                <c:pt idx="468">
                  <c:v>40179</c:v>
                </c:pt>
                <c:pt idx="469">
                  <c:v>40210</c:v>
                </c:pt>
                <c:pt idx="470">
                  <c:v>40238</c:v>
                </c:pt>
                <c:pt idx="471">
                  <c:v>40269</c:v>
                </c:pt>
                <c:pt idx="472">
                  <c:v>40299</c:v>
                </c:pt>
                <c:pt idx="473">
                  <c:v>40330</c:v>
                </c:pt>
                <c:pt idx="474">
                  <c:v>40360</c:v>
                </c:pt>
                <c:pt idx="475">
                  <c:v>40391</c:v>
                </c:pt>
                <c:pt idx="476">
                  <c:v>40422</c:v>
                </c:pt>
                <c:pt idx="477">
                  <c:v>40452</c:v>
                </c:pt>
                <c:pt idx="478">
                  <c:v>40483</c:v>
                </c:pt>
                <c:pt idx="479">
                  <c:v>40513</c:v>
                </c:pt>
                <c:pt idx="480">
                  <c:v>40544</c:v>
                </c:pt>
                <c:pt idx="481">
                  <c:v>40575</c:v>
                </c:pt>
                <c:pt idx="482">
                  <c:v>40603</c:v>
                </c:pt>
                <c:pt idx="483">
                  <c:v>40634</c:v>
                </c:pt>
                <c:pt idx="484">
                  <c:v>40664</c:v>
                </c:pt>
                <c:pt idx="485">
                  <c:v>40695</c:v>
                </c:pt>
                <c:pt idx="486">
                  <c:v>40725</c:v>
                </c:pt>
                <c:pt idx="487">
                  <c:v>40756</c:v>
                </c:pt>
                <c:pt idx="488">
                  <c:v>40787</c:v>
                </c:pt>
                <c:pt idx="489">
                  <c:v>40817</c:v>
                </c:pt>
                <c:pt idx="490">
                  <c:v>40848</c:v>
                </c:pt>
                <c:pt idx="491">
                  <c:v>40878</c:v>
                </c:pt>
                <c:pt idx="492">
                  <c:v>40909</c:v>
                </c:pt>
                <c:pt idx="493">
                  <c:v>40940</c:v>
                </c:pt>
                <c:pt idx="494">
                  <c:v>40969</c:v>
                </c:pt>
                <c:pt idx="495">
                  <c:v>41000</c:v>
                </c:pt>
                <c:pt idx="496">
                  <c:v>41030</c:v>
                </c:pt>
                <c:pt idx="497">
                  <c:v>41061</c:v>
                </c:pt>
                <c:pt idx="498">
                  <c:v>41091</c:v>
                </c:pt>
                <c:pt idx="499">
                  <c:v>41122</c:v>
                </c:pt>
                <c:pt idx="500">
                  <c:v>41153</c:v>
                </c:pt>
                <c:pt idx="501">
                  <c:v>41183</c:v>
                </c:pt>
                <c:pt idx="502">
                  <c:v>41214</c:v>
                </c:pt>
                <c:pt idx="503">
                  <c:v>41244</c:v>
                </c:pt>
                <c:pt idx="504">
                  <c:v>41275</c:v>
                </c:pt>
                <c:pt idx="505">
                  <c:v>41306</c:v>
                </c:pt>
                <c:pt idx="506">
                  <c:v>41334</c:v>
                </c:pt>
                <c:pt idx="507">
                  <c:v>41365</c:v>
                </c:pt>
                <c:pt idx="508">
                  <c:v>41395</c:v>
                </c:pt>
                <c:pt idx="509">
                  <c:v>41426</c:v>
                </c:pt>
                <c:pt idx="510">
                  <c:v>41456</c:v>
                </c:pt>
                <c:pt idx="511">
                  <c:v>41487</c:v>
                </c:pt>
                <c:pt idx="512">
                  <c:v>41518</c:v>
                </c:pt>
                <c:pt idx="513">
                  <c:v>41548</c:v>
                </c:pt>
                <c:pt idx="514">
                  <c:v>41579</c:v>
                </c:pt>
                <c:pt idx="515">
                  <c:v>41609</c:v>
                </c:pt>
                <c:pt idx="516">
                  <c:v>41640</c:v>
                </c:pt>
                <c:pt idx="517">
                  <c:v>41671</c:v>
                </c:pt>
                <c:pt idx="518">
                  <c:v>41699</c:v>
                </c:pt>
                <c:pt idx="519">
                  <c:v>41730</c:v>
                </c:pt>
                <c:pt idx="520">
                  <c:v>41760</c:v>
                </c:pt>
                <c:pt idx="521">
                  <c:v>41791</c:v>
                </c:pt>
                <c:pt idx="522">
                  <c:v>41821</c:v>
                </c:pt>
                <c:pt idx="523">
                  <c:v>41852</c:v>
                </c:pt>
                <c:pt idx="524">
                  <c:v>41883</c:v>
                </c:pt>
                <c:pt idx="525">
                  <c:v>41913</c:v>
                </c:pt>
                <c:pt idx="526">
                  <c:v>41944</c:v>
                </c:pt>
                <c:pt idx="527">
                  <c:v>41974</c:v>
                </c:pt>
                <c:pt idx="528">
                  <c:v>42005</c:v>
                </c:pt>
                <c:pt idx="529">
                  <c:v>42036</c:v>
                </c:pt>
                <c:pt idx="530">
                  <c:v>42064</c:v>
                </c:pt>
                <c:pt idx="531">
                  <c:v>42095</c:v>
                </c:pt>
                <c:pt idx="532">
                  <c:v>42125</c:v>
                </c:pt>
                <c:pt idx="533">
                  <c:v>42156</c:v>
                </c:pt>
                <c:pt idx="534">
                  <c:v>42186</c:v>
                </c:pt>
                <c:pt idx="535">
                  <c:v>42217</c:v>
                </c:pt>
                <c:pt idx="536">
                  <c:v>42248</c:v>
                </c:pt>
                <c:pt idx="537">
                  <c:v>42278</c:v>
                </c:pt>
                <c:pt idx="538">
                  <c:v>42309</c:v>
                </c:pt>
                <c:pt idx="539">
                  <c:v>42339</c:v>
                </c:pt>
                <c:pt idx="540">
                  <c:v>42370</c:v>
                </c:pt>
                <c:pt idx="541">
                  <c:v>42401</c:v>
                </c:pt>
                <c:pt idx="542">
                  <c:v>42430</c:v>
                </c:pt>
                <c:pt idx="543">
                  <c:v>42461</c:v>
                </c:pt>
                <c:pt idx="544">
                  <c:v>42491</c:v>
                </c:pt>
                <c:pt idx="545">
                  <c:v>42522</c:v>
                </c:pt>
                <c:pt idx="546">
                  <c:v>42552</c:v>
                </c:pt>
                <c:pt idx="547">
                  <c:v>42583</c:v>
                </c:pt>
                <c:pt idx="548">
                  <c:v>42614</c:v>
                </c:pt>
                <c:pt idx="549">
                  <c:v>42644</c:v>
                </c:pt>
                <c:pt idx="550">
                  <c:v>42675</c:v>
                </c:pt>
                <c:pt idx="551">
                  <c:v>42705</c:v>
                </c:pt>
                <c:pt idx="552">
                  <c:v>42736</c:v>
                </c:pt>
                <c:pt idx="553">
                  <c:v>42767</c:v>
                </c:pt>
                <c:pt idx="554">
                  <c:v>42795</c:v>
                </c:pt>
                <c:pt idx="555">
                  <c:v>42826</c:v>
                </c:pt>
                <c:pt idx="556">
                  <c:v>42856</c:v>
                </c:pt>
                <c:pt idx="557">
                  <c:v>42887</c:v>
                </c:pt>
                <c:pt idx="558">
                  <c:v>42917</c:v>
                </c:pt>
                <c:pt idx="559">
                  <c:v>42948</c:v>
                </c:pt>
                <c:pt idx="560">
                  <c:v>42979</c:v>
                </c:pt>
                <c:pt idx="561">
                  <c:v>43009</c:v>
                </c:pt>
                <c:pt idx="562">
                  <c:v>43040</c:v>
                </c:pt>
                <c:pt idx="563">
                  <c:v>43070</c:v>
                </c:pt>
                <c:pt idx="564">
                  <c:v>43101</c:v>
                </c:pt>
                <c:pt idx="565">
                  <c:v>43132</c:v>
                </c:pt>
                <c:pt idx="566">
                  <c:v>43160</c:v>
                </c:pt>
                <c:pt idx="567">
                  <c:v>43191</c:v>
                </c:pt>
                <c:pt idx="568">
                  <c:v>43221</c:v>
                </c:pt>
                <c:pt idx="569">
                  <c:v>43252</c:v>
                </c:pt>
                <c:pt idx="570">
                  <c:v>43282</c:v>
                </c:pt>
                <c:pt idx="571">
                  <c:v>43313</c:v>
                </c:pt>
                <c:pt idx="572">
                  <c:v>43344</c:v>
                </c:pt>
                <c:pt idx="573">
                  <c:v>43374</c:v>
                </c:pt>
                <c:pt idx="574">
                  <c:v>43405</c:v>
                </c:pt>
                <c:pt idx="575">
                  <c:v>43435</c:v>
                </c:pt>
                <c:pt idx="576">
                  <c:v>43466</c:v>
                </c:pt>
                <c:pt idx="577">
                  <c:v>43497</c:v>
                </c:pt>
                <c:pt idx="578">
                  <c:v>43525</c:v>
                </c:pt>
                <c:pt idx="579">
                  <c:v>43556</c:v>
                </c:pt>
                <c:pt idx="580">
                  <c:v>43586</c:v>
                </c:pt>
                <c:pt idx="581">
                  <c:v>43617</c:v>
                </c:pt>
                <c:pt idx="582">
                  <c:v>43647</c:v>
                </c:pt>
                <c:pt idx="583">
                  <c:v>43678</c:v>
                </c:pt>
                <c:pt idx="584">
                  <c:v>43709</c:v>
                </c:pt>
                <c:pt idx="585">
                  <c:v>43739</c:v>
                </c:pt>
                <c:pt idx="586">
                  <c:v>43770</c:v>
                </c:pt>
                <c:pt idx="587">
                  <c:v>43800</c:v>
                </c:pt>
                <c:pt idx="588">
                  <c:v>43831</c:v>
                </c:pt>
                <c:pt idx="589">
                  <c:v>43862</c:v>
                </c:pt>
                <c:pt idx="590">
                  <c:v>43891</c:v>
                </c:pt>
                <c:pt idx="591">
                  <c:v>43922</c:v>
                </c:pt>
                <c:pt idx="592">
                  <c:v>43952</c:v>
                </c:pt>
                <c:pt idx="593">
                  <c:v>43983</c:v>
                </c:pt>
                <c:pt idx="594">
                  <c:v>44013</c:v>
                </c:pt>
                <c:pt idx="595">
                  <c:v>44044</c:v>
                </c:pt>
                <c:pt idx="596">
                  <c:v>44075</c:v>
                </c:pt>
                <c:pt idx="597">
                  <c:v>44105</c:v>
                </c:pt>
                <c:pt idx="598">
                  <c:v>44136</c:v>
                </c:pt>
                <c:pt idx="599">
                  <c:v>44166</c:v>
                </c:pt>
                <c:pt idx="600">
                  <c:v>44197</c:v>
                </c:pt>
                <c:pt idx="601">
                  <c:v>44228</c:v>
                </c:pt>
                <c:pt idx="602">
                  <c:v>44256</c:v>
                </c:pt>
                <c:pt idx="603">
                  <c:v>44287</c:v>
                </c:pt>
                <c:pt idx="604">
                  <c:v>44317</c:v>
                </c:pt>
                <c:pt idx="605">
                  <c:v>44348</c:v>
                </c:pt>
                <c:pt idx="606">
                  <c:v>44378</c:v>
                </c:pt>
                <c:pt idx="607">
                  <c:v>44409</c:v>
                </c:pt>
                <c:pt idx="608">
                  <c:v>44440</c:v>
                </c:pt>
                <c:pt idx="609">
                  <c:v>44470</c:v>
                </c:pt>
              </c:numCache>
            </c:numRef>
          </c:cat>
          <c:val>
            <c:numRef>
              <c:f>'PCE Core'!$D$149:$D$774</c:f>
              <c:numCache>
                <c:formatCode>0.00%</c:formatCode>
                <c:ptCount val="626"/>
                <c:pt idx="0">
                  <c:v>5.0259163272861833E-2</c:v>
                </c:pt>
                <c:pt idx="1">
                  <c:v>5.0205154211424199E-2</c:v>
                </c:pt>
                <c:pt idx="2">
                  <c:v>4.965092779717082E-2</c:v>
                </c:pt>
                <c:pt idx="3">
                  <c:v>4.9503591526742038E-2</c:v>
                </c:pt>
                <c:pt idx="4">
                  <c:v>5.0378407951126122E-2</c:v>
                </c:pt>
                <c:pt idx="5">
                  <c:v>5.0649586626692195E-2</c:v>
                </c:pt>
                <c:pt idx="6">
                  <c:v>5.068331975744416E-2</c:v>
                </c:pt>
                <c:pt idx="7">
                  <c:v>4.8570397763146103E-2</c:v>
                </c:pt>
                <c:pt idx="8">
                  <c:v>4.5897516504244042E-2</c:v>
                </c:pt>
                <c:pt idx="9">
                  <c:v>4.2456203074722886E-2</c:v>
                </c:pt>
                <c:pt idx="10">
                  <c:v>3.9436243997865925E-2</c:v>
                </c:pt>
                <c:pt idx="11">
                  <c:v>3.7469586374695919E-2</c:v>
                </c:pt>
                <c:pt idx="12">
                  <c:v>3.7807349960341963E-2</c:v>
                </c:pt>
                <c:pt idx="13">
                  <c:v>3.6654960491659228E-2</c:v>
                </c:pt>
                <c:pt idx="14">
                  <c:v>3.5400166280138166E-2</c:v>
                </c:pt>
                <c:pt idx="15">
                  <c:v>3.3916038188238316E-2</c:v>
                </c:pt>
                <c:pt idx="16">
                  <c:v>3.1815616997265372E-2</c:v>
                </c:pt>
                <c:pt idx="17">
                  <c:v>2.9832677590903096E-2</c:v>
                </c:pt>
                <c:pt idx="18">
                  <c:v>2.8856921354121875E-2</c:v>
                </c:pt>
                <c:pt idx="19">
                  <c:v>2.954711625306428E-2</c:v>
                </c:pt>
                <c:pt idx="20">
                  <c:v>3.130233157284551E-2</c:v>
                </c:pt>
                <c:pt idx="21">
                  <c:v>3.0266655234502251E-2</c:v>
                </c:pt>
                <c:pt idx="22">
                  <c:v>3.0625775268403162E-2</c:v>
                </c:pt>
                <c:pt idx="23">
                  <c:v>3.0530445164591399E-2</c:v>
                </c:pt>
                <c:pt idx="24">
                  <c:v>2.6791779891304358E-2</c:v>
                </c:pt>
                <c:pt idx="25">
                  <c:v>2.7270802456066143E-2</c:v>
                </c:pt>
                <c:pt idx="26">
                  <c:v>2.9371988842870438E-2</c:v>
                </c:pt>
                <c:pt idx="27">
                  <c:v>3.2929965847282638E-2</c:v>
                </c:pt>
                <c:pt idx="28">
                  <c:v>3.4536429412754567E-2</c:v>
                </c:pt>
                <c:pt idx="29">
                  <c:v>3.6945295772282741E-2</c:v>
                </c:pt>
                <c:pt idx="30">
                  <c:v>3.8387474882786252E-2</c:v>
                </c:pt>
                <c:pt idx="31">
                  <c:v>4.1064416409056753E-2</c:v>
                </c:pt>
                <c:pt idx="32">
                  <c:v>4.2801232409026509E-2</c:v>
                </c:pt>
                <c:pt idx="33">
                  <c:v>4.623002663115848E-2</c:v>
                </c:pt>
                <c:pt idx="34">
                  <c:v>4.8516289686657006E-2</c:v>
                </c:pt>
                <c:pt idx="35">
                  <c:v>5.1142005958291985E-2</c:v>
                </c:pt>
                <c:pt idx="36">
                  <c:v>5.5658933961874046E-2</c:v>
                </c:pt>
                <c:pt idx="37">
                  <c:v>5.9070860299270368E-2</c:v>
                </c:pt>
                <c:pt idx="38">
                  <c:v>6.3020897483269708E-2</c:v>
                </c:pt>
                <c:pt idx="39">
                  <c:v>6.4821618091272654E-2</c:v>
                </c:pt>
                <c:pt idx="40">
                  <c:v>7.0914487862399858E-2</c:v>
                </c:pt>
                <c:pt idx="41">
                  <c:v>7.7250091096805446E-2</c:v>
                </c:pt>
                <c:pt idx="42">
                  <c:v>8.2160854666397914E-2</c:v>
                </c:pt>
                <c:pt idx="43">
                  <c:v>8.7476425504594515E-2</c:v>
                </c:pt>
                <c:pt idx="44">
                  <c:v>9.1791104367962936E-2</c:v>
                </c:pt>
                <c:pt idx="45">
                  <c:v>9.6090363122936812E-2</c:v>
                </c:pt>
                <c:pt idx="46">
                  <c:v>9.8796706776440882E-2</c:v>
                </c:pt>
                <c:pt idx="47">
                  <c:v>0.10045662100456619</c:v>
                </c:pt>
                <c:pt idx="48">
                  <c:v>0.10145324924595557</c:v>
                </c:pt>
                <c:pt idx="49">
                  <c:v>0.10221080491981945</c:v>
                </c:pt>
                <c:pt idx="50">
                  <c:v>9.9412946083732495E-2</c:v>
                </c:pt>
                <c:pt idx="51">
                  <c:v>9.6526872651997275E-2</c:v>
                </c:pt>
                <c:pt idx="52">
                  <c:v>9.0670919239093359E-2</c:v>
                </c:pt>
                <c:pt idx="53">
                  <c:v>8.4902469275002834E-2</c:v>
                </c:pt>
                <c:pt idx="54">
                  <c:v>8.1995306038818327E-2</c:v>
                </c:pt>
                <c:pt idx="55">
                  <c:v>7.5384672152319074E-2</c:v>
                </c:pt>
                <c:pt idx="56">
                  <c:v>7.1567014079356409E-2</c:v>
                </c:pt>
                <c:pt idx="57">
                  <c:v>6.8543851373417009E-2</c:v>
                </c:pt>
                <c:pt idx="58">
                  <c:v>6.7831412103746366E-2</c:v>
                </c:pt>
                <c:pt idx="59">
                  <c:v>6.6783516955215366E-2</c:v>
                </c:pt>
                <c:pt idx="60">
                  <c:v>6.6040755361143691E-2</c:v>
                </c:pt>
                <c:pt idx="61">
                  <c:v>6.2751606751889163E-2</c:v>
                </c:pt>
                <c:pt idx="62">
                  <c:v>6.0739127380032287E-2</c:v>
                </c:pt>
                <c:pt idx="63">
                  <c:v>5.9711928401622219E-2</c:v>
                </c:pt>
                <c:pt idx="64">
                  <c:v>6.0261096605744059E-2</c:v>
                </c:pt>
                <c:pt idx="65">
                  <c:v>5.9343171897734394E-2</c:v>
                </c:pt>
                <c:pt idx="66">
                  <c:v>5.8669604737639464E-2</c:v>
                </c:pt>
                <c:pt idx="67">
                  <c:v>6.1110348613779938E-2</c:v>
                </c:pt>
                <c:pt idx="68">
                  <c:v>6.1565763429117536E-2</c:v>
                </c:pt>
                <c:pt idx="69">
                  <c:v>6.1464276011953228E-2</c:v>
                </c:pt>
                <c:pt idx="70">
                  <c:v>5.930573828559859E-2</c:v>
                </c:pt>
                <c:pt idx="71">
                  <c:v>5.8612480300439293E-2</c:v>
                </c:pt>
                <c:pt idx="72">
                  <c:v>5.9614358153189308E-2</c:v>
                </c:pt>
                <c:pt idx="73">
                  <c:v>6.1903970759262322E-2</c:v>
                </c:pt>
                <c:pt idx="74">
                  <c:v>6.2891207153502271E-2</c:v>
                </c:pt>
                <c:pt idx="75">
                  <c:v>6.4034045922406926E-2</c:v>
                </c:pt>
                <c:pt idx="76">
                  <c:v>6.4387969529813571E-2</c:v>
                </c:pt>
                <c:pt idx="77">
                  <c:v>6.6450832270512322E-2</c:v>
                </c:pt>
                <c:pt idx="78">
                  <c:v>6.7158839599323575E-2</c:v>
                </c:pt>
                <c:pt idx="79">
                  <c:v>6.6224737267582809E-2</c:v>
                </c:pt>
                <c:pt idx="80">
                  <c:v>6.452131421590683E-2</c:v>
                </c:pt>
                <c:pt idx="81">
                  <c:v>6.446349734467989E-2</c:v>
                </c:pt>
                <c:pt idx="82">
                  <c:v>6.5093468360880244E-2</c:v>
                </c:pt>
                <c:pt idx="83">
                  <c:v>6.4837984226030237E-2</c:v>
                </c:pt>
                <c:pt idx="84">
                  <c:v>6.4729402134559105E-2</c:v>
                </c:pt>
                <c:pt idx="85">
                  <c:v>6.2300519431754173E-2</c:v>
                </c:pt>
                <c:pt idx="86">
                  <c:v>6.353212438462022E-2</c:v>
                </c:pt>
                <c:pt idx="87">
                  <c:v>6.5141227172666086E-2</c:v>
                </c:pt>
                <c:pt idx="88">
                  <c:v>6.5983897337816441E-2</c:v>
                </c:pt>
                <c:pt idx="89">
                  <c:v>6.5560700377173514E-2</c:v>
                </c:pt>
                <c:pt idx="90">
                  <c:v>6.521805382013228E-2</c:v>
                </c:pt>
                <c:pt idx="91">
                  <c:v>6.5750765778060813E-2</c:v>
                </c:pt>
                <c:pt idx="92">
                  <c:v>6.7345151451091836E-2</c:v>
                </c:pt>
                <c:pt idx="93">
                  <c:v>7.0026748414630427E-2</c:v>
                </c:pt>
                <c:pt idx="94">
                  <c:v>7.0234713709074498E-2</c:v>
                </c:pt>
                <c:pt idx="95">
                  <c:v>6.8891665179368053E-2</c:v>
                </c:pt>
                <c:pt idx="96">
                  <c:v>6.7979538129453843E-2</c:v>
                </c:pt>
                <c:pt idx="97">
                  <c:v>6.7336298565495348E-2</c:v>
                </c:pt>
                <c:pt idx="98">
                  <c:v>6.770573931386048E-2</c:v>
                </c:pt>
                <c:pt idx="99">
                  <c:v>7.061768644117139E-2</c:v>
                </c:pt>
                <c:pt idx="100">
                  <c:v>7.3619631901840607E-2</c:v>
                </c:pt>
                <c:pt idx="101">
                  <c:v>7.3642406975740232E-2</c:v>
                </c:pt>
                <c:pt idx="102">
                  <c:v>7.2726232369181312E-2</c:v>
                </c:pt>
                <c:pt idx="103">
                  <c:v>7.4073020118949423E-2</c:v>
                </c:pt>
                <c:pt idx="104">
                  <c:v>7.5234134057663438E-2</c:v>
                </c:pt>
                <c:pt idx="105">
                  <c:v>7.5162205432126553E-2</c:v>
                </c:pt>
                <c:pt idx="106">
                  <c:v>7.6269765882550272E-2</c:v>
                </c:pt>
                <c:pt idx="107">
                  <c:v>7.9785161685312092E-2</c:v>
                </c:pt>
                <c:pt idx="108">
                  <c:v>8.2424275984273682E-2</c:v>
                </c:pt>
                <c:pt idx="109">
                  <c:v>8.9692286463364149E-2</c:v>
                </c:pt>
                <c:pt idx="110">
                  <c:v>9.3485896169465371E-2</c:v>
                </c:pt>
                <c:pt idx="111">
                  <c:v>8.9070146818923224E-2</c:v>
                </c:pt>
                <c:pt idx="112">
                  <c:v>8.8355795148247943E-2</c:v>
                </c:pt>
                <c:pt idx="113">
                  <c:v>8.9471427039777021E-2</c:v>
                </c:pt>
                <c:pt idx="114">
                  <c:v>9.1665555407387786E-2</c:v>
                </c:pt>
                <c:pt idx="115">
                  <c:v>9.2306061890631674E-2</c:v>
                </c:pt>
                <c:pt idx="116">
                  <c:v>9.5100257881164066E-2</c:v>
                </c:pt>
                <c:pt idx="117">
                  <c:v>9.6136262702787412E-2</c:v>
                </c:pt>
                <c:pt idx="118">
                  <c:v>9.7731284394143927E-2</c:v>
                </c:pt>
                <c:pt idx="119">
                  <c:v>9.6466585912734076E-2</c:v>
                </c:pt>
                <c:pt idx="120">
                  <c:v>9.7633968538176241E-2</c:v>
                </c:pt>
                <c:pt idx="121">
                  <c:v>9.4744839812587051E-2</c:v>
                </c:pt>
                <c:pt idx="122">
                  <c:v>9.0712905573260449E-2</c:v>
                </c:pt>
                <c:pt idx="123">
                  <c:v>9.2071100459356972E-2</c:v>
                </c:pt>
                <c:pt idx="124">
                  <c:v>9.0816781415622411E-2</c:v>
                </c:pt>
                <c:pt idx="125">
                  <c:v>8.9037051616395205E-2</c:v>
                </c:pt>
                <c:pt idx="126">
                  <c:v>8.7950747581354294E-2</c:v>
                </c:pt>
                <c:pt idx="127">
                  <c:v>8.7367808285631038E-2</c:v>
                </c:pt>
                <c:pt idx="128">
                  <c:v>8.4294502114571387E-2</c:v>
                </c:pt>
                <c:pt idx="129">
                  <c:v>8.1841797945613512E-2</c:v>
                </c:pt>
                <c:pt idx="130">
                  <c:v>7.9666107025467614E-2</c:v>
                </c:pt>
                <c:pt idx="131">
                  <c:v>7.7143663031214837E-2</c:v>
                </c:pt>
                <c:pt idx="132">
                  <c:v>7.4478001491424264E-2</c:v>
                </c:pt>
                <c:pt idx="133">
                  <c:v>7.0790727802711381E-2</c:v>
                </c:pt>
                <c:pt idx="134">
                  <c:v>6.9525606220954272E-2</c:v>
                </c:pt>
                <c:pt idx="135">
                  <c:v>6.6934893928310105E-2</c:v>
                </c:pt>
                <c:pt idx="136">
                  <c:v>6.5433079804745095E-2</c:v>
                </c:pt>
                <c:pt idx="137">
                  <c:v>6.544674121766629E-2</c:v>
                </c:pt>
                <c:pt idx="138">
                  <c:v>6.5930117668193816E-2</c:v>
                </c:pt>
                <c:pt idx="139">
                  <c:v>6.3707338835601202E-2</c:v>
                </c:pt>
                <c:pt idx="140">
                  <c:v>6.0699406081021118E-2</c:v>
                </c:pt>
                <c:pt idx="141">
                  <c:v>6.1088714118916927E-2</c:v>
                </c:pt>
                <c:pt idx="142">
                  <c:v>5.8828682815716848E-2</c:v>
                </c:pt>
                <c:pt idx="143">
                  <c:v>5.8307511019944941E-2</c:v>
                </c:pt>
                <c:pt idx="144">
                  <c:v>5.9035308406350337E-2</c:v>
                </c:pt>
                <c:pt idx="145">
                  <c:v>5.8873093375966842E-2</c:v>
                </c:pt>
                <c:pt idx="146">
                  <c:v>5.5605747719841697E-2</c:v>
                </c:pt>
                <c:pt idx="147">
                  <c:v>5.4636612958519119E-2</c:v>
                </c:pt>
                <c:pt idx="148">
                  <c:v>5.0418735482771107E-2</c:v>
                </c:pt>
                <c:pt idx="149">
                  <c:v>5.0061490182774358E-2</c:v>
                </c:pt>
                <c:pt idx="150">
                  <c:v>5.0307575629897995E-2</c:v>
                </c:pt>
                <c:pt idx="151">
                  <c:v>5.0895441009940014E-2</c:v>
                </c:pt>
                <c:pt idx="152">
                  <c:v>5.125044397551351E-2</c:v>
                </c:pt>
                <c:pt idx="153">
                  <c:v>4.6485072457750375E-2</c:v>
                </c:pt>
                <c:pt idx="154">
                  <c:v>4.5072811517458254E-2</c:v>
                </c:pt>
                <c:pt idx="155">
                  <c:v>4.2517217204833285E-2</c:v>
                </c:pt>
                <c:pt idx="156">
                  <c:v>3.8890026622977698E-2</c:v>
                </c:pt>
                <c:pt idx="157">
                  <c:v>4.1582501887331348E-2</c:v>
                </c:pt>
                <c:pt idx="158">
                  <c:v>4.419945795040036E-2</c:v>
                </c:pt>
                <c:pt idx="159">
                  <c:v>4.5934744626386484E-2</c:v>
                </c:pt>
                <c:pt idx="160">
                  <c:v>4.684235084089014E-2</c:v>
                </c:pt>
                <c:pt idx="161">
                  <c:v>4.4443995719160655E-2</c:v>
                </c:pt>
                <c:pt idx="162">
                  <c:v>4.194078947368423E-2</c:v>
                </c:pt>
                <c:pt idx="163">
                  <c:v>4.0009578352922445E-2</c:v>
                </c:pt>
                <c:pt idx="164">
                  <c:v>3.7403609189919661E-2</c:v>
                </c:pt>
                <c:pt idx="165">
                  <c:v>3.7893066164070954E-2</c:v>
                </c:pt>
                <c:pt idx="166">
                  <c:v>3.7666013498802497E-2</c:v>
                </c:pt>
                <c:pt idx="167">
                  <c:v>4.1020569620253126E-2</c:v>
                </c:pt>
                <c:pt idx="168">
                  <c:v>4.3347986358887383E-2</c:v>
                </c:pt>
                <c:pt idx="169">
                  <c:v>4.2214343082136792E-2</c:v>
                </c:pt>
                <c:pt idx="170">
                  <c:v>4.1918738534795739E-2</c:v>
                </c:pt>
                <c:pt idx="171">
                  <c:v>3.8265058368782044E-2</c:v>
                </c:pt>
                <c:pt idx="172">
                  <c:v>3.945583504515332E-2</c:v>
                </c:pt>
                <c:pt idx="173">
                  <c:v>4.0426107802954164E-2</c:v>
                </c:pt>
                <c:pt idx="174">
                  <c:v>3.9001289776117894E-2</c:v>
                </c:pt>
                <c:pt idx="175">
                  <c:v>4.0657738209447784E-2</c:v>
                </c:pt>
                <c:pt idx="176">
                  <c:v>4.1208475420514125E-2</c:v>
                </c:pt>
                <c:pt idx="177">
                  <c:v>4.0542865334990005E-2</c:v>
                </c:pt>
                <c:pt idx="178">
                  <c:v>4.089573875557926E-2</c:v>
                </c:pt>
                <c:pt idx="179">
                  <c:v>3.9594178667781345E-2</c:v>
                </c:pt>
                <c:pt idx="180">
                  <c:v>3.941203143893602E-2</c:v>
                </c:pt>
                <c:pt idx="181">
                  <c:v>3.6688970754078606E-2</c:v>
                </c:pt>
                <c:pt idx="182">
                  <c:v>3.6224011987263487E-2</c:v>
                </c:pt>
                <c:pt idx="183">
                  <c:v>3.6873515050605141E-2</c:v>
                </c:pt>
                <c:pt idx="184">
                  <c:v>3.5049778142361807E-2</c:v>
                </c:pt>
                <c:pt idx="185">
                  <c:v>3.4748676019697194E-2</c:v>
                </c:pt>
                <c:pt idx="186">
                  <c:v>3.359086950882853E-2</c:v>
                </c:pt>
                <c:pt idx="187">
                  <c:v>3.0680162988365903E-2</c:v>
                </c:pt>
                <c:pt idx="188">
                  <c:v>3.1941710059062801E-2</c:v>
                </c:pt>
                <c:pt idx="189">
                  <c:v>3.3764420604012066E-2</c:v>
                </c:pt>
                <c:pt idx="190">
                  <c:v>3.3424958768554114E-2</c:v>
                </c:pt>
                <c:pt idx="191">
                  <c:v>3.1945612047223904E-2</c:v>
                </c:pt>
                <c:pt idx="192">
                  <c:v>2.8847202530264952E-2</c:v>
                </c:pt>
                <c:pt idx="193">
                  <c:v>2.824715352817463E-2</c:v>
                </c:pt>
                <c:pt idx="194">
                  <c:v>2.8161376617742751E-2</c:v>
                </c:pt>
                <c:pt idx="195">
                  <c:v>3.0654590069284029E-2</c:v>
                </c:pt>
                <c:pt idx="196">
                  <c:v>3.1791491047948421E-2</c:v>
                </c:pt>
                <c:pt idx="197">
                  <c:v>3.1534524557780372E-2</c:v>
                </c:pt>
                <c:pt idx="198">
                  <c:v>3.2319936901731565E-2</c:v>
                </c:pt>
                <c:pt idx="199">
                  <c:v>3.3666660703744078E-2</c:v>
                </c:pt>
                <c:pt idx="200">
                  <c:v>3.4358562895604877E-2</c:v>
                </c:pt>
                <c:pt idx="201">
                  <c:v>3.5291608913530177E-2</c:v>
                </c:pt>
                <c:pt idx="202">
                  <c:v>3.5251977160690846E-2</c:v>
                </c:pt>
                <c:pt idx="203">
                  <c:v>3.6110225622498521E-2</c:v>
                </c:pt>
                <c:pt idx="204">
                  <c:v>3.851522057914171E-2</c:v>
                </c:pt>
                <c:pt idx="205">
                  <c:v>3.8579539443523686E-2</c:v>
                </c:pt>
                <c:pt idx="206">
                  <c:v>3.9942336767343017E-2</c:v>
                </c:pt>
                <c:pt idx="207">
                  <c:v>4.057910123768018E-2</c:v>
                </c:pt>
                <c:pt idx="208">
                  <c:v>4.1216416737950123E-2</c:v>
                </c:pt>
                <c:pt idx="209">
                  <c:v>4.2739506624188267E-2</c:v>
                </c:pt>
                <c:pt idx="210">
                  <c:v>4.4296653874871972E-2</c:v>
                </c:pt>
                <c:pt idx="211">
                  <c:v>4.3369157018500255E-2</c:v>
                </c:pt>
                <c:pt idx="212">
                  <c:v>4.4835551265255451E-2</c:v>
                </c:pt>
                <c:pt idx="213">
                  <c:v>4.4335736354274041E-2</c:v>
                </c:pt>
                <c:pt idx="214">
                  <c:v>4.5013874139289513E-2</c:v>
                </c:pt>
                <c:pt idx="215">
                  <c:v>4.6269549611144357E-2</c:v>
                </c:pt>
                <c:pt idx="216">
                  <c:v>4.6630714006226495E-2</c:v>
                </c:pt>
                <c:pt idx="217">
                  <c:v>4.7129129740925542E-2</c:v>
                </c:pt>
                <c:pt idx="218">
                  <c:v>4.5795719647022955E-2</c:v>
                </c:pt>
                <c:pt idx="219">
                  <c:v>4.4228731010581883E-2</c:v>
                </c:pt>
                <c:pt idx="220">
                  <c:v>4.3793172825430923E-2</c:v>
                </c:pt>
                <c:pt idx="221">
                  <c:v>4.2139708828636317E-2</c:v>
                </c:pt>
                <c:pt idx="222">
                  <c:v>4.0588626538077863E-2</c:v>
                </c:pt>
                <c:pt idx="223">
                  <c:v>3.9476521421818164E-2</c:v>
                </c:pt>
                <c:pt idx="224">
                  <c:v>3.7500206226387132E-2</c:v>
                </c:pt>
                <c:pt idx="225">
                  <c:v>3.7325575661949502E-2</c:v>
                </c:pt>
                <c:pt idx="226">
                  <c:v>3.7239796754630364E-2</c:v>
                </c:pt>
                <c:pt idx="227">
                  <c:v>3.6757498529700054E-2</c:v>
                </c:pt>
                <c:pt idx="228">
                  <c:v>3.5499496115210895E-2</c:v>
                </c:pt>
                <c:pt idx="229">
                  <c:v>3.7906546904893285E-2</c:v>
                </c:pt>
                <c:pt idx="230">
                  <c:v>3.9765287813394015E-2</c:v>
                </c:pt>
                <c:pt idx="231">
                  <c:v>3.9391010149830839E-2</c:v>
                </c:pt>
                <c:pt idx="232">
                  <c:v>3.9450012850167103E-2</c:v>
                </c:pt>
                <c:pt idx="233">
                  <c:v>4.0740147388657354E-2</c:v>
                </c:pt>
                <c:pt idx="234">
                  <c:v>4.0699253767117763E-2</c:v>
                </c:pt>
                <c:pt idx="235">
                  <c:v>4.3546250937465086E-2</c:v>
                </c:pt>
                <c:pt idx="236">
                  <c:v>4.3586807874566556E-2</c:v>
                </c:pt>
                <c:pt idx="237">
                  <c:v>4.3350128339195694E-2</c:v>
                </c:pt>
                <c:pt idx="238">
                  <c:v>4.1828640055624124E-2</c:v>
                </c:pt>
                <c:pt idx="239">
                  <c:v>4.0323343102959208E-2</c:v>
                </c:pt>
                <c:pt idx="240">
                  <c:v>4.1503155118826976E-2</c:v>
                </c:pt>
                <c:pt idx="241">
                  <c:v>3.9318295426143395E-2</c:v>
                </c:pt>
                <c:pt idx="242">
                  <c:v>3.6518819084930799E-2</c:v>
                </c:pt>
                <c:pt idx="243">
                  <c:v>3.5495621173370628E-2</c:v>
                </c:pt>
                <c:pt idx="244">
                  <c:v>3.6469279268141912E-2</c:v>
                </c:pt>
                <c:pt idx="245">
                  <c:v>3.4681280113295264E-2</c:v>
                </c:pt>
                <c:pt idx="246">
                  <c:v>3.5207591205011768E-2</c:v>
                </c:pt>
                <c:pt idx="247">
                  <c:v>3.3762500382274664E-2</c:v>
                </c:pt>
                <c:pt idx="248">
                  <c:v>3.4284669419598644E-2</c:v>
                </c:pt>
                <c:pt idx="249">
                  <c:v>3.3044798785117721E-2</c:v>
                </c:pt>
                <c:pt idx="250">
                  <c:v>3.3733258505361886E-2</c:v>
                </c:pt>
                <c:pt idx="251">
                  <c:v>3.4837400221141714E-2</c:v>
                </c:pt>
                <c:pt idx="252">
                  <c:v>3.250941974378313E-2</c:v>
                </c:pt>
                <c:pt idx="253">
                  <c:v>3.2465092510483469E-2</c:v>
                </c:pt>
                <c:pt idx="254">
                  <c:v>3.2892368610511126E-2</c:v>
                </c:pt>
                <c:pt idx="255">
                  <c:v>3.4218995584162665E-2</c:v>
                </c:pt>
                <c:pt idx="256">
                  <c:v>3.1548187022900756E-2</c:v>
                </c:pt>
                <c:pt idx="257">
                  <c:v>3.0141632944537172E-2</c:v>
                </c:pt>
                <c:pt idx="258">
                  <c:v>3.0880586167514476E-2</c:v>
                </c:pt>
                <c:pt idx="259">
                  <c:v>2.9006301215868394E-2</c:v>
                </c:pt>
                <c:pt idx="260">
                  <c:v>2.6562753215375039E-2</c:v>
                </c:pt>
                <c:pt idx="261">
                  <c:v>2.8253902919471923E-2</c:v>
                </c:pt>
                <c:pt idx="262">
                  <c:v>2.8582747641336306E-2</c:v>
                </c:pt>
                <c:pt idx="263">
                  <c:v>2.7956265277147535E-2</c:v>
                </c:pt>
                <c:pt idx="264">
                  <c:v>2.8143109463266487E-2</c:v>
                </c:pt>
                <c:pt idx="265">
                  <c:v>2.7324472653690993E-2</c:v>
                </c:pt>
                <c:pt idx="266">
                  <c:v>2.6980323821970582E-2</c:v>
                </c:pt>
                <c:pt idx="267">
                  <c:v>2.6602596575530942E-2</c:v>
                </c:pt>
                <c:pt idx="268">
                  <c:v>2.8632132739781387E-2</c:v>
                </c:pt>
                <c:pt idx="269">
                  <c:v>2.8811992721180645E-2</c:v>
                </c:pt>
                <c:pt idx="270">
                  <c:v>2.7077967857502626E-2</c:v>
                </c:pt>
                <c:pt idx="271">
                  <c:v>2.8044906349274912E-2</c:v>
                </c:pt>
                <c:pt idx="272">
                  <c:v>2.7913318025258222E-2</c:v>
                </c:pt>
                <c:pt idx="273">
                  <c:v>2.5676216618059224E-2</c:v>
                </c:pt>
                <c:pt idx="274">
                  <c:v>2.6062395686224135E-2</c:v>
                </c:pt>
                <c:pt idx="275">
                  <c:v>2.461875809827568E-2</c:v>
                </c:pt>
                <c:pt idx="276">
                  <c:v>2.2474621991907411E-2</c:v>
                </c:pt>
                <c:pt idx="277">
                  <c:v>2.2715034717302095E-2</c:v>
                </c:pt>
                <c:pt idx="278">
                  <c:v>2.3995022835569799E-2</c:v>
                </c:pt>
                <c:pt idx="279">
                  <c:v>2.2543670430994426E-2</c:v>
                </c:pt>
                <c:pt idx="280">
                  <c:v>2.1371664629262752E-2</c:v>
                </c:pt>
                <c:pt idx="281">
                  <c:v>2.2656765444923347E-2</c:v>
                </c:pt>
                <c:pt idx="282">
                  <c:v>2.2679834699166488E-2</c:v>
                </c:pt>
                <c:pt idx="283">
                  <c:v>2.1924550462820519E-2</c:v>
                </c:pt>
                <c:pt idx="284">
                  <c:v>2.1947643979057629E-2</c:v>
                </c:pt>
                <c:pt idx="285">
                  <c:v>2.2649977698483498E-2</c:v>
                </c:pt>
                <c:pt idx="286">
                  <c:v>2.1896896896896938E-2</c:v>
                </c:pt>
                <c:pt idx="287">
                  <c:v>2.1789883268482659E-2</c:v>
                </c:pt>
                <c:pt idx="288">
                  <c:v>2.350801188591738E-2</c:v>
                </c:pt>
                <c:pt idx="289">
                  <c:v>2.2972579773599563E-2</c:v>
                </c:pt>
                <c:pt idx="290">
                  <c:v>2.1996685998343049E-2</c:v>
                </c:pt>
                <c:pt idx="291">
                  <c:v>2.2832561217736483E-2</c:v>
                </c:pt>
                <c:pt idx="292">
                  <c:v>2.2300178841656478E-2</c:v>
                </c:pt>
                <c:pt idx="293">
                  <c:v>2.0919410852287559E-2</c:v>
                </c:pt>
                <c:pt idx="294">
                  <c:v>2.0396142677113448E-2</c:v>
                </c:pt>
                <c:pt idx="295">
                  <c:v>2.1686779957857977E-2</c:v>
                </c:pt>
                <c:pt idx="296">
                  <c:v>2.1489951773979714E-2</c:v>
                </c:pt>
                <c:pt idx="297">
                  <c:v>2.1575869917812678E-2</c:v>
                </c:pt>
                <c:pt idx="298">
                  <c:v>2.0366515652422347E-2</c:v>
                </c:pt>
                <c:pt idx="299">
                  <c:v>2.1447611794146421E-2</c:v>
                </c:pt>
                <c:pt idx="300">
                  <c:v>2.006484785174532E-2</c:v>
                </c:pt>
                <c:pt idx="301">
                  <c:v>1.9734257967520333E-2</c:v>
                </c:pt>
                <c:pt idx="302">
                  <c:v>1.9577641765635739E-2</c:v>
                </c:pt>
                <c:pt idx="303">
                  <c:v>1.8615874042920311E-2</c:v>
                </c:pt>
                <c:pt idx="304">
                  <c:v>1.8637886719328103E-2</c:v>
                </c:pt>
                <c:pt idx="305">
                  <c:v>1.85411764705883E-2</c:v>
                </c:pt>
                <c:pt idx="306">
                  <c:v>1.8847408481333958E-2</c:v>
                </c:pt>
                <c:pt idx="307">
                  <c:v>1.7289175181797442E-2</c:v>
                </c:pt>
                <c:pt idx="308">
                  <c:v>1.9018322856760694E-2</c:v>
                </c:pt>
                <c:pt idx="309">
                  <c:v>1.8958800298858023E-2</c:v>
                </c:pt>
                <c:pt idx="310">
                  <c:v>1.9639999999999987E-2</c:v>
                </c:pt>
                <c:pt idx="311">
                  <c:v>1.8613940483323294E-2</c:v>
                </c:pt>
                <c:pt idx="312">
                  <c:v>1.8539699428115515E-2</c:v>
                </c:pt>
                <c:pt idx="313">
                  <c:v>1.9299224311975387E-2</c:v>
                </c:pt>
                <c:pt idx="314">
                  <c:v>1.9387241260501894E-2</c:v>
                </c:pt>
                <c:pt idx="315">
                  <c:v>1.9982796268113612E-2</c:v>
                </c:pt>
                <c:pt idx="316">
                  <c:v>1.8957408581695232E-2</c:v>
                </c:pt>
                <c:pt idx="317">
                  <c:v>1.9682128996488628E-2</c:v>
                </c:pt>
                <c:pt idx="318">
                  <c:v>1.8446051886108691E-2</c:v>
                </c:pt>
                <c:pt idx="319">
                  <c:v>1.7179642452805254E-2</c:v>
                </c:pt>
                <c:pt idx="320">
                  <c:v>1.62090508189838E-2</c:v>
                </c:pt>
                <c:pt idx="321">
                  <c:v>1.5345737367917943E-2</c:v>
                </c:pt>
                <c:pt idx="322">
                  <c:v>1.4318779176964403E-2</c:v>
                </c:pt>
                <c:pt idx="323">
                  <c:v>1.4509234931963445E-2</c:v>
                </c:pt>
                <c:pt idx="324">
                  <c:v>1.4990076256137E-2</c:v>
                </c:pt>
                <c:pt idx="325">
                  <c:v>1.3773602116209096E-2</c:v>
                </c:pt>
                <c:pt idx="326">
                  <c:v>1.2427689307767347E-2</c:v>
                </c:pt>
                <c:pt idx="327">
                  <c:v>1.2312682452156965E-2</c:v>
                </c:pt>
                <c:pt idx="328">
                  <c:v>1.2563042097211161E-2</c:v>
                </c:pt>
                <c:pt idx="329">
                  <c:v>9.7999870541781442E-3</c:v>
                </c:pt>
                <c:pt idx="330">
                  <c:v>1.1966829243049501E-2</c:v>
                </c:pt>
                <c:pt idx="331">
                  <c:v>1.433988636804851E-2</c:v>
                </c:pt>
                <c:pt idx="332">
                  <c:v>1.2062975447841158E-2</c:v>
                </c:pt>
                <c:pt idx="333">
                  <c:v>1.249597008188786E-2</c:v>
                </c:pt>
                <c:pt idx="334">
                  <c:v>1.2376237623762479E-2</c:v>
                </c:pt>
                <c:pt idx="335">
                  <c:v>1.3528661435584208E-2</c:v>
                </c:pt>
                <c:pt idx="336">
                  <c:v>1.3430762105696456E-2</c:v>
                </c:pt>
                <c:pt idx="337">
                  <c:v>1.2223964626339923E-2</c:v>
                </c:pt>
                <c:pt idx="338">
                  <c:v>1.1453371168834452E-2</c:v>
                </c:pt>
                <c:pt idx="339">
                  <c:v>1.2188557366963927E-2</c:v>
                </c:pt>
                <c:pt idx="340">
                  <c:v>1.2176696542893824E-2</c:v>
                </c:pt>
                <c:pt idx="341">
                  <c:v>1.3974000666649618E-2</c:v>
                </c:pt>
                <c:pt idx="342">
                  <c:v>1.2950320881593482E-2</c:v>
                </c:pt>
                <c:pt idx="343">
                  <c:v>1.1457735247208882E-2</c:v>
                </c:pt>
                <c:pt idx="344">
                  <c:v>1.4318347136968643E-2</c:v>
                </c:pt>
                <c:pt idx="345">
                  <c:v>1.4073923121991034E-2</c:v>
                </c:pt>
                <c:pt idx="346">
                  <c:v>1.4860941320293237E-2</c:v>
                </c:pt>
                <c:pt idx="347">
                  <c:v>1.4403213709113686E-2</c:v>
                </c:pt>
                <c:pt idx="348">
                  <c:v>1.5372702345892131E-2</c:v>
                </c:pt>
                <c:pt idx="349">
                  <c:v>1.7231964850347298E-2</c:v>
                </c:pt>
                <c:pt idx="350">
                  <c:v>1.9003973442677059E-2</c:v>
                </c:pt>
                <c:pt idx="351">
                  <c:v>1.7068692624248167E-2</c:v>
                </c:pt>
                <c:pt idx="352">
                  <c:v>1.7178783317099138E-2</c:v>
                </c:pt>
                <c:pt idx="353">
                  <c:v>1.7422748191978962E-2</c:v>
                </c:pt>
                <c:pt idx="354">
                  <c:v>1.790875244525774E-2</c:v>
                </c:pt>
                <c:pt idx="355">
                  <c:v>1.8720119082159235E-2</c:v>
                </c:pt>
                <c:pt idx="356">
                  <c:v>1.8494520840934524E-2</c:v>
                </c:pt>
                <c:pt idx="357">
                  <c:v>1.8186613747974645E-2</c:v>
                </c:pt>
                <c:pt idx="358">
                  <c:v>1.9009975531714671E-2</c:v>
                </c:pt>
                <c:pt idx="359">
                  <c:v>1.8710211038147212E-2</c:v>
                </c:pt>
                <c:pt idx="360">
                  <c:v>2.0065760686111545E-2</c:v>
                </c:pt>
                <c:pt idx="361">
                  <c:v>2.0348038848525825E-2</c:v>
                </c:pt>
                <c:pt idx="362">
                  <c:v>1.932228728042858E-2</c:v>
                </c:pt>
                <c:pt idx="363">
                  <c:v>2.0268167274628691E-2</c:v>
                </c:pt>
                <c:pt idx="364">
                  <c:v>1.9413249760598848E-2</c:v>
                </c:pt>
                <c:pt idx="365">
                  <c:v>2.0927053560333014E-2</c:v>
                </c:pt>
                <c:pt idx="366">
                  <c:v>2.1226473578495837E-2</c:v>
                </c:pt>
                <c:pt idx="367">
                  <c:v>2.0419282538974959E-2</c:v>
                </c:pt>
                <c:pt idx="368">
                  <c:v>1.2179906859535655E-2</c:v>
                </c:pt>
                <c:pt idx="369">
                  <c:v>1.7874104136085121E-2</c:v>
                </c:pt>
                <c:pt idx="370">
                  <c:v>1.813816032508328E-2</c:v>
                </c:pt>
                <c:pt idx="371">
                  <c:v>1.7382425666449295E-2</c:v>
                </c:pt>
                <c:pt idx="372">
                  <c:v>1.4192567898813624E-2</c:v>
                </c:pt>
                <c:pt idx="373">
                  <c:v>1.4326612508564063E-2</c:v>
                </c:pt>
                <c:pt idx="374">
                  <c:v>1.4482834480145711E-2</c:v>
                </c:pt>
                <c:pt idx="375">
                  <c:v>1.5704506351356375E-2</c:v>
                </c:pt>
                <c:pt idx="376">
                  <c:v>1.6603635476393853E-2</c:v>
                </c:pt>
                <c:pt idx="377">
                  <c:v>1.5933490761253225E-2</c:v>
                </c:pt>
                <c:pt idx="378">
                  <c:v>1.5370419833426479E-2</c:v>
                </c:pt>
                <c:pt idx="379">
                  <c:v>1.6879838846685813E-2</c:v>
                </c:pt>
                <c:pt idx="380">
                  <c:v>2.4347380368322836E-2</c:v>
                </c:pt>
                <c:pt idx="381">
                  <c:v>1.8044985214988488E-2</c:v>
                </c:pt>
                <c:pt idx="382">
                  <c:v>1.698051594644602E-2</c:v>
                </c:pt>
                <c:pt idx="383">
                  <c:v>1.7690019588401829E-2</c:v>
                </c:pt>
                <c:pt idx="384">
                  <c:v>1.7800604229607237E-2</c:v>
                </c:pt>
                <c:pt idx="385">
                  <c:v>1.7272365421496402E-2</c:v>
                </c:pt>
                <c:pt idx="386">
                  <c:v>1.7685468520347969E-2</c:v>
                </c:pt>
                <c:pt idx="387">
                  <c:v>1.5978279151349122E-2</c:v>
                </c:pt>
                <c:pt idx="388">
                  <c:v>1.6308456636785765E-2</c:v>
                </c:pt>
                <c:pt idx="389">
                  <c:v>1.5276230185830917E-2</c:v>
                </c:pt>
                <c:pt idx="390">
                  <c:v>1.5747560742299514E-2</c:v>
                </c:pt>
                <c:pt idx="391">
                  <c:v>1.4893134599090715E-2</c:v>
                </c:pt>
                <c:pt idx="392">
                  <c:v>1.4654371291729263E-2</c:v>
                </c:pt>
                <c:pt idx="393">
                  <c:v>1.5653830129158951E-2</c:v>
                </c:pt>
                <c:pt idx="394">
                  <c:v>1.6054800385315142E-2</c:v>
                </c:pt>
                <c:pt idx="395">
                  <c:v>1.6384482861046643E-2</c:v>
                </c:pt>
                <c:pt idx="396">
                  <c:v>1.828479156524947E-2</c:v>
                </c:pt>
                <c:pt idx="397">
                  <c:v>1.8532351581119082E-2</c:v>
                </c:pt>
                <c:pt idx="398">
                  <c:v>1.8609276227004791E-2</c:v>
                </c:pt>
                <c:pt idx="399">
                  <c:v>2.012581591145585E-2</c:v>
                </c:pt>
                <c:pt idx="400">
                  <c:v>2.0049592631951912E-2</c:v>
                </c:pt>
                <c:pt idx="401">
                  <c:v>2.1088531709504664E-2</c:v>
                </c:pt>
                <c:pt idx="402">
                  <c:v>1.9764800056504515E-2</c:v>
                </c:pt>
                <c:pt idx="403">
                  <c:v>1.9001704979716615E-2</c:v>
                </c:pt>
                <c:pt idx="404">
                  <c:v>1.9480061998027241E-2</c:v>
                </c:pt>
                <c:pt idx="405">
                  <c:v>1.9831223628692069E-2</c:v>
                </c:pt>
                <c:pt idx="406">
                  <c:v>2.0623383311679958E-2</c:v>
                </c:pt>
                <c:pt idx="407">
                  <c:v>2.0656036659496987E-2</c:v>
                </c:pt>
                <c:pt idx="408">
                  <c:v>2.171099425160028E-2</c:v>
                </c:pt>
                <c:pt idx="409">
                  <c:v>2.17457102279341E-2</c:v>
                </c:pt>
                <c:pt idx="410">
                  <c:v>2.2557701694442371E-2</c:v>
                </c:pt>
                <c:pt idx="411">
                  <c:v>2.1084965805030748E-2</c:v>
                </c:pt>
                <c:pt idx="412">
                  <c:v>2.1773857480205584E-2</c:v>
                </c:pt>
                <c:pt idx="413">
                  <c:v>2.0861022825772811E-2</c:v>
                </c:pt>
                <c:pt idx="414">
                  <c:v>2.1147896753936298E-2</c:v>
                </c:pt>
                <c:pt idx="415">
                  <c:v>2.1589873184015822E-2</c:v>
                </c:pt>
                <c:pt idx="416">
                  <c:v>2.1941190698317282E-2</c:v>
                </c:pt>
                <c:pt idx="417">
                  <c:v>2.2640555325702187E-2</c:v>
                </c:pt>
                <c:pt idx="418">
                  <c:v>2.3062191080172888E-2</c:v>
                </c:pt>
                <c:pt idx="419">
                  <c:v>2.2803541363631153E-2</c:v>
                </c:pt>
                <c:pt idx="420">
                  <c:v>2.1432239657631955E-2</c:v>
                </c:pt>
                <c:pt idx="421">
                  <c:v>2.1385439216133183E-2</c:v>
                </c:pt>
                <c:pt idx="422">
                  <c:v>2.1673656335595155E-2</c:v>
                </c:pt>
                <c:pt idx="423">
                  <c:v>2.3612482829865229E-2</c:v>
                </c:pt>
                <c:pt idx="424">
                  <c:v>2.4085466018647434E-2</c:v>
                </c:pt>
                <c:pt idx="425">
                  <c:v>2.5959470168685682E-2</c:v>
                </c:pt>
                <c:pt idx="426">
                  <c:v>2.5457834049287923E-2</c:v>
                </c:pt>
                <c:pt idx="427">
                  <c:v>2.6702209370623103E-2</c:v>
                </c:pt>
                <c:pt idx="428">
                  <c:v>2.6057163465873365E-2</c:v>
                </c:pt>
                <c:pt idx="429">
                  <c:v>2.4971342518711585E-2</c:v>
                </c:pt>
                <c:pt idx="430">
                  <c:v>2.2844972536711253E-2</c:v>
                </c:pt>
                <c:pt idx="431">
                  <c:v>2.3157376094600318E-2</c:v>
                </c:pt>
                <c:pt idx="432">
                  <c:v>2.5004748444186223E-2</c:v>
                </c:pt>
                <c:pt idx="433">
                  <c:v>2.5566945910069354E-2</c:v>
                </c:pt>
                <c:pt idx="434">
                  <c:v>2.3783567312612532E-2</c:v>
                </c:pt>
                <c:pt idx="435">
                  <c:v>2.2114030320841974E-2</c:v>
                </c:pt>
                <c:pt idx="436">
                  <c:v>2.0764422810996289E-2</c:v>
                </c:pt>
                <c:pt idx="437">
                  <c:v>1.9873542036789798E-2</c:v>
                </c:pt>
                <c:pt idx="438">
                  <c:v>2.0405238557191983E-2</c:v>
                </c:pt>
                <c:pt idx="439">
                  <c:v>1.9857859531772493E-2</c:v>
                </c:pt>
                <c:pt idx="440">
                  <c:v>2.1023725834797748E-2</c:v>
                </c:pt>
                <c:pt idx="441">
                  <c:v>2.1841147318100135E-2</c:v>
                </c:pt>
                <c:pt idx="442">
                  <c:v>2.3353936524636156E-2</c:v>
                </c:pt>
                <c:pt idx="443">
                  <c:v>2.4045091386669458E-2</c:v>
                </c:pt>
                <c:pt idx="444">
                  <c:v>2.193130661318277E-2</c:v>
                </c:pt>
                <c:pt idx="445">
                  <c:v>2.0720260172505698E-2</c:v>
                </c:pt>
                <c:pt idx="446">
                  <c:v>2.1688108484005666E-2</c:v>
                </c:pt>
                <c:pt idx="447">
                  <c:v>2.0832655187005649E-2</c:v>
                </c:pt>
                <c:pt idx="448">
                  <c:v>2.1490809779781406E-2</c:v>
                </c:pt>
                <c:pt idx="449">
                  <c:v>2.2147926945382118E-2</c:v>
                </c:pt>
                <c:pt idx="450">
                  <c:v>2.2449574884132999E-2</c:v>
                </c:pt>
                <c:pt idx="451">
                  <c:v>2.2178833022297621E-2</c:v>
                </c:pt>
                <c:pt idx="452">
                  <c:v>2.0440217742109062E-2</c:v>
                </c:pt>
                <c:pt idx="453">
                  <c:v>1.6341903085969313E-2</c:v>
                </c:pt>
                <c:pt idx="454">
                  <c:v>1.390034161856522E-2</c:v>
                </c:pt>
                <c:pt idx="455">
                  <c:v>1.137153056098846E-2</c:v>
                </c:pt>
                <c:pt idx="456">
                  <c:v>9.0557102172730865E-3</c:v>
                </c:pt>
                <c:pt idx="457">
                  <c:v>8.8764332296152413E-3</c:v>
                </c:pt>
                <c:pt idx="458">
                  <c:v>7.625388182243573E-3</c:v>
                </c:pt>
                <c:pt idx="459">
                  <c:v>9.2896697596802323E-3</c:v>
                </c:pt>
                <c:pt idx="460">
                  <c:v>8.2223754707973652E-3</c:v>
                </c:pt>
                <c:pt idx="461">
                  <c:v>7.1979760984851706E-3</c:v>
                </c:pt>
                <c:pt idx="462">
                  <c:v>6.255217083505021E-3</c:v>
                </c:pt>
                <c:pt idx="463">
                  <c:v>6.5113922981942249E-3</c:v>
                </c:pt>
                <c:pt idx="464">
                  <c:v>7.2427098488202675E-3</c:v>
                </c:pt>
                <c:pt idx="465">
                  <c:v>1.2394556530368845E-2</c:v>
                </c:pt>
                <c:pt idx="466">
                  <c:v>1.3741457798620443E-2</c:v>
                </c:pt>
                <c:pt idx="467">
                  <c:v>1.5100759793302427E-2</c:v>
                </c:pt>
                <c:pt idx="468">
                  <c:v>1.6902391069956127E-2</c:v>
                </c:pt>
                <c:pt idx="469">
                  <c:v>1.6984061598909871E-2</c:v>
                </c:pt>
                <c:pt idx="470">
                  <c:v>1.7774025014512612E-2</c:v>
                </c:pt>
                <c:pt idx="471">
                  <c:v>1.6017776467243078E-2</c:v>
                </c:pt>
                <c:pt idx="472">
                  <c:v>1.6363253709354864E-2</c:v>
                </c:pt>
                <c:pt idx="473">
                  <c:v>1.5564733949196633E-2</c:v>
                </c:pt>
                <c:pt idx="474">
                  <c:v>1.4700786492077235E-2</c:v>
                </c:pt>
                <c:pt idx="475">
                  <c:v>1.4175771174533981E-2</c:v>
                </c:pt>
                <c:pt idx="476">
                  <c:v>1.2978721177295706E-2</c:v>
                </c:pt>
                <c:pt idx="477">
                  <c:v>1.0793280010011123E-2</c:v>
                </c:pt>
                <c:pt idx="478">
                  <c:v>1.1210902498489318E-2</c:v>
                </c:pt>
                <c:pt idx="479">
                  <c:v>1.0555902560899394E-2</c:v>
                </c:pt>
                <c:pt idx="480">
                  <c:v>1.1247284331763785E-2</c:v>
                </c:pt>
                <c:pt idx="481">
                  <c:v>1.2130653788232916E-2</c:v>
                </c:pt>
                <c:pt idx="482">
                  <c:v>1.2143649731927037E-2</c:v>
                </c:pt>
                <c:pt idx="483">
                  <c:v>1.3951367151060384E-2</c:v>
                </c:pt>
                <c:pt idx="484">
                  <c:v>1.5240461769425982E-2</c:v>
                </c:pt>
                <c:pt idx="485">
                  <c:v>1.5853961420647367E-2</c:v>
                </c:pt>
                <c:pt idx="486">
                  <c:v>1.7343971521115997E-2</c:v>
                </c:pt>
                <c:pt idx="487">
                  <c:v>1.8392159295329037E-2</c:v>
                </c:pt>
                <c:pt idx="488">
                  <c:v>1.8505698432543544E-2</c:v>
                </c:pt>
                <c:pt idx="489">
                  <c:v>1.7445939253879196E-2</c:v>
                </c:pt>
                <c:pt idx="490">
                  <c:v>1.8278484142848321E-2</c:v>
                </c:pt>
                <c:pt idx="491">
                  <c:v>1.9758122669303897E-2</c:v>
                </c:pt>
                <c:pt idx="492">
                  <c:v>2.0609972965471825E-2</c:v>
                </c:pt>
                <c:pt idx="493">
                  <c:v>2.0245656880752763E-2</c:v>
                </c:pt>
                <c:pt idx="494">
                  <c:v>2.0440573770491851E-2</c:v>
                </c:pt>
                <c:pt idx="495">
                  <c:v>1.9647530258423262E-2</c:v>
                </c:pt>
                <c:pt idx="496">
                  <c:v>1.8254688599487971E-2</c:v>
                </c:pt>
                <c:pt idx="497">
                  <c:v>1.8194042622550033E-2</c:v>
                </c:pt>
                <c:pt idx="498">
                  <c:v>1.7739983114465611E-2</c:v>
                </c:pt>
                <c:pt idx="499">
                  <c:v>1.6354499771585242E-2</c:v>
                </c:pt>
                <c:pt idx="500">
                  <c:v>1.692164103396494E-2</c:v>
                </c:pt>
                <c:pt idx="501">
                  <c:v>1.8890883095549534E-2</c:v>
                </c:pt>
                <c:pt idx="502">
                  <c:v>1.7839073946654703E-2</c:v>
                </c:pt>
                <c:pt idx="503">
                  <c:v>1.6890253757879396E-2</c:v>
                </c:pt>
                <c:pt idx="504">
                  <c:v>1.5943517847071133E-2</c:v>
                </c:pt>
                <c:pt idx="505">
                  <c:v>1.5750407338120838E-2</c:v>
                </c:pt>
                <c:pt idx="506">
                  <c:v>1.4960590391083838E-2</c:v>
                </c:pt>
                <c:pt idx="507">
                  <c:v>1.4206083451968015E-2</c:v>
                </c:pt>
                <c:pt idx="508">
                  <c:v>1.4271835908940794E-2</c:v>
                </c:pt>
                <c:pt idx="509">
                  <c:v>1.4887443721860925E-2</c:v>
                </c:pt>
                <c:pt idx="510">
                  <c:v>1.5131980050573155E-2</c:v>
                </c:pt>
                <c:pt idx="511">
                  <c:v>1.5671820688001943E-2</c:v>
                </c:pt>
                <c:pt idx="512">
                  <c:v>1.5552673583399958E-2</c:v>
                </c:pt>
                <c:pt idx="513">
                  <c:v>1.5256463844270629E-2</c:v>
                </c:pt>
                <c:pt idx="514">
                  <c:v>1.5935819307890453E-2</c:v>
                </c:pt>
                <c:pt idx="515">
                  <c:v>1.6579909401573521E-2</c:v>
                </c:pt>
                <c:pt idx="516">
                  <c:v>1.5415729000406529E-2</c:v>
                </c:pt>
                <c:pt idx="517">
                  <c:v>1.4822956273764256E-2</c:v>
                </c:pt>
                <c:pt idx="518">
                  <c:v>1.5818370678142197E-2</c:v>
                </c:pt>
                <c:pt idx="519">
                  <c:v>1.6962723525399685E-2</c:v>
                </c:pt>
                <c:pt idx="520">
                  <c:v>1.7665297416857587E-2</c:v>
                </c:pt>
                <c:pt idx="521">
                  <c:v>1.7173051519154599E-2</c:v>
                </c:pt>
                <c:pt idx="522">
                  <c:v>1.7741983124440093E-2</c:v>
                </c:pt>
                <c:pt idx="523">
                  <c:v>1.6944485420661837E-2</c:v>
                </c:pt>
                <c:pt idx="524">
                  <c:v>1.7063035982671684E-2</c:v>
                </c:pt>
                <c:pt idx="525">
                  <c:v>1.5821202764299411E-2</c:v>
                </c:pt>
                <c:pt idx="526">
                  <c:v>1.5128089711724683E-2</c:v>
                </c:pt>
                <c:pt idx="527">
                  <c:v>1.4697116277251765E-2</c:v>
                </c:pt>
                <c:pt idx="528">
                  <c:v>1.3570773045906318E-2</c:v>
                </c:pt>
                <c:pt idx="529">
                  <c:v>1.3962474021602292E-2</c:v>
                </c:pt>
                <c:pt idx="530">
                  <c:v>1.3595107319543462E-2</c:v>
                </c:pt>
                <c:pt idx="531">
                  <c:v>1.3384655760650815E-2</c:v>
                </c:pt>
                <c:pt idx="532">
                  <c:v>1.2846760656310321E-2</c:v>
                </c:pt>
                <c:pt idx="533">
                  <c:v>1.2899786780383686E-2</c:v>
                </c:pt>
                <c:pt idx="534">
                  <c:v>1.193781501223766E-2</c:v>
                </c:pt>
                <c:pt idx="535">
                  <c:v>1.2291118675537683E-2</c:v>
                </c:pt>
                <c:pt idx="536">
                  <c:v>1.2343532684283646E-2</c:v>
                </c:pt>
                <c:pt idx="537">
                  <c:v>1.1579770141562579E-2</c:v>
                </c:pt>
                <c:pt idx="538">
                  <c:v>1.1567379988432647E-2</c:v>
                </c:pt>
                <c:pt idx="539">
                  <c:v>1.1286920847096864E-2</c:v>
                </c:pt>
                <c:pt idx="540">
                  <c:v>1.3369808122062022E-2</c:v>
                </c:pt>
                <c:pt idx="541">
                  <c:v>1.3943418013856793E-2</c:v>
                </c:pt>
                <c:pt idx="542">
                  <c:v>1.3845119139123774E-2</c:v>
                </c:pt>
                <c:pt idx="543">
                  <c:v>1.4675414364640895E-2</c:v>
                </c:pt>
                <c:pt idx="544">
                  <c:v>1.4973415720649405E-2</c:v>
                </c:pt>
                <c:pt idx="545">
                  <c:v>1.4984068662628839E-2</c:v>
                </c:pt>
                <c:pt idx="546">
                  <c:v>1.5812165999063228E-2</c:v>
                </c:pt>
                <c:pt idx="547">
                  <c:v>1.6975706684244224E-2</c:v>
                </c:pt>
                <c:pt idx="548">
                  <c:v>1.6839353521476145E-2</c:v>
                </c:pt>
                <c:pt idx="549">
                  <c:v>1.8201070314512218E-2</c:v>
                </c:pt>
                <c:pt idx="550">
                  <c:v>1.7619592147894072E-2</c:v>
                </c:pt>
                <c:pt idx="551">
                  <c:v>1.8284147073108034E-2</c:v>
                </c:pt>
                <c:pt idx="552">
                  <c:v>1.9010684004410479E-2</c:v>
                </c:pt>
                <c:pt idx="553">
                  <c:v>1.8867029202137248E-2</c:v>
                </c:pt>
                <c:pt idx="554">
                  <c:v>1.6925540887595847E-2</c:v>
                </c:pt>
                <c:pt idx="555">
                  <c:v>1.7024937137239349E-2</c:v>
                </c:pt>
                <c:pt idx="556">
                  <c:v>1.6526975497413873E-2</c:v>
                </c:pt>
                <c:pt idx="557">
                  <c:v>1.6959378564627644E-2</c:v>
                </c:pt>
                <c:pt idx="558">
                  <c:v>1.587660107098824E-2</c:v>
                </c:pt>
                <c:pt idx="559">
                  <c:v>1.5048470729691175E-2</c:v>
                </c:pt>
                <c:pt idx="560">
                  <c:v>1.583801687011515E-2</c:v>
                </c:pt>
                <c:pt idx="561">
                  <c:v>1.6948199780769665E-2</c:v>
                </c:pt>
                <c:pt idx="562">
                  <c:v>1.6968039779378004E-2</c:v>
                </c:pt>
                <c:pt idx="563">
                  <c:v>1.7207679862338593E-2</c:v>
                </c:pt>
                <c:pt idx="564">
                  <c:v>1.7312786836312162E-2</c:v>
                </c:pt>
                <c:pt idx="565">
                  <c:v>1.7846996469722484E-2</c:v>
                </c:pt>
                <c:pt idx="566">
                  <c:v>2.0828091364030299E-2</c:v>
                </c:pt>
                <c:pt idx="567">
                  <c:v>2.0123249091432906E-2</c:v>
                </c:pt>
                <c:pt idx="568">
                  <c:v>2.1077261627313125E-2</c:v>
                </c:pt>
                <c:pt idx="569">
                  <c:v>2.0671882531795669E-2</c:v>
                </c:pt>
                <c:pt idx="570">
                  <c:v>2.1251760171940977E-2</c:v>
                </c:pt>
                <c:pt idx="571">
                  <c:v>2.0257639415869187E-2</c:v>
                </c:pt>
                <c:pt idx="572">
                  <c:v>2.0394025880462175E-2</c:v>
                </c:pt>
                <c:pt idx="573">
                  <c:v>1.9300573028946243E-2</c:v>
                </c:pt>
                <c:pt idx="574">
                  <c:v>2.059833703188732E-2</c:v>
                </c:pt>
                <c:pt idx="575">
                  <c:v>2.0566521711149269E-2</c:v>
                </c:pt>
                <c:pt idx="576">
                  <c:v>1.8338529249954154E-2</c:v>
                </c:pt>
                <c:pt idx="577">
                  <c:v>1.6682986648119916E-2</c:v>
                </c:pt>
                <c:pt idx="578">
                  <c:v>1.5628708623176529E-2</c:v>
                </c:pt>
                <c:pt idx="579">
                  <c:v>1.6901742109483236E-2</c:v>
                </c:pt>
                <c:pt idx="580">
                  <c:v>1.6140912438960122E-2</c:v>
                </c:pt>
                <c:pt idx="581">
                  <c:v>1.7174359253810015E-2</c:v>
                </c:pt>
                <c:pt idx="582">
                  <c:v>1.7344291442152489E-2</c:v>
                </c:pt>
                <c:pt idx="583">
                  <c:v>1.852204595136377E-2</c:v>
                </c:pt>
                <c:pt idx="584">
                  <c:v>1.7126046616881739E-2</c:v>
                </c:pt>
                <c:pt idx="585">
                  <c:v>1.7163619273144682E-2</c:v>
                </c:pt>
                <c:pt idx="586">
                  <c:v>1.5680542774138832E-2</c:v>
                </c:pt>
                <c:pt idx="587">
                  <c:v>1.6377493108480603E-2</c:v>
                </c:pt>
                <c:pt idx="588">
                  <c:v>1.7828200972447361E-2</c:v>
                </c:pt>
                <c:pt idx="589">
                  <c:v>1.9073594008785191E-2</c:v>
                </c:pt>
                <c:pt idx="590">
                  <c:v>1.7042083880130159E-2</c:v>
                </c:pt>
                <c:pt idx="591">
                  <c:v>9.1481717096597963E-3</c:v>
                </c:pt>
                <c:pt idx="592">
                  <c:v>1.0022909507445631E-2</c:v>
                </c:pt>
                <c:pt idx="593">
                  <c:v>1.1321731832102652E-2</c:v>
                </c:pt>
                <c:pt idx="594">
                  <c:v>1.3018279090503734E-2</c:v>
                </c:pt>
                <c:pt idx="595">
                  <c:v>1.497920544309774E-2</c:v>
                </c:pt>
                <c:pt idx="596">
                  <c:v>1.569855918552596E-2</c:v>
                </c:pt>
                <c:pt idx="597">
                  <c:v>1.4190510040874304E-2</c:v>
                </c:pt>
                <c:pt idx="598">
                  <c:v>1.3839539511085906E-2</c:v>
                </c:pt>
                <c:pt idx="599">
                  <c:v>1.4801815216620592E-2</c:v>
                </c:pt>
                <c:pt idx="600">
                  <c:v>1.5092002830856235E-2</c:v>
                </c:pt>
                <c:pt idx="601">
                  <c:v>1.4874354105021397E-2</c:v>
                </c:pt>
                <c:pt idx="602">
                  <c:v>1.9734865223155013E-2</c:v>
                </c:pt>
                <c:pt idx="603">
                  <c:v>3.0827147778527492E-2</c:v>
                </c:pt>
                <c:pt idx="604">
                  <c:v>3.4572582931669982E-2</c:v>
                </c:pt>
                <c:pt idx="605">
                  <c:v>3.5862799629188168E-2</c:v>
                </c:pt>
                <c:pt idx="606">
                  <c:v>3.6035560249977942E-2</c:v>
                </c:pt>
                <c:pt idx="607">
                  <c:v>3.5991611901273042E-2</c:v>
                </c:pt>
                <c:pt idx="608">
                  <c:v>3.7027626148899061E-2</c:v>
                </c:pt>
                <c:pt idx="609">
                  <c:v>4.1914541296862597E-2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5A-9642-A26C-AE591D8FA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866160"/>
        <c:axId val="1112861568"/>
      </c:lineChart>
      <c:lineChart>
        <c:grouping val="standard"/>
        <c:varyColors val="0"/>
        <c:ser>
          <c:idx val="3"/>
          <c:order val="1"/>
          <c:tx>
            <c:strRef>
              <c:f>'PCE Core'!$F$4</c:f>
              <c:strCache>
                <c:ptCount val="1"/>
                <c:pt idx="0">
                  <c:v>Fed Fund Target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Core'!$A$149:$A$774</c:f>
              <c:numCache>
                <c:formatCode>yyyy\-mm\-dd</c:formatCode>
                <c:ptCount val="626"/>
                <c:pt idx="0">
                  <c:v>25934</c:v>
                </c:pt>
                <c:pt idx="1">
                  <c:v>25965</c:v>
                </c:pt>
                <c:pt idx="2">
                  <c:v>25993</c:v>
                </c:pt>
                <c:pt idx="3">
                  <c:v>26024</c:v>
                </c:pt>
                <c:pt idx="4">
                  <c:v>26054</c:v>
                </c:pt>
                <c:pt idx="5">
                  <c:v>26085</c:v>
                </c:pt>
                <c:pt idx="6">
                  <c:v>26115</c:v>
                </c:pt>
                <c:pt idx="7">
                  <c:v>26146</c:v>
                </c:pt>
                <c:pt idx="8">
                  <c:v>26177</c:v>
                </c:pt>
                <c:pt idx="9">
                  <c:v>26207</c:v>
                </c:pt>
                <c:pt idx="10">
                  <c:v>26238</c:v>
                </c:pt>
                <c:pt idx="11">
                  <c:v>26268</c:v>
                </c:pt>
                <c:pt idx="12">
                  <c:v>26299</c:v>
                </c:pt>
                <c:pt idx="13">
                  <c:v>26330</c:v>
                </c:pt>
                <c:pt idx="14">
                  <c:v>26359</c:v>
                </c:pt>
                <c:pt idx="15">
                  <c:v>26390</c:v>
                </c:pt>
                <c:pt idx="16">
                  <c:v>26420</c:v>
                </c:pt>
                <c:pt idx="17">
                  <c:v>26451</c:v>
                </c:pt>
                <c:pt idx="18">
                  <c:v>26481</c:v>
                </c:pt>
                <c:pt idx="19">
                  <c:v>26512</c:v>
                </c:pt>
                <c:pt idx="20">
                  <c:v>26543</c:v>
                </c:pt>
                <c:pt idx="21">
                  <c:v>26573</c:v>
                </c:pt>
                <c:pt idx="22">
                  <c:v>26604</c:v>
                </c:pt>
                <c:pt idx="23">
                  <c:v>26634</c:v>
                </c:pt>
                <c:pt idx="24">
                  <c:v>26665</c:v>
                </c:pt>
                <c:pt idx="25">
                  <c:v>26696</c:v>
                </c:pt>
                <c:pt idx="26">
                  <c:v>26724</c:v>
                </c:pt>
                <c:pt idx="27">
                  <c:v>26755</c:v>
                </c:pt>
                <c:pt idx="28">
                  <c:v>26785</c:v>
                </c:pt>
                <c:pt idx="29">
                  <c:v>26816</c:v>
                </c:pt>
                <c:pt idx="30">
                  <c:v>26846</c:v>
                </c:pt>
                <c:pt idx="31">
                  <c:v>26877</c:v>
                </c:pt>
                <c:pt idx="32">
                  <c:v>26908</c:v>
                </c:pt>
                <c:pt idx="33">
                  <c:v>26938</c:v>
                </c:pt>
                <c:pt idx="34">
                  <c:v>26969</c:v>
                </c:pt>
                <c:pt idx="35">
                  <c:v>26999</c:v>
                </c:pt>
                <c:pt idx="36">
                  <c:v>27030</c:v>
                </c:pt>
                <c:pt idx="37">
                  <c:v>27061</c:v>
                </c:pt>
                <c:pt idx="38">
                  <c:v>27089</c:v>
                </c:pt>
                <c:pt idx="39">
                  <c:v>27120</c:v>
                </c:pt>
                <c:pt idx="40">
                  <c:v>27150</c:v>
                </c:pt>
                <c:pt idx="41">
                  <c:v>27181</c:v>
                </c:pt>
                <c:pt idx="42">
                  <c:v>27211</c:v>
                </c:pt>
                <c:pt idx="43">
                  <c:v>27242</c:v>
                </c:pt>
                <c:pt idx="44">
                  <c:v>27273</c:v>
                </c:pt>
                <c:pt idx="45">
                  <c:v>27303</c:v>
                </c:pt>
                <c:pt idx="46">
                  <c:v>27334</c:v>
                </c:pt>
                <c:pt idx="47">
                  <c:v>27364</c:v>
                </c:pt>
                <c:pt idx="48">
                  <c:v>27395</c:v>
                </c:pt>
                <c:pt idx="49">
                  <c:v>27426</c:v>
                </c:pt>
                <c:pt idx="50">
                  <c:v>27454</c:v>
                </c:pt>
                <c:pt idx="51">
                  <c:v>27485</c:v>
                </c:pt>
                <c:pt idx="52">
                  <c:v>27515</c:v>
                </c:pt>
                <c:pt idx="53">
                  <c:v>27546</c:v>
                </c:pt>
                <c:pt idx="54">
                  <c:v>27576</c:v>
                </c:pt>
                <c:pt idx="55">
                  <c:v>27607</c:v>
                </c:pt>
                <c:pt idx="56">
                  <c:v>27638</c:v>
                </c:pt>
                <c:pt idx="57">
                  <c:v>27668</c:v>
                </c:pt>
                <c:pt idx="58">
                  <c:v>27699</c:v>
                </c:pt>
                <c:pt idx="59">
                  <c:v>27729</c:v>
                </c:pt>
                <c:pt idx="60">
                  <c:v>27760</c:v>
                </c:pt>
                <c:pt idx="61">
                  <c:v>27791</c:v>
                </c:pt>
                <c:pt idx="62">
                  <c:v>27820</c:v>
                </c:pt>
                <c:pt idx="63">
                  <c:v>27851</c:v>
                </c:pt>
                <c:pt idx="64">
                  <c:v>27881</c:v>
                </c:pt>
                <c:pt idx="65">
                  <c:v>27912</c:v>
                </c:pt>
                <c:pt idx="66">
                  <c:v>27942</c:v>
                </c:pt>
                <c:pt idx="67">
                  <c:v>27973</c:v>
                </c:pt>
                <c:pt idx="68">
                  <c:v>28004</c:v>
                </c:pt>
                <c:pt idx="69">
                  <c:v>28034</c:v>
                </c:pt>
                <c:pt idx="70">
                  <c:v>28065</c:v>
                </c:pt>
                <c:pt idx="71">
                  <c:v>28095</c:v>
                </c:pt>
                <c:pt idx="72">
                  <c:v>28126</c:v>
                </c:pt>
                <c:pt idx="73">
                  <c:v>28157</c:v>
                </c:pt>
                <c:pt idx="74">
                  <c:v>28185</c:v>
                </c:pt>
                <c:pt idx="75">
                  <c:v>28216</c:v>
                </c:pt>
                <c:pt idx="76">
                  <c:v>28246</c:v>
                </c:pt>
                <c:pt idx="77">
                  <c:v>28277</c:v>
                </c:pt>
                <c:pt idx="78">
                  <c:v>28307</c:v>
                </c:pt>
                <c:pt idx="79">
                  <c:v>28338</c:v>
                </c:pt>
                <c:pt idx="80">
                  <c:v>28369</c:v>
                </c:pt>
                <c:pt idx="81">
                  <c:v>28399</c:v>
                </c:pt>
                <c:pt idx="82">
                  <c:v>28430</c:v>
                </c:pt>
                <c:pt idx="83">
                  <c:v>28460</c:v>
                </c:pt>
                <c:pt idx="84">
                  <c:v>28491</c:v>
                </c:pt>
                <c:pt idx="85">
                  <c:v>28522</c:v>
                </c:pt>
                <c:pt idx="86">
                  <c:v>28550</c:v>
                </c:pt>
                <c:pt idx="87">
                  <c:v>28581</c:v>
                </c:pt>
                <c:pt idx="88">
                  <c:v>28611</c:v>
                </c:pt>
                <c:pt idx="89">
                  <c:v>28642</c:v>
                </c:pt>
                <c:pt idx="90">
                  <c:v>28672</c:v>
                </c:pt>
                <c:pt idx="91">
                  <c:v>28703</c:v>
                </c:pt>
                <c:pt idx="92">
                  <c:v>28734</c:v>
                </c:pt>
                <c:pt idx="93">
                  <c:v>28764</c:v>
                </c:pt>
                <c:pt idx="94">
                  <c:v>28795</c:v>
                </c:pt>
                <c:pt idx="95">
                  <c:v>28825</c:v>
                </c:pt>
                <c:pt idx="96">
                  <c:v>28856</c:v>
                </c:pt>
                <c:pt idx="97">
                  <c:v>28887</c:v>
                </c:pt>
                <c:pt idx="98">
                  <c:v>28915</c:v>
                </c:pt>
                <c:pt idx="99">
                  <c:v>28946</c:v>
                </c:pt>
                <c:pt idx="100">
                  <c:v>28976</c:v>
                </c:pt>
                <c:pt idx="101">
                  <c:v>29007</c:v>
                </c:pt>
                <c:pt idx="102">
                  <c:v>29037</c:v>
                </c:pt>
                <c:pt idx="103">
                  <c:v>29068</c:v>
                </c:pt>
                <c:pt idx="104">
                  <c:v>29099</c:v>
                </c:pt>
                <c:pt idx="105">
                  <c:v>29129</c:v>
                </c:pt>
                <c:pt idx="106">
                  <c:v>29160</c:v>
                </c:pt>
                <c:pt idx="107">
                  <c:v>29190</c:v>
                </c:pt>
                <c:pt idx="108">
                  <c:v>29221</c:v>
                </c:pt>
                <c:pt idx="109">
                  <c:v>29252</c:v>
                </c:pt>
                <c:pt idx="110">
                  <c:v>29281</c:v>
                </c:pt>
                <c:pt idx="111">
                  <c:v>29312</c:v>
                </c:pt>
                <c:pt idx="112">
                  <c:v>29342</c:v>
                </c:pt>
                <c:pt idx="113">
                  <c:v>29373</c:v>
                </c:pt>
                <c:pt idx="114">
                  <c:v>29403</c:v>
                </c:pt>
                <c:pt idx="115">
                  <c:v>29434</c:v>
                </c:pt>
                <c:pt idx="116">
                  <c:v>29465</c:v>
                </c:pt>
                <c:pt idx="117">
                  <c:v>29495</c:v>
                </c:pt>
                <c:pt idx="118">
                  <c:v>29526</c:v>
                </c:pt>
                <c:pt idx="119">
                  <c:v>29556</c:v>
                </c:pt>
                <c:pt idx="120">
                  <c:v>29587</c:v>
                </c:pt>
                <c:pt idx="121">
                  <c:v>29618</c:v>
                </c:pt>
                <c:pt idx="122">
                  <c:v>29646</c:v>
                </c:pt>
                <c:pt idx="123">
                  <c:v>29677</c:v>
                </c:pt>
                <c:pt idx="124">
                  <c:v>29707</c:v>
                </c:pt>
                <c:pt idx="125">
                  <c:v>29738</c:v>
                </c:pt>
                <c:pt idx="126">
                  <c:v>29768</c:v>
                </c:pt>
                <c:pt idx="127">
                  <c:v>29799</c:v>
                </c:pt>
                <c:pt idx="128">
                  <c:v>29830</c:v>
                </c:pt>
                <c:pt idx="129">
                  <c:v>29860</c:v>
                </c:pt>
                <c:pt idx="130">
                  <c:v>29891</c:v>
                </c:pt>
                <c:pt idx="131">
                  <c:v>29921</c:v>
                </c:pt>
                <c:pt idx="132">
                  <c:v>29952</c:v>
                </c:pt>
                <c:pt idx="133">
                  <c:v>29983</c:v>
                </c:pt>
                <c:pt idx="134">
                  <c:v>30011</c:v>
                </c:pt>
                <c:pt idx="135">
                  <c:v>30042</c:v>
                </c:pt>
                <c:pt idx="136">
                  <c:v>30072</c:v>
                </c:pt>
                <c:pt idx="137">
                  <c:v>30103</c:v>
                </c:pt>
                <c:pt idx="138">
                  <c:v>30133</c:v>
                </c:pt>
                <c:pt idx="139">
                  <c:v>30164</c:v>
                </c:pt>
                <c:pt idx="140">
                  <c:v>30195</c:v>
                </c:pt>
                <c:pt idx="141">
                  <c:v>30225</c:v>
                </c:pt>
                <c:pt idx="142">
                  <c:v>30256</c:v>
                </c:pt>
                <c:pt idx="143">
                  <c:v>30286</c:v>
                </c:pt>
                <c:pt idx="144">
                  <c:v>30317</c:v>
                </c:pt>
                <c:pt idx="145">
                  <c:v>30348</c:v>
                </c:pt>
                <c:pt idx="146">
                  <c:v>30376</c:v>
                </c:pt>
                <c:pt idx="147">
                  <c:v>30407</c:v>
                </c:pt>
                <c:pt idx="148">
                  <c:v>30437</c:v>
                </c:pt>
                <c:pt idx="149">
                  <c:v>30468</c:v>
                </c:pt>
                <c:pt idx="150">
                  <c:v>30498</c:v>
                </c:pt>
                <c:pt idx="151">
                  <c:v>30529</c:v>
                </c:pt>
                <c:pt idx="152">
                  <c:v>30560</c:v>
                </c:pt>
                <c:pt idx="153">
                  <c:v>30590</c:v>
                </c:pt>
                <c:pt idx="154">
                  <c:v>30621</c:v>
                </c:pt>
                <c:pt idx="155">
                  <c:v>30651</c:v>
                </c:pt>
                <c:pt idx="156">
                  <c:v>30682</c:v>
                </c:pt>
                <c:pt idx="157">
                  <c:v>30713</c:v>
                </c:pt>
                <c:pt idx="158">
                  <c:v>30742</c:v>
                </c:pt>
                <c:pt idx="159">
                  <c:v>30773</c:v>
                </c:pt>
                <c:pt idx="160">
                  <c:v>30803</c:v>
                </c:pt>
                <c:pt idx="161">
                  <c:v>30834</c:v>
                </c:pt>
                <c:pt idx="162">
                  <c:v>30864</c:v>
                </c:pt>
                <c:pt idx="163">
                  <c:v>30895</c:v>
                </c:pt>
                <c:pt idx="164">
                  <c:v>30926</c:v>
                </c:pt>
                <c:pt idx="165">
                  <c:v>30956</c:v>
                </c:pt>
                <c:pt idx="166">
                  <c:v>30987</c:v>
                </c:pt>
                <c:pt idx="167">
                  <c:v>31017</c:v>
                </c:pt>
                <c:pt idx="168">
                  <c:v>31048</c:v>
                </c:pt>
                <c:pt idx="169">
                  <c:v>31079</c:v>
                </c:pt>
                <c:pt idx="170">
                  <c:v>31107</c:v>
                </c:pt>
                <c:pt idx="171">
                  <c:v>31138</c:v>
                </c:pt>
                <c:pt idx="172">
                  <c:v>31168</c:v>
                </c:pt>
                <c:pt idx="173">
                  <c:v>31199</c:v>
                </c:pt>
                <c:pt idx="174">
                  <c:v>31229</c:v>
                </c:pt>
                <c:pt idx="175">
                  <c:v>31260</c:v>
                </c:pt>
                <c:pt idx="176">
                  <c:v>31291</c:v>
                </c:pt>
                <c:pt idx="177">
                  <c:v>31321</c:v>
                </c:pt>
                <c:pt idx="178">
                  <c:v>31352</c:v>
                </c:pt>
                <c:pt idx="179">
                  <c:v>31382</c:v>
                </c:pt>
                <c:pt idx="180">
                  <c:v>31413</c:v>
                </c:pt>
                <c:pt idx="181">
                  <c:v>31444</c:v>
                </c:pt>
                <c:pt idx="182">
                  <c:v>31472</c:v>
                </c:pt>
                <c:pt idx="183">
                  <c:v>31503</c:v>
                </c:pt>
                <c:pt idx="184">
                  <c:v>31533</c:v>
                </c:pt>
                <c:pt idx="185">
                  <c:v>31564</c:v>
                </c:pt>
                <c:pt idx="186">
                  <c:v>31594</c:v>
                </c:pt>
                <c:pt idx="187">
                  <c:v>31625</c:v>
                </c:pt>
                <c:pt idx="188">
                  <c:v>31656</c:v>
                </c:pt>
                <c:pt idx="189">
                  <c:v>31686</c:v>
                </c:pt>
                <c:pt idx="190">
                  <c:v>31717</c:v>
                </c:pt>
                <c:pt idx="191">
                  <c:v>31747</c:v>
                </c:pt>
                <c:pt idx="192">
                  <c:v>31778</c:v>
                </c:pt>
                <c:pt idx="193">
                  <c:v>31809</c:v>
                </c:pt>
                <c:pt idx="194">
                  <c:v>31837</c:v>
                </c:pt>
                <c:pt idx="195">
                  <c:v>31868</c:v>
                </c:pt>
                <c:pt idx="196">
                  <c:v>31898</c:v>
                </c:pt>
                <c:pt idx="197">
                  <c:v>31929</c:v>
                </c:pt>
                <c:pt idx="198">
                  <c:v>31959</c:v>
                </c:pt>
                <c:pt idx="199">
                  <c:v>31990</c:v>
                </c:pt>
                <c:pt idx="200">
                  <c:v>32021</c:v>
                </c:pt>
                <c:pt idx="201">
                  <c:v>32051</c:v>
                </c:pt>
                <c:pt idx="202">
                  <c:v>32082</c:v>
                </c:pt>
                <c:pt idx="203">
                  <c:v>32112</c:v>
                </c:pt>
                <c:pt idx="204">
                  <c:v>32143</c:v>
                </c:pt>
                <c:pt idx="205">
                  <c:v>32174</c:v>
                </c:pt>
                <c:pt idx="206">
                  <c:v>32203</c:v>
                </c:pt>
                <c:pt idx="207">
                  <c:v>32234</c:v>
                </c:pt>
                <c:pt idx="208">
                  <c:v>32264</c:v>
                </c:pt>
                <c:pt idx="209">
                  <c:v>32295</c:v>
                </c:pt>
                <c:pt idx="210">
                  <c:v>32325</c:v>
                </c:pt>
                <c:pt idx="211">
                  <c:v>32356</c:v>
                </c:pt>
                <c:pt idx="212">
                  <c:v>32387</c:v>
                </c:pt>
                <c:pt idx="213">
                  <c:v>32417</c:v>
                </c:pt>
                <c:pt idx="214">
                  <c:v>32448</c:v>
                </c:pt>
                <c:pt idx="215">
                  <c:v>32478</c:v>
                </c:pt>
                <c:pt idx="216">
                  <c:v>32509</c:v>
                </c:pt>
                <c:pt idx="217">
                  <c:v>32540</c:v>
                </c:pt>
                <c:pt idx="218">
                  <c:v>32568</c:v>
                </c:pt>
                <c:pt idx="219">
                  <c:v>32599</c:v>
                </c:pt>
                <c:pt idx="220">
                  <c:v>32629</c:v>
                </c:pt>
                <c:pt idx="221">
                  <c:v>32660</c:v>
                </c:pt>
                <c:pt idx="222">
                  <c:v>32690</c:v>
                </c:pt>
                <c:pt idx="223">
                  <c:v>32721</c:v>
                </c:pt>
                <c:pt idx="224">
                  <c:v>32752</c:v>
                </c:pt>
                <c:pt idx="225">
                  <c:v>32782</c:v>
                </c:pt>
                <c:pt idx="226">
                  <c:v>32813</c:v>
                </c:pt>
                <c:pt idx="227">
                  <c:v>32843</c:v>
                </c:pt>
                <c:pt idx="228">
                  <c:v>32874</c:v>
                </c:pt>
                <c:pt idx="229">
                  <c:v>32905</c:v>
                </c:pt>
                <c:pt idx="230">
                  <c:v>32933</c:v>
                </c:pt>
                <c:pt idx="231">
                  <c:v>32964</c:v>
                </c:pt>
                <c:pt idx="232">
                  <c:v>32994</c:v>
                </c:pt>
                <c:pt idx="233">
                  <c:v>33025</c:v>
                </c:pt>
                <c:pt idx="234">
                  <c:v>33055</c:v>
                </c:pt>
                <c:pt idx="235">
                  <c:v>33086</c:v>
                </c:pt>
                <c:pt idx="236">
                  <c:v>33117</c:v>
                </c:pt>
                <c:pt idx="237">
                  <c:v>33147</c:v>
                </c:pt>
                <c:pt idx="238">
                  <c:v>33178</c:v>
                </c:pt>
                <c:pt idx="239">
                  <c:v>33208</c:v>
                </c:pt>
                <c:pt idx="240">
                  <c:v>33239</c:v>
                </c:pt>
                <c:pt idx="241">
                  <c:v>33270</c:v>
                </c:pt>
                <c:pt idx="242">
                  <c:v>33298</c:v>
                </c:pt>
                <c:pt idx="243">
                  <c:v>33329</c:v>
                </c:pt>
                <c:pt idx="244">
                  <c:v>33359</c:v>
                </c:pt>
                <c:pt idx="245">
                  <c:v>33390</c:v>
                </c:pt>
                <c:pt idx="246">
                  <c:v>33420</c:v>
                </c:pt>
                <c:pt idx="247">
                  <c:v>33451</c:v>
                </c:pt>
                <c:pt idx="248">
                  <c:v>33482</c:v>
                </c:pt>
                <c:pt idx="249">
                  <c:v>33512</c:v>
                </c:pt>
                <c:pt idx="250">
                  <c:v>33543</c:v>
                </c:pt>
                <c:pt idx="251">
                  <c:v>33573</c:v>
                </c:pt>
                <c:pt idx="252">
                  <c:v>33604</c:v>
                </c:pt>
                <c:pt idx="253">
                  <c:v>33635</c:v>
                </c:pt>
                <c:pt idx="254">
                  <c:v>33664</c:v>
                </c:pt>
                <c:pt idx="255">
                  <c:v>33695</c:v>
                </c:pt>
                <c:pt idx="256">
                  <c:v>33725</c:v>
                </c:pt>
                <c:pt idx="257">
                  <c:v>33756</c:v>
                </c:pt>
                <c:pt idx="258">
                  <c:v>33786</c:v>
                </c:pt>
                <c:pt idx="259">
                  <c:v>33817</c:v>
                </c:pt>
                <c:pt idx="260">
                  <c:v>33848</c:v>
                </c:pt>
                <c:pt idx="261">
                  <c:v>33878</c:v>
                </c:pt>
                <c:pt idx="262">
                  <c:v>33909</c:v>
                </c:pt>
                <c:pt idx="263">
                  <c:v>33939</c:v>
                </c:pt>
                <c:pt idx="264">
                  <c:v>33970</c:v>
                </c:pt>
                <c:pt idx="265">
                  <c:v>34001</c:v>
                </c:pt>
                <c:pt idx="266">
                  <c:v>34029</c:v>
                </c:pt>
                <c:pt idx="267">
                  <c:v>34060</c:v>
                </c:pt>
                <c:pt idx="268">
                  <c:v>34090</c:v>
                </c:pt>
                <c:pt idx="269">
                  <c:v>34121</c:v>
                </c:pt>
                <c:pt idx="270">
                  <c:v>34151</c:v>
                </c:pt>
                <c:pt idx="271">
                  <c:v>34182</c:v>
                </c:pt>
                <c:pt idx="272">
                  <c:v>34213</c:v>
                </c:pt>
                <c:pt idx="273">
                  <c:v>34243</c:v>
                </c:pt>
                <c:pt idx="274">
                  <c:v>34274</c:v>
                </c:pt>
                <c:pt idx="275">
                  <c:v>34304</c:v>
                </c:pt>
                <c:pt idx="276">
                  <c:v>34335</c:v>
                </c:pt>
                <c:pt idx="277">
                  <c:v>34366</c:v>
                </c:pt>
                <c:pt idx="278">
                  <c:v>34394</c:v>
                </c:pt>
                <c:pt idx="279">
                  <c:v>34425</c:v>
                </c:pt>
                <c:pt idx="280">
                  <c:v>34455</c:v>
                </c:pt>
                <c:pt idx="281">
                  <c:v>34486</c:v>
                </c:pt>
                <c:pt idx="282">
                  <c:v>34516</c:v>
                </c:pt>
                <c:pt idx="283">
                  <c:v>34547</c:v>
                </c:pt>
                <c:pt idx="284">
                  <c:v>34578</c:v>
                </c:pt>
                <c:pt idx="285">
                  <c:v>34608</c:v>
                </c:pt>
                <c:pt idx="286">
                  <c:v>34639</c:v>
                </c:pt>
                <c:pt idx="287">
                  <c:v>34669</c:v>
                </c:pt>
                <c:pt idx="288">
                  <c:v>34700</c:v>
                </c:pt>
                <c:pt idx="289">
                  <c:v>34731</c:v>
                </c:pt>
                <c:pt idx="290">
                  <c:v>34759</c:v>
                </c:pt>
                <c:pt idx="291">
                  <c:v>34790</c:v>
                </c:pt>
                <c:pt idx="292">
                  <c:v>34820</c:v>
                </c:pt>
                <c:pt idx="293">
                  <c:v>34851</c:v>
                </c:pt>
                <c:pt idx="294">
                  <c:v>34881</c:v>
                </c:pt>
                <c:pt idx="295">
                  <c:v>34912</c:v>
                </c:pt>
                <c:pt idx="296">
                  <c:v>34943</c:v>
                </c:pt>
                <c:pt idx="297">
                  <c:v>34973</c:v>
                </c:pt>
                <c:pt idx="298">
                  <c:v>35004</c:v>
                </c:pt>
                <c:pt idx="299">
                  <c:v>35034</c:v>
                </c:pt>
                <c:pt idx="300">
                  <c:v>35065</c:v>
                </c:pt>
                <c:pt idx="301">
                  <c:v>35096</c:v>
                </c:pt>
                <c:pt idx="302">
                  <c:v>35125</c:v>
                </c:pt>
                <c:pt idx="303">
                  <c:v>35156</c:v>
                </c:pt>
                <c:pt idx="304">
                  <c:v>35186</c:v>
                </c:pt>
                <c:pt idx="305">
                  <c:v>35217</c:v>
                </c:pt>
                <c:pt idx="306">
                  <c:v>35247</c:v>
                </c:pt>
                <c:pt idx="307">
                  <c:v>35278</c:v>
                </c:pt>
                <c:pt idx="308">
                  <c:v>35309</c:v>
                </c:pt>
                <c:pt idx="309">
                  <c:v>35339</c:v>
                </c:pt>
                <c:pt idx="310">
                  <c:v>35370</c:v>
                </c:pt>
                <c:pt idx="311">
                  <c:v>35400</c:v>
                </c:pt>
                <c:pt idx="312">
                  <c:v>35431</c:v>
                </c:pt>
                <c:pt idx="313">
                  <c:v>35462</c:v>
                </c:pt>
                <c:pt idx="314">
                  <c:v>35490</c:v>
                </c:pt>
                <c:pt idx="315">
                  <c:v>35521</c:v>
                </c:pt>
                <c:pt idx="316">
                  <c:v>35551</c:v>
                </c:pt>
                <c:pt idx="317">
                  <c:v>35582</c:v>
                </c:pt>
                <c:pt idx="318">
                  <c:v>35612</c:v>
                </c:pt>
                <c:pt idx="319">
                  <c:v>35643</c:v>
                </c:pt>
                <c:pt idx="320">
                  <c:v>35674</c:v>
                </c:pt>
                <c:pt idx="321">
                  <c:v>35704</c:v>
                </c:pt>
                <c:pt idx="322">
                  <c:v>35735</c:v>
                </c:pt>
                <c:pt idx="323">
                  <c:v>35765</c:v>
                </c:pt>
                <c:pt idx="324">
                  <c:v>35796</c:v>
                </c:pt>
                <c:pt idx="325">
                  <c:v>35827</c:v>
                </c:pt>
                <c:pt idx="326">
                  <c:v>35855</c:v>
                </c:pt>
                <c:pt idx="327">
                  <c:v>35886</c:v>
                </c:pt>
                <c:pt idx="328">
                  <c:v>35916</c:v>
                </c:pt>
                <c:pt idx="329">
                  <c:v>35947</c:v>
                </c:pt>
                <c:pt idx="330">
                  <c:v>35977</c:v>
                </c:pt>
                <c:pt idx="331">
                  <c:v>36008</c:v>
                </c:pt>
                <c:pt idx="332">
                  <c:v>36039</c:v>
                </c:pt>
                <c:pt idx="333">
                  <c:v>36069</c:v>
                </c:pt>
                <c:pt idx="334">
                  <c:v>36100</c:v>
                </c:pt>
                <c:pt idx="335">
                  <c:v>36130</c:v>
                </c:pt>
                <c:pt idx="336">
                  <c:v>36161</c:v>
                </c:pt>
                <c:pt idx="337">
                  <c:v>36192</c:v>
                </c:pt>
                <c:pt idx="338">
                  <c:v>36220</c:v>
                </c:pt>
                <c:pt idx="339">
                  <c:v>36251</c:v>
                </c:pt>
                <c:pt idx="340">
                  <c:v>36281</c:v>
                </c:pt>
                <c:pt idx="341">
                  <c:v>36312</c:v>
                </c:pt>
                <c:pt idx="342">
                  <c:v>36342</c:v>
                </c:pt>
                <c:pt idx="343">
                  <c:v>36373</c:v>
                </c:pt>
                <c:pt idx="344">
                  <c:v>36404</c:v>
                </c:pt>
                <c:pt idx="345">
                  <c:v>36434</c:v>
                </c:pt>
                <c:pt idx="346">
                  <c:v>36465</c:v>
                </c:pt>
                <c:pt idx="347">
                  <c:v>36495</c:v>
                </c:pt>
                <c:pt idx="348">
                  <c:v>36526</c:v>
                </c:pt>
                <c:pt idx="349">
                  <c:v>36557</c:v>
                </c:pt>
                <c:pt idx="350">
                  <c:v>36586</c:v>
                </c:pt>
                <c:pt idx="351">
                  <c:v>36617</c:v>
                </c:pt>
                <c:pt idx="352">
                  <c:v>36647</c:v>
                </c:pt>
                <c:pt idx="353">
                  <c:v>36678</c:v>
                </c:pt>
                <c:pt idx="354">
                  <c:v>36708</c:v>
                </c:pt>
                <c:pt idx="355">
                  <c:v>36739</c:v>
                </c:pt>
                <c:pt idx="356">
                  <c:v>36770</c:v>
                </c:pt>
                <c:pt idx="357">
                  <c:v>36800</c:v>
                </c:pt>
                <c:pt idx="358">
                  <c:v>36831</c:v>
                </c:pt>
                <c:pt idx="359">
                  <c:v>36861</c:v>
                </c:pt>
                <c:pt idx="360">
                  <c:v>36892</c:v>
                </c:pt>
                <c:pt idx="361">
                  <c:v>36923</c:v>
                </c:pt>
                <c:pt idx="362">
                  <c:v>36951</c:v>
                </c:pt>
                <c:pt idx="363">
                  <c:v>36982</c:v>
                </c:pt>
                <c:pt idx="364">
                  <c:v>37012</c:v>
                </c:pt>
                <c:pt idx="365">
                  <c:v>37043</c:v>
                </c:pt>
                <c:pt idx="366">
                  <c:v>37073</c:v>
                </c:pt>
                <c:pt idx="367">
                  <c:v>37104</c:v>
                </c:pt>
                <c:pt idx="368">
                  <c:v>37135</c:v>
                </c:pt>
                <c:pt idx="369">
                  <c:v>37165</c:v>
                </c:pt>
                <c:pt idx="370">
                  <c:v>37196</c:v>
                </c:pt>
                <c:pt idx="371">
                  <c:v>37226</c:v>
                </c:pt>
                <c:pt idx="372">
                  <c:v>37257</c:v>
                </c:pt>
                <c:pt idx="373">
                  <c:v>37288</c:v>
                </c:pt>
                <c:pt idx="374">
                  <c:v>37316</c:v>
                </c:pt>
                <c:pt idx="375">
                  <c:v>37347</c:v>
                </c:pt>
                <c:pt idx="376">
                  <c:v>37377</c:v>
                </c:pt>
                <c:pt idx="377">
                  <c:v>37408</c:v>
                </c:pt>
                <c:pt idx="378">
                  <c:v>37438</c:v>
                </c:pt>
                <c:pt idx="379">
                  <c:v>37469</c:v>
                </c:pt>
                <c:pt idx="380">
                  <c:v>37500</c:v>
                </c:pt>
                <c:pt idx="381">
                  <c:v>37530</c:v>
                </c:pt>
                <c:pt idx="382">
                  <c:v>37561</c:v>
                </c:pt>
                <c:pt idx="383">
                  <c:v>37591</c:v>
                </c:pt>
                <c:pt idx="384">
                  <c:v>37622</c:v>
                </c:pt>
                <c:pt idx="385">
                  <c:v>37653</c:v>
                </c:pt>
                <c:pt idx="386">
                  <c:v>37681</c:v>
                </c:pt>
                <c:pt idx="387">
                  <c:v>37712</c:v>
                </c:pt>
                <c:pt idx="388">
                  <c:v>37742</c:v>
                </c:pt>
                <c:pt idx="389">
                  <c:v>37773</c:v>
                </c:pt>
                <c:pt idx="390">
                  <c:v>37803</c:v>
                </c:pt>
                <c:pt idx="391">
                  <c:v>37834</c:v>
                </c:pt>
                <c:pt idx="392">
                  <c:v>37865</c:v>
                </c:pt>
                <c:pt idx="393">
                  <c:v>37895</c:v>
                </c:pt>
                <c:pt idx="394">
                  <c:v>37926</c:v>
                </c:pt>
                <c:pt idx="395">
                  <c:v>37956</c:v>
                </c:pt>
                <c:pt idx="396">
                  <c:v>37987</c:v>
                </c:pt>
                <c:pt idx="397">
                  <c:v>38018</c:v>
                </c:pt>
                <c:pt idx="398">
                  <c:v>38047</c:v>
                </c:pt>
                <c:pt idx="399">
                  <c:v>38078</c:v>
                </c:pt>
                <c:pt idx="400">
                  <c:v>38108</c:v>
                </c:pt>
                <c:pt idx="401">
                  <c:v>38139</c:v>
                </c:pt>
                <c:pt idx="402">
                  <c:v>38169</c:v>
                </c:pt>
                <c:pt idx="403">
                  <c:v>38200</c:v>
                </c:pt>
                <c:pt idx="404">
                  <c:v>38231</c:v>
                </c:pt>
                <c:pt idx="405">
                  <c:v>38261</c:v>
                </c:pt>
                <c:pt idx="406">
                  <c:v>38292</c:v>
                </c:pt>
                <c:pt idx="407">
                  <c:v>38322</c:v>
                </c:pt>
                <c:pt idx="408">
                  <c:v>38353</c:v>
                </c:pt>
                <c:pt idx="409">
                  <c:v>38384</c:v>
                </c:pt>
                <c:pt idx="410">
                  <c:v>38412</c:v>
                </c:pt>
                <c:pt idx="411">
                  <c:v>38443</c:v>
                </c:pt>
                <c:pt idx="412">
                  <c:v>38473</c:v>
                </c:pt>
                <c:pt idx="413">
                  <c:v>38504</c:v>
                </c:pt>
                <c:pt idx="414">
                  <c:v>38534</c:v>
                </c:pt>
                <c:pt idx="415">
                  <c:v>38565</c:v>
                </c:pt>
                <c:pt idx="416">
                  <c:v>38596</c:v>
                </c:pt>
                <c:pt idx="417">
                  <c:v>38626</c:v>
                </c:pt>
                <c:pt idx="418">
                  <c:v>38657</c:v>
                </c:pt>
                <c:pt idx="419">
                  <c:v>38687</c:v>
                </c:pt>
                <c:pt idx="420">
                  <c:v>38718</c:v>
                </c:pt>
                <c:pt idx="421">
                  <c:v>38749</c:v>
                </c:pt>
                <c:pt idx="422">
                  <c:v>38777</c:v>
                </c:pt>
                <c:pt idx="423">
                  <c:v>38808</c:v>
                </c:pt>
                <c:pt idx="424">
                  <c:v>38838</c:v>
                </c:pt>
                <c:pt idx="425">
                  <c:v>38869</c:v>
                </c:pt>
                <c:pt idx="426">
                  <c:v>38899</c:v>
                </c:pt>
                <c:pt idx="427">
                  <c:v>38930</c:v>
                </c:pt>
                <c:pt idx="428">
                  <c:v>38961</c:v>
                </c:pt>
                <c:pt idx="429">
                  <c:v>38991</c:v>
                </c:pt>
                <c:pt idx="430">
                  <c:v>39022</c:v>
                </c:pt>
                <c:pt idx="431">
                  <c:v>39052</c:v>
                </c:pt>
                <c:pt idx="432">
                  <c:v>39083</c:v>
                </c:pt>
                <c:pt idx="433">
                  <c:v>39114</c:v>
                </c:pt>
                <c:pt idx="434">
                  <c:v>39142</c:v>
                </c:pt>
                <c:pt idx="435">
                  <c:v>39173</c:v>
                </c:pt>
                <c:pt idx="436">
                  <c:v>39203</c:v>
                </c:pt>
                <c:pt idx="437">
                  <c:v>39234</c:v>
                </c:pt>
                <c:pt idx="438">
                  <c:v>39264</c:v>
                </c:pt>
                <c:pt idx="439">
                  <c:v>39295</c:v>
                </c:pt>
                <c:pt idx="440">
                  <c:v>39326</c:v>
                </c:pt>
                <c:pt idx="441">
                  <c:v>39356</c:v>
                </c:pt>
                <c:pt idx="442">
                  <c:v>39387</c:v>
                </c:pt>
                <c:pt idx="443">
                  <c:v>39417</c:v>
                </c:pt>
                <c:pt idx="444">
                  <c:v>39448</c:v>
                </c:pt>
                <c:pt idx="445">
                  <c:v>39479</c:v>
                </c:pt>
                <c:pt idx="446">
                  <c:v>39508</c:v>
                </c:pt>
                <c:pt idx="447">
                  <c:v>39539</c:v>
                </c:pt>
                <c:pt idx="448">
                  <c:v>39569</c:v>
                </c:pt>
                <c:pt idx="449">
                  <c:v>39600</c:v>
                </c:pt>
                <c:pt idx="450">
                  <c:v>39630</c:v>
                </c:pt>
                <c:pt idx="451">
                  <c:v>39661</c:v>
                </c:pt>
                <c:pt idx="452">
                  <c:v>39692</c:v>
                </c:pt>
                <c:pt idx="453">
                  <c:v>39722</c:v>
                </c:pt>
                <c:pt idx="454">
                  <c:v>39753</c:v>
                </c:pt>
                <c:pt idx="455">
                  <c:v>39783</c:v>
                </c:pt>
                <c:pt idx="456">
                  <c:v>39814</c:v>
                </c:pt>
                <c:pt idx="457">
                  <c:v>39845</c:v>
                </c:pt>
                <c:pt idx="458">
                  <c:v>39873</c:v>
                </c:pt>
                <c:pt idx="459">
                  <c:v>39904</c:v>
                </c:pt>
                <c:pt idx="460">
                  <c:v>39934</c:v>
                </c:pt>
                <c:pt idx="461">
                  <c:v>39965</c:v>
                </c:pt>
                <c:pt idx="462">
                  <c:v>39995</c:v>
                </c:pt>
                <c:pt idx="463">
                  <c:v>40026</c:v>
                </c:pt>
                <c:pt idx="464">
                  <c:v>40057</c:v>
                </c:pt>
                <c:pt idx="465">
                  <c:v>40087</c:v>
                </c:pt>
                <c:pt idx="466">
                  <c:v>40118</c:v>
                </c:pt>
                <c:pt idx="467">
                  <c:v>40148</c:v>
                </c:pt>
                <c:pt idx="468">
                  <c:v>40179</c:v>
                </c:pt>
                <c:pt idx="469">
                  <c:v>40210</c:v>
                </c:pt>
                <c:pt idx="470">
                  <c:v>40238</c:v>
                </c:pt>
                <c:pt idx="471">
                  <c:v>40269</c:v>
                </c:pt>
                <c:pt idx="472">
                  <c:v>40299</c:v>
                </c:pt>
                <c:pt idx="473">
                  <c:v>40330</c:v>
                </c:pt>
                <c:pt idx="474">
                  <c:v>40360</c:v>
                </c:pt>
                <c:pt idx="475">
                  <c:v>40391</c:v>
                </c:pt>
                <c:pt idx="476">
                  <c:v>40422</c:v>
                </c:pt>
                <c:pt idx="477">
                  <c:v>40452</c:v>
                </c:pt>
                <c:pt idx="478">
                  <c:v>40483</c:v>
                </c:pt>
                <c:pt idx="479">
                  <c:v>40513</c:v>
                </c:pt>
                <c:pt idx="480">
                  <c:v>40544</c:v>
                </c:pt>
                <c:pt idx="481">
                  <c:v>40575</c:v>
                </c:pt>
                <c:pt idx="482">
                  <c:v>40603</c:v>
                </c:pt>
                <c:pt idx="483">
                  <c:v>40634</c:v>
                </c:pt>
                <c:pt idx="484">
                  <c:v>40664</c:v>
                </c:pt>
                <c:pt idx="485">
                  <c:v>40695</c:v>
                </c:pt>
                <c:pt idx="486">
                  <c:v>40725</c:v>
                </c:pt>
                <c:pt idx="487">
                  <c:v>40756</c:v>
                </c:pt>
                <c:pt idx="488">
                  <c:v>40787</c:v>
                </c:pt>
                <c:pt idx="489">
                  <c:v>40817</c:v>
                </c:pt>
                <c:pt idx="490">
                  <c:v>40848</c:v>
                </c:pt>
                <c:pt idx="491">
                  <c:v>40878</c:v>
                </c:pt>
                <c:pt idx="492">
                  <c:v>40909</c:v>
                </c:pt>
                <c:pt idx="493">
                  <c:v>40940</c:v>
                </c:pt>
                <c:pt idx="494">
                  <c:v>40969</c:v>
                </c:pt>
                <c:pt idx="495">
                  <c:v>41000</c:v>
                </c:pt>
                <c:pt idx="496">
                  <c:v>41030</c:v>
                </c:pt>
                <c:pt idx="497">
                  <c:v>41061</c:v>
                </c:pt>
                <c:pt idx="498">
                  <c:v>41091</c:v>
                </c:pt>
                <c:pt idx="499">
                  <c:v>41122</c:v>
                </c:pt>
                <c:pt idx="500">
                  <c:v>41153</c:v>
                </c:pt>
                <c:pt idx="501">
                  <c:v>41183</c:v>
                </c:pt>
                <c:pt idx="502">
                  <c:v>41214</c:v>
                </c:pt>
                <c:pt idx="503">
                  <c:v>41244</c:v>
                </c:pt>
                <c:pt idx="504">
                  <c:v>41275</c:v>
                </c:pt>
                <c:pt idx="505">
                  <c:v>41306</c:v>
                </c:pt>
                <c:pt idx="506">
                  <c:v>41334</c:v>
                </c:pt>
                <c:pt idx="507">
                  <c:v>41365</c:v>
                </c:pt>
                <c:pt idx="508">
                  <c:v>41395</c:v>
                </c:pt>
                <c:pt idx="509">
                  <c:v>41426</c:v>
                </c:pt>
                <c:pt idx="510">
                  <c:v>41456</c:v>
                </c:pt>
                <c:pt idx="511">
                  <c:v>41487</c:v>
                </c:pt>
                <c:pt idx="512">
                  <c:v>41518</c:v>
                </c:pt>
                <c:pt idx="513">
                  <c:v>41548</c:v>
                </c:pt>
                <c:pt idx="514">
                  <c:v>41579</c:v>
                </c:pt>
                <c:pt idx="515">
                  <c:v>41609</c:v>
                </c:pt>
                <c:pt idx="516">
                  <c:v>41640</c:v>
                </c:pt>
                <c:pt idx="517">
                  <c:v>41671</c:v>
                </c:pt>
                <c:pt idx="518">
                  <c:v>41699</c:v>
                </c:pt>
                <c:pt idx="519">
                  <c:v>41730</c:v>
                </c:pt>
                <c:pt idx="520">
                  <c:v>41760</c:v>
                </c:pt>
                <c:pt idx="521">
                  <c:v>41791</c:v>
                </c:pt>
                <c:pt idx="522">
                  <c:v>41821</c:v>
                </c:pt>
                <c:pt idx="523">
                  <c:v>41852</c:v>
                </c:pt>
                <c:pt idx="524">
                  <c:v>41883</c:v>
                </c:pt>
                <c:pt idx="525">
                  <c:v>41913</c:v>
                </c:pt>
                <c:pt idx="526">
                  <c:v>41944</c:v>
                </c:pt>
                <c:pt idx="527">
                  <c:v>41974</c:v>
                </c:pt>
                <c:pt idx="528">
                  <c:v>42005</c:v>
                </c:pt>
                <c:pt idx="529">
                  <c:v>42036</c:v>
                </c:pt>
                <c:pt idx="530">
                  <c:v>42064</c:v>
                </c:pt>
                <c:pt idx="531">
                  <c:v>42095</c:v>
                </c:pt>
                <c:pt idx="532">
                  <c:v>42125</c:v>
                </c:pt>
                <c:pt idx="533">
                  <c:v>42156</c:v>
                </c:pt>
                <c:pt idx="534">
                  <c:v>42186</c:v>
                </c:pt>
                <c:pt idx="535">
                  <c:v>42217</c:v>
                </c:pt>
                <c:pt idx="536">
                  <c:v>42248</c:v>
                </c:pt>
                <c:pt idx="537">
                  <c:v>42278</c:v>
                </c:pt>
                <c:pt idx="538">
                  <c:v>42309</c:v>
                </c:pt>
                <c:pt idx="539">
                  <c:v>42339</c:v>
                </c:pt>
                <c:pt idx="540">
                  <c:v>42370</c:v>
                </c:pt>
                <c:pt idx="541">
                  <c:v>42401</c:v>
                </c:pt>
                <c:pt idx="542">
                  <c:v>42430</c:v>
                </c:pt>
                <c:pt idx="543">
                  <c:v>42461</c:v>
                </c:pt>
                <c:pt idx="544">
                  <c:v>42491</c:v>
                </c:pt>
                <c:pt idx="545">
                  <c:v>42522</c:v>
                </c:pt>
                <c:pt idx="546">
                  <c:v>42552</c:v>
                </c:pt>
                <c:pt idx="547">
                  <c:v>42583</c:v>
                </c:pt>
                <c:pt idx="548">
                  <c:v>42614</c:v>
                </c:pt>
                <c:pt idx="549">
                  <c:v>42644</c:v>
                </c:pt>
                <c:pt idx="550">
                  <c:v>42675</c:v>
                </c:pt>
                <c:pt idx="551">
                  <c:v>42705</c:v>
                </c:pt>
                <c:pt idx="552">
                  <c:v>42736</c:v>
                </c:pt>
                <c:pt idx="553">
                  <c:v>42767</c:v>
                </c:pt>
                <c:pt idx="554">
                  <c:v>42795</c:v>
                </c:pt>
                <c:pt idx="555">
                  <c:v>42826</c:v>
                </c:pt>
                <c:pt idx="556">
                  <c:v>42856</c:v>
                </c:pt>
                <c:pt idx="557">
                  <c:v>42887</c:v>
                </c:pt>
                <c:pt idx="558">
                  <c:v>42917</c:v>
                </c:pt>
                <c:pt idx="559">
                  <c:v>42948</c:v>
                </c:pt>
                <c:pt idx="560">
                  <c:v>42979</c:v>
                </c:pt>
                <c:pt idx="561">
                  <c:v>43009</c:v>
                </c:pt>
                <c:pt idx="562">
                  <c:v>43040</c:v>
                </c:pt>
                <c:pt idx="563">
                  <c:v>43070</c:v>
                </c:pt>
                <c:pt idx="564">
                  <c:v>43101</c:v>
                </c:pt>
                <c:pt idx="565">
                  <c:v>43132</c:v>
                </c:pt>
                <c:pt idx="566">
                  <c:v>43160</c:v>
                </c:pt>
                <c:pt idx="567">
                  <c:v>43191</c:v>
                </c:pt>
                <c:pt idx="568">
                  <c:v>43221</c:v>
                </c:pt>
                <c:pt idx="569">
                  <c:v>43252</c:v>
                </c:pt>
                <c:pt idx="570">
                  <c:v>43282</c:v>
                </c:pt>
                <c:pt idx="571">
                  <c:v>43313</c:v>
                </c:pt>
                <c:pt idx="572">
                  <c:v>43344</c:v>
                </c:pt>
                <c:pt idx="573">
                  <c:v>43374</c:v>
                </c:pt>
                <c:pt idx="574">
                  <c:v>43405</c:v>
                </c:pt>
                <c:pt idx="575">
                  <c:v>43435</c:v>
                </c:pt>
                <c:pt idx="576">
                  <c:v>43466</c:v>
                </c:pt>
                <c:pt idx="577">
                  <c:v>43497</c:v>
                </c:pt>
                <c:pt idx="578">
                  <c:v>43525</c:v>
                </c:pt>
                <c:pt idx="579">
                  <c:v>43556</c:v>
                </c:pt>
                <c:pt idx="580">
                  <c:v>43586</c:v>
                </c:pt>
                <c:pt idx="581">
                  <c:v>43617</c:v>
                </c:pt>
                <c:pt idx="582">
                  <c:v>43647</c:v>
                </c:pt>
                <c:pt idx="583">
                  <c:v>43678</c:v>
                </c:pt>
                <c:pt idx="584">
                  <c:v>43709</c:v>
                </c:pt>
                <c:pt idx="585">
                  <c:v>43739</c:v>
                </c:pt>
                <c:pt idx="586">
                  <c:v>43770</c:v>
                </c:pt>
                <c:pt idx="587">
                  <c:v>43800</c:v>
                </c:pt>
                <c:pt idx="588">
                  <c:v>43831</c:v>
                </c:pt>
                <c:pt idx="589">
                  <c:v>43862</c:v>
                </c:pt>
                <c:pt idx="590">
                  <c:v>43891</c:v>
                </c:pt>
                <c:pt idx="591">
                  <c:v>43922</c:v>
                </c:pt>
                <c:pt idx="592">
                  <c:v>43952</c:v>
                </c:pt>
                <c:pt idx="593">
                  <c:v>43983</c:v>
                </c:pt>
                <c:pt idx="594">
                  <c:v>44013</c:v>
                </c:pt>
                <c:pt idx="595">
                  <c:v>44044</c:v>
                </c:pt>
                <c:pt idx="596">
                  <c:v>44075</c:v>
                </c:pt>
                <c:pt idx="597">
                  <c:v>44105</c:v>
                </c:pt>
                <c:pt idx="598">
                  <c:v>44136</c:v>
                </c:pt>
                <c:pt idx="599">
                  <c:v>44166</c:v>
                </c:pt>
                <c:pt idx="600">
                  <c:v>44197</c:v>
                </c:pt>
                <c:pt idx="601">
                  <c:v>44228</c:v>
                </c:pt>
                <c:pt idx="602">
                  <c:v>44256</c:v>
                </c:pt>
                <c:pt idx="603">
                  <c:v>44287</c:v>
                </c:pt>
                <c:pt idx="604">
                  <c:v>44317</c:v>
                </c:pt>
                <c:pt idx="605">
                  <c:v>44348</c:v>
                </c:pt>
                <c:pt idx="606">
                  <c:v>44378</c:v>
                </c:pt>
                <c:pt idx="607">
                  <c:v>44409</c:v>
                </c:pt>
                <c:pt idx="608">
                  <c:v>44440</c:v>
                </c:pt>
                <c:pt idx="609">
                  <c:v>44470</c:v>
                </c:pt>
              </c:numCache>
            </c:numRef>
          </c:cat>
          <c:val>
            <c:numRef>
              <c:f>'PCE Core'!$F$149:$F$774</c:f>
              <c:numCache>
                <c:formatCode>General</c:formatCode>
                <c:ptCount val="626"/>
                <c:pt idx="0">
                  <c:v>4</c:v>
                </c:pt>
                <c:pt idx="1">
                  <c:v>3.5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5.75</c:v>
                </c:pt>
                <c:pt idx="8">
                  <c:v>5.13</c:v>
                </c:pt>
                <c:pt idx="9">
                  <c:v>5.13</c:v>
                </c:pt>
                <c:pt idx="10">
                  <c:v>4.5</c:v>
                </c:pt>
                <c:pt idx="11">
                  <c:v>3.5</c:v>
                </c:pt>
                <c:pt idx="12">
                  <c:v>3.5</c:v>
                </c:pt>
                <c:pt idx="13">
                  <c:v>3.5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6</c:v>
                </c:pt>
                <c:pt idx="25">
                  <c:v>6.75</c:v>
                </c:pt>
                <c:pt idx="26">
                  <c:v>7.25</c:v>
                </c:pt>
                <c:pt idx="27">
                  <c:v>7.25</c:v>
                </c:pt>
                <c:pt idx="28">
                  <c:v>8.25</c:v>
                </c:pt>
                <c:pt idx="29">
                  <c:v>8.5</c:v>
                </c:pt>
                <c:pt idx="30">
                  <c:v>10.5</c:v>
                </c:pt>
                <c:pt idx="31">
                  <c:v>11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10</c:v>
                </c:pt>
                <c:pt idx="39">
                  <c:v>10.75</c:v>
                </c:pt>
                <c:pt idx="40">
                  <c:v>13</c:v>
                </c:pt>
                <c:pt idx="41">
                  <c:v>13</c:v>
                </c:pt>
                <c:pt idx="42">
                  <c:v>9.25</c:v>
                </c:pt>
                <c:pt idx="43">
                  <c:v>9.25</c:v>
                </c:pt>
                <c:pt idx="44">
                  <c:v>9.25</c:v>
                </c:pt>
                <c:pt idx="45">
                  <c:v>9.25</c:v>
                </c:pt>
                <c:pt idx="46">
                  <c:v>9.25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5.5</c:v>
                </c:pt>
                <c:pt idx="51">
                  <c:v>5.25</c:v>
                </c:pt>
                <c:pt idx="52">
                  <c:v>5.25</c:v>
                </c:pt>
                <c:pt idx="53">
                  <c:v>6.5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4.88</c:v>
                </c:pt>
                <c:pt idx="58">
                  <c:v>4.88</c:v>
                </c:pt>
                <c:pt idx="59">
                  <c:v>4.88</c:v>
                </c:pt>
                <c:pt idx="60">
                  <c:v>4.75</c:v>
                </c:pt>
                <c:pt idx="61">
                  <c:v>4.75</c:v>
                </c:pt>
                <c:pt idx="62">
                  <c:v>4.75</c:v>
                </c:pt>
                <c:pt idx="63">
                  <c:v>4.88</c:v>
                </c:pt>
                <c:pt idx="64">
                  <c:v>5.5</c:v>
                </c:pt>
                <c:pt idx="65">
                  <c:v>5.5</c:v>
                </c:pt>
                <c:pt idx="66">
                  <c:v>5.13</c:v>
                </c:pt>
                <c:pt idx="67">
                  <c:v>5.13</c:v>
                </c:pt>
                <c:pt idx="68">
                  <c:v>5.13</c:v>
                </c:pt>
                <c:pt idx="69">
                  <c:v>5</c:v>
                </c:pt>
                <c:pt idx="70">
                  <c:v>4.75</c:v>
                </c:pt>
                <c:pt idx="71">
                  <c:v>5.88</c:v>
                </c:pt>
                <c:pt idx="72">
                  <c:v>5.88</c:v>
                </c:pt>
                <c:pt idx="73">
                  <c:v>5.88</c:v>
                </c:pt>
                <c:pt idx="74">
                  <c:v>5.88</c:v>
                </c:pt>
                <c:pt idx="75">
                  <c:v>5.88</c:v>
                </c:pt>
                <c:pt idx="76">
                  <c:v>5.88</c:v>
                </c:pt>
                <c:pt idx="77">
                  <c:v>5.88</c:v>
                </c:pt>
                <c:pt idx="78">
                  <c:v>5.88</c:v>
                </c:pt>
                <c:pt idx="79">
                  <c:v>6</c:v>
                </c:pt>
                <c:pt idx="80">
                  <c:v>6.25</c:v>
                </c:pt>
                <c:pt idx="81">
                  <c:v>6.5</c:v>
                </c:pt>
                <c:pt idx="82">
                  <c:v>6.5</c:v>
                </c:pt>
                <c:pt idx="83">
                  <c:v>6.5</c:v>
                </c:pt>
                <c:pt idx="84">
                  <c:v>6.75</c:v>
                </c:pt>
                <c:pt idx="85">
                  <c:v>6.75</c:v>
                </c:pt>
                <c:pt idx="86">
                  <c:v>6.75</c:v>
                </c:pt>
                <c:pt idx="87">
                  <c:v>7.25</c:v>
                </c:pt>
                <c:pt idx="88">
                  <c:v>7.5</c:v>
                </c:pt>
                <c:pt idx="89">
                  <c:v>7.75</c:v>
                </c:pt>
                <c:pt idx="90">
                  <c:v>7.88</c:v>
                </c:pt>
                <c:pt idx="91">
                  <c:v>8.25</c:v>
                </c:pt>
                <c:pt idx="92">
                  <c:v>8.75</c:v>
                </c:pt>
                <c:pt idx="93">
                  <c:v>9</c:v>
                </c:pt>
                <c:pt idx="94">
                  <c:v>9.8800000000000008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10.25</c:v>
                </c:pt>
                <c:pt idx="100">
                  <c:v>10.25</c:v>
                </c:pt>
                <c:pt idx="101">
                  <c:v>10.25</c:v>
                </c:pt>
                <c:pt idx="102">
                  <c:v>10.63</c:v>
                </c:pt>
                <c:pt idx="103">
                  <c:v>11.38</c:v>
                </c:pt>
                <c:pt idx="104">
                  <c:v>11.5</c:v>
                </c:pt>
                <c:pt idx="105">
                  <c:v>15.5</c:v>
                </c:pt>
                <c:pt idx="106">
                  <c:v>15.5</c:v>
                </c:pt>
                <c:pt idx="107">
                  <c:v>14</c:v>
                </c:pt>
                <c:pt idx="108">
                  <c:v>14</c:v>
                </c:pt>
                <c:pt idx="109">
                  <c:v>15</c:v>
                </c:pt>
                <c:pt idx="110">
                  <c:v>20</c:v>
                </c:pt>
                <c:pt idx="111">
                  <c:v>11.5</c:v>
                </c:pt>
                <c:pt idx="112">
                  <c:v>10.75</c:v>
                </c:pt>
                <c:pt idx="113">
                  <c:v>9.5</c:v>
                </c:pt>
                <c:pt idx="114">
                  <c:v>9.5</c:v>
                </c:pt>
                <c:pt idx="115">
                  <c:v>10</c:v>
                </c:pt>
                <c:pt idx="116">
                  <c:v>12</c:v>
                </c:pt>
                <c:pt idx="117">
                  <c:v>13.75</c:v>
                </c:pt>
                <c:pt idx="118">
                  <c:v>18</c:v>
                </c:pt>
                <c:pt idx="119">
                  <c:v>18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20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13</c:v>
                </c:pt>
                <c:pt idx="131">
                  <c:v>12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11.5</c:v>
                </c:pt>
                <c:pt idx="139">
                  <c:v>9.5</c:v>
                </c:pt>
                <c:pt idx="140">
                  <c:v>10</c:v>
                </c:pt>
                <c:pt idx="141">
                  <c:v>9.5</c:v>
                </c:pt>
                <c:pt idx="142">
                  <c:v>9</c:v>
                </c:pt>
                <c:pt idx="143">
                  <c:v>8.5</c:v>
                </c:pt>
                <c:pt idx="144">
                  <c:v>8.5</c:v>
                </c:pt>
                <c:pt idx="145">
                  <c:v>8.5</c:v>
                </c:pt>
                <c:pt idx="146">
                  <c:v>8.5</c:v>
                </c:pt>
                <c:pt idx="147">
                  <c:v>8.5</c:v>
                </c:pt>
                <c:pt idx="148">
                  <c:v>9.6300000000000008</c:v>
                </c:pt>
                <c:pt idx="149">
                  <c:v>9.6300000000000008</c:v>
                </c:pt>
                <c:pt idx="150">
                  <c:v>9.6300000000000008</c:v>
                </c:pt>
                <c:pt idx="151">
                  <c:v>9.6300000000000008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10.5</c:v>
                </c:pt>
                <c:pt idx="159">
                  <c:v>10.5</c:v>
                </c:pt>
                <c:pt idx="160">
                  <c:v>10.5</c:v>
                </c:pt>
                <c:pt idx="161">
                  <c:v>10.5</c:v>
                </c:pt>
                <c:pt idx="162">
                  <c:v>11</c:v>
                </c:pt>
                <c:pt idx="163">
                  <c:v>11.75</c:v>
                </c:pt>
                <c:pt idx="164">
                  <c:v>11.75</c:v>
                </c:pt>
                <c:pt idx="165">
                  <c:v>10</c:v>
                </c:pt>
                <c:pt idx="166">
                  <c:v>9</c:v>
                </c:pt>
                <c:pt idx="167">
                  <c:v>8.25</c:v>
                </c:pt>
                <c:pt idx="168">
                  <c:v>8.25</c:v>
                </c:pt>
                <c:pt idx="169">
                  <c:v>9</c:v>
                </c:pt>
                <c:pt idx="170">
                  <c:v>8.5</c:v>
                </c:pt>
                <c:pt idx="171">
                  <c:v>8.25</c:v>
                </c:pt>
                <c:pt idx="172">
                  <c:v>7.75</c:v>
                </c:pt>
                <c:pt idx="173">
                  <c:v>7.75</c:v>
                </c:pt>
                <c:pt idx="174">
                  <c:v>7.75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7.75</c:v>
                </c:pt>
                <c:pt idx="180">
                  <c:v>7.75</c:v>
                </c:pt>
                <c:pt idx="181">
                  <c:v>7.75</c:v>
                </c:pt>
                <c:pt idx="182">
                  <c:v>7.25</c:v>
                </c:pt>
                <c:pt idx="183">
                  <c:v>6.75</c:v>
                </c:pt>
                <c:pt idx="184">
                  <c:v>6.88</c:v>
                </c:pt>
                <c:pt idx="185">
                  <c:v>6.88</c:v>
                </c:pt>
                <c:pt idx="186">
                  <c:v>6.38</c:v>
                </c:pt>
                <c:pt idx="187">
                  <c:v>5.88</c:v>
                </c:pt>
                <c:pt idx="188">
                  <c:v>5.88</c:v>
                </c:pt>
                <c:pt idx="189">
                  <c:v>5.88</c:v>
                </c:pt>
                <c:pt idx="190">
                  <c:v>5.88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6.5</c:v>
                </c:pt>
                <c:pt idx="196">
                  <c:v>6.75</c:v>
                </c:pt>
                <c:pt idx="197">
                  <c:v>6.75</c:v>
                </c:pt>
                <c:pt idx="198">
                  <c:v>6.75</c:v>
                </c:pt>
                <c:pt idx="199">
                  <c:v>6.75</c:v>
                </c:pt>
                <c:pt idx="200">
                  <c:v>7.25</c:v>
                </c:pt>
                <c:pt idx="201">
                  <c:v>6.88</c:v>
                </c:pt>
                <c:pt idx="202">
                  <c:v>6.88</c:v>
                </c:pt>
                <c:pt idx="203">
                  <c:v>6.88</c:v>
                </c:pt>
                <c:pt idx="204">
                  <c:v>6.63</c:v>
                </c:pt>
                <c:pt idx="205">
                  <c:v>6.5</c:v>
                </c:pt>
                <c:pt idx="206">
                  <c:v>6.75</c:v>
                </c:pt>
                <c:pt idx="207">
                  <c:v>6.75</c:v>
                </c:pt>
                <c:pt idx="208">
                  <c:v>7.25</c:v>
                </c:pt>
                <c:pt idx="209">
                  <c:v>7.5</c:v>
                </c:pt>
                <c:pt idx="210">
                  <c:v>7.75</c:v>
                </c:pt>
                <c:pt idx="211">
                  <c:v>8.25</c:v>
                </c:pt>
                <c:pt idx="212">
                  <c:v>8.25</c:v>
                </c:pt>
                <c:pt idx="213">
                  <c:v>8.25</c:v>
                </c:pt>
                <c:pt idx="214">
                  <c:v>8.3800000000000008</c:v>
                </c:pt>
                <c:pt idx="215">
                  <c:v>8.75</c:v>
                </c:pt>
                <c:pt idx="216">
                  <c:v>8.75</c:v>
                </c:pt>
                <c:pt idx="217">
                  <c:v>9.75</c:v>
                </c:pt>
                <c:pt idx="218">
                  <c:v>9.75</c:v>
                </c:pt>
                <c:pt idx="219">
                  <c:v>9.75</c:v>
                </c:pt>
                <c:pt idx="220">
                  <c:v>9.75</c:v>
                </c:pt>
                <c:pt idx="221">
                  <c:v>9.6300000000000008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8.5</c:v>
                </c:pt>
                <c:pt idx="226">
                  <c:v>8.5</c:v>
                </c:pt>
                <c:pt idx="227">
                  <c:v>8.25</c:v>
                </c:pt>
                <c:pt idx="228">
                  <c:v>8.25</c:v>
                </c:pt>
                <c:pt idx="229">
                  <c:v>8.25</c:v>
                </c:pt>
                <c:pt idx="230">
                  <c:v>8.25</c:v>
                </c:pt>
                <c:pt idx="231">
                  <c:v>8.25</c:v>
                </c:pt>
                <c:pt idx="232">
                  <c:v>8.25</c:v>
                </c:pt>
                <c:pt idx="233">
                  <c:v>8.25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7.75</c:v>
                </c:pt>
                <c:pt idx="238">
                  <c:v>7.5</c:v>
                </c:pt>
                <c:pt idx="239">
                  <c:v>7</c:v>
                </c:pt>
                <c:pt idx="240">
                  <c:v>6.75</c:v>
                </c:pt>
                <c:pt idx="241">
                  <c:v>6.25</c:v>
                </c:pt>
                <c:pt idx="242">
                  <c:v>6</c:v>
                </c:pt>
                <c:pt idx="243">
                  <c:v>5.75</c:v>
                </c:pt>
                <c:pt idx="244">
                  <c:v>5.75</c:v>
                </c:pt>
                <c:pt idx="245">
                  <c:v>5.75</c:v>
                </c:pt>
                <c:pt idx="246">
                  <c:v>5.75</c:v>
                </c:pt>
                <c:pt idx="247">
                  <c:v>5.5</c:v>
                </c:pt>
                <c:pt idx="248">
                  <c:v>5.25</c:v>
                </c:pt>
                <c:pt idx="249">
                  <c:v>5</c:v>
                </c:pt>
                <c:pt idx="250">
                  <c:v>4.75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3.75</c:v>
                </c:pt>
                <c:pt idx="256">
                  <c:v>3.75</c:v>
                </c:pt>
                <c:pt idx="257">
                  <c:v>3.75</c:v>
                </c:pt>
                <c:pt idx="258">
                  <c:v>3.25</c:v>
                </c:pt>
                <c:pt idx="259">
                  <c:v>3.25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3.25</c:v>
                </c:pt>
                <c:pt idx="278">
                  <c:v>3.5</c:v>
                </c:pt>
                <c:pt idx="279">
                  <c:v>3.75</c:v>
                </c:pt>
                <c:pt idx="280">
                  <c:v>4.25</c:v>
                </c:pt>
                <c:pt idx="281">
                  <c:v>4.25</c:v>
                </c:pt>
                <c:pt idx="282">
                  <c:v>4.25</c:v>
                </c:pt>
                <c:pt idx="283">
                  <c:v>4.75</c:v>
                </c:pt>
                <c:pt idx="284">
                  <c:v>4.75</c:v>
                </c:pt>
                <c:pt idx="285">
                  <c:v>4.75</c:v>
                </c:pt>
                <c:pt idx="286">
                  <c:v>5.5</c:v>
                </c:pt>
                <c:pt idx="287">
                  <c:v>5.5</c:v>
                </c:pt>
                <c:pt idx="288">
                  <c:v>5.5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</c:v>
                </c:pt>
                <c:pt idx="294">
                  <c:v>5.75</c:v>
                </c:pt>
                <c:pt idx="295">
                  <c:v>5.75</c:v>
                </c:pt>
                <c:pt idx="296">
                  <c:v>5.75</c:v>
                </c:pt>
                <c:pt idx="297">
                  <c:v>5.75</c:v>
                </c:pt>
                <c:pt idx="298">
                  <c:v>5.75</c:v>
                </c:pt>
                <c:pt idx="299">
                  <c:v>5.5</c:v>
                </c:pt>
                <c:pt idx="300">
                  <c:v>5.25</c:v>
                </c:pt>
                <c:pt idx="301">
                  <c:v>5.25</c:v>
                </c:pt>
                <c:pt idx="302">
                  <c:v>5.25</c:v>
                </c:pt>
                <c:pt idx="303">
                  <c:v>5.25</c:v>
                </c:pt>
                <c:pt idx="304">
                  <c:v>5.25</c:v>
                </c:pt>
                <c:pt idx="305">
                  <c:v>5.25</c:v>
                </c:pt>
                <c:pt idx="306">
                  <c:v>5.25</c:v>
                </c:pt>
                <c:pt idx="307">
                  <c:v>5.25</c:v>
                </c:pt>
                <c:pt idx="308">
                  <c:v>5.25</c:v>
                </c:pt>
                <c:pt idx="309">
                  <c:v>5.25</c:v>
                </c:pt>
                <c:pt idx="310">
                  <c:v>5.25</c:v>
                </c:pt>
                <c:pt idx="311">
                  <c:v>5.25</c:v>
                </c:pt>
                <c:pt idx="312">
                  <c:v>5.25</c:v>
                </c:pt>
                <c:pt idx="313">
                  <c:v>5.25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5.5</c:v>
                </c:pt>
                <c:pt idx="323">
                  <c:v>5.5</c:v>
                </c:pt>
                <c:pt idx="324">
                  <c:v>5.5</c:v>
                </c:pt>
                <c:pt idx="325">
                  <c:v>5.5</c:v>
                </c:pt>
                <c:pt idx="326">
                  <c:v>5.5</c:v>
                </c:pt>
                <c:pt idx="327">
                  <c:v>5.5</c:v>
                </c:pt>
                <c:pt idx="328">
                  <c:v>5.5</c:v>
                </c:pt>
                <c:pt idx="329">
                  <c:v>5.5</c:v>
                </c:pt>
                <c:pt idx="330">
                  <c:v>5.5</c:v>
                </c:pt>
                <c:pt idx="331">
                  <c:v>5.5</c:v>
                </c:pt>
                <c:pt idx="332">
                  <c:v>5.25</c:v>
                </c:pt>
                <c:pt idx="333">
                  <c:v>5</c:v>
                </c:pt>
                <c:pt idx="334">
                  <c:v>4.75</c:v>
                </c:pt>
                <c:pt idx="335">
                  <c:v>4.75</c:v>
                </c:pt>
                <c:pt idx="336">
                  <c:v>4.75</c:v>
                </c:pt>
                <c:pt idx="337">
                  <c:v>4.75</c:v>
                </c:pt>
                <c:pt idx="338">
                  <c:v>4.75</c:v>
                </c:pt>
                <c:pt idx="339">
                  <c:v>4.75</c:v>
                </c:pt>
                <c:pt idx="340">
                  <c:v>4.75</c:v>
                </c:pt>
                <c:pt idx="341">
                  <c:v>5</c:v>
                </c:pt>
                <c:pt idx="342">
                  <c:v>5</c:v>
                </c:pt>
                <c:pt idx="343">
                  <c:v>5.25</c:v>
                </c:pt>
                <c:pt idx="344">
                  <c:v>5.25</c:v>
                </c:pt>
                <c:pt idx="345">
                  <c:v>5.25</c:v>
                </c:pt>
                <c:pt idx="346">
                  <c:v>5.5</c:v>
                </c:pt>
                <c:pt idx="347">
                  <c:v>5.5</c:v>
                </c:pt>
                <c:pt idx="348">
                  <c:v>5.5</c:v>
                </c:pt>
                <c:pt idx="349">
                  <c:v>5.75</c:v>
                </c:pt>
                <c:pt idx="350">
                  <c:v>6</c:v>
                </c:pt>
                <c:pt idx="351">
                  <c:v>6</c:v>
                </c:pt>
                <c:pt idx="352">
                  <c:v>6.5</c:v>
                </c:pt>
                <c:pt idx="353">
                  <c:v>6.5</c:v>
                </c:pt>
                <c:pt idx="354">
                  <c:v>6.5</c:v>
                </c:pt>
                <c:pt idx="355">
                  <c:v>6.5</c:v>
                </c:pt>
                <c:pt idx="356">
                  <c:v>6.5</c:v>
                </c:pt>
                <c:pt idx="357">
                  <c:v>6.5</c:v>
                </c:pt>
                <c:pt idx="358">
                  <c:v>6.5</c:v>
                </c:pt>
                <c:pt idx="359">
                  <c:v>6.5</c:v>
                </c:pt>
                <c:pt idx="360">
                  <c:v>5.5</c:v>
                </c:pt>
                <c:pt idx="361">
                  <c:v>5.5</c:v>
                </c:pt>
                <c:pt idx="362">
                  <c:v>5</c:v>
                </c:pt>
                <c:pt idx="363">
                  <c:v>4.5</c:v>
                </c:pt>
                <c:pt idx="364">
                  <c:v>4</c:v>
                </c:pt>
                <c:pt idx="365">
                  <c:v>3.75</c:v>
                </c:pt>
                <c:pt idx="366">
                  <c:v>3.75</c:v>
                </c:pt>
                <c:pt idx="367">
                  <c:v>3.5</c:v>
                </c:pt>
                <c:pt idx="368">
                  <c:v>3</c:v>
                </c:pt>
                <c:pt idx="369">
                  <c:v>2.5</c:v>
                </c:pt>
                <c:pt idx="370">
                  <c:v>2</c:v>
                </c:pt>
                <c:pt idx="371">
                  <c:v>1.75</c:v>
                </c:pt>
                <c:pt idx="372">
                  <c:v>1.75</c:v>
                </c:pt>
                <c:pt idx="373">
                  <c:v>1.75</c:v>
                </c:pt>
                <c:pt idx="374">
                  <c:v>1.75</c:v>
                </c:pt>
                <c:pt idx="375">
                  <c:v>1.75</c:v>
                </c:pt>
                <c:pt idx="376">
                  <c:v>1.75</c:v>
                </c:pt>
                <c:pt idx="377">
                  <c:v>1.75</c:v>
                </c:pt>
                <c:pt idx="378">
                  <c:v>1.75</c:v>
                </c:pt>
                <c:pt idx="379">
                  <c:v>1.75</c:v>
                </c:pt>
                <c:pt idx="380">
                  <c:v>1.75</c:v>
                </c:pt>
                <c:pt idx="381">
                  <c:v>1.75</c:v>
                </c:pt>
                <c:pt idx="382">
                  <c:v>1.25</c:v>
                </c:pt>
                <c:pt idx="383">
                  <c:v>1.25</c:v>
                </c:pt>
                <c:pt idx="384">
                  <c:v>1.25</c:v>
                </c:pt>
                <c:pt idx="385">
                  <c:v>1.25</c:v>
                </c:pt>
                <c:pt idx="386">
                  <c:v>1.25</c:v>
                </c:pt>
                <c:pt idx="387">
                  <c:v>1.25</c:v>
                </c:pt>
                <c:pt idx="388">
                  <c:v>1.25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1.25</c:v>
                </c:pt>
                <c:pt idx="402">
                  <c:v>1.25</c:v>
                </c:pt>
                <c:pt idx="403">
                  <c:v>1.5</c:v>
                </c:pt>
                <c:pt idx="404">
                  <c:v>1.75</c:v>
                </c:pt>
                <c:pt idx="405">
                  <c:v>1.75</c:v>
                </c:pt>
                <c:pt idx="406">
                  <c:v>2</c:v>
                </c:pt>
                <c:pt idx="407">
                  <c:v>2.25</c:v>
                </c:pt>
                <c:pt idx="408">
                  <c:v>2.25</c:v>
                </c:pt>
                <c:pt idx="409">
                  <c:v>2.5</c:v>
                </c:pt>
                <c:pt idx="410">
                  <c:v>2.75</c:v>
                </c:pt>
                <c:pt idx="411">
                  <c:v>2.75</c:v>
                </c:pt>
                <c:pt idx="412">
                  <c:v>3</c:v>
                </c:pt>
                <c:pt idx="413">
                  <c:v>3.25</c:v>
                </c:pt>
                <c:pt idx="414">
                  <c:v>3.25</c:v>
                </c:pt>
                <c:pt idx="415">
                  <c:v>3.5</c:v>
                </c:pt>
                <c:pt idx="416">
                  <c:v>3.75</c:v>
                </c:pt>
                <c:pt idx="417">
                  <c:v>3.75</c:v>
                </c:pt>
                <c:pt idx="418">
                  <c:v>4</c:v>
                </c:pt>
                <c:pt idx="419">
                  <c:v>4.25</c:v>
                </c:pt>
                <c:pt idx="420">
                  <c:v>4.5</c:v>
                </c:pt>
                <c:pt idx="421">
                  <c:v>4.5</c:v>
                </c:pt>
                <c:pt idx="422">
                  <c:v>4.75</c:v>
                </c:pt>
                <c:pt idx="423">
                  <c:v>4.75</c:v>
                </c:pt>
                <c:pt idx="424">
                  <c:v>5</c:v>
                </c:pt>
                <c:pt idx="425">
                  <c:v>5.25</c:v>
                </c:pt>
                <c:pt idx="426">
                  <c:v>5.25</c:v>
                </c:pt>
                <c:pt idx="427">
                  <c:v>5.25</c:v>
                </c:pt>
                <c:pt idx="428">
                  <c:v>5.25</c:v>
                </c:pt>
                <c:pt idx="429">
                  <c:v>5.25</c:v>
                </c:pt>
                <c:pt idx="430">
                  <c:v>5.25</c:v>
                </c:pt>
                <c:pt idx="431">
                  <c:v>5.25</c:v>
                </c:pt>
                <c:pt idx="432">
                  <c:v>5.25</c:v>
                </c:pt>
                <c:pt idx="433">
                  <c:v>5.25</c:v>
                </c:pt>
                <c:pt idx="434">
                  <c:v>5.25</c:v>
                </c:pt>
                <c:pt idx="435">
                  <c:v>5.25</c:v>
                </c:pt>
                <c:pt idx="436">
                  <c:v>5.25</c:v>
                </c:pt>
                <c:pt idx="437">
                  <c:v>5.25</c:v>
                </c:pt>
                <c:pt idx="438">
                  <c:v>5.25</c:v>
                </c:pt>
                <c:pt idx="439">
                  <c:v>5.25</c:v>
                </c:pt>
                <c:pt idx="440">
                  <c:v>4.75</c:v>
                </c:pt>
                <c:pt idx="441">
                  <c:v>4.5</c:v>
                </c:pt>
                <c:pt idx="442">
                  <c:v>4.5</c:v>
                </c:pt>
                <c:pt idx="443">
                  <c:v>4.25</c:v>
                </c:pt>
                <c:pt idx="444">
                  <c:v>3</c:v>
                </c:pt>
                <c:pt idx="445">
                  <c:v>3</c:v>
                </c:pt>
                <c:pt idx="446">
                  <c:v>2.25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1</c:v>
                </c:pt>
                <c:pt idx="454">
                  <c:v>1</c:v>
                </c:pt>
                <c:pt idx="455">
                  <c:v>0.25</c:v>
                </c:pt>
                <c:pt idx="456">
                  <c:v>0.25</c:v>
                </c:pt>
                <c:pt idx="457">
                  <c:v>0.25</c:v>
                </c:pt>
                <c:pt idx="458">
                  <c:v>0.25</c:v>
                </c:pt>
                <c:pt idx="459">
                  <c:v>0.25</c:v>
                </c:pt>
                <c:pt idx="460">
                  <c:v>0.25</c:v>
                </c:pt>
                <c:pt idx="461">
                  <c:v>0.25</c:v>
                </c:pt>
                <c:pt idx="462">
                  <c:v>0.25</c:v>
                </c:pt>
                <c:pt idx="463">
                  <c:v>0.25</c:v>
                </c:pt>
                <c:pt idx="464">
                  <c:v>0.25</c:v>
                </c:pt>
                <c:pt idx="465">
                  <c:v>0.25</c:v>
                </c:pt>
                <c:pt idx="466">
                  <c:v>0.25</c:v>
                </c:pt>
                <c:pt idx="467">
                  <c:v>0.25</c:v>
                </c:pt>
                <c:pt idx="468">
                  <c:v>0.25</c:v>
                </c:pt>
                <c:pt idx="469">
                  <c:v>0.25</c:v>
                </c:pt>
                <c:pt idx="470">
                  <c:v>0.25</c:v>
                </c:pt>
                <c:pt idx="471">
                  <c:v>0.25</c:v>
                </c:pt>
                <c:pt idx="472">
                  <c:v>0.25</c:v>
                </c:pt>
                <c:pt idx="473">
                  <c:v>0.25</c:v>
                </c:pt>
                <c:pt idx="474">
                  <c:v>0.25</c:v>
                </c:pt>
                <c:pt idx="475">
                  <c:v>0.25</c:v>
                </c:pt>
                <c:pt idx="476">
                  <c:v>0.25</c:v>
                </c:pt>
                <c:pt idx="477">
                  <c:v>0.25</c:v>
                </c:pt>
                <c:pt idx="478">
                  <c:v>0.25</c:v>
                </c:pt>
                <c:pt idx="479">
                  <c:v>0.25</c:v>
                </c:pt>
                <c:pt idx="480">
                  <c:v>0.25</c:v>
                </c:pt>
                <c:pt idx="481">
                  <c:v>0.25</c:v>
                </c:pt>
                <c:pt idx="482">
                  <c:v>0.25</c:v>
                </c:pt>
                <c:pt idx="483">
                  <c:v>0.25</c:v>
                </c:pt>
                <c:pt idx="484">
                  <c:v>0.25</c:v>
                </c:pt>
                <c:pt idx="485">
                  <c:v>0.25</c:v>
                </c:pt>
                <c:pt idx="486">
                  <c:v>0.25</c:v>
                </c:pt>
                <c:pt idx="487">
                  <c:v>0.25</c:v>
                </c:pt>
                <c:pt idx="488">
                  <c:v>0.25</c:v>
                </c:pt>
                <c:pt idx="489">
                  <c:v>0.25</c:v>
                </c:pt>
                <c:pt idx="490">
                  <c:v>0.25</c:v>
                </c:pt>
                <c:pt idx="491">
                  <c:v>0.25</c:v>
                </c:pt>
                <c:pt idx="492">
                  <c:v>0.25</c:v>
                </c:pt>
                <c:pt idx="493">
                  <c:v>0.25</c:v>
                </c:pt>
                <c:pt idx="494">
                  <c:v>0.25</c:v>
                </c:pt>
                <c:pt idx="495">
                  <c:v>0.25</c:v>
                </c:pt>
                <c:pt idx="496">
                  <c:v>0.25</c:v>
                </c:pt>
                <c:pt idx="497">
                  <c:v>0.25</c:v>
                </c:pt>
                <c:pt idx="498">
                  <c:v>0.25</c:v>
                </c:pt>
                <c:pt idx="499">
                  <c:v>0.25</c:v>
                </c:pt>
                <c:pt idx="500">
                  <c:v>0.25</c:v>
                </c:pt>
                <c:pt idx="501">
                  <c:v>0.25</c:v>
                </c:pt>
                <c:pt idx="502">
                  <c:v>0.25</c:v>
                </c:pt>
                <c:pt idx="503">
                  <c:v>0.25</c:v>
                </c:pt>
                <c:pt idx="504">
                  <c:v>0.25</c:v>
                </c:pt>
                <c:pt idx="505">
                  <c:v>0.25</c:v>
                </c:pt>
                <c:pt idx="506">
                  <c:v>0.25</c:v>
                </c:pt>
                <c:pt idx="507">
                  <c:v>0.25</c:v>
                </c:pt>
                <c:pt idx="508">
                  <c:v>0.25</c:v>
                </c:pt>
                <c:pt idx="509">
                  <c:v>0.25</c:v>
                </c:pt>
                <c:pt idx="510">
                  <c:v>0.25</c:v>
                </c:pt>
                <c:pt idx="511">
                  <c:v>0.25</c:v>
                </c:pt>
                <c:pt idx="512">
                  <c:v>0.25</c:v>
                </c:pt>
                <c:pt idx="513">
                  <c:v>0.25</c:v>
                </c:pt>
                <c:pt idx="514">
                  <c:v>0.25</c:v>
                </c:pt>
                <c:pt idx="515">
                  <c:v>0.25</c:v>
                </c:pt>
                <c:pt idx="516">
                  <c:v>0.25</c:v>
                </c:pt>
                <c:pt idx="517">
                  <c:v>0.25</c:v>
                </c:pt>
                <c:pt idx="518">
                  <c:v>0.25</c:v>
                </c:pt>
                <c:pt idx="519">
                  <c:v>0.25</c:v>
                </c:pt>
                <c:pt idx="520">
                  <c:v>0.25</c:v>
                </c:pt>
                <c:pt idx="521">
                  <c:v>0.25</c:v>
                </c:pt>
                <c:pt idx="522">
                  <c:v>0.25</c:v>
                </c:pt>
                <c:pt idx="523">
                  <c:v>0.25</c:v>
                </c:pt>
                <c:pt idx="524">
                  <c:v>0.25</c:v>
                </c:pt>
                <c:pt idx="525">
                  <c:v>0.25</c:v>
                </c:pt>
                <c:pt idx="526">
                  <c:v>0.25</c:v>
                </c:pt>
                <c:pt idx="527">
                  <c:v>0.25</c:v>
                </c:pt>
                <c:pt idx="528">
                  <c:v>0.25</c:v>
                </c:pt>
                <c:pt idx="529">
                  <c:v>0.25</c:v>
                </c:pt>
                <c:pt idx="530">
                  <c:v>0.25</c:v>
                </c:pt>
                <c:pt idx="531">
                  <c:v>0.25</c:v>
                </c:pt>
                <c:pt idx="532">
                  <c:v>0.25</c:v>
                </c:pt>
                <c:pt idx="533">
                  <c:v>0.25</c:v>
                </c:pt>
                <c:pt idx="534">
                  <c:v>0.25</c:v>
                </c:pt>
                <c:pt idx="535">
                  <c:v>0.25</c:v>
                </c:pt>
                <c:pt idx="536">
                  <c:v>0.25</c:v>
                </c:pt>
                <c:pt idx="537">
                  <c:v>0.25</c:v>
                </c:pt>
                <c:pt idx="538">
                  <c:v>0.25</c:v>
                </c:pt>
                <c:pt idx="539">
                  <c:v>0.25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0.75</c:v>
                </c:pt>
                <c:pt idx="553">
                  <c:v>0.75</c:v>
                </c:pt>
                <c:pt idx="554">
                  <c:v>0.75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1.25</c:v>
                </c:pt>
                <c:pt idx="559">
                  <c:v>1.25</c:v>
                </c:pt>
                <c:pt idx="560">
                  <c:v>1.25</c:v>
                </c:pt>
                <c:pt idx="561">
                  <c:v>1.25</c:v>
                </c:pt>
                <c:pt idx="562">
                  <c:v>1.25</c:v>
                </c:pt>
                <c:pt idx="563">
                  <c:v>1.25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1.75</c:v>
                </c:pt>
                <c:pt idx="568">
                  <c:v>1.75</c:v>
                </c:pt>
                <c:pt idx="569">
                  <c:v>1.75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2.25</c:v>
                </c:pt>
                <c:pt idx="574">
                  <c:v>2.25</c:v>
                </c:pt>
                <c:pt idx="575">
                  <c:v>2.25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2.5</c:v>
                </c:pt>
                <c:pt idx="580">
                  <c:v>2.5</c:v>
                </c:pt>
                <c:pt idx="581">
                  <c:v>2.5</c:v>
                </c:pt>
                <c:pt idx="582">
                  <c:v>2.5</c:v>
                </c:pt>
                <c:pt idx="583">
                  <c:v>2.25</c:v>
                </c:pt>
                <c:pt idx="584">
                  <c:v>2.25</c:v>
                </c:pt>
                <c:pt idx="585">
                  <c:v>2</c:v>
                </c:pt>
                <c:pt idx="586">
                  <c:v>1.75</c:v>
                </c:pt>
                <c:pt idx="587">
                  <c:v>1.75</c:v>
                </c:pt>
                <c:pt idx="588">
                  <c:v>1.75</c:v>
                </c:pt>
                <c:pt idx="589">
                  <c:v>1.75</c:v>
                </c:pt>
                <c:pt idx="590">
                  <c:v>1.75</c:v>
                </c:pt>
                <c:pt idx="591">
                  <c:v>0.25</c:v>
                </c:pt>
                <c:pt idx="592">
                  <c:v>0.25</c:v>
                </c:pt>
                <c:pt idx="593">
                  <c:v>0.25</c:v>
                </c:pt>
                <c:pt idx="594">
                  <c:v>0.25</c:v>
                </c:pt>
                <c:pt idx="595">
                  <c:v>0.25</c:v>
                </c:pt>
                <c:pt idx="596">
                  <c:v>0.25</c:v>
                </c:pt>
                <c:pt idx="597">
                  <c:v>0.25</c:v>
                </c:pt>
                <c:pt idx="598">
                  <c:v>0.25</c:v>
                </c:pt>
                <c:pt idx="599">
                  <c:v>0.25</c:v>
                </c:pt>
                <c:pt idx="600">
                  <c:v>0.25</c:v>
                </c:pt>
                <c:pt idx="601">
                  <c:v>0.25</c:v>
                </c:pt>
                <c:pt idx="602">
                  <c:v>0.25</c:v>
                </c:pt>
                <c:pt idx="603">
                  <c:v>0.25</c:v>
                </c:pt>
                <c:pt idx="604">
                  <c:v>0.25</c:v>
                </c:pt>
                <c:pt idx="605">
                  <c:v>0.25</c:v>
                </c:pt>
                <c:pt idx="606">
                  <c:v>0.25</c:v>
                </c:pt>
                <c:pt idx="607">
                  <c:v>0.25</c:v>
                </c:pt>
                <c:pt idx="608">
                  <c:v>0.25</c:v>
                </c:pt>
                <c:pt idx="60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5A-9642-A26C-AE591D8FA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216000"/>
        <c:axId val="1112859928"/>
      </c:lineChart>
      <c:dateAx>
        <c:axId val="111286616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61568"/>
        <c:crosses val="autoZero"/>
        <c:auto val="0"/>
        <c:lblOffset val="100"/>
        <c:baseTimeUnit val="months"/>
      </c:dateAx>
      <c:valAx>
        <c:axId val="1112861568"/>
        <c:scaling>
          <c:orientation val="minMax"/>
          <c:max val="0.12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66160"/>
        <c:crosses val="autoZero"/>
        <c:crossBetween val="between"/>
      </c:valAx>
      <c:dateAx>
        <c:axId val="75921600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112859928"/>
        <c:crosses val="autoZero"/>
        <c:auto val="0"/>
        <c:lblOffset val="100"/>
        <c:baseTimeUnit val="months"/>
      </c:dateAx>
      <c:valAx>
        <c:axId val="1112859928"/>
        <c:scaling>
          <c:orientation val="minMax"/>
          <c:max val="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216000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200" b="1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'PCE Core vs Core CPI'!$B$4</c:f>
              <c:strCache>
                <c:ptCount val="1"/>
                <c:pt idx="0">
                  <c:v>Core PCE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CPI'!$B$5:$B$758</c:f>
              <c:numCache>
                <c:formatCode>0.00</c:formatCode>
                <c:ptCount val="754"/>
                <c:pt idx="0">
                  <c:v>16.687999999999999</c:v>
                </c:pt>
                <c:pt idx="1">
                  <c:v>16.701000000000001</c:v>
                </c:pt>
                <c:pt idx="2">
                  <c:v>16.719000000000001</c:v>
                </c:pt>
                <c:pt idx="3">
                  <c:v>16.762</c:v>
                </c:pt>
                <c:pt idx="4">
                  <c:v>16.783000000000001</c:v>
                </c:pt>
                <c:pt idx="5">
                  <c:v>16.832000000000001</c:v>
                </c:pt>
                <c:pt idx="6">
                  <c:v>16.870999999999999</c:v>
                </c:pt>
                <c:pt idx="7">
                  <c:v>16.899000000000001</c:v>
                </c:pt>
                <c:pt idx="8">
                  <c:v>16.943000000000001</c:v>
                </c:pt>
                <c:pt idx="9">
                  <c:v>16.972000000000001</c:v>
                </c:pt>
                <c:pt idx="10">
                  <c:v>17.003</c:v>
                </c:pt>
                <c:pt idx="11">
                  <c:v>17.029</c:v>
                </c:pt>
                <c:pt idx="12">
                  <c:v>17.033000000000001</c:v>
                </c:pt>
                <c:pt idx="13">
                  <c:v>17.065000000000001</c:v>
                </c:pt>
                <c:pt idx="14">
                  <c:v>17.067</c:v>
                </c:pt>
                <c:pt idx="15">
                  <c:v>17.097999999999999</c:v>
                </c:pt>
                <c:pt idx="16">
                  <c:v>17.125</c:v>
                </c:pt>
                <c:pt idx="17">
                  <c:v>17.135999999999999</c:v>
                </c:pt>
                <c:pt idx="18">
                  <c:v>17.166</c:v>
                </c:pt>
                <c:pt idx="19">
                  <c:v>17.190999999999999</c:v>
                </c:pt>
                <c:pt idx="20">
                  <c:v>17.204000000000001</c:v>
                </c:pt>
                <c:pt idx="21">
                  <c:v>17.213999999999999</c:v>
                </c:pt>
                <c:pt idx="22">
                  <c:v>17.260000000000002</c:v>
                </c:pt>
                <c:pt idx="23">
                  <c:v>17.254999999999999</c:v>
                </c:pt>
                <c:pt idx="24">
                  <c:v>17.259</c:v>
                </c:pt>
                <c:pt idx="25">
                  <c:v>17.276</c:v>
                </c:pt>
                <c:pt idx="26">
                  <c:v>17.282</c:v>
                </c:pt>
                <c:pt idx="27">
                  <c:v>17.306000000000001</c:v>
                </c:pt>
                <c:pt idx="28">
                  <c:v>17.327999999999999</c:v>
                </c:pt>
                <c:pt idx="29">
                  <c:v>17.353999999999999</c:v>
                </c:pt>
                <c:pt idx="30">
                  <c:v>17.381</c:v>
                </c:pt>
                <c:pt idx="31">
                  <c:v>17.399000000000001</c:v>
                </c:pt>
                <c:pt idx="32">
                  <c:v>17.434000000000001</c:v>
                </c:pt>
                <c:pt idx="33">
                  <c:v>17.440000000000001</c:v>
                </c:pt>
                <c:pt idx="34">
                  <c:v>17.443000000000001</c:v>
                </c:pt>
                <c:pt idx="35">
                  <c:v>17.457999999999998</c:v>
                </c:pt>
                <c:pt idx="36">
                  <c:v>17.478000000000002</c:v>
                </c:pt>
                <c:pt idx="37">
                  <c:v>17.507000000000001</c:v>
                </c:pt>
                <c:pt idx="38">
                  <c:v>17.547999999999998</c:v>
                </c:pt>
                <c:pt idx="39">
                  <c:v>17.550999999999998</c:v>
                </c:pt>
                <c:pt idx="40">
                  <c:v>17.576000000000001</c:v>
                </c:pt>
                <c:pt idx="41">
                  <c:v>17.608000000000001</c:v>
                </c:pt>
                <c:pt idx="42">
                  <c:v>17.623000000000001</c:v>
                </c:pt>
                <c:pt idx="43">
                  <c:v>17.626000000000001</c:v>
                </c:pt>
                <c:pt idx="44">
                  <c:v>17.66</c:v>
                </c:pt>
                <c:pt idx="45">
                  <c:v>17.658999999999999</c:v>
                </c:pt>
                <c:pt idx="46">
                  <c:v>17.672000000000001</c:v>
                </c:pt>
                <c:pt idx="47">
                  <c:v>17.677</c:v>
                </c:pt>
                <c:pt idx="48">
                  <c:v>17.710999999999999</c:v>
                </c:pt>
                <c:pt idx="49">
                  <c:v>17.731000000000002</c:v>
                </c:pt>
                <c:pt idx="50">
                  <c:v>17.742000000000001</c:v>
                </c:pt>
                <c:pt idx="51">
                  <c:v>17.763000000000002</c:v>
                </c:pt>
                <c:pt idx="52">
                  <c:v>17.795000000000002</c:v>
                </c:pt>
                <c:pt idx="53">
                  <c:v>17.826000000000001</c:v>
                </c:pt>
                <c:pt idx="54">
                  <c:v>17.841999999999999</c:v>
                </c:pt>
                <c:pt idx="55">
                  <c:v>17.858000000000001</c:v>
                </c:pt>
                <c:pt idx="56">
                  <c:v>17.89</c:v>
                </c:pt>
                <c:pt idx="57">
                  <c:v>17.93</c:v>
                </c:pt>
                <c:pt idx="58">
                  <c:v>17.946999999999999</c:v>
                </c:pt>
                <c:pt idx="59">
                  <c:v>17.972000000000001</c:v>
                </c:pt>
                <c:pt idx="60">
                  <c:v>17.997</c:v>
                </c:pt>
                <c:pt idx="61">
                  <c:v>18.030999999999999</c:v>
                </c:pt>
                <c:pt idx="62">
                  <c:v>18.047999999999998</c:v>
                </c:pt>
                <c:pt idx="63">
                  <c:v>18.065000000000001</c:v>
                </c:pt>
                <c:pt idx="64">
                  <c:v>18.079999999999998</c:v>
                </c:pt>
                <c:pt idx="65">
                  <c:v>18.093</c:v>
                </c:pt>
                <c:pt idx="66">
                  <c:v>18.111000000000001</c:v>
                </c:pt>
                <c:pt idx="67">
                  <c:v>18.135000000000002</c:v>
                </c:pt>
                <c:pt idx="68">
                  <c:v>18.143000000000001</c:v>
                </c:pt>
                <c:pt idx="69">
                  <c:v>18.149000000000001</c:v>
                </c:pt>
                <c:pt idx="70">
                  <c:v>18.175999999999998</c:v>
                </c:pt>
                <c:pt idx="71">
                  <c:v>18.201000000000001</c:v>
                </c:pt>
                <c:pt idx="72">
                  <c:v>18.225999999999999</c:v>
                </c:pt>
                <c:pt idx="73">
                  <c:v>18.248000000000001</c:v>
                </c:pt>
                <c:pt idx="74">
                  <c:v>18.257999999999999</c:v>
                </c:pt>
                <c:pt idx="75">
                  <c:v>18.28</c:v>
                </c:pt>
                <c:pt idx="76">
                  <c:v>18.314</c:v>
                </c:pt>
                <c:pt idx="77">
                  <c:v>18.309000000000001</c:v>
                </c:pt>
                <c:pt idx="78">
                  <c:v>18.327000000000002</c:v>
                </c:pt>
                <c:pt idx="79">
                  <c:v>18.361999999999998</c:v>
                </c:pt>
                <c:pt idx="80">
                  <c:v>18.384</c:v>
                </c:pt>
                <c:pt idx="81">
                  <c:v>18.376999999999999</c:v>
                </c:pt>
                <c:pt idx="82">
                  <c:v>18.411000000000001</c:v>
                </c:pt>
                <c:pt idx="83">
                  <c:v>18.466999999999999</c:v>
                </c:pt>
                <c:pt idx="84">
                  <c:v>18.472999999999999</c:v>
                </c:pt>
                <c:pt idx="85">
                  <c:v>18.518000000000001</c:v>
                </c:pt>
                <c:pt idx="86">
                  <c:v>18.542000000000002</c:v>
                </c:pt>
                <c:pt idx="87">
                  <c:v>18.608000000000001</c:v>
                </c:pt>
                <c:pt idx="88">
                  <c:v>18.657</c:v>
                </c:pt>
                <c:pt idx="89">
                  <c:v>18.718</c:v>
                </c:pt>
                <c:pt idx="90">
                  <c:v>18.773</c:v>
                </c:pt>
                <c:pt idx="91">
                  <c:v>18.806999999999999</c:v>
                </c:pt>
                <c:pt idx="92">
                  <c:v>18.864999999999998</c:v>
                </c:pt>
                <c:pt idx="93">
                  <c:v>18.927</c:v>
                </c:pt>
                <c:pt idx="94">
                  <c:v>18.975000000000001</c:v>
                </c:pt>
                <c:pt idx="95">
                  <c:v>19.032</c:v>
                </c:pt>
                <c:pt idx="96">
                  <c:v>19.05</c:v>
                </c:pt>
                <c:pt idx="97">
                  <c:v>19.084</c:v>
                </c:pt>
                <c:pt idx="98">
                  <c:v>19.113</c:v>
                </c:pt>
                <c:pt idx="99">
                  <c:v>19.164999999999999</c:v>
                </c:pt>
                <c:pt idx="100">
                  <c:v>19.207999999999998</c:v>
                </c:pt>
                <c:pt idx="101">
                  <c:v>19.257000000000001</c:v>
                </c:pt>
                <c:pt idx="102">
                  <c:v>19.321999999999999</c:v>
                </c:pt>
                <c:pt idx="103">
                  <c:v>19.382000000000001</c:v>
                </c:pt>
                <c:pt idx="104">
                  <c:v>19.45</c:v>
                </c:pt>
                <c:pt idx="105">
                  <c:v>19.523</c:v>
                </c:pt>
                <c:pt idx="106">
                  <c:v>19.585000000000001</c:v>
                </c:pt>
                <c:pt idx="107">
                  <c:v>19.632999999999999</c:v>
                </c:pt>
                <c:pt idx="108">
                  <c:v>19.72</c:v>
                </c:pt>
                <c:pt idx="109">
                  <c:v>19.805</c:v>
                </c:pt>
                <c:pt idx="110">
                  <c:v>19.884</c:v>
                </c:pt>
                <c:pt idx="111">
                  <c:v>19.957000000000001</c:v>
                </c:pt>
                <c:pt idx="112">
                  <c:v>20.033000000000001</c:v>
                </c:pt>
                <c:pt idx="113">
                  <c:v>20.111000000000001</c:v>
                </c:pt>
                <c:pt idx="114">
                  <c:v>20.178000000000001</c:v>
                </c:pt>
                <c:pt idx="115">
                  <c:v>20.257000000000001</c:v>
                </c:pt>
                <c:pt idx="116">
                  <c:v>20.338999999999999</c:v>
                </c:pt>
                <c:pt idx="117">
                  <c:v>20.422000000000001</c:v>
                </c:pt>
                <c:pt idx="118">
                  <c:v>20.498000000000001</c:v>
                </c:pt>
                <c:pt idx="119">
                  <c:v>20.56</c:v>
                </c:pt>
                <c:pt idx="120">
                  <c:v>20.638000000000002</c:v>
                </c:pt>
                <c:pt idx="121">
                  <c:v>20.709</c:v>
                </c:pt>
                <c:pt idx="122">
                  <c:v>20.805</c:v>
                </c:pt>
                <c:pt idx="123">
                  <c:v>20.885999999999999</c:v>
                </c:pt>
                <c:pt idx="124">
                  <c:v>20.969000000000001</c:v>
                </c:pt>
                <c:pt idx="125">
                  <c:v>21.041</c:v>
                </c:pt>
                <c:pt idx="126">
                  <c:v>21.138999999999999</c:v>
                </c:pt>
                <c:pt idx="127">
                  <c:v>21.199000000000002</c:v>
                </c:pt>
                <c:pt idx="128">
                  <c:v>21.283999999999999</c:v>
                </c:pt>
                <c:pt idx="129">
                  <c:v>21.375</c:v>
                </c:pt>
                <c:pt idx="130">
                  <c:v>21.457000000000001</c:v>
                </c:pt>
                <c:pt idx="131">
                  <c:v>21.536999999999999</c:v>
                </c:pt>
                <c:pt idx="132">
                  <c:v>21.608000000000001</c:v>
                </c:pt>
                <c:pt idx="133">
                  <c:v>21.690999999999999</c:v>
                </c:pt>
                <c:pt idx="134">
                  <c:v>21.771999999999998</c:v>
                </c:pt>
                <c:pt idx="135">
                  <c:v>21.856999999999999</c:v>
                </c:pt>
                <c:pt idx="136">
                  <c:v>21.934000000000001</c:v>
                </c:pt>
                <c:pt idx="137">
                  <c:v>22.013999999999999</c:v>
                </c:pt>
                <c:pt idx="138">
                  <c:v>22.097999999999999</c:v>
                </c:pt>
                <c:pt idx="139">
                  <c:v>22.173999999999999</c:v>
                </c:pt>
                <c:pt idx="140">
                  <c:v>22.266999999999999</c:v>
                </c:pt>
                <c:pt idx="141">
                  <c:v>22.376000000000001</c:v>
                </c:pt>
                <c:pt idx="142">
                  <c:v>22.492000000000001</c:v>
                </c:pt>
                <c:pt idx="143">
                  <c:v>22.605</c:v>
                </c:pt>
                <c:pt idx="144">
                  <c:v>22.693999999999999</c:v>
                </c:pt>
                <c:pt idx="145">
                  <c:v>22.78</c:v>
                </c:pt>
                <c:pt idx="146">
                  <c:v>22.853000000000002</c:v>
                </c:pt>
                <c:pt idx="147">
                  <c:v>22.939</c:v>
                </c:pt>
                <c:pt idx="148">
                  <c:v>23.039000000000001</c:v>
                </c:pt>
                <c:pt idx="149">
                  <c:v>23.129000000000001</c:v>
                </c:pt>
                <c:pt idx="150">
                  <c:v>23.218</c:v>
                </c:pt>
                <c:pt idx="151">
                  <c:v>23.251000000000001</c:v>
                </c:pt>
                <c:pt idx="152">
                  <c:v>23.289000000000001</c:v>
                </c:pt>
                <c:pt idx="153">
                  <c:v>23.326000000000001</c:v>
                </c:pt>
                <c:pt idx="154">
                  <c:v>23.379000000000001</c:v>
                </c:pt>
                <c:pt idx="155">
                  <c:v>23.452000000000002</c:v>
                </c:pt>
                <c:pt idx="156">
                  <c:v>23.552</c:v>
                </c:pt>
                <c:pt idx="157">
                  <c:v>23.614999999999998</c:v>
                </c:pt>
                <c:pt idx="158">
                  <c:v>23.661999999999999</c:v>
                </c:pt>
                <c:pt idx="159">
                  <c:v>23.716999999999999</c:v>
                </c:pt>
                <c:pt idx="160">
                  <c:v>23.771999999999998</c:v>
                </c:pt>
                <c:pt idx="161">
                  <c:v>23.818999999999999</c:v>
                </c:pt>
                <c:pt idx="162">
                  <c:v>23.888000000000002</c:v>
                </c:pt>
                <c:pt idx="163">
                  <c:v>23.937999999999999</c:v>
                </c:pt>
                <c:pt idx="164">
                  <c:v>24.018000000000001</c:v>
                </c:pt>
                <c:pt idx="165">
                  <c:v>24.032</c:v>
                </c:pt>
                <c:pt idx="166">
                  <c:v>24.094999999999999</c:v>
                </c:pt>
                <c:pt idx="167">
                  <c:v>24.167999999999999</c:v>
                </c:pt>
                <c:pt idx="168">
                  <c:v>24.183</c:v>
                </c:pt>
                <c:pt idx="169">
                  <c:v>24.259</c:v>
                </c:pt>
                <c:pt idx="170">
                  <c:v>24.356999999999999</c:v>
                </c:pt>
                <c:pt idx="171">
                  <c:v>24.498000000000001</c:v>
                </c:pt>
                <c:pt idx="172">
                  <c:v>24.593</c:v>
                </c:pt>
                <c:pt idx="173">
                  <c:v>24.699000000000002</c:v>
                </c:pt>
                <c:pt idx="174">
                  <c:v>24.805</c:v>
                </c:pt>
                <c:pt idx="175">
                  <c:v>24.920999999999999</c:v>
                </c:pt>
                <c:pt idx="176">
                  <c:v>25.045999999999999</c:v>
                </c:pt>
                <c:pt idx="177">
                  <c:v>25.143000000000001</c:v>
                </c:pt>
                <c:pt idx="178">
                  <c:v>25.263999999999999</c:v>
                </c:pt>
                <c:pt idx="179">
                  <c:v>25.404</c:v>
                </c:pt>
                <c:pt idx="180">
                  <c:v>25.529</c:v>
                </c:pt>
                <c:pt idx="181">
                  <c:v>25.692</c:v>
                </c:pt>
                <c:pt idx="182">
                  <c:v>25.891999999999999</c:v>
                </c:pt>
                <c:pt idx="183">
                  <c:v>26.085999999999999</c:v>
                </c:pt>
                <c:pt idx="184">
                  <c:v>26.337</c:v>
                </c:pt>
                <c:pt idx="185">
                  <c:v>26.606999999999999</c:v>
                </c:pt>
                <c:pt idx="186">
                  <c:v>26.843</c:v>
                </c:pt>
                <c:pt idx="187">
                  <c:v>27.100999999999999</c:v>
                </c:pt>
                <c:pt idx="188">
                  <c:v>27.344999999999999</c:v>
                </c:pt>
                <c:pt idx="189">
                  <c:v>27.559000000000001</c:v>
                </c:pt>
                <c:pt idx="190">
                  <c:v>27.76</c:v>
                </c:pt>
                <c:pt idx="191">
                  <c:v>27.956</c:v>
                </c:pt>
                <c:pt idx="192">
                  <c:v>28.119</c:v>
                </c:pt>
                <c:pt idx="193">
                  <c:v>28.318000000000001</c:v>
                </c:pt>
                <c:pt idx="194">
                  <c:v>28.466000000000001</c:v>
                </c:pt>
                <c:pt idx="195">
                  <c:v>28.603999999999999</c:v>
                </c:pt>
                <c:pt idx="196">
                  <c:v>28.725000000000001</c:v>
                </c:pt>
                <c:pt idx="197">
                  <c:v>28.866</c:v>
                </c:pt>
                <c:pt idx="198">
                  <c:v>29.044</c:v>
                </c:pt>
                <c:pt idx="199">
                  <c:v>29.143999999999998</c:v>
                </c:pt>
                <c:pt idx="200">
                  <c:v>29.302</c:v>
                </c:pt>
                <c:pt idx="201">
                  <c:v>29.448</c:v>
                </c:pt>
                <c:pt idx="202">
                  <c:v>29.643000000000001</c:v>
                </c:pt>
                <c:pt idx="203">
                  <c:v>29.823</c:v>
                </c:pt>
                <c:pt idx="204">
                  <c:v>29.975999999999999</c:v>
                </c:pt>
                <c:pt idx="205">
                  <c:v>30.094999999999999</c:v>
                </c:pt>
                <c:pt idx="206">
                  <c:v>30.195</c:v>
                </c:pt>
                <c:pt idx="207">
                  <c:v>30.312000000000001</c:v>
                </c:pt>
                <c:pt idx="208">
                  <c:v>30.456</c:v>
                </c:pt>
                <c:pt idx="209">
                  <c:v>30.579000000000001</c:v>
                </c:pt>
                <c:pt idx="210">
                  <c:v>30.748000000000001</c:v>
                </c:pt>
                <c:pt idx="211">
                  <c:v>30.925000000000001</c:v>
                </c:pt>
                <c:pt idx="212">
                  <c:v>31.106000000000002</c:v>
                </c:pt>
                <c:pt idx="213">
                  <c:v>31.257999999999999</c:v>
                </c:pt>
                <c:pt idx="214">
                  <c:v>31.401</c:v>
                </c:pt>
                <c:pt idx="215">
                  <c:v>31.571000000000002</c:v>
                </c:pt>
                <c:pt idx="216">
                  <c:v>31.763000000000002</c:v>
                </c:pt>
                <c:pt idx="217">
                  <c:v>31.957999999999998</c:v>
                </c:pt>
                <c:pt idx="218">
                  <c:v>32.094000000000001</c:v>
                </c:pt>
                <c:pt idx="219">
                  <c:v>32.253</c:v>
                </c:pt>
                <c:pt idx="220">
                  <c:v>32.417000000000002</c:v>
                </c:pt>
                <c:pt idx="221">
                  <c:v>32.610999999999997</c:v>
                </c:pt>
                <c:pt idx="222">
                  <c:v>32.813000000000002</c:v>
                </c:pt>
                <c:pt idx="223">
                  <c:v>32.972999999999999</c:v>
                </c:pt>
                <c:pt idx="224">
                  <c:v>33.113</c:v>
                </c:pt>
                <c:pt idx="225">
                  <c:v>33.273000000000003</c:v>
                </c:pt>
                <c:pt idx="226">
                  <c:v>33.445</c:v>
                </c:pt>
                <c:pt idx="227">
                  <c:v>33.618000000000002</c:v>
                </c:pt>
                <c:pt idx="228">
                  <c:v>33.819000000000003</c:v>
                </c:pt>
                <c:pt idx="229">
                  <c:v>33.948999999999998</c:v>
                </c:pt>
                <c:pt idx="230">
                  <c:v>34.133000000000003</c:v>
                </c:pt>
                <c:pt idx="231">
                  <c:v>34.353999999999999</c:v>
                </c:pt>
                <c:pt idx="232">
                  <c:v>34.555999999999997</c:v>
                </c:pt>
                <c:pt idx="233">
                  <c:v>34.749000000000002</c:v>
                </c:pt>
                <c:pt idx="234">
                  <c:v>34.953000000000003</c:v>
                </c:pt>
                <c:pt idx="235">
                  <c:v>35.140999999999998</c:v>
                </c:pt>
                <c:pt idx="236">
                  <c:v>35.343000000000004</c:v>
                </c:pt>
                <c:pt idx="237">
                  <c:v>35.603000000000002</c:v>
                </c:pt>
                <c:pt idx="238">
                  <c:v>35.793999999999997</c:v>
                </c:pt>
                <c:pt idx="239">
                  <c:v>35.933999999999997</c:v>
                </c:pt>
                <c:pt idx="240">
                  <c:v>36.118000000000002</c:v>
                </c:pt>
                <c:pt idx="241">
                  <c:v>36.234999999999999</c:v>
                </c:pt>
                <c:pt idx="242">
                  <c:v>36.444000000000003</c:v>
                </c:pt>
                <c:pt idx="243">
                  <c:v>36.78</c:v>
                </c:pt>
                <c:pt idx="244">
                  <c:v>37.1</c:v>
                </c:pt>
                <c:pt idx="245">
                  <c:v>37.308</c:v>
                </c:pt>
                <c:pt idx="246">
                  <c:v>37.494999999999997</c:v>
                </c:pt>
                <c:pt idx="247">
                  <c:v>37.744</c:v>
                </c:pt>
                <c:pt idx="248">
                  <c:v>38.002000000000002</c:v>
                </c:pt>
                <c:pt idx="249">
                  <c:v>38.279000000000003</c:v>
                </c:pt>
                <c:pt idx="250">
                  <c:v>38.524000000000001</c:v>
                </c:pt>
                <c:pt idx="251">
                  <c:v>38.801000000000002</c:v>
                </c:pt>
                <c:pt idx="252">
                  <c:v>39.094999999999999</c:v>
                </c:pt>
                <c:pt idx="253">
                  <c:v>39.484999999999999</c:v>
                </c:pt>
                <c:pt idx="254">
                  <c:v>39.850999999999999</c:v>
                </c:pt>
                <c:pt idx="255">
                  <c:v>40.055999999999997</c:v>
                </c:pt>
                <c:pt idx="256">
                  <c:v>40.378</c:v>
                </c:pt>
                <c:pt idx="257">
                  <c:v>40.646000000000001</c:v>
                </c:pt>
                <c:pt idx="258">
                  <c:v>40.932000000000002</c:v>
                </c:pt>
                <c:pt idx="259">
                  <c:v>41.228000000000002</c:v>
                </c:pt>
                <c:pt idx="260">
                  <c:v>41.616</c:v>
                </c:pt>
                <c:pt idx="261">
                  <c:v>41.959000000000003</c:v>
                </c:pt>
                <c:pt idx="262">
                  <c:v>42.289000000000001</c:v>
                </c:pt>
                <c:pt idx="263">
                  <c:v>42.543999999999997</c:v>
                </c:pt>
                <c:pt idx="264">
                  <c:v>42.911999999999999</c:v>
                </c:pt>
                <c:pt idx="265">
                  <c:v>43.225999999999999</c:v>
                </c:pt>
                <c:pt idx="266">
                  <c:v>43.466000000000001</c:v>
                </c:pt>
                <c:pt idx="267">
                  <c:v>43.744</c:v>
                </c:pt>
                <c:pt idx="268">
                  <c:v>44.045000000000002</c:v>
                </c:pt>
                <c:pt idx="269">
                  <c:v>44.265000000000001</c:v>
                </c:pt>
                <c:pt idx="270">
                  <c:v>44.531999999999996</c:v>
                </c:pt>
                <c:pt idx="271">
                  <c:v>44.83</c:v>
                </c:pt>
                <c:pt idx="272">
                  <c:v>45.124000000000002</c:v>
                </c:pt>
                <c:pt idx="273">
                  <c:v>45.393000000000001</c:v>
                </c:pt>
                <c:pt idx="274">
                  <c:v>45.658000000000001</c:v>
                </c:pt>
                <c:pt idx="275">
                  <c:v>45.826000000000001</c:v>
                </c:pt>
                <c:pt idx="276">
                  <c:v>46.107999999999997</c:v>
                </c:pt>
                <c:pt idx="277">
                  <c:v>46.286000000000001</c:v>
                </c:pt>
                <c:pt idx="278">
                  <c:v>46.488</c:v>
                </c:pt>
                <c:pt idx="279">
                  <c:v>46.671999999999997</c:v>
                </c:pt>
                <c:pt idx="280">
                  <c:v>46.927</c:v>
                </c:pt>
                <c:pt idx="281">
                  <c:v>47.161999999999999</c:v>
                </c:pt>
                <c:pt idx="282">
                  <c:v>47.468000000000004</c:v>
                </c:pt>
                <c:pt idx="283">
                  <c:v>47.686</c:v>
                </c:pt>
                <c:pt idx="284">
                  <c:v>47.863</c:v>
                </c:pt>
                <c:pt idx="285">
                  <c:v>48.165999999999997</c:v>
                </c:pt>
                <c:pt idx="286">
                  <c:v>48.344000000000001</c:v>
                </c:pt>
                <c:pt idx="287">
                  <c:v>48.497999999999998</c:v>
                </c:pt>
                <c:pt idx="288">
                  <c:v>48.83</c:v>
                </c:pt>
                <c:pt idx="289">
                  <c:v>49.011000000000003</c:v>
                </c:pt>
                <c:pt idx="290">
                  <c:v>49.073</c:v>
                </c:pt>
                <c:pt idx="291">
                  <c:v>49.222000000000001</c:v>
                </c:pt>
                <c:pt idx="292">
                  <c:v>49.292999999999999</c:v>
                </c:pt>
                <c:pt idx="293">
                  <c:v>49.523000000000003</c:v>
                </c:pt>
                <c:pt idx="294">
                  <c:v>49.856000000000002</c:v>
                </c:pt>
                <c:pt idx="295">
                  <c:v>50.113</c:v>
                </c:pt>
                <c:pt idx="296">
                  <c:v>50.316000000000003</c:v>
                </c:pt>
                <c:pt idx="297">
                  <c:v>50.405000000000001</c:v>
                </c:pt>
                <c:pt idx="298">
                  <c:v>50.523000000000003</c:v>
                </c:pt>
                <c:pt idx="299">
                  <c:v>50.56</c:v>
                </c:pt>
                <c:pt idx="300">
                  <c:v>50.728999999999999</c:v>
                </c:pt>
                <c:pt idx="301">
                  <c:v>51.048999999999999</c:v>
                </c:pt>
                <c:pt idx="302">
                  <c:v>51.241999999999997</c:v>
                </c:pt>
                <c:pt idx="303">
                  <c:v>51.482999999999997</c:v>
                </c:pt>
                <c:pt idx="304">
                  <c:v>51.601999999999997</c:v>
                </c:pt>
                <c:pt idx="305">
                  <c:v>51.723999999999997</c:v>
                </c:pt>
                <c:pt idx="306">
                  <c:v>51.947000000000003</c:v>
                </c:pt>
                <c:pt idx="307">
                  <c:v>52.118000000000002</c:v>
                </c:pt>
                <c:pt idx="308">
                  <c:v>52.198</c:v>
                </c:pt>
                <c:pt idx="309">
                  <c:v>52.314999999999998</c:v>
                </c:pt>
                <c:pt idx="310">
                  <c:v>52.426000000000002</c:v>
                </c:pt>
                <c:pt idx="311">
                  <c:v>52.634</c:v>
                </c:pt>
                <c:pt idx="312">
                  <c:v>52.927999999999997</c:v>
                </c:pt>
                <c:pt idx="313">
                  <c:v>53.204000000000001</c:v>
                </c:pt>
                <c:pt idx="314">
                  <c:v>53.39</c:v>
                </c:pt>
                <c:pt idx="315">
                  <c:v>53.453000000000003</c:v>
                </c:pt>
                <c:pt idx="316">
                  <c:v>53.637999999999998</c:v>
                </c:pt>
                <c:pt idx="317">
                  <c:v>53.814999999999998</c:v>
                </c:pt>
                <c:pt idx="318">
                  <c:v>53.972999999999999</c:v>
                </c:pt>
                <c:pt idx="319">
                  <c:v>54.237000000000002</c:v>
                </c:pt>
                <c:pt idx="320">
                  <c:v>54.348999999999997</c:v>
                </c:pt>
                <c:pt idx="321">
                  <c:v>54.436</c:v>
                </c:pt>
                <c:pt idx="322">
                  <c:v>54.57</c:v>
                </c:pt>
                <c:pt idx="323">
                  <c:v>54.718000000000004</c:v>
                </c:pt>
                <c:pt idx="324">
                  <c:v>55.014000000000003</c:v>
                </c:pt>
                <c:pt idx="325">
                  <c:v>55.155999999999999</c:v>
                </c:pt>
                <c:pt idx="326">
                  <c:v>55.323999999999998</c:v>
                </c:pt>
                <c:pt idx="327">
                  <c:v>55.423999999999999</c:v>
                </c:pt>
                <c:pt idx="328">
                  <c:v>55.518000000000001</c:v>
                </c:pt>
                <c:pt idx="329">
                  <c:v>55.685000000000002</c:v>
                </c:pt>
                <c:pt idx="330">
                  <c:v>55.786000000000001</c:v>
                </c:pt>
                <c:pt idx="331">
                  <c:v>55.901000000000003</c:v>
                </c:pt>
                <c:pt idx="332">
                  <c:v>56.085000000000001</c:v>
                </c:pt>
                <c:pt idx="333">
                  <c:v>56.274000000000001</c:v>
                </c:pt>
                <c:pt idx="334">
                  <c:v>56.393999999999998</c:v>
                </c:pt>
                <c:pt idx="335">
                  <c:v>56.466000000000001</c:v>
                </c:pt>
                <c:pt idx="336">
                  <c:v>56.600999999999999</c:v>
                </c:pt>
                <c:pt idx="337">
                  <c:v>56.713999999999999</c:v>
                </c:pt>
                <c:pt idx="338">
                  <c:v>56.881999999999998</c:v>
                </c:pt>
                <c:pt idx="339">
                  <c:v>57.122999999999998</c:v>
                </c:pt>
                <c:pt idx="340">
                  <c:v>57.283000000000001</c:v>
                </c:pt>
                <c:pt idx="341">
                  <c:v>57.441000000000003</c:v>
                </c:pt>
                <c:pt idx="342">
                  <c:v>57.588999999999999</c:v>
                </c:pt>
                <c:pt idx="343">
                  <c:v>57.783000000000001</c:v>
                </c:pt>
                <c:pt idx="344">
                  <c:v>58.012</c:v>
                </c:pt>
                <c:pt idx="345">
                  <c:v>58.26</c:v>
                </c:pt>
                <c:pt idx="346">
                  <c:v>58.381999999999998</c:v>
                </c:pt>
                <c:pt idx="347">
                  <c:v>58.505000000000003</c:v>
                </c:pt>
                <c:pt idx="348">
                  <c:v>58.780999999999999</c:v>
                </c:pt>
                <c:pt idx="349">
                  <c:v>58.902000000000001</c:v>
                </c:pt>
                <c:pt idx="350">
                  <c:v>59.154000000000003</c:v>
                </c:pt>
                <c:pt idx="351">
                  <c:v>59.441000000000003</c:v>
                </c:pt>
                <c:pt idx="352">
                  <c:v>59.643999999999998</c:v>
                </c:pt>
                <c:pt idx="353">
                  <c:v>59.896000000000001</c:v>
                </c:pt>
                <c:pt idx="354">
                  <c:v>60.14</c:v>
                </c:pt>
                <c:pt idx="355">
                  <c:v>60.289000000000001</c:v>
                </c:pt>
                <c:pt idx="356">
                  <c:v>60.613</c:v>
                </c:pt>
                <c:pt idx="357">
                  <c:v>60.843000000000004</c:v>
                </c:pt>
                <c:pt idx="358">
                  <c:v>61.01</c:v>
                </c:pt>
                <c:pt idx="359">
                  <c:v>61.212000000000003</c:v>
                </c:pt>
                <c:pt idx="360">
                  <c:v>61.521999999999998</c:v>
                </c:pt>
                <c:pt idx="361">
                  <c:v>61.677999999999997</c:v>
                </c:pt>
                <c:pt idx="362">
                  <c:v>61.863</c:v>
                </c:pt>
                <c:pt idx="363">
                  <c:v>62.07</c:v>
                </c:pt>
                <c:pt idx="364">
                  <c:v>62.256</c:v>
                </c:pt>
                <c:pt idx="365">
                  <c:v>62.42</c:v>
                </c:pt>
                <c:pt idx="366">
                  <c:v>62.581000000000003</c:v>
                </c:pt>
                <c:pt idx="367">
                  <c:v>62.668999999999997</c:v>
                </c:pt>
                <c:pt idx="368">
                  <c:v>62.886000000000003</c:v>
                </c:pt>
                <c:pt idx="369">
                  <c:v>63.113999999999997</c:v>
                </c:pt>
                <c:pt idx="370">
                  <c:v>63.281999999999996</c:v>
                </c:pt>
                <c:pt idx="371">
                  <c:v>63.462000000000003</c:v>
                </c:pt>
                <c:pt idx="372">
                  <c:v>63.706000000000003</c:v>
                </c:pt>
                <c:pt idx="373">
                  <c:v>64.016000000000005</c:v>
                </c:pt>
                <c:pt idx="374">
                  <c:v>64.322999999999993</c:v>
                </c:pt>
                <c:pt idx="375">
                  <c:v>64.515000000000001</c:v>
                </c:pt>
                <c:pt idx="376">
                  <c:v>64.712000000000003</c:v>
                </c:pt>
                <c:pt idx="377">
                  <c:v>64.962999999999994</c:v>
                </c:pt>
                <c:pt idx="378">
                  <c:v>65.128</c:v>
                </c:pt>
                <c:pt idx="379">
                  <c:v>65.397999999999996</c:v>
                </c:pt>
                <c:pt idx="380">
                  <c:v>65.626999999999995</c:v>
                </c:pt>
                <c:pt idx="381">
                  <c:v>65.849999999999994</c:v>
                </c:pt>
                <c:pt idx="382">
                  <c:v>65.929000000000002</c:v>
                </c:pt>
                <c:pt idx="383">
                  <c:v>66.021000000000001</c:v>
                </c:pt>
                <c:pt idx="384">
                  <c:v>66.349999999999994</c:v>
                </c:pt>
                <c:pt idx="385">
                  <c:v>66.533000000000001</c:v>
                </c:pt>
                <c:pt idx="386">
                  <c:v>66.671999999999997</c:v>
                </c:pt>
                <c:pt idx="387">
                  <c:v>66.805000000000007</c:v>
                </c:pt>
                <c:pt idx="388">
                  <c:v>67.072000000000003</c:v>
                </c:pt>
                <c:pt idx="389">
                  <c:v>67.215999999999994</c:v>
                </c:pt>
                <c:pt idx="390">
                  <c:v>67.421000000000006</c:v>
                </c:pt>
                <c:pt idx="391">
                  <c:v>67.605999999999995</c:v>
                </c:pt>
                <c:pt idx="392">
                  <c:v>67.876999999999995</c:v>
                </c:pt>
                <c:pt idx="393">
                  <c:v>68.025999999999996</c:v>
                </c:pt>
                <c:pt idx="394">
                  <c:v>68.153000000000006</c:v>
                </c:pt>
                <c:pt idx="395">
                  <c:v>68.320999999999998</c:v>
                </c:pt>
                <c:pt idx="396">
                  <c:v>68.507000000000005</c:v>
                </c:pt>
                <c:pt idx="397">
                  <c:v>68.692999999999998</c:v>
                </c:pt>
                <c:pt idx="398">
                  <c:v>68.864999999999995</c:v>
                </c:pt>
                <c:pt idx="399">
                  <c:v>69.090999999999994</c:v>
                </c:pt>
                <c:pt idx="400">
                  <c:v>69.188000000000002</c:v>
                </c:pt>
                <c:pt idx="401">
                  <c:v>69.242000000000004</c:v>
                </c:pt>
                <c:pt idx="402">
                  <c:v>69.503</c:v>
                </c:pt>
                <c:pt idx="403">
                  <c:v>69.566999999999993</c:v>
                </c:pt>
                <c:pt idx="404">
                  <c:v>69.680000000000007</c:v>
                </c:pt>
                <c:pt idx="405">
                  <c:v>69.947999999999993</c:v>
                </c:pt>
                <c:pt idx="406">
                  <c:v>70.100999999999999</c:v>
                </c:pt>
                <c:pt idx="407">
                  <c:v>70.230999999999995</c:v>
                </c:pt>
                <c:pt idx="408">
                  <c:v>70.435000000000002</c:v>
                </c:pt>
                <c:pt idx="409">
                  <c:v>70.569999999999993</c:v>
                </c:pt>
                <c:pt idx="410">
                  <c:v>70.722999999999999</c:v>
                </c:pt>
                <c:pt idx="411">
                  <c:v>70.929000000000002</c:v>
                </c:pt>
                <c:pt idx="412">
                  <c:v>71.168999999999997</c:v>
                </c:pt>
                <c:pt idx="413">
                  <c:v>71.236999999999995</c:v>
                </c:pt>
                <c:pt idx="414">
                  <c:v>71.385000000000005</c:v>
                </c:pt>
                <c:pt idx="415">
                  <c:v>71.518000000000001</c:v>
                </c:pt>
                <c:pt idx="416">
                  <c:v>71.625</c:v>
                </c:pt>
                <c:pt idx="417">
                  <c:v>71.744</c:v>
                </c:pt>
                <c:pt idx="418">
                  <c:v>71.927999999999997</c:v>
                </c:pt>
                <c:pt idx="419">
                  <c:v>71.959999999999994</c:v>
                </c:pt>
                <c:pt idx="420">
                  <c:v>72.018000000000001</c:v>
                </c:pt>
                <c:pt idx="421">
                  <c:v>72.173000000000002</c:v>
                </c:pt>
                <c:pt idx="422">
                  <c:v>72.42</c:v>
                </c:pt>
                <c:pt idx="423">
                  <c:v>72.528000000000006</c:v>
                </c:pt>
                <c:pt idx="424">
                  <c:v>72.69</c:v>
                </c:pt>
                <c:pt idx="425">
                  <c:v>72.850999999999999</c:v>
                </c:pt>
                <c:pt idx="426">
                  <c:v>73.004000000000005</c:v>
                </c:pt>
                <c:pt idx="427">
                  <c:v>73.085999999999999</c:v>
                </c:pt>
                <c:pt idx="428">
                  <c:v>73.197000000000003</c:v>
                </c:pt>
                <c:pt idx="429">
                  <c:v>73.369</c:v>
                </c:pt>
                <c:pt idx="430">
                  <c:v>73.503</c:v>
                </c:pt>
                <c:pt idx="431">
                  <c:v>73.528000000000006</c:v>
                </c:pt>
                <c:pt idx="432">
                  <c:v>73.710999999999999</c:v>
                </c:pt>
                <c:pt idx="433">
                  <c:v>73.831000000000003</c:v>
                </c:pt>
                <c:pt idx="434">
                  <c:v>74.013000000000005</c:v>
                </c:pt>
                <c:pt idx="435">
                  <c:v>74.183999999999997</c:v>
                </c:pt>
                <c:pt idx="436">
                  <c:v>74.311000000000007</c:v>
                </c:pt>
                <c:pt idx="437">
                  <c:v>74.375</c:v>
                </c:pt>
                <c:pt idx="438">
                  <c:v>74.492999999999995</c:v>
                </c:pt>
                <c:pt idx="439">
                  <c:v>74.671000000000006</c:v>
                </c:pt>
                <c:pt idx="440">
                  <c:v>74.77</c:v>
                </c:pt>
                <c:pt idx="441">
                  <c:v>74.951999999999998</c:v>
                </c:pt>
                <c:pt idx="442">
                  <c:v>75</c:v>
                </c:pt>
                <c:pt idx="443">
                  <c:v>75.105000000000004</c:v>
                </c:pt>
                <c:pt idx="444">
                  <c:v>75.19</c:v>
                </c:pt>
                <c:pt idx="445">
                  <c:v>75.287999999999997</c:v>
                </c:pt>
                <c:pt idx="446">
                  <c:v>75.462000000000003</c:v>
                </c:pt>
                <c:pt idx="447">
                  <c:v>75.564999999999998</c:v>
                </c:pt>
                <c:pt idx="448">
                  <c:v>75.695999999999998</c:v>
                </c:pt>
                <c:pt idx="449">
                  <c:v>75.754000000000005</c:v>
                </c:pt>
                <c:pt idx="450">
                  <c:v>75.897000000000006</c:v>
                </c:pt>
                <c:pt idx="451">
                  <c:v>75.962000000000003</c:v>
                </c:pt>
                <c:pt idx="452">
                  <c:v>76.191999999999993</c:v>
                </c:pt>
                <c:pt idx="453">
                  <c:v>76.373000000000005</c:v>
                </c:pt>
                <c:pt idx="454">
                  <c:v>76.472999999999999</c:v>
                </c:pt>
                <c:pt idx="455">
                  <c:v>76.503</c:v>
                </c:pt>
                <c:pt idx="456">
                  <c:v>76.584000000000003</c:v>
                </c:pt>
                <c:pt idx="457">
                  <c:v>76.741</c:v>
                </c:pt>
                <c:pt idx="458">
                  <c:v>76.924999999999997</c:v>
                </c:pt>
                <c:pt idx="459">
                  <c:v>77.075000000000003</c:v>
                </c:pt>
                <c:pt idx="460">
                  <c:v>77.131</c:v>
                </c:pt>
                <c:pt idx="461">
                  <c:v>77.245000000000005</c:v>
                </c:pt>
                <c:pt idx="462">
                  <c:v>77.296999999999997</c:v>
                </c:pt>
                <c:pt idx="463">
                  <c:v>77.266999999999996</c:v>
                </c:pt>
                <c:pt idx="464">
                  <c:v>77.427000000000007</c:v>
                </c:pt>
                <c:pt idx="465">
                  <c:v>77.545000000000002</c:v>
                </c:pt>
                <c:pt idx="466">
                  <c:v>77.567999999999998</c:v>
                </c:pt>
                <c:pt idx="467">
                  <c:v>77.613</c:v>
                </c:pt>
                <c:pt idx="468">
                  <c:v>77.731999999999999</c:v>
                </c:pt>
                <c:pt idx="469">
                  <c:v>77.798000000000002</c:v>
                </c:pt>
                <c:pt idx="470">
                  <c:v>77.881</c:v>
                </c:pt>
                <c:pt idx="471">
                  <c:v>78.024000000000001</c:v>
                </c:pt>
                <c:pt idx="472">
                  <c:v>78.099999999999994</c:v>
                </c:pt>
                <c:pt idx="473">
                  <c:v>78.001999999999995</c:v>
                </c:pt>
                <c:pt idx="474">
                  <c:v>78.221999999999994</c:v>
                </c:pt>
                <c:pt idx="475">
                  <c:v>78.375</c:v>
                </c:pt>
                <c:pt idx="476">
                  <c:v>78.361000000000004</c:v>
                </c:pt>
                <c:pt idx="477">
                  <c:v>78.513999999999996</c:v>
                </c:pt>
                <c:pt idx="478">
                  <c:v>78.528000000000006</c:v>
                </c:pt>
                <c:pt idx="479">
                  <c:v>78.662999999999997</c:v>
                </c:pt>
                <c:pt idx="480">
                  <c:v>78.775999999999996</c:v>
                </c:pt>
                <c:pt idx="481">
                  <c:v>78.748999999999995</c:v>
                </c:pt>
                <c:pt idx="482">
                  <c:v>78.772999999999996</c:v>
                </c:pt>
                <c:pt idx="483">
                  <c:v>78.974999999999994</c:v>
                </c:pt>
                <c:pt idx="484">
                  <c:v>79.051000000000002</c:v>
                </c:pt>
                <c:pt idx="485">
                  <c:v>79.091999999999999</c:v>
                </c:pt>
                <c:pt idx="486">
                  <c:v>79.234999999999999</c:v>
                </c:pt>
                <c:pt idx="487">
                  <c:v>79.272999999999996</c:v>
                </c:pt>
                <c:pt idx="488">
                  <c:v>79.483000000000004</c:v>
                </c:pt>
                <c:pt idx="489">
                  <c:v>79.619</c:v>
                </c:pt>
                <c:pt idx="490">
                  <c:v>79.694999999999993</c:v>
                </c:pt>
                <c:pt idx="491">
                  <c:v>79.796000000000006</c:v>
                </c:pt>
                <c:pt idx="492">
                  <c:v>79.986999999999995</c:v>
                </c:pt>
                <c:pt idx="493">
                  <c:v>80.105999999999995</c:v>
                </c:pt>
                <c:pt idx="494">
                  <c:v>80.27</c:v>
                </c:pt>
                <c:pt idx="495">
                  <c:v>80.322999999999993</c:v>
                </c:pt>
                <c:pt idx="496">
                  <c:v>80.409000000000006</c:v>
                </c:pt>
                <c:pt idx="497">
                  <c:v>80.47</c:v>
                </c:pt>
                <c:pt idx="498">
                  <c:v>80.653999999999996</c:v>
                </c:pt>
                <c:pt idx="499">
                  <c:v>80.757000000000005</c:v>
                </c:pt>
                <c:pt idx="500">
                  <c:v>80.953000000000003</c:v>
                </c:pt>
                <c:pt idx="501">
                  <c:v>81.066999999999993</c:v>
                </c:pt>
                <c:pt idx="502">
                  <c:v>81.209999999999994</c:v>
                </c:pt>
                <c:pt idx="503">
                  <c:v>81.289000000000001</c:v>
                </c:pt>
                <c:pt idx="504">
                  <c:v>81.591999999999999</c:v>
                </c:pt>
                <c:pt idx="505">
                  <c:v>81.736000000000004</c:v>
                </c:pt>
                <c:pt idx="506">
                  <c:v>81.820999999999998</c:v>
                </c:pt>
                <c:pt idx="507">
                  <c:v>81.950999999999993</c:v>
                </c:pt>
                <c:pt idx="508">
                  <c:v>81.97</c:v>
                </c:pt>
                <c:pt idx="509">
                  <c:v>82.153999999999996</c:v>
                </c:pt>
                <c:pt idx="510">
                  <c:v>82.366</c:v>
                </c:pt>
                <c:pt idx="511">
                  <c:v>82.406000000000006</c:v>
                </c:pt>
                <c:pt idx="512">
                  <c:v>81.938999999999993</c:v>
                </c:pt>
                <c:pt idx="513">
                  <c:v>82.516000000000005</c:v>
                </c:pt>
                <c:pt idx="514">
                  <c:v>82.683000000000007</c:v>
                </c:pt>
                <c:pt idx="515">
                  <c:v>82.701999999999998</c:v>
                </c:pt>
                <c:pt idx="516">
                  <c:v>82.75</c:v>
                </c:pt>
                <c:pt idx="517">
                  <c:v>82.906999999999996</c:v>
                </c:pt>
                <c:pt idx="518">
                  <c:v>83.006</c:v>
                </c:pt>
                <c:pt idx="519">
                  <c:v>83.238</c:v>
                </c:pt>
                <c:pt idx="520">
                  <c:v>83.331000000000003</c:v>
                </c:pt>
                <c:pt idx="521">
                  <c:v>83.462999999999994</c:v>
                </c:pt>
                <c:pt idx="522">
                  <c:v>83.632000000000005</c:v>
                </c:pt>
                <c:pt idx="523">
                  <c:v>83.796999999999997</c:v>
                </c:pt>
                <c:pt idx="524">
                  <c:v>83.933999999999997</c:v>
                </c:pt>
                <c:pt idx="525">
                  <c:v>84.004999999999995</c:v>
                </c:pt>
                <c:pt idx="526">
                  <c:v>84.087000000000003</c:v>
                </c:pt>
                <c:pt idx="527">
                  <c:v>84.165000000000006</c:v>
                </c:pt>
                <c:pt idx="528">
                  <c:v>84.222999999999999</c:v>
                </c:pt>
                <c:pt idx="529">
                  <c:v>84.338999999999999</c:v>
                </c:pt>
                <c:pt idx="530">
                  <c:v>84.474000000000004</c:v>
                </c:pt>
                <c:pt idx="531">
                  <c:v>84.567999999999998</c:v>
                </c:pt>
                <c:pt idx="532">
                  <c:v>84.69</c:v>
                </c:pt>
                <c:pt idx="533">
                  <c:v>84.738</c:v>
                </c:pt>
                <c:pt idx="534">
                  <c:v>84.948999999999998</c:v>
                </c:pt>
                <c:pt idx="535">
                  <c:v>85.045000000000002</c:v>
                </c:pt>
                <c:pt idx="536">
                  <c:v>85.164000000000001</c:v>
                </c:pt>
                <c:pt idx="537">
                  <c:v>85.32</c:v>
                </c:pt>
                <c:pt idx="538">
                  <c:v>85.436999999999998</c:v>
                </c:pt>
                <c:pt idx="539">
                  <c:v>85.543999999999997</c:v>
                </c:pt>
                <c:pt idx="540">
                  <c:v>85.763000000000005</c:v>
                </c:pt>
                <c:pt idx="541">
                  <c:v>85.902000000000001</c:v>
                </c:pt>
                <c:pt idx="542">
                  <c:v>86.046000000000006</c:v>
                </c:pt>
                <c:pt idx="543">
                  <c:v>86.27</c:v>
                </c:pt>
                <c:pt idx="544">
                  <c:v>86.388000000000005</c:v>
                </c:pt>
                <c:pt idx="545">
                  <c:v>86.525000000000006</c:v>
                </c:pt>
                <c:pt idx="546">
                  <c:v>86.628</c:v>
                </c:pt>
                <c:pt idx="547">
                  <c:v>86.661000000000001</c:v>
                </c:pt>
                <c:pt idx="548">
                  <c:v>86.822999999999993</c:v>
                </c:pt>
                <c:pt idx="549">
                  <c:v>87.012</c:v>
                </c:pt>
                <c:pt idx="550">
                  <c:v>87.198999999999998</c:v>
                </c:pt>
                <c:pt idx="551">
                  <c:v>87.311000000000007</c:v>
                </c:pt>
                <c:pt idx="552">
                  <c:v>87.625</c:v>
                </c:pt>
                <c:pt idx="553">
                  <c:v>87.77</c:v>
                </c:pt>
                <c:pt idx="554">
                  <c:v>87.986999999999995</c:v>
                </c:pt>
                <c:pt idx="555">
                  <c:v>88.088999999999999</c:v>
                </c:pt>
                <c:pt idx="556">
                  <c:v>88.269000000000005</c:v>
                </c:pt>
                <c:pt idx="557">
                  <c:v>88.33</c:v>
                </c:pt>
                <c:pt idx="558">
                  <c:v>88.46</c:v>
                </c:pt>
                <c:pt idx="559">
                  <c:v>88.531999999999996</c:v>
                </c:pt>
                <c:pt idx="560">
                  <c:v>88.727999999999994</c:v>
                </c:pt>
                <c:pt idx="561">
                  <c:v>88.981999999999999</c:v>
                </c:pt>
                <c:pt idx="562">
                  <c:v>89.21</c:v>
                </c:pt>
                <c:pt idx="563">
                  <c:v>89.302000000000007</c:v>
                </c:pt>
                <c:pt idx="564">
                  <c:v>89.503</c:v>
                </c:pt>
                <c:pt idx="565">
                  <c:v>89.647000000000006</c:v>
                </c:pt>
                <c:pt idx="566">
                  <c:v>89.894000000000005</c:v>
                </c:pt>
                <c:pt idx="567">
                  <c:v>90.168999999999997</c:v>
                </c:pt>
                <c:pt idx="568">
                  <c:v>90.394999999999996</c:v>
                </c:pt>
                <c:pt idx="569">
                  <c:v>90.623000000000005</c:v>
                </c:pt>
                <c:pt idx="570">
                  <c:v>90.712000000000003</c:v>
                </c:pt>
                <c:pt idx="571">
                  <c:v>90.896000000000001</c:v>
                </c:pt>
                <c:pt idx="572">
                  <c:v>91.04</c:v>
                </c:pt>
                <c:pt idx="573">
                  <c:v>91.203999999999994</c:v>
                </c:pt>
                <c:pt idx="574">
                  <c:v>91.248000000000005</c:v>
                </c:pt>
                <c:pt idx="575">
                  <c:v>91.37</c:v>
                </c:pt>
                <c:pt idx="576">
                  <c:v>91.741</c:v>
                </c:pt>
                <c:pt idx="577">
                  <c:v>91.938999999999993</c:v>
                </c:pt>
                <c:pt idx="578">
                  <c:v>92.031999999999996</c:v>
                </c:pt>
                <c:pt idx="579">
                  <c:v>92.162999999999997</c:v>
                </c:pt>
                <c:pt idx="580">
                  <c:v>92.272000000000006</c:v>
                </c:pt>
                <c:pt idx="581">
                  <c:v>92.424000000000007</c:v>
                </c:pt>
                <c:pt idx="582">
                  <c:v>92.563000000000002</c:v>
                </c:pt>
                <c:pt idx="583">
                  <c:v>92.700999999999993</c:v>
                </c:pt>
                <c:pt idx="584">
                  <c:v>92.953999999999994</c:v>
                </c:pt>
                <c:pt idx="585">
                  <c:v>93.195999999999998</c:v>
                </c:pt>
                <c:pt idx="586">
                  <c:v>93.379000000000005</c:v>
                </c:pt>
                <c:pt idx="587">
                  <c:v>93.566999999999993</c:v>
                </c:pt>
                <c:pt idx="588">
                  <c:v>93.753</c:v>
                </c:pt>
                <c:pt idx="589">
                  <c:v>93.843999999999994</c:v>
                </c:pt>
                <c:pt idx="590">
                  <c:v>94.028000000000006</c:v>
                </c:pt>
                <c:pt idx="591">
                  <c:v>94.082999999999998</c:v>
                </c:pt>
                <c:pt idx="592">
                  <c:v>94.254999999999995</c:v>
                </c:pt>
                <c:pt idx="593">
                  <c:v>94.471000000000004</c:v>
                </c:pt>
                <c:pt idx="594">
                  <c:v>94.641000000000005</c:v>
                </c:pt>
                <c:pt idx="595">
                  <c:v>94.757000000000005</c:v>
                </c:pt>
                <c:pt idx="596">
                  <c:v>94.853999999999999</c:v>
                </c:pt>
                <c:pt idx="597">
                  <c:v>94.718999999999994</c:v>
                </c:pt>
                <c:pt idx="598">
                  <c:v>94.677000000000007</c:v>
                </c:pt>
                <c:pt idx="599">
                  <c:v>94.631</c:v>
                </c:pt>
                <c:pt idx="600">
                  <c:v>94.602000000000004</c:v>
                </c:pt>
                <c:pt idx="601">
                  <c:v>94.677000000000007</c:v>
                </c:pt>
                <c:pt idx="602">
                  <c:v>94.745000000000005</c:v>
                </c:pt>
                <c:pt idx="603">
                  <c:v>94.956999999999994</c:v>
                </c:pt>
                <c:pt idx="604">
                  <c:v>95.03</c:v>
                </c:pt>
                <c:pt idx="605">
                  <c:v>95.150999999999996</c:v>
                </c:pt>
                <c:pt idx="606">
                  <c:v>95.233000000000004</c:v>
                </c:pt>
                <c:pt idx="607">
                  <c:v>95.373999999999995</c:v>
                </c:pt>
                <c:pt idx="608">
                  <c:v>95.540999999999997</c:v>
                </c:pt>
                <c:pt idx="609">
                  <c:v>95.893000000000001</c:v>
                </c:pt>
                <c:pt idx="610">
                  <c:v>95.977999999999994</c:v>
                </c:pt>
                <c:pt idx="611">
                  <c:v>96.06</c:v>
                </c:pt>
                <c:pt idx="612">
                  <c:v>96.200999999999993</c:v>
                </c:pt>
                <c:pt idx="613">
                  <c:v>96.284999999999997</c:v>
                </c:pt>
                <c:pt idx="614">
                  <c:v>96.429000000000002</c:v>
                </c:pt>
                <c:pt idx="615">
                  <c:v>96.477999999999994</c:v>
                </c:pt>
                <c:pt idx="616">
                  <c:v>96.584999999999994</c:v>
                </c:pt>
                <c:pt idx="617">
                  <c:v>96.632000000000005</c:v>
                </c:pt>
                <c:pt idx="618">
                  <c:v>96.632999999999996</c:v>
                </c:pt>
                <c:pt idx="619">
                  <c:v>96.725999999999999</c:v>
                </c:pt>
                <c:pt idx="620">
                  <c:v>96.781000000000006</c:v>
                </c:pt>
                <c:pt idx="621">
                  <c:v>96.927999999999997</c:v>
                </c:pt>
                <c:pt idx="622">
                  <c:v>97.054000000000002</c:v>
                </c:pt>
                <c:pt idx="623">
                  <c:v>97.073999999999998</c:v>
                </c:pt>
                <c:pt idx="624">
                  <c:v>97.283000000000001</c:v>
                </c:pt>
                <c:pt idx="625">
                  <c:v>97.453000000000003</c:v>
                </c:pt>
                <c:pt idx="626">
                  <c:v>97.6</c:v>
                </c:pt>
                <c:pt idx="627">
                  <c:v>97.823999999999998</c:v>
                </c:pt>
                <c:pt idx="628">
                  <c:v>98.057000000000002</c:v>
                </c:pt>
                <c:pt idx="629">
                  <c:v>98.164000000000001</c:v>
                </c:pt>
                <c:pt idx="630">
                  <c:v>98.308999999999997</c:v>
                </c:pt>
                <c:pt idx="631">
                  <c:v>98.504999999999995</c:v>
                </c:pt>
                <c:pt idx="632">
                  <c:v>98.572000000000003</c:v>
                </c:pt>
                <c:pt idx="633">
                  <c:v>98.619</c:v>
                </c:pt>
                <c:pt idx="634">
                  <c:v>98.828000000000003</c:v>
                </c:pt>
                <c:pt idx="635">
                  <c:v>98.992000000000004</c:v>
                </c:pt>
                <c:pt idx="636">
                  <c:v>99.287999999999997</c:v>
                </c:pt>
                <c:pt idx="637">
                  <c:v>99.426000000000002</c:v>
                </c:pt>
                <c:pt idx="638">
                  <c:v>99.594999999999999</c:v>
                </c:pt>
                <c:pt idx="639">
                  <c:v>99.745999999999995</c:v>
                </c:pt>
                <c:pt idx="640">
                  <c:v>99.846999999999994</c:v>
                </c:pt>
                <c:pt idx="641">
                  <c:v>99.95</c:v>
                </c:pt>
                <c:pt idx="642">
                  <c:v>100.053</c:v>
                </c:pt>
                <c:pt idx="643">
                  <c:v>100.116</c:v>
                </c:pt>
                <c:pt idx="644">
                  <c:v>100.24</c:v>
                </c:pt>
                <c:pt idx="645">
                  <c:v>100.482</c:v>
                </c:pt>
                <c:pt idx="646">
                  <c:v>100.59099999999999</c:v>
                </c:pt>
                <c:pt idx="647">
                  <c:v>100.664</c:v>
                </c:pt>
                <c:pt idx="648">
                  <c:v>100.871</c:v>
                </c:pt>
                <c:pt idx="649">
                  <c:v>100.992</c:v>
                </c:pt>
                <c:pt idx="650">
                  <c:v>101.08499999999999</c:v>
                </c:pt>
                <c:pt idx="651">
                  <c:v>101.163</c:v>
                </c:pt>
                <c:pt idx="652">
                  <c:v>101.27200000000001</c:v>
                </c:pt>
                <c:pt idx="653">
                  <c:v>101.438</c:v>
                </c:pt>
                <c:pt idx="654">
                  <c:v>101.56699999999999</c:v>
                </c:pt>
                <c:pt idx="655">
                  <c:v>101.685</c:v>
                </c:pt>
                <c:pt idx="656">
                  <c:v>101.79900000000001</c:v>
                </c:pt>
                <c:pt idx="657">
                  <c:v>102.015</c:v>
                </c:pt>
                <c:pt idx="658">
                  <c:v>102.194</c:v>
                </c:pt>
                <c:pt idx="659">
                  <c:v>102.333</c:v>
                </c:pt>
                <c:pt idx="660">
                  <c:v>102.426</c:v>
                </c:pt>
                <c:pt idx="661">
                  <c:v>102.489</c:v>
                </c:pt>
                <c:pt idx="662">
                  <c:v>102.684</c:v>
                </c:pt>
                <c:pt idx="663">
                  <c:v>102.879</c:v>
                </c:pt>
                <c:pt idx="664">
                  <c:v>103.06100000000001</c:v>
                </c:pt>
                <c:pt idx="665">
                  <c:v>103.18</c:v>
                </c:pt>
                <c:pt idx="666">
                  <c:v>103.369</c:v>
                </c:pt>
                <c:pt idx="667">
                  <c:v>103.408</c:v>
                </c:pt>
                <c:pt idx="668">
                  <c:v>103.536</c:v>
                </c:pt>
                <c:pt idx="669">
                  <c:v>103.629</c:v>
                </c:pt>
                <c:pt idx="670">
                  <c:v>103.74</c:v>
                </c:pt>
                <c:pt idx="671">
                  <c:v>103.837</c:v>
                </c:pt>
                <c:pt idx="672">
                  <c:v>103.816</c:v>
                </c:pt>
                <c:pt idx="673">
                  <c:v>103.92</c:v>
                </c:pt>
                <c:pt idx="674">
                  <c:v>104.08</c:v>
                </c:pt>
                <c:pt idx="675">
                  <c:v>104.256</c:v>
                </c:pt>
                <c:pt idx="676">
                  <c:v>104.38500000000001</c:v>
                </c:pt>
                <c:pt idx="677">
                  <c:v>104.511</c:v>
                </c:pt>
                <c:pt idx="678">
                  <c:v>104.60299999999999</c:v>
                </c:pt>
                <c:pt idx="679">
                  <c:v>104.679</c:v>
                </c:pt>
                <c:pt idx="680">
                  <c:v>104.81399999999999</c:v>
                </c:pt>
                <c:pt idx="681">
                  <c:v>104.82899999999999</c:v>
                </c:pt>
                <c:pt idx="682">
                  <c:v>104.94</c:v>
                </c:pt>
                <c:pt idx="683">
                  <c:v>105.009</c:v>
                </c:pt>
                <c:pt idx="684">
                  <c:v>105.20399999999999</c:v>
                </c:pt>
                <c:pt idx="685">
                  <c:v>105.369</c:v>
                </c:pt>
                <c:pt idx="686">
                  <c:v>105.521</c:v>
                </c:pt>
                <c:pt idx="687">
                  <c:v>105.786</c:v>
                </c:pt>
                <c:pt idx="688">
                  <c:v>105.94799999999999</c:v>
                </c:pt>
                <c:pt idx="689">
                  <c:v>106.077</c:v>
                </c:pt>
                <c:pt idx="690">
                  <c:v>106.25700000000001</c:v>
                </c:pt>
                <c:pt idx="691">
                  <c:v>106.456</c:v>
                </c:pt>
                <c:pt idx="692">
                  <c:v>106.57899999999999</c:v>
                </c:pt>
                <c:pt idx="693">
                  <c:v>106.73699999999999</c:v>
                </c:pt>
                <c:pt idx="694">
                  <c:v>106.789</c:v>
                </c:pt>
                <c:pt idx="695">
                  <c:v>106.929</c:v>
                </c:pt>
                <c:pt idx="696">
                  <c:v>107.20399999999999</c:v>
                </c:pt>
                <c:pt idx="697">
                  <c:v>107.357</c:v>
                </c:pt>
                <c:pt idx="698">
                  <c:v>107.307</c:v>
                </c:pt>
                <c:pt idx="699">
                  <c:v>107.587</c:v>
                </c:pt>
                <c:pt idx="700">
                  <c:v>107.699</c:v>
                </c:pt>
                <c:pt idx="701">
                  <c:v>107.876</c:v>
                </c:pt>
                <c:pt idx="702">
                  <c:v>107.944</c:v>
                </c:pt>
                <c:pt idx="703">
                  <c:v>108.05800000000001</c:v>
                </c:pt>
                <c:pt idx="704">
                  <c:v>108.267</c:v>
                </c:pt>
                <c:pt idx="705">
                  <c:v>108.54600000000001</c:v>
                </c:pt>
                <c:pt idx="706">
                  <c:v>108.601</c:v>
                </c:pt>
                <c:pt idx="707">
                  <c:v>108.76900000000001</c:v>
                </c:pt>
                <c:pt idx="708">
                  <c:v>109.06</c:v>
                </c:pt>
                <c:pt idx="709">
                  <c:v>109.273</c:v>
                </c:pt>
                <c:pt idx="710">
                  <c:v>109.542</c:v>
                </c:pt>
                <c:pt idx="711">
                  <c:v>109.752</c:v>
                </c:pt>
                <c:pt idx="712">
                  <c:v>109.96899999999999</c:v>
                </c:pt>
                <c:pt idx="713">
                  <c:v>110.10599999999999</c:v>
                </c:pt>
                <c:pt idx="714">
                  <c:v>110.238</c:v>
                </c:pt>
                <c:pt idx="715">
                  <c:v>110.247</c:v>
                </c:pt>
                <c:pt idx="716">
                  <c:v>110.47499999999999</c:v>
                </c:pt>
                <c:pt idx="717">
                  <c:v>110.64100000000001</c:v>
                </c:pt>
                <c:pt idx="718">
                  <c:v>110.83799999999999</c:v>
                </c:pt>
                <c:pt idx="719">
                  <c:v>111.006</c:v>
                </c:pt>
                <c:pt idx="720">
                  <c:v>111.06</c:v>
                </c:pt>
                <c:pt idx="721">
                  <c:v>111.096</c:v>
                </c:pt>
                <c:pt idx="722">
                  <c:v>111.254</c:v>
                </c:pt>
                <c:pt idx="723">
                  <c:v>111.607</c:v>
                </c:pt>
                <c:pt idx="724">
                  <c:v>111.744</c:v>
                </c:pt>
                <c:pt idx="725">
                  <c:v>111.997</c:v>
                </c:pt>
                <c:pt idx="726">
                  <c:v>112.15</c:v>
                </c:pt>
                <c:pt idx="727">
                  <c:v>112.289</c:v>
                </c:pt>
                <c:pt idx="728">
                  <c:v>112.367</c:v>
                </c:pt>
                <c:pt idx="729">
                  <c:v>112.54</c:v>
                </c:pt>
                <c:pt idx="730">
                  <c:v>112.57599999999999</c:v>
                </c:pt>
                <c:pt idx="731">
                  <c:v>112.824</c:v>
                </c:pt>
                <c:pt idx="732">
                  <c:v>113.04</c:v>
                </c:pt>
                <c:pt idx="733">
                  <c:v>113.215</c:v>
                </c:pt>
                <c:pt idx="734">
                  <c:v>113.15</c:v>
                </c:pt>
                <c:pt idx="735">
                  <c:v>112.628</c:v>
                </c:pt>
                <c:pt idx="736">
                  <c:v>112.864</c:v>
                </c:pt>
                <c:pt idx="737">
                  <c:v>113.265</c:v>
                </c:pt>
                <c:pt idx="738">
                  <c:v>113.61</c:v>
                </c:pt>
                <c:pt idx="739">
                  <c:v>113.971</c:v>
                </c:pt>
                <c:pt idx="740">
                  <c:v>114.131</c:v>
                </c:pt>
                <c:pt idx="741">
                  <c:v>114.137</c:v>
                </c:pt>
                <c:pt idx="742">
                  <c:v>114.134</c:v>
                </c:pt>
                <c:pt idx="743">
                  <c:v>114.494</c:v>
                </c:pt>
                <c:pt idx="744">
                  <c:v>114.746</c:v>
                </c:pt>
                <c:pt idx="745">
                  <c:v>114.899</c:v>
                </c:pt>
                <c:pt idx="746">
                  <c:v>115.383</c:v>
                </c:pt>
                <c:pt idx="747">
                  <c:v>116.1</c:v>
                </c:pt>
                <c:pt idx="748">
                  <c:v>116.76600000000001</c:v>
                </c:pt>
                <c:pt idx="749">
                  <c:v>117.327</c:v>
                </c:pt>
                <c:pt idx="750">
                  <c:v>117.70399999999999</c:v>
                </c:pt>
                <c:pt idx="751">
                  <c:v>118.07299999999999</c:v>
                </c:pt>
                <c:pt idx="752">
                  <c:v>118.357</c:v>
                </c:pt>
                <c:pt idx="753">
                  <c:v>118.92100000000001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B9-AB4A-827B-853B49E14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622040"/>
        <c:axId val="716620400"/>
      </c:lineChart>
      <c:lineChart>
        <c:grouping val="standard"/>
        <c:varyColors val="0"/>
        <c:ser>
          <c:idx val="1"/>
          <c:order val="1"/>
          <c:tx>
            <c:strRef>
              <c:f>'PCE Core vs Core CPI'!$C$4</c:f>
              <c:strCache>
                <c:ptCount val="1"/>
                <c:pt idx="0">
                  <c:v>Core CPI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CPI'!$C$5:$C$758</c:f>
              <c:numCache>
                <c:formatCode>0.00</c:formatCode>
                <c:ptCount val="754"/>
                <c:pt idx="0">
                  <c:v>29.9</c:v>
                </c:pt>
                <c:pt idx="1">
                  <c:v>29.9</c:v>
                </c:pt>
                <c:pt idx="2">
                  <c:v>30</c:v>
                </c:pt>
                <c:pt idx="3">
                  <c:v>30</c:v>
                </c:pt>
                <c:pt idx="4">
                  <c:v>30.1</c:v>
                </c:pt>
                <c:pt idx="5">
                  <c:v>30.2</c:v>
                </c:pt>
                <c:pt idx="6">
                  <c:v>30.2</c:v>
                </c:pt>
                <c:pt idx="7">
                  <c:v>30.2</c:v>
                </c:pt>
                <c:pt idx="8">
                  <c:v>30.3</c:v>
                </c:pt>
                <c:pt idx="9">
                  <c:v>30.4</c:v>
                </c:pt>
                <c:pt idx="10">
                  <c:v>30.4</c:v>
                </c:pt>
                <c:pt idx="11">
                  <c:v>30.5</c:v>
                </c:pt>
                <c:pt idx="12">
                  <c:v>30.5</c:v>
                </c:pt>
                <c:pt idx="13">
                  <c:v>30.6</c:v>
                </c:pt>
                <c:pt idx="14">
                  <c:v>30.6</c:v>
                </c:pt>
                <c:pt idx="15">
                  <c:v>30.6</c:v>
                </c:pt>
                <c:pt idx="16">
                  <c:v>30.6</c:v>
                </c:pt>
                <c:pt idx="17">
                  <c:v>30.7</c:v>
                </c:pt>
                <c:pt idx="18">
                  <c:v>30.6</c:v>
                </c:pt>
                <c:pt idx="19">
                  <c:v>30.6</c:v>
                </c:pt>
                <c:pt idx="20">
                  <c:v>30.6</c:v>
                </c:pt>
                <c:pt idx="21">
                  <c:v>30.8</c:v>
                </c:pt>
                <c:pt idx="22">
                  <c:v>30.8</c:v>
                </c:pt>
                <c:pt idx="23">
                  <c:v>30.7</c:v>
                </c:pt>
                <c:pt idx="24">
                  <c:v>30.8</c:v>
                </c:pt>
                <c:pt idx="25">
                  <c:v>30.8</c:v>
                </c:pt>
                <c:pt idx="26">
                  <c:v>30.9</c:v>
                </c:pt>
                <c:pt idx="27">
                  <c:v>30.9</c:v>
                </c:pt>
                <c:pt idx="28">
                  <c:v>30.9</c:v>
                </c:pt>
                <c:pt idx="29">
                  <c:v>31</c:v>
                </c:pt>
                <c:pt idx="30">
                  <c:v>31</c:v>
                </c:pt>
                <c:pt idx="31">
                  <c:v>31.1</c:v>
                </c:pt>
                <c:pt idx="32">
                  <c:v>31.1</c:v>
                </c:pt>
                <c:pt idx="33">
                  <c:v>31.1</c:v>
                </c:pt>
                <c:pt idx="34">
                  <c:v>31.2</c:v>
                </c:pt>
                <c:pt idx="35">
                  <c:v>31.2</c:v>
                </c:pt>
                <c:pt idx="36">
                  <c:v>31.2</c:v>
                </c:pt>
                <c:pt idx="37">
                  <c:v>31.2</c:v>
                </c:pt>
                <c:pt idx="38">
                  <c:v>31.3</c:v>
                </c:pt>
                <c:pt idx="39">
                  <c:v>31.3</c:v>
                </c:pt>
                <c:pt idx="40">
                  <c:v>31.4</c:v>
                </c:pt>
                <c:pt idx="41">
                  <c:v>31.4</c:v>
                </c:pt>
                <c:pt idx="42">
                  <c:v>31.4</c:v>
                </c:pt>
                <c:pt idx="43">
                  <c:v>31.5</c:v>
                </c:pt>
                <c:pt idx="44">
                  <c:v>31.5</c:v>
                </c:pt>
                <c:pt idx="45">
                  <c:v>31.5</c:v>
                </c:pt>
                <c:pt idx="46">
                  <c:v>31.5</c:v>
                </c:pt>
                <c:pt idx="47">
                  <c:v>31.6</c:v>
                </c:pt>
                <c:pt idx="48">
                  <c:v>31.5</c:v>
                </c:pt>
                <c:pt idx="49">
                  <c:v>31.6</c:v>
                </c:pt>
                <c:pt idx="50">
                  <c:v>31.7</c:v>
                </c:pt>
                <c:pt idx="51">
                  <c:v>31.7</c:v>
                </c:pt>
                <c:pt idx="52">
                  <c:v>31.7</c:v>
                </c:pt>
                <c:pt idx="53">
                  <c:v>31.8</c:v>
                </c:pt>
                <c:pt idx="54">
                  <c:v>31.8</c:v>
                </c:pt>
                <c:pt idx="55">
                  <c:v>31.9</c:v>
                </c:pt>
                <c:pt idx="56">
                  <c:v>31.9</c:v>
                </c:pt>
                <c:pt idx="57">
                  <c:v>32</c:v>
                </c:pt>
                <c:pt idx="58">
                  <c:v>32</c:v>
                </c:pt>
                <c:pt idx="59">
                  <c:v>32.1</c:v>
                </c:pt>
                <c:pt idx="60">
                  <c:v>32.200000000000003</c:v>
                </c:pt>
                <c:pt idx="61">
                  <c:v>32.200000000000003</c:v>
                </c:pt>
                <c:pt idx="62">
                  <c:v>32.200000000000003</c:v>
                </c:pt>
                <c:pt idx="63">
                  <c:v>32.200000000000003</c:v>
                </c:pt>
                <c:pt idx="64">
                  <c:v>32.200000000000003</c:v>
                </c:pt>
                <c:pt idx="65">
                  <c:v>32.299999999999997</c:v>
                </c:pt>
                <c:pt idx="66">
                  <c:v>32.299999999999997</c:v>
                </c:pt>
                <c:pt idx="67">
                  <c:v>32.299999999999997</c:v>
                </c:pt>
                <c:pt idx="68">
                  <c:v>32.299999999999997</c:v>
                </c:pt>
                <c:pt idx="69">
                  <c:v>32.4</c:v>
                </c:pt>
                <c:pt idx="70">
                  <c:v>32.5</c:v>
                </c:pt>
                <c:pt idx="71">
                  <c:v>32.5</c:v>
                </c:pt>
                <c:pt idx="72">
                  <c:v>32.6</c:v>
                </c:pt>
                <c:pt idx="73">
                  <c:v>32.6</c:v>
                </c:pt>
                <c:pt idx="74">
                  <c:v>32.6</c:v>
                </c:pt>
                <c:pt idx="75">
                  <c:v>32.700000000000003</c:v>
                </c:pt>
                <c:pt idx="76">
                  <c:v>32.700000000000003</c:v>
                </c:pt>
                <c:pt idx="77">
                  <c:v>32.700000000000003</c:v>
                </c:pt>
                <c:pt idx="78">
                  <c:v>32.700000000000003</c:v>
                </c:pt>
                <c:pt idx="79">
                  <c:v>32.700000000000003</c:v>
                </c:pt>
                <c:pt idx="80">
                  <c:v>32.799999999999997</c:v>
                </c:pt>
                <c:pt idx="81">
                  <c:v>32.799999999999997</c:v>
                </c:pt>
                <c:pt idx="82">
                  <c:v>32.9</c:v>
                </c:pt>
                <c:pt idx="83">
                  <c:v>33</c:v>
                </c:pt>
                <c:pt idx="84">
                  <c:v>33</c:v>
                </c:pt>
                <c:pt idx="85">
                  <c:v>33.1</c:v>
                </c:pt>
                <c:pt idx="86">
                  <c:v>33.1</c:v>
                </c:pt>
                <c:pt idx="87">
                  <c:v>33.299999999999997</c:v>
                </c:pt>
                <c:pt idx="88">
                  <c:v>33.4</c:v>
                </c:pt>
                <c:pt idx="89">
                  <c:v>33.5</c:v>
                </c:pt>
                <c:pt idx="90">
                  <c:v>33.6</c:v>
                </c:pt>
                <c:pt idx="91">
                  <c:v>33.700000000000003</c:v>
                </c:pt>
                <c:pt idx="92">
                  <c:v>33.799999999999997</c:v>
                </c:pt>
                <c:pt idx="93">
                  <c:v>34</c:v>
                </c:pt>
                <c:pt idx="94">
                  <c:v>34</c:v>
                </c:pt>
                <c:pt idx="95">
                  <c:v>34.1</c:v>
                </c:pt>
                <c:pt idx="96">
                  <c:v>34.200000000000003</c:v>
                </c:pt>
                <c:pt idx="97">
                  <c:v>34.200000000000003</c:v>
                </c:pt>
                <c:pt idx="98">
                  <c:v>34.299999999999997</c:v>
                </c:pt>
                <c:pt idx="99">
                  <c:v>34.4</c:v>
                </c:pt>
                <c:pt idx="100">
                  <c:v>34.5</c:v>
                </c:pt>
                <c:pt idx="101">
                  <c:v>34.6</c:v>
                </c:pt>
                <c:pt idx="102">
                  <c:v>34.700000000000003</c:v>
                </c:pt>
                <c:pt idx="103">
                  <c:v>34.9</c:v>
                </c:pt>
                <c:pt idx="104">
                  <c:v>35</c:v>
                </c:pt>
                <c:pt idx="105">
                  <c:v>35.1</c:v>
                </c:pt>
                <c:pt idx="106">
                  <c:v>35.200000000000003</c:v>
                </c:pt>
                <c:pt idx="107">
                  <c:v>35.4</c:v>
                </c:pt>
                <c:pt idx="108">
                  <c:v>35.5</c:v>
                </c:pt>
                <c:pt idx="109">
                  <c:v>35.700000000000003</c:v>
                </c:pt>
                <c:pt idx="110">
                  <c:v>35.799999999999997</c:v>
                </c:pt>
                <c:pt idx="111">
                  <c:v>35.9</c:v>
                </c:pt>
                <c:pt idx="112">
                  <c:v>36</c:v>
                </c:pt>
                <c:pt idx="113">
                  <c:v>36.200000000000003</c:v>
                </c:pt>
                <c:pt idx="114">
                  <c:v>36.4</c:v>
                </c:pt>
                <c:pt idx="115">
                  <c:v>36.5</c:v>
                </c:pt>
                <c:pt idx="116">
                  <c:v>36.700000000000003</c:v>
                </c:pt>
                <c:pt idx="117">
                  <c:v>36.9</c:v>
                </c:pt>
                <c:pt idx="118">
                  <c:v>37.1</c:v>
                </c:pt>
                <c:pt idx="119">
                  <c:v>37.200000000000003</c:v>
                </c:pt>
                <c:pt idx="120">
                  <c:v>37.299999999999997</c:v>
                </c:pt>
                <c:pt idx="121">
                  <c:v>37.6</c:v>
                </c:pt>
                <c:pt idx="122">
                  <c:v>37.799999999999997</c:v>
                </c:pt>
                <c:pt idx="123">
                  <c:v>38.1</c:v>
                </c:pt>
                <c:pt idx="124">
                  <c:v>38.1</c:v>
                </c:pt>
                <c:pt idx="125">
                  <c:v>38.299999999999997</c:v>
                </c:pt>
                <c:pt idx="126">
                  <c:v>38.5</c:v>
                </c:pt>
                <c:pt idx="127">
                  <c:v>38.700000000000003</c:v>
                </c:pt>
                <c:pt idx="128">
                  <c:v>38.9</c:v>
                </c:pt>
                <c:pt idx="129">
                  <c:v>39.1</c:v>
                </c:pt>
                <c:pt idx="130">
                  <c:v>39.200000000000003</c:v>
                </c:pt>
                <c:pt idx="131">
                  <c:v>39.4</c:v>
                </c:pt>
                <c:pt idx="132">
                  <c:v>39.6</c:v>
                </c:pt>
                <c:pt idx="133">
                  <c:v>39.799999999999997</c:v>
                </c:pt>
                <c:pt idx="134">
                  <c:v>40.1</c:v>
                </c:pt>
                <c:pt idx="135">
                  <c:v>40.4</c:v>
                </c:pt>
                <c:pt idx="136">
                  <c:v>40.5</c:v>
                </c:pt>
                <c:pt idx="137">
                  <c:v>40.799999999999997</c:v>
                </c:pt>
                <c:pt idx="138">
                  <c:v>40.9</c:v>
                </c:pt>
                <c:pt idx="139">
                  <c:v>41.1</c:v>
                </c:pt>
                <c:pt idx="140">
                  <c:v>41.3</c:v>
                </c:pt>
                <c:pt idx="141">
                  <c:v>41.5</c:v>
                </c:pt>
                <c:pt idx="142">
                  <c:v>41.8</c:v>
                </c:pt>
                <c:pt idx="143">
                  <c:v>42</c:v>
                </c:pt>
                <c:pt idx="144">
                  <c:v>42.1</c:v>
                </c:pt>
                <c:pt idx="145">
                  <c:v>42.2</c:v>
                </c:pt>
                <c:pt idx="146">
                  <c:v>42.2</c:v>
                </c:pt>
                <c:pt idx="147">
                  <c:v>42.4</c:v>
                </c:pt>
                <c:pt idx="148">
                  <c:v>42.6</c:v>
                </c:pt>
                <c:pt idx="149">
                  <c:v>42.8</c:v>
                </c:pt>
                <c:pt idx="150">
                  <c:v>42.9</c:v>
                </c:pt>
                <c:pt idx="151">
                  <c:v>43</c:v>
                </c:pt>
                <c:pt idx="152">
                  <c:v>43</c:v>
                </c:pt>
                <c:pt idx="153">
                  <c:v>43.1</c:v>
                </c:pt>
                <c:pt idx="154">
                  <c:v>43.2</c:v>
                </c:pt>
                <c:pt idx="155">
                  <c:v>43.3</c:v>
                </c:pt>
                <c:pt idx="156">
                  <c:v>43.5</c:v>
                </c:pt>
                <c:pt idx="157">
                  <c:v>43.6</c:v>
                </c:pt>
                <c:pt idx="158">
                  <c:v>43.6</c:v>
                </c:pt>
                <c:pt idx="159">
                  <c:v>43.8</c:v>
                </c:pt>
                <c:pt idx="160">
                  <c:v>43.9</c:v>
                </c:pt>
                <c:pt idx="161">
                  <c:v>44</c:v>
                </c:pt>
                <c:pt idx="162">
                  <c:v>44.1</c:v>
                </c:pt>
                <c:pt idx="163">
                  <c:v>44.3</c:v>
                </c:pt>
                <c:pt idx="164">
                  <c:v>44.3</c:v>
                </c:pt>
                <c:pt idx="165">
                  <c:v>44.4</c:v>
                </c:pt>
                <c:pt idx="166">
                  <c:v>44.4</c:v>
                </c:pt>
                <c:pt idx="167">
                  <c:v>44.6</c:v>
                </c:pt>
                <c:pt idx="168">
                  <c:v>44.6</c:v>
                </c:pt>
                <c:pt idx="169">
                  <c:v>44.8</c:v>
                </c:pt>
                <c:pt idx="170">
                  <c:v>45</c:v>
                </c:pt>
                <c:pt idx="171">
                  <c:v>45.1</c:v>
                </c:pt>
                <c:pt idx="172">
                  <c:v>45.3</c:v>
                </c:pt>
                <c:pt idx="173">
                  <c:v>45.4</c:v>
                </c:pt>
                <c:pt idx="174">
                  <c:v>45.5</c:v>
                </c:pt>
                <c:pt idx="175">
                  <c:v>45.7</c:v>
                </c:pt>
                <c:pt idx="176">
                  <c:v>46</c:v>
                </c:pt>
                <c:pt idx="177">
                  <c:v>46.3</c:v>
                </c:pt>
                <c:pt idx="178">
                  <c:v>46.5</c:v>
                </c:pt>
                <c:pt idx="179">
                  <c:v>46.7</c:v>
                </c:pt>
                <c:pt idx="180">
                  <c:v>46.9</c:v>
                </c:pt>
                <c:pt idx="181">
                  <c:v>47.2</c:v>
                </c:pt>
                <c:pt idx="182">
                  <c:v>47.6</c:v>
                </c:pt>
                <c:pt idx="183">
                  <c:v>47.9</c:v>
                </c:pt>
                <c:pt idx="184">
                  <c:v>48.5</c:v>
                </c:pt>
                <c:pt idx="185">
                  <c:v>49</c:v>
                </c:pt>
                <c:pt idx="186">
                  <c:v>49.5</c:v>
                </c:pt>
                <c:pt idx="187">
                  <c:v>50.2</c:v>
                </c:pt>
                <c:pt idx="188">
                  <c:v>50.7</c:v>
                </c:pt>
                <c:pt idx="189">
                  <c:v>51.2</c:v>
                </c:pt>
                <c:pt idx="190">
                  <c:v>51.6</c:v>
                </c:pt>
                <c:pt idx="191">
                  <c:v>52</c:v>
                </c:pt>
                <c:pt idx="192">
                  <c:v>52.3</c:v>
                </c:pt>
                <c:pt idx="193">
                  <c:v>52.8</c:v>
                </c:pt>
                <c:pt idx="194">
                  <c:v>53</c:v>
                </c:pt>
                <c:pt idx="195">
                  <c:v>53.3</c:v>
                </c:pt>
                <c:pt idx="196">
                  <c:v>53.5</c:v>
                </c:pt>
                <c:pt idx="197">
                  <c:v>53.8</c:v>
                </c:pt>
                <c:pt idx="198">
                  <c:v>54</c:v>
                </c:pt>
                <c:pt idx="199">
                  <c:v>54.2</c:v>
                </c:pt>
                <c:pt idx="200">
                  <c:v>54.5</c:v>
                </c:pt>
                <c:pt idx="201">
                  <c:v>54.8</c:v>
                </c:pt>
                <c:pt idx="202">
                  <c:v>55.2</c:v>
                </c:pt>
                <c:pt idx="203">
                  <c:v>55.5</c:v>
                </c:pt>
                <c:pt idx="204">
                  <c:v>55.9</c:v>
                </c:pt>
                <c:pt idx="205">
                  <c:v>56.2</c:v>
                </c:pt>
                <c:pt idx="206">
                  <c:v>56.5</c:v>
                </c:pt>
                <c:pt idx="207">
                  <c:v>56.7</c:v>
                </c:pt>
                <c:pt idx="208">
                  <c:v>57</c:v>
                </c:pt>
                <c:pt idx="209">
                  <c:v>57.2</c:v>
                </c:pt>
                <c:pt idx="210">
                  <c:v>57.6</c:v>
                </c:pt>
                <c:pt idx="211">
                  <c:v>57.9</c:v>
                </c:pt>
                <c:pt idx="212">
                  <c:v>58.2</c:v>
                </c:pt>
                <c:pt idx="213">
                  <c:v>58.5</c:v>
                </c:pt>
                <c:pt idx="214">
                  <c:v>58.7</c:v>
                </c:pt>
                <c:pt idx="215">
                  <c:v>58.9</c:v>
                </c:pt>
                <c:pt idx="216">
                  <c:v>59.3</c:v>
                </c:pt>
                <c:pt idx="217">
                  <c:v>59.7</c:v>
                </c:pt>
                <c:pt idx="218">
                  <c:v>60</c:v>
                </c:pt>
                <c:pt idx="219">
                  <c:v>60.3</c:v>
                </c:pt>
                <c:pt idx="220">
                  <c:v>60.6</c:v>
                </c:pt>
                <c:pt idx="221">
                  <c:v>61</c:v>
                </c:pt>
                <c:pt idx="222">
                  <c:v>61.2</c:v>
                </c:pt>
                <c:pt idx="223">
                  <c:v>61.5</c:v>
                </c:pt>
                <c:pt idx="224">
                  <c:v>61.8</c:v>
                </c:pt>
                <c:pt idx="225">
                  <c:v>62</c:v>
                </c:pt>
                <c:pt idx="226">
                  <c:v>62.3</c:v>
                </c:pt>
                <c:pt idx="227">
                  <c:v>62.7</c:v>
                </c:pt>
                <c:pt idx="228">
                  <c:v>63.1</c:v>
                </c:pt>
                <c:pt idx="229">
                  <c:v>63.4</c:v>
                </c:pt>
                <c:pt idx="230">
                  <c:v>63.8</c:v>
                </c:pt>
                <c:pt idx="231">
                  <c:v>64.3</c:v>
                </c:pt>
                <c:pt idx="232">
                  <c:v>64.7</c:v>
                </c:pt>
                <c:pt idx="233">
                  <c:v>65.2</c:v>
                </c:pt>
                <c:pt idx="234">
                  <c:v>65.599999999999994</c:v>
                </c:pt>
                <c:pt idx="235">
                  <c:v>66.099999999999994</c:v>
                </c:pt>
                <c:pt idx="236">
                  <c:v>66.7</c:v>
                </c:pt>
                <c:pt idx="237">
                  <c:v>67.2</c:v>
                </c:pt>
                <c:pt idx="238">
                  <c:v>67.599999999999994</c:v>
                </c:pt>
                <c:pt idx="239">
                  <c:v>68</c:v>
                </c:pt>
                <c:pt idx="240">
                  <c:v>68.5</c:v>
                </c:pt>
                <c:pt idx="241">
                  <c:v>69.2</c:v>
                </c:pt>
                <c:pt idx="242">
                  <c:v>69.8</c:v>
                </c:pt>
                <c:pt idx="243">
                  <c:v>70.3</c:v>
                </c:pt>
                <c:pt idx="244">
                  <c:v>70.8</c:v>
                </c:pt>
                <c:pt idx="245">
                  <c:v>71.3</c:v>
                </c:pt>
                <c:pt idx="246">
                  <c:v>71.900000000000006</c:v>
                </c:pt>
                <c:pt idx="247">
                  <c:v>72.7</c:v>
                </c:pt>
                <c:pt idx="248">
                  <c:v>73.3</c:v>
                </c:pt>
                <c:pt idx="249">
                  <c:v>74</c:v>
                </c:pt>
                <c:pt idx="250">
                  <c:v>74.8</c:v>
                </c:pt>
                <c:pt idx="251">
                  <c:v>75.7</c:v>
                </c:pt>
                <c:pt idx="252">
                  <c:v>76.7</c:v>
                </c:pt>
                <c:pt idx="253">
                  <c:v>77.5</c:v>
                </c:pt>
                <c:pt idx="254">
                  <c:v>78.599999999999994</c:v>
                </c:pt>
                <c:pt idx="255">
                  <c:v>79.5</c:v>
                </c:pt>
                <c:pt idx="256">
                  <c:v>80.099999999999994</c:v>
                </c:pt>
                <c:pt idx="257">
                  <c:v>81</c:v>
                </c:pt>
                <c:pt idx="258">
                  <c:v>80.8</c:v>
                </c:pt>
                <c:pt idx="259">
                  <c:v>81.3</c:v>
                </c:pt>
                <c:pt idx="260">
                  <c:v>82.1</c:v>
                </c:pt>
                <c:pt idx="261">
                  <c:v>83</c:v>
                </c:pt>
                <c:pt idx="262">
                  <c:v>83.9</c:v>
                </c:pt>
                <c:pt idx="263">
                  <c:v>84.9</c:v>
                </c:pt>
                <c:pt idx="264">
                  <c:v>85.4</c:v>
                </c:pt>
                <c:pt idx="265">
                  <c:v>85.9</c:v>
                </c:pt>
                <c:pt idx="266">
                  <c:v>86.4</c:v>
                </c:pt>
                <c:pt idx="267">
                  <c:v>87</c:v>
                </c:pt>
                <c:pt idx="268">
                  <c:v>87.8</c:v>
                </c:pt>
                <c:pt idx="269">
                  <c:v>88.6</c:v>
                </c:pt>
                <c:pt idx="270">
                  <c:v>89.8</c:v>
                </c:pt>
                <c:pt idx="271">
                  <c:v>90.7</c:v>
                </c:pt>
                <c:pt idx="272">
                  <c:v>91.8</c:v>
                </c:pt>
                <c:pt idx="273">
                  <c:v>92.1</c:v>
                </c:pt>
                <c:pt idx="274">
                  <c:v>92.5</c:v>
                </c:pt>
                <c:pt idx="275">
                  <c:v>93</c:v>
                </c:pt>
                <c:pt idx="276">
                  <c:v>93.3</c:v>
                </c:pt>
                <c:pt idx="277">
                  <c:v>93.8</c:v>
                </c:pt>
                <c:pt idx="278">
                  <c:v>93.9</c:v>
                </c:pt>
                <c:pt idx="279">
                  <c:v>94.7</c:v>
                </c:pt>
                <c:pt idx="280">
                  <c:v>95.4</c:v>
                </c:pt>
                <c:pt idx="281">
                  <c:v>96.1</c:v>
                </c:pt>
                <c:pt idx="282">
                  <c:v>96.7</c:v>
                </c:pt>
                <c:pt idx="283">
                  <c:v>97.1</c:v>
                </c:pt>
                <c:pt idx="284">
                  <c:v>97.2</c:v>
                </c:pt>
                <c:pt idx="285">
                  <c:v>97.5</c:v>
                </c:pt>
                <c:pt idx="286">
                  <c:v>97.3</c:v>
                </c:pt>
                <c:pt idx="287">
                  <c:v>97.2</c:v>
                </c:pt>
                <c:pt idx="288">
                  <c:v>97.6</c:v>
                </c:pt>
                <c:pt idx="289">
                  <c:v>98</c:v>
                </c:pt>
                <c:pt idx="290">
                  <c:v>98.2</c:v>
                </c:pt>
                <c:pt idx="291">
                  <c:v>98.6</c:v>
                </c:pt>
                <c:pt idx="292">
                  <c:v>98.9</c:v>
                </c:pt>
                <c:pt idx="293">
                  <c:v>99.2</c:v>
                </c:pt>
                <c:pt idx="294">
                  <c:v>99.8</c:v>
                </c:pt>
                <c:pt idx="295">
                  <c:v>100.1</c:v>
                </c:pt>
                <c:pt idx="296">
                  <c:v>100.5</c:v>
                </c:pt>
                <c:pt idx="297">
                  <c:v>101</c:v>
                </c:pt>
                <c:pt idx="298">
                  <c:v>101.5</c:v>
                </c:pt>
                <c:pt idx="299">
                  <c:v>101.8</c:v>
                </c:pt>
                <c:pt idx="300">
                  <c:v>102.5</c:v>
                </c:pt>
                <c:pt idx="301">
                  <c:v>102.8</c:v>
                </c:pt>
                <c:pt idx="302">
                  <c:v>103.2</c:v>
                </c:pt>
                <c:pt idx="303">
                  <c:v>103.7</c:v>
                </c:pt>
                <c:pt idx="304">
                  <c:v>104.1</c:v>
                </c:pt>
                <c:pt idx="305">
                  <c:v>104.5</c:v>
                </c:pt>
                <c:pt idx="306">
                  <c:v>105</c:v>
                </c:pt>
                <c:pt idx="307">
                  <c:v>105.4</c:v>
                </c:pt>
                <c:pt idx="308">
                  <c:v>105.8</c:v>
                </c:pt>
                <c:pt idx="309">
                  <c:v>106.2</c:v>
                </c:pt>
                <c:pt idx="310">
                  <c:v>106.4</c:v>
                </c:pt>
                <c:pt idx="311">
                  <c:v>106.8</c:v>
                </c:pt>
                <c:pt idx="312">
                  <c:v>107.1</c:v>
                </c:pt>
                <c:pt idx="313">
                  <c:v>107.7</c:v>
                </c:pt>
                <c:pt idx="314">
                  <c:v>108.1</c:v>
                </c:pt>
                <c:pt idx="315">
                  <c:v>108.4</c:v>
                </c:pt>
                <c:pt idx="316">
                  <c:v>108.8</c:v>
                </c:pt>
                <c:pt idx="317">
                  <c:v>109.1</c:v>
                </c:pt>
                <c:pt idx="318">
                  <c:v>109.4</c:v>
                </c:pt>
                <c:pt idx="319">
                  <c:v>109.8</c:v>
                </c:pt>
                <c:pt idx="320">
                  <c:v>110</c:v>
                </c:pt>
                <c:pt idx="321">
                  <c:v>110.5</c:v>
                </c:pt>
                <c:pt idx="322">
                  <c:v>111.1</c:v>
                </c:pt>
                <c:pt idx="323">
                  <c:v>111.4</c:v>
                </c:pt>
                <c:pt idx="324">
                  <c:v>111.9</c:v>
                </c:pt>
                <c:pt idx="325">
                  <c:v>112.2</c:v>
                </c:pt>
                <c:pt idx="326">
                  <c:v>112.5</c:v>
                </c:pt>
                <c:pt idx="327">
                  <c:v>112.9</c:v>
                </c:pt>
                <c:pt idx="328">
                  <c:v>113.1</c:v>
                </c:pt>
                <c:pt idx="329">
                  <c:v>113.4</c:v>
                </c:pt>
                <c:pt idx="330">
                  <c:v>113.8</c:v>
                </c:pt>
                <c:pt idx="331">
                  <c:v>114.2</c:v>
                </c:pt>
                <c:pt idx="332">
                  <c:v>114.6</c:v>
                </c:pt>
                <c:pt idx="333">
                  <c:v>115</c:v>
                </c:pt>
                <c:pt idx="334">
                  <c:v>115.3</c:v>
                </c:pt>
                <c:pt idx="335">
                  <c:v>115.6</c:v>
                </c:pt>
                <c:pt idx="336">
                  <c:v>115.9</c:v>
                </c:pt>
                <c:pt idx="337">
                  <c:v>116.2</c:v>
                </c:pt>
                <c:pt idx="338">
                  <c:v>116.6</c:v>
                </c:pt>
                <c:pt idx="339">
                  <c:v>117.3</c:v>
                </c:pt>
                <c:pt idx="340">
                  <c:v>117.7</c:v>
                </c:pt>
                <c:pt idx="341">
                  <c:v>117.9</c:v>
                </c:pt>
                <c:pt idx="342">
                  <c:v>118.3</c:v>
                </c:pt>
                <c:pt idx="343">
                  <c:v>118.7</c:v>
                </c:pt>
                <c:pt idx="344">
                  <c:v>119.2</c:v>
                </c:pt>
                <c:pt idx="345">
                  <c:v>119.8</c:v>
                </c:pt>
                <c:pt idx="346">
                  <c:v>120.1</c:v>
                </c:pt>
                <c:pt idx="347">
                  <c:v>120.4</c:v>
                </c:pt>
                <c:pt idx="348">
                  <c:v>120.9</c:v>
                </c:pt>
                <c:pt idx="349">
                  <c:v>121.2</c:v>
                </c:pt>
                <c:pt idx="350">
                  <c:v>121.7</c:v>
                </c:pt>
                <c:pt idx="351">
                  <c:v>122.3</c:v>
                </c:pt>
                <c:pt idx="352">
                  <c:v>122.7</c:v>
                </c:pt>
                <c:pt idx="353">
                  <c:v>123.2</c:v>
                </c:pt>
                <c:pt idx="354">
                  <c:v>123.6</c:v>
                </c:pt>
                <c:pt idx="355">
                  <c:v>124</c:v>
                </c:pt>
                <c:pt idx="356">
                  <c:v>124.7</c:v>
                </c:pt>
                <c:pt idx="357">
                  <c:v>125.2</c:v>
                </c:pt>
                <c:pt idx="358">
                  <c:v>125.6</c:v>
                </c:pt>
                <c:pt idx="359">
                  <c:v>126</c:v>
                </c:pt>
                <c:pt idx="360">
                  <c:v>126.5</c:v>
                </c:pt>
                <c:pt idx="361">
                  <c:v>126.9</c:v>
                </c:pt>
                <c:pt idx="362">
                  <c:v>127.4</c:v>
                </c:pt>
                <c:pt idx="363">
                  <c:v>127.8</c:v>
                </c:pt>
                <c:pt idx="364">
                  <c:v>128.30000000000001</c:v>
                </c:pt>
                <c:pt idx="365">
                  <c:v>128.80000000000001</c:v>
                </c:pt>
                <c:pt idx="366">
                  <c:v>129.19999999999999</c:v>
                </c:pt>
                <c:pt idx="367">
                  <c:v>129.5</c:v>
                </c:pt>
                <c:pt idx="368">
                  <c:v>129.9</c:v>
                </c:pt>
                <c:pt idx="369">
                  <c:v>130.6</c:v>
                </c:pt>
                <c:pt idx="370">
                  <c:v>131.1</c:v>
                </c:pt>
                <c:pt idx="371">
                  <c:v>131.6</c:v>
                </c:pt>
                <c:pt idx="372">
                  <c:v>132.1</c:v>
                </c:pt>
                <c:pt idx="373">
                  <c:v>132.69999999999999</c:v>
                </c:pt>
                <c:pt idx="374">
                  <c:v>133.5</c:v>
                </c:pt>
                <c:pt idx="375">
                  <c:v>134</c:v>
                </c:pt>
                <c:pt idx="376">
                  <c:v>134.4</c:v>
                </c:pt>
                <c:pt idx="377">
                  <c:v>135.1</c:v>
                </c:pt>
                <c:pt idx="378">
                  <c:v>135.80000000000001</c:v>
                </c:pt>
                <c:pt idx="379">
                  <c:v>136.6</c:v>
                </c:pt>
                <c:pt idx="380">
                  <c:v>137.1</c:v>
                </c:pt>
                <c:pt idx="381">
                  <c:v>137.6</c:v>
                </c:pt>
                <c:pt idx="382">
                  <c:v>138</c:v>
                </c:pt>
                <c:pt idx="383">
                  <c:v>138.6</c:v>
                </c:pt>
                <c:pt idx="384">
                  <c:v>139.5</c:v>
                </c:pt>
                <c:pt idx="385">
                  <c:v>140.19999999999999</c:v>
                </c:pt>
                <c:pt idx="386">
                  <c:v>140.5</c:v>
                </c:pt>
                <c:pt idx="387">
                  <c:v>140.9</c:v>
                </c:pt>
                <c:pt idx="388">
                  <c:v>141.30000000000001</c:v>
                </c:pt>
                <c:pt idx="389">
                  <c:v>141.80000000000001</c:v>
                </c:pt>
                <c:pt idx="390">
                  <c:v>142.30000000000001</c:v>
                </c:pt>
                <c:pt idx="391">
                  <c:v>142.9</c:v>
                </c:pt>
                <c:pt idx="392">
                  <c:v>143.4</c:v>
                </c:pt>
                <c:pt idx="393">
                  <c:v>143.69999999999999</c:v>
                </c:pt>
                <c:pt idx="394">
                  <c:v>144.19999999999999</c:v>
                </c:pt>
                <c:pt idx="395">
                  <c:v>144.69999999999999</c:v>
                </c:pt>
                <c:pt idx="396">
                  <c:v>145.1</c:v>
                </c:pt>
                <c:pt idx="397">
                  <c:v>145.4</c:v>
                </c:pt>
                <c:pt idx="398">
                  <c:v>145.9</c:v>
                </c:pt>
                <c:pt idx="399">
                  <c:v>146.30000000000001</c:v>
                </c:pt>
                <c:pt idx="400">
                  <c:v>146.80000000000001</c:v>
                </c:pt>
                <c:pt idx="401">
                  <c:v>147.1</c:v>
                </c:pt>
                <c:pt idx="402">
                  <c:v>147.6</c:v>
                </c:pt>
                <c:pt idx="403">
                  <c:v>147.9</c:v>
                </c:pt>
                <c:pt idx="404">
                  <c:v>148.1</c:v>
                </c:pt>
                <c:pt idx="405">
                  <c:v>148.80000000000001</c:v>
                </c:pt>
                <c:pt idx="406">
                  <c:v>149.19999999999999</c:v>
                </c:pt>
                <c:pt idx="407">
                  <c:v>149.6</c:v>
                </c:pt>
                <c:pt idx="408">
                  <c:v>150.1</c:v>
                </c:pt>
                <c:pt idx="409">
                  <c:v>150.6</c:v>
                </c:pt>
                <c:pt idx="410">
                  <c:v>150.80000000000001</c:v>
                </c:pt>
                <c:pt idx="411">
                  <c:v>151.4</c:v>
                </c:pt>
                <c:pt idx="412">
                  <c:v>151.80000000000001</c:v>
                </c:pt>
                <c:pt idx="413">
                  <c:v>152.1</c:v>
                </c:pt>
                <c:pt idx="414">
                  <c:v>152.30000000000001</c:v>
                </c:pt>
                <c:pt idx="415">
                  <c:v>152.80000000000001</c:v>
                </c:pt>
                <c:pt idx="416">
                  <c:v>152.9</c:v>
                </c:pt>
                <c:pt idx="417">
                  <c:v>153.4</c:v>
                </c:pt>
                <c:pt idx="418">
                  <c:v>153.9</c:v>
                </c:pt>
                <c:pt idx="419">
                  <c:v>154.30000000000001</c:v>
                </c:pt>
                <c:pt idx="420">
                  <c:v>154.5</c:v>
                </c:pt>
                <c:pt idx="421">
                  <c:v>154.80000000000001</c:v>
                </c:pt>
                <c:pt idx="422">
                  <c:v>155.30000000000001</c:v>
                </c:pt>
                <c:pt idx="423">
                  <c:v>155.5</c:v>
                </c:pt>
                <c:pt idx="424">
                  <c:v>155.9</c:v>
                </c:pt>
                <c:pt idx="425">
                  <c:v>156.4</c:v>
                </c:pt>
                <c:pt idx="426">
                  <c:v>156.69999999999999</c:v>
                </c:pt>
                <c:pt idx="427">
                  <c:v>157.1</c:v>
                </c:pt>
                <c:pt idx="428">
                  <c:v>157.5</c:v>
                </c:pt>
                <c:pt idx="429">
                  <c:v>157.80000000000001</c:v>
                </c:pt>
                <c:pt idx="430">
                  <c:v>158.19999999999999</c:v>
                </c:pt>
                <c:pt idx="431">
                  <c:v>158.30000000000001</c:v>
                </c:pt>
                <c:pt idx="432">
                  <c:v>159</c:v>
                </c:pt>
                <c:pt idx="433">
                  <c:v>159.4</c:v>
                </c:pt>
                <c:pt idx="434">
                  <c:v>159.9</c:v>
                </c:pt>
                <c:pt idx="435">
                  <c:v>160.4</c:v>
                </c:pt>
                <c:pt idx="436">
                  <c:v>160.69999999999999</c:v>
                </c:pt>
                <c:pt idx="437">
                  <c:v>161.1</c:v>
                </c:pt>
                <c:pt idx="438">
                  <c:v>161.4</c:v>
                </c:pt>
                <c:pt idx="439">
                  <c:v>161.80000000000001</c:v>
                </c:pt>
                <c:pt idx="440">
                  <c:v>162.19999999999999</c:v>
                </c:pt>
                <c:pt idx="441">
                  <c:v>162.69999999999999</c:v>
                </c:pt>
                <c:pt idx="442">
                  <c:v>163</c:v>
                </c:pt>
                <c:pt idx="443">
                  <c:v>163.1</c:v>
                </c:pt>
                <c:pt idx="444">
                  <c:v>163.69999999999999</c:v>
                </c:pt>
                <c:pt idx="445">
                  <c:v>164</c:v>
                </c:pt>
                <c:pt idx="446">
                  <c:v>164.4</c:v>
                </c:pt>
                <c:pt idx="447">
                  <c:v>164.6</c:v>
                </c:pt>
                <c:pt idx="448">
                  <c:v>165</c:v>
                </c:pt>
                <c:pt idx="449">
                  <c:v>165.4</c:v>
                </c:pt>
                <c:pt idx="450">
                  <c:v>165.7</c:v>
                </c:pt>
                <c:pt idx="451">
                  <c:v>166</c:v>
                </c:pt>
                <c:pt idx="452">
                  <c:v>166.5</c:v>
                </c:pt>
                <c:pt idx="453">
                  <c:v>166.8</c:v>
                </c:pt>
                <c:pt idx="454">
                  <c:v>167.2</c:v>
                </c:pt>
                <c:pt idx="455">
                  <c:v>167.4</c:v>
                </c:pt>
                <c:pt idx="456">
                  <c:v>167.8</c:v>
                </c:pt>
                <c:pt idx="457">
                  <c:v>168.1</c:v>
                </c:pt>
                <c:pt idx="458">
                  <c:v>168.4</c:v>
                </c:pt>
                <c:pt idx="459">
                  <c:v>168.9</c:v>
                </c:pt>
                <c:pt idx="460">
                  <c:v>169.2</c:v>
                </c:pt>
                <c:pt idx="461">
                  <c:v>169.4</c:v>
                </c:pt>
                <c:pt idx="462">
                  <c:v>169.7</c:v>
                </c:pt>
                <c:pt idx="463">
                  <c:v>169.8</c:v>
                </c:pt>
                <c:pt idx="464">
                  <c:v>170.2</c:v>
                </c:pt>
                <c:pt idx="465">
                  <c:v>170.6</c:v>
                </c:pt>
                <c:pt idx="466">
                  <c:v>170.8</c:v>
                </c:pt>
                <c:pt idx="467">
                  <c:v>171.2</c:v>
                </c:pt>
                <c:pt idx="468">
                  <c:v>171.6</c:v>
                </c:pt>
                <c:pt idx="469">
                  <c:v>171.9</c:v>
                </c:pt>
                <c:pt idx="470">
                  <c:v>172.2</c:v>
                </c:pt>
                <c:pt idx="471">
                  <c:v>172.5</c:v>
                </c:pt>
                <c:pt idx="472">
                  <c:v>172.9</c:v>
                </c:pt>
                <c:pt idx="473">
                  <c:v>173.2</c:v>
                </c:pt>
                <c:pt idx="474">
                  <c:v>173.5</c:v>
                </c:pt>
                <c:pt idx="475">
                  <c:v>174</c:v>
                </c:pt>
                <c:pt idx="476">
                  <c:v>174.2</c:v>
                </c:pt>
                <c:pt idx="477">
                  <c:v>174.4</c:v>
                </c:pt>
                <c:pt idx="478">
                  <c:v>174.8</c:v>
                </c:pt>
                <c:pt idx="479">
                  <c:v>175.4</c:v>
                </c:pt>
                <c:pt idx="480">
                  <c:v>175.6</c:v>
                </c:pt>
                <c:pt idx="481">
                  <c:v>175.6</c:v>
                </c:pt>
                <c:pt idx="482">
                  <c:v>175.7</c:v>
                </c:pt>
                <c:pt idx="483">
                  <c:v>176.3</c:v>
                </c:pt>
                <c:pt idx="484">
                  <c:v>176.5</c:v>
                </c:pt>
                <c:pt idx="485">
                  <c:v>176.6</c:v>
                </c:pt>
                <c:pt idx="486">
                  <c:v>177.1</c:v>
                </c:pt>
                <c:pt idx="487">
                  <c:v>177.3</c:v>
                </c:pt>
                <c:pt idx="488">
                  <c:v>177.8</c:v>
                </c:pt>
                <c:pt idx="489">
                  <c:v>178.1</c:v>
                </c:pt>
                <c:pt idx="490">
                  <c:v>178.4</c:v>
                </c:pt>
                <c:pt idx="491">
                  <c:v>178.7</c:v>
                </c:pt>
                <c:pt idx="492">
                  <c:v>179.3</c:v>
                </c:pt>
                <c:pt idx="493">
                  <c:v>179.4</c:v>
                </c:pt>
                <c:pt idx="494">
                  <c:v>180</c:v>
                </c:pt>
                <c:pt idx="495">
                  <c:v>180.3</c:v>
                </c:pt>
                <c:pt idx="496">
                  <c:v>180.7</c:v>
                </c:pt>
                <c:pt idx="497">
                  <c:v>181.1</c:v>
                </c:pt>
                <c:pt idx="498">
                  <c:v>181.5</c:v>
                </c:pt>
                <c:pt idx="499">
                  <c:v>181.9</c:v>
                </c:pt>
                <c:pt idx="500">
                  <c:v>182.3</c:v>
                </c:pt>
                <c:pt idx="501">
                  <c:v>182.6</c:v>
                </c:pt>
                <c:pt idx="502">
                  <c:v>183.1</c:v>
                </c:pt>
                <c:pt idx="503">
                  <c:v>183.3</c:v>
                </c:pt>
                <c:pt idx="504">
                  <c:v>183.9</c:v>
                </c:pt>
                <c:pt idx="505">
                  <c:v>184.4</c:v>
                </c:pt>
                <c:pt idx="506">
                  <c:v>184.7</c:v>
                </c:pt>
                <c:pt idx="507">
                  <c:v>185.1</c:v>
                </c:pt>
                <c:pt idx="508">
                  <c:v>185.3</c:v>
                </c:pt>
                <c:pt idx="509">
                  <c:v>186</c:v>
                </c:pt>
                <c:pt idx="510">
                  <c:v>186.4</c:v>
                </c:pt>
                <c:pt idx="511">
                  <c:v>186.7</c:v>
                </c:pt>
                <c:pt idx="512">
                  <c:v>187.1</c:v>
                </c:pt>
                <c:pt idx="513">
                  <c:v>187.4</c:v>
                </c:pt>
                <c:pt idx="514">
                  <c:v>188.1</c:v>
                </c:pt>
                <c:pt idx="515">
                  <c:v>188.4</c:v>
                </c:pt>
                <c:pt idx="516">
                  <c:v>188.7</c:v>
                </c:pt>
                <c:pt idx="517">
                  <c:v>189.1</c:v>
                </c:pt>
                <c:pt idx="518">
                  <c:v>189.2</c:v>
                </c:pt>
                <c:pt idx="519">
                  <c:v>189.7</c:v>
                </c:pt>
                <c:pt idx="520">
                  <c:v>190</c:v>
                </c:pt>
                <c:pt idx="521">
                  <c:v>190.2</c:v>
                </c:pt>
                <c:pt idx="522">
                  <c:v>190.5</c:v>
                </c:pt>
                <c:pt idx="523">
                  <c:v>191.1</c:v>
                </c:pt>
                <c:pt idx="524">
                  <c:v>191.3</c:v>
                </c:pt>
                <c:pt idx="525">
                  <c:v>191.5</c:v>
                </c:pt>
                <c:pt idx="526">
                  <c:v>191.9</c:v>
                </c:pt>
                <c:pt idx="527">
                  <c:v>192.1</c:v>
                </c:pt>
                <c:pt idx="528">
                  <c:v>192.4</c:v>
                </c:pt>
                <c:pt idx="529">
                  <c:v>192.5</c:v>
                </c:pt>
                <c:pt idx="530">
                  <c:v>192.5</c:v>
                </c:pt>
                <c:pt idx="531">
                  <c:v>192.5</c:v>
                </c:pt>
                <c:pt idx="532">
                  <c:v>192.9</c:v>
                </c:pt>
                <c:pt idx="533">
                  <c:v>193</c:v>
                </c:pt>
                <c:pt idx="534">
                  <c:v>193.4</c:v>
                </c:pt>
                <c:pt idx="535">
                  <c:v>193.6</c:v>
                </c:pt>
                <c:pt idx="536">
                  <c:v>193.7</c:v>
                </c:pt>
                <c:pt idx="537">
                  <c:v>194</c:v>
                </c:pt>
                <c:pt idx="538">
                  <c:v>194</c:v>
                </c:pt>
                <c:pt idx="539">
                  <c:v>194.2</c:v>
                </c:pt>
                <c:pt idx="540">
                  <c:v>194.6</c:v>
                </c:pt>
                <c:pt idx="541">
                  <c:v>194.9</c:v>
                </c:pt>
                <c:pt idx="542">
                  <c:v>195.5</c:v>
                </c:pt>
                <c:pt idx="543">
                  <c:v>195.9</c:v>
                </c:pt>
                <c:pt idx="544">
                  <c:v>196.2</c:v>
                </c:pt>
                <c:pt idx="545">
                  <c:v>196.6</c:v>
                </c:pt>
                <c:pt idx="546">
                  <c:v>196.8</c:v>
                </c:pt>
                <c:pt idx="547">
                  <c:v>196.9</c:v>
                </c:pt>
                <c:pt idx="548">
                  <c:v>197.5</c:v>
                </c:pt>
                <c:pt idx="549">
                  <c:v>197.9</c:v>
                </c:pt>
                <c:pt idx="550">
                  <c:v>198.3</c:v>
                </c:pt>
                <c:pt idx="551">
                  <c:v>198.6</c:v>
                </c:pt>
                <c:pt idx="552">
                  <c:v>199</c:v>
                </c:pt>
                <c:pt idx="553">
                  <c:v>199.4</c:v>
                </c:pt>
                <c:pt idx="554">
                  <c:v>200.1</c:v>
                </c:pt>
                <c:pt idx="555">
                  <c:v>200.2</c:v>
                </c:pt>
                <c:pt idx="556">
                  <c:v>200.5</c:v>
                </c:pt>
                <c:pt idx="557">
                  <c:v>200.6</c:v>
                </c:pt>
                <c:pt idx="558">
                  <c:v>200.9</c:v>
                </c:pt>
                <c:pt idx="559">
                  <c:v>201.1</c:v>
                </c:pt>
                <c:pt idx="560">
                  <c:v>201.3</c:v>
                </c:pt>
                <c:pt idx="561">
                  <c:v>202</c:v>
                </c:pt>
                <c:pt idx="562">
                  <c:v>202.5</c:v>
                </c:pt>
                <c:pt idx="563">
                  <c:v>202.8</c:v>
                </c:pt>
                <c:pt idx="564">
                  <c:v>203.2</c:v>
                </c:pt>
                <c:pt idx="565">
                  <c:v>203.6</c:v>
                </c:pt>
                <c:pt idx="566">
                  <c:v>204.3</c:v>
                </c:pt>
                <c:pt idx="567">
                  <c:v>204.8</c:v>
                </c:pt>
                <c:pt idx="568">
                  <c:v>205.4</c:v>
                </c:pt>
                <c:pt idx="569">
                  <c:v>205.9</c:v>
                </c:pt>
                <c:pt idx="570">
                  <c:v>206.3</c:v>
                </c:pt>
                <c:pt idx="571">
                  <c:v>206.8</c:v>
                </c:pt>
                <c:pt idx="572">
                  <c:v>207.2</c:v>
                </c:pt>
                <c:pt idx="573">
                  <c:v>207.6</c:v>
                </c:pt>
                <c:pt idx="574">
                  <c:v>207.8</c:v>
                </c:pt>
                <c:pt idx="575">
                  <c:v>208.1</c:v>
                </c:pt>
                <c:pt idx="576">
                  <c:v>208.6</c:v>
                </c:pt>
                <c:pt idx="577">
                  <c:v>209.13499999999999</c:v>
                </c:pt>
                <c:pt idx="578">
                  <c:v>209.41800000000001</c:v>
                </c:pt>
                <c:pt idx="579">
                  <c:v>209.74700000000001</c:v>
                </c:pt>
                <c:pt idx="580">
                  <c:v>210.05799999999999</c:v>
                </c:pt>
                <c:pt idx="581">
                  <c:v>210.392</c:v>
                </c:pt>
                <c:pt idx="582">
                  <c:v>210.773</c:v>
                </c:pt>
                <c:pt idx="583">
                  <c:v>211.119</c:v>
                </c:pt>
                <c:pt idx="584">
                  <c:v>211.554</c:v>
                </c:pt>
                <c:pt idx="585">
                  <c:v>212.077</c:v>
                </c:pt>
                <c:pt idx="586">
                  <c:v>212.66</c:v>
                </c:pt>
                <c:pt idx="587">
                  <c:v>213.16800000000001</c:v>
                </c:pt>
                <c:pt idx="588">
                  <c:v>213.77099999999999</c:v>
                </c:pt>
                <c:pt idx="589">
                  <c:v>213.93899999999999</c:v>
                </c:pt>
                <c:pt idx="590">
                  <c:v>214.42</c:v>
                </c:pt>
                <c:pt idx="591">
                  <c:v>214.56</c:v>
                </c:pt>
                <c:pt idx="592">
                  <c:v>214.93600000000001</c:v>
                </c:pt>
                <c:pt idx="593">
                  <c:v>215.42400000000001</c:v>
                </c:pt>
                <c:pt idx="594">
                  <c:v>215.965</c:v>
                </c:pt>
                <c:pt idx="595">
                  <c:v>216.393</c:v>
                </c:pt>
                <c:pt idx="596">
                  <c:v>216.71299999999999</c:v>
                </c:pt>
                <c:pt idx="597">
                  <c:v>216.78800000000001</c:v>
                </c:pt>
                <c:pt idx="598">
                  <c:v>216.947</c:v>
                </c:pt>
                <c:pt idx="599">
                  <c:v>216.92500000000001</c:v>
                </c:pt>
                <c:pt idx="600">
                  <c:v>217.346</c:v>
                </c:pt>
                <c:pt idx="601">
                  <c:v>217.792</c:v>
                </c:pt>
                <c:pt idx="602">
                  <c:v>218.25299999999999</c:v>
                </c:pt>
                <c:pt idx="603">
                  <c:v>218.70599999999999</c:v>
                </c:pt>
                <c:pt idx="604">
                  <c:v>218.904</c:v>
                </c:pt>
                <c:pt idx="605">
                  <c:v>219.11199999999999</c:v>
                </c:pt>
                <c:pt idx="606">
                  <c:v>219.26300000000001</c:v>
                </c:pt>
                <c:pt idx="607">
                  <c:v>219.49600000000001</c:v>
                </c:pt>
                <c:pt idx="608">
                  <c:v>219.92</c:v>
                </c:pt>
                <c:pt idx="609">
                  <c:v>220.501</c:v>
                </c:pt>
                <c:pt idx="610">
                  <c:v>220.666</c:v>
                </c:pt>
                <c:pt idx="611">
                  <c:v>220.881</c:v>
                </c:pt>
                <c:pt idx="612">
                  <c:v>220.63300000000001</c:v>
                </c:pt>
                <c:pt idx="613">
                  <c:v>220.73099999999999</c:v>
                </c:pt>
                <c:pt idx="614">
                  <c:v>220.78299999999999</c:v>
                </c:pt>
                <c:pt idx="615">
                  <c:v>220.822</c:v>
                </c:pt>
                <c:pt idx="616">
                  <c:v>220.96199999999999</c:v>
                </c:pt>
                <c:pt idx="617">
                  <c:v>221.19399999999999</c:v>
                </c:pt>
                <c:pt idx="618">
                  <c:v>221.363</c:v>
                </c:pt>
                <c:pt idx="619">
                  <c:v>221.50899999999999</c:v>
                </c:pt>
                <c:pt idx="620">
                  <c:v>221.71100000000001</c:v>
                </c:pt>
                <c:pt idx="621">
                  <c:v>221.83</c:v>
                </c:pt>
                <c:pt idx="622">
                  <c:v>222.149</c:v>
                </c:pt>
                <c:pt idx="623">
                  <c:v>222.34299999999999</c:v>
                </c:pt>
                <c:pt idx="624">
                  <c:v>222.803</c:v>
                </c:pt>
                <c:pt idx="625">
                  <c:v>223.21299999999999</c:v>
                </c:pt>
                <c:pt idx="626">
                  <c:v>223.45400000000001</c:v>
                </c:pt>
                <c:pt idx="627">
                  <c:v>223.727</c:v>
                </c:pt>
                <c:pt idx="628">
                  <c:v>224.17500000000001</c:v>
                </c:pt>
                <c:pt idx="629">
                  <c:v>224.697</c:v>
                </c:pt>
                <c:pt idx="630">
                  <c:v>225.21799999999999</c:v>
                </c:pt>
                <c:pt idx="631">
                  <c:v>225.86199999999999</c:v>
                </c:pt>
                <c:pt idx="632">
                  <c:v>226.11799999999999</c:v>
                </c:pt>
                <c:pt idx="633">
                  <c:v>226.506</c:v>
                </c:pt>
                <c:pt idx="634">
                  <c:v>226.899</c:v>
                </c:pt>
                <c:pt idx="635">
                  <c:v>227.405</c:v>
                </c:pt>
                <c:pt idx="636">
                  <c:v>227.87700000000001</c:v>
                </c:pt>
                <c:pt idx="637">
                  <c:v>228.03399999999999</c:v>
                </c:pt>
                <c:pt idx="638">
                  <c:v>228.47800000000001</c:v>
                </c:pt>
                <c:pt idx="639">
                  <c:v>228.905</c:v>
                </c:pt>
                <c:pt idx="640">
                  <c:v>229.22399999999999</c:v>
                </c:pt>
                <c:pt idx="641">
                  <c:v>229.62299999999999</c:v>
                </c:pt>
                <c:pt idx="642">
                  <c:v>229.97</c:v>
                </c:pt>
                <c:pt idx="643">
                  <c:v>230.233</c:v>
                </c:pt>
                <c:pt idx="644">
                  <c:v>230.65899999999999</c:v>
                </c:pt>
                <c:pt idx="645">
                  <c:v>231.024</c:v>
                </c:pt>
                <c:pt idx="646">
                  <c:v>231.33</c:v>
                </c:pt>
                <c:pt idx="647">
                  <c:v>231.72499999999999</c:v>
                </c:pt>
                <c:pt idx="648">
                  <c:v>232.22900000000001</c:v>
                </c:pt>
                <c:pt idx="649">
                  <c:v>232.56899999999999</c:v>
                </c:pt>
                <c:pt idx="650">
                  <c:v>232.79400000000001</c:v>
                </c:pt>
                <c:pt idx="651">
                  <c:v>232.83199999999999</c:v>
                </c:pt>
                <c:pt idx="652">
                  <c:v>232.99600000000001</c:v>
                </c:pt>
                <c:pt idx="653">
                  <c:v>233.35</c:v>
                </c:pt>
                <c:pt idx="654">
                  <c:v>233.88</c:v>
                </c:pt>
                <c:pt idx="655">
                  <c:v>234.33600000000001</c:v>
                </c:pt>
                <c:pt idx="656">
                  <c:v>234.7</c:v>
                </c:pt>
                <c:pt idx="657">
                  <c:v>234.92099999999999</c:v>
                </c:pt>
                <c:pt idx="658">
                  <c:v>235.35900000000001</c:v>
                </c:pt>
                <c:pt idx="659">
                  <c:v>235.75899999999999</c:v>
                </c:pt>
                <c:pt idx="660">
                  <c:v>235.96100000000001</c:v>
                </c:pt>
                <c:pt idx="661">
                  <c:v>236.185</c:v>
                </c:pt>
                <c:pt idx="662">
                  <c:v>236.625</c:v>
                </c:pt>
                <c:pt idx="663">
                  <c:v>237.072</c:v>
                </c:pt>
                <c:pt idx="664">
                  <c:v>237.529</c:v>
                </c:pt>
                <c:pt idx="665">
                  <c:v>237.83699999999999</c:v>
                </c:pt>
                <c:pt idx="666">
                  <c:v>238.19499999999999</c:v>
                </c:pt>
                <c:pt idx="667">
                  <c:v>238.405</c:v>
                </c:pt>
                <c:pt idx="668">
                  <c:v>238.786</c:v>
                </c:pt>
                <c:pt idx="669">
                  <c:v>239.191</c:v>
                </c:pt>
                <c:pt idx="670">
                  <c:v>239.458</c:v>
                </c:pt>
                <c:pt idx="671">
                  <c:v>239.584</c:v>
                </c:pt>
                <c:pt idx="672">
                  <c:v>239.81100000000001</c:v>
                </c:pt>
                <c:pt idx="673">
                  <c:v>240.172</c:v>
                </c:pt>
                <c:pt idx="674">
                  <c:v>240.755</c:v>
                </c:pt>
                <c:pt idx="675">
                  <c:v>241.346</c:v>
                </c:pt>
                <c:pt idx="676">
                  <c:v>241.68799999999999</c:v>
                </c:pt>
                <c:pt idx="677">
                  <c:v>242.06399999999999</c:v>
                </c:pt>
                <c:pt idx="678">
                  <c:v>242.565</c:v>
                </c:pt>
                <c:pt idx="679">
                  <c:v>242.81700000000001</c:v>
                </c:pt>
                <c:pt idx="680">
                  <c:v>243.316</c:v>
                </c:pt>
                <c:pt idx="681">
                  <c:v>243.768</c:v>
                </c:pt>
                <c:pt idx="682">
                  <c:v>244.24100000000001</c:v>
                </c:pt>
                <c:pt idx="683">
                  <c:v>244.547</c:v>
                </c:pt>
                <c:pt idx="684">
                  <c:v>244.95500000000001</c:v>
                </c:pt>
                <c:pt idx="685">
                  <c:v>245.51</c:v>
                </c:pt>
                <c:pt idx="686">
                  <c:v>245.91300000000001</c:v>
                </c:pt>
                <c:pt idx="687">
                  <c:v>246.55099999999999</c:v>
                </c:pt>
                <c:pt idx="688">
                  <c:v>247.137</c:v>
                </c:pt>
                <c:pt idx="689">
                  <c:v>247.54</c:v>
                </c:pt>
                <c:pt idx="690">
                  <c:v>247.82900000000001</c:v>
                </c:pt>
                <c:pt idx="691">
                  <c:v>248.423</c:v>
                </c:pt>
                <c:pt idx="692">
                  <c:v>248.84200000000001</c:v>
                </c:pt>
                <c:pt idx="693">
                  <c:v>249.142</c:v>
                </c:pt>
                <c:pt idx="694">
                  <c:v>249.48099999999999</c:v>
                </c:pt>
                <c:pt idx="695">
                  <c:v>249.92</c:v>
                </c:pt>
                <c:pt idx="696">
                  <c:v>250.46199999999999</c:v>
                </c:pt>
                <c:pt idx="697">
                  <c:v>250.90299999999999</c:v>
                </c:pt>
                <c:pt idx="698">
                  <c:v>250.83600000000001</c:v>
                </c:pt>
                <c:pt idx="699">
                  <c:v>251.25200000000001</c:v>
                </c:pt>
                <c:pt idx="700">
                  <c:v>251.488</c:v>
                </c:pt>
                <c:pt idx="701">
                  <c:v>251.822</c:v>
                </c:pt>
                <c:pt idx="702">
                  <c:v>252.047</c:v>
                </c:pt>
                <c:pt idx="703">
                  <c:v>252.59700000000001</c:v>
                </c:pt>
                <c:pt idx="704">
                  <c:v>253.03899999999999</c:v>
                </c:pt>
                <c:pt idx="705">
                  <c:v>253.535</c:v>
                </c:pt>
                <c:pt idx="706">
                  <c:v>253.744</c:v>
                </c:pt>
                <c:pt idx="707">
                  <c:v>254.30799999999999</c:v>
                </c:pt>
                <c:pt idx="708">
                  <c:v>255.00700000000001</c:v>
                </c:pt>
                <c:pt idx="709">
                  <c:v>255.47200000000001</c:v>
                </c:pt>
                <c:pt idx="710">
                  <c:v>256.11700000000002</c:v>
                </c:pt>
                <c:pt idx="711">
                  <c:v>256.65600000000001</c:v>
                </c:pt>
                <c:pt idx="712">
                  <c:v>257.15699999999998</c:v>
                </c:pt>
                <c:pt idx="713">
                  <c:v>257.53399999999999</c:v>
                </c:pt>
                <c:pt idx="714">
                  <c:v>257.93</c:v>
                </c:pt>
                <c:pt idx="715">
                  <c:v>258.08</c:v>
                </c:pt>
                <c:pt idx="716">
                  <c:v>258.53399999999999</c:v>
                </c:pt>
                <c:pt idx="717">
                  <c:v>258.98899999999998</c:v>
                </c:pt>
                <c:pt idx="718">
                  <c:v>259.41500000000002</c:v>
                </c:pt>
                <c:pt idx="719">
                  <c:v>259.87299999999999</c:v>
                </c:pt>
                <c:pt idx="720">
                  <c:v>260.41899999999998</c:v>
                </c:pt>
                <c:pt idx="721">
                  <c:v>260.72199999999998</c:v>
                </c:pt>
                <c:pt idx="722">
                  <c:v>261.339</c:v>
                </c:pt>
                <c:pt idx="723">
                  <c:v>262.05</c:v>
                </c:pt>
                <c:pt idx="724">
                  <c:v>262.38400000000001</c:v>
                </c:pt>
                <c:pt idx="725">
                  <c:v>263.11700000000002</c:v>
                </c:pt>
                <c:pt idx="726">
                  <c:v>263.61599999999999</c:v>
                </c:pt>
                <c:pt idx="727">
                  <c:v>264.15100000000001</c:v>
                </c:pt>
                <c:pt idx="728">
                  <c:v>264.60300000000001</c:v>
                </c:pt>
                <c:pt idx="729">
                  <c:v>265.02600000000001</c:v>
                </c:pt>
                <c:pt idx="730">
                  <c:v>265.42700000000002</c:v>
                </c:pt>
                <c:pt idx="731">
                  <c:v>265.65100000000001</c:v>
                </c:pt>
                <c:pt idx="732">
                  <c:v>266.30599999999998</c:v>
                </c:pt>
                <c:pt idx="733">
                  <c:v>266.87599999999998</c:v>
                </c:pt>
                <c:pt idx="734">
                  <c:v>266.82</c:v>
                </c:pt>
                <c:pt idx="735">
                  <c:v>265.83600000000001</c:v>
                </c:pt>
                <c:pt idx="736">
                  <c:v>265.637</c:v>
                </c:pt>
                <c:pt idx="737">
                  <c:v>266.28199999999998</c:v>
                </c:pt>
                <c:pt idx="738">
                  <c:v>267.72199999999998</c:v>
                </c:pt>
                <c:pt idx="739">
                  <c:v>268.654</c:v>
                </c:pt>
                <c:pt idx="740">
                  <c:v>269.15499999999997</c:v>
                </c:pt>
                <c:pt idx="741">
                  <c:v>269.35000000000002</c:v>
                </c:pt>
                <c:pt idx="742">
                  <c:v>269.81900000000002</c:v>
                </c:pt>
                <c:pt idx="743">
                  <c:v>269.94</c:v>
                </c:pt>
                <c:pt idx="744">
                  <c:v>270.02499999999998</c:v>
                </c:pt>
                <c:pt idx="745">
                  <c:v>270.29899999999998</c:v>
                </c:pt>
                <c:pt idx="746">
                  <c:v>271.214</c:v>
                </c:pt>
                <c:pt idx="747">
                  <c:v>273.7</c:v>
                </c:pt>
                <c:pt idx="748">
                  <c:v>275.71800000000002</c:v>
                </c:pt>
                <c:pt idx="749">
                  <c:v>278.14</c:v>
                </c:pt>
                <c:pt idx="750">
                  <c:v>279.05399999999997</c:v>
                </c:pt>
                <c:pt idx="751">
                  <c:v>279.33800000000002</c:v>
                </c:pt>
                <c:pt idx="752">
                  <c:v>280.017</c:v>
                </c:pt>
                <c:pt idx="753">
                  <c:v>281.69499999999999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B9-AB4A-827B-853B49E144D6}"/>
            </c:ext>
          </c:extLst>
        </c:ser>
        <c:ser>
          <c:idx val="2"/>
          <c:order val="2"/>
          <c:tx>
            <c:strRef>
              <c:f>'PCE Core vs Core CPI'!$D$4</c:f>
              <c:strCache>
                <c:ptCount val="1"/>
                <c:pt idx="0">
                  <c:v>Core PCE base 2000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CPI'!$D$5:$D$758</c:f>
              <c:numCache>
                <c:formatCode>0.00</c:formatCode>
                <c:ptCount val="754"/>
                <c:pt idx="0">
                  <c:v>20.913328988921748</c:v>
                </c:pt>
                <c:pt idx="1">
                  <c:v>20.929620532357504</c:v>
                </c:pt>
                <c:pt idx="2">
                  <c:v>20.952178054037802</c:v>
                </c:pt>
                <c:pt idx="3">
                  <c:v>21.006065466940697</c:v>
                </c:pt>
                <c:pt idx="4">
                  <c:v>21.032382575567695</c:v>
                </c:pt>
                <c:pt idx="5">
                  <c:v>21.093789162364033</c:v>
                </c:pt>
                <c:pt idx="6">
                  <c:v>21.1426637926713</c:v>
                </c:pt>
                <c:pt idx="7">
                  <c:v>21.17775327084064</c:v>
                </c:pt>
                <c:pt idx="8">
                  <c:v>21.232893879392449</c:v>
                </c:pt>
                <c:pt idx="9">
                  <c:v>21.269236553210689</c:v>
                </c:pt>
                <c:pt idx="10">
                  <c:v>21.308085618326729</c:v>
                </c:pt>
                <c:pt idx="11">
                  <c:v>21.340668705198254</c:v>
                </c:pt>
                <c:pt idx="12">
                  <c:v>21.345681487793883</c:v>
                </c:pt>
                <c:pt idx="13">
                  <c:v>21.385783748558822</c:v>
                </c:pt>
                <c:pt idx="14">
                  <c:v>21.388290139856636</c:v>
                </c:pt>
                <c:pt idx="15">
                  <c:v>21.427139204972676</c:v>
                </c:pt>
                <c:pt idx="16">
                  <c:v>21.460975487493101</c:v>
                </c:pt>
                <c:pt idx="17">
                  <c:v>21.474760639631057</c:v>
                </c:pt>
                <c:pt idx="18">
                  <c:v>21.512356509098197</c:v>
                </c:pt>
                <c:pt idx="19">
                  <c:v>21.543686400320823</c:v>
                </c:pt>
                <c:pt idx="20">
                  <c:v>21.559977943756579</c:v>
                </c:pt>
                <c:pt idx="21">
                  <c:v>21.57250990024562</c:v>
                </c:pt>
                <c:pt idx="22">
                  <c:v>21.630156900095244</c:v>
                </c:pt>
                <c:pt idx="23">
                  <c:v>21.623890921850702</c:v>
                </c:pt>
                <c:pt idx="24">
                  <c:v>21.62890370444633</c:v>
                </c:pt>
                <c:pt idx="25">
                  <c:v>21.650208030477714</c:v>
                </c:pt>
                <c:pt idx="26">
                  <c:v>21.657727204371142</c:v>
                </c:pt>
                <c:pt idx="27">
                  <c:v>21.687803899944853</c:v>
                </c:pt>
                <c:pt idx="28">
                  <c:v>21.715374204220765</c:v>
                </c:pt>
                <c:pt idx="29">
                  <c:v>21.747957291092277</c:v>
                </c:pt>
                <c:pt idx="30">
                  <c:v>21.781793573612703</c:v>
                </c:pt>
                <c:pt idx="31">
                  <c:v>21.804351095293001</c:v>
                </c:pt>
                <c:pt idx="32">
                  <c:v>21.848212943004654</c:v>
                </c:pt>
                <c:pt idx="33">
                  <c:v>21.855732116898082</c:v>
                </c:pt>
                <c:pt idx="34">
                  <c:v>21.859491703844796</c:v>
                </c:pt>
                <c:pt idx="35">
                  <c:v>21.87828963857838</c:v>
                </c:pt>
                <c:pt idx="36">
                  <c:v>21.903353551556464</c:v>
                </c:pt>
                <c:pt idx="37">
                  <c:v>21.939696225374703</c:v>
                </c:pt>
                <c:pt idx="38">
                  <c:v>21.991077246979799</c:v>
                </c:pt>
                <c:pt idx="39">
                  <c:v>21.994836833926513</c:v>
                </c:pt>
                <c:pt idx="40">
                  <c:v>22.026166725149139</c:v>
                </c:pt>
                <c:pt idx="41">
                  <c:v>22.066268985914078</c:v>
                </c:pt>
                <c:pt idx="42">
                  <c:v>22.085066920647662</c:v>
                </c:pt>
                <c:pt idx="43">
                  <c:v>22.088826507594376</c:v>
                </c:pt>
                <c:pt idx="44">
                  <c:v>22.131435159657116</c:v>
                </c:pt>
                <c:pt idx="45">
                  <c:v>22.130181964008216</c:v>
                </c:pt>
                <c:pt idx="46">
                  <c:v>22.146473507443972</c:v>
                </c:pt>
                <c:pt idx="47">
                  <c:v>22.1527394856885</c:v>
                </c:pt>
                <c:pt idx="48">
                  <c:v>22.195348137751253</c:v>
                </c:pt>
                <c:pt idx="49">
                  <c:v>22.220412050729365</c:v>
                </c:pt>
                <c:pt idx="50">
                  <c:v>22.234197202867307</c:v>
                </c:pt>
                <c:pt idx="51">
                  <c:v>22.260514311494319</c:v>
                </c:pt>
                <c:pt idx="52">
                  <c:v>22.300616572259258</c:v>
                </c:pt>
                <c:pt idx="53">
                  <c:v>22.339465637375312</c:v>
                </c:pt>
                <c:pt idx="54">
                  <c:v>22.359516767757782</c:v>
                </c:pt>
                <c:pt idx="55">
                  <c:v>22.379567898140266</c:v>
                </c:pt>
                <c:pt idx="56">
                  <c:v>22.419670158905205</c:v>
                </c:pt>
                <c:pt idx="57">
                  <c:v>22.469797984861401</c:v>
                </c:pt>
                <c:pt idx="58">
                  <c:v>22.491102310892771</c:v>
                </c:pt>
                <c:pt idx="59">
                  <c:v>22.522432202115397</c:v>
                </c:pt>
                <c:pt idx="60">
                  <c:v>22.553762093338008</c:v>
                </c:pt>
                <c:pt idx="61">
                  <c:v>22.596370745400776</c:v>
                </c:pt>
                <c:pt idx="62">
                  <c:v>22.61767507143216</c:v>
                </c:pt>
                <c:pt idx="63">
                  <c:v>22.63897939746353</c:v>
                </c:pt>
                <c:pt idx="64">
                  <c:v>22.657777332197099</c:v>
                </c:pt>
                <c:pt idx="65">
                  <c:v>22.674068875632869</c:v>
                </c:pt>
                <c:pt idx="66">
                  <c:v>22.696626397313153</c:v>
                </c:pt>
                <c:pt idx="67">
                  <c:v>22.726703092886865</c:v>
                </c:pt>
                <c:pt idx="68">
                  <c:v>22.736728658078093</c:v>
                </c:pt>
                <c:pt idx="69">
                  <c:v>22.744247831971535</c:v>
                </c:pt>
                <c:pt idx="70">
                  <c:v>22.778084114491961</c:v>
                </c:pt>
                <c:pt idx="71">
                  <c:v>22.809414005714572</c:v>
                </c:pt>
                <c:pt idx="72">
                  <c:v>22.840743896937184</c:v>
                </c:pt>
                <c:pt idx="73">
                  <c:v>22.868314201213096</c:v>
                </c:pt>
                <c:pt idx="74">
                  <c:v>22.880846157702123</c:v>
                </c:pt>
                <c:pt idx="75">
                  <c:v>22.908416461978049</c:v>
                </c:pt>
                <c:pt idx="76">
                  <c:v>22.951025114040803</c:v>
                </c:pt>
                <c:pt idx="77">
                  <c:v>22.944759135796275</c:v>
                </c:pt>
                <c:pt idx="78">
                  <c:v>22.967316657476573</c:v>
                </c:pt>
                <c:pt idx="79">
                  <c:v>23.011178505188226</c:v>
                </c:pt>
                <c:pt idx="80">
                  <c:v>23.038748809464124</c:v>
                </c:pt>
                <c:pt idx="81">
                  <c:v>23.029976439921796</c:v>
                </c:pt>
                <c:pt idx="82">
                  <c:v>23.072585091984564</c:v>
                </c:pt>
                <c:pt idx="83">
                  <c:v>23.142764048323215</c:v>
                </c:pt>
                <c:pt idx="84">
                  <c:v>23.150283222216643</c:v>
                </c:pt>
                <c:pt idx="85">
                  <c:v>23.206677026417367</c:v>
                </c:pt>
                <c:pt idx="86">
                  <c:v>23.236753721991079</c:v>
                </c:pt>
                <c:pt idx="87">
                  <c:v>23.319464634818786</c:v>
                </c:pt>
                <c:pt idx="88">
                  <c:v>23.380871221615109</c:v>
                </c:pt>
                <c:pt idx="89">
                  <c:v>23.457316156198303</c:v>
                </c:pt>
                <c:pt idx="90">
                  <c:v>23.526241916888054</c:v>
                </c:pt>
                <c:pt idx="91">
                  <c:v>23.568850568950822</c:v>
                </c:pt>
                <c:pt idx="92">
                  <c:v>23.641535916587287</c:v>
                </c:pt>
                <c:pt idx="93">
                  <c:v>23.719234046819381</c:v>
                </c:pt>
                <c:pt idx="94">
                  <c:v>23.779387437966818</c:v>
                </c:pt>
                <c:pt idx="95">
                  <c:v>23.850819589954369</c:v>
                </c:pt>
                <c:pt idx="96">
                  <c:v>23.873377111634667</c:v>
                </c:pt>
                <c:pt idx="97">
                  <c:v>23.915985763697435</c:v>
                </c:pt>
                <c:pt idx="98">
                  <c:v>23.952328437515661</c:v>
                </c:pt>
                <c:pt idx="99">
                  <c:v>24.017494611258712</c:v>
                </c:pt>
                <c:pt idx="100">
                  <c:v>24.071382024161608</c:v>
                </c:pt>
                <c:pt idx="101">
                  <c:v>24.132788610957945</c:v>
                </c:pt>
                <c:pt idx="102">
                  <c:v>24.214246328136753</c:v>
                </c:pt>
                <c:pt idx="103">
                  <c:v>24.289438067071032</c:v>
                </c:pt>
                <c:pt idx="104">
                  <c:v>24.374655371196553</c:v>
                </c:pt>
                <c:pt idx="105">
                  <c:v>24.466138653566588</c:v>
                </c:pt>
                <c:pt idx="106">
                  <c:v>24.543836783798696</c:v>
                </c:pt>
                <c:pt idx="107">
                  <c:v>24.603990174946105</c:v>
                </c:pt>
                <c:pt idx="108">
                  <c:v>24.71301819640081</c:v>
                </c:pt>
                <c:pt idx="109">
                  <c:v>24.81953982655773</c:v>
                </c:pt>
                <c:pt idx="110">
                  <c:v>24.918542282821193</c:v>
                </c:pt>
                <c:pt idx="111">
                  <c:v>25.010025565191242</c:v>
                </c:pt>
                <c:pt idx="112">
                  <c:v>25.105268434508005</c:v>
                </c:pt>
                <c:pt idx="113">
                  <c:v>25.203017695122568</c:v>
                </c:pt>
                <c:pt idx="114">
                  <c:v>25.286981803599176</c:v>
                </c:pt>
                <c:pt idx="115">
                  <c:v>25.385984259862653</c:v>
                </c:pt>
                <c:pt idx="116">
                  <c:v>25.48874630307283</c:v>
                </c:pt>
                <c:pt idx="117">
                  <c:v>25.592761541931921</c:v>
                </c:pt>
                <c:pt idx="118">
                  <c:v>25.688004411248684</c:v>
                </c:pt>
                <c:pt idx="119">
                  <c:v>25.765702541480778</c:v>
                </c:pt>
                <c:pt idx="120">
                  <c:v>25.863451802095355</c:v>
                </c:pt>
                <c:pt idx="121">
                  <c:v>25.95242869316759</c:v>
                </c:pt>
                <c:pt idx="122">
                  <c:v>26.072735475462423</c:v>
                </c:pt>
                <c:pt idx="123">
                  <c:v>26.1742443230237</c:v>
                </c:pt>
                <c:pt idx="124">
                  <c:v>26.278259561882805</c:v>
                </c:pt>
                <c:pt idx="125">
                  <c:v>26.368489648603926</c:v>
                </c:pt>
                <c:pt idx="126">
                  <c:v>26.491302822196587</c:v>
                </c:pt>
                <c:pt idx="127">
                  <c:v>26.566494561130881</c:v>
                </c:pt>
                <c:pt idx="128">
                  <c:v>26.673016191287786</c:v>
                </c:pt>
                <c:pt idx="129">
                  <c:v>26.787056995338105</c:v>
                </c:pt>
                <c:pt idx="130">
                  <c:v>26.889819038548296</c:v>
                </c:pt>
                <c:pt idx="131">
                  <c:v>26.990074690460673</c:v>
                </c:pt>
                <c:pt idx="132">
                  <c:v>27.079051581532909</c:v>
                </c:pt>
                <c:pt idx="133">
                  <c:v>27.183066820392</c:v>
                </c:pt>
                <c:pt idx="134">
                  <c:v>27.284575667953277</c:v>
                </c:pt>
                <c:pt idx="135">
                  <c:v>27.391097298110182</c:v>
                </c:pt>
                <c:pt idx="136">
                  <c:v>27.487593363075831</c:v>
                </c:pt>
                <c:pt idx="137">
                  <c:v>27.587849014988208</c:v>
                </c:pt>
                <c:pt idx="138">
                  <c:v>27.693117449496214</c:v>
                </c:pt>
                <c:pt idx="139">
                  <c:v>27.788360318812963</c:v>
                </c:pt>
                <c:pt idx="140">
                  <c:v>27.90490751416111</c:v>
                </c:pt>
                <c:pt idx="141">
                  <c:v>28.041505839891727</c:v>
                </c:pt>
                <c:pt idx="142">
                  <c:v>28.186876535164672</c:v>
                </c:pt>
                <c:pt idx="143">
                  <c:v>28.328487643490902</c:v>
                </c:pt>
                <c:pt idx="144">
                  <c:v>28.440022056243421</c:v>
                </c:pt>
                <c:pt idx="145">
                  <c:v>28.547796882049226</c:v>
                </c:pt>
                <c:pt idx="146">
                  <c:v>28.639280164419262</c:v>
                </c:pt>
                <c:pt idx="147">
                  <c:v>28.747054990225081</c:v>
                </c:pt>
                <c:pt idx="148">
                  <c:v>28.872374555115542</c:v>
                </c:pt>
                <c:pt idx="149">
                  <c:v>28.985162163516975</c:v>
                </c:pt>
                <c:pt idx="150">
                  <c:v>29.096696576269494</c:v>
                </c:pt>
                <c:pt idx="151">
                  <c:v>29.138052032683348</c:v>
                </c:pt>
                <c:pt idx="152">
                  <c:v>29.185673467341715</c:v>
                </c:pt>
                <c:pt idx="153">
                  <c:v>29.232041706351197</c:v>
                </c:pt>
                <c:pt idx="154">
                  <c:v>29.298461075743148</c:v>
                </c:pt>
                <c:pt idx="155">
                  <c:v>29.389944358113183</c:v>
                </c:pt>
                <c:pt idx="156">
                  <c:v>29.515263923003658</c:v>
                </c:pt>
                <c:pt idx="157">
                  <c:v>29.594215248884652</c:v>
                </c:pt>
                <c:pt idx="158">
                  <c:v>29.653115444383175</c:v>
                </c:pt>
                <c:pt idx="159">
                  <c:v>29.722041205072941</c:v>
                </c:pt>
                <c:pt idx="160">
                  <c:v>29.790966965762692</c:v>
                </c:pt>
                <c:pt idx="161">
                  <c:v>29.849867161261216</c:v>
                </c:pt>
                <c:pt idx="162">
                  <c:v>29.936337661035651</c:v>
                </c:pt>
                <c:pt idx="163">
                  <c:v>29.998997443480874</c:v>
                </c:pt>
                <c:pt idx="164">
                  <c:v>30.099253095393252</c:v>
                </c:pt>
                <c:pt idx="165">
                  <c:v>30.116797834477921</c:v>
                </c:pt>
                <c:pt idx="166">
                  <c:v>30.195749160358915</c:v>
                </c:pt>
                <c:pt idx="167">
                  <c:v>30.28723244272895</c:v>
                </c:pt>
                <c:pt idx="168">
                  <c:v>30.30603037746252</c:v>
                </c:pt>
                <c:pt idx="169">
                  <c:v>30.401273246779283</c:v>
                </c:pt>
                <c:pt idx="170">
                  <c:v>30.524086420371944</c:v>
                </c:pt>
                <c:pt idx="171">
                  <c:v>30.700787006867515</c:v>
                </c:pt>
                <c:pt idx="172">
                  <c:v>30.819840593513462</c:v>
                </c:pt>
                <c:pt idx="173">
                  <c:v>30.95267933229735</c:v>
                </c:pt>
                <c:pt idx="174">
                  <c:v>31.085518071081253</c:v>
                </c:pt>
                <c:pt idx="175">
                  <c:v>31.230888766354198</c:v>
                </c:pt>
                <c:pt idx="176">
                  <c:v>31.387538222467299</c:v>
                </c:pt>
                <c:pt idx="177">
                  <c:v>31.509098200411046</c:v>
                </c:pt>
                <c:pt idx="178">
                  <c:v>31.660734873928504</c:v>
                </c:pt>
                <c:pt idx="179">
                  <c:v>31.836182264775175</c:v>
                </c:pt>
                <c:pt idx="180">
                  <c:v>31.992831720888262</c:v>
                </c:pt>
                <c:pt idx="181">
                  <c:v>32.19710261165973</c:v>
                </c:pt>
                <c:pt idx="182">
                  <c:v>32.447741741440666</c:v>
                </c:pt>
                <c:pt idx="183">
                  <c:v>32.690861697328174</c:v>
                </c:pt>
                <c:pt idx="184">
                  <c:v>33.005413805203261</c:v>
                </c:pt>
                <c:pt idx="185">
                  <c:v>33.343776630407547</c:v>
                </c:pt>
                <c:pt idx="186">
                  <c:v>33.63953080354905</c:v>
                </c:pt>
                <c:pt idx="187">
                  <c:v>33.962855280966465</c:v>
                </c:pt>
                <c:pt idx="188">
                  <c:v>34.268635019299211</c:v>
                </c:pt>
                <c:pt idx="189">
                  <c:v>34.536818888164817</c:v>
                </c:pt>
                <c:pt idx="190">
                  <c:v>34.788711213594667</c:v>
                </c:pt>
                <c:pt idx="191">
                  <c:v>35.034337560779989</c:v>
                </c:pt>
                <c:pt idx="192">
                  <c:v>35.238608451551457</c:v>
                </c:pt>
                <c:pt idx="193">
                  <c:v>35.487994385683493</c:v>
                </c:pt>
                <c:pt idx="194">
                  <c:v>35.673467341721391</c:v>
                </c:pt>
                <c:pt idx="195">
                  <c:v>35.846408341270234</c:v>
                </c:pt>
                <c:pt idx="196">
                  <c:v>35.998045014787706</c:v>
                </c:pt>
                <c:pt idx="197">
                  <c:v>36.174745601283263</c:v>
                </c:pt>
                <c:pt idx="198">
                  <c:v>36.397814426788301</c:v>
                </c:pt>
                <c:pt idx="199">
                  <c:v>36.523133991678783</c:v>
                </c:pt>
                <c:pt idx="200">
                  <c:v>36.721138904205716</c:v>
                </c:pt>
                <c:pt idx="201">
                  <c:v>36.904105468945815</c:v>
                </c:pt>
                <c:pt idx="202">
                  <c:v>37.14847862048223</c:v>
                </c:pt>
                <c:pt idx="203">
                  <c:v>37.374053837285068</c:v>
                </c:pt>
                <c:pt idx="204">
                  <c:v>37.565792771567494</c:v>
                </c:pt>
                <c:pt idx="205">
                  <c:v>37.714923053787153</c:v>
                </c:pt>
                <c:pt idx="206">
                  <c:v>37.840242618677621</c:v>
                </c:pt>
                <c:pt idx="207">
                  <c:v>37.986866509599473</c:v>
                </c:pt>
                <c:pt idx="208">
                  <c:v>38.167326683041757</c:v>
                </c:pt>
                <c:pt idx="209">
                  <c:v>38.32146974785703</c:v>
                </c:pt>
                <c:pt idx="210">
                  <c:v>38.533259812521933</c:v>
                </c:pt>
                <c:pt idx="211">
                  <c:v>38.755075442378065</c:v>
                </c:pt>
                <c:pt idx="212">
                  <c:v>38.981903854829817</c:v>
                </c:pt>
                <c:pt idx="213">
                  <c:v>39.172389593463322</c:v>
                </c:pt>
                <c:pt idx="214">
                  <c:v>39.3515965712567</c:v>
                </c:pt>
                <c:pt idx="215">
                  <c:v>39.564639831570503</c:v>
                </c:pt>
                <c:pt idx="216">
                  <c:v>39.805253396160211</c:v>
                </c:pt>
                <c:pt idx="217">
                  <c:v>40.049626547696626</c:v>
                </c:pt>
                <c:pt idx="218">
                  <c:v>40.220061155947661</c:v>
                </c:pt>
                <c:pt idx="219">
                  <c:v>40.419319264123509</c:v>
                </c:pt>
                <c:pt idx="220">
                  <c:v>40.624843350543884</c:v>
                </c:pt>
                <c:pt idx="221">
                  <c:v>40.867963306431399</c:v>
                </c:pt>
                <c:pt idx="222">
                  <c:v>41.121108827510156</c:v>
                </c:pt>
                <c:pt idx="223">
                  <c:v>41.321620131334903</c:v>
                </c:pt>
                <c:pt idx="224">
                  <c:v>41.497067522181567</c:v>
                </c:pt>
                <c:pt idx="225">
                  <c:v>41.697578826006321</c:v>
                </c:pt>
                <c:pt idx="226">
                  <c:v>41.913128477617924</c:v>
                </c:pt>
                <c:pt idx="227">
                  <c:v>42.129931324878442</c:v>
                </c:pt>
                <c:pt idx="228">
                  <c:v>42.381823650308284</c:v>
                </c:pt>
                <c:pt idx="229">
                  <c:v>42.544739084665892</c:v>
                </c:pt>
                <c:pt idx="230">
                  <c:v>42.775327084064365</c:v>
                </c:pt>
                <c:pt idx="231">
                  <c:v>43.052283322472299</c:v>
                </c:pt>
                <c:pt idx="232">
                  <c:v>43.305428843551056</c:v>
                </c:pt>
                <c:pt idx="233">
                  <c:v>43.547295603789657</c:v>
                </c:pt>
                <c:pt idx="234">
                  <c:v>43.802947516166228</c:v>
                </c:pt>
                <c:pt idx="235">
                  <c:v>44.038548298160308</c:v>
                </c:pt>
                <c:pt idx="236">
                  <c:v>44.291693819239065</c:v>
                </c:pt>
                <c:pt idx="237">
                  <c:v>44.61752468795428</c:v>
                </c:pt>
                <c:pt idx="238">
                  <c:v>44.856885056895081</c:v>
                </c:pt>
                <c:pt idx="239">
                  <c:v>45.03233244774173</c:v>
                </c:pt>
                <c:pt idx="240">
                  <c:v>45.26292044714021</c:v>
                </c:pt>
                <c:pt idx="241">
                  <c:v>45.409544338062055</c:v>
                </c:pt>
                <c:pt idx="242">
                  <c:v>45.671462228683147</c:v>
                </c:pt>
                <c:pt idx="243">
                  <c:v>46.092535966715118</c:v>
                </c:pt>
                <c:pt idx="244">
                  <c:v>46.493558574364627</c:v>
                </c:pt>
                <c:pt idx="245">
                  <c:v>46.754223269336805</c:v>
                </c:pt>
                <c:pt idx="246">
                  <c:v>46.988570855681978</c:v>
                </c:pt>
                <c:pt idx="247">
                  <c:v>47.300616572259258</c:v>
                </c:pt>
                <c:pt idx="248">
                  <c:v>47.623941049676674</c:v>
                </c:pt>
                <c:pt idx="249">
                  <c:v>47.97107624442328</c:v>
                </c:pt>
                <c:pt idx="250">
                  <c:v>48.278109178404925</c:v>
                </c:pt>
                <c:pt idx="251">
                  <c:v>48.625244373151531</c:v>
                </c:pt>
                <c:pt idx="252">
                  <c:v>48.993683893929521</c:v>
                </c:pt>
                <c:pt idx="253">
                  <c:v>49.482430197002344</c:v>
                </c:pt>
                <c:pt idx="254">
                  <c:v>49.941099804501476</c:v>
                </c:pt>
                <c:pt idx="255">
                  <c:v>50.19800491252694</c:v>
                </c:pt>
                <c:pt idx="256">
                  <c:v>50.601533911474256</c:v>
                </c:pt>
                <c:pt idx="257">
                  <c:v>50.93739034538072</c:v>
                </c:pt>
                <c:pt idx="258">
                  <c:v>51.295804300967468</c:v>
                </c:pt>
                <c:pt idx="259">
                  <c:v>51.666750213043258</c:v>
                </c:pt>
                <c:pt idx="260">
                  <c:v>52.152990124818281</c:v>
                </c:pt>
                <c:pt idx="261">
                  <c:v>52.582836232392602</c:v>
                </c:pt>
                <c:pt idx="262">
                  <c:v>52.996390796531152</c:v>
                </c:pt>
                <c:pt idx="263">
                  <c:v>53.315955687001846</c:v>
                </c:pt>
                <c:pt idx="264">
                  <c:v>53.777131685798778</c:v>
                </c:pt>
                <c:pt idx="265">
                  <c:v>54.170635119554859</c:v>
                </c:pt>
                <c:pt idx="266">
                  <c:v>54.471402075291991</c:v>
                </c:pt>
                <c:pt idx="267">
                  <c:v>54.819790465687497</c:v>
                </c:pt>
                <c:pt idx="268">
                  <c:v>55.197002356007815</c:v>
                </c:pt>
                <c:pt idx="269">
                  <c:v>55.472705398766855</c:v>
                </c:pt>
                <c:pt idx="270">
                  <c:v>55.807308637024406</c:v>
                </c:pt>
                <c:pt idx="271">
                  <c:v>56.180760940398002</c:v>
                </c:pt>
                <c:pt idx="272">
                  <c:v>56.549200461176</c:v>
                </c:pt>
                <c:pt idx="273">
                  <c:v>56.886310090731364</c:v>
                </c:pt>
                <c:pt idx="274">
                  <c:v>57.218406937691107</c:v>
                </c:pt>
                <c:pt idx="275">
                  <c:v>57.428943806707103</c:v>
                </c:pt>
                <c:pt idx="276">
                  <c:v>57.782344979698223</c:v>
                </c:pt>
                <c:pt idx="277">
                  <c:v>58.005413805203268</c:v>
                </c:pt>
                <c:pt idx="278">
                  <c:v>58.258559326282011</c:v>
                </c:pt>
                <c:pt idx="279">
                  <c:v>58.489147325680477</c:v>
                </c:pt>
                <c:pt idx="280">
                  <c:v>58.808712216151179</c:v>
                </c:pt>
                <c:pt idx="281">
                  <c:v>59.103213193643782</c:v>
                </c:pt>
                <c:pt idx="282">
                  <c:v>59.486691062208628</c:v>
                </c:pt>
                <c:pt idx="283">
                  <c:v>59.759887713669855</c:v>
                </c:pt>
                <c:pt idx="284">
                  <c:v>59.981703343525986</c:v>
                </c:pt>
                <c:pt idx="285">
                  <c:v>60.361421625144104</c:v>
                </c:pt>
                <c:pt idx="286">
                  <c:v>60.584490450649156</c:v>
                </c:pt>
                <c:pt idx="287">
                  <c:v>60.777482580580475</c:v>
                </c:pt>
                <c:pt idx="288">
                  <c:v>61.19354353601684</c:v>
                </c:pt>
                <c:pt idx="289">
                  <c:v>61.420371948468592</c:v>
                </c:pt>
                <c:pt idx="290">
                  <c:v>61.498070078700685</c:v>
                </c:pt>
                <c:pt idx="291">
                  <c:v>61.684796230387484</c:v>
                </c:pt>
                <c:pt idx="292">
                  <c:v>61.773773121459719</c:v>
                </c:pt>
                <c:pt idx="293">
                  <c:v>62.062008120707802</c:v>
                </c:pt>
                <c:pt idx="294">
                  <c:v>62.479322271793066</c:v>
                </c:pt>
                <c:pt idx="295">
                  <c:v>62.801393553561574</c:v>
                </c:pt>
                <c:pt idx="296">
                  <c:v>63.055792270289231</c:v>
                </c:pt>
                <c:pt idx="297">
                  <c:v>63.16732668304175</c:v>
                </c:pt>
                <c:pt idx="298">
                  <c:v>63.315203769612509</c:v>
                </c:pt>
                <c:pt idx="299">
                  <c:v>63.361572008621984</c:v>
                </c:pt>
                <c:pt idx="300">
                  <c:v>63.573362073286873</c:v>
                </c:pt>
                <c:pt idx="301">
                  <c:v>63.974384680936382</c:v>
                </c:pt>
                <c:pt idx="302">
                  <c:v>64.21625144117499</c:v>
                </c:pt>
                <c:pt idx="303">
                  <c:v>64.518271592561021</c:v>
                </c:pt>
                <c:pt idx="304">
                  <c:v>64.66740187478068</c:v>
                </c:pt>
                <c:pt idx="305">
                  <c:v>64.820291743947053</c:v>
                </c:pt>
                <c:pt idx="306">
                  <c:v>65.099754373652814</c:v>
                </c:pt>
                <c:pt idx="307">
                  <c:v>65.314050829615525</c:v>
                </c:pt>
                <c:pt idx="308">
                  <c:v>65.414306481527888</c:v>
                </c:pt>
                <c:pt idx="309">
                  <c:v>65.560930372449747</c:v>
                </c:pt>
                <c:pt idx="310">
                  <c:v>65.700035089478163</c:v>
                </c:pt>
                <c:pt idx="311">
                  <c:v>65.960699784450341</c:v>
                </c:pt>
                <c:pt idx="312">
                  <c:v>66.329139305228324</c:v>
                </c:pt>
                <c:pt idx="313">
                  <c:v>66.675021304326023</c:v>
                </c:pt>
                <c:pt idx="314">
                  <c:v>66.908115695022303</c:v>
                </c:pt>
                <c:pt idx="315">
                  <c:v>66.987067020903311</c:v>
                </c:pt>
                <c:pt idx="316">
                  <c:v>67.218908215950677</c:v>
                </c:pt>
                <c:pt idx="317">
                  <c:v>67.440723845806801</c:v>
                </c:pt>
                <c:pt idx="318">
                  <c:v>67.638728758333741</c:v>
                </c:pt>
                <c:pt idx="319">
                  <c:v>67.969572409644599</c:v>
                </c:pt>
                <c:pt idx="320">
                  <c:v>68.109930322321901</c:v>
                </c:pt>
                <c:pt idx="321">
                  <c:v>68.21895834377662</c:v>
                </c:pt>
                <c:pt idx="322">
                  <c:v>68.386886560729849</c:v>
                </c:pt>
                <c:pt idx="323">
                  <c:v>68.572359516767762</c:v>
                </c:pt>
                <c:pt idx="324">
                  <c:v>68.943305428843544</c:v>
                </c:pt>
                <c:pt idx="325">
                  <c:v>69.121259210988015</c:v>
                </c:pt>
                <c:pt idx="326">
                  <c:v>69.331796080004011</c:v>
                </c:pt>
                <c:pt idx="327">
                  <c:v>69.457115644894472</c:v>
                </c:pt>
                <c:pt idx="328">
                  <c:v>69.574916035891519</c:v>
                </c:pt>
                <c:pt idx="329">
                  <c:v>69.784199709258601</c:v>
                </c:pt>
                <c:pt idx="330">
                  <c:v>69.91077246979799</c:v>
                </c:pt>
                <c:pt idx="331">
                  <c:v>70.054889969422021</c:v>
                </c:pt>
                <c:pt idx="332">
                  <c:v>70.285477968820487</c:v>
                </c:pt>
                <c:pt idx="333">
                  <c:v>70.522331946463481</c:v>
                </c:pt>
                <c:pt idx="334">
                  <c:v>70.67271542433204</c:v>
                </c:pt>
                <c:pt idx="335">
                  <c:v>70.762945511053175</c:v>
                </c:pt>
                <c:pt idx="336">
                  <c:v>70.932126923655318</c:v>
                </c:pt>
                <c:pt idx="337">
                  <c:v>71.073738031981549</c:v>
                </c:pt>
                <c:pt idx="338">
                  <c:v>71.284274900997531</c:v>
                </c:pt>
                <c:pt idx="339">
                  <c:v>71.586295052383576</c:v>
                </c:pt>
                <c:pt idx="340">
                  <c:v>71.786806356208331</c:v>
                </c:pt>
                <c:pt idx="341">
                  <c:v>71.984811268735271</c:v>
                </c:pt>
                <c:pt idx="342">
                  <c:v>72.170284224773155</c:v>
                </c:pt>
                <c:pt idx="343">
                  <c:v>72.413404180660677</c:v>
                </c:pt>
                <c:pt idx="344">
                  <c:v>72.700385984259853</c:v>
                </c:pt>
                <c:pt idx="345">
                  <c:v>73.011178505188226</c:v>
                </c:pt>
                <c:pt idx="346">
                  <c:v>73.164068374354599</c:v>
                </c:pt>
                <c:pt idx="347">
                  <c:v>73.318211439169886</c:v>
                </c:pt>
                <c:pt idx="348">
                  <c:v>73.664093438267571</c:v>
                </c:pt>
                <c:pt idx="349">
                  <c:v>73.815730111785058</c:v>
                </c:pt>
                <c:pt idx="350">
                  <c:v>74.131535415309031</c:v>
                </c:pt>
                <c:pt idx="351">
                  <c:v>74.491202566544686</c:v>
                </c:pt>
                <c:pt idx="352">
                  <c:v>74.745601283272336</c:v>
                </c:pt>
                <c:pt idx="353">
                  <c:v>75.061406586796323</c:v>
                </c:pt>
                <c:pt idx="354">
                  <c:v>75.367186325129069</c:v>
                </c:pt>
                <c:pt idx="355">
                  <c:v>75.553912476815881</c:v>
                </c:pt>
                <c:pt idx="356">
                  <c:v>75.959947867061004</c:v>
                </c:pt>
                <c:pt idx="357">
                  <c:v>76.248182866309094</c:v>
                </c:pt>
                <c:pt idx="358">
                  <c:v>76.457466539676162</c:v>
                </c:pt>
                <c:pt idx="359">
                  <c:v>76.710612060754926</c:v>
                </c:pt>
                <c:pt idx="360">
                  <c:v>77.099102711915378</c:v>
                </c:pt>
                <c:pt idx="361">
                  <c:v>77.294601233144505</c:v>
                </c:pt>
                <c:pt idx="362">
                  <c:v>77.526442428191885</c:v>
                </c:pt>
                <c:pt idx="363">
                  <c:v>77.785853927515163</c:v>
                </c:pt>
                <c:pt idx="364">
                  <c:v>78.018948318211443</c:v>
                </c:pt>
                <c:pt idx="365">
                  <c:v>78.224472404631811</c:v>
                </c:pt>
                <c:pt idx="366">
                  <c:v>78.426236904105465</c:v>
                </c:pt>
                <c:pt idx="367">
                  <c:v>78.53651812120907</c:v>
                </c:pt>
                <c:pt idx="368">
                  <c:v>78.808461577021404</c:v>
                </c:pt>
                <c:pt idx="369">
                  <c:v>79.094190184971666</c:v>
                </c:pt>
                <c:pt idx="370">
                  <c:v>79.304727053987662</c:v>
                </c:pt>
                <c:pt idx="371">
                  <c:v>79.530302270790514</c:v>
                </c:pt>
                <c:pt idx="372">
                  <c:v>79.83608200912326</c:v>
                </c:pt>
                <c:pt idx="373">
                  <c:v>80.224572660283727</c:v>
                </c:pt>
                <c:pt idx="374">
                  <c:v>80.609303724497451</c:v>
                </c:pt>
                <c:pt idx="375">
                  <c:v>80.849917289087159</c:v>
                </c:pt>
                <c:pt idx="376">
                  <c:v>81.096796831921395</c:v>
                </c:pt>
                <c:pt idx="377">
                  <c:v>81.411348939796468</c:v>
                </c:pt>
                <c:pt idx="378">
                  <c:v>81.618126221865751</c:v>
                </c:pt>
                <c:pt idx="379">
                  <c:v>81.956489047070022</c:v>
                </c:pt>
                <c:pt idx="380">
                  <c:v>82.243470850669198</c:v>
                </c:pt>
                <c:pt idx="381">
                  <c:v>82.522933480374945</c:v>
                </c:pt>
                <c:pt idx="382">
                  <c:v>82.621935936638423</c:v>
                </c:pt>
                <c:pt idx="383">
                  <c:v>82.737229936337656</c:v>
                </c:pt>
                <c:pt idx="384">
                  <c:v>83.149531304827292</c:v>
                </c:pt>
                <c:pt idx="385">
                  <c:v>83.378866108576858</c:v>
                </c:pt>
                <c:pt idx="386">
                  <c:v>83.553060303774615</c:v>
                </c:pt>
                <c:pt idx="387">
                  <c:v>83.719735325078958</c:v>
                </c:pt>
                <c:pt idx="388">
                  <c:v>84.054338563336501</c:v>
                </c:pt>
                <c:pt idx="389">
                  <c:v>84.234798736778771</c:v>
                </c:pt>
                <c:pt idx="390">
                  <c:v>84.491703844804249</c:v>
                </c:pt>
                <c:pt idx="391">
                  <c:v>84.723545039851615</c:v>
                </c:pt>
                <c:pt idx="392">
                  <c:v>85.063161060704786</c:v>
                </c:pt>
                <c:pt idx="393">
                  <c:v>85.249887212391585</c:v>
                </c:pt>
                <c:pt idx="394">
                  <c:v>85.409043059802499</c:v>
                </c:pt>
                <c:pt idx="395">
                  <c:v>85.619579928818482</c:v>
                </c:pt>
                <c:pt idx="396">
                  <c:v>85.852674319514762</c:v>
                </c:pt>
                <c:pt idx="397">
                  <c:v>86.085768710211028</c:v>
                </c:pt>
                <c:pt idx="398">
                  <c:v>86.301318361822638</c:v>
                </c:pt>
                <c:pt idx="399">
                  <c:v>86.584540578475099</c:v>
                </c:pt>
                <c:pt idx="400">
                  <c:v>86.70610055641886</c:v>
                </c:pt>
                <c:pt idx="401">
                  <c:v>86.773773121459726</c:v>
                </c:pt>
                <c:pt idx="402">
                  <c:v>87.100857185823841</c:v>
                </c:pt>
                <c:pt idx="403">
                  <c:v>87.181061707353734</c:v>
                </c:pt>
                <c:pt idx="404">
                  <c:v>87.322672815679994</c:v>
                </c:pt>
                <c:pt idx="405">
                  <c:v>87.658529249586422</c:v>
                </c:pt>
                <c:pt idx="406">
                  <c:v>87.850268183868863</c:v>
                </c:pt>
                <c:pt idx="407">
                  <c:v>88.013183618226464</c:v>
                </c:pt>
                <c:pt idx="408">
                  <c:v>88.268835530603027</c:v>
                </c:pt>
                <c:pt idx="409">
                  <c:v>88.438016943205156</c:v>
                </c:pt>
                <c:pt idx="410">
                  <c:v>88.629755877487582</c:v>
                </c:pt>
                <c:pt idx="411">
                  <c:v>88.88791418116196</c:v>
                </c:pt>
                <c:pt idx="412">
                  <c:v>89.188681136899078</c:v>
                </c:pt>
                <c:pt idx="413">
                  <c:v>89.273898441024599</c:v>
                </c:pt>
                <c:pt idx="414">
                  <c:v>89.459371397062512</c:v>
                </c:pt>
                <c:pt idx="415">
                  <c:v>89.626046418366826</c:v>
                </c:pt>
                <c:pt idx="416">
                  <c:v>89.760138352799629</c:v>
                </c:pt>
                <c:pt idx="417">
                  <c:v>89.909268635019288</c:v>
                </c:pt>
                <c:pt idx="418">
                  <c:v>90.139856634417754</c:v>
                </c:pt>
                <c:pt idx="419">
                  <c:v>90.179958895182693</c:v>
                </c:pt>
                <c:pt idx="420">
                  <c:v>90.252644242819187</c:v>
                </c:pt>
                <c:pt idx="421">
                  <c:v>90.446889568399413</c:v>
                </c:pt>
                <c:pt idx="422">
                  <c:v>90.756428893678873</c:v>
                </c:pt>
                <c:pt idx="423">
                  <c:v>90.89177402376059</c:v>
                </c:pt>
                <c:pt idx="424">
                  <c:v>91.094791718883144</c:v>
                </c:pt>
                <c:pt idx="425">
                  <c:v>91.296556218356798</c:v>
                </c:pt>
                <c:pt idx="426">
                  <c:v>91.488295152639225</c:v>
                </c:pt>
                <c:pt idx="427">
                  <c:v>91.591057195849402</c:v>
                </c:pt>
                <c:pt idx="428">
                  <c:v>91.730161912877833</c:v>
                </c:pt>
                <c:pt idx="429">
                  <c:v>91.945711564489443</c:v>
                </c:pt>
                <c:pt idx="430">
                  <c:v>92.113639781442672</c:v>
                </c:pt>
                <c:pt idx="431">
                  <c:v>92.144969672665297</c:v>
                </c:pt>
                <c:pt idx="432">
                  <c:v>92.374304476414849</c:v>
                </c:pt>
                <c:pt idx="433">
                  <c:v>92.524687954283422</c:v>
                </c:pt>
                <c:pt idx="434">
                  <c:v>92.752769562384074</c:v>
                </c:pt>
                <c:pt idx="435">
                  <c:v>92.96706601834677</c:v>
                </c:pt>
                <c:pt idx="436">
                  <c:v>93.126221865757685</c:v>
                </c:pt>
                <c:pt idx="437">
                  <c:v>93.206426387287578</c:v>
                </c:pt>
                <c:pt idx="438">
                  <c:v>93.354303473858323</c:v>
                </c:pt>
                <c:pt idx="439">
                  <c:v>93.577372299363375</c:v>
                </c:pt>
                <c:pt idx="440">
                  <c:v>93.701438668604936</c:v>
                </c:pt>
                <c:pt idx="441">
                  <c:v>93.929520276705588</c:v>
                </c:pt>
                <c:pt idx="442">
                  <c:v>93.989673667853012</c:v>
                </c:pt>
                <c:pt idx="443">
                  <c:v>94.121259210988015</c:v>
                </c:pt>
                <c:pt idx="444">
                  <c:v>94.227780841144906</c:v>
                </c:pt>
                <c:pt idx="445">
                  <c:v>94.350594014737567</c:v>
                </c:pt>
                <c:pt idx="446">
                  <c:v>94.568650057646991</c:v>
                </c:pt>
                <c:pt idx="447">
                  <c:v>94.69772920948418</c:v>
                </c:pt>
                <c:pt idx="448">
                  <c:v>94.861897839490695</c:v>
                </c:pt>
                <c:pt idx="449">
                  <c:v>94.934583187127174</c:v>
                </c:pt>
                <c:pt idx="450">
                  <c:v>95.113790164920545</c:v>
                </c:pt>
                <c:pt idx="451">
                  <c:v>95.195247882099352</c:v>
                </c:pt>
                <c:pt idx="452">
                  <c:v>95.483482881347413</c:v>
                </c:pt>
                <c:pt idx="453">
                  <c:v>95.71031129379918</c:v>
                </c:pt>
                <c:pt idx="454">
                  <c:v>95.835630858689655</c:v>
                </c:pt>
                <c:pt idx="455">
                  <c:v>95.873226728156794</c:v>
                </c:pt>
                <c:pt idx="456">
                  <c:v>95.974735575718071</c:v>
                </c:pt>
                <c:pt idx="457">
                  <c:v>96.171487292596112</c:v>
                </c:pt>
                <c:pt idx="458">
                  <c:v>96.402075291994578</c:v>
                </c:pt>
                <c:pt idx="459">
                  <c:v>96.59005463933029</c:v>
                </c:pt>
                <c:pt idx="460">
                  <c:v>96.660233595668956</c:v>
                </c:pt>
                <c:pt idx="461">
                  <c:v>96.803097899644087</c:v>
                </c:pt>
                <c:pt idx="462">
                  <c:v>96.868264073387124</c:v>
                </c:pt>
                <c:pt idx="463">
                  <c:v>96.830668203919984</c:v>
                </c:pt>
                <c:pt idx="464">
                  <c:v>97.031179507744753</c:v>
                </c:pt>
                <c:pt idx="465">
                  <c:v>97.179056594315497</c:v>
                </c:pt>
                <c:pt idx="466">
                  <c:v>97.207880094240309</c:v>
                </c:pt>
                <c:pt idx="467">
                  <c:v>97.264273898441019</c:v>
                </c:pt>
                <c:pt idx="468">
                  <c:v>97.413404180660677</c:v>
                </c:pt>
                <c:pt idx="469">
                  <c:v>97.496115093488385</c:v>
                </c:pt>
                <c:pt idx="470">
                  <c:v>97.600130332347476</c:v>
                </c:pt>
                <c:pt idx="471">
                  <c:v>97.779337310140846</c:v>
                </c:pt>
                <c:pt idx="472">
                  <c:v>97.874580179457595</c:v>
                </c:pt>
                <c:pt idx="473">
                  <c:v>97.751767005864934</c:v>
                </c:pt>
                <c:pt idx="474">
                  <c:v>98.027470048623982</c:v>
                </c:pt>
                <c:pt idx="475">
                  <c:v>98.219208982906409</c:v>
                </c:pt>
                <c:pt idx="476">
                  <c:v>98.201664243821739</c:v>
                </c:pt>
                <c:pt idx="477">
                  <c:v>98.393403178104151</c:v>
                </c:pt>
                <c:pt idx="478">
                  <c:v>98.410947917188835</c:v>
                </c:pt>
                <c:pt idx="479">
                  <c:v>98.58012932979095</c:v>
                </c:pt>
                <c:pt idx="480">
                  <c:v>98.72174043811718</c:v>
                </c:pt>
                <c:pt idx="481">
                  <c:v>98.687904155596755</c:v>
                </c:pt>
                <c:pt idx="482">
                  <c:v>98.717980851170466</c:v>
                </c:pt>
                <c:pt idx="483">
                  <c:v>98.971126372249216</c:v>
                </c:pt>
                <c:pt idx="484">
                  <c:v>99.066369241565994</c:v>
                </c:pt>
                <c:pt idx="485">
                  <c:v>99.117750263171075</c:v>
                </c:pt>
                <c:pt idx="486">
                  <c:v>99.296957240964446</c:v>
                </c:pt>
                <c:pt idx="487">
                  <c:v>99.344578675622827</c:v>
                </c:pt>
                <c:pt idx="488">
                  <c:v>99.607749761892819</c:v>
                </c:pt>
                <c:pt idx="489">
                  <c:v>99.778184370143862</c:v>
                </c:pt>
                <c:pt idx="490">
                  <c:v>99.873427239460611</c:v>
                </c:pt>
                <c:pt idx="491">
                  <c:v>100</c:v>
                </c:pt>
                <c:pt idx="492">
                  <c:v>100.23936036894078</c:v>
                </c:pt>
                <c:pt idx="493">
                  <c:v>100.38849065116044</c:v>
                </c:pt>
                <c:pt idx="494">
                  <c:v>100.59401473758082</c:v>
                </c:pt>
                <c:pt idx="495">
                  <c:v>100.66043410697276</c:v>
                </c:pt>
                <c:pt idx="496">
                  <c:v>100.76820893277859</c:v>
                </c:pt>
                <c:pt idx="497">
                  <c:v>100.84465386736176</c:v>
                </c:pt>
                <c:pt idx="498">
                  <c:v>101.07524186676022</c:v>
                </c:pt>
                <c:pt idx="499">
                  <c:v>101.20432101859743</c:v>
                </c:pt>
                <c:pt idx="500">
                  <c:v>101.44994736578275</c:v>
                </c:pt>
                <c:pt idx="501">
                  <c:v>101.59281166975786</c:v>
                </c:pt>
                <c:pt idx="502">
                  <c:v>101.77201864755123</c:v>
                </c:pt>
                <c:pt idx="503">
                  <c:v>101.87102110381473</c:v>
                </c:pt>
                <c:pt idx="504">
                  <c:v>102.25073938543284</c:v>
                </c:pt>
                <c:pt idx="505">
                  <c:v>102.43119955887514</c:v>
                </c:pt>
                <c:pt idx="506">
                  <c:v>102.53772118903203</c:v>
                </c:pt>
                <c:pt idx="507">
                  <c:v>102.70063662338963</c:v>
                </c:pt>
                <c:pt idx="508">
                  <c:v>102.72444734071883</c:v>
                </c:pt>
                <c:pt idx="509">
                  <c:v>102.95503534011729</c:v>
                </c:pt>
                <c:pt idx="510">
                  <c:v>103.22071281768508</c:v>
                </c:pt>
                <c:pt idx="511">
                  <c:v>103.27084064364128</c:v>
                </c:pt>
                <c:pt idx="512">
                  <c:v>102.68559827560277</c:v>
                </c:pt>
                <c:pt idx="513">
                  <c:v>103.4086921650208</c:v>
                </c:pt>
                <c:pt idx="514">
                  <c:v>103.61797583838789</c:v>
                </c:pt>
                <c:pt idx="515">
                  <c:v>103.64178655571706</c:v>
                </c:pt>
                <c:pt idx="516">
                  <c:v>103.7019399468645</c:v>
                </c:pt>
                <c:pt idx="517">
                  <c:v>103.89869166374253</c:v>
                </c:pt>
                <c:pt idx="518">
                  <c:v>104.0227580329841</c:v>
                </c:pt>
                <c:pt idx="519">
                  <c:v>104.31349942352999</c:v>
                </c:pt>
                <c:pt idx="520">
                  <c:v>104.43004661887814</c:v>
                </c:pt>
                <c:pt idx="521">
                  <c:v>104.59546844453354</c:v>
                </c:pt>
                <c:pt idx="522">
                  <c:v>104.80725850919845</c:v>
                </c:pt>
                <c:pt idx="523">
                  <c:v>105.01403579126772</c:v>
                </c:pt>
                <c:pt idx="524">
                  <c:v>105.18572359516767</c:v>
                </c:pt>
                <c:pt idx="525">
                  <c:v>105.27470048623989</c:v>
                </c:pt>
                <c:pt idx="526">
                  <c:v>105.3774625294501</c:v>
                </c:pt>
                <c:pt idx="527">
                  <c:v>105.47521179006466</c:v>
                </c:pt>
                <c:pt idx="528">
                  <c:v>105.54789713770113</c:v>
                </c:pt>
                <c:pt idx="529">
                  <c:v>105.69326783297407</c:v>
                </c:pt>
                <c:pt idx="530">
                  <c:v>105.86244924557622</c:v>
                </c:pt>
                <c:pt idx="531">
                  <c:v>105.98024963657325</c:v>
                </c:pt>
                <c:pt idx="532">
                  <c:v>106.13313950573962</c:v>
                </c:pt>
                <c:pt idx="533">
                  <c:v>106.19329289688706</c:v>
                </c:pt>
                <c:pt idx="534">
                  <c:v>106.45771717880595</c:v>
                </c:pt>
                <c:pt idx="535">
                  <c:v>106.5780239611008</c:v>
                </c:pt>
                <c:pt idx="536">
                  <c:v>106.72715424332046</c:v>
                </c:pt>
                <c:pt idx="537">
                  <c:v>106.92265276454958</c:v>
                </c:pt>
                <c:pt idx="538">
                  <c:v>107.06927665547144</c:v>
                </c:pt>
                <c:pt idx="539">
                  <c:v>107.20336858990424</c:v>
                </c:pt>
                <c:pt idx="540">
                  <c:v>107.47781843701438</c:v>
                </c:pt>
                <c:pt idx="541">
                  <c:v>107.65201263221213</c:v>
                </c:pt>
                <c:pt idx="542">
                  <c:v>107.83247280565442</c:v>
                </c:pt>
                <c:pt idx="543">
                  <c:v>108.11318863100905</c:v>
                </c:pt>
                <c:pt idx="544">
                  <c:v>108.26106571757983</c:v>
                </c:pt>
                <c:pt idx="545">
                  <c:v>108.43275352147977</c:v>
                </c:pt>
                <c:pt idx="546">
                  <c:v>108.56183267331696</c:v>
                </c:pt>
                <c:pt idx="547">
                  <c:v>108.60318812973081</c:v>
                </c:pt>
                <c:pt idx="548">
                  <c:v>108.80620582485336</c:v>
                </c:pt>
                <c:pt idx="549">
                  <c:v>109.04305980249636</c:v>
                </c:pt>
                <c:pt idx="550">
                  <c:v>109.27740738884154</c:v>
                </c:pt>
                <c:pt idx="551">
                  <c:v>109.41776530151887</c:v>
                </c:pt>
                <c:pt idx="552">
                  <c:v>109.81126873527494</c:v>
                </c:pt>
                <c:pt idx="553">
                  <c:v>109.99298210436612</c:v>
                </c:pt>
                <c:pt idx="554">
                  <c:v>110.26492556017844</c:v>
                </c:pt>
                <c:pt idx="555">
                  <c:v>110.39275151636673</c:v>
                </c:pt>
                <c:pt idx="556">
                  <c:v>110.61832673316958</c:v>
                </c:pt>
                <c:pt idx="557">
                  <c:v>110.69477166775276</c:v>
                </c:pt>
                <c:pt idx="558">
                  <c:v>110.85768710211036</c:v>
                </c:pt>
                <c:pt idx="559">
                  <c:v>110.94791718883151</c:v>
                </c:pt>
                <c:pt idx="560">
                  <c:v>111.19354353601683</c:v>
                </c:pt>
                <c:pt idx="561">
                  <c:v>111.51185523083863</c:v>
                </c:pt>
                <c:pt idx="562">
                  <c:v>111.7975838387889</c:v>
                </c:pt>
                <c:pt idx="563">
                  <c:v>111.91287783848814</c:v>
                </c:pt>
                <c:pt idx="564">
                  <c:v>112.16477016391798</c:v>
                </c:pt>
                <c:pt idx="565">
                  <c:v>112.34523033736026</c:v>
                </c:pt>
                <c:pt idx="566">
                  <c:v>112.65476966263972</c:v>
                </c:pt>
                <c:pt idx="567">
                  <c:v>112.99939846608851</c:v>
                </c:pt>
                <c:pt idx="568">
                  <c:v>113.28262068274097</c:v>
                </c:pt>
                <c:pt idx="569">
                  <c:v>113.56834929069126</c:v>
                </c:pt>
                <c:pt idx="570">
                  <c:v>113.67988370344378</c:v>
                </c:pt>
                <c:pt idx="571">
                  <c:v>113.91047170284224</c:v>
                </c:pt>
                <c:pt idx="572">
                  <c:v>114.09093187628453</c:v>
                </c:pt>
                <c:pt idx="573">
                  <c:v>114.29645596270488</c:v>
                </c:pt>
                <c:pt idx="574">
                  <c:v>114.35159657125669</c:v>
                </c:pt>
                <c:pt idx="575">
                  <c:v>114.50448644042308</c:v>
                </c:pt>
                <c:pt idx="576">
                  <c:v>114.96942202616671</c:v>
                </c:pt>
                <c:pt idx="577">
                  <c:v>115.21755476464983</c:v>
                </c:pt>
                <c:pt idx="578">
                  <c:v>115.33410195999798</c:v>
                </c:pt>
                <c:pt idx="579">
                  <c:v>115.49827059000449</c:v>
                </c:pt>
                <c:pt idx="580">
                  <c:v>115.63486891573513</c:v>
                </c:pt>
                <c:pt idx="581">
                  <c:v>115.82535465436864</c:v>
                </c:pt>
                <c:pt idx="582">
                  <c:v>115.99954884956639</c:v>
                </c:pt>
                <c:pt idx="583">
                  <c:v>116.17248984911522</c:v>
                </c:pt>
                <c:pt idx="584">
                  <c:v>116.48954834828811</c:v>
                </c:pt>
                <c:pt idx="585">
                  <c:v>116.79282169532306</c:v>
                </c:pt>
                <c:pt idx="586">
                  <c:v>117.02215649907264</c:v>
                </c:pt>
                <c:pt idx="587">
                  <c:v>117.2577572810667</c:v>
                </c:pt>
                <c:pt idx="588">
                  <c:v>117.49085167176298</c:v>
                </c:pt>
                <c:pt idx="589">
                  <c:v>117.6048924758133</c:v>
                </c:pt>
                <c:pt idx="590">
                  <c:v>117.8354804752118</c:v>
                </c:pt>
                <c:pt idx="591">
                  <c:v>117.90440623590153</c:v>
                </c:pt>
                <c:pt idx="592">
                  <c:v>118.11995588751314</c:v>
                </c:pt>
                <c:pt idx="593">
                  <c:v>118.39064614767656</c:v>
                </c:pt>
                <c:pt idx="594">
                  <c:v>118.60368940799037</c:v>
                </c:pt>
                <c:pt idx="595">
                  <c:v>118.74906010326332</c:v>
                </c:pt>
                <c:pt idx="596">
                  <c:v>118.87062008120706</c:v>
                </c:pt>
                <c:pt idx="597">
                  <c:v>118.70143866860492</c:v>
                </c:pt>
                <c:pt idx="598">
                  <c:v>118.64880445135094</c:v>
                </c:pt>
                <c:pt idx="599">
                  <c:v>118.59115745150132</c:v>
                </c:pt>
                <c:pt idx="600">
                  <c:v>118.55481477768309</c:v>
                </c:pt>
                <c:pt idx="601">
                  <c:v>118.64880445135094</c:v>
                </c:pt>
                <c:pt idx="602">
                  <c:v>118.73402175547646</c:v>
                </c:pt>
                <c:pt idx="603">
                  <c:v>118.99969923304425</c:v>
                </c:pt>
                <c:pt idx="604">
                  <c:v>119.0911825154143</c:v>
                </c:pt>
                <c:pt idx="605">
                  <c:v>119.24281918893176</c:v>
                </c:pt>
                <c:pt idx="606">
                  <c:v>119.34558123214195</c:v>
                </c:pt>
                <c:pt idx="607">
                  <c:v>119.52228181863751</c:v>
                </c:pt>
                <c:pt idx="608">
                  <c:v>119.73156549200459</c:v>
                </c:pt>
                <c:pt idx="609">
                  <c:v>120.17269036041907</c:v>
                </c:pt>
                <c:pt idx="610">
                  <c:v>120.27921199057596</c:v>
                </c:pt>
                <c:pt idx="611">
                  <c:v>120.38197403378615</c:v>
                </c:pt>
                <c:pt idx="612">
                  <c:v>120.55867462028169</c:v>
                </c:pt>
                <c:pt idx="613">
                  <c:v>120.6639430547897</c:v>
                </c:pt>
                <c:pt idx="614">
                  <c:v>120.84440322823198</c:v>
                </c:pt>
                <c:pt idx="615">
                  <c:v>120.90580981502831</c:v>
                </c:pt>
                <c:pt idx="616">
                  <c:v>121.03990174946111</c:v>
                </c:pt>
                <c:pt idx="617">
                  <c:v>121.09880194495965</c:v>
                </c:pt>
                <c:pt idx="618">
                  <c:v>121.10005514060853</c:v>
                </c:pt>
                <c:pt idx="619">
                  <c:v>121.21660233595668</c:v>
                </c:pt>
                <c:pt idx="620">
                  <c:v>121.28552809664644</c:v>
                </c:pt>
                <c:pt idx="621">
                  <c:v>121.46974785703543</c:v>
                </c:pt>
                <c:pt idx="622">
                  <c:v>121.62765050879743</c:v>
                </c:pt>
                <c:pt idx="623">
                  <c:v>121.65271442177551</c:v>
                </c:pt>
                <c:pt idx="624">
                  <c:v>121.91463231239661</c:v>
                </c:pt>
                <c:pt idx="625">
                  <c:v>122.1276755727104</c:v>
                </c:pt>
                <c:pt idx="626">
                  <c:v>122.31189533309939</c:v>
                </c:pt>
                <c:pt idx="627">
                  <c:v>122.59261115845405</c:v>
                </c:pt>
                <c:pt idx="628">
                  <c:v>122.88460574464885</c:v>
                </c:pt>
                <c:pt idx="629">
                  <c:v>123.01869767908165</c:v>
                </c:pt>
                <c:pt idx="630">
                  <c:v>123.20041104817282</c:v>
                </c:pt>
                <c:pt idx="631">
                  <c:v>123.44603739535815</c:v>
                </c:pt>
                <c:pt idx="632">
                  <c:v>123.53000150383477</c:v>
                </c:pt>
                <c:pt idx="633">
                  <c:v>123.58890169933329</c:v>
                </c:pt>
                <c:pt idx="634">
                  <c:v>123.85081958995437</c:v>
                </c:pt>
                <c:pt idx="635">
                  <c:v>124.05634367637475</c:v>
                </c:pt>
                <c:pt idx="636">
                  <c:v>124.42728958845053</c:v>
                </c:pt>
                <c:pt idx="637">
                  <c:v>124.60023058799939</c:v>
                </c:pt>
                <c:pt idx="638">
                  <c:v>124.81202065266429</c:v>
                </c:pt>
                <c:pt idx="639">
                  <c:v>125.00125319564889</c:v>
                </c:pt>
                <c:pt idx="640">
                  <c:v>125.12782595618826</c:v>
                </c:pt>
                <c:pt idx="641">
                  <c:v>125.25690510802545</c:v>
                </c:pt>
                <c:pt idx="642">
                  <c:v>125.38598425986264</c:v>
                </c:pt>
                <c:pt idx="643">
                  <c:v>125.46493558574363</c:v>
                </c:pt>
                <c:pt idx="644">
                  <c:v>125.62033184620782</c:v>
                </c:pt>
                <c:pt idx="645">
                  <c:v>125.92360519324276</c:v>
                </c:pt>
                <c:pt idx="646">
                  <c:v>126.06020351897337</c:v>
                </c:pt>
                <c:pt idx="647">
                  <c:v>126.15168680134342</c:v>
                </c:pt>
                <c:pt idx="648">
                  <c:v>126.41109830066668</c:v>
                </c:pt>
                <c:pt idx="649">
                  <c:v>126.56273497418417</c:v>
                </c:pt>
                <c:pt idx="650">
                  <c:v>126.67928216953229</c:v>
                </c:pt>
                <c:pt idx="651">
                  <c:v>126.77703143014686</c:v>
                </c:pt>
                <c:pt idx="652">
                  <c:v>126.91362975587748</c:v>
                </c:pt>
                <c:pt idx="653">
                  <c:v>127.12166023359566</c:v>
                </c:pt>
                <c:pt idx="654">
                  <c:v>127.28332247230435</c:v>
                </c:pt>
                <c:pt idx="655">
                  <c:v>127.43119955887512</c:v>
                </c:pt>
                <c:pt idx="656">
                  <c:v>127.57406386285027</c:v>
                </c:pt>
                <c:pt idx="657">
                  <c:v>127.84475412301367</c:v>
                </c:pt>
                <c:pt idx="658">
                  <c:v>128.06907614416761</c:v>
                </c:pt>
                <c:pt idx="659">
                  <c:v>128.24327033936538</c:v>
                </c:pt>
                <c:pt idx="660">
                  <c:v>128.3598175347135</c:v>
                </c:pt>
                <c:pt idx="661">
                  <c:v>128.43876886059451</c:v>
                </c:pt>
                <c:pt idx="662">
                  <c:v>128.68314201213093</c:v>
                </c:pt>
                <c:pt idx="663">
                  <c:v>128.92751516366735</c:v>
                </c:pt>
                <c:pt idx="664">
                  <c:v>129.15559677176802</c:v>
                </c:pt>
                <c:pt idx="665">
                  <c:v>129.30472705398768</c:v>
                </c:pt>
                <c:pt idx="666">
                  <c:v>129.54158103163064</c:v>
                </c:pt>
                <c:pt idx="667">
                  <c:v>129.59045566193794</c:v>
                </c:pt>
                <c:pt idx="668">
                  <c:v>129.75086470499775</c:v>
                </c:pt>
                <c:pt idx="669">
                  <c:v>129.86741190034587</c:v>
                </c:pt>
                <c:pt idx="670">
                  <c:v>130.00651661737427</c:v>
                </c:pt>
                <c:pt idx="671">
                  <c:v>130.12807659531805</c:v>
                </c:pt>
                <c:pt idx="672">
                  <c:v>130.10175948669107</c:v>
                </c:pt>
                <c:pt idx="673">
                  <c:v>130.23209183417714</c:v>
                </c:pt>
                <c:pt idx="674">
                  <c:v>130.43260313800189</c:v>
                </c:pt>
                <c:pt idx="675">
                  <c:v>130.65316557220913</c:v>
                </c:pt>
                <c:pt idx="676">
                  <c:v>130.81482781091785</c:v>
                </c:pt>
                <c:pt idx="677">
                  <c:v>130.97273046267981</c:v>
                </c:pt>
                <c:pt idx="678">
                  <c:v>131.08802446237905</c:v>
                </c:pt>
                <c:pt idx="679">
                  <c:v>131.18326733169582</c:v>
                </c:pt>
                <c:pt idx="680">
                  <c:v>131.35244874429793</c:v>
                </c:pt>
                <c:pt idx="681">
                  <c:v>131.37124667903151</c:v>
                </c:pt>
                <c:pt idx="682">
                  <c:v>131.51035139605995</c:v>
                </c:pt>
                <c:pt idx="683">
                  <c:v>131.59682189583435</c:v>
                </c:pt>
                <c:pt idx="684">
                  <c:v>131.84119504737077</c:v>
                </c:pt>
                <c:pt idx="685">
                  <c:v>132.04797232944006</c:v>
                </c:pt>
                <c:pt idx="686">
                  <c:v>132.23845806807358</c:v>
                </c:pt>
                <c:pt idx="687">
                  <c:v>132.57055491503331</c:v>
                </c:pt>
                <c:pt idx="688">
                  <c:v>132.77357261015587</c:v>
                </c:pt>
                <c:pt idx="689">
                  <c:v>132.93523484886458</c:v>
                </c:pt>
                <c:pt idx="690">
                  <c:v>133.16081006566745</c:v>
                </c:pt>
                <c:pt idx="691">
                  <c:v>133.41019599979947</c:v>
                </c:pt>
                <c:pt idx="692">
                  <c:v>133.56433906461476</c:v>
                </c:pt>
                <c:pt idx="693">
                  <c:v>133.76234397714171</c:v>
                </c:pt>
                <c:pt idx="694">
                  <c:v>133.82751015088473</c:v>
                </c:pt>
                <c:pt idx="695">
                  <c:v>134.0029575417314</c:v>
                </c:pt>
                <c:pt idx="696">
                  <c:v>134.34758634518019</c:v>
                </c:pt>
                <c:pt idx="697">
                  <c:v>134.53932527946262</c:v>
                </c:pt>
                <c:pt idx="698">
                  <c:v>134.47666549701739</c:v>
                </c:pt>
                <c:pt idx="699">
                  <c:v>134.82756027871071</c:v>
                </c:pt>
                <c:pt idx="700">
                  <c:v>134.96791819138804</c:v>
                </c:pt>
                <c:pt idx="701">
                  <c:v>135.18973382124418</c:v>
                </c:pt>
                <c:pt idx="702">
                  <c:v>135.27495112536968</c:v>
                </c:pt>
                <c:pt idx="703">
                  <c:v>135.41781542934484</c:v>
                </c:pt>
                <c:pt idx="704">
                  <c:v>135.67973331996589</c:v>
                </c:pt>
                <c:pt idx="705">
                  <c:v>136.02937490601033</c:v>
                </c:pt>
                <c:pt idx="706">
                  <c:v>136.09830066670008</c:v>
                </c:pt>
                <c:pt idx="707">
                  <c:v>136.30883753571607</c:v>
                </c:pt>
                <c:pt idx="708">
                  <c:v>136.67351746954733</c:v>
                </c:pt>
                <c:pt idx="709">
                  <c:v>136.94044814276404</c:v>
                </c:pt>
                <c:pt idx="710">
                  <c:v>137.2775577723194</c:v>
                </c:pt>
                <c:pt idx="711">
                  <c:v>137.54072885858938</c:v>
                </c:pt>
                <c:pt idx="712">
                  <c:v>137.81267231440171</c:v>
                </c:pt>
                <c:pt idx="713">
                  <c:v>137.98436011830165</c:v>
                </c:pt>
                <c:pt idx="714">
                  <c:v>138.14978194395707</c:v>
                </c:pt>
                <c:pt idx="715">
                  <c:v>138.16106070479722</c:v>
                </c:pt>
                <c:pt idx="716">
                  <c:v>138.44678931274748</c:v>
                </c:pt>
                <c:pt idx="717">
                  <c:v>138.65481979046569</c:v>
                </c:pt>
                <c:pt idx="718">
                  <c:v>138.90169933329989</c:v>
                </c:pt>
                <c:pt idx="719">
                  <c:v>139.1122362023159</c:v>
                </c:pt>
                <c:pt idx="720">
                  <c:v>139.17990876735675</c:v>
                </c:pt>
                <c:pt idx="721">
                  <c:v>139.22502381071732</c:v>
                </c:pt>
                <c:pt idx="722">
                  <c:v>139.42302872324427</c:v>
                </c:pt>
                <c:pt idx="723">
                  <c:v>139.86540678730762</c:v>
                </c:pt>
                <c:pt idx="724">
                  <c:v>140.03709459120756</c:v>
                </c:pt>
                <c:pt idx="725">
                  <c:v>140.35415309038046</c:v>
                </c:pt>
                <c:pt idx="726">
                  <c:v>140.54589202466289</c:v>
                </c:pt>
                <c:pt idx="727">
                  <c:v>140.72008621986063</c:v>
                </c:pt>
                <c:pt idx="728">
                  <c:v>140.8178354804752</c:v>
                </c:pt>
                <c:pt idx="729">
                  <c:v>141.03463832773571</c:v>
                </c:pt>
                <c:pt idx="730">
                  <c:v>141.07975337109627</c:v>
                </c:pt>
                <c:pt idx="731">
                  <c:v>141.39054589202465</c:v>
                </c:pt>
                <c:pt idx="732">
                  <c:v>141.66123615218808</c:v>
                </c:pt>
                <c:pt idx="733">
                  <c:v>141.88054539074639</c:v>
                </c:pt>
                <c:pt idx="734">
                  <c:v>141.79908767356758</c:v>
                </c:pt>
                <c:pt idx="735">
                  <c:v>141.14491954483933</c:v>
                </c:pt>
                <c:pt idx="736">
                  <c:v>141.44067371798084</c:v>
                </c:pt>
                <c:pt idx="737">
                  <c:v>141.94320517319164</c:v>
                </c:pt>
                <c:pt idx="738">
                  <c:v>142.37555767206374</c:v>
                </c:pt>
                <c:pt idx="739">
                  <c:v>142.82796130131834</c:v>
                </c:pt>
                <c:pt idx="740">
                  <c:v>143.02847260514309</c:v>
                </c:pt>
                <c:pt idx="741">
                  <c:v>143.03599177903652</c:v>
                </c:pt>
                <c:pt idx="742">
                  <c:v>143.03223219208982</c:v>
                </c:pt>
                <c:pt idx="743">
                  <c:v>143.48338262569553</c:v>
                </c:pt>
                <c:pt idx="744">
                  <c:v>143.7991879292195</c:v>
                </c:pt>
                <c:pt idx="745">
                  <c:v>143.99092686350193</c:v>
                </c:pt>
                <c:pt idx="746">
                  <c:v>144.59747355757179</c:v>
                </c:pt>
                <c:pt idx="747">
                  <c:v>145.49601483783647</c:v>
                </c:pt>
                <c:pt idx="748">
                  <c:v>146.330643140007</c:v>
                </c:pt>
                <c:pt idx="749">
                  <c:v>147.03368589904255</c:v>
                </c:pt>
                <c:pt idx="750">
                  <c:v>147.50614065867961</c:v>
                </c:pt>
                <c:pt idx="751">
                  <c:v>147.96856985312544</c:v>
                </c:pt>
                <c:pt idx="752">
                  <c:v>148.32447741741441</c:v>
                </c:pt>
                <c:pt idx="753">
                  <c:v>149.03127976339664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B9-AB4A-827B-853B49E144D6}"/>
            </c:ext>
          </c:extLst>
        </c:ser>
        <c:ser>
          <c:idx val="3"/>
          <c:order val="3"/>
          <c:tx>
            <c:strRef>
              <c:f>'PCE Core vs Core CPI'!$E$4</c:f>
              <c:strCache>
                <c:ptCount val="1"/>
                <c:pt idx="0">
                  <c:v>Core CPI base 2000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CPI'!$E$5:$E$758</c:f>
              <c:numCache>
                <c:formatCode>0.00</c:formatCode>
                <c:ptCount val="754"/>
                <c:pt idx="0">
                  <c:v>16.73195299384443</c:v>
                </c:pt>
                <c:pt idx="1">
                  <c:v>16.73195299384443</c:v>
                </c:pt>
                <c:pt idx="2">
                  <c:v>16.787912702853944</c:v>
                </c:pt>
                <c:pt idx="3">
                  <c:v>16.787912702853944</c:v>
                </c:pt>
                <c:pt idx="4">
                  <c:v>16.843872411863458</c:v>
                </c:pt>
                <c:pt idx="5">
                  <c:v>16.899832120872972</c:v>
                </c:pt>
                <c:pt idx="6">
                  <c:v>16.899832120872972</c:v>
                </c:pt>
                <c:pt idx="7">
                  <c:v>16.899832120872972</c:v>
                </c:pt>
                <c:pt idx="8">
                  <c:v>16.9557918298825</c:v>
                </c:pt>
                <c:pt idx="9">
                  <c:v>17.011751538892</c:v>
                </c:pt>
                <c:pt idx="10">
                  <c:v>17.011751538892</c:v>
                </c:pt>
                <c:pt idx="11">
                  <c:v>17.067711247901514</c:v>
                </c:pt>
                <c:pt idx="12">
                  <c:v>17.067711247901514</c:v>
                </c:pt>
                <c:pt idx="13">
                  <c:v>17.123670956911013</c:v>
                </c:pt>
                <c:pt idx="14">
                  <c:v>17.123670956911013</c:v>
                </c:pt>
                <c:pt idx="15">
                  <c:v>17.123670956911013</c:v>
                </c:pt>
                <c:pt idx="16">
                  <c:v>17.123670956911013</c:v>
                </c:pt>
                <c:pt idx="17">
                  <c:v>17.179630665920527</c:v>
                </c:pt>
                <c:pt idx="18">
                  <c:v>17.123670956911013</c:v>
                </c:pt>
                <c:pt idx="19">
                  <c:v>17.123670956911013</c:v>
                </c:pt>
                <c:pt idx="20">
                  <c:v>17.123670956911013</c:v>
                </c:pt>
                <c:pt idx="21">
                  <c:v>17.235590374930055</c:v>
                </c:pt>
                <c:pt idx="22">
                  <c:v>17.235590374930055</c:v>
                </c:pt>
                <c:pt idx="23">
                  <c:v>17.179630665920527</c:v>
                </c:pt>
                <c:pt idx="24">
                  <c:v>17.235590374930055</c:v>
                </c:pt>
                <c:pt idx="25">
                  <c:v>17.235590374930055</c:v>
                </c:pt>
                <c:pt idx="26">
                  <c:v>17.291550083939569</c:v>
                </c:pt>
                <c:pt idx="27">
                  <c:v>17.291550083939569</c:v>
                </c:pt>
                <c:pt idx="28">
                  <c:v>17.291550083939569</c:v>
                </c:pt>
                <c:pt idx="29">
                  <c:v>17.347509792949083</c:v>
                </c:pt>
                <c:pt idx="30">
                  <c:v>17.347509792949083</c:v>
                </c:pt>
                <c:pt idx="31">
                  <c:v>17.403469501958597</c:v>
                </c:pt>
                <c:pt idx="32">
                  <c:v>17.403469501958597</c:v>
                </c:pt>
                <c:pt idx="33">
                  <c:v>17.403469501958597</c:v>
                </c:pt>
                <c:pt idx="34">
                  <c:v>17.459429210968096</c:v>
                </c:pt>
                <c:pt idx="35">
                  <c:v>17.459429210968096</c:v>
                </c:pt>
                <c:pt idx="36">
                  <c:v>17.459429210968096</c:v>
                </c:pt>
                <c:pt idx="37">
                  <c:v>17.459429210968096</c:v>
                </c:pt>
                <c:pt idx="38">
                  <c:v>17.515388919977624</c:v>
                </c:pt>
                <c:pt idx="39">
                  <c:v>17.515388919977624</c:v>
                </c:pt>
                <c:pt idx="40">
                  <c:v>17.571348628987138</c:v>
                </c:pt>
                <c:pt idx="41">
                  <c:v>17.571348628987138</c:v>
                </c:pt>
                <c:pt idx="42">
                  <c:v>17.571348628987138</c:v>
                </c:pt>
                <c:pt idx="43">
                  <c:v>17.627308337996638</c:v>
                </c:pt>
                <c:pt idx="44">
                  <c:v>17.627308337996638</c:v>
                </c:pt>
                <c:pt idx="45">
                  <c:v>17.627308337996638</c:v>
                </c:pt>
                <c:pt idx="46">
                  <c:v>17.627308337996638</c:v>
                </c:pt>
                <c:pt idx="47">
                  <c:v>17.683268047006152</c:v>
                </c:pt>
                <c:pt idx="48">
                  <c:v>17.627308337996638</c:v>
                </c:pt>
                <c:pt idx="49">
                  <c:v>17.683268047006152</c:v>
                </c:pt>
                <c:pt idx="50">
                  <c:v>17.739227756015666</c:v>
                </c:pt>
                <c:pt idx="51">
                  <c:v>17.739227756015666</c:v>
                </c:pt>
                <c:pt idx="52">
                  <c:v>17.739227756015666</c:v>
                </c:pt>
                <c:pt idx="53">
                  <c:v>17.79518746502518</c:v>
                </c:pt>
                <c:pt idx="54">
                  <c:v>17.79518746502518</c:v>
                </c:pt>
                <c:pt idx="55">
                  <c:v>17.851147174034693</c:v>
                </c:pt>
                <c:pt idx="56">
                  <c:v>17.851147174034693</c:v>
                </c:pt>
                <c:pt idx="57">
                  <c:v>17.907106883044207</c:v>
                </c:pt>
                <c:pt idx="58">
                  <c:v>17.907106883044207</c:v>
                </c:pt>
                <c:pt idx="59">
                  <c:v>17.963066592053721</c:v>
                </c:pt>
                <c:pt idx="60">
                  <c:v>18.019026301063235</c:v>
                </c:pt>
                <c:pt idx="61">
                  <c:v>18.019026301063235</c:v>
                </c:pt>
                <c:pt idx="62">
                  <c:v>18.019026301063235</c:v>
                </c:pt>
                <c:pt idx="63">
                  <c:v>18.019026301063235</c:v>
                </c:pt>
                <c:pt idx="64">
                  <c:v>18.019026301063235</c:v>
                </c:pt>
                <c:pt idx="65">
                  <c:v>18.074986010072763</c:v>
                </c:pt>
                <c:pt idx="66">
                  <c:v>18.074986010072763</c:v>
                </c:pt>
                <c:pt idx="67">
                  <c:v>18.074986010072763</c:v>
                </c:pt>
                <c:pt idx="68">
                  <c:v>18.074986010072763</c:v>
                </c:pt>
                <c:pt idx="69">
                  <c:v>18.130945719082263</c:v>
                </c:pt>
                <c:pt idx="70">
                  <c:v>18.186905428091777</c:v>
                </c:pt>
                <c:pt idx="71">
                  <c:v>18.186905428091777</c:v>
                </c:pt>
                <c:pt idx="72">
                  <c:v>18.242865137101276</c:v>
                </c:pt>
                <c:pt idx="73">
                  <c:v>18.242865137101276</c:v>
                </c:pt>
                <c:pt idx="74">
                  <c:v>18.242865137101276</c:v>
                </c:pt>
                <c:pt idx="75">
                  <c:v>18.29882484611079</c:v>
                </c:pt>
                <c:pt idx="76">
                  <c:v>18.29882484611079</c:v>
                </c:pt>
                <c:pt idx="77">
                  <c:v>18.29882484611079</c:v>
                </c:pt>
                <c:pt idx="78">
                  <c:v>18.29882484611079</c:v>
                </c:pt>
                <c:pt idx="79">
                  <c:v>18.29882484611079</c:v>
                </c:pt>
                <c:pt idx="80">
                  <c:v>18.354784555120318</c:v>
                </c:pt>
                <c:pt idx="81">
                  <c:v>18.354784555120318</c:v>
                </c:pt>
                <c:pt idx="82">
                  <c:v>18.410744264129832</c:v>
                </c:pt>
                <c:pt idx="83">
                  <c:v>18.466703973139346</c:v>
                </c:pt>
                <c:pt idx="84">
                  <c:v>18.466703973139346</c:v>
                </c:pt>
                <c:pt idx="85">
                  <c:v>18.52266368214886</c:v>
                </c:pt>
                <c:pt idx="86">
                  <c:v>18.52266368214886</c:v>
                </c:pt>
                <c:pt idx="87">
                  <c:v>18.634583100167887</c:v>
                </c:pt>
                <c:pt idx="88">
                  <c:v>18.690542809177401</c:v>
                </c:pt>
                <c:pt idx="89">
                  <c:v>18.746502518186901</c:v>
                </c:pt>
                <c:pt idx="90">
                  <c:v>18.802462227196415</c:v>
                </c:pt>
                <c:pt idx="91">
                  <c:v>18.858421936205929</c:v>
                </c:pt>
                <c:pt idx="92">
                  <c:v>18.914381645215457</c:v>
                </c:pt>
                <c:pt idx="93">
                  <c:v>19.02630106323447</c:v>
                </c:pt>
                <c:pt idx="94">
                  <c:v>19.02630106323447</c:v>
                </c:pt>
                <c:pt idx="95">
                  <c:v>19.082260772243984</c:v>
                </c:pt>
                <c:pt idx="96">
                  <c:v>19.138220481253484</c:v>
                </c:pt>
                <c:pt idx="97">
                  <c:v>19.138220481253484</c:v>
                </c:pt>
                <c:pt idx="98">
                  <c:v>19.194180190263026</c:v>
                </c:pt>
                <c:pt idx="99">
                  <c:v>19.25013989927254</c:v>
                </c:pt>
                <c:pt idx="100">
                  <c:v>19.30609960828204</c:v>
                </c:pt>
                <c:pt idx="101">
                  <c:v>19.362059317291553</c:v>
                </c:pt>
                <c:pt idx="102">
                  <c:v>19.418019026301053</c:v>
                </c:pt>
                <c:pt idx="103">
                  <c:v>19.529938444320095</c:v>
                </c:pt>
                <c:pt idx="104">
                  <c:v>19.585898153329609</c:v>
                </c:pt>
                <c:pt idx="105">
                  <c:v>19.641857862339123</c:v>
                </c:pt>
                <c:pt idx="106">
                  <c:v>19.697817571348622</c:v>
                </c:pt>
                <c:pt idx="107">
                  <c:v>19.80973698936765</c:v>
                </c:pt>
                <c:pt idx="108">
                  <c:v>19.865696698377164</c:v>
                </c:pt>
                <c:pt idx="109">
                  <c:v>19.977616116396192</c:v>
                </c:pt>
                <c:pt idx="110">
                  <c:v>20.03357582540572</c:v>
                </c:pt>
                <c:pt idx="111">
                  <c:v>20.089535534415219</c:v>
                </c:pt>
                <c:pt idx="112">
                  <c:v>20.145495243424733</c:v>
                </c:pt>
                <c:pt idx="113">
                  <c:v>20.257414661443747</c:v>
                </c:pt>
                <c:pt idx="114">
                  <c:v>20.369334079462789</c:v>
                </c:pt>
                <c:pt idx="115">
                  <c:v>20.425293788472302</c:v>
                </c:pt>
                <c:pt idx="116">
                  <c:v>20.537213206491316</c:v>
                </c:pt>
                <c:pt idx="117">
                  <c:v>20.649132624510358</c:v>
                </c:pt>
                <c:pt idx="118">
                  <c:v>20.761052042529386</c:v>
                </c:pt>
                <c:pt idx="119">
                  <c:v>20.817011751538885</c:v>
                </c:pt>
                <c:pt idx="120">
                  <c:v>20.872971460548413</c:v>
                </c:pt>
                <c:pt idx="121">
                  <c:v>21.040850587576941</c:v>
                </c:pt>
                <c:pt idx="122">
                  <c:v>21.152770005595983</c:v>
                </c:pt>
                <c:pt idx="123">
                  <c:v>21.32064913262451</c:v>
                </c:pt>
                <c:pt idx="124">
                  <c:v>21.32064913262451</c:v>
                </c:pt>
                <c:pt idx="125">
                  <c:v>21.432568550643552</c:v>
                </c:pt>
                <c:pt idx="126">
                  <c:v>21.544487968662565</c:v>
                </c:pt>
                <c:pt idx="127">
                  <c:v>21.656407386681593</c:v>
                </c:pt>
                <c:pt idx="128">
                  <c:v>21.768326804700621</c:v>
                </c:pt>
                <c:pt idx="129">
                  <c:v>21.880246222719634</c:v>
                </c:pt>
                <c:pt idx="130">
                  <c:v>21.936205931729148</c:v>
                </c:pt>
                <c:pt idx="131">
                  <c:v>22.048125349748176</c:v>
                </c:pt>
                <c:pt idx="132">
                  <c:v>22.160044767767204</c:v>
                </c:pt>
                <c:pt idx="133">
                  <c:v>22.271964185786246</c:v>
                </c:pt>
                <c:pt idx="134">
                  <c:v>22.439843312814773</c:v>
                </c:pt>
                <c:pt idx="135">
                  <c:v>22.607722439843315</c:v>
                </c:pt>
                <c:pt idx="136">
                  <c:v>22.663682148852828</c:v>
                </c:pt>
                <c:pt idx="137">
                  <c:v>22.83156127588137</c:v>
                </c:pt>
                <c:pt idx="138">
                  <c:v>22.887520984890884</c:v>
                </c:pt>
                <c:pt idx="139">
                  <c:v>22.999440402909897</c:v>
                </c:pt>
                <c:pt idx="140">
                  <c:v>23.111359820928939</c:v>
                </c:pt>
                <c:pt idx="141">
                  <c:v>23.223279238947953</c:v>
                </c:pt>
                <c:pt idx="142">
                  <c:v>23.391158365976509</c:v>
                </c:pt>
                <c:pt idx="143">
                  <c:v>23.503077783995536</c:v>
                </c:pt>
                <c:pt idx="144">
                  <c:v>23.559037493005036</c:v>
                </c:pt>
                <c:pt idx="145">
                  <c:v>23.614997202014536</c:v>
                </c:pt>
                <c:pt idx="146">
                  <c:v>23.614997202014536</c:v>
                </c:pt>
                <c:pt idx="147">
                  <c:v>23.726916620033577</c:v>
                </c:pt>
                <c:pt idx="148">
                  <c:v>23.838836038052605</c:v>
                </c:pt>
                <c:pt idx="149">
                  <c:v>23.950755456071633</c:v>
                </c:pt>
                <c:pt idx="150">
                  <c:v>24.006715165081147</c:v>
                </c:pt>
                <c:pt idx="151">
                  <c:v>24.062674874090661</c:v>
                </c:pt>
                <c:pt idx="152">
                  <c:v>24.062674874090661</c:v>
                </c:pt>
                <c:pt idx="153">
                  <c:v>24.11863458310016</c:v>
                </c:pt>
                <c:pt idx="154">
                  <c:v>24.174594292109674</c:v>
                </c:pt>
                <c:pt idx="155">
                  <c:v>24.230554001119202</c:v>
                </c:pt>
                <c:pt idx="156">
                  <c:v>24.342473419138216</c:v>
                </c:pt>
                <c:pt idx="157">
                  <c:v>24.39843312814773</c:v>
                </c:pt>
                <c:pt idx="158">
                  <c:v>24.39843312814773</c:v>
                </c:pt>
                <c:pt idx="159">
                  <c:v>24.510352546166772</c:v>
                </c:pt>
                <c:pt idx="160">
                  <c:v>24.566312255176285</c:v>
                </c:pt>
                <c:pt idx="161">
                  <c:v>24.622271964185785</c:v>
                </c:pt>
                <c:pt idx="162">
                  <c:v>24.678231673195299</c:v>
                </c:pt>
                <c:pt idx="163">
                  <c:v>24.790151091214327</c:v>
                </c:pt>
                <c:pt idx="164">
                  <c:v>24.790151091214327</c:v>
                </c:pt>
                <c:pt idx="165">
                  <c:v>24.84611080022384</c:v>
                </c:pt>
                <c:pt idx="166">
                  <c:v>24.84611080022384</c:v>
                </c:pt>
                <c:pt idx="167">
                  <c:v>24.958030218242868</c:v>
                </c:pt>
                <c:pt idx="168">
                  <c:v>24.958030218242868</c:v>
                </c:pt>
                <c:pt idx="169">
                  <c:v>25.069949636261896</c:v>
                </c:pt>
                <c:pt idx="170">
                  <c:v>25.181869054280909</c:v>
                </c:pt>
                <c:pt idx="171">
                  <c:v>25.237828763290423</c:v>
                </c:pt>
                <c:pt idx="172">
                  <c:v>25.349748181309465</c:v>
                </c:pt>
                <c:pt idx="173">
                  <c:v>25.405707890318979</c:v>
                </c:pt>
                <c:pt idx="174">
                  <c:v>25.461667599328479</c:v>
                </c:pt>
                <c:pt idx="175">
                  <c:v>25.573587017347506</c:v>
                </c:pt>
                <c:pt idx="176">
                  <c:v>25.741466144376048</c:v>
                </c:pt>
                <c:pt idx="177">
                  <c:v>25.90934527140459</c:v>
                </c:pt>
                <c:pt idx="178">
                  <c:v>26.021264689423617</c:v>
                </c:pt>
                <c:pt idx="179">
                  <c:v>26.133184107442645</c:v>
                </c:pt>
                <c:pt idx="180">
                  <c:v>26.245103525461673</c:v>
                </c:pt>
                <c:pt idx="181">
                  <c:v>26.4129826524902</c:v>
                </c:pt>
                <c:pt idx="182">
                  <c:v>26.636821488528255</c:v>
                </c:pt>
                <c:pt idx="183">
                  <c:v>26.804700615556811</c:v>
                </c:pt>
                <c:pt idx="184">
                  <c:v>27.14045886961388</c:v>
                </c:pt>
                <c:pt idx="185">
                  <c:v>27.420257414661435</c:v>
                </c:pt>
                <c:pt idx="186">
                  <c:v>27.700055959709019</c:v>
                </c:pt>
                <c:pt idx="187">
                  <c:v>28.091773922775602</c:v>
                </c:pt>
                <c:pt idx="188">
                  <c:v>28.371572467823171</c:v>
                </c:pt>
                <c:pt idx="189">
                  <c:v>28.65137101287074</c:v>
                </c:pt>
                <c:pt idx="190">
                  <c:v>28.875209848908796</c:v>
                </c:pt>
                <c:pt idx="191">
                  <c:v>29.099048684946837</c:v>
                </c:pt>
                <c:pt idx="192">
                  <c:v>29.266927811975378</c:v>
                </c:pt>
                <c:pt idx="193">
                  <c:v>29.546726357022948</c:v>
                </c:pt>
                <c:pt idx="194">
                  <c:v>29.658645775041975</c:v>
                </c:pt>
                <c:pt idx="195">
                  <c:v>29.826524902070503</c:v>
                </c:pt>
                <c:pt idx="196">
                  <c:v>29.938444320089545</c:v>
                </c:pt>
                <c:pt idx="197">
                  <c:v>30.106323447118072</c:v>
                </c:pt>
                <c:pt idx="198">
                  <c:v>30.2182428651371</c:v>
                </c:pt>
                <c:pt idx="199">
                  <c:v>30.330162283156128</c:v>
                </c:pt>
                <c:pt idx="200">
                  <c:v>30.498041410184669</c:v>
                </c:pt>
                <c:pt idx="201">
                  <c:v>30.665920537213211</c:v>
                </c:pt>
                <c:pt idx="202">
                  <c:v>30.889759373251252</c:v>
                </c:pt>
                <c:pt idx="203">
                  <c:v>31.057638500279808</c:v>
                </c:pt>
                <c:pt idx="204">
                  <c:v>31.281477336317849</c:v>
                </c:pt>
                <c:pt idx="205">
                  <c:v>31.44935646334639</c:v>
                </c:pt>
                <c:pt idx="206">
                  <c:v>31.617235590374932</c:v>
                </c:pt>
                <c:pt idx="207">
                  <c:v>31.72915500839396</c:v>
                </c:pt>
                <c:pt idx="208">
                  <c:v>31.897034135422501</c:v>
                </c:pt>
                <c:pt idx="209">
                  <c:v>32.008953553441515</c:v>
                </c:pt>
                <c:pt idx="210">
                  <c:v>32.23279238947957</c:v>
                </c:pt>
                <c:pt idx="211">
                  <c:v>32.400671516508112</c:v>
                </c:pt>
                <c:pt idx="212">
                  <c:v>32.568550643536653</c:v>
                </c:pt>
                <c:pt idx="213">
                  <c:v>32.736429770565195</c:v>
                </c:pt>
                <c:pt idx="214">
                  <c:v>32.848349188584223</c:v>
                </c:pt>
                <c:pt idx="215">
                  <c:v>32.96026860660325</c:v>
                </c:pt>
                <c:pt idx="216">
                  <c:v>33.184107442641292</c:v>
                </c:pt>
                <c:pt idx="217">
                  <c:v>33.407946278679361</c:v>
                </c:pt>
                <c:pt idx="218">
                  <c:v>33.575825405707889</c:v>
                </c:pt>
                <c:pt idx="219">
                  <c:v>33.74370453273643</c:v>
                </c:pt>
                <c:pt idx="220">
                  <c:v>33.911583659764972</c:v>
                </c:pt>
                <c:pt idx="221">
                  <c:v>34.135422495803027</c:v>
                </c:pt>
                <c:pt idx="222">
                  <c:v>34.247341913822055</c:v>
                </c:pt>
                <c:pt idx="223">
                  <c:v>34.415221040850582</c:v>
                </c:pt>
                <c:pt idx="224">
                  <c:v>34.583100167879138</c:v>
                </c:pt>
                <c:pt idx="225">
                  <c:v>34.695019585898152</c:v>
                </c:pt>
                <c:pt idx="226">
                  <c:v>34.862898712926693</c:v>
                </c:pt>
                <c:pt idx="227">
                  <c:v>35.086737548964749</c:v>
                </c:pt>
                <c:pt idx="228">
                  <c:v>35.310576385002804</c:v>
                </c:pt>
                <c:pt idx="229">
                  <c:v>35.478455512031346</c:v>
                </c:pt>
                <c:pt idx="230">
                  <c:v>35.702294348069387</c:v>
                </c:pt>
                <c:pt idx="231">
                  <c:v>35.982092893116956</c:v>
                </c:pt>
                <c:pt idx="232">
                  <c:v>36.205931729155019</c:v>
                </c:pt>
                <c:pt idx="233">
                  <c:v>36.485730274202574</c:v>
                </c:pt>
                <c:pt idx="234">
                  <c:v>36.709569110240622</c:v>
                </c:pt>
                <c:pt idx="235">
                  <c:v>36.989367655288198</c:v>
                </c:pt>
                <c:pt idx="236">
                  <c:v>37.325125909345282</c:v>
                </c:pt>
                <c:pt idx="237">
                  <c:v>37.604924454392844</c:v>
                </c:pt>
                <c:pt idx="238">
                  <c:v>37.828763290430892</c:v>
                </c:pt>
                <c:pt idx="239">
                  <c:v>38.052602126468948</c:v>
                </c:pt>
                <c:pt idx="240">
                  <c:v>38.33240067151651</c:v>
                </c:pt>
                <c:pt idx="241">
                  <c:v>38.724118634583107</c:v>
                </c:pt>
                <c:pt idx="242">
                  <c:v>39.059876888640176</c:v>
                </c:pt>
                <c:pt idx="243">
                  <c:v>39.339675433687745</c:v>
                </c:pt>
                <c:pt idx="244">
                  <c:v>39.619473978735307</c:v>
                </c:pt>
                <c:pt idx="245">
                  <c:v>39.899272523782884</c:v>
                </c:pt>
                <c:pt idx="246">
                  <c:v>40.235030777839967</c:v>
                </c:pt>
                <c:pt idx="247">
                  <c:v>40.682708449916063</c:v>
                </c:pt>
                <c:pt idx="248">
                  <c:v>41.018466703973147</c:v>
                </c:pt>
                <c:pt idx="249">
                  <c:v>41.410184667039729</c:v>
                </c:pt>
                <c:pt idx="250">
                  <c:v>41.85786233911584</c:v>
                </c:pt>
                <c:pt idx="251">
                  <c:v>42.361499720201458</c:v>
                </c:pt>
                <c:pt idx="252">
                  <c:v>42.921096810296589</c:v>
                </c:pt>
                <c:pt idx="253">
                  <c:v>43.368774482372693</c:v>
                </c:pt>
                <c:pt idx="254">
                  <c:v>43.984331281477338</c:v>
                </c:pt>
                <c:pt idx="255">
                  <c:v>44.487968662562963</c:v>
                </c:pt>
                <c:pt idx="256">
                  <c:v>44.823726916620032</c:v>
                </c:pt>
                <c:pt idx="257">
                  <c:v>45.32736429770565</c:v>
                </c:pt>
                <c:pt idx="258">
                  <c:v>45.215444879686629</c:v>
                </c:pt>
                <c:pt idx="259">
                  <c:v>45.495243424734191</c:v>
                </c:pt>
                <c:pt idx="260">
                  <c:v>45.942921096810295</c:v>
                </c:pt>
                <c:pt idx="261">
                  <c:v>46.44655847789592</c:v>
                </c:pt>
                <c:pt idx="262">
                  <c:v>46.950195858981537</c:v>
                </c:pt>
                <c:pt idx="263">
                  <c:v>47.509792949076669</c:v>
                </c:pt>
                <c:pt idx="264">
                  <c:v>47.789591494124238</c:v>
                </c:pt>
                <c:pt idx="265">
                  <c:v>48.0693900391718</c:v>
                </c:pt>
                <c:pt idx="266">
                  <c:v>48.34918858421937</c:v>
                </c:pt>
                <c:pt idx="267">
                  <c:v>48.684946838276446</c:v>
                </c:pt>
                <c:pt idx="268">
                  <c:v>49.132624510352549</c:v>
                </c:pt>
                <c:pt idx="269">
                  <c:v>49.580302182428646</c:v>
                </c:pt>
                <c:pt idx="270">
                  <c:v>50.251818690542812</c:v>
                </c:pt>
                <c:pt idx="271">
                  <c:v>50.75545607162843</c:v>
                </c:pt>
                <c:pt idx="272">
                  <c:v>51.371012870733075</c:v>
                </c:pt>
                <c:pt idx="273">
                  <c:v>51.53889199776161</c:v>
                </c:pt>
                <c:pt idx="274">
                  <c:v>51.762730833799672</c:v>
                </c:pt>
                <c:pt idx="275">
                  <c:v>52.042529378847235</c:v>
                </c:pt>
                <c:pt idx="276">
                  <c:v>52.210408505875769</c:v>
                </c:pt>
                <c:pt idx="277">
                  <c:v>52.490207050923338</c:v>
                </c:pt>
                <c:pt idx="278">
                  <c:v>52.546166759932852</c:v>
                </c:pt>
                <c:pt idx="279">
                  <c:v>52.993844432008956</c:v>
                </c:pt>
                <c:pt idx="280">
                  <c:v>53.385562395075553</c:v>
                </c:pt>
                <c:pt idx="281">
                  <c:v>53.777280358142136</c:v>
                </c:pt>
                <c:pt idx="282">
                  <c:v>54.113038612199219</c:v>
                </c:pt>
                <c:pt idx="283">
                  <c:v>54.336877448237267</c:v>
                </c:pt>
                <c:pt idx="284">
                  <c:v>54.392837157246788</c:v>
                </c:pt>
                <c:pt idx="285">
                  <c:v>54.560716284275323</c:v>
                </c:pt>
                <c:pt idx="286">
                  <c:v>54.448796866256302</c:v>
                </c:pt>
                <c:pt idx="287">
                  <c:v>54.392837157246788</c:v>
                </c:pt>
                <c:pt idx="288">
                  <c:v>54.616675993284836</c:v>
                </c:pt>
                <c:pt idx="289">
                  <c:v>54.840514829322892</c:v>
                </c:pt>
                <c:pt idx="290">
                  <c:v>54.95243424734192</c:v>
                </c:pt>
                <c:pt idx="291">
                  <c:v>55.176273083379968</c:v>
                </c:pt>
                <c:pt idx="292">
                  <c:v>55.344152210408517</c:v>
                </c:pt>
                <c:pt idx="293">
                  <c:v>55.512031337437051</c:v>
                </c:pt>
                <c:pt idx="294">
                  <c:v>55.84778959149412</c:v>
                </c:pt>
                <c:pt idx="295">
                  <c:v>56.015668718522669</c:v>
                </c:pt>
                <c:pt idx="296">
                  <c:v>56.239507554560717</c:v>
                </c:pt>
                <c:pt idx="297">
                  <c:v>56.519306099608286</c:v>
                </c:pt>
                <c:pt idx="298">
                  <c:v>56.799104644655849</c:v>
                </c:pt>
                <c:pt idx="299">
                  <c:v>56.96698377168439</c:v>
                </c:pt>
                <c:pt idx="300">
                  <c:v>57.35870173475098</c:v>
                </c:pt>
                <c:pt idx="301">
                  <c:v>57.526580861779522</c:v>
                </c:pt>
                <c:pt idx="302">
                  <c:v>57.750419697817577</c:v>
                </c:pt>
                <c:pt idx="303">
                  <c:v>58.030218242865146</c:v>
                </c:pt>
                <c:pt idx="304">
                  <c:v>58.254057078903188</c:v>
                </c:pt>
                <c:pt idx="305">
                  <c:v>58.47789591494125</c:v>
                </c:pt>
                <c:pt idx="306">
                  <c:v>58.757694459988812</c:v>
                </c:pt>
                <c:pt idx="307">
                  <c:v>58.981533296026868</c:v>
                </c:pt>
                <c:pt idx="308">
                  <c:v>59.205372132064916</c:v>
                </c:pt>
                <c:pt idx="309">
                  <c:v>59.429210968102971</c:v>
                </c:pt>
                <c:pt idx="310">
                  <c:v>59.541130386121999</c:v>
                </c:pt>
                <c:pt idx="311">
                  <c:v>59.764969222160047</c:v>
                </c:pt>
                <c:pt idx="312">
                  <c:v>59.932848349188582</c:v>
                </c:pt>
                <c:pt idx="313">
                  <c:v>60.268606603245665</c:v>
                </c:pt>
                <c:pt idx="314">
                  <c:v>60.492445439283713</c:v>
                </c:pt>
                <c:pt idx="315">
                  <c:v>60.660324566312262</c:v>
                </c:pt>
                <c:pt idx="316">
                  <c:v>60.88416340235031</c:v>
                </c:pt>
                <c:pt idx="317">
                  <c:v>61.052042529378845</c:v>
                </c:pt>
                <c:pt idx="318">
                  <c:v>61.219921656407394</c:v>
                </c:pt>
                <c:pt idx="319">
                  <c:v>61.443760492445442</c:v>
                </c:pt>
                <c:pt idx="320">
                  <c:v>61.55567991046447</c:v>
                </c:pt>
                <c:pt idx="321">
                  <c:v>61.835478455512032</c:v>
                </c:pt>
                <c:pt idx="322">
                  <c:v>62.171236709569108</c:v>
                </c:pt>
                <c:pt idx="323">
                  <c:v>62.339115836597657</c:v>
                </c:pt>
                <c:pt idx="324">
                  <c:v>62.618914381645226</c:v>
                </c:pt>
                <c:pt idx="325">
                  <c:v>62.78679350867376</c:v>
                </c:pt>
                <c:pt idx="326">
                  <c:v>62.954672635702295</c:v>
                </c:pt>
                <c:pt idx="327">
                  <c:v>63.178511471740357</c:v>
                </c:pt>
                <c:pt idx="328">
                  <c:v>63.290430889759378</c:v>
                </c:pt>
                <c:pt idx="329">
                  <c:v>63.458310016787919</c:v>
                </c:pt>
                <c:pt idx="330">
                  <c:v>63.682148852825968</c:v>
                </c:pt>
                <c:pt idx="331">
                  <c:v>63.905987688864023</c:v>
                </c:pt>
                <c:pt idx="332">
                  <c:v>64.129826524902072</c:v>
                </c:pt>
                <c:pt idx="333">
                  <c:v>64.353665360940127</c:v>
                </c:pt>
                <c:pt idx="334">
                  <c:v>64.521544487968669</c:v>
                </c:pt>
                <c:pt idx="335">
                  <c:v>64.689423614997196</c:v>
                </c:pt>
                <c:pt idx="336">
                  <c:v>64.857302742025752</c:v>
                </c:pt>
                <c:pt idx="337">
                  <c:v>65.025181869054279</c:v>
                </c:pt>
                <c:pt idx="338">
                  <c:v>65.249020705092335</c:v>
                </c:pt>
                <c:pt idx="339">
                  <c:v>65.640738668158917</c:v>
                </c:pt>
                <c:pt idx="340">
                  <c:v>65.864577504196987</c:v>
                </c:pt>
                <c:pt idx="341">
                  <c:v>65.976496922216</c:v>
                </c:pt>
                <c:pt idx="342">
                  <c:v>66.200335758254056</c:v>
                </c:pt>
                <c:pt idx="343">
                  <c:v>66.424174594292111</c:v>
                </c:pt>
                <c:pt idx="344">
                  <c:v>66.703973139339681</c:v>
                </c:pt>
                <c:pt idx="345">
                  <c:v>67.03973139339675</c:v>
                </c:pt>
                <c:pt idx="346">
                  <c:v>67.207610520425291</c:v>
                </c:pt>
                <c:pt idx="347">
                  <c:v>67.375489647453833</c:v>
                </c:pt>
                <c:pt idx="348">
                  <c:v>67.655288192501416</c:v>
                </c:pt>
                <c:pt idx="349">
                  <c:v>67.823167319529944</c:v>
                </c:pt>
                <c:pt idx="350">
                  <c:v>68.102965864577513</c:v>
                </c:pt>
                <c:pt idx="351">
                  <c:v>68.438724118634582</c:v>
                </c:pt>
                <c:pt idx="352">
                  <c:v>68.662562954672637</c:v>
                </c:pt>
                <c:pt idx="353">
                  <c:v>68.942361499720207</c:v>
                </c:pt>
                <c:pt idx="354">
                  <c:v>69.166200335758248</c:v>
                </c:pt>
                <c:pt idx="355">
                  <c:v>69.390039171796303</c:v>
                </c:pt>
                <c:pt idx="356">
                  <c:v>69.7817571348629</c:v>
                </c:pt>
                <c:pt idx="357">
                  <c:v>70.06155567991047</c:v>
                </c:pt>
                <c:pt idx="358">
                  <c:v>70.285394515948525</c:v>
                </c:pt>
                <c:pt idx="359">
                  <c:v>70.50923335198658</c:v>
                </c:pt>
                <c:pt idx="360">
                  <c:v>70.789031897034135</c:v>
                </c:pt>
                <c:pt idx="361">
                  <c:v>71.012870733072191</c:v>
                </c:pt>
                <c:pt idx="362">
                  <c:v>71.29266927811976</c:v>
                </c:pt>
                <c:pt idx="363">
                  <c:v>71.516508114157816</c:v>
                </c:pt>
                <c:pt idx="364">
                  <c:v>71.796306659205385</c:v>
                </c:pt>
                <c:pt idx="365">
                  <c:v>72.076105204252954</c:v>
                </c:pt>
                <c:pt idx="366">
                  <c:v>72.299944040290995</c:v>
                </c:pt>
                <c:pt idx="367">
                  <c:v>72.467823167319537</c:v>
                </c:pt>
                <c:pt idx="368">
                  <c:v>72.691662003357592</c:v>
                </c:pt>
                <c:pt idx="369">
                  <c:v>73.083379966424175</c:v>
                </c:pt>
                <c:pt idx="370">
                  <c:v>73.363178511471745</c:v>
                </c:pt>
                <c:pt idx="371">
                  <c:v>73.642977056519314</c:v>
                </c:pt>
                <c:pt idx="372">
                  <c:v>73.922775601566883</c:v>
                </c:pt>
                <c:pt idx="373">
                  <c:v>74.258533855623952</c:v>
                </c:pt>
                <c:pt idx="374">
                  <c:v>74.706211527700063</c:v>
                </c:pt>
                <c:pt idx="375">
                  <c:v>74.986010072747632</c:v>
                </c:pt>
                <c:pt idx="376">
                  <c:v>75.209848908785688</c:v>
                </c:pt>
                <c:pt idx="377">
                  <c:v>75.60156687185227</c:v>
                </c:pt>
                <c:pt idx="378">
                  <c:v>75.993284834918867</c:v>
                </c:pt>
                <c:pt idx="379">
                  <c:v>76.440962506994964</c:v>
                </c:pt>
                <c:pt idx="380">
                  <c:v>76.720761052042533</c:v>
                </c:pt>
                <c:pt idx="381">
                  <c:v>77.000559597090103</c:v>
                </c:pt>
                <c:pt idx="382">
                  <c:v>77.224398433128158</c:v>
                </c:pt>
                <c:pt idx="383">
                  <c:v>77.560156687185227</c:v>
                </c:pt>
                <c:pt idx="384">
                  <c:v>78.063794068270852</c:v>
                </c:pt>
                <c:pt idx="385">
                  <c:v>78.455512031337435</c:v>
                </c:pt>
                <c:pt idx="386">
                  <c:v>78.62339115836599</c:v>
                </c:pt>
                <c:pt idx="387">
                  <c:v>78.847229994404032</c:v>
                </c:pt>
                <c:pt idx="388">
                  <c:v>79.071068830442101</c:v>
                </c:pt>
                <c:pt idx="389">
                  <c:v>79.350867375489656</c:v>
                </c:pt>
                <c:pt idx="390">
                  <c:v>79.630665920537226</c:v>
                </c:pt>
                <c:pt idx="391">
                  <c:v>79.966424174594295</c:v>
                </c:pt>
                <c:pt idx="392">
                  <c:v>80.246222719641864</c:v>
                </c:pt>
                <c:pt idx="393">
                  <c:v>80.414101846670405</c:v>
                </c:pt>
                <c:pt idx="394">
                  <c:v>80.69390039171796</c:v>
                </c:pt>
                <c:pt idx="395">
                  <c:v>80.97369893676553</c:v>
                </c:pt>
                <c:pt idx="396">
                  <c:v>81.197537772803585</c:v>
                </c:pt>
                <c:pt idx="397">
                  <c:v>81.365416899832127</c:v>
                </c:pt>
                <c:pt idx="398">
                  <c:v>81.645215444879696</c:v>
                </c:pt>
                <c:pt idx="399">
                  <c:v>81.869054280917751</c:v>
                </c:pt>
                <c:pt idx="400">
                  <c:v>82.148852825965321</c:v>
                </c:pt>
                <c:pt idx="401">
                  <c:v>82.316731952993848</c:v>
                </c:pt>
                <c:pt idx="402">
                  <c:v>82.596530498041417</c:v>
                </c:pt>
                <c:pt idx="403">
                  <c:v>82.764409625069959</c:v>
                </c:pt>
                <c:pt idx="404">
                  <c:v>82.876329043088987</c:v>
                </c:pt>
                <c:pt idx="405">
                  <c:v>83.268047006155584</c:v>
                </c:pt>
                <c:pt idx="406">
                  <c:v>83.491885842193625</c:v>
                </c:pt>
                <c:pt idx="407">
                  <c:v>83.71572467823168</c:v>
                </c:pt>
                <c:pt idx="408">
                  <c:v>83.995523223279235</c:v>
                </c:pt>
                <c:pt idx="409">
                  <c:v>84.275321768326805</c:v>
                </c:pt>
                <c:pt idx="410">
                  <c:v>84.387241186345847</c:v>
                </c:pt>
                <c:pt idx="411">
                  <c:v>84.722999440402916</c:v>
                </c:pt>
                <c:pt idx="412">
                  <c:v>84.946838276440971</c:v>
                </c:pt>
                <c:pt idx="413">
                  <c:v>85.114717403469498</c:v>
                </c:pt>
                <c:pt idx="414">
                  <c:v>85.22663682148854</c:v>
                </c:pt>
                <c:pt idx="415">
                  <c:v>85.50643536653611</c:v>
                </c:pt>
                <c:pt idx="416">
                  <c:v>85.562395075545624</c:v>
                </c:pt>
                <c:pt idx="417">
                  <c:v>85.842193620593179</c:v>
                </c:pt>
                <c:pt idx="418">
                  <c:v>86.121992165640748</c:v>
                </c:pt>
                <c:pt idx="419">
                  <c:v>86.345831001678803</c:v>
                </c:pt>
                <c:pt idx="420">
                  <c:v>86.457750419697817</c:v>
                </c:pt>
                <c:pt idx="421">
                  <c:v>86.625629546726373</c:v>
                </c:pt>
                <c:pt idx="422">
                  <c:v>86.905428091773928</c:v>
                </c:pt>
                <c:pt idx="423">
                  <c:v>87.017347509792955</c:v>
                </c:pt>
                <c:pt idx="424">
                  <c:v>87.241186345831011</c:v>
                </c:pt>
                <c:pt idx="425">
                  <c:v>87.52098489087858</c:v>
                </c:pt>
                <c:pt idx="426">
                  <c:v>87.688864017907107</c:v>
                </c:pt>
                <c:pt idx="427">
                  <c:v>87.912702853945163</c:v>
                </c:pt>
                <c:pt idx="428">
                  <c:v>88.136541689983218</c:v>
                </c:pt>
                <c:pt idx="429">
                  <c:v>88.30442081701176</c:v>
                </c:pt>
                <c:pt idx="430">
                  <c:v>88.528259653049801</c:v>
                </c:pt>
                <c:pt idx="431">
                  <c:v>88.584219362059329</c:v>
                </c:pt>
                <c:pt idx="432">
                  <c:v>88.975937325125912</c:v>
                </c:pt>
                <c:pt idx="433">
                  <c:v>89.199776161163967</c:v>
                </c:pt>
                <c:pt idx="434">
                  <c:v>89.479574706211537</c:v>
                </c:pt>
                <c:pt idx="435">
                  <c:v>89.759373251259106</c:v>
                </c:pt>
                <c:pt idx="436">
                  <c:v>89.927252378287633</c:v>
                </c:pt>
                <c:pt idx="437">
                  <c:v>90.151091214325689</c:v>
                </c:pt>
                <c:pt idx="438">
                  <c:v>90.31897034135423</c:v>
                </c:pt>
                <c:pt idx="439">
                  <c:v>90.542809177392286</c:v>
                </c:pt>
                <c:pt idx="440">
                  <c:v>90.766648013430327</c:v>
                </c:pt>
                <c:pt idx="441">
                  <c:v>91.046446558477896</c:v>
                </c:pt>
                <c:pt idx="442">
                  <c:v>91.214325685506438</c:v>
                </c:pt>
                <c:pt idx="443">
                  <c:v>91.270285394515952</c:v>
                </c:pt>
                <c:pt idx="444">
                  <c:v>91.606043648573021</c:v>
                </c:pt>
                <c:pt idx="445">
                  <c:v>91.773922775601577</c:v>
                </c:pt>
                <c:pt idx="446">
                  <c:v>91.997761611639632</c:v>
                </c:pt>
                <c:pt idx="447">
                  <c:v>92.109681029658645</c:v>
                </c:pt>
                <c:pt idx="448">
                  <c:v>92.333519865696701</c:v>
                </c:pt>
                <c:pt idx="449">
                  <c:v>92.557358701734756</c:v>
                </c:pt>
                <c:pt idx="450">
                  <c:v>92.725237828763284</c:v>
                </c:pt>
                <c:pt idx="451">
                  <c:v>92.893116955791839</c:v>
                </c:pt>
                <c:pt idx="452">
                  <c:v>93.172915500839395</c:v>
                </c:pt>
                <c:pt idx="453">
                  <c:v>93.34079462786795</c:v>
                </c:pt>
                <c:pt idx="454">
                  <c:v>93.564633463905992</c:v>
                </c:pt>
                <c:pt idx="455">
                  <c:v>93.676552881925019</c:v>
                </c:pt>
                <c:pt idx="456">
                  <c:v>93.900391717963075</c:v>
                </c:pt>
                <c:pt idx="457">
                  <c:v>94.068270844991616</c:v>
                </c:pt>
                <c:pt idx="458">
                  <c:v>94.236149972020158</c:v>
                </c:pt>
                <c:pt idx="459">
                  <c:v>94.515948517067727</c:v>
                </c:pt>
                <c:pt idx="460">
                  <c:v>94.683827644096255</c:v>
                </c:pt>
                <c:pt idx="461">
                  <c:v>94.795747062115282</c:v>
                </c:pt>
                <c:pt idx="462">
                  <c:v>94.96362618914381</c:v>
                </c:pt>
                <c:pt idx="463">
                  <c:v>95.019585898153338</c:v>
                </c:pt>
                <c:pt idx="464">
                  <c:v>95.243424734191379</c:v>
                </c:pt>
                <c:pt idx="465">
                  <c:v>95.467263570229434</c:v>
                </c:pt>
                <c:pt idx="466">
                  <c:v>95.579182988248476</c:v>
                </c:pt>
                <c:pt idx="467">
                  <c:v>95.803021824286517</c:v>
                </c:pt>
                <c:pt idx="468">
                  <c:v>96.026860660324573</c:v>
                </c:pt>
                <c:pt idx="469">
                  <c:v>96.194739787353114</c:v>
                </c:pt>
                <c:pt idx="470">
                  <c:v>96.362618914381642</c:v>
                </c:pt>
                <c:pt idx="471">
                  <c:v>96.530498041410198</c:v>
                </c:pt>
                <c:pt idx="472">
                  <c:v>96.754336877448253</c:v>
                </c:pt>
                <c:pt idx="473">
                  <c:v>96.92221600447678</c:v>
                </c:pt>
                <c:pt idx="474">
                  <c:v>97.090095131505322</c:v>
                </c:pt>
                <c:pt idx="475">
                  <c:v>97.369893676552891</c:v>
                </c:pt>
                <c:pt idx="476">
                  <c:v>97.481813094571905</c:v>
                </c:pt>
                <c:pt idx="477">
                  <c:v>97.593732512590947</c:v>
                </c:pt>
                <c:pt idx="478">
                  <c:v>97.817571348629002</c:v>
                </c:pt>
                <c:pt idx="479">
                  <c:v>98.153329602686071</c:v>
                </c:pt>
                <c:pt idx="480">
                  <c:v>98.265249020705099</c:v>
                </c:pt>
                <c:pt idx="481">
                  <c:v>98.265249020705099</c:v>
                </c:pt>
                <c:pt idx="482">
                  <c:v>98.321208729714598</c:v>
                </c:pt>
                <c:pt idx="483">
                  <c:v>98.656966983771696</c:v>
                </c:pt>
                <c:pt idx="484">
                  <c:v>98.768886401790724</c:v>
                </c:pt>
                <c:pt idx="485">
                  <c:v>98.824846110800223</c:v>
                </c:pt>
                <c:pt idx="486">
                  <c:v>99.104644655847792</c:v>
                </c:pt>
                <c:pt idx="487">
                  <c:v>99.216564073866834</c:v>
                </c:pt>
                <c:pt idx="488">
                  <c:v>99.496362618914389</c:v>
                </c:pt>
                <c:pt idx="489">
                  <c:v>99.664241745942931</c:v>
                </c:pt>
                <c:pt idx="490">
                  <c:v>99.832120872971473</c:v>
                </c:pt>
                <c:pt idx="491">
                  <c:v>100</c:v>
                </c:pt>
                <c:pt idx="492">
                  <c:v>100.3357582540571</c:v>
                </c:pt>
                <c:pt idx="493">
                  <c:v>100.3917179630666</c:v>
                </c:pt>
                <c:pt idx="494">
                  <c:v>100.72747621712368</c:v>
                </c:pt>
                <c:pt idx="495">
                  <c:v>100.89535534415222</c:v>
                </c:pt>
                <c:pt idx="496">
                  <c:v>101.11919418019026</c:v>
                </c:pt>
                <c:pt idx="497">
                  <c:v>101.34303301622832</c:v>
                </c:pt>
                <c:pt idx="498">
                  <c:v>101.56687185226637</c:v>
                </c:pt>
                <c:pt idx="499">
                  <c:v>101.79071068830443</c:v>
                </c:pt>
                <c:pt idx="500">
                  <c:v>102.01454952434248</c:v>
                </c:pt>
                <c:pt idx="501">
                  <c:v>102.18242865137101</c:v>
                </c:pt>
                <c:pt idx="502">
                  <c:v>102.46222719641858</c:v>
                </c:pt>
                <c:pt idx="503">
                  <c:v>102.57414661443762</c:v>
                </c:pt>
                <c:pt idx="504">
                  <c:v>102.90990486849469</c:v>
                </c:pt>
                <c:pt idx="505">
                  <c:v>103.18970341354226</c:v>
                </c:pt>
                <c:pt idx="506">
                  <c:v>103.35758254057079</c:v>
                </c:pt>
                <c:pt idx="507">
                  <c:v>103.58142137660884</c:v>
                </c:pt>
                <c:pt idx="508">
                  <c:v>103.69334079462789</c:v>
                </c:pt>
                <c:pt idx="509">
                  <c:v>104.08505875769447</c:v>
                </c:pt>
                <c:pt idx="510">
                  <c:v>104.30889759373252</c:v>
                </c:pt>
                <c:pt idx="511">
                  <c:v>104.47677672076105</c:v>
                </c:pt>
                <c:pt idx="512">
                  <c:v>104.70061555679911</c:v>
                </c:pt>
                <c:pt idx="513">
                  <c:v>104.86849468382765</c:v>
                </c:pt>
                <c:pt idx="514">
                  <c:v>105.26021264689425</c:v>
                </c:pt>
                <c:pt idx="515">
                  <c:v>105.42809177392279</c:v>
                </c:pt>
                <c:pt idx="516">
                  <c:v>105.59597090095131</c:v>
                </c:pt>
                <c:pt idx="517">
                  <c:v>105.81980973698937</c:v>
                </c:pt>
                <c:pt idx="518">
                  <c:v>105.87576944599888</c:v>
                </c:pt>
                <c:pt idx="519">
                  <c:v>106.15556799104645</c:v>
                </c:pt>
                <c:pt idx="520">
                  <c:v>106.32344711807499</c:v>
                </c:pt>
                <c:pt idx="521">
                  <c:v>106.43536653609401</c:v>
                </c:pt>
                <c:pt idx="522">
                  <c:v>106.60324566312256</c:v>
                </c:pt>
                <c:pt idx="523">
                  <c:v>106.93900391717963</c:v>
                </c:pt>
                <c:pt idx="524">
                  <c:v>107.05092333519868</c:v>
                </c:pt>
                <c:pt idx="525">
                  <c:v>107.16284275321769</c:v>
                </c:pt>
                <c:pt idx="526">
                  <c:v>107.38668158925574</c:v>
                </c:pt>
                <c:pt idx="527">
                  <c:v>107.49860100727477</c:v>
                </c:pt>
                <c:pt idx="528">
                  <c:v>107.66648013430331</c:v>
                </c:pt>
                <c:pt idx="529">
                  <c:v>107.72243984331283</c:v>
                </c:pt>
                <c:pt idx="530">
                  <c:v>107.72243984331283</c:v>
                </c:pt>
                <c:pt idx="531">
                  <c:v>107.72243984331283</c:v>
                </c:pt>
                <c:pt idx="532">
                  <c:v>107.94627867935088</c:v>
                </c:pt>
                <c:pt idx="533">
                  <c:v>108.00223838836038</c:v>
                </c:pt>
                <c:pt idx="534">
                  <c:v>108.22607722439844</c:v>
                </c:pt>
                <c:pt idx="535">
                  <c:v>108.33799664241747</c:v>
                </c:pt>
                <c:pt idx="536">
                  <c:v>108.39395635142698</c:v>
                </c:pt>
                <c:pt idx="537">
                  <c:v>108.56183547845552</c:v>
                </c:pt>
                <c:pt idx="538">
                  <c:v>108.56183547845552</c:v>
                </c:pt>
                <c:pt idx="539">
                  <c:v>108.67375489647453</c:v>
                </c:pt>
                <c:pt idx="540">
                  <c:v>108.89759373251259</c:v>
                </c:pt>
                <c:pt idx="541">
                  <c:v>109.06547285954115</c:v>
                </c:pt>
                <c:pt idx="542">
                  <c:v>109.40123111359821</c:v>
                </c:pt>
                <c:pt idx="543">
                  <c:v>109.62506994963627</c:v>
                </c:pt>
                <c:pt idx="544">
                  <c:v>109.7929490766648</c:v>
                </c:pt>
                <c:pt idx="545">
                  <c:v>110.01678791270285</c:v>
                </c:pt>
                <c:pt idx="546">
                  <c:v>110.12870733072189</c:v>
                </c:pt>
                <c:pt idx="547">
                  <c:v>110.18466703973141</c:v>
                </c:pt>
                <c:pt idx="548">
                  <c:v>110.52042529378848</c:v>
                </c:pt>
                <c:pt idx="549">
                  <c:v>110.74426412982653</c:v>
                </c:pt>
                <c:pt idx="550">
                  <c:v>110.96810296586459</c:v>
                </c:pt>
                <c:pt idx="551">
                  <c:v>111.13598209289312</c:v>
                </c:pt>
                <c:pt idx="552">
                  <c:v>111.35982092893117</c:v>
                </c:pt>
                <c:pt idx="553">
                  <c:v>111.58365976496923</c:v>
                </c:pt>
                <c:pt idx="554">
                  <c:v>111.97537772803582</c:v>
                </c:pt>
                <c:pt idx="555">
                  <c:v>112.03133743704532</c:v>
                </c:pt>
                <c:pt idx="556">
                  <c:v>112.19921656407388</c:v>
                </c:pt>
                <c:pt idx="557">
                  <c:v>112.25517627308338</c:v>
                </c:pt>
                <c:pt idx="558">
                  <c:v>112.42305540011193</c:v>
                </c:pt>
                <c:pt idx="559">
                  <c:v>112.53497481813095</c:v>
                </c:pt>
                <c:pt idx="560">
                  <c:v>112.64689423614999</c:v>
                </c:pt>
                <c:pt idx="561">
                  <c:v>113.03861219921657</c:v>
                </c:pt>
                <c:pt idx="562">
                  <c:v>113.31841074426414</c:v>
                </c:pt>
                <c:pt idx="563">
                  <c:v>113.48628987129268</c:v>
                </c:pt>
                <c:pt idx="564">
                  <c:v>113.71012870733072</c:v>
                </c:pt>
                <c:pt idx="565">
                  <c:v>113.93396754336878</c:v>
                </c:pt>
                <c:pt idx="566">
                  <c:v>114.32568550643538</c:v>
                </c:pt>
                <c:pt idx="567">
                  <c:v>114.60548405148295</c:v>
                </c:pt>
                <c:pt idx="568">
                  <c:v>114.94124230554002</c:v>
                </c:pt>
                <c:pt idx="569">
                  <c:v>115.22104085058758</c:v>
                </c:pt>
                <c:pt idx="570">
                  <c:v>115.44487968662564</c:v>
                </c:pt>
                <c:pt idx="571">
                  <c:v>115.72467823167321</c:v>
                </c:pt>
                <c:pt idx="572">
                  <c:v>115.94851706771125</c:v>
                </c:pt>
                <c:pt idx="573">
                  <c:v>116.17235590374931</c:v>
                </c:pt>
                <c:pt idx="574">
                  <c:v>116.28427532176835</c:v>
                </c:pt>
                <c:pt idx="575">
                  <c:v>116.45215444879688</c:v>
                </c:pt>
                <c:pt idx="576">
                  <c:v>116.73195299384443</c:v>
                </c:pt>
                <c:pt idx="577">
                  <c:v>117.03133743704532</c:v>
                </c:pt>
                <c:pt idx="578">
                  <c:v>117.18970341354226</c:v>
                </c:pt>
                <c:pt idx="579">
                  <c:v>117.37381085618357</c:v>
                </c:pt>
                <c:pt idx="580">
                  <c:v>117.54784555120314</c:v>
                </c:pt>
                <c:pt idx="581">
                  <c:v>117.73475097929492</c:v>
                </c:pt>
                <c:pt idx="582">
                  <c:v>117.94795747062116</c:v>
                </c:pt>
                <c:pt idx="583">
                  <c:v>118.14157806379407</c:v>
                </c:pt>
                <c:pt idx="584">
                  <c:v>118.38500279798546</c:v>
                </c:pt>
                <c:pt idx="585">
                  <c:v>118.67767207610521</c:v>
                </c:pt>
                <c:pt idx="586">
                  <c:v>119.00391717963068</c:v>
                </c:pt>
                <c:pt idx="587">
                  <c:v>119.28819250139901</c:v>
                </c:pt>
                <c:pt idx="588">
                  <c:v>119.62562954672636</c:v>
                </c:pt>
                <c:pt idx="589">
                  <c:v>119.71964185786234</c:v>
                </c:pt>
                <c:pt idx="590">
                  <c:v>119.9888080581981</c:v>
                </c:pt>
                <c:pt idx="591">
                  <c:v>120.06715165081143</c:v>
                </c:pt>
                <c:pt idx="592">
                  <c:v>120.2775601566872</c:v>
                </c:pt>
                <c:pt idx="593">
                  <c:v>120.55064353665362</c:v>
                </c:pt>
                <c:pt idx="594">
                  <c:v>120.85338556239509</c:v>
                </c:pt>
                <c:pt idx="595">
                  <c:v>121.09289311695579</c:v>
                </c:pt>
                <c:pt idx="596">
                  <c:v>121.27196418578623</c:v>
                </c:pt>
                <c:pt idx="597">
                  <c:v>121.31393396754339</c:v>
                </c:pt>
                <c:pt idx="598">
                  <c:v>121.40290990486849</c:v>
                </c:pt>
                <c:pt idx="599">
                  <c:v>121.39059876888642</c:v>
                </c:pt>
                <c:pt idx="600">
                  <c:v>121.62618914381646</c:v>
                </c:pt>
                <c:pt idx="601">
                  <c:v>121.87576944599888</c:v>
                </c:pt>
                <c:pt idx="602">
                  <c:v>122.13374370453273</c:v>
                </c:pt>
                <c:pt idx="603">
                  <c:v>122.38724118634583</c:v>
                </c:pt>
                <c:pt idx="604">
                  <c:v>122.49804141018467</c:v>
                </c:pt>
                <c:pt idx="605">
                  <c:v>122.61443760492446</c:v>
                </c:pt>
                <c:pt idx="606">
                  <c:v>122.69893676552883</c:v>
                </c:pt>
                <c:pt idx="607">
                  <c:v>122.829322887521</c:v>
                </c:pt>
                <c:pt idx="608">
                  <c:v>123.06659205372132</c:v>
                </c:pt>
                <c:pt idx="609">
                  <c:v>123.3917179630666</c:v>
                </c:pt>
                <c:pt idx="610">
                  <c:v>123.4840514829323</c:v>
                </c:pt>
                <c:pt idx="611">
                  <c:v>123.60436485730276</c:v>
                </c:pt>
                <c:pt idx="612">
                  <c:v>123.46558477895917</c:v>
                </c:pt>
                <c:pt idx="613">
                  <c:v>123.52042529378848</c:v>
                </c:pt>
                <c:pt idx="614">
                  <c:v>123.54952434247342</c:v>
                </c:pt>
                <c:pt idx="615">
                  <c:v>123.57134862898714</c:v>
                </c:pt>
                <c:pt idx="616">
                  <c:v>123.64969222160045</c:v>
                </c:pt>
                <c:pt idx="617">
                  <c:v>123.77951874650252</c:v>
                </c:pt>
                <c:pt idx="618">
                  <c:v>123.8740906547286</c:v>
                </c:pt>
                <c:pt idx="619">
                  <c:v>123.95579182988249</c:v>
                </c:pt>
                <c:pt idx="620">
                  <c:v>124.06883044208172</c:v>
                </c:pt>
                <c:pt idx="621">
                  <c:v>124.13542249580303</c:v>
                </c:pt>
                <c:pt idx="622">
                  <c:v>124.31393396754338</c:v>
                </c:pt>
                <c:pt idx="623">
                  <c:v>124.42249580302183</c:v>
                </c:pt>
                <c:pt idx="624">
                  <c:v>124.67991046446559</c:v>
                </c:pt>
                <c:pt idx="625">
                  <c:v>124.90934527140459</c:v>
                </c:pt>
                <c:pt idx="626">
                  <c:v>125.04420817011753</c:v>
                </c:pt>
                <c:pt idx="627">
                  <c:v>125.1969781757135</c:v>
                </c:pt>
                <c:pt idx="628">
                  <c:v>125.44767767207611</c:v>
                </c:pt>
                <c:pt idx="629">
                  <c:v>125.73978735310578</c:v>
                </c:pt>
                <c:pt idx="630">
                  <c:v>126.03133743704532</c:v>
                </c:pt>
                <c:pt idx="631">
                  <c:v>126.3917179630666</c:v>
                </c:pt>
                <c:pt idx="632">
                  <c:v>126.53497481813095</c:v>
                </c:pt>
                <c:pt idx="633">
                  <c:v>126.75209848908787</c:v>
                </c:pt>
                <c:pt idx="634">
                  <c:v>126.97202014549525</c:v>
                </c:pt>
                <c:pt idx="635">
                  <c:v>127.25517627308338</c:v>
                </c:pt>
                <c:pt idx="636">
                  <c:v>127.51930609960829</c:v>
                </c:pt>
                <c:pt idx="637">
                  <c:v>127.60716284275321</c:v>
                </c:pt>
                <c:pt idx="638">
                  <c:v>127.85562395075547</c:v>
                </c:pt>
                <c:pt idx="639">
                  <c:v>128.0945719082261</c:v>
                </c:pt>
                <c:pt idx="640">
                  <c:v>128.27308337996641</c:v>
                </c:pt>
                <c:pt idx="641">
                  <c:v>128.49636261891439</c:v>
                </c:pt>
                <c:pt idx="642">
                  <c:v>128.6905428091774</c:v>
                </c:pt>
                <c:pt idx="643">
                  <c:v>128.83771684387241</c:v>
                </c:pt>
                <c:pt idx="644">
                  <c:v>129.07610520425294</c:v>
                </c:pt>
                <c:pt idx="645">
                  <c:v>129.28035814213766</c:v>
                </c:pt>
                <c:pt idx="646">
                  <c:v>129.45159485170677</c:v>
                </c:pt>
                <c:pt idx="647">
                  <c:v>129.67263570229434</c:v>
                </c:pt>
                <c:pt idx="648">
                  <c:v>129.95467263570231</c:v>
                </c:pt>
                <c:pt idx="649">
                  <c:v>130.14493564633463</c:v>
                </c:pt>
                <c:pt idx="650">
                  <c:v>130.27084499160605</c:v>
                </c:pt>
                <c:pt idx="651">
                  <c:v>130.29210968102967</c:v>
                </c:pt>
                <c:pt idx="652">
                  <c:v>130.38388360380526</c:v>
                </c:pt>
                <c:pt idx="653">
                  <c:v>130.58198097369893</c:v>
                </c:pt>
                <c:pt idx="654">
                  <c:v>130.87856743144937</c:v>
                </c:pt>
                <c:pt idx="655">
                  <c:v>131.13374370453275</c:v>
                </c:pt>
                <c:pt idx="656">
                  <c:v>131.33743704532736</c:v>
                </c:pt>
                <c:pt idx="657">
                  <c:v>131.4611080022384</c:v>
                </c:pt>
                <c:pt idx="658">
                  <c:v>131.70621152770008</c:v>
                </c:pt>
                <c:pt idx="659">
                  <c:v>131.9300503637381</c:v>
                </c:pt>
                <c:pt idx="660">
                  <c:v>132.04308897593734</c:v>
                </c:pt>
                <c:pt idx="661">
                  <c:v>132.16843872411863</c:v>
                </c:pt>
                <c:pt idx="662">
                  <c:v>132.41466144376051</c:v>
                </c:pt>
                <c:pt idx="663">
                  <c:v>132.66480134303302</c:v>
                </c:pt>
                <c:pt idx="664">
                  <c:v>132.9205372132065</c:v>
                </c:pt>
                <c:pt idx="665">
                  <c:v>133.09289311695579</c:v>
                </c:pt>
                <c:pt idx="666">
                  <c:v>133.29322887520985</c:v>
                </c:pt>
                <c:pt idx="667">
                  <c:v>133.41074426412985</c:v>
                </c:pt>
                <c:pt idx="668">
                  <c:v>133.62395075545609</c:v>
                </c:pt>
                <c:pt idx="669">
                  <c:v>133.8505875769446</c:v>
                </c:pt>
                <c:pt idx="670">
                  <c:v>134</c:v>
                </c:pt>
                <c:pt idx="671">
                  <c:v>134.070509233352</c:v>
                </c:pt>
                <c:pt idx="672">
                  <c:v>134.1975377728036</c:v>
                </c:pt>
                <c:pt idx="673">
                  <c:v>134.39955232232793</c:v>
                </c:pt>
                <c:pt idx="674">
                  <c:v>134.72579742585339</c:v>
                </c:pt>
                <c:pt idx="675">
                  <c:v>135.05651930609963</c:v>
                </c:pt>
                <c:pt idx="676">
                  <c:v>135.24790151091213</c:v>
                </c:pt>
                <c:pt idx="677">
                  <c:v>135.45831001678792</c:v>
                </c:pt>
                <c:pt idx="678">
                  <c:v>135.73866815892558</c:v>
                </c:pt>
                <c:pt idx="679">
                  <c:v>135.87968662562957</c:v>
                </c:pt>
                <c:pt idx="680">
                  <c:v>136.15892557358703</c:v>
                </c:pt>
                <c:pt idx="681">
                  <c:v>136.41186345831002</c:v>
                </c:pt>
                <c:pt idx="682">
                  <c:v>136.67655288192503</c:v>
                </c:pt>
                <c:pt idx="683">
                  <c:v>136.84778959149412</c:v>
                </c:pt>
                <c:pt idx="684">
                  <c:v>137.07610520425294</c:v>
                </c:pt>
                <c:pt idx="685">
                  <c:v>137.38668158925574</c:v>
                </c:pt>
                <c:pt idx="686">
                  <c:v>137.61219921656408</c:v>
                </c:pt>
                <c:pt idx="687">
                  <c:v>137.96922216004475</c:v>
                </c:pt>
                <c:pt idx="688">
                  <c:v>138.29714605484054</c:v>
                </c:pt>
                <c:pt idx="689">
                  <c:v>138.52266368214885</c:v>
                </c:pt>
                <c:pt idx="690">
                  <c:v>138.68438724118636</c:v>
                </c:pt>
                <c:pt idx="691">
                  <c:v>139.01678791270285</c:v>
                </c:pt>
                <c:pt idx="692">
                  <c:v>139.25125909345275</c:v>
                </c:pt>
                <c:pt idx="693">
                  <c:v>139.41913822048127</c:v>
                </c:pt>
                <c:pt idx="694">
                  <c:v>139.60884163402352</c:v>
                </c:pt>
                <c:pt idx="695">
                  <c:v>139.85450475657527</c:v>
                </c:pt>
                <c:pt idx="696">
                  <c:v>140.15780637940682</c:v>
                </c:pt>
                <c:pt idx="697">
                  <c:v>140.40458869613877</c:v>
                </c:pt>
                <c:pt idx="698">
                  <c:v>140.36709569110241</c:v>
                </c:pt>
                <c:pt idx="699">
                  <c:v>140.59988808058199</c:v>
                </c:pt>
                <c:pt idx="700">
                  <c:v>140.73195299384443</c:v>
                </c:pt>
                <c:pt idx="701">
                  <c:v>140.91885842193622</c:v>
                </c:pt>
                <c:pt idx="702">
                  <c:v>141.04476776720762</c:v>
                </c:pt>
                <c:pt idx="703">
                  <c:v>141.35254616675994</c:v>
                </c:pt>
                <c:pt idx="704">
                  <c:v>141.59988808058199</c:v>
                </c:pt>
                <c:pt idx="705">
                  <c:v>141.87744823726916</c:v>
                </c:pt>
                <c:pt idx="706">
                  <c:v>141.99440402909906</c:v>
                </c:pt>
                <c:pt idx="707">
                  <c:v>142.3100167879127</c:v>
                </c:pt>
                <c:pt idx="708">
                  <c:v>142.70117515388921</c:v>
                </c:pt>
                <c:pt idx="709">
                  <c:v>142.96138780078346</c:v>
                </c:pt>
                <c:pt idx="710">
                  <c:v>143.32232792389482</c:v>
                </c:pt>
                <c:pt idx="711">
                  <c:v>143.62395075545609</c:v>
                </c:pt>
                <c:pt idx="712">
                  <c:v>143.90430889759372</c:v>
                </c:pt>
                <c:pt idx="713">
                  <c:v>144.11527700055962</c:v>
                </c:pt>
                <c:pt idx="714">
                  <c:v>144.33687744823729</c:v>
                </c:pt>
                <c:pt idx="715">
                  <c:v>144.42081701175152</c:v>
                </c:pt>
                <c:pt idx="716">
                  <c:v>144.67487409065473</c:v>
                </c:pt>
                <c:pt idx="717">
                  <c:v>144.929490766648</c:v>
                </c:pt>
                <c:pt idx="718">
                  <c:v>145.16787912702856</c:v>
                </c:pt>
                <c:pt idx="719">
                  <c:v>145.42417459429211</c:v>
                </c:pt>
                <c:pt idx="720">
                  <c:v>145.72971460548405</c:v>
                </c:pt>
                <c:pt idx="721">
                  <c:v>145.89927252378288</c:v>
                </c:pt>
                <c:pt idx="722">
                  <c:v>146.24454392837157</c:v>
                </c:pt>
                <c:pt idx="723">
                  <c:v>146.64241745942923</c:v>
                </c:pt>
                <c:pt idx="724">
                  <c:v>146.82932288752102</c:v>
                </c:pt>
                <c:pt idx="725">
                  <c:v>147.23950755456073</c:v>
                </c:pt>
                <c:pt idx="726">
                  <c:v>147.51874650251818</c:v>
                </c:pt>
                <c:pt idx="727">
                  <c:v>147.8181309457191</c:v>
                </c:pt>
                <c:pt idx="728">
                  <c:v>148.0710688304421</c:v>
                </c:pt>
                <c:pt idx="729">
                  <c:v>148.30777839955232</c:v>
                </c:pt>
                <c:pt idx="730">
                  <c:v>148.53217683268048</c:v>
                </c:pt>
                <c:pt idx="731">
                  <c:v>148.6575265808618</c:v>
                </c:pt>
                <c:pt idx="732">
                  <c:v>149.02406267487407</c:v>
                </c:pt>
                <c:pt idx="733">
                  <c:v>149.3430330162283</c:v>
                </c:pt>
                <c:pt idx="734">
                  <c:v>149.31169557918298</c:v>
                </c:pt>
                <c:pt idx="735">
                  <c:v>148.7610520425294</c:v>
                </c:pt>
                <c:pt idx="736">
                  <c:v>148.64969222160045</c:v>
                </c:pt>
                <c:pt idx="737">
                  <c:v>149.01063234471181</c:v>
                </c:pt>
                <c:pt idx="738">
                  <c:v>149.8164521544488</c:v>
                </c:pt>
                <c:pt idx="739">
                  <c:v>150.33799664241747</c:v>
                </c:pt>
                <c:pt idx="740">
                  <c:v>150.61835478455512</c:v>
                </c:pt>
                <c:pt idx="741">
                  <c:v>150.72747621712369</c:v>
                </c:pt>
                <c:pt idx="742">
                  <c:v>150.98992725237832</c:v>
                </c:pt>
                <c:pt idx="743">
                  <c:v>151.05763850027981</c:v>
                </c:pt>
                <c:pt idx="744">
                  <c:v>151.10520425293788</c:v>
                </c:pt>
                <c:pt idx="745">
                  <c:v>151.25853385562394</c:v>
                </c:pt>
                <c:pt idx="746">
                  <c:v>151.770565193061</c:v>
                </c:pt>
                <c:pt idx="747">
                  <c:v>153.16172355903751</c:v>
                </c:pt>
                <c:pt idx="748">
                  <c:v>154.29099048684949</c:v>
                </c:pt>
                <c:pt idx="749">
                  <c:v>155.64633463905989</c:v>
                </c:pt>
                <c:pt idx="750">
                  <c:v>156.15780637940682</c:v>
                </c:pt>
                <c:pt idx="751">
                  <c:v>156.31673195299388</c:v>
                </c:pt>
                <c:pt idx="752">
                  <c:v>156.69669837716845</c:v>
                </c:pt>
                <c:pt idx="753">
                  <c:v>157.63570229434808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B9-AB4A-827B-853B49E14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861896"/>
        <c:axId val="1255426584"/>
      </c:lineChart>
      <c:dateAx>
        <c:axId val="71662204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0400"/>
        <c:crosses val="autoZero"/>
        <c:auto val="0"/>
        <c:lblOffset val="100"/>
        <c:baseTimeUnit val="months"/>
      </c:dateAx>
      <c:valAx>
        <c:axId val="71662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2040"/>
        <c:crosses val="autoZero"/>
        <c:crossBetween val="between"/>
      </c:valAx>
      <c:dateAx>
        <c:axId val="1112861896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55426584"/>
        <c:crosses val="autoZero"/>
        <c:auto val="0"/>
        <c:lblOffset val="100"/>
        <c:baseTimeUnit val="months"/>
      </c:dateAx>
      <c:valAx>
        <c:axId val="125542658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61896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Core PCE vs Core</a:t>
            </a:r>
            <a:r>
              <a:rPr lang="en-GB" b="1" baseline="0"/>
              <a:t> CPI since 2000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'PCE Core vs Core CPI'!$D$4</c:f>
              <c:strCache>
                <c:ptCount val="1"/>
                <c:pt idx="0">
                  <c:v>Core PCE base 2000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CPI'!$D$5:$D$758</c:f>
              <c:numCache>
                <c:formatCode>0.00</c:formatCode>
                <c:ptCount val="754"/>
                <c:pt idx="0">
                  <c:v>20.913328988921748</c:v>
                </c:pt>
                <c:pt idx="1">
                  <c:v>20.929620532357504</c:v>
                </c:pt>
                <c:pt idx="2">
                  <c:v>20.952178054037802</c:v>
                </c:pt>
                <c:pt idx="3">
                  <c:v>21.006065466940697</c:v>
                </c:pt>
                <c:pt idx="4">
                  <c:v>21.032382575567695</c:v>
                </c:pt>
                <c:pt idx="5">
                  <c:v>21.093789162364033</c:v>
                </c:pt>
                <c:pt idx="6">
                  <c:v>21.1426637926713</c:v>
                </c:pt>
                <c:pt idx="7">
                  <c:v>21.17775327084064</c:v>
                </c:pt>
                <c:pt idx="8">
                  <c:v>21.232893879392449</c:v>
                </c:pt>
                <c:pt idx="9">
                  <c:v>21.269236553210689</c:v>
                </c:pt>
                <c:pt idx="10">
                  <c:v>21.308085618326729</c:v>
                </c:pt>
                <c:pt idx="11">
                  <c:v>21.340668705198254</c:v>
                </c:pt>
                <c:pt idx="12">
                  <c:v>21.345681487793883</c:v>
                </c:pt>
                <c:pt idx="13">
                  <c:v>21.385783748558822</c:v>
                </c:pt>
                <c:pt idx="14">
                  <c:v>21.388290139856636</c:v>
                </c:pt>
                <c:pt idx="15">
                  <c:v>21.427139204972676</c:v>
                </c:pt>
                <c:pt idx="16">
                  <c:v>21.460975487493101</c:v>
                </c:pt>
                <c:pt idx="17">
                  <c:v>21.474760639631057</c:v>
                </c:pt>
                <c:pt idx="18">
                  <c:v>21.512356509098197</c:v>
                </c:pt>
                <c:pt idx="19">
                  <c:v>21.543686400320823</c:v>
                </c:pt>
                <c:pt idx="20">
                  <c:v>21.559977943756579</c:v>
                </c:pt>
                <c:pt idx="21">
                  <c:v>21.57250990024562</c:v>
                </c:pt>
                <c:pt idx="22">
                  <c:v>21.630156900095244</c:v>
                </c:pt>
                <c:pt idx="23">
                  <c:v>21.623890921850702</c:v>
                </c:pt>
                <c:pt idx="24">
                  <c:v>21.62890370444633</c:v>
                </c:pt>
                <c:pt idx="25">
                  <c:v>21.650208030477714</c:v>
                </c:pt>
                <c:pt idx="26">
                  <c:v>21.657727204371142</c:v>
                </c:pt>
                <c:pt idx="27">
                  <c:v>21.687803899944853</c:v>
                </c:pt>
                <c:pt idx="28">
                  <c:v>21.715374204220765</c:v>
                </c:pt>
                <c:pt idx="29">
                  <c:v>21.747957291092277</c:v>
                </c:pt>
                <c:pt idx="30">
                  <c:v>21.781793573612703</c:v>
                </c:pt>
                <c:pt idx="31">
                  <c:v>21.804351095293001</c:v>
                </c:pt>
                <c:pt idx="32">
                  <c:v>21.848212943004654</c:v>
                </c:pt>
                <c:pt idx="33">
                  <c:v>21.855732116898082</c:v>
                </c:pt>
                <c:pt idx="34">
                  <c:v>21.859491703844796</c:v>
                </c:pt>
                <c:pt idx="35">
                  <c:v>21.87828963857838</c:v>
                </c:pt>
                <c:pt idx="36">
                  <c:v>21.903353551556464</c:v>
                </c:pt>
                <c:pt idx="37">
                  <c:v>21.939696225374703</c:v>
                </c:pt>
                <c:pt idx="38">
                  <c:v>21.991077246979799</c:v>
                </c:pt>
                <c:pt idx="39">
                  <c:v>21.994836833926513</c:v>
                </c:pt>
                <c:pt idx="40">
                  <c:v>22.026166725149139</c:v>
                </c:pt>
                <c:pt idx="41">
                  <c:v>22.066268985914078</c:v>
                </c:pt>
                <c:pt idx="42">
                  <c:v>22.085066920647662</c:v>
                </c:pt>
                <c:pt idx="43">
                  <c:v>22.088826507594376</c:v>
                </c:pt>
                <c:pt idx="44">
                  <c:v>22.131435159657116</c:v>
                </c:pt>
                <c:pt idx="45">
                  <c:v>22.130181964008216</c:v>
                </c:pt>
                <c:pt idx="46">
                  <c:v>22.146473507443972</c:v>
                </c:pt>
                <c:pt idx="47">
                  <c:v>22.1527394856885</c:v>
                </c:pt>
                <c:pt idx="48">
                  <c:v>22.195348137751253</c:v>
                </c:pt>
                <c:pt idx="49">
                  <c:v>22.220412050729365</c:v>
                </c:pt>
                <c:pt idx="50">
                  <c:v>22.234197202867307</c:v>
                </c:pt>
                <c:pt idx="51">
                  <c:v>22.260514311494319</c:v>
                </c:pt>
                <c:pt idx="52">
                  <c:v>22.300616572259258</c:v>
                </c:pt>
                <c:pt idx="53">
                  <c:v>22.339465637375312</c:v>
                </c:pt>
                <c:pt idx="54">
                  <c:v>22.359516767757782</c:v>
                </c:pt>
                <c:pt idx="55">
                  <c:v>22.379567898140266</c:v>
                </c:pt>
                <c:pt idx="56">
                  <c:v>22.419670158905205</c:v>
                </c:pt>
                <c:pt idx="57">
                  <c:v>22.469797984861401</c:v>
                </c:pt>
                <c:pt idx="58">
                  <c:v>22.491102310892771</c:v>
                </c:pt>
                <c:pt idx="59">
                  <c:v>22.522432202115397</c:v>
                </c:pt>
                <c:pt idx="60">
                  <c:v>22.553762093338008</c:v>
                </c:pt>
                <c:pt idx="61">
                  <c:v>22.596370745400776</c:v>
                </c:pt>
                <c:pt idx="62">
                  <c:v>22.61767507143216</c:v>
                </c:pt>
                <c:pt idx="63">
                  <c:v>22.63897939746353</c:v>
                </c:pt>
                <c:pt idx="64">
                  <c:v>22.657777332197099</c:v>
                </c:pt>
                <c:pt idx="65">
                  <c:v>22.674068875632869</c:v>
                </c:pt>
                <c:pt idx="66">
                  <c:v>22.696626397313153</c:v>
                </c:pt>
                <c:pt idx="67">
                  <c:v>22.726703092886865</c:v>
                </c:pt>
                <c:pt idx="68">
                  <c:v>22.736728658078093</c:v>
                </c:pt>
                <c:pt idx="69">
                  <c:v>22.744247831971535</c:v>
                </c:pt>
                <c:pt idx="70">
                  <c:v>22.778084114491961</c:v>
                </c:pt>
                <c:pt idx="71">
                  <c:v>22.809414005714572</c:v>
                </c:pt>
                <c:pt idx="72">
                  <c:v>22.840743896937184</c:v>
                </c:pt>
                <c:pt idx="73">
                  <c:v>22.868314201213096</c:v>
                </c:pt>
                <c:pt idx="74">
                  <c:v>22.880846157702123</c:v>
                </c:pt>
                <c:pt idx="75">
                  <c:v>22.908416461978049</c:v>
                </c:pt>
                <c:pt idx="76">
                  <c:v>22.951025114040803</c:v>
                </c:pt>
                <c:pt idx="77">
                  <c:v>22.944759135796275</c:v>
                </c:pt>
                <c:pt idx="78">
                  <c:v>22.967316657476573</c:v>
                </c:pt>
                <c:pt idx="79">
                  <c:v>23.011178505188226</c:v>
                </c:pt>
                <c:pt idx="80">
                  <c:v>23.038748809464124</c:v>
                </c:pt>
                <c:pt idx="81">
                  <c:v>23.029976439921796</c:v>
                </c:pt>
                <c:pt idx="82">
                  <c:v>23.072585091984564</c:v>
                </c:pt>
                <c:pt idx="83">
                  <c:v>23.142764048323215</c:v>
                </c:pt>
                <c:pt idx="84">
                  <c:v>23.150283222216643</c:v>
                </c:pt>
                <c:pt idx="85">
                  <c:v>23.206677026417367</c:v>
                </c:pt>
                <c:pt idx="86">
                  <c:v>23.236753721991079</c:v>
                </c:pt>
                <c:pt idx="87">
                  <c:v>23.319464634818786</c:v>
                </c:pt>
                <c:pt idx="88">
                  <c:v>23.380871221615109</c:v>
                </c:pt>
                <c:pt idx="89">
                  <c:v>23.457316156198303</c:v>
                </c:pt>
                <c:pt idx="90">
                  <c:v>23.526241916888054</c:v>
                </c:pt>
                <c:pt idx="91">
                  <c:v>23.568850568950822</c:v>
                </c:pt>
                <c:pt idx="92">
                  <c:v>23.641535916587287</c:v>
                </c:pt>
                <c:pt idx="93">
                  <c:v>23.719234046819381</c:v>
                </c:pt>
                <c:pt idx="94">
                  <c:v>23.779387437966818</c:v>
                </c:pt>
                <c:pt idx="95">
                  <c:v>23.850819589954369</c:v>
                </c:pt>
                <c:pt idx="96">
                  <c:v>23.873377111634667</c:v>
                </c:pt>
                <c:pt idx="97">
                  <c:v>23.915985763697435</c:v>
                </c:pt>
                <c:pt idx="98">
                  <c:v>23.952328437515661</c:v>
                </c:pt>
                <c:pt idx="99">
                  <c:v>24.017494611258712</c:v>
                </c:pt>
                <c:pt idx="100">
                  <c:v>24.071382024161608</c:v>
                </c:pt>
                <c:pt idx="101">
                  <c:v>24.132788610957945</c:v>
                </c:pt>
                <c:pt idx="102">
                  <c:v>24.214246328136753</c:v>
                </c:pt>
                <c:pt idx="103">
                  <c:v>24.289438067071032</c:v>
                </c:pt>
                <c:pt idx="104">
                  <c:v>24.374655371196553</c:v>
                </c:pt>
                <c:pt idx="105">
                  <c:v>24.466138653566588</c:v>
                </c:pt>
                <c:pt idx="106">
                  <c:v>24.543836783798696</c:v>
                </c:pt>
                <c:pt idx="107">
                  <c:v>24.603990174946105</c:v>
                </c:pt>
                <c:pt idx="108">
                  <c:v>24.71301819640081</c:v>
                </c:pt>
                <c:pt idx="109">
                  <c:v>24.81953982655773</c:v>
                </c:pt>
                <c:pt idx="110">
                  <c:v>24.918542282821193</c:v>
                </c:pt>
                <c:pt idx="111">
                  <c:v>25.010025565191242</c:v>
                </c:pt>
                <c:pt idx="112">
                  <c:v>25.105268434508005</c:v>
                </c:pt>
                <c:pt idx="113">
                  <c:v>25.203017695122568</c:v>
                </c:pt>
                <c:pt idx="114">
                  <c:v>25.286981803599176</c:v>
                </c:pt>
                <c:pt idx="115">
                  <c:v>25.385984259862653</c:v>
                </c:pt>
                <c:pt idx="116">
                  <c:v>25.48874630307283</c:v>
                </c:pt>
                <c:pt idx="117">
                  <c:v>25.592761541931921</c:v>
                </c:pt>
                <c:pt idx="118">
                  <c:v>25.688004411248684</c:v>
                </c:pt>
                <c:pt idx="119">
                  <c:v>25.765702541480778</c:v>
                </c:pt>
                <c:pt idx="120">
                  <c:v>25.863451802095355</c:v>
                </c:pt>
                <c:pt idx="121">
                  <c:v>25.95242869316759</c:v>
                </c:pt>
                <c:pt idx="122">
                  <c:v>26.072735475462423</c:v>
                </c:pt>
                <c:pt idx="123">
                  <c:v>26.1742443230237</c:v>
                </c:pt>
                <c:pt idx="124">
                  <c:v>26.278259561882805</c:v>
                </c:pt>
                <c:pt idx="125">
                  <c:v>26.368489648603926</c:v>
                </c:pt>
                <c:pt idx="126">
                  <c:v>26.491302822196587</c:v>
                </c:pt>
                <c:pt idx="127">
                  <c:v>26.566494561130881</c:v>
                </c:pt>
                <c:pt idx="128">
                  <c:v>26.673016191287786</c:v>
                </c:pt>
                <c:pt idx="129">
                  <c:v>26.787056995338105</c:v>
                </c:pt>
                <c:pt idx="130">
                  <c:v>26.889819038548296</c:v>
                </c:pt>
                <c:pt idx="131">
                  <c:v>26.990074690460673</c:v>
                </c:pt>
                <c:pt idx="132">
                  <c:v>27.079051581532909</c:v>
                </c:pt>
                <c:pt idx="133">
                  <c:v>27.183066820392</c:v>
                </c:pt>
                <c:pt idx="134">
                  <c:v>27.284575667953277</c:v>
                </c:pt>
                <c:pt idx="135">
                  <c:v>27.391097298110182</c:v>
                </c:pt>
                <c:pt idx="136">
                  <c:v>27.487593363075831</c:v>
                </c:pt>
                <c:pt idx="137">
                  <c:v>27.587849014988208</c:v>
                </c:pt>
                <c:pt idx="138">
                  <c:v>27.693117449496214</c:v>
                </c:pt>
                <c:pt idx="139">
                  <c:v>27.788360318812963</c:v>
                </c:pt>
                <c:pt idx="140">
                  <c:v>27.90490751416111</c:v>
                </c:pt>
                <c:pt idx="141">
                  <c:v>28.041505839891727</c:v>
                </c:pt>
                <c:pt idx="142">
                  <c:v>28.186876535164672</c:v>
                </c:pt>
                <c:pt idx="143">
                  <c:v>28.328487643490902</c:v>
                </c:pt>
                <c:pt idx="144">
                  <c:v>28.440022056243421</c:v>
                </c:pt>
                <c:pt idx="145">
                  <c:v>28.547796882049226</c:v>
                </c:pt>
                <c:pt idx="146">
                  <c:v>28.639280164419262</c:v>
                </c:pt>
                <c:pt idx="147">
                  <c:v>28.747054990225081</c:v>
                </c:pt>
                <c:pt idx="148">
                  <c:v>28.872374555115542</c:v>
                </c:pt>
                <c:pt idx="149">
                  <c:v>28.985162163516975</c:v>
                </c:pt>
                <c:pt idx="150">
                  <c:v>29.096696576269494</c:v>
                </c:pt>
                <c:pt idx="151">
                  <c:v>29.138052032683348</c:v>
                </c:pt>
                <c:pt idx="152">
                  <c:v>29.185673467341715</c:v>
                </c:pt>
                <c:pt idx="153">
                  <c:v>29.232041706351197</c:v>
                </c:pt>
                <c:pt idx="154">
                  <c:v>29.298461075743148</c:v>
                </c:pt>
                <c:pt idx="155">
                  <c:v>29.389944358113183</c:v>
                </c:pt>
                <c:pt idx="156">
                  <c:v>29.515263923003658</c:v>
                </c:pt>
                <c:pt idx="157">
                  <c:v>29.594215248884652</c:v>
                </c:pt>
                <c:pt idx="158">
                  <c:v>29.653115444383175</c:v>
                </c:pt>
                <c:pt idx="159">
                  <c:v>29.722041205072941</c:v>
                </c:pt>
                <c:pt idx="160">
                  <c:v>29.790966965762692</c:v>
                </c:pt>
                <c:pt idx="161">
                  <c:v>29.849867161261216</c:v>
                </c:pt>
                <c:pt idx="162">
                  <c:v>29.936337661035651</c:v>
                </c:pt>
                <c:pt idx="163">
                  <c:v>29.998997443480874</c:v>
                </c:pt>
                <c:pt idx="164">
                  <c:v>30.099253095393252</c:v>
                </c:pt>
                <c:pt idx="165">
                  <c:v>30.116797834477921</c:v>
                </c:pt>
                <c:pt idx="166">
                  <c:v>30.195749160358915</c:v>
                </c:pt>
                <c:pt idx="167">
                  <c:v>30.28723244272895</c:v>
                </c:pt>
                <c:pt idx="168">
                  <c:v>30.30603037746252</c:v>
                </c:pt>
                <c:pt idx="169">
                  <c:v>30.401273246779283</c:v>
                </c:pt>
                <c:pt idx="170">
                  <c:v>30.524086420371944</c:v>
                </c:pt>
                <c:pt idx="171">
                  <c:v>30.700787006867515</c:v>
                </c:pt>
                <c:pt idx="172">
                  <c:v>30.819840593513462</c:v>
                </c:pt>
                <c:pt idx="173">
                  <c:v>30.95267933229735</c:v>
                </c:pt>
                <c:pt idx="174">
                  <c:v>31.085518071081253</c:v>
                </c:pt>
                <c:pt idx="175">
                  <c:v>31.230888766354198</c:v>
                </c:pt>
                <c:pt idx="176">
                  <c:v>31.387538222467299</c:v>
                </c:pt>
                <c:pt idx="177">
                  <c:v>31.509098200411046</c:v>
                </c:pt>
                <c:pt idx="178">
                  <c:v>31.660734873928504</c:v>
                </c:pt>
                <c:pt idx="179">
                  <c:v>31.836182264775175</c:v>
                </c:pt>
                <c:pt idx="180">
                  <c:v>31.992831720888262</c:v>
                </c:pt>
                <c:pt idx="181">
                  <c:v>32.19710261165973</c:v>
                </c:pt>
                <c:pt idx="182">
                  <c:v>32.447741741440666</c:v>
                </c:pt>
                <c:pt idx="183">
                  <c:v>32.690861697328174</c:v>
                </c:pt>
                <c:pt idx="184">
                  <c:v>33.005413805203261</c:v>
                </c:pt>
                <c:pt idx="185">
                  <c:v>33.343776630407547</c:v>
                </c:pt>
                <c:pt idx="186">
                  <c:v>33.63953080354905</c:v>
                </c:pt>
                <c:pt idx="187">
                  <c:v>33.962855280966465</c:v>
                </c:pt>
                <c:pt idx="188">
                  <c:v>34.268635019299211</c:v>
                </c:pt>
                <c:pt idx="189">
                  <c:v>34.536818888164817</c:v>
                </c:pt>
                <c:pt idx="190">
                  <c:v>34.788711213594667</c:v>
                </c:pt>
                <c:pt idx="191">
                  <c:v>35.034337560779989</c:v>
                </c:pt>
                <c:pt idx="192">
                  <c:v>35.238608451551457</c:v>
                </c:pt>
                <c:pt idx="193">
                  <c:v>35.487994385683493</c:v>
                </c:pt>
                <c:pt idx="194">
                  <c:v>35.673467341721391</c:v>
                </c:pt>
                <c:pt idx="195">
                  <c:v>35.846408341270234</c:v>
                </c:pt>
                <c:pt idx="196">
                  <c:v>35.998045014787706</c:v>
                </c:pt>
                <c:pt idx="197">
                  <c:v>36.174745601283263</c:v>
                </c:pt>
                <c:pt idx="198">
                  <c:v>36.397814426788301</c:v>
                </c:pt>
                <c:pt idx="199">
                  <c:v>36.523133991678783</c:v>
                </c:pt>
                <c:pt idx="200">
                  <c:v>36.721138904205716</c:v>
                </c:pt>
                <c:pt idx="201">
                  <c:v>36.904105468945815</c:v>
                </c:pt>
                <c:pt idx="202">
                  <c:v>37.14847862048223</c:v>
                </c:pt>
                <c:pt idx="203">
                  <c:v>37.374053837285068</c:v>
                </c:pt>
                <c:pt idx="204">
                  <c:v>37.565792771567494</c:v>
                </c:pt>
                <c:pt idx="205">
                  <c:v>37.714923053787153</c:v>
                </c:pt>
                <c:pt idx="206">
                  <c:v>37.840242618677621</c:v>
                </c:pt>
                <c:pt idx="207">
                  <c:v>37.986866509599473</c:v>
                </c:pt>
                <c:pt idx="208">
                  <c:v>38.167326683041757</c:v>
                </c:pt>
                <c:pt idx="209">
                  <c:v>38.32146974785703</c:v>
                </c:pt>
                <c:pt idx="210">
                  <c:v>38.533259812521933</c:v>
                </c:pt>
                <c:pt idx="211">
                  <c:v>38.755075442378065</c:v>
                </c:pt>
                <c:pt idx="212">
                  <c:v>38.981903854829817</c:v>
                </c:pt>
                <c:pt idx="213">
                  <c:v>39.172389593463322</c:v>
                </c:pt>
                <c:pt idx="214">
                  <c:v>39.3515965712567</c:v>
                </c:pt>
                <c:pt idx="215">
                  <c:v>39.564639831570503</c:v>
                </c:pt>
                <c:pt idx="216">
                  <c:v>39.805253396160211</c:v>
                </c:pt>
                <c:pt idx="217">
                  <c:v>40.049626547696626</c:v>
                </c:pt>
                <c:pt idx="218">
                  <c:v>40.220061155947661</c:v>
                </c:pt>
                <c:pt idx="219">
                  <c:v>40.419319264123509</c:v>
                </c:pt>
                <c:pt idx="220">
                  <c:v>40.624843350543884</c:v>
                </c:pt>
                <c:pt idx="221">
                  <c:v>40.867963306431399</c:v>
                </c:pt>
                <c:pt idx="222">
                  <c:v>41.121108827510156</c:v>
                </c:pt>
                <c:pt idx="223">
                  <c:v>41.321620131334903</c:v>
                </c:pt>
                <c:pt idx="224">
                  <c:v>41.497067522181567</c:v>
                </c:pt>
                <c:pt idx="225">
                  <c:v>41.697578826006321</c:v>
                </c:pt>
                <c:pt idx="226">
                  <c:v>41.913128477617924</c:v>
                </c:pt>
                <c:pt idx="227">
                  <c:v>42.129931324878442</c:v>
                </c:pt>
                <c:pt idx="228">
                  <c:v>42.381823650308284</c:v>
                </c:pt>
                <c:pt idx="229">
                  <c:v>42.544739084665892</c:v>
                </c:pt>
                <c:pt idx="230">
                  <c:v>42.775327084064365</c:v>
                </c:pt>
                <c:pt idx="231">
                  <c:v>43.052283322472299</c:v>
                </c:pt>
                <c:pt idx="232">
                  <c:v>43.305428843551056</c:v>
                </c:pt>
                <c:pt idx="233">
                  <c:v>43.547295603789657</c:v>
                </c:pt>
                <c:pt idx="234">
                  <c:v>43.802947516166228</c:v>
                </c:pt>
                <c:pt idx="235">
                  <c:v>44.038548298160308</c:v>
                </c:pt>
                <c:pt idx="236">
                  <c:v>44.291693819239065</c:v>
                </c:pt>
                <c:pt idx="237">
                  <c:v>44.61752468795428</c:v>
                </c:pt>
                <c:pt idx="238">
                  <c:v>44.856885056895081</c:v>
                </c:pt>
                <c:pt idx="239">
                  <c:v>45.03233244774173</c:v>
                </c:pt>
                <c:pt idx="240">
                  <c:v>45.26292044714021</c:v>
                </c:pt>
                <c:pt idx="241">
                  <c:v>45.409544338062055</c:v>
                </c:pt>
                <c:pt idx="242">
                  <c:v>45.671462228683147</c:v>
                </c:pt>
                <c:pt idx="243">
                  <c:v>46.092535966715118</c:v>
                </c:pt>
                <c:pt idx="244">
                  <c:v>46.493558574364627</c:v>
                </c:pt>
                <c:pt idx="245">
                  <c:v>46.754223269336805</c:v>
                </c:pt>
                <c:pt idx="246">
                  <c:v>46.988570855681978</c:v>
                </c:pt>
                <c:pt idx="247">
                  <c:v>47.300616572259258</c:v>
                </c:pt>
                <c:pt idx="248">
                  <c:v>47.623941049676674</c:v>
                </c:pt>
                <c:pt idx="249">
                  <c:v>47.97107624442328</c:v>
                </c:pt>
                <c:pt idx="250">
                  <c:v>48.278109178404925</c:v>
                </c:pt>
                <c:pt idx="251">
                  <c:v>48.625244373151531</c:v>
                </c:pt>
                <c:pt idx="252">
                  <c:v>48.993683893929521</c:v>
                </c:pt>
                <c:pt idx="253">
                  <c:v>49.482430197002344</c:v>
                </c:pt>
                <c:pt idx="254">
                  <c:v>49.941099804501476</c:v>
                </c:pt>
                <c:pt idx="255">
                  <c:v>50.19800491252694</c:v>
                </c:pt>
                <c:pt idx="256">
                  <c:v>50.601533911474256</c:v>
                </c:pt>
                <c:pt idx="257">
                  <c:v>50.93739034538072</c:v>
                </c:pt>
                <c:pt idx="258">
                  <c:v>51.295804300967468</c:v>
                </c:pt>
                <c:pt idx="259">
                  <c:v>51.666750213043258</c:v>
                </c:pt>
                <c:pt idx="260">
                  <c:v>52.152990124818281</c:v>
                </c:pt>
                <c:pt idx="261">
                  <c:v>52.582836232392602</c:v>
                </c:pt>
                <c:pt idx="262">
                  <c:v>52.996390796531152</c:v>
                </c:pt>
                <c:pt idx="263">
                  <c:v>53.315955687001846</c:v>
                </c:pt>
                <c:pt idx="264">
                  <c:v>53.777131685798778</c:v>
                </c:pt>
                <c:pt idx="265">
                  <c:v>54.170635119554859</c:v>
                </c:pt>
                <c:pt idx="266">
                  <c:v>54.471402075291991</c:v>
                </c:pt>
                <c:pt idx="267">
                  <c:v>54.819790465687497</c:v>
                </c:pt>
                <c:pt idx="268">
                  <c:v>55.197002356007815</c:v>
                </c:pt>
                <c:pt idx="269">
                  <c:v>55.472705398766855</c:v>
                </c:pt>
                <c:pt idx="270">
                  <c:v>55.807308637024406</c:v>
                </c:pt>
                <c:pt idx="271">
                  <c:v>56.180760940398002</c:v>
                </c:pt>
                <c:pt idx="272">
                  <c:v>56.549200461176</c:v>
                </c:pt>
                <c:pt idx="273">
                  <c:v>56.886310090731364</c:v>
                </c:pt>
                <c:pt idx="274">
                  <c:v>57.218406937691107</c:v>
                </c:pt>
                <c:pt idx="275">
                  <c:v>57.428943806707103</c:v>
                </c:pt>
                <c:pt idx="276">
                  <c:v>57.782344979698223</c:v>
                </c:pt>
                <c:pt idx="277">
                  <c:v>58.005413805203268</c:v>
                </c:pt>
                <c:pt idx="278">
                  <c:v>58.258559326282011</c:v>
                </c:pt>
                <c:pt idx="279">
                  <c:v>58.489147325680477</c:v>
                </c:pt>
                <c:pt idx="280">
                  <c:v>58.808712216151179</c:v>
                </c:pt>
                <c:pt idx="281">
                  <c:v>59.103213193643782</c:v>
                </c:pt>
                <c:pt idx="282">
                  <c:v>59.486691062208628</c:v>
                </c:pt>
                <c:pt idx="283">
                  <c:v>59.759887713669855</c:v>
                </c:pt>
                <c:pt idx="284">
                  <c:v>59.981703343525986</c:v>
                </c:pt>
                <c:pt idx="285">
                  <c:v>60.361421625144104</c:v>
                </c:pt>
                <c:pt idx="286">
                  <c:v>60.584490450649156</c:v>
                </c:pt>
                <c:pt idx="287">
                  <c:v>60.777482580580475</c:v>
                </c:pt>
                <c:pt idx="288">
                  <c:v>61.19354353601684</c:v>
                </c:pt>
                <c:pt idx="289">
                  <c:v>61.420371948468592</c:v>
                </c:pt>
                <c:pt idx="290">
                  <c:v>61.498070078700685</c:v>
                </c:pt>
                <c:pt idx="291">
                  <c:v>61.684796230387484</c:v>
                </c:pt>
                <c:pt idx="292">
                  <c:v>61.773773121459719</c:v>
                </c:pt>
                <c:pt idx="293">
                  <c:v>62.062008120707802</c:v>
                </c:pt>
                <c:pt idx="294">
                  <c:v>62.479322271793066</c:v>
                </c:pt>
                <c:pt idx="295">
                  <c:v>62.801393553561574</c:v>
                </c:pt>
                <c:pt idx="296">
                  <c:v>63.055792270289231</c:v>
                </c:pt>
                <c:pt idx="297">
                  <c:v>63.16732668304175</c:v>
                </c:pt>
                <c:pt idx="298">
                  <c:v>63.315203769612509</c:v>
                </c:pt>
                <c:pt idx="299">
                  <c:v>63.361572008621984</c:v>
                </c:pt>
                <c:pt idx="300">
                  <c:v>63.573362073286873</c:v>
                </c:pt>
                <c:pt idx="301">
                  <c:v>63.974384680936382</c:v>
                </c:pt>
                <c:pt idx="302">
                  <c:v>64.21625144117499</c:v>
                </c:pt>
                <c:pt idx="303">
                  <c:v>64.518271592561021</c:v>
                </c:pt>
                <c:pt idx="304">
                  <c:v>64.66740187478068</c:v>
                </c:pt>
                <c:pt idx="305">
                  <c:v>64.820291743947053</c:v>
                </c:pt>
                <c:pt idx="306">
                  <c:v>65.099754373652814</c:v>
                </c:pt>
                <c:pt idx="307">
                  <c:v>65.314050829615525</c:v>
                </c:pt>
                <c:pt idx="308">
                  <c:v>65.414306481527888</c:v>
                </c:pt>
                <c:pt idx="309">
                  <c:v>65.560930372449747</c:v>
                </c:pt>
                <c:pt idx="310">
                  <c:v>65.700035089478163</c:v>
                </c:pt>
                <c:pt idx="311">
                  <c:v>65.960699784450341</c:v>
                </c:pt>
                <c:pt idx="312">
                  <c:v>66.329139305228324</c:v>
                </c:pt>
                <c:pt idx="313">
                  <c:v>66.675021304326023</c:v>
                </c:pt>
                <c:pt idx="314">
                  <c:v>66.908115695022303</c:v>
                </c:pt>
                <c:pt idx="315">
                  <c:v>66.987067020903311</c:v>
                </c:pt>
                <c:pt idx="316">
                  <c:v>67.218908215950677</c:v>
                </c:pt>
                <c:pt idx="317">
                  <c:v>67.440723845806801</c:v>
                </c:pt>
                <c:pt idx="318">
                  <c:v>67.638728758333741</c:v>
                </c:pt>
                <c:pt idx="319">
                  <c:v>67.969572409644599</c:v>
                </c:pt>
                <c:pt idx="320">
                  <c:v>68.109930322321901</c:v>
                </c:pt>
                <c:pt idx="321">
                  <c:v>68.21895834377662</c:v>
                </c:pt>
                <c:pt idx="322">
                  <c:v>68.386886560729849</c:v>
                </c:pt>
                <c:pt idx="323">
                  <c:v>68.572359516767762</c:v>
                </c:pt>
                <c:pt idx="324">
                  <c:v>68.943305428843544</c:v>
                </c:pt>
                <c:pt idx="325">
                  <c:v>69.121259210988015</c:v>
                </c:pt>
                <c:pt idx="326">
                  <c:v>69.331796080004011</c:v>
                </c:pt>
                <c:pt idx="327">
                  <c:v>69.457115644894472</c:v>
                </c:pt>
                <c:pt idx="328">
                  <c:v>69.574916035891519</c:v>
                </c:pt>
                <c:pt idx="329">
                  <c:v>69.784199709258601</c:v>
                </c:pt>
                <c:pt idx="330">
                  <c:v>69.91077246979799</c:v>
                </c:pt>
                <c:pt idx="331">
                  <c:v>70.054889969422021</c:v>
                </c:pt>
                <c:pt idx="332">
                  <c:v>70.285477968820487</c:v>
                </c:pt>
                <c:pt idx="333">
                  <c:v>70.522331946463481</c:v>
                </c:pt>
                <c:pt idx="334">
                  <c:v>70.67271542433204</c:v>
                </c:pt>
                <c:pt idx="335">
                  <c:v>70.762945511053175</c:v>
                </c:pt>
                <c:pt idx="336">
                  <c:v>70.932126923655318</c:v>
                </c:pt>
                <c:pt idx="337">
                  <c:v>71.073738031981549</c:v>
                </c:pt>
                <c:pt idx="338">
                  <c:v>71.284274900997531</c:v>
                </c:pt>
                <c:pt idx="339">
                  <c:v>71.586295052383576</c:v>
                </c:pt>
                <c:pt idx="340">
                  <c:v>71.786806356208331</c:v>
                </c:pt>
                <c:pt idx="341">
                  <c:v>71.984811268735271</c:v>
                </c:pt>
                <c:pt idx="342">
                  <c:v>72.170284224773155</c:v>
                </c:pt>
                <c:pt idx="343">
                  <c:v>72.413404180660677</c:v>
                </c:pt>
                <c:pt idx="344">
                  <c:v>72.700385984259853</c:v>
                </c:pt>
                <c:pt idx="345">
                  <c:v>73.011178505188226</c:v>
                </c:pt>
                <c:pt idx="346">
                  <c:v>73.164068374354599</c:v>
                </c:pt>
                <c:pt idx="347">
                  <c:v>73.318211439169886</c:v>
                </c:pt>
                <c:pt idx="348">
                  <c:v>73.664093438267571</c:v>
                </c:pt>
                <c:pt idx="349">
                  <c:v>73.815730111785058</c:v>
                </c:pt>
                <c:pt idx="350">
                  <c:v>74.131535415309031</c:v>
                </c:pt>
                <c:pt idx="351">
                  <c:v>74.491202566544686</c:v>
                </c:pt>
                <c:pt idx="352">
                  <c:v>74.745601283272336</c:v>
                </c:pt>
                <c:pt idx="353">
                  <c:v>75.061406586796323</c:v>
                </c:pt>
                <c:pt idx="354">
                  <c:v>75.367186325129069</c:v>
                </c:pt>
                <c:pt idx="355">
                  <c:v>75.553912476815881</c:v>
                </c:pt>
                <c:pt idx="356">
                  <c:v>75.959947867061004</c:v>
                </c:pt>
                <c:pt idx="357">
                  <c:v>76.248182866309094</c:v>
                </c:pt>
                <c:pt idx="358">
                  <c:v>76.457466539676162</c:v>
                </c:pt>
                <c:pt idx="359">
                  <c:v>76.710612060754926</c:v>
                </c:pt>
                <c:pt idx="360">
                  <c:v>77.099102711915378</c:v>
                </c:pt>
                <c:pt idx="361">
                  <c:v>77.294601233144505</c:v>
                </c:pt>
                <c:pt idx="362">
                  <c:v>77.526442428191885</c:v>
                </c:pt>
                <c:pt idx="363">
                  <c:v>77.785853927515163</c:v>
                </c:pt>
                <c:pt idx="364">
                  <c:v>78.018948318211443</c:v>
                </c:pt>
                <c:pt idx="365">
                  <c:v>78.224472404631811</c:v>
                </c:pt>
                <c:pt idx="366">
                  <c:v>78.426236904105465</c:v>
                </c:pt>
                <c:pt idx="367">
                  <c:v>78.53651812120907</c:v>
                </c:pt>
                <c:pt idx="368">
                  <c:v>78.808461577021404</c:v>
                </c:pt>
                <c:pt idx="369">
                  <c:v>79.094190184971666</c:v>
                </c:pt>
                <c:pt idx="370">
                  <c:v>79.304727053987662</c:v>
                </c:pt>
                <c:pt idx="371">
                  <c:v>79.530302270790514</c:v>
                </c:pt>
                <c:pt idx="372">
                  <c:v>79.83608200912326</c:v>
                </c:pt>
                <c:pt idx="373">
                  <c:v>80.224572660283727</c:v>
                </c:pt>
                <c:pt idx="374">
                  <c:v>80.609303724497451</c:v>
                </c:pt>
                <c:pt idx="375">
                  <c:v>80.849917289087159</c:v>
                </c:pt>
                <c:pt idx="376">
                  <c:v>81.096796831921395</c:v>
                </c:pt>
                <c:pt idx="377">
                  <c:v>81.411348939796468</c:v>
                </c:pt>
                <c:pt idx="378">
                  <c:v>81.618126221865751</c:v>
                </c:pt>
                <c:pt idx="379">
                  <c:v>81.956489047070022</c:v>
                </c:pt>
                <c:pt idx="380">
                  <c:v>82.243470850669198</c:v>
                </c:pt>
                <c:pt idx="381">
                  <c:v>82.522933480374945</c:v>
                </c:pt>
                <c:pt idx="382">
                  <c:v>82.621935936638423</c:v>
                </c:pt>
                <c:pt idx="383">
                  <c:v>82.737229936337656</c:v>
                </c:pt>
                <c:pt idx="384">
                  <c:v>83.149531304827292</c:v>
                </c:pt>
                <c:pt idx="385">
                  <c:v>83.378866108576858</c:v>
                </c:pt>
                <c:pt idx="386">
                  <c:v>83.553060303774615</c:v>
                </c:pt>
                <c:pt idx="387">
                  <c:v>83.719735325078958</c:v>
                </c:pt>
                <c:pt idx="388">
                  <c:v>84.054338563336501</c:v>
                </c:pt>
                <c:pt idx="389">
                  <c:v>84.234798736778771</c:v>
                </c:pt>
                <c:pt idx="390">
                  <c:v>84.491703844804249</c:v>
                </c:pt>
                <c:pt idx="391">
                  <c:v>84.723545039851615</c:v>
                </c:pt>
                <c:pt idx="392">
                  <c:v>85.063161060704786</c:v>
                </c:pt>
                <c:pt idx="393">
                  <c:v>85.249887212391585</c:v>
                </c:pt>
                <c:pt idx="394">
                  <c:v>85.409043059802499</c:v>
                </c:pt>
                <c:pt idx="395">
                  <c:v>85.619579928818482</c:v>
                </c:pt>
                <c:pt idx="396">
                  <c:v>85.852674319514762</c:v>
                </c:pt>
                <c:pt idx="397">
                  <c:v>86.085768710211028</c:v>
                </c:pt>
                <c:pt idx="398">
                  <c:v>86.301318361822638</c:v>
                </c:pt>
                <c:pt idx="399">
                  <c:v>86.584540578475099</c:v>
                </c:pt>
                <c:pt idx="400">
                  <c:v>86.70610055641886</c:v>
                </c:pt>
                <c:pt idx="401">
                  <c:v>86.773773121459726</c:v>
                </c:pt>
                <c:pt idx="402">
                  <c:v>87.100857185823841</c:v>
                </c:pt>
                <c:pt idx="403">
                  <c:v>87.181061707353734</c:v>
                </c:pt>
                <c:pt idx="404">
                  <c:v>87.322672815679994</c:v>
                </c:pt>
                <c:pt idx="405">
                  <c:v>87.658529249586422</c:v>
                </c:pt>
                <c:pt idx="406">
                  <c:v>87.850268183868863</c:v>
                </c:pt>
                <c:pt idx="407">
                  <c:v>88.013183618226464</c:v>
                </c:pt>
                <c:pt idx="408">
                  <c:v>88.268835530603027</c:v>
                </c:pt>
                <c:pt idx="409">
                  <c:v>88.438016943205156</c:v>
                </c:pt>
                <c:pt idx="410">
                  <c:v>88.629755877487582</c:v>
                </c:pt>
                <c:pt idx="411">
                  <c:v>88.88791418116196</c:v>
                </c:pt>
                <c:pt idx="412">
                  <c:v>89.188681136899078</c:v>
                </c:pt>
                <c:pt idx="413">
                  <c:v>89.273898441024599</c:v>
                </c:pt>
                <c:pt idx="414">
                  <c:v>89.459371397062512</c:v>
                </c:pt>
                <c:pt idx="415">
                  <c:v>89.626046418366826</c:v>
                </c:pt>
                <c:pt idx="416">
                  <c:v>89.760138352799629</c:v>
                </c:pt>
                <c:pt idx="417">
                  <c:v>89.909268635019288</c:v>
                </c:pt>
                <c:pt idx="418">
                  <c:v>90.139856634417754</c:v>
                </c:pt>
                <c:pt idx="419">
                  <c:v>90.179958895182693</c:v>
                </c:pt>
                <c:pt idx="420">
                  <c:v>90.252644242819187</c:v>
                </c:pt>
                <c:pt idx="421">
                  <c:v>90.446889568399413</c:v>
                </c:pt>
                <c:pt idx="422">
                  <c:v>90.756428893678873</c:v>
                </c:pt>
                <c:pt idx="423">
                  <c:v>90.89177402376059</c:v>
                </c:pt>
                <c:pt idx="424">
                  <c:v>91.094791718883144</c:v>
                </c:pt>
                <c:pt idx="425">
                  <c:v>91.296556218356798</c:v>
                </c:pt>
                <c:pt idx="426">
                  <c:v>91.488295152639225</c:v>
                </c:pt>
                <c:pt idx="427">
                  <c:v>91.591057195849402</c:v>
                </c:pt>
                <c:pt idx="428">
                  <c:v>91.730161912877833</c:v>
                </c:pt>
                <c:pt idx="429">
                  <c:v>91.945711564489443</c:v>
                </c:pt>
                <c:pt idx="430">
                  <c:v>92.113639781442672</c:v>
                </c:pt>
                <c:pt idx="431">
                  <c:v>92.144969672665297</c:v>
                </c:pt>
                <c:pt idx="432">
                  <c:v>92.374304476414849</c:v>
                </c:pt>
                <c:pt idx="433">
                  <c:v>92.524687954283422</c:v>
                </c:pt>
                <c:pt idx="434">
                  <c:v>92.752769562384074</c:v>
                </c:pt>
                <c:pt idx="435">
                  <c:v>92.96706601834677</c:v>
                </c:pt>
                <c:pt idx="436">
                  <c:v>93.126221865757685</c:v>
                </c:pt>
                <c:pt idx="437">
                  <c:v>93.206426387287578</c:v>
                </c:pt>
                <c:pt idx="438">
                  <c:v>93.354303473858323</c:v>
                </c:pt>
                <c:pt idx="439">
                  <c:v>93.577372299363375</c:v>
                </c:pt>
                <c:pt idx="440">
                  <c:v>93.701438668604936</c:v>
                </c:pt>
                <c:pt idx="441">
                  <c:v>93.929520276705588</c:v>
                </c:pt>
                <c:pt idx="442">
                  <c:v>93.989673667853012</c:v>
                </c:pt>
                <c:pt idx="443">
                  <c:v>94.121259210988015</c:v>
                </c:pt>
                <c:pt idx="444">
                  <c:v>94.227780841144906</c:v>
                </c:pt>
                <c:pt idx="445">
                  <c:v>94.350594014737567</c:v>
                </c:pt>
                <c:pt idx="446">
                  <c:v>94.568650057646991</c:v>
                </c:pt>
                <c:pt idx="447">
                  <c:v>94.69772920948418</c:v>
                </c:pt>
                <c:pt idx="448">
                  <c:v>94.861897839490695</c:v>
                </c:pt>
                <c:pt idx="449">
                  <c:v>94.934583187127174</c:v>
                </c:pt>
                <c:pt idx="450">
                  <c:v>95.113790164920545</c:v>
                </c:pt>
                <c:pt idx="451">
                  <c:v>95.195247882099352</c:v>
                </c:pt>
                <c:pt idx="452">
                  <c:v>95.483482881347413</c:v>
                </c:pt>
                <c:pt idx="453">
                  <c:v>95.71031129379918</c:v>
                </c:pt>
                <c:pt idx="454">
                  <c:v>95.835630858689655</c:v>
                </c:pt>
                <c:pt idx="455">
                  <c:v>95.873226728156794</c:v>
                </c:pt>
                <c:pt idx="456">
                  <c:v>95.974735575718071</c:v>
                </c:pt>
                <c:pt idx="457">
                  <c:v>96.171487292596112</c:v>
                </c:pt>
                <c:pt idx="458">
                  <c:v>96.402075291994578</c:v>
                </c:pt>
                <c:pt idx="459">
                  <c:v>96.59005463933029</c:v>
                </c:pt>
                <c:pt idx="460">
                  <c:v>96.660233595668956</c:v>
                </c:pt>
                <c:pt idx="461">
                  <c:v>96.803097899644087</c:v>
                </c:pt>
                <c:pt idx="462">
                  <c:v>96.868264073387124</c:v>
                </c:pt>
                <c:pt idx="463">
                  <c:v>96.830668203919984</c:v>
                </c:pt>
                <c:pt idx="464">
                  <c:v>97.031179507744753</c:v>
                </c:pt>
                <c:pt idx="465">
                  <c:v>97.179056594315497</c:v>
                </c:pt>
                <c:pt idx="466">
                  <c:v>97.207880094240309</c:v>
                </c:pt>
                <c:pt idx="467">
                  <c:v>97.264273898441019</c:v>
                </c:pt>
                <c:pt idx="468">
                  <c:v>97.413404180660677</c:v>
                </c:pt>
                <c:pt idx="469">
                  <c:v>97.496115093488385</c:v>
                </c:pt>
                <c:pt idx="470">
                  <c:v>97.600130332347476</c:v>
                </c:pt>
                <c:pt idx="471">
                  <c:v>97.779337310140846</c:v>
                </c:pt>
                <c:pt idx="472">
                  <c:v>97.874580179457595</c:v>
                </c:pt>
                <c:pt idx="473">
                  <c:v>97.751767005864934</c:v>
                </c:pt>
                <c:pt idx="474">
                  <c:v>98.027470048623982</c:v>
                </c:pt>
                <c:pt idx="475">
                  <c:v>98.219208982906409</c:v>
                </c:pt>
                <c:pt idx="476">
                  <c:v>98.201664243821739</c:v>
                </c:pt>
                <c:pt idx="477">
                  <c:v>98.393403178104151</c:v>
                </c:pt>
                <c:pt idx="478">
                  <c:v>98.410947917188835</c:v>
                </c:pt>
                <c:pt idx="479">
                  <c:v>98.58012932979095</c:v>
                </c:pt>
                <c:pt idx="480">
                  <c:v>98.72174043811718</c:v>
                </c:pt>
                <c:pt idx="481">
                  <c:v>98.687904155596755</c:v>
                </c:pt>
                <c:pt idx="482">
                  <c:v>98.717980851170466</c:v>
                </c:pt>
                <c:pt idx="483">
                  <c:v>98.971126372249216</c:v>
                </c:pt>
                <c:pt idx="484">
                  <c:v>99.066369241565994</c:v>
                </c:pt>
                <c:pt idx="485">
                  <c:v>99.117750263171075</c:v>
                </c:pt>
                <c:pt idx="486">
                  <c:v>99.296957240964446</c:v>
                </c:pt>
                <c:pt idx="487">
                  <c:v>99.344578675622827</c:v>
                </c:pt>
                <c:pt idx="488">
                  <c:v>99.607749761892819</c:v>
                </c:pt>
                <c:pt idx="489">
                  <c:v>99.778184370143862</c:v>
                </c:pt>
                <c:pt idx="490">
                  <c:v>99.873427239460611</c:v>
                </c:pt>
                <c:pt idx="491">
                  <c:v>100</c:v>
                </c:pt>
                <c:pt idx="492">
                  <c:v>100.23936036894078</c:v>
                </c:pt>
                <c:pt idx="493">
                  <c:v>100.38849065116044</c:v>
                </c:pt>
                <c:pt idx="494">
                  <c:v>100.59401473758082</c:v>
                </c:pt>
                <c:pt idx="495">
                  <c:v>100.66043410697276</c:v>
                </c:pt>
                <c:pt idx="496">
                  <c:v>100.76820893277859</c:v>
                </c:pt>
                <c:pt idx="497">
                  <c:v>100.84465386736176</c:v>
                </c:pt>
                <c:pt idx="498">
                  <c:v>101.07524186676022</c:v>
                </c:pt>
                <c:pt idx="499">
                  <c:v>101.20432101859743</c:v>
                </c:pt>
                <c:pt idx="500">
                  <c:v>101.44994736578275</c:v>
                </c:pt>
                <c:pt idx="501">
                  <c:v>101.59281166975786</c:v>
                </c:pt>
                <c:pt idx="502">
                  <c:v>101.77201864755123</c:v>
                </c:pt>
                <c:pt idx="503">
                  <c:v>101.87102110381473</c:v>
                </c:pt>
                <c:pt idx="504">
                  <c:v>102.25073938543284</c:v>
                </c:pt>
                <c:pt idx="505">
                  <c:v>102.43119955887514</c:v>
                </c:pt>
                <c:pt idx="506">
                  <c:v>102.53772118903203</c:v>
                </c:pt>
                <c:pt idx="507">
                  <c:v>102.70063662338963</c:v>
                </c:pt>
                <c:pt idx="508">
                  <c:v>102.72444734071883</c:v>
                </c:pt>
                <c:pt idx="509">
                  <c:v>102.95503534011729</c:v>
                </c:pt>
                <c:pt idx="510">
                  <c:v>103.22071281768508</c:v>
                </c:pt>
                <c:pt idx="511">
                  <c:v>103.27084064364128</c:v>
                </c:pt>
                <c:pt idx="512">
                  <c:v>102.68559827560277</c:v>
                </c:pt>
                <c:pt idx="513">
                  <c:v>103.4086921650208</c:v>
                </c:pt>
                <c:pt idx="514">
                  <c:v>103.61797583838789</c:v>
                </c:pt>
                <c:pt idx="515">
                  <c:v>103.64178655571706</c:v>
                </c:pt>
                <c:pt idx="516">
                  <c:v>103.7019399468645</c:v>
                </c:pt>
                <c:pt idx="517">
                  <c:v>103.89869166374253</c:v>
                </c:pt>
                <c:pt idx="518">
                  <c:v>104.0227580329841</c:v>
                </c:pt>
                <c:pt idx="519">
                  <c:v>104.31349942352999</c:v>
                </c:pt>
                <c:pt idx="520">
                  <c:v>104.43004661887814</c:v>
                </c:pt>
                <c:pt idx="521">
                  <c:v>104.59546844453354</c:v>
                </c:pt>
                <c:pt idx="522">
                  <c:v>104.80725850919845</c:v>
                </c:pt>
                <c:pt idx="523">
                  <c:v>105.01403579126772</c:v>
                </c:pt>
                <c:pt idx="524">
                  <c:v>105.18572359516767</c:v>
                </c:pt>
                <c:pt idx="525">
                  <c:v>105.27470048623989</c:v>
                </c:pt>
                <c:pt idx="526">
                  <c:v>105.3774625294501</c:v>
                </c:pt>
                <c:pt idx="527">
                  <c:v>105.47521179006466</c:v>
                </c:pt>
                <c:pt idx="528">
                  <c:v>105.54789713770113</c:v>
                </c:pt>
                <c:pt idx="529">
                  <c:v>105.69326783297407</c:v>
                </c:pt>
                <c:pt idx="530">
                  <c:v>105.86244924557622</c:v>
                </c:pt>
                <c:pt idx="531">
                  <c:v>105.98024963657325</c:v>
                </c:pt>
                <c:pt idx="532">
                  <c:v>106.13313950573962</c:v>
                </c:pt>
                <c:pt idx="533">
                  <c:v>106.19329289688706</c:v>
                </c:pt>
                <c:pt idx="534">
                  <c:v>106.45771717880595</c:v>
                </c:pt>
                <c:pt idx="535">
                  <c:v>106.5780239611008</c:v>
                </c:pt>
                <c:pt idx="536">
                  <c:v>106.72715424332046</c:v>
                </c:pt>
                <c:pt idx="537">
                  <c:v>106.92265276454958</c:v>
                </c:pt>
                <c:pt idx="538">
                  <c:v>107.06927665547144</c:v>
                </c:pt>
                <c:pt idx="539">
                  <c:v>107.20336858990424</c:v>
                </c:pt>
                <c:pt idx="540">
                  <c:v>107.47781843701438</c:v>
                </c:pt>
                <c:pt idx="541">
                  <c:v>107.65201263221213</c:v>
                </c:pt>
                <c:pt idx="542">
                  <c:v>107.83247280565442</c:v>
                </c:pt>
                <c:pt idx="543">
                  <c:v>108.11318863100905</c:v>
                </c:pt>
                <c:pt idx="544">
                  <c:v>108.26106571757983</c:v>
                </c:pt>
                <c:pt idx="545">
                  <c:v>108.43275352147977</c:v>
                </c:pt>
                <c:pt idx="546">
                  <c:v>108.56183267331696</c:v>
                </c:pt>
                <c:pt idx="547">
                  <c:v>108.60318812973081</c:v>
                </c:pt>
                <c:pt idx="548">
                  <c:v>108.80620582485336</c:v>
                </c:pt>
                <c:pt idx="549">
                  <c:v>109.04305980249636</c:v>
                </c:pt>
                <c:pt idx="550">
                  <c:v>109.27740738884154</c:v>
                </c:pt>
                <c:pt idx="551">
                  <c:v>109.41776530151887</c:v>
                </c:pt>
                <c:pt idx="552">
                  <c:v>109.81126873527494</c:v>
                </c:pt>
                <c:pt idx="553">
                  <c:v>109.99298210436612</c:v>
                </c:pt>
                <c:pt idx="554">
                  <c:v>110.26492556017844</c:v>
                </c:pt>
                <c:pt idx="555">
                  <c:v>110.39275151636673</c:v>
                </c:pt>
                <c:pt idx="556">
                  <c:v>110.61832673316958</c:v>
                </c:pt>
                <c:pt idx="557">
                  <c:v>110.69477166775276</c:v>
                </c:pt>
                <c:pt idx="558">
                  <c:v>110.85768710211036</c:v>
                </c:pt>
                <c:pt idx="559">
                  <c:v>110.94791718883151</c:v>
                </c:pt>
                <c:pt idx="560">
                  <c:v>111.19354353601683</c:v>
                </c:pt>
                <c:pt idx="561">
                  <c:v>111.51185523083863</c:v>
                </c:pt>
                <c:pt idx="562">
                  <c:v>111.7975838387889</c:v>
                </c:pt>
                <c:pt idx="563">
                  <c:v>111.91287783848814</c:v>
                </c:pt>
                <c:pt idx="564">
                  <c:v>112.16477016391798</c:v>
                </c:pt>
                <c:pt idx="565">
                  <c:v>112.34523033736026</c:v>
                </c:pt>
                <c:pt idx="566">
                  <c:v>112.65476966263972</c:v>
                </c:pt>
                <c:pt idx="567">
                  <c:v>112.99939846608851</c:v>
                </c:pt>
                <c:pt idx="568">
                  <c:v>113.28262068274097</c:v>
                </c:pt>
                <c:pt idx="569">
                  <c:v>113.56834929069126</c:v>
                </c:pt>
                <c:pt idx="570">
                  <c:v>113.67988370344378</c:v>
                </c:pt>
                <c:pt idx="571">
                  <c:v>113.91047170284224</c:v>
                </c:pt>
                <c:pt idx="572">
                  <c:v>114.09093187628453</c:v>
                </c:pt>
                <c:pt idx="573">
                  <c:v>114.29645596270488</c:v>
                </c:pt>
                <c:pt idx="574">
                  <c:v>114.35159657125669</c:v>
                </c:pt>
                <c:pt idx="575">
                  <c:v>114.50448644042308</c:v>
                </c:pt>
                <c:pt idx="576">
                  <c:v>114.96942202616671</c:v>
                </c:pt>
                <c:pt idx="577">
                  <c:v>115.21755476464983</c:v>
                </c:pt>
                <c:pt idx="578">
                  <c:v>115.33410195999798</c:v>
                </c:pt>
                <c:pt idx="579">
                  <c:v>115.49827059000449</c:v>
                </c:pt>
                <c:pt idx="580">
                  <c:v>115.63486891573513</c:v>
                </c:pt>
                <c:pt idx="581">
                  <c:v>115.82535465436864</c:v>
                </c:pt>
                <c:pt idx="582">
                  <c:v>115.99954884956639</c:v>
                </c:pt>
                <c:pt idx="583">
                  <c:v>116.17248984911522</c:v>
                </c:pt>
                <c:pt idx="584">
                  <c:v>116.48954834828811</c:v>
                </c:pt>
                <c:pt idx="585">
                  <c:v>116.79282169532306</c:v>
                </c:pt>
                <c:pt idx="586">
                  <c:v>117.02215649907264</c:v>
                </c:pt>
                <c:pt idx="587">
                  <c:v>117.2577572810667</c:v>
                </c:pt>
                <c:pt idx="588">
                  <c:v>117.49085167176298</c:v>
                </c:pt>
                <c:pt idx="589">
                  <c:v>117.6048924758133</c:v>
                </c:pt>
                <c:pt idx="590">
                  <c:v>117.8354804752118</c:v>
                </c:pt>
                <c:pt idx="591">
                  <c:v>117.90440623590153</c:v>
                </c:pt>
                <c:pt idx="592">
                  <c:v>118.11995588751314</c:v>
                </c:pt>
                <c:pt idx="593">
                  <c:v>118.39064614767656</c:v>
                </c:pt>
                <c:pt idx="594">
                  <c:v>118.60368940799037</c:v>
                </c:pt>
                <c:pt idx="595">
                  <c:v>118.74906010326332</c:v>
                </c:pt>
                <c:pt idx="596">
                  <c:v>118.87062008120706</c:v>
                </c:pt>
                <c:pt idx="597">
                  <c:v>118.70143866860492</c:v>
                </c:pt>
                <c:pt idx="598">
                  <c:v>118.64880445135094</c:v>
                </c:pt>
                <c:pt idx="599">
                  <c:v>118.59115745150132</c:v>
                </c:pt>
                <c:pt idx="600">
                  <c:v>118.55481477768309</c:v>
                </c:pt>
                <c:pt idx="601">
                  <c:v>118.64880445135094</c:v>
                </c:pt>
                <c:pt idx="602">
                  <c:v>118.73402175547646</c:v>
                </c:pt>
                <c:pt idx="603">
                  <c:v>118.99969923304425</c:v>
                </c:pt>
                <c:pt idx="604">
                  <c:v>119.0911825154143</c:v>
                </c:pt>
                <c:pt idx="605">
                  <c:v>119.24281918893176</c:v>
                </c:pt>
                <c:pt idx="606">
                  <c:v>119.34558123214195</c:v>
                </c:pt>
                <c:pt idx="607">
                  <c:v>119.52228181863751</c:v>
                </c:pt>
                <c:pt idx="608">
                  <c:v>119.73156549200459</c:v>
                </c:pt>
                <c:pt idx="609">
                  <c:v>120.17269036041907</c:v>
                </c:pt>
                <c:pt idx="610">
                  <c:v>120.27921199057596</c:v>
                </c:pt>
                <c:pt idx="611">
                  <c:v>120.38197403378615</c:v>
                </c:pt>
                <c:pt idx="612">
                  <c:v>120.55867462028169</c:v>
                </c:pt>
                <c:pt idx="613">
                  <c:v>120.6639430547897</c:v>
                </c:pt>
                <c:pt idx="614">
                  <c:v>120.84440322823198</c:v>
                </c:pt>
                <c:pt idx="615">
                  <c:v>120.90580981502831</c:v>
                </c:pt>
                <c:pt idx="616">
                  <c:v>121.03990174946111</c:v>
                </c:pt>
                <c:pt idx="617">
                  <c:v>121.09880194495965</c:v>
                </c:pt>
                <c:pt idx="618">
                  <c:v>121.10005514060853</c:v>
                </c:pt>
                <c:pt idx="619">
                  <c:v>121.21660233595668</c:v>
                </c:pt>
                <c:pt idx="620">
                  <c:v>121.28552809664644</c:v>
                </c:pt>
                <c:pt idx="621">
                  <c:v>121.46974785703543</c:v>
                </c:pt>
                <c:pt idx="622">
                  <c:v>121.62765050879743</c:v>
                </c:pt>
                <c:pt idx="623">
                  <c:v>121.65271442177551</c:v>
                </c:pt>
                <c:pt idx="624">
                  <c:v>121.91463231239661</c:v>
                </c:pt>
                <c:pt idx="625">
                  <c:v>122.1276755727104</c:v>
                </c:pt>
                <c:pt idx="626">
                  <c:v>122.31189533309939</c:v>
                </c:pt>
                <c:pt idx="627">
                  <c:v>122.59261115845405</c:v>
                </c:pt>
                <c:pt idx="628">
                  <c:v>122.88460574464885</c:v>
                </c:pt>
                <c:pt idx="629">
                  <c:v>123.01869767908165</c:v>
                </c:pt>
                <c:pt idx="630">
                  <c:v>123.20041104817282</c:v>
                </c:pt>
                <c:pt idx="631">
                  <c:v>123.44603739535815</c:v>
                </c:pt>
                <c:pt idx="632">
                  <c:v>123.53000150383477</c:v>
                </c:pt>
                <c:pt idx="633">
                  <c:v>123.58890169933329</c:v>
                </c:pt>
                <c:pt idx="634">
                  <c:v>123.85081958995437</c:v>
                </c:pt>
                <c:pt idx="635">
                  <c:v>124.05634367637475</c:v>
                </c:pt>
                <c:pt idx="636">
                  <c:v>124.42728958845053</c:v>
                </c:pt>
                <c:pt idx="637">
                  <c:v>124.60023058799939</c:v>
                </c:pt>
                <c:pt idx="638">
                  <c:v>124.81202065266429</c:v>
                </c:pt>
                <c:pt idx="639">
                  <c:v>125.00125319564889</c:v>
                </c:pt>
                <c:pt idx="640">
                  <c:v>125.12782595618826</c:v>
                </c:pt>
                <c:pt idx="641">
                  <c:v>125.25690510802545</c:v>
                </c:pt>
                <c:pt idx="642">
                  <c:v>125.38598425986264</c:v>
                </c:pt>
                <c:pt idx="643">
                  <c:v>125.46493558574363</c:v>
                </c:pt>
                <c:pt idx="644">
                  <c:v>125.62033184620782</c:v>
                </c:pt>
                <c:pt idx="645">
                  <c:v>125.92360519324276</c:v>
                </c:pt>
                <c:pt idx="646">
                  <c:v>126.06020351897337</c:v>
                </c:pt>
                <c:pt idx="647">
                  <c:v>126.15168680134342</c:v>
                </c:pt>
                <c:pt idx="648">
                  <c:v>126.41109830066668</c:v>
                </c:pt>
                <c:pt idx="649">
                  <c:v>126.56273497418417</c:v>
                </c:pt>
                <c:pt idx="650">
                  <c:v>126.67928216953229</c:v>
                </c:pt>
                <c:pt idx="651">
                  <c:v>126.77703143014686</c:v>
                </c:pt>
                <c:pt idx="652">
                  <c:v>126.91362975587748</c:v>
                </c:pt>
                <c:pt idx="653">
                  <c:v>127.12166023359566</c:v>
                </c:pt>
                <c:pt idx="654">
                  <c:v>127.28332247230435</c:v>
                </c:pt>
                <c:pt idx="655">
                  <c:v>127.43119955887512</c:v>
                </c:pt>
                <c:pt idx="656">
                  <c:v>127.57406386285027</c:v>
                </c:pt>
                <c:pt idx="657">
                  <c:v>127.84475412301367</c:v>
                </c:pt>
                <c:pt idx="658">
                  <c:v>128.06907614416761</c:v>
                </c:pt>
                <c:pt idx="659">
                  <c:v>128.24327033936538</c:v>
                </c:pt>
                <c:pt idx="660">
                  <c:v>128.3598175347135</c:v>
                </c:pt>
                <c:pt idx="661">
                  <c:v>128.43876886059451</c:v>
                </c:pt>
                <c:pt idx="662">
                  <c:v>128.68314201213093</c:v>
                </c:pt>
                <c:pt idx="663">
                  <c:v>128.92751516366735</c:v>
                </c:pt>
                <c:pt idx="664">
                  <c:v>129.15559677176802</c:v>
                </c:pt>
                <c:pt idx="665">
                  <c:v>129.30472705398768</c:v>
                </c:pt>
                <c:pt idx="666">
                  <c:v>129.54158103163064</c:v>
                </c:pt>
                <c:pt idx="667">
                  <c:v>129.59045566193794</c:v>
                </c:pt>
                <c:pt idx="668">
                  <c:v>129.75086470499775</c:v>
                </c:pt>
                <c:pt idx="669">
                  <c:v>129.86741190034587</c:v>
                </c:pt>
                <c:pt idx="670">
                  <c:v>130.00651661737427</c:v>
                </c:pt>
                <c:pt idx="671">
                  <c:v>130.12807659531805</c:v>
                </c:pt>
                <c:pt idx="672">
                  <c:v>130.10175948669107</c:v>
                </c:pt>
                <c:pt idx="673">
                  <c:v>130.23209183417714</c:v>
                </c:pt>
                <c:pt idx="674">
                  <c:v>130.43260313800189</c:v>
                </c:pt>
                <c:pt idx="675">
                  <c:v>130.65316557220913</c:v>
                </c:pt>
                <c:pt idx="676">
                  <c:v>130.81482781091785</c:v>
                </c:pt>
                <c:pt idx="677">
                  <c:v>130.97273046267981</c:v>
                </c:pt>
                <c:pt idx="678">
                  <c:v>131.08802446237905</c:v>
                </c:pt>
                <c:pt idx="679">
                  <c:v>131.18326733169582</c:v>
                </c:pt>
                <c:pt idx="680">
                  <c:v>131.35244874429793</c:v>
                </c:pt>
                <c:pt idx="681">
                  <c:v>131.37124667903151</c:v>
                </c:pt>
                <c:pt idx="682">
                  <c:v>131.51035139605995</c:v>
                </c:pt>
                <c:pt idx="683">
                  <c:v>131.59682189583435</c:v>
                </c:pt>
                <c:pt idx="684">
                  <c:v>131.84119504737077</c:v>
                </c:pt>
                <c:pt idx="685">
                  <c:v>132.04797232944006</c:v>
                </c:pt>
                <c:pt idx="686">
                  <c:v>132.23845806807358</c:v>
                </c:pt>
                <c:pt idx="687">
                  <c:v>132.57055491503331</c:v>
                </c:pt>
                <c:pt idx="688">
                  <c:v>132.77357261015587</c:v>
                </c:pt>
                <c:pt idx="689">
                  <c:v>132.93523484886458</c:v>
                </c:pt>
                <c:pt idx="690">
                  <c:v>133.16081006566745</c:v>
                </c:pt>
                <c:pt idx="691">
                  <c:v>133.41019599979947</c:v>
                </c:pt>
                <c:pt idx="692">
                  <c:v>133.56433906461476</c:v>
                </c:pt>
                <c:pt idx="693">
                  <c:v>133.76234397714171</c:v>
                </c:pt>
                <c:pt idx="694">
                  <c:v>133.82751015088473</c:v>
                </c:pt>
                <c:pt idx="695">
                  <c:v>134.0029575417314</c:v>
                </c:pt>
                <c:pt idx="696">
                  <c:v>134.34758634518019</c:v>
                </c:pt>
                <c:pt idx="697">
                  <c:v>134.53932527946262</c:v>
                </c:pt>
                <c:pt idx="698">
                  <c:v>134.47666549701739</c:v>
                </c:pt>
                <c:pt idx="699">
                  <c:v>134.82756027871071</c:v>
                </c:pt>
                <c:pt idx="700">
                  <c:v>134.96791819138804</c:v>
                </c:pt>
                <c:pt idx="701">
                  <c:v>135.18973382124418</c:v>
                </c:pt>
                <c:pt idx="702">
                  <c:v>135.27495112536968</c:v>
                </c:pt>
                <c:pt idx="703">
                  <c:v>135.41781542934484</c:v>
                </c:pt>
                <c:pt idx="704">
                  <c:v>135.67973331996589</c:v>
                </c:pt>
                <c:pt idx="705">
                  <c:v>136.02937490601033</c:v>
                </c:pt>
                <c:pt idx="706">
                  <c:v>136.09830066670008</c:v>
                </c:pt>
                <c:pt idx="707">
                  <c:v>136.30883753571607</c:v>
                </c:pt>
                <c:pt idx="708">
                  <c:v>136.67351746954733</c:v>
                </c:pt>
                <c:pt idx="709">
                  <c:v>136.94044814276404</c:v>
                </c:pt>
                <c:pt idx="710">
                  <c:v>137.2775577723194</c:v>
                </c:pt>
                <c:pt idx="711">
                  <c:v>137.54072885858938</c:v>
                </c:pt>
                <c:pt idx="712">
                  <c:v>137.81267231440171</c:v>
                </c:pt>
                <c:pt idx="713">
                  <c:v>137.98436011830165</c:v>
                </c:pt>
                <c:pt idx="714">
                  <c:v>138.14978194395707</c:v>
                </c:pt>
                <c:pt idx="715">
                  <c:v>138.16106070479722</c:v>
                </c:pt>
                <c:pt idx="716">
                  <c:v>138.44678931274748</c:v>
                </c:pt>
                <c:pt idx="717">
                  <c:v>138.65481979046569</c:v>
                </c:pt>
                <c:pt idx="718">
                  <c:v>138.90169933329989</c:v>
                </c:pt>
                <c:pt idx="719">
                  <c:v>139.1122362023159</c:v>
                </c:pt>
                <c:pt idx="720">
                  <c:v>139.17990876735675</c:v>
                </c:pt>
                <c:pt idx="721">
                  <c:v>139.22502381071732</c:v>
                </c:pt>
                <c:pt idx="722">
                  <c:v>139.42302872324427</c:v>
                </c:pt>
                <c:pt idx="723">
                  <c:v>139.86540678730762</c:v>
                </c:pt>
                <c:pt idx="724">
                  <c:v>140.03709459120756</c:v>
                </c:pt>
                <c:pt idx="725">
                  <c:v>140.35415309038046</c:v>
                </c:pt>
                <c:pt idx="726">
                  <c:v>140.54589202466289</c:v>
                </c:pt>
                <c:pt idx="727">
                  <c:v>140.72008621986063</c:v>
                </c:pt>
                <c:pt idx="728">
                  <c:v>140.8178354804752</c:v>
                </c:pt>
                <c:pt idx="729">
                  <c:v>141.03463832773571</c:v>
                </c:pt>
                <c:pt idx="730">
                  <c:v>141.07975337109627</c:v>
                </c:pt>
                <c:pt idx="731">
                  <c:v>141.39054589202465</c:v>
                </c:pt>
                <c:pt idx="732">
                  <c:v>141.66123615218808</c:v>
                </c:pt>
                <c:pt idx="733">
                  <c:v>141.88054539074639</c:v>
                </c:pt>
                <c:pt idx="734">
                  <c:v>141.79908767356758</c:v>
                </c:pt>
                <c:pt idx="735">
                  <c:v>141.14491954483933</c:v>
                </c:pt>
                <c:pt idx="736">
                  <c:v>141.44067371798084</c:v>
                </c:pt>
                <c:pt idx="737">
                  <c:v>141.94320517319164</c:v>
                </c:pt>
                <c:pt idx="738">
                  <c:v>142.37555767206374</c:v>
                </c:pt>
                <c:pt idx="739">
                  <c:v>142.82796130131834</c:v>
                </c:pt>
                <c:pt idx="740">
                  <c:v>143.02847260514309</c:v>
                </c:pt>
                <c:pt idx="741">
                  <c:v>143.03599177903652</c:v>
                </c:pt>
                <c:pt idx="742">
                  <c:v>143.03223219208982</c:v>
                </c:pt>
                <c:pt idx="743">
                  <c:v>143.48338262569553</c:v>
                </c:pt>
                <c:pt idx="744">
                  <c:v>143.7991879292195</c:v>
                </c:pt>
                <c:pt idx="745">
                  <c:v>143.99092686350193</c:v>
                </c:pt>
                <c:pt idx="746">
                  <c:v>144.59747355757179</c:v>
                </c:pt>
                <c:pt idx="747">
                  <c:v>145.49601483783647</c:v>
                </c:pt>
                <c:pt idx="748">
                  <c:v>146.330643140007</c:v>
                </c:pt>
                <c:pt idx="749">
                  <c:v>147.03368589904255</c:v>
                </c:pt>
                <c:pt idx="750">
                  <c:v>147.50614065867961</c:v>
                </c:pt>
                <c:pt idx="751">
                  <c:v>147.96856985312544</c:v>
                </c:pt>
                <c:pt idx="752">
                  <c:v>148.32447741741441</c:v>
                </c:pt>
                <c:pt idx="753">
                  <c:v>149.03127976339664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F1-8A43-83E7-03186810B183}"/>
            </c:ext>
          </c:extLst>
        </c:ser>
        <c:ser>
          <c:idx val="3"/>
          <c:order val="1"/>
          <c:tx>
            <c:strRef>
              <c:f>'PCE Core vs Core CPI'!$E$4</c:f>
              <c:strCache>
                <c:ptCount val="1"/>
                <c:pt idx="0">
                  <c:v>Core CPI base 2000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CPI'!$E$5:$E$758</c:f>
              <c:numCache>
                <c:formatCode>0.00</c:formatCode>
                <c:ptCount val="754"/>
                <c:pt idx="0">
                  <c:v>16.73195299384443</c:v>
                </c:pt>
                <c:pt idx="1">
                  <c:v>16.73195299384443</c:v>
                </c:pt>
                <c:pt idx="2">
                  <c:v>16.787912702853944</c:v>
                </c:pt>
                <c:pt idx="3">
                  <c:v>16.787912702853944</c:v>
                </c:pt>
                <c:pt idx="4">
                  <c:v>16.843872411863458</c:v>
                </c:pt>
                <c:pt idx="5">
                  <c:v>16.899832120872972</c:v>
                </c:pt>
                <c:pt idx="6">
                  <c:v>16.899832120872972</c:v>
                </c:pt>
                <c:pt idx="7">
                  <c:v>16.899832120872972</c:v>
                </c:pt>
                <c:pt idx="8">
                  <c:v>16.9557918298825</c:v>
                </c:pt>
                <c:pt idx="9">
                  <c:v>17.011751538892</c:v>
                </c:pt>
                <c:pt idx="10">
                  <c:v>17.011751538892</c:v>
                </c:pt>
                <c:pt idx="11">
                  <c:v>17.067711247901514</c:v>
                </c:pt>
                <c:pt idx="12">
                  <c:v>17.067711247901514</c:v>
                </c:pt>
                <c:pt idx="13">
                  <c:v>17.123670956911013</c:v>
                </c:pt>
                <c:pt idx="14">
                  <c:v>17.123670956911013</c:v>
                </c:pt>
                <c:pt idx="15">
                  <c:v>17.123670956911013</c:v>
                </c:pt>
                <c:pt idx="16">
                  <c:v>17.123670956911013</c:v>
                </c:pt>
                <c:pt idx="17">
                  <c:v>17.179630665920527</c:v>
                </c:pt>
                <c:pt idx="18">
                  <c:v>17.123670956911013</c:v>
                </c:pt>
                <c:pt idx="19">
                  <c:v>17.123670956911013</c:v>
                </c:pt>
                <c:pt idx="20">
                  <c:v>17.123670956911013</c:v>
                </c:pt>
                <c:pt idx="21">
                  <c:v>17.235590374930055</c:v>
                </c:pt>
                <c:pt idx="22">
                  <c:v>17.235590374930055</c:v>
                </c:pt>
                <c:pt idx="23">
                  <c:v>17.179630665920527</c:v>
                </c:pt>
                <c:pt idx="24">
                  <c:v>17.235590374930055</c:v>
                </c:pt>
                <c:pt idx="25">
                  <c:v>17.235590374930055</c:v>
                </c:pt>
                <c:pt idx="26">
                  <c:v>17.291550083939569</c:v>
                </c:pt>
                <c:pt idx="27">
                  <c:v>17.291550083939569</c:v>
                </c:pt>
                <c:pt idx="28">
                  <c:v>17.291550083939569</c:v>
                </c:pt>
                <c:pt idx="29">
                  <c:v>17.347509792949083</c:v>
                </c:pt>
                <c:pt idx="30">
                  <c:v>17.347509792949083</c:v>
                </c:pt>
                <c:pt idx="31">
                  <c:v>17.403469501958597</c:v>
                </c:pt>
                <c:pt idx="32">
                  <c:v>17.403469501958597</c:v>
                </c:pt>
                <c:pt idx="33">
                  <c:v>17.403469501958597</c:v>
                </c:pt>
                <c:pt idx="34">
                  <c:v>17.459429210968096</c:v>
                </c:pt>
                <c:pt idx="35">
                  <c:v>17.459429210968096</c:v>
                </c:pt>
                <c:pt idx="36">
                  <c:v>17.459429210968096</c:v>
                </c:pt>
                <c:pt idx="37">
                  <c:v>17.459429210968096</c:v>
                </c:pt>
                <c:pt idx="38">
                  <c:v>17.515388919977624</c:v>
                </c:pt>
                <c:pt idx="39">
                  <c:v>17.515388919977624</c:v>
                </c:pt>
                <c:pt idx="40">
                  <c:v>17.571348628987138</c:v>
                </c:pt>
                <c:pt idx="41">
                  <c:v>17.571348628987138</c:v>
                </c:pt>
                <c:pt idx="42">
                  <c:v>17.571348628987138</c:v>
                </c:pt>
                <c:pt idx="43">
                  <c:v>17.627308337996638</c:v>
                </c:pt>
                <c:pt idx="44">
                  <c:v>17.627308337996638</c:v>
                </c:pt>
                <c:pt idx="45">
                  <c:v>17.627308337996638</c:v>
                </c:pt>
                <c:pt idx="46">
                  <c:v>17.627308337996638</c:v>
                </c:pt>
                <c:pt idx="47">
                  <c:v>17.683268047006152</c:v>
                </c:pt>
                <c:pt idx="48">
                  <c:v>17.627308337996638</c:v>
                </c:pt>
                <c:pt idx="49">
                  <c:v>17.683268047006152</c:v>
                </c:pt>
                <c:pt idx="50">
                  <c:v>17.739227756015666</c:v>
                </c:pt>
                <c:pt idx="51">
                  <c:v>17.739227756015666</c:v>
                </c:pt>
                <c:pt idx="52">
                  <c:v>17.739227756015666</c:v>
                </c:pt>
                <c:pt idx="53">
                  <c:v>17.79518746502518</c:v>
                </c:pt>
                <c:pt idx="54">
                  <c:v>17.79518746502518</c:v>
                </c:pt>
                <c:pt idx="55">
                  <c:v>17.851147174034693</c:v>
                </c:pt>
                <c:pt idx="56">
                  <c:v>17.851147174034693</c:v>
                </c:pt>
                <c:pt idx="57">
                  <c:v>17.907106883044207</c:v>
                </c:pt>
                <c:pt idx="58">
                  <c:v>17.907106883044207</c:v>
                </c:pt>
                <c:pt idx="59">
                  <c:v>17.963066592053721</c:v>
                </c:pt>
                <c:pt idx="60">
                  <c:v>18.019026301063235</c:v>
                </c:pt>
                <c:pt idx="61">
                  <c:v>18.019026301063235</c:v>
                </c:pt>
                <c:pt idx="62">
                  <c:v>18.019026301063235</c:v>
                </c:pt>
                <c:pt idx="63">
                  <c:v>18.019026301063235</c:v>
                </c:pt>
                <c:pt idx="64">
                  <c:v>18.019026301063235</c:v>
                </c:pt>
                <c:pt idx="65">
                  <c:v>18.074986010072763</c:v>
                </c:pt>
                <c:pt idx="66">
                  <c:v>18.074986010072763</c:v>
                </c:pt>
                <c:pt idx="67">
                  <c:v>18.074986010072763</c:v>
                </c:pt>
                <c:pt idx="68">
                  <c:v>18.074986010072763</c:v>
                </c:pt>
                <c:pt idx="69">
                  <c:v>18.130945719082263</c:v>
                </c:pt>
                <c:pt idx="70">
                  <c:v>18.186905428091777</c:v>
                </c:pt>
                <c:pt idx="71">
                  <c:v>18.186905428091777</c:v>
                </c:pt>
                <c:pt idx="72">
                  <c:v>18.242865137101276</c:v>
                </c:pt>
                <c:pt idx="73">
                  <c:v>18.242865137101276</c:v>
                </c:pt>
                <c:pt idx="74">
                  <c:v>18.242865137101276</c:v>
                </c:pt>
                <c:pt idx="75">
                  <c:v>18.29882484611079</c:v>
                </c:pt>
                <c:pt idx="76">
                  <c:v>18.29882484611079</c:v>
                </c:pt>
                <c:pt idx="77">
                  <c:v>18.29882484611079</c:v>
                </c:pt>
                <c:pt idx="78">
                  <c:v>18.29882484611079</c:v>
                </c:pt>
                <c:pt idx="79">
                  <c:v>18.29882484611079</c:v>
                </c:pt>
                <c:pt idx="80">
                  <c:v>18.354784555120318</c:v>
                </c:pt>
                <c:pt idx="81">
                  <c:v>18.354784555120318</c:v>
                </c:pt>
                <c:pt idx="82">
                  <c:v>18.410744264129832</c:v>
                </c:pt>
                <c:pt idx="83">
                  <c:v>18.466703973139346</c:v>
                </c:pt>
                <c:pt idx="84">
                  <c:v>18.466703973139346</c:v>
                </c:pt>
                <c:pt idx="85">
                  <c:v>18.52266368214886</c:v>
                </c:pt>
                <c:pt idx="86">
                  <c:v>18.52266368214886</c:v>
                </c:pt>
                <c:pt idx="87">
                  <c:v>18.634583100167887</c:v>
                </c:pt>
                <c:pt idx="88">
                  <c:v>18.690542809177401</c:v>
                </c:pt>
                <c:pt idx="89">
                  <c:v>18.746502518186901</c:v>
                </c:pt>
                <c:pt idx="90">
                  <c:v>18.802462227196415</c:v>
                </c:pt>
                <c:pt idx="91">
                  <c:v>18.858421936205929</c:v>
                </c:pt>
                <c:pt idx="92">
                  <c:v>18.914381645215457</c:v>
                </c:pt>
                <c:pt idx="93">
                  <c:v>19.02630106323447</c:v>
                </c:pt>
                <c:pt idx="94">
                  <c:v>19.02630106323447</c:v>
                </c:pt>
                <c:pt idx="95">
                  <c:v>19.082260772243984</c:v>
                </c:pt>
                <c:pt idx="96">
                  <c:v>19.138220481253484</c:v>
                </c:pt>
                <c:pt idx="97">
                  <c:v>19.138220481253484</c:v>
                </c:pt>
                <c:pt idx="98">
                  <c:v>19.194180190263026</c:v>
                </c:pt>
                <c:pt idx="99">
                  <c:v>19.25013989927254</c:v>
                </c:pt>
                <c:pt idx="100">
                  <c:v>19.30609960828204</c:v>
                </c:pt>
                <c:pt idx="101">
                  <c:v>19.362059317291553</c:v>
                </c:pt>
                <c:pt idx="102">
                  <c:v>19.418019026301053</c:v>
                </c:pt>
                <c:pt idx="103">
                  <c:v>19.529938444320095</c:v>
                </c:pt>
                <c:pt idx="104">
                  <c:v>19.585898153329609</c:v>
                </c:pt>
                <c:pt idx="105">
                  <c:v>19.641857862339123</c:v>
                </c:pt>
                <c:pt idx="106">
                  <c:v>19.697817571348622</c:v>
                </c:pt>
                <c:pt idx="107">
                  <c:v>19.80973698936765</c:v>
                </c:pt>
                <c:pt idx="108">
                  <c:v>19.865696698377164</c:v>
                </c:pt>
                <c:pt idx="109">
                  <c:v>19.977616116396192</c:v>
                </c:pt>
                <c:pt idx="110">
                  <c:v>20.03357582540572</c:v>
                </c:pt>
                <c:pt idx="111">
                  <c:v>20.089535534415219</c:v>
                </c:pt>
                <c:pt idx="112">
                  <c:v>20.145495243424733</c:v>
                </c:pt>
                <c:pt idx="113">
                  <c:v>20.257414661443747</c:v>
                </c:pt>
                <c:pt idx="114">
                  <c:v>20.369334079462789</c:v>
                </c:pt>
                <c:pt idx="115">
                  <c:v>20.425293788472302</c:v>
                </c:pt>
                <c:pt idx="116">
                  <c:v>20.537213206491316</c:v>
                </c:pt>
                <c:pt idx="117">
                  <c:v>20.649132624510358</c:v>
                </c:pt>
                <c:pt idx="118">
                  <c:v>20.761052042529386</c:v>
                </c:pt>
                <c:pt idx="119">
                  <c:v>20.817011751538885</c:v>
                </c:pt>
                <c:pt idx="120">
                  <c:v>20.872971460548413</c:v>
                </c:pt>
                <c:pt idx="121">
                  <c:v>21.040850587576941</c:v>
                </c:pt>
                <c:pt idx="122">
                  <c:v>21.152770005595983</c:v>
                </c:pt>
                <c:pt idx="123">
                  <c:v>21.32064913262451</c:v>
                </c:pt>
                <c:pt idx="124">
                  <c:v>21.32064913262451</c:v>
                </c:pt>
                <c:pt idx="125">
                  <c:v>21.432568550643552</c:v>
                </c:pt>
                <c:pt idx="126">
                  <c:v>21.544487968662565</c:v>
                </c:pt>
                <c:pt idx="127">
                  <c:v>21.656407386681593</c:v>
                </c:pt>
                <c:pt idx="128">
                  <c:v>21.768326804700621</c:v>
                </c:pt>
                <c:pt idx="129">
                  <c:v>21.880246222719634</c:v>
                </c:pt>
                <c:pt idx="130">
                  <c:v>21.936205931729148</c:v>
                </c:pt>
                <c:pt idx="131">
                  <c:v>22.048125349748176</c:v>
                </c:pt>
                <c:pt idx="132">
                  <c:v>22.160044767767204</c:v>
                </c:pt>
                <c:pt idx="133">
                  <c:v>22.271964185786246</c:v>
                </c:pt>
                <c:pt idx="134">
                  <c:v>22.439843312814773</c:v>
                </c:pt>
                <c:pt idx="135">
                  <c:v>22.607722439843315</c:v>
                </c:pt>
                <c:pt idx="136">
                  <c:v>22.663682148852828</c:v>
                </c:pt>
                <c:pt idx="137">
                  <c:v>22.83156127588137</c:v>
                </c:pt>
                <c:pt idx="138">
                  <c:v>22.887520984890884</c:v>
                </c:pt>
                <c:pt idx="139">
                  <c:v>22.999440402909897</c:v>
                </c:pt>
                <c:pt idx="140">
                  <c:v>23.111359820928939</c:v>
                </c:pt>
                <c:pt idx="141">
                  <c:v>23.223279238947953</c:v>
                </c:pt>
                <c:pt idx="142">
                  <c:v>23.391158365976509</c:v>
                </c:pt>
                <c:pt idx="143">
                  <c:v>23.503077783995536</c:v>
                </c:pt>
                <c:pt idx="144">
                  <c:v>23.559037493005036</c:v>
                </c:pt>
                <c:pt idx="145">
                  <c:v>23.614997202014536</c:v>
                </c:pt>
                <c:pt idx="146">
                  <c:v>23.614997202014536</c:v>
                </c:pt>
                <c:pt idx="147">
                  <c:v>23.726916620033577</c:v>
                </c:pt>
                <c:pt idx="148">
                  <c:v>23.838836038052605</c:v>
                </c:pt>
                <c:pt idx="149">
                  <c:v>23.950755456071633</c:v>
                </c:pt>
                <c:pt idx="150">
                  <c:v>24.006715165081147</c:v>
                </c:pt>
                <c:pt idx="151">
                  <c:v>24.062674874090661</c:v>
                </c:pt>
                <c:pt idx="152">
                  <c:v>24.062674874090661</c:v>
                </c:pt>
                <c:pt idx="153">
                  <c:v>24.11863458310016</c:v>
                </c:pt>
                <c:pt idx="154">
                  <c:v>24.174594292109674</c:v>
                </c:pt>
                <c:pt idx="155">
                  <c:v>24.230554001119202</c:v>
                </c:pt>
                <c:pt idx="156">
                  <c:v>24.342473419138216</c:v>
                </c:pt>
                <c:pt idx="157">
                  <c:v>24.39843312814773</c:v>
                </c:pt>
                <c:pt idx="158">
                  <c:v>24.39843312814773</c:v>
                </c:pt>
                <c:pt idx="159">
                  <c:v>24.510352546166772</c:v>
                </c:pt>
                <c:pt idx="160">
                  <c:v>24.566312255176285</c:v>
                </c:pt>
                <c:pt idx="161">
                  <c:v>24.622271964185785</c:v>
                </c:pt>
                <c:pt idx="162">
                  <c:v>24.678231673195299</c:v>
                </c:pt>
                <c:pt idx="163">
                  <c:v>24.790151091214327</c:v>
                </c:pt>
                <c:pt idx="164">
                  <c:v>24.790151091214327</c:v>
                </c:pt>
                <c:pt idx="165">
                  <c:v>24.84611080022384</c:v>
                </c:pt>
                <c:pt idx="166">
                  <c:v>24.84611080022384</c:v>
                </c:pt>
                <c:pt idx="167">
                  <c:v>24.958030218242868</c:v>
                </c:pt>
                <c:pt idx="168">
                  <c:v>24.958030218242868</c:v>
                </c:pt>
                <c:pt idx="169">
                  <c:v>25.069949636261896</c:v>
                </c:pt>
                <c:pt idx="170">
                  <c:v>25.181869054280909</c:v>
                </c:pt>
                <c:pt idx="171">
                  <c:v>25.237828763290423</c:v>
                </c:pt>
                <c:pt idx="172">
                  <c:v>25.349748181309465</c:v>
                </c:pt>
                <c:pt idx="173">
                  <c:v>25.405707890318979</c:v>
                </c:pt>
                <c:pt idx="174">
                  <c:v>25.461667599328479</c:v>
                </c:pt>
                <c:pt idx="175">
                  <c:v>25.573587017347506</c:v>
                </c:pt>
                <c:pt idx="176">
                  <c:v>25.741466144376048</c:v>
                </c:pt>
                <c:pt idx="177">
                  <c:v>25.90934527140459</c:v>
                </c:pt>
                <c:pt idx="178">
                  <c:v>26.021264689423617</c:v>
                </c:pt>
                <c:pt idx="179">
                  <c:v>26.133184107442645</c:v>
                </c:pt>
                <c:pt idx="180">
                  <c:v>26.245103525461673</c:v>
                </c:pt>
                <c:pt idx="181">
                  <c:v>26.4129826524902</c:v>
                </c:pt>
                <c:pt idx="182">
                  <c:v>26.636821488528255</c:v>
                </c:pt>
                <c:pt idx="183">
                  <c:v>26.804700615556811</c:v>
                </c:pt>
                <c:pt idx="184">
                  <c:v>27.14045886961388</c:v>
                </c:pt>
                <c:pt idx="185">
                  <c:v>27.420257414661435</c:v>
                </c:pt>
                <c:pt idx="186">
                  <c:v>27.700055959709019</c:v>
                </c:pt>
                <c:pt idx="187">
                  <c:v>28.091773922775602</c:v>
                </c:pt>
                <c:pt idx="188">
                  <c:v>28.371572467823171</c:v>
                </c:pt>
                <c:pt idx="189">
                  <c:v>28.65137101287074</c:v>
                </c:pt>
                <c:pt idx="190">
                  <c:v>28.875209848908796</c:v>
                </c:pt>
                <c:pt idx="191">
                  <c:v>29.099048684946837</c:v>
                </c:pt>
                <c:pt idx="192">
                  <c:v>29.266927811975378</c:v>
                </c:pt>
                <c:pt idx="193">
                  <c:v>29.546726357022948</c:v>
                </c:pt>
                <c:pt idx="194">
                  <c:v>29.658645775041975</c:v>
                </c:pt>
                <c:pt idx="195">
                  <c:v>29.826524902070503</c:v>
                </c:pt>
                <c:pt idx="196">
                  <c:v>29.938444320089545</c:v>
                </c:pt>
                <c:pt idx="197">
                  <c:v>30.106323447118072</c:v>
                </c:pt>
                <c:pt idx="198">
                  <c:v>30.2182428651371</c:v>
                </c:pt>
                <c:pt idx="199">
                  <c:v>30.330162283156128</c:v>
                </c:pt>
                <c:pt idx="200">
                  <c:v>30.498041410184669</c:v>
                </c:pt>
                <c:pt idx="201">
                  <c:v>30.665920537213211</c:v>
                </c:pt>
                <c:pt idx="202">
                  <c:v>30.889759373251252</c:v>
                </c:pt>
                <c:pt idx="203">
                  <c:v>31.057638500279808</c:v>
                </c:pt>
                <c:pt idx="204">
                  <c:v>31.281477336317849</c:v>
                </c:pt>
                <c:pt idx="205">
                  <c:v>31.44935646334639</c:v>
                </c:pt>
                <c:pt idx="206">
                  <c:v>31.617235590374932</c:v>
                </c:pt>
                <c:pt idx="207">
                  <c:v>31.72915500839396</c:v>
                </c:pt>
                <c:pt idx="208">
                  <c:v>31.897034135422501</c:v>
                </c:pt>
                <c:pt idx="209">
                  <c:v>32.008953553441515</c:v>
                </c:pt>
                <c:pt idx="210">
                  <c:v>32.23279238947957</c:v>
                </c:pt>
                <c:pt idx="211">
                  <c:v>32.400671516508112</c:v>
                </c:pt>
                <c:pt idx="212">
                  <c:v>32.568550643536653</c:v>
                </c:pt>
                <c:pt idx="213">
                  <c:v>32.736429770565195</c:v>
                </c:pt>
                <c:pt idx="214">
                  <c:v>32.848349188584223</c:v>
                </c:pt>
                <c:pt idx="215">
                  <c:v>32.96026860660325</c:v>
                </c:pt>
                <c:pt idx="216">
                  <c:v>33.184107442641292</c:v>
                </c:pt>
                <c:pt idx="217">
                  <c:v>33.407946278679361</c:v>
                </c:pt>
                <c:pt idx="218">
                  <c:v>33.575825405707889</c:v>
                </c:pt>
                <c:pt idx="219">
                  <c:v>33.74370453273643</c:v>
                </c:pt>
                <c:pt idx="220">
                  <c:v>33.911583659764972</c:v>
                </c:pt>
                <c:pt idx="221">
                  <c:v>34.135422495803027</c:v>
                </c:pt>
                <c:pt idx="222">
                  <c:v>34.247341913822055</c:v>
                </c:pt>
                <c:pt idx="223">
                  <c:v>34.415221040850582</c:v>
                </c:pt>
                <c:pt idx="224">
                  <c:v>34.583100167879138</c:v>
                </c:pt>
                <c:pt idx="225">
                  <c:v>34.695019585898152</c:v>
                </c:pt>
                <c:pt idx="226">
                  <c:v>34.862898712926693</c:v>
                </c:pt>
                <c:pt idx="227">
                  <c:v>35.086737548964749</c:v>
                </c:pt>
                <c:pt idx="228">
                  <c:v>35.310576385002804</c:v>
                </c:pt>
                <c:pt idx="229">
                  <c:v>35.478455512031346</c:v>
                </c:pt>
                <c:pt idx="230">
                  <c:v>35.702294348069387</c:v>
                </c:pt>
                <c:pt idx="231">
                  <c:v>35.982092893116956</c:v>
                </c:pt>
                <c:pt idx="232">
                  <c:v>36.205931729155019</c:v>
                </c:pt>
                <c:pt idx="233">
                  <c:v>36.485730274202574</c:v>
                </c:pt>
                <c:pt idx="234">
                  <c:v>36.709569110240622</c:v>
                </c:pt>
                <c:pt idx="235">
                  <c:v>36.989367655288198</c:v>
                </c:pt>
                <c:pt idx="236">
                  <c:v>37.325125909345282</c:v>
                </c:pt>
                <c:pt idx="237">
                  <c:v>37.604924454392844</c:v>
                </c:pt>
                <c:pt idx="238">
                  <c:v>37.828763290430892</c:v>
                </c:pt>
                <c:pt idx="239">
                  <c:v>38.052602126468948</c:v>
                </c:pt>
                <c:pt idx="240">
                  <c:v>38.33240067151651</c:v>
                </c:pt>
                <c:pt idx="241">
                  <c:v>38.724118634583107</c:v>
                </c:pt>
                <c:pt idx="242">
                  <c:v>39.059876888640176</c:v>
                </c:pt>
                <c:pt idx="243">
                  <c:v>39.339675433687745</c:v>
                </c:pt>
                <c:pt idx="244">
                  <c:v>39.619473978735307</c:v>
                </c:pt>
                <c:pt idx="245">
                  <c:v>39.899272523782884</c:v>
                </c:pt>
                <c:pt idx="246">
                  <c:v>40.235030777839967</c:v>
                </c:pt>
                <c:pt idx="247">
                  <c:v>40.682708449916063</c:v>
                </c:pt>
                <c:pt idx="248">
                  <c:v>41.018466703973147</c:v>
                </c:pt>
                <c:pt idx="249">
                  <c:v>41.410184667039729</c:v>
                </c:pt>
                <c:pt idx="250">
                  <c:v>41.85786233911584</c:v>
                </c:pt>
                <c:pt idx="251">
                  <c:v>42.361499720201458</c:v>
                </c:pt>
                <c:pt idx="252">
                  <c:v>42.921096810296589</c:v>
                </c:pt>
                <c:pt idx="253">
                  <c:v>43.368774482372693</c:v>
                </c:pt>
                <c:pt idx="254">
                  <c:v>43.984331281477338</c:v>
                </c:pt>
                <c:pt idx="255">
                  <c:v>44.487968662562963</c:v>
                </c:pt>
                <c:pt idx="256">
                  <c:v>44.823726916620032</c:v>
                </c:pt>
                <c:pt idx="257">
                  <c:v>45.32736429770565</c:v>
                </c:pt>
                <c:pt idx="258">
                  <c:v>45.215444879686629</c:v>
                </c:pt>
                <c:pt idx="259">
                  <c:v>45.495243424734191</c:v>
                </c:pt>
                <c:pt idx="260">
                  <c:v>45.942921096810295</c:v>
                </c:pt>
                <c:pt idx="261">
                  <c:v>46.44655847789592</c:v>
                </c:pt>
                <c:pt idx="262">
                  <c:v>46.950195858981537</c:v>
                </c:pt>
                <c:pt idx="263">
                  <c:v>47.509792949076669</c:v>
                </c:pt>
                <c:pt idx="264">
                  <c:v>47.789591494124238</c:v>
                </c:pt>
                <c:pt idx="265">
                  <c:v>48.0693900391718</c:v>
                </c:pt>
                <c:pt idx="266">
                  <c:v>48.34918858421937</c:v>
                </c:pt>
                <c:pt idx="267">
                  <c:v>48.684946838276446</c:v>
                </c:pt>
                <c:pt idx="268">
                  <c:v>49.132624510352549</c:v>
                </c:pt>
                <c:pt idx="269">
                  <c:v>49.580302182428646</c:v>
                </c:pt>
                <c:pt idx="270">
                  <c:v>50.251818690542812</c:v>
                </c:pt>
                <c:pt idx="271">
                  <c:v>50.75545607162843</c:v>
                </c:pt>
                <c:pt idx="272">
                  <c:v>51.371012870733075</c:v>
                </c:pt>
                <c:pt idx="273">
                  <c:v>51.53889199776161</c:v>
                </c:pt>
                <c:pt idx="274">
                  <c:v>51.762730833799672</c:v>
                </c:pt>
                <c:pt idx="275">
                  <c:v>52.042529378847235</c:v>
                </c:pt>
                <c:pt idx="276">
                  <c:v>52.210408505875769</c:v>
                </c:pt>
                <c:pt idx="277">
                  <c:v>52.490207050923338</c:v>
                </c:pt>
                <c:pt idx="278">
                  <c:v>52.546166759932852</c:v>
                </c:pt>
                <c:pt idx="279">
                  <c:v>52.993844432008956</c:v>
                </c:pt>
                <c:pt idx="280">
                  <c:v>53.385562395075553</c:v>
                </c:pt>
                <c:pt idx="281">
                  <c:v>53.777280358142136</c:v>
                </c:pt>
                <c:pt idx="282">
                  <c:v>54.113038612199219</c:v>
                </c:pt>
                <c:pt idx="283">
                  <c:v>54.336877448237267</c:v>
                </c:pt>
                <c:pt idx="284">
                  <c:v>54.392837157246788</c:v>
                </c:pt>
                <c:pt idx="285">
                  <c:v>54.560716284275323</c:v>
                </c:pt>
                <c:pt idx="286">
                  <c:v>54.448796866256302</c:v>
                </c:pt>
                <c:pt idx="287">
                  <c:v>54.392837157246788</c:v>
                </c:pt>
                <c:pt idx="288">
                  <c:v>54.616675993284836</c:v>
                </c:pt>
                <c:pt idx="289">
                  <c:v>54.840514829322892</c:v>
                </c:pt>
                <c:pt idx="290">
                  <c:v>54.95243424734192</c:v>
                </c:pt>
                <c:pt idx="291">
                  <c:v>55.176273083379968</c:v>
                </c:pt>
                <c:pt idx="292">
                  <c:v>55.344152210408517</c:v>
                </c:pt>
                <c:pt idx="293">
                  <c:v>55.512031337437051</c:v>
                </c:pt>
                <c:pt idx="294">
                  <c:v>55.84778959149412</c:v>
                </c:pt>
                <c:pt idx="295">
                  <c:v>56.015668718522669</c:v>
                </c:pt>
                <c:pt idx="296">
                  <c:v>56.239507554560717</c:v>
                </c:pt>
                <c:pt idx="297">
                  <c:v>56.519306099608286</c:v>
                </c:pt>
                <c:pt idx="298">
                  <c:v>56.799104644655849</c:v>
                </c:pt>
                <c:pt idx="299">
                  <c:v>56.96698377168439</c:v>
                </c:pt>
                <c:pt idx="300">
                  <c:v>57.35870173475098</c:v>
                </c:pt>
                <c:pt idx="301">
                  <c:v>57.526580861779522</c:v>
                </c:pt>
                <c:pt idx="302">
                  <c:v>57.750419697817577</c:v>
                </c:pt>
                <c:pt idx="303">
                  <c:v>58.030218242865146</c:v>
                </c:pt>
                <c:pt idx="304">
                  <c:v>58.254057078903188</c:v>
                </c:pt>
                <c:pt idx="305">
                  <c:v>58.47789591494125</c:v>
                </c:pt>
                <c:pt idx="306">
                  <c:v>58.757694459988812</c:v>
                </c:pt>
                <c:pt idx="307">
                  <c:v>58.981533296026868</c:v>
                </c:pt>
                <c:pt idx="308">
                  <c:v>59.205372132064916</c:v>
                </c:pt>
                <c:pt idx="309">
                  <c:v>59.429210968102971</c:v>
                </c:pt>
                <c:pt idx="310">
                  <c:v>59.541130386121999</c:v>
                </c:pt>
                <c:pt idx="311">
                  <c:v>59.764969222160047</c:v>
                </c:pt>
                <c:pt idx="312">
                  <c:v>59.932848349188582</c:v>
                </c:pt>
                <c:pt idx="313">
                  <c:v>60.268606603245665</c:v>
                </c:pt>
                <c:pt idx="314">
                  <c:v>60.492445439283713</c:v>
                </c:pt>
                <c:pt idx="315">
                  <c:v>60.660324566312262</c:v>
                </c:pt>
                <c:pt idx="316">
                  <c:v>60.88416340235031</c:v>
                </c:pt>
                <c:pt idx="317">
                  <c:v>61.052042529378845</c:v>
                </c:pt>
                <c:pt idx="318">
                  <c:v>61.219921656407394</c:v>
                </c:pt>
                <c:pt idx="319">
                  <c:v>61.443760492445442</c:v>
                </c:pt>
                <c:pt idx="320">
                  <c:v>61.55567991046447</c:v>
                </c:pt>
                <c:pt idx="321">
                  <c:v>61.835478455512032</c:v>
                </c:pt>
                <c:pt idx="322">
                  <c:v>62.171236709569108</c:v>
                </c:pt>
                <c:pt idx="323">
                  <c:v>62.339115836597657</c:v>
                </c:pt>
                <c:pt idx="324">
                  <c:v>62.618914381645226</c:v>
                </c:pt>
                <c:pt idx="325">
                  <c:v>62.78679350867376</c:v>
                </c:pt>
                <c:pt idx="326">
                  <c:v>62.954672635702295</c:v>
                </c:pt>
                <c:pt idx="327">
                  <c:v>63.178511471740357</c:v>
                </c:pt>
                <c:pt idx="328">
                  <c:v>63.290430889759378</c:v>
                </c:pt>
                <c:pt idx="329">
                  <c:v>63.458310016787919</c:v>
                </c:pt>
                <c:pt idx="330">
                  <c:v>63.682148852825968</c:v>
                </c:pt>
                <c:pt idx="331">
                  <c:v>63.905987688864023</c:v>
                </c:pt>
                <c:pt idx="332">
                  <c:v>64.129826524902072</c:v>
                </c:pt>
                <c:pt idx="333">
                  <c:v>64.353665360940127</c:v>
                </c:pt>
                <c:pt idx="334">
                  <c:v>64.521544487968669</c:v>
                </c:pt>
                <c:pt idx="335">
                  <c:v>64.689423614997196</c:v>
                </c:pt>
                <c:pt idx="336">
                  <c:v>64.857302742025752</c:v>
                </c:pt>
                <c:pt idx="337">
                  <c:v>65.025181869054279</c:v>
                </c:pt>
                <c:pt idx="338">
                  <c:v>65.249020705092335</c:v>
                </c:pt>
                <c:pt idx="339">
                  <c:v>65.640738668158917</c:v>
                </c:pt>
                <c:pt idx="340">
                  <c:v>65.864577504196987</c:v>
                </c:pt>
                <c:pt idx="341">
                  <c:v>65.976496922216</c:v>
                </c:pt>
                <c:pt idx="342">
                  <c:v>66.200335758254056</c:v>
                </c:pt>
                <c:pt idx="343">
                  <c:v>66.424174594292111</c:v>
                </c:pt>
                <c:pt idx="344">
                  <c:v>66.703973139339681</c:v>
                </c:pt>
                <c:pt idx="345">
                  <c:v>67.03973139339675</c:v>
                </c:pt>
                <c:pt idx="346">
                  <c:v>67.207610520425291</c:v>
                </c:pt>
                <c:pt idx="347">
                  <c:v>67.375489647453833</c:v>
                </c:pt>
                <c:pt idx="348">
                  <c:v>67.655288192501416</c:v>
                </c:pt>
                <c:pt idx="349">
                  <c:v>67.823167319529944</c:v>
                </c:pt>
                <c:pt idx="350">
                  <c:v>68.102965864577513</c:v>
                </c:pt>
                <c:pt idx="351">
                  <c:v>68.438724118634582</c:v>
                </c:pt>
                <c:pt idx="352">
                  <c:v>68.662562954672637</c:v>
                </c:pt>
                <c:pt idx="353">
                  <c:v>68.942361499720207</c:v>
                </c:pt>
                <c:pt idx="354">
                  <c:v>69.166200335758248</c:v>
                </c:pt>
                <c:pt idx="355">
                  <c:v>69.390039171796303</c:v>
                </c:pt>
                <c:pt idx="356">
                  <c:v>69.7817571348629</c:v>
                </c:pt>
                <c:pt idx="357">
                  <c:v>70.06155567991047</c:v>
                </c:pt>
                <c:pt idx="358">
                  <c:v>70.285394515948525</c:v>
                </c:pt>
                <c:pt idx="359">
                  <c:v>70.50923335198658</c:v>
                </c:pt>
                <c:pt idx="360">
                  <c:v>70.789031897034135</c:v>
                </c:pt>
                <c:pt idx="361">
                  <c:v>71.012870733072191</c:v>
                </c:pt>
                <c:pt idx="362">
                  <c:v>71.29266927811976</c:v>
                </c:pt>
                <c:pt idx="363">
                  <c:v>71.516508114157816</c:v>
                </c:pt>
                <c:pt idx="364">
                  <c:v>71.796306659205385</c:v>
                </c:pt>
                <c:pt idx="365">
                  <c:v>72.076105204252954</c:v>
                </c:pt>
                <c:pt idx="366">
                  <c:v>72.299944040290995</c:v>
                </c:pt>
                <c:pt idx="367">
                  <c:v>72.467823167319537</c:v>
                </c:pt>
                <c:pt idx="368">
                  <c:v>72.691662003357592</c:v>
                </c:pt>
                <c:pt idx="369">
                  <c:v>73.083379966424175</c:v>
                </c:pt>
                <c:pt idx="370">
                  <c:v>73.363178511471745</c:v>
                </c:pt>
                <c:pt idx="371">
                  <c:v>73.642977056519314</c:v>
                </c:pt>
                <c:pt idx="372">
                  <c:v>73.922775601566883</c:v>
                </c:pt>
                <c:pt idx="373">
                  <c:v>74.258533855623952</c:v>
                </c:pt>
                <c:pt idx="374">
                  <c:v>74.706211527700063</c:v>
                </c:pt>
                <c:pt idx="375">
                  <c:v>74.986010072747632</c:v>
                </c:pt>
                <c:pt idx="376">
                  <c:v>75.209848908785688</c:v>
                </c:pt>
                <c:pt idx="377">
                  <c:v>75.60156687185227</c:v>
                </c:pt>
                <c:pt idx="378">
                  <c:v>75.993284834918867</c:v>
                </c:pt>
                <c:pt idx="379">
                  <c:v>76.440962506994964</c:v>
                </c:pt>
                <c:pt idx="380">
                  <c:v>76.720761052042533</c:v>
                </c:pt>
                <c:pt idx="381">
                  <c:v>77.000559597090103</c:v>
                </c:pt>
                <c:pt idx="382">
                  <c:v>77.224398433128158</c:v>
                </c:pt>
                <c:pt idx="383">
                  <c:v>77.560156687185227</c:v>
                </c:pt>
                <c:pt idx="384">
                  <c:v>78.063794068270852</c:v>
                </c:pt>
                <c:pt idx="385">
                  <c:v>78.455512031337435</c:v>
                </c:pt>
                <c:pt idx="386">
                  <c:v>78.62339115836599</c:v>
                </c:pt>
                <c:pt idx="387">
                  <c:v>78.847229994404032</c:v>
                </c:pt>
                <c:pt idx="388">
                  <c:v>79.071068830442101</c:v>
                </c:pt>
                <c:pt idx="389">
                  <c:v>79.350867375489656</c:v>
                </c:pt>
                <c:pt idx="390">
                  <c:v>79.630665920537226</c:v>
                </c:pt>
                <c:pt idx="391">
                  <c:v>79.966424174594295</c:v>
                </c:pt>
                <c:pt idx="392">
                  <c:v>80.246222719641864</c:v>
                </c:pt>
                <c:pt idx="393">
                  <c:v>80.414101846670405</c:v>
                </c:pt>
                <c:pt idx="394">
                  <c:v>80.69390039171796</c:v>
                </c:pt>
                <c:pt idx="395">
                  <c:v>80.97369893676553</c:v>
                </c:pt>
                <c:pt idx="396">
                  <c:v>81.197537772803585</c:v>
                </c:pt>
                <c:pt idx="397">
                  <c:v>81.365416899832127</c:v>
                </c:pt>
                <c:pt idx="398">
                  <c:v>81.645215444879696</c:v>
                </c:pt>
                <c:pt idx="399">
                  <c:v>81.869054280917751</c:v>
                </c:pt>
                <c:pt idx="400">
                  <c:v>82.148852825965321</c:v>
                </c:pt>
                <c:pt idx="401">
                  <c:v>82.316731952993848</c:v>
                </c:pt>
                <c:pt idx="402">
                  <c:v>82.596530498041417</c:v>
                </c:pt>
                <c:pt idx="403">
                  <c:v>82.764409625069959</c:v>
                </c:pt>
                <c:pt idx="404">
                  <c:v>82.876329043088987</c:v>
                </c:pt>
                <c:pt idx="405">
                  <c:v>83.268047006155584</c:v>
                </c:pt>
                <c:pt idx="406">
                  <c:v>83.491885842193625</c:v>
                </c:pt>
                <c:pt idx="407">
                  <c:v>83.71572467823168</c:v>
                </c:pt>
                <c:pt idx="408">
                  <c:v>83.995523223279235</c:v>
                </c:pt>
                <c:pt idx="409">
                  <c:v>84.275321768326805</c:v>
                </c:pt>
                <c:pt idx="410">
                  <c:v>84.387241186345847</c:v>
                </c:pt>
                <c:pt idx="411">
                  <c:v>84.722999440402916</c:v>
                </c:pt>
                <c:pt idx="412">
                  <c:v>84.946838276440971</c:v>
                </c:pt>
                <c:pt idx="413">
                  <c:v>85.114717403469498</c:v>
                </c:pt>
                <c:pt idx="414">
                  <c:v>85.22663682148854</c:v>
                </c:pt>
                <c:pt idx="415">
                  <c:v>85.50643536653611</c:v>
                </c:pt>
                <c:pt idx="416">
                  <c:v>85.562395075545624</c:v>
                </c:pt>
                <c:pt idx="417">
                  <c:v>85.842193620593179</c:v>
                </c:pt>
                <c:pt idx="418">
                  <c:v>86.121992165640748</c:v>
                </c:pt>
                <c:pt idx="419">
                  <c:v>86.345831001678803</c:v>
                </c:pt>
                <c:pt idx="420">
                  <c:v>86.457750419697817</c:v>
                </c:pt>
                <c:pt idx="421">
                  <c:v>86.625629546726373</c:v>
                </c:pt>
                <c:pt idx="422">
                  <c:v>86.905428091773928</c:v>
                </c:pt>
                <c:pt idx="423">
                  <c:v>87.017347509792955</c:v>
                </c:pt>
                <c:pt idx="424">
                  <c:v>87.241186345831011</c:v>
                </c:pt>
                <c:pt idx="425">
                  <c:v>87.52098489087858</c:v>
                </c:pt>
                <c:pt idx="426">
                  <c:v>87.688864017907107</c:v>
                </c:pt>
                <c:pt idx="427">
                  <c:v>87.912702853945163</c:v>
                </c:pt>
                <c:pt idx="428">
                  <c:v>88.136541689983218</c:v>
                </c:pt>
                <c:pt idx="429">
                  <c:v>88.30442081701176</c:v>
                </c:pt>
                <c:pt idx="430">
                  <c:v>88.528259653049801</c:v>
                </c:pt>
                <c:pt idx="431">
                  <c:v>88.584219362059329</c:v>
                </c:pt>
                <c:pt idx="432">
                  <c:v>88.975937325125912</c:v>
                </c:pt>
                <c:pt idx="433">
                  <c:v>89.199776161163967</c:v>
                </c:pt>
                <c:pt idx="434">
                  <c:v>89.479574706211537</c:v>
                </c:pt>
                <c:pt idx="435">
                  <c:v>89.759373251259106</c:v>
                </c:pt>
                <c:pt idx="436">
                  <c:v>89.927252378287633</c:v>
                </c:pt>
                <c:pt idx="437">
                  <c:v>90.151091214325689</c:v>
                </c:pt>
                <c:pt idx="438">
                  <c:v>90.31897034135423</c:v>
                </c:pt>
                <c:pt idx="439">
                  <c:v>90.542809177392286</c:v>
                </c:pt>
                <c:pt idx="440">
                  <c:v>90.766648013430327</c:v>
                </c:pt>
                <c:pt idx="441">
                  <c:v>91.046446558477896</c:v>
                </c:pt>
                <c:pt idx="442">
                  <c:v>91.214325685506438</c:v>
                </c:pt>
                <c:pt idx="443">
                  <c:v>91.270285394515952</c:v>
                </c:pt>
                <c:pt idx="444">
                  <c:v>91.606043648573021</c:v>
                </c:pt>
                <c:pt idx="445">
                  <c:v>91.773922775601577</c:v>
                </c:pt>
                <c:pt idx="446">
                  <c:v>91.997761611639632</c:v>
                </c:pt>
                <c:pt idx="447">
                  <c:v>92.109681029658645</c:v>
                </c:pt>
                <c:pt idx="448">
                  <c:v>92.333519865696701</c:v>
                </c:pt>
                <c:pt idx="449">
                  <c:v>92.557358701734756</c:v>
                </c:pt>
                <c:pt idx="450">
                  <c:v>92.725237828763284</c:v>
                </c:pt>
                <c:pt idx="451">
                  <c:v>92.893116955791839</c:v>
                </c:pt>
                <c:pt idx="452">
                  <c:v>93.172915500839395</c:v>
                </c:pt>
                <c:pt idx="453">
                  <c:v>93.34079462786795</c:v>
                </c:pt>
                <c:pt idx="454">
                  <c:v>93.564633463905992</c:v>
                </c:pt>
                <c:pt idx="455">
                  <c:v>93.676552881925019</c:v>
                </c:pt>
                <c:pt idx="456">
                  <c:v>93.900391717963075</c:v>
                </c:pt>
                <c:pt idx="457">
                  <c:v>94.068270844991616</c:v>
                </c:pt>
                <c:pt idx="458">
                  <c:v>94.236149972020158</c:v>
                </c:pt>
                <c:pt idx="459">
                  <c:v>94.515948517067727</c:v>
                </c:pt>
                <c:pt idx="460">
                  <c:v>94.683827644096255</c:v>
                </c:pt>
                <c:pt idx="461">
                  <c:v>94.795747062115282</c:v>
                </c:pt>
                <c:pt idx="462">
                  <c:v>94.96362618914381</c:v>
                </c:pt>
                <c:pt idx="463">
                  <c:v>95.019585898153338</c:v>
                </c:pt>
                <c:pt idx="464">
                  <c:v>95.243424734191379</c:v>
                </c:pt>
                <c:pt idx="465">
                  <c:v>95.467263570229434</c:v>
                </c:pt>
                <c:pt idx="466">
                  <c:v>95.579182988248476</c:v>
                </c:pt>
                <c:pt idx="467">
                  <c:v>95.803021824286517</c:v>
                </c:pt>
                <c:pt idx="468">
                  <c:v>96.026860660324573</c:v>
                </c:pt>
                <c:pt idx="469">
                  <c:v>96.194739787353114</c:v>
                </c:pt>
                <c:pt idx="470">
                  <c:v>96.362618914381642</c:v>
                </c:pt>
                <c:pt idx="471">
                  <c:v>96.530498041410198</c:v>
                </c:pt>
                <c:pt idx="472">
                  <c:v>96.754336877448253</c:v>
                </c:pt>
                <c:pt idx="473">
                  <c:v>96.92221600447678</c:v>
                </c:pt>
                <c:pt idx="474">
                  <c:v>97.090095131505322</c:v>
                </c:pt>
                <c:pt idx="475">
                  <c:v>97.369893676552891</c:v>
                </c:pt>
                <c:pt idx="476">
                  <c:v>97.481813094571905</c:v>
                </c:pt>
                <c:pt idx="477">
                  <c:v>97.593732512590947</c:v>
                </c:pt>
                <c:pt idx="478">
                  <c:v>97.817571348629002</c:v>
                </c:pt>
                <c:pt idx="479">
                  <c:v>98.153329602686071</c:v>
                </c:pt>
                <c:pt idx="480">
                  <c:v>98.265249020705099</c:v>
                </c:pt>
                <c:pt idx="481">
                  <c:v>98.265249020705099</c:v>
                </c:pt>
                <c:pt idx="482">
                  <c:v>98.321208729714598</c:v>
                </c:pt>
                <c:pt idx="483">
                  <c:v>98.656966983771696</c:v>
                </c:pt>
                <c:pt idx="484">
                  <c:v>98.768886401790724</c:v>
                </c:pt>
                <c:pt idx="485">
                  <c:v>98.824846110800223</c:v>
                </c:pt>
                <c:pt idx="486">
                  <c:v>99.104644655847792</c:v>
                </c:pt>
                <c:pt idx="487">
                  <c:v>99.216564073866834</c:v>
                </c:pt>
                <c:pt idx="488">
                  <c:v>99.496362618914389</c:v>
                </c:pt>
                <c:pt idx="489">
                  <c:v>99.664241745942931</c:v>
                </c:pt>
                <c:pt idx="490">
                  <c:v>99.832120872971473</c:v>
                </c:pt>
                <c:pt idx="491">
                  <c:v>100</c:v>
                </c:pt>
                <c:pt idx="492">
                  <c:v>100.3357582540571</c:v>
                </c:pt>
                <c:pt idx="493">
                  <c:v>100.3917179630666</c:v>
                </c:pt>
                <c:pt idx="494">
                  <c:v>100.72747621712368</c:v>
                </c:pt>
                <c:pt idx="495">
                  <c:v>100.89535534415222</c:v>
                </c:pt>
                <c:pt idx="496">
                  <c:v>101.11919418019026</c:v>
                </c:pt>
                <c:pt idx="497">
                  <c:v>101.34303301622832</c:v>
                </c:pt>
                <c:pt idx="498">
                  <c:v>101.56687185226637</c:v>
                </c:pt>
                <c:pt idx="499">
                  <c:v>101.79071068830443</c:v>
                </c:pt>
                <c:pt idx="500">
                  <c:v>102.01454952434248</c:v>
                </c:pt>
                <c:pt idx="501">
                  <c:v>102.18242865137101</c:v>
                </c:pt>
                <c:pt idx="502">
                  <c:v>102.46222719641858</c:v>
                </c:pt>
                <c:pt idx="503">
                  <c:v>102.57414661443762</c:v>
                </c:pt>
                <c:pt idx="504">
                  <c:v>102.90990486849469</c:v>
                </c:pt>
                <c:pt idx="505">
                  <c:v>103.18970341354226</c:v>
                </c:pt>
                <c:pt idx="506">
                  <c:v>103.35758254057079</c:v>
                </c:pt>
                <c:pt idx="507">
                  <c:v>103.58142137660884</c:v>
                </c:pt>
                <c:pt idx="508">
                  <c:v>103.69334079462789</c:v>
                </c:pt>
                <c:pt idx="509">
                  <c:v>104.08505875769447</c:v>
                </c:pt>
                <c:pt idx="510">
                  <c:v>104.30889759373252</c:v>
                </c:pt>
                <c:pt idx="511">
                  <c:v>104.47677672076105</c:v>
                </c:pt>
                <c:pt idx="512">
                  <c:v>104.70061555679911</c:v>
                </c:pt>
                <c:pt idx="513">
                  <c:v>104.86849468382765</c:v>
                </c:pt>
                <c:pt idx="514">
                  <c:v>105.26021264689425</c:v>
                </c:pt>
                <c:pt idx="515">
                  <c:v>105.42809177392279</c:v>
                </c:pt>
                <c:pt idx="516">
                  <c:v>105.59597090095131</c:v>
                </c:pt>
                <c:pt idx="517">
                  <c:v>105.81980973698937</c:v>
                </c:pt>
                <c:pt idx="518">
                  <c:v>105.87576944599888</c:v>
                </c:pt>
                <c:pt idx="519">
                  <c:v>106.15556799104645</c:v>
                </c:pt>
                <c:pt idx="520">
                  <c:v>106.32344711807499</c:v>
                </c:pt>
                <c:pt idx="521">
                  <c:v>106.43536653609401</c:v>
                </c:pt>
                <c:pt idx="522">
                  <c:v>106.60324566312256</c:v>
                </c:pt>
                <c:pt idx="523">
                  <c:v>106.93900391717963</c:v>
                </c:pt>
                <c:pt idx="524">
                  <c:v>107.05092333519868</c:v>
                </c:pt>
                <c:pt idx="525">
                  <c:v>107.16284275321769</c:v>
                </c:pt>
                <c:pt idx="526">
                  <c:v>107.38668158925574</c:v>
                </c:pt>
                <c:pt idx="527">
                  <c:v>107.49860100727477</c:v>
                </c:pt>
                <c:pt idx="528">
                  <c:v>107.66648013430331</c:v>
                </c:pt>
                <c:pt idx="529">
                  <c:v>107.72243984331283</c:v>
                </c:pt>
                <c:pt idx="530">
                  <c:v>107.72243984331283</c:v>
                </c:pt>
                <c:pt idx="531">
                  <c:v>107.72243984331283</c:v>
                </c:pt>
                <c:pt idx="532">
                  <c:v>107.94627867935088</c:v>
                </c:pt>
                <c:pt idx="533">
                  <c:v>108.00223838836038</c:v>
                </c:pt>
                <c:pt idx="534">
                  <c:v>108.22607722439844</c:v>
                </c:pt>
                <c:pt idx="535">
                  <c:v>108.33799664241747</c:v>
                </c:pt>
                <c:pt idx="536">
                  <c:v>108.39395635142698</c:v>
                </c:pt>
                <c:pt idx="537">
                  <c:v>108.56183547845552</c:v>
                </c:pt>
                <c:pt idx="538">
                  <c:v>108.56183547845552</c:v>
                </c:pt>
                <c:pt idx="539">
                  <c:v>108.67375489647453</c:v>
                </c:pt>
                <c:pt idx="540">
                  <c:v>108.89759373251259</c:v>
                </c:pt>
                <c:pt idx="541">
                  <c:v>109.06547285954115</c:v>
                </c:pt>
                <c:pt idx="542">
                  <c:v>109.40123111359821</c:v>
                </c:pt>
                <c:pt idx="543">
                  <c:v>109.62506994963627</c:v>
                </c:pt>
                <c:pt idx="544">
                  <c:v>109.7929490766648</c:v>
                </c:pt>
                <c:pt idx="545">
                  <c:v>110.01678791270285</c:v>
                </c:pt>
                <c:pt idx="546">
                  <c:v>110.12870733072189</c:v>
                </c:pt>
                <c:pt idx="547">
                  <c:v>110.18466703973141</c:v>
                </c:pt>
                <c:pt idx="548">
                  <c:v>110.52042529378848</c:v>
                </c:pt>
                <c:pt idx="549">
                  <c:v>110.74426412982653</c:v>
                </c:pt>
                <c:pt idx="550">
                  <c:v>110.96810296586459</c:v>
                </c:pt>
                <c:pt idx="551">
                  <c:v>111.13598209289312</c:v>
                </c:pt>
                <c:pt idx="552">
                  <c:v>111.35982092893117</c:v>
                </c:pt>
                <c:pt idx="553">
                  <c:v>111.58365976496923</c:v>
                </c:pt>
                <c:pt idx="554">
                  <c:v>111.97537772803582</c:v>
                </c:pt>
                <c:pt idx="555">
                  <c:v>112.03133743704532</c:v>
                </c:pt>
                <c:pt idx="556">
                  <c:v>112.19921656407388</c:v>
                </c:pt>
                <c:pt idx="557">
                  <c:v>112.25517627308338</c:v>
                </c:pt>
                <c:pt idx="558">
                  <c:v>112.42305540011193</c:v>
                </c:pt>
                <c:pt idx="559">
                  <c:v>112.53497481813095</c:v>
                </c:pt>
                <c:pt idx="560">
                  <c:v>112.64689423614999</c:v>
                </c:pt>
                <c:pt idx="561">
                  <c:v>113.03861219921657</c:v>
                </c:pt>
                <c:pt idx="562">
                  <c:v>113.31841074426414</c:v>
                </c:pt>
                <c:pt idx="563">
                  <c:v>113.48628987129268</c:v>
                </c:pt>
                <c:pt idx="564">
                  <c:v>113.71012870733072</c:v>
                </c:pt>
                <c:pt idx="565">
                  <c:v>113.93396754336878</c:v>
                </c:pt>
                <c:pt idx="566">
                  <c:v>114.32568550643538</c:v>
                </c:pt>
                <c:pt idx="567">
                  <c:v>114.60548405148295</c:v>
                </c:pt>
                <c:pt idx="568">
                  <c:v>114.94124230554002</c:v>
                </c:pt>
                <c:pt idx="569">
                  <c:v>115.22104085058758</c:v>
                </c:pt>
                <c:pt idx="570">
                  <c:v>115.44487968662564</c:v>
                </c:pt>
                <c:pt idx="571">
                  <c:v>115.72467823167321</c:v>
                </c:pt>
                <c:pt idx="572">
                  <c:v>115.94851706771125</c:v>
                </c:pt>
                <c:pt idx="573">
                  <c:v>116.17235590374931</c:v>
                </c:pt>
                <c:pt idx="574">
                  <c:v>116.28427532176835</c:v>
                </c:pt>
                <c:pt idx="575">
                  <c:v>116.45215444879688</c:v>
                </c:pt>
                <c:pt idx="576">
                  <c:v>116.73195299384443</c:v>
                </c:pt>
                <c:pt idx="577">
                  <c:v>117.03133743704532</c:v>
                </c:pt>
                <c:pt idx="578">
                  <c:v>117.18970341354226</c:v>
                </c:pt>
                <c:pt idx="579">
                  <c:v>117.37381085618357</c:v>
                </c:pt>
                <c:pt idx="580">
                  <c:v>117.54784555120314</c:v>
                </c:pt>
                <c:pt idx="581">
                  <c:v>117.73475097929492</c:v>
                </c:pt>
                <c:pt idx="582">
                  <c:v>117.94795747062116</c:v>
                </c:pt>
                <c:pt idx="583">
                  <c:v>118.14157806379407</c:v>
                </c:pt>
                <c:pt idx="584">
                  <c:v>118.38500279798546</c:v>
                </c:pt>
                <c:pt idx="585">
                  <c:v>118.67767207610521</c:v>
                </c:pt>
                <c:pt idx="586">
                  <c:v>119.00391717963068</c:v>
                </c:pt>
                <c:pt idx="587">
                  <c:v>119.28819250139901</c:v>
                </c:pt>
                <c:pt idx="588">
                  <c:v>119.62562954672636</c:v>
                </c:pt>
                <c:pt idx="589">
                  <c:v>119.71964185786234</c:v>
                </c:pt>
                <c:pt idx="590">
                  <c:v>119.9888080581981</c:v>
                </c:pt>
                <c:pt idx="591">
                  <c:v>120.06715165081143</c:v>
                </c:pt>
                <c:pt idx="592">
                  <c:v>120.2775601566872</c:v>
                </c:pt>
                <c:pt idx="593">
                  <c:v>120.55064353665362</c:v>
                </c:pt>
                <c:pt idx="594">
                  <c:v>120.85338556239509</c:v>
                </c:pt>
                <c:pt idx="595">
                  <c:v>121.09289311695579</c:v>
                </c:pt>
                <c:pt idx="596">
                  <c:v>121.27196418578623</c:v>
                </c:pt>
                <c:pt idx="597">
                  <c:v>121.31393396754339</c:v>
                </c:pt>
                <c:pt idx="598">
                  <c:v>121.40290990486849</c:v>
                </c:pt>
                <c:pt idx="599">
                  <c:v>121.39059876888642</c:v>
                </c:pt>
                <c:pt idx="600">
                  <c:v>121.62618914381646</c:v>
                </c:pt>
                <c:pt idx="601">
                  <c:v>121.87576944599888</c:v>
                </c:pt>
                <c:pt idx="602">
                  <c:v>122.13374370453273</c:v>
                </c:pt>
                <c:pt idx="603">
                  <c:v>122.38724118634583</c:v>
                </c:pt>
                <c:pt idx="604">
                  <c:v>122.49804141018467</c:v>
                </c:pt>
                <c:pt idx="605">
                  <c:v>122.61443760492446</c:v>
                </c:pt>
                <c:pt idx="606">
                  <c:v>122.69893676552883</c:v>
                </c:pt>
                <c:pt idx="607">
                  <c:v>122.829322887521</c:v>
                </c:pt>
                <c:pt idx="608">
                  <c:v>123.06659205372132</c:v>
                </c:pt>
                <c:pt idx="609">
                  <c:v>123.3917179630666</c:v>
                </c:pt>
                <c:pt idx="610">
                  <c:v>123.4840514829323</c:v>
                </c:pt>
                <c:pt idx="611">
                  <c:v>123.60436485730276</c:v>
                </c:pt>
                <c:pt idx="612">
                  <c:v>123.46558477895917</c:v>
                </c:pt>
                <c:pt idx="613">
                  <c:v>123.52042529378848</c:v>
                </c:pt>
                <c:pt idx="614">
                  <c:v>123.54952434247342</c:v>
                </c:pt>
                <c:pt idx="615">
                  <c:v>123.57134862898714</c:v>
                </c:pt>
                <c:pt idx="616">
                  <c:v>123.64969222160045</c:v>
                </c:pt>
                <c:pt idx="617">
                  <c:v>123.77951874650252</c:v>
                </c:pt>
                <c:pt idx="618">
                  <c:v>123.8740906547286</c:v>
                </c:pt>
                <c:pt idx="619">
                  <c:v>123.95579182988249</c:v>
                </c:pt>
                <c:pt idx="620">
                  <c:v>124.06883044208172</c:v>
                </c:pt>
                <c:pt idx="621">
                  <c:v>124.13542249580303</c:v>
                </c:pt>
                <c:pt idx="622">
                  <c:v>124.31393396754338</c:v>
                </c:pt>
                <c:pt idx="623">
                  <c:v>124.42249580302183</c:v>
                </c:pt>
                <c:pt idx="624">
                  <c:v>124.67991046446559</c:v>
                </c:pt>
                <c:pt idx="625">
                  <c:v>124.90934527140459</c:v>
                </c:pt>
                <c:pt idx="626">
                  <c:v>125.04420817011753</c:v>
                </c:pt>
                <c:pt idx="627">
                  <c:v>125.1969781757135</c:v>
                </c:pt>
                <c:pt idx="628">
                  <c:v>125.44767767207611</c:v>
                </c:pt>
                <c:pt idx="629">
                  <c:v>125.73978735310578</c:v>
                </c:pt>
                <c:pt idx="630">
                  <c:v>126.03133743704532</c:v>
                </c:pt>
                <c:pt idx="631">
                  <c:v>126.3917179630666</c:v>
                </c:pt>
                <c:pt idx="632">
                  <c:v>126.53497481813095</c:v>
                </c:pt>
                <c:pt idx="633">
                  <c:v>126.75209848908787</c:v>
                </c:pt>
                <c:pt idx="634">
                  <c:v>126.97202014549525</c:v>
                </c:pt>
                <c:pt idx="635">
                  <c:v>127.25517627308338</c:v>
                </c:pt>
                <c:pt idx="636">
                  <c:v>127.51930609960829</c:v>
                </c:pt>
                <c:pt idx="637">
                  <c:v>127.60716284275321</c:v>
                </c:pt>
                <c:pt idx="638">
                  <c:v>127.85562395075547</c:v>
                </c:pt>
                <c:pt idx="639">
                  <c:v>128.0945719082261</c:v>
                </c:pt>
                <c:pt idx="640">
                  <c:v>128.27308337996641</c:v>
                </c:pt>
                <c:pt idx="641">
                  <c:v>128.49636261891439</c:v>
                </c:pt>
                <c:pt idx="642">
                  <c:v>128.6905428091774</c:v>
                </c:pt>
                <c:pt idx="643">
                  <c:v>128.83771684387241</c:v>
                </c:pt>
                <c:pt idx="644">
                  <c:v>129.07610520425294</c:v>
                </c:pt>
                <c:pt idx="645">
                  <c:v>129.28035814213766</c:v>
                </c:pt>
                <c:pt idx="646">
                  <c:v>129.45159485170677</c:v>
                </c:pt>
                <c:pt idx="647">
                  <c:v>129.67263570229434</c:v>
                </c:pt>
                <c:pt idx="648">
                  <c:v>129.95467263570231</c:v>
                </c:pt>
                <c:pt idx="649">
                  <c:v>130.14493564633463</c:v>
                </c:pt>
                <c:pt idx="650">
                  <c:v>130.27084499160605</c:v>
                </c:pt>
                <c:pt idx="651">
                  <c:v>130.29210968102967</c:v>
                </c:pt>
                <c:pt idx="652">
                  <c:v>130.38388360380526</c:v>
                </c:pt>
                <c:pt idx="653">
                  <c:v>130.58198097369893</c:v>
                </c:pt>
                <c:pt idx="654">
                  <c:v>130.87856743144937</c:v>
                </c:pt>
                <c:pt idx="655">
                  <c:v>131.13374370453275</c:v>
                </c:pt>
                <c:pt idx="656">
                  <c:v>131.33743704532736</c:v>
                </c:pt>
                <c:pt idx="657">
                  <c:v>131.4611080022384</c:v>
                </c:pt>
                <c:pt idx="658">
                  <c:v>131.70621152770008</c:v>
                </c:pt>
                <c:pt idx="659">
                  <c:v>131.9300503637381</c:v>
                </c:pt>
                <c:pt idx="660">
                  <c:v>132.04308897593734</c:v>
                </c:pt>
                <c:pt idx="661">
                  <c:v>132.16843872411863</c:v>
                </c:pt>
                <c:pt idx="662">
                  <c:v>132.41466144376051</c:v>
                </c:pt>
                <c:pt idx="663">
                  <c:v>132.66480134303302</c:v>
                </c:pt>
                <c:pt idx="664">
                  <c:v>132.9205372132065</c:v>
                </c:pt>
                <c:pt idx="665">
                  <c:v>133.09289311695579</c:v>
                </c:pt>
                <c:pt idx="666">
                  <c:v>133.29322887520985</c:v>
                </c:pt>
                <c:pt idx="667">
                  <c:v>133.41074426412985</c:v>
                </c:pt>
                <c:pt idx="668">
                  <c:v>133.62395075545609</c:v>
                </c:pt>
                <c:pt idx="669">
                  <c:v>133.8505875769446</c:v>
                </c:pt>
                <c:pt idx="670">
                  <c:v>134</c:v>
                </c:pt>
                <c:pt idx="671">
                  <c:v>134.070509233352</c:v>
                </c:pt>
                <c:pt idx="672">
                  <c:v>134.1975377728036</c:v>
                </c:pt>
                <c:pt idx="673">
                  <c:v>134.39955232232793</c:v>
                </c:pt>
                <c:pt idx="674">
                  <c:v>134.72579742585339</c:v>
                </c:pt>
                <c:pt idx="675">
                  <c:v>135.05651930609963</c:v>
                </c:pt>
                <c:pt idx="676">
                  <c:v>135.24790151091213</c:v>
                </c:pt>
                <c:pt idx="677">
                  <c:v>135.45831001678792</c:v>
                </c:pt>
                <c:pt idx="678">
                  <c:v>135.73866815892558</c:v>
                </c:pt>
                <c:pt idx="679">
                  <c:v>135.87968662562957</c:v>
                </c:pt>
                <c:pt idx="680">
                  <c:v>136.15892557358703</c:v>
                </c:pt>
                <c:pt idx="681">
                  <c:v>136.41186345831002</c:v>
                </c:pt>
                <c:pt idx="682">
                  <c:v>136.67655288192503</c:v>
                </c:pt>
                <c:pt idx="683">
                  <c:v>136.84778959149412</c:v>
                </c:pt>
                <c:pt idx="684">
                  <c:v>137.07610520425294</c:v>
                </c:pt>
                <c:pt idx="685">
                  <c:v>137.38668158925574</c:v>
                </c:pt>
                <c:pt idx="686">
                  <c:v>137.61219921656408</c:v>
                </c:pt>
                <c:pt idx="687">
                  <c:v>137.96922216004475</c:v>
                </c:pt>
                <c:pt idx="688">
                  <c:v>138.29714605484054</c:v>
                </c:pt>
                <c:pt idx="689">
                  <c:v>138.52266368214885</c:v>
                </c:pt>
                <c:pt idx="690">
                  <c:v>138.68438724118636</c:v>
                </c:pt>
                <c:pt idx="691">
                  <c:v>139.01678791270285</c:v>
                </c:pt>
                <c:pt idx="692">
                  <c:v>139.25125909345275</c:v>
                </c:pt>
                <c:pt idx="693">
                  <c:v>139.41913822048127</c:v>
                </c:pt>
                <c:pt idx="694">
                  <c:v>139.60884163402352</c:v>
                </c:pt>
                <c:pt idx="695">
                  <c:v>139.85450475657527</c:v>
                </c:pt>
                <c:pt idx="696">
                  <c:v>140.15780637940682</c:v>
                </c:pt>
                <c:pt idx="697">
                  <c:v>140.40458869613877</c:v>
                </c:pt>
                <c:pt idx="698">
                  <c:v>140.36709569110241</c:v>
                </c:pt>
                <c:pt idx="699">
                  <c:v>140.59988808058199</c:v>
                </c:pt>
                <c:pt idx="700">
                  <c:v>140.73195299384443</c:v>
                </c:pt>
                <c:pt idx="701">
                  <c:v>140.91885842193622</c:v>
                </c:pt>
                <c:pt idx="702">
                  <c:v>141.04476776720762</c:v>
                </c:pt>
                <c:pt idx="703">
                  <c:v>141.35254616675994</c:v>
                </c:pt>
                <c:pt idx="704">
                  <c:v>141.59988808058199</c:v>
                </c:pt>
                <c:pt idx="705">
                  <c:v>141.87744823726916</c:v>
                </c:pt>
                <c:pt idx="706">
                  <c:v>141.99440402909906</c:v>
                </c:pt>
                <c:pt idx="707">
                  <c:v>142.3100167879127</c:v>
                </c:pt>
                <c:pt idx="708">
                  <c:v>142.70117515388921</c:v>
                </c:pt>
                <c:pt idx="709">
                  <c:v>142.96138780078346</c:v>
                </c:pt>
                <c:pt idx="710">
                  <c:v>143.32232792389482</c:v>
                </c:pt>
                <c:pt idx="711">
                  <c:v>143.62395075545609</c:v>
                </c:pt>
                <c:pt idx="712">
                  <c:v>143.90430889759372</c:v>
                </c:pt>
                <c:pt idx="713">
                  <c:v>144.11527700055962</c:v>
                </c:pt>
                <c:pt idx="714">
                  <c:v>144.33687744823729</c:v>
                </c:pt>
                <c:pt idx="715">
                  <c:v>144.42081701175152</c:v>
                </c:pt>
                <c:pt idx="716">
                  <c:v>144.67487409065473</c:v>
                </c:pt>
                <c:pt idx="717">
                  <c:v>144.929490766648</c:v>
                </c:pt>
                <c:pt idx="718">
                  <c:v>145.16787912702856</c:v>
                </c:pt>
                <c:pt idx="719">
                  <c:v>145.42417459429211</c:v>
                </c:pt>
                <c:pt idx="720">
                  <c:v>145.72971460548405</c:v>
                </c:pt>
                <c:pt idx="721">
                  <c:v>145.89927252378288</c:v>
                </c:pt>
                <c:pt idx="722">
                  <c:v>146.24454392837157</c:v>
                </c:pt>
                <c:pt idx="723">
                  <c:v>146.64241745942923</c:v>
                </c:pt>
                <c:pt idx="724">
                  <c:v>146.82932288752102</c:v>
                </c:pt>
                <c:pt idx="725">
                  <c:v>147.23950755456073</c:v>
                </c:pt>
                <c:pt idx="726">
                  <c:v>147.51874650251818</c:v>
                </c:pt>
                <c:pt idx="727">
                  <c:v>147.8181309457191</c:v>
                </c:pt>
                <c:pt idx="728">
                  <c:v>148.0710688304421</c:v>
                </c:pt>
                <c:pt idx="729">
                  <c:v>148.30777839955232</c:v>
                </c:pt>
                <c:pt idx="730">
                  <c:v>148.53217683268048</c:v>
                </c:pt>
                <c:pt idx="731">
                  <c:v>148.6575265808618</c:v>
                </c:pt>
                <c:pt idx="732">
                  <c:v>149.02406267487407</c:v>
                </c:pt>
                <c:pt idx="733">
                  <c:v>149.3430330162283</c:v>
                </c:pt>
                <c:pt idx="734">
                  <c:v>149.31169557918298</c:v>
                </c:pt>
                <c:pt idx="735">
                  <c:v>148.7610520425294</c:v>
                </c:pt>
                <c:pt idx="736">
                  <c:v>148.64969222160045</c:v>
                </c:pt>
                <c:pt idx="737">
                  <c:v>149.01063234471181</c:v>
                </c:pt>
                <c:pt idx="738">
                  <c:v>149.8164521544488</c:v>
                </c:pt>
                <c:pt idx="739">
                  <c:v>150.33799664241747</c:v>
                </c:pt>
                <c:pt idx="740">
                  <c:v>150.61835478455512</c:v>
                </c:pt>
                <c:pt idx="741">
                  <c:v>150.72747621712369</c:v>
                </c:pt>
                <c:pt idx="742">
                  <c:v>150.98992725237832</c:v>
                </c:pt>
                <c:pt idx="743">
                  <c:v>151.05763850027981</c:v>
                </c:pt>
                <c:pt idx="744">
                  <c:v>151.10520425293788</c:v>
                </c:pt>
                <c:pt idx="745">
                  <c:v>151.25853385562394</c:v>
                </c:pt>
                <c:pt idx="746">
                  <c:v>151.770565193061</c:v>
                </c:pt>
                <c:pt idx="747">
                  <c:v>153.16172355903751</c:v>
                </c:pt>
                <c:pt idx="748">
                  <c:v>154.29099048684949</c:v>
                </c:pt>
                <c:pt idx="749">
                  <c:v>155.64633463905989</c:v>
                </c:pt>
                <c:pt idx="750">
                  <c:v>156.15780637940682</c:v>
                </c:pt>
                <c:pt idx="751">
                  <c:v>156.31673195299388</c:v>
                </c:pt>
                <c:pt idx="752">
                  <c:v>156.69669837716845</c:v>
                </c:pt>
                <c:pt idx="753">
                  <c:v>157.63570229434808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F1-8A43-83E7-03186810B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622040"/>
        <c:axId val="716620400"/>
      </c:lineChart>
      <c:dateAx>
        <c:axId val="716622040"/>
        <c:scaling>
          <c:orientation val="minMax"/>
          <c:min val="36526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0400"/>
        <c:crosses val="autoZero"/>
        <c:auto val="0"/>
        <c:lblOffset val="100"/>
        <c:baseTimeUnit val="months"/>
      </c:dateAx>
      <c:valAx>
        <c:axId val="716620400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20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1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38101</xdr:colOff>
      <xdr:row>0</xdr:row>
      <xdr:rowOff>142876</xdr:rowOff>
    </xdr:from>
    <xdr:to>
      <xdr:col>18</xdr:col>
      <xdr:colOff>733425</xdr:colOff>
      <xdr:row>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484908</xdr:colOff>
      <xdr:row>735</xdr:row>
      <xdr:rowOff>46181</xdr:rowOff>
    </xdr:from>
    <xdr:to>
      <xdr:col>15</xdr:col>
      <xdr:colOff>333085</xdr:colOff>
      <xdr:row>758</xdr:row>
      <xdr:rowOff>55707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290512</xdr:colOff>
      <xdr:row>718</xdr:row>
      <xdr:rowOff>44449</xdr:rowOff>
    </xdr:from>
    <xdr:to>
      <xdr:col>15</xdr:col>
      <xdr:colOff>357187</xdr:colOff>
      <xdr:row>737</xdr:row>
      <xdr:rowOff>163512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290513</xdr:colOff>
      <xdr:row>737</xdr:row>
      <xdr:rowOff>187324</xdr:rowOff>
    </xdr:from>
    <xdr:to>
      <xdr:col>15</xdr:col>
      <xdr:colOff>376237</xdr:colOff>
      <xdr:row>758</xdr:row>
      <xdr:rowOff>11113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436561</xdr:colOff>
      <xdr:row>722</xdr:row>
      <xdr:rowOff>142874</xdr:rowOff>
    </xdr:from>
    <xdr:to>
      <xdr:col>15</xdr:col>
      <xdr:colOff>688974</xdr:colOff>
      <xdr:row>740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439738</xdr:colOff>
      <xdr:row>741</xdr:row>
      <xdr:rowOff>14288</xdr:rowOff>
    </xdr:from>
    <xdr:to>
      <xdr:col>15</xdr:col>
      <xdr:colOff>692151</xdr:colOff>
      <xdr:row>758</xdr:row>
      <xdr:rowOff>42863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5345679103" displayName="Table5345679103" ref="A4:D758" totalsRowShown="0" headerRowDxfId="27" dataDxfId="25" headerRowBorderDxfId="26">
  <autoFilter ref="A4:D758" xr:uid="{00000000-0009-0000-0100-000001000000}"/>
  <tableColumns count="4">
    <tableColumn id="1" xr3:uid="{00000000-0010-0000-0000-000001000000}" name="Date" dataDxfId="24"/>
    <tableColumn id="2" xr3:uid="{00000000-0010-0000-0000-000002000000}" name="Value" dataDxfId="23">
      <calculatedColumnFormula>VLOOKUP(Table5345679103[[#This Row],[Date]],Database!A:E,MATCH($A$1,Database!$A$1:$E$1,),)</calculatedColumnFormula>
    </tableColumn>
    <tableColumn id="5" xr3:uid="{00000000-0010-0000-0000-000005000000}" name="PCE Core MoM" dataDxfId="22">
      <calculatedColumnFormula>(B5-B4)/B4</calculatedColumnFormula>
    </tableColumn>
    <tableColumn id="3" xr3:uid="{00000000-0010-0000-0000-000003000000}" name="PCE Core YoY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34567910" displayName="Table534567910" ref="A4:F758" totalsRowShown="0" headerRowDxfId="20" dataDxfId="18" headerRowBorderDxfId="19">
  <autoFilter ref="A4:F758" xr:uid="{00000000-0009-0000-0100-000002000000}"/>
  <tableColumns count="6">
    <tableColumn id="1" xr3:uid="{00000000-0010-0000-0100-000001000000}" name="Date" dataDxfId="17"/>
    <tableColumn id="2" xr3:uid="{00000000-0010-0000-0100-000002000000}" name="Value" dataDxfId="16">
      <calculatedColumnFormula>VLOOKUP(Table534567910[[#This Row],[Date]],Database!A:E,MATCH($A$1,Database!$A$1:$E$1,),)</calculatedColumnFormula>
    </tableColumn>
    <tableColumn id="5" xr3:uid="{00000000-0010-0000-0100-000005000000}" name="PCE Core MoM" dataDxfId="15">
      <calculatedColumnFormula>(B5-B4)/B4</calculatedColumnFormula>
    </tableColumn>
    <tableColumn id="3" xr3:uid="{00000000-0010-0000-0100-000003000000}" name="PCE Core YoY" dataDxfId="14"/>
    <tableColumn id="4" xr3:uid="{00000000-0010-0000-0100-000004000000}" name="Fed Target" dataDxfId="13"/>
    <tableColumn id="6" xr3:uid="{00000000-0010-0000-0100-000006000000}" name="Fed Fund Target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4:G758" totalsRowShown="0" headerRowDxfId="11" dataDxfId="9" headerRowBorderDxfId="10" tableBorderDxfId="8" totalsRowBorderDxfId="7">
  <autoFilter ref="A4:G758" xr:uid="{00000000-0009-0000-0100-000003000000}"/>
  <tableColumns count="7">
    <tableColumn id="1" xr3:uid="{00000000-0010-0000-0200-000001000000}" name="Date" dataDxfId="6"/>
    <tableColumn id="2" xr3:uid="{00000000-0010-0000-0200-000002000000}" name="Core PCE" dataDxfId="5">
      <calculatedColumnFormula>VLOOKUP(Table3[[#This Row],[Date]],'PCE Core'!$A:$E,2,)</calculatedColumnFormula>
    </tableColumn>
    <tableColumn id="3" xr3:uid="{00000000-0010-0000-0200-000003000000}" name="Core CPI" dataDxfId="4">
      <calculatedColumnFormula>VLOOKUP(Table3[[#This Row],[Date]],Database!$A:$E,5)</calculatedColumnFormula>
    </tableColumn>
    <tableColumn id="4" xr3:uid="{00000000-0010-0000-0200-000004000000}" name="Core PCE base 2000" dataDxfId="3">
      <calculatedColumnFormula>(((Table3[[#This Row],[Core PCE]]-$B$496)/$B$496)*100)+100</calculatedColumnFormula>
    </tableColumn>
    <tableColumn id="5" xr3:uid="{00000000-0010-0000-0200-000005000000}" name="Core CPI base 2000" dataDxfId="2">
      <calculatedColumnFormula>(((Table3[[#This Row],[Core CPI]]-$C$496)/$C$496)*100)+100</calculatedColumnFormula>
    </tableColumn>
    <tableColumn id="6" xr3:uid="{00000000-0010-0000-0200-000006000000}" name="Core CPI yoy" dataDxfId="1"/>
    <tableColumn id="7" xr3:uid="{00000000-0010-0000-0200-000007000000}" name="Core PCE yoy" dataDxfId="0">
      <calculatedColumnFormula>VLOOKUP(Table3[[#This Row],[Date]],'PCE Core'!A:D,4,)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1"/>
  <sheetViews>
    <sheetView zoomScale="150" zoomScaleNormal="150" workbookViewId="0">
      <selection activeCell="F15" sqref="F15"/>
    </sheetView>
  </sheetViews>
  <sheetFormatPr baseColWidth="10" defaultColWidth="9.1640625" defaultRowHeight="15" x14ac:dyDescent="0.2"/>
  <cols>
    <col min="1" max="1" width="9.1640625" style="42" customWidth="1"/>
    <col min="2" max="8" width="12.83203125" style="42" customWidth="1"/>
    <col min="9" max="11" width="2.83203125" style="42" customWidth="1"/>
    <col min="12" max="12" width="19" style="42" customWidth="1"/>
    <col min="13" max="13" width="9.1640625" style="42" customWidth="1"/>
    <col min="14" max="17" width="12.33203125" style="42" customWidth="1"/>
    <col min="18" max="21" width="9.1640625" style="42" customWidth="1"/>
    <col min="22" max="16384" width="9.1640625" style="42"/>
  </cols>
  <sheetData>
    <row r="1" spans="2:8" x14ac:dyDescent="0.2">
      <c r="B1" s="51"/>
      <c r="C1" s="51"/>
      <c r="D1" s="51"/>
      <c r="E1" s="51"/>
      <c r="F1" s="51"/>
      <c r="G1" s="51"/>
      <c r="H1" s="51"/>
    </row>
  </sheetData>
  <mergeCells count="1">
    <mergeCell ref="B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1" tint="0.499984740745262"/>
  </sheetPr>
  <dimension ref="A1:E5409"/>
  <sheetViews>
    <sheetView workbookViewId="0">
      <selection activeCell="Q56" sqref="Q56"/>
    </sheetView>
  </sheetViews>
  <sheetFormatPr baseColWidth="10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 s="43">
        <v>20821</v>
      </c>
      <c r="E2">
        <v>28.5</v>
      </c>
    </row>
    <row r="3" spans="1:5" x14ac:dyDescent="0.2">
      <c r="A3" s="43">
        <v>20852</v>
      </c>
      <c r="E3">
        <v>28.6</v>
      </c>
    </row>
    <row r="4" spans="1:5" x14ac:dyDescent="0.2">
      <c r="A4" s="43">
        <v>20880</v>
      </c>
      <c r="E4">
        <v>28.7</v>
      </c>
    </row>
    <row r="5" spans="1:5" x14ac:dyDescent="0.2">
      <c r="A5" s="43">
        <v>20911</v>
      </c>
      <c r="E5">
        <v>28.8</v>
      </c>
    </row>
    <row r="6" spans="1:5" x14ac:dyDescent="0.2">
      <c r="A6" s="43">
        <v>20941</v>
      </c>
      <c r="E6">
        <v>28.8</v>
      </c>
    </row>
    <row r="7" spans="1:5" x14ac:dyDescent="0.2">
      <c r="A7" s="43">
        <v>20972</v>
      </c>
      <c r="E7">
        <v>28.9</v>
      </c>
    </row>
    <row r="8" spans="1:5" x14ac:dyDescent="0.2">
      <c r="A8" s="43">
        <v>21002</v>
      </c>
      <c r="E8">
        <v>29</v>
      </c>
    </row>
    <row r="9" spans="1:5" x14ac:dyDescent="0.2">
      <c r="A9" s="43">
        <v>21033</v>
      </c>
      <c r="E9">
        <v>29</v>
      </c>
    </row>
    <row r="10" spans="1:5" x14ac:dyDescent="0.2">
      <c r="A10" s="43">
        <v>21064</v>
      </c>
      <c r="E10">
        <v>29.1</v>
      </c>
    </row>
    <row r="11" spans="1:5" x14ac:dyDescent="0.2">
      <c r="A11" s="43">
        <v>21094</v>
      </c>
      <c r="E11">
        <v>29.2</v>
      </c>
    </row>
    <row r="12" spans="1:5" x14ac:dyDescent="0.2">
      <c r="A12" s="43">
        <v>21125</v>
      </c>
      <c r="E12">
        <v>29.3</v>
      </c>
    </row>
    <row r="13" spans="1:5" x14ac:dyDescent="0.2">
      <c r="A13" s="43">
        <v>21155</v>
      </c>
      <c r="E13">
        <v>29.3</v>
      </c>
    </row>
    <row r="14" spans="1:5" x14ac:dyDescent="0.2">
      <c r="A14" s="43">
        <v>21186</v>
      </c>
      <c r="E14">
        <v>29.3</v>
      </c>
    </row>
    <row r="15" spans="1:5" x14ac:dyDescent="0.2">
      <c r="A15" s="43">
        <v>21217</v>
      </c>
      <c r="E15">
        <v>29.4</v>
      </c>
    </row>
    <row r="16" spans="1:5" x14ac:dyDescent="0.2">
      <c r="A16" s="43">
        <v>21245</v>
      </c>
      <c r="E16">
        <v>29.5</v>
      </c>
    </row>
    <row r="17" spans="1:5" x14ac:dyDescent="0.2">
      <c r="A17" s="43">
        <v>21276</v>
      </c>
      <c r="E17">
        <v>29.5</v>
      </c>
    </row>
    <row r="18" spans="1:5" x14ac:dyDescent="0.2">
      <c r="A18" s="43">
        <v>21306</v>
      </c>
      <c r="E18">
        <v>29.5</v>
      </c>
    </row>
    <row r="19" spans="1:5" x14ac:dyDescent="0.2">
      <c r="A19" s="43">
        <v>21337</v>
      </c>
      <c r="E19">
        <v>29.6</v>
      </c>
    </row>
    <row r="20" spans="1:5" x14ac:dyDescent="0.2">
      <c r="A20" s="43">
        <v>21367</v>
      </c>
      <c r="E20">
        <v>29.6</v>
      </c>
    </row>
    <row r="21" spans="1:5" x14ac:dyDescent="0.2">
      <c r="A21" s="43">
        <v>21398</v>
      </c>
      <c r="E21">
        <v>29.6</v>
      </c>
    </row>
    <row r="22" spans="1:5" x14ac:dyDescent="0.2">
      <c r="A22" s="43">
        <v>21429</v>
      </c>
      <c r="E22">
        <v>29.7</v>
      </c>
    </row>
    <row r="23" spans="1:5" x14ac:dyDescent="0.2">
      <c r="A23" s="43">
        <v>21459</v>
      </c>
      <c r="E23">
        <v>29.7</v>
      </c>
    </row>
    <row r="24" spans="1:5" x14ac:dyDescent="0.2">
      <c r="A24" s="43">
        <v>21490</v>
      </c>
      <c r="E24">
        <v>29.8</v>
      </c>
    </row>
    <row r="25" spans="1:5" x14ac:dyDescent="0.2">
      <c r="A25" s="43">
        <v>21520</v>
      </c>
      <c r="E25">
        <v>29.9</v>
      </c>
    </row>
    <row r="26" spans="1:5" x14ac:dyDescent="0.2">
      <c r="A26" s="43">
        <v>21551</v>
      </c>
      <c r="B26">
        <v>16.042000000000002</v>
      </c>
      <c r="C26">
        <v>16.687999999999999</v>
      </c>
      <c r="E26">
        <v>29.9</v>
      </c>
    </row>
    <row r="27" spans="1:5" x14ac:dyDescent="0.2">
      <c r="A27" s="43">
        <v>21582</v>
      </c>
      <c r="B27">
        <v>16.056999999999999</v>
      </c>
      <c r="C27">
        <v>16.701000000000001</v>
      </c>
      <c r="E27">
        <v>29.9</v>
      </c>
    </row>
    <row r="28" spans="1:5" x14ac:dyDescent="0.2">
      <c r="A28" s="43">
        <v>21610</v>
      </c>
      <c r="B28">
        <v>16.068000000000001</v>
      </c>
      <c r="C28">
        <v>16.719000000000001</v>
      </c>
      <c r="E28">
        <v>30</v>
      </c>
    </row>
    <row r="29" spans="1:5" x14ac:dyDescent="0.2">
      <c r="A29" s="43">
        <v>21641</v>
      </c>
      <c r="B29">
        <v>16.100000000000001</v>
      </c>
      <c r="C29">
        <v>16.762</v>
      </c>
      <c r="E29">
        <v>30</v>
      </c>
    </row>
    <row r="30" spans="1:5" x14ac:dyDescent="0.2">
      <c r="A30" s="43">
        <v>21671</v>
      </c>
      <c r="B30">
        <v>16.109000000000002</v>
      </c>
      <c r="C30">
        <v>16.783000000000001</v>
      </c>
      <c r="E30">
        <v>30.1</v>
      </c>
    </row>
    <row r="31" spans="1:5" x14ac:dyDescent="0.2">
      <c r="A31" s="43">
        <v>21702</v>
      </c>
      <c r="B31">
        <v>16.155000000000001</v>
      </c>
      <c r="C31">
        <v>16.832000000000001</v>
      </c>
      <c r="E31">
        <v>30.2</v>
      </c>
    </row>
    <row r="32" spans="1:5" x14ac:dyDescent="0.2">
      <c r="A32" s="43">
        <v>21732</v>
      </c>
      <c r="B32">
        <v>16.189</v>
      </c>
      <c r="C32">
        <v>16.870999999999999</v>
      </c>
      <c r="E32">
        <v>30.2</v>
      </c>
    </row>
    <row r="33" spans="1:5" x14ac:dyDescent="0.2">
      <c r="A33" s="43">
        <v>21763</v>
      </c>
      <c r="B33">
        <v>16.212</v>
      </c>
      <c r="C33">
        <v>16.899000000000001</v>
      </c>
      <c r="E33">
        <v>30.2</v>
      </c>
    </row>
    <row r="34" spans="1:5" x14ac:dyDescent="0.2">
      <c r="A34" s="43">
        <v>21794</v>
      </c>
      <c r="B34">
        <v>16.254999999999999</v>
      </c>
      <c r="C34">
        <v>16.943000000000001</v>
      </c>
      <c r="E34">
        <v>30.3</v>
      </c>
    </row>
    <row r="35" spans="1:5" x14ac:dyDescent="0.2">
      <c r="A35" s="43">
        <v>21824</v>
      </c>
      <c r="B35">
        <v>16.294</v>
      </c>
      <c r="C35">
        <v>16.972000000000001</v>
      </c>
      <c r="E35">
        <v>30.4</v>
      </c>
    </row>
    <row r="36" spans="1:5" x14ac:dyDescent="0.2">
      <c r="A36" s="43">
        <v>21855</v>
      </c>
      <c r="B36">
        <v>16.303999999999998</v>
      </c>
      <c r="C36">
        <v>17.003</v>
      </c>
      <c r="E36">
        <v>30.4</v>
      </c>
    </row>
    <row r="37" spans="1:5" x14ac:dyDescent="0.2">
      <c r="A37" s="43">
        <v>21885</v>
      </c>
      <c r="B37">
        <v>16.323</v>
      </c>
      <c r="C37">
        <v>17.029</v>
      </c>
      <c r="E37">
        <v>30.5</v>
      </c>
    </row>
    <row r="38" spans="1:5" x14ac:dyDescent="0.2">
      <c r="A38" s="43">
        <v>21916</v>
      </c>
      <c r="B38">
        <v>16.314</v>
      </c>
      <c r="C38">
        <v>17.033000000000001</v>
      </c>
      <c r="E38">
        <v>30.5</v>
      </c>
    </row>
    <row r="39" spans="1:5" x14ac:dyDescent="0.2">
      <c r="A39" s="43">
        <v>21947</v>
      </c>
      <c r="B39">
        <v>16.331</v>
      </c>
      <c r="C39">
        <v>17.065000000000001</v>
      </c>
      <c r="E39">
        <v>30.6</v>
      </c>
    </row>
    <row r="40" spans="1:5" x14ac:dyDescent="0.2">
      <c r="A40" s="43">
        <v>21976</v>
      </c>
      <c r="B40">
        <v>16.34</v>
      </c>
      <c r="C40">
        <v>17.067</v>
      </c>
      <c r="E40">
        <v>30.6</v>
      </c>
    </row>
    <row r="41" spans="1:5" x14ac:dyDescent="0.2">
      <c r="A41" s="43">
        <v>22007</v>
      </c>
      <c r="B41">
        <v>16.399999999999999</v>
      </c>
      <c r="C41">
        <v>17.097999999999999</v>
      </c>
      <c r="E41">
        <v>30.6</v>
      </c>
    </row>
    <row r="42" spans="1:5" x14ac:dyDescent="0.2">
      <c r="A42" s="43">
        <v>22037</v>
      </c>
      <c r="B42">
        <v>16.417000000000002</v>
      </c>
      <c r="C42">
        <v>17.125</v>
      </c>
      <c r="E42">
        <v>30.6</v>
      </c>
    </row>
    <row r="43" spans="1:5" x14ac:dyDescent="0.2">
      <c r="A43" s="43">
        <v>22068</v>
      </c>
      <c r="B43">
        <v>16.423999999999999</v>
      </c>
      <c r="C43">
        <v>17.135999999999999</v>
      </c>
      <c r="E43">
        <v>30.7</v>
      </c>
    </row>
    <row r="44" spans="1:5" x14ac:dyDescent="0.2">
      <c r="A44" s="43">
        <v>22098</v>
      </c>
      <c r="B44">
        <v>16.452999999999999</v>
      </c>
      <c r="C44">
        <v>17.166</v>
      </c>
      <c r="E44">
        <v>30.6</v>
      </c>
    </row>
    <row r="45" spans="1:5" x14ac:dyDescent="0.2">
      <c r="A45" s="43">
        <v>22129</v>
      </c>
      <c r="B45">
        <v>16.481000000000002</v>
      </c>
      <c r="C45">
        <v>17.190999999999999</v>
      </c>
      <c r="E45">
        <v>30.6</v>
      </c>
    </row>
    <row r="46" spans="1:5" x14ac:dyDescent="0.2">
      <c r="A46" s="43">
        <v>22160</v>
      </c>
      <c r="B46">
        <v>16.491</v>
      </c>
      <c r="C46">
        <v>17.204000000000001</v>
      </c>
      <c r="E46">
        <v>30.6</v>
      </c>
    </row>
    <row r="47" spans="1:5" x14ac:dyDescent="0.2">
      <c r="A47" s="43">
        <v>22190</v>
      </c>
      <c r="B47">
        <v>16.510000000000002</v>
      </c>
      <c r="C47">
        <v>17.213999999999999</v>
      </c>
      <c r="E47">
        <v>30.8</v>
      </c>
    </row>
    <row r="48" spans="1:5" x14ac:dyDescent="0.2">
      <c r="A48" s="43">
        <v>22221</v>
      </c>
      <c r="B48">
        <v>16.565000000000001</v>
      </c>
      <c r="C48">
        <v>17.260000000000002</v>
      </c>
      <c r="E48">
        <v>30.8</v>
      </c>
    </row>
    <row r="49" spans="1:5" x14ac:dyDescent="0.2">
      <c r="A49" s="43">
        <v>22251</v>
      </c>
      <c r="B49">
        <v>16.568999999999999</v>
      </c>
      <c r="C49">
        <v>17.254999999999999</v>
      </c>
      <c r="E49">
        <v>30.7</v>
      </c>
    </row>
    <row r="50" spans="1:5" x14ac:dyDescent="0.2">
      <c r="A50" s="43">
        <v>22282</v>
      </c>
      <c r="B50">
        <v>16.571000000000002</v>
      </c>
      <c r="C50">
        <v>17.259</v>
      </c>
      <c r="E50">
        <v>30.8</v>
      </c>
    </row>
    <row r="51" spans="1:5" x14ac:dyDescent="0.2">
      <c r="A51" s="43">
        <v>22313</v>
      </c>
      <c r="B51">
        <v>16.587</v>
      </c>
      <c r="C51">
        <v>17.276</v>
      </c>
      <c r="E51">
        <v>30.8</v>
      </c>
    </row>
    <row r="52" spans="1:5" x14ac:dyDescent="0.2">
      <c r="A52" s="43">
        <v>22341</v>
      </c>
      <c r="B52">
        <v>16.577999999999999</v>
      </c>
      <c r="C52">
        <v>17.282</v>
      </c>
      <c r="E52">
        <v>30.9</v>
      </c>
    </row>
    <row r="53" spans="1:5" x14ac:dyDescent="0.2">
      <c r="A53" s="43">
        <v>22372</v>
      </c>
      <c r="B53">
        <v>16.568000000000001</v>
      </c>
      <c r="C53">
        <v>17.306000000000001</v>
      </c>
      <c r="E53">
        <v>30.9</v>
      </c>
    </row>
    <row r="54" spans="1:5" x14ac:dyDescent="0.2">
      <c r="A54" s="43">
        <v>22402</v>
      </c>
      <c r="B54">
        <v>16.577000000000002</v>
      </c>
      <c r="C54">
        <v>17.327999999999999</v>
      </c>
      <c r="E54">
        <v>30.9</v>
      </c>
    </row>
    <row r="55" spans="1:5" x14ac:dyDescent="0.2">
      <c r="A55" s="43">
        <v>22433</v>
      </c>
      <c r="B55">
        <v>16.585000000000001</v>
      </c>
      <c r="C55">
        <v>17.353999999999999</v>
      </c>
      <c r="E55">
        <v>31</v>
      </c>
    </row>
    <row r="56" spans="1:5" x14ac:dyDescent="0.2">
      <c r="A56" s="43">
        <v>22463</v>
      </c>
      <c r="B56">
        <v>16.620999999999999</v>
      </c>
      <c r="C56">
        <v>17.381</v>
      </c>
      <c r="E56">
        <v>31</v>
      </c>
    </row>
    <row r="57" spans="1:5" x14ac:dyDescent="0.2">
      <c r="A57" s="43">
        <v>22494</v>
      </c>
      <c r="B57">
        <v>16.635000000000002</v>
      </c>
      <c r="C57">
        <v>17.399000000000001</v>
      </c>
      <c r="E57">
        <v>31.1</v>
      </c>
    </row>
    <row r="58" spans="1:5" x14ac:dyDescent="0.2">
      <c r="A58" s="43">
        <v>22525</v>
      </c>
      <c r="B58">
        <v>16.654</v>
      </c>
      <c r="C58">
        <v>17.434000000000001</v>
      </c>
      <c r="E58">
        <v>31.1</v>
      </c>
    </row>
    <row r="59" spans="1:5" x14ac:dyDescent="0.2">
      <c r="A59" s="43">
        <v>22555</v>
      </c>
      <c r="B59">
        <v>16.652000000000001</v>
      </c>
      <c r="C59">
        <v>17.440000000000001</v>
      </c>
      <c r="E59">
        <v>31.1</v>
      </c>
    </row>
    <row r="60" spans="1:5" x14ac:dyDescent="0.2">
      <c r="A60" s="43">
        <v>22586</v>
      </c>
      <c r="B60">
        <v>16.652999999999999</v>
      </c>
      <c r="C60">
        <v>17.443000000000001</v>
      </c>
      <c r="E60">
        <v>31.2</v>
      </c>
    </row>
    <row r="61" spans="1:5" x14ac:dyDescent="0.2">
      <c r="A61" s="43">
        <v>22616</v>
      </c>
      <c r="B61">
        <v>16.658000000000001</v>
      </c>
      <c r="C61">
        <v>17.457999999999998</v>
      </c>
      <c r="E61">
        <v>31.2</v>
      </c>
    </row>
    <row r="62" spans="1:5" x14ac:dyDescent="0.2">
      <c r="A62" s="43">
        <v>22647</v>
      </c>
      <c r="B62">
        <v>16.689</v>
      </c>
      <c r="C62">
        <v>17.478000000000002</v>
      </c>
      <c r="E62">
        <v>31.2</v>
      </c>
    </row>
    <row r="63" spans="1:5" x14ac:dyDescent="0.2">
      <c r="A63" s="43">
        <v>22678</v>
      </c>
      <c r="B63">
        <v>16.734000000000002</v>
      </c>
      <c r="C63">
        <v>17.507000000000001</v>
      </c>
      <c r="E63">
        <v>31.2</v>
      </c>
    </row>
    <row r="64" spans="1:5" x14ac:dyDescent="0.2">
      <c r="A64" s="43">
        <v>22706</v>
      </c>
      <c r="B64">
        <v>16.756</v>
      </c>
      <c r="C64">
        <v>17.547999999999998</v>
      </c>
      <c r="E64">
        <v>31.3</v>
      </c>
    </row>
    <row r="65" spans="1:5" x14ac:dyDescent="0.2">
      <c r="A65" s="43">
        <v>22737</v>
      </c>
      <c r="B65">
        <v>16.774999999999999</v>
      </c>
      <c r="C65">
        <v>17.550999999999998</v>
      </c>
      <c r="E65">
        <v>31.3</v>
      </c>
    </row>
    <row r="66" spans="1:5" x14ac:dyDescent="0.2">
      <c r="A66" s="43">
        <v>22767</v>
      </c>
      <c r="B66">
        <v>16.786000000000001</v>
      </c>
      <c r="C66">
        <v>17.576000000000001</v>
      </c>
      <c r="E66">
        <v>31.4</v>
      </c>
    </row>
    <row r="67" spans="1:5" x14ac:dyDescent="0.2">
      <c r="A67" s="43">
        <v>22798</v>
      </c>
      <c r="B67">
        <v>16.795999999999999</v>
      </c>
      <c r="C67">
        <v>17.608000000000001</v>
      </c>
      <c r="E67">
        <v>31.4</v>
      </c>
    </row>
    <row r="68" spans="1:5" x14ac:dyDescent="0.2">
      <c r="A68" s="43">
        <v>22828</v>
      </c>
      <c r="B68">
        <v>16.786999999999999</v>
      </c>
      <c r="C68">
        <v>17.623000000000001</v>
      </c>
      <c r="E68">
        <v>31.4</v>
      </c>
    </row>
    <row r="69" spans="1:5" x14ac:dyDescent="0.2">
      <c r="A69" s="43">
        <v>22859</v>
      </c>
      <c r="B69">
        <v>16.811</v>
      </c>
      <c r="C69">
        <v>17.626000000000001</v>
      </c>
      <c r="E69">
        <v>31.5</v>
      </c>
    </row>
    <row r="70" spans="1:5" x14ac:dyDescent="0.2">
      <c r="A70" s="43">
        <v>22890</v>
      </c>
      <c r="B70">
        <v>16.893999999999998</v>
      </c>
      <c r="C70">
        <v>17.66</v>
      </c>
      <c r="E70">
        <v>31.5</v>
      </c>
    </row>
    <row r="71" spans="1:5" x14ac:dyDescent="0.2">
      <c r="A71" s="43">
        <v>22920</v>
      </c>
      <c r="B71">
        <v>16.876000000000001</v>
      </c>
      <c r="C71">
        <v>17.658999999999999</v>
      </c>
      <c r="E71">
        <v>31.5</v>
      </c>
    </row>
    <row r="72" spans="1:5" x14ac:dyDescent="0.2">
      <c r="A72" s="43">
        <v>22951</v>
      </c>
      <c r="B72">
        <v>16.888999999999999</v>
      </c>
      <c r="C72">
        <v>17.672000000000001</v>
      </c>
      <c r="E72">
        <v>31.5</v>
      </c>
    </row>
    <row r="73" spans="1:5" x14ac:dyDescent="0.2">
      <c r="A73" s="43">
        <v>22981</v>
      </c>
      <c r="B73">
        <v>16.882000000000001</v>
      </c>
      <c r="C73">
        <v>17.677</v>
      </c>
      <c r="E73">
        <v>31.6</v>
      </c>
    </row>
    <row r="74" spans="1:5" x14ac:dyDescent="0.2">
      <c r="A74" s="43">
        <v>23012</v>
      </c>
      <c r="B74">
        <v>16.922999999999998</v>
      </c>
      <c r="C74">
        <v>17.710999999999999</v>
      </c>
      <c r="E74">
        <v>31.5</v>
      </c>
    </row>
    <row r="75" spans="1:5" x14ac:dyDescent="0.2">
      <c r="A75" s="43">
        <v>23043</v>
      </c>
      <c r="B75">
        <v>16.940999999999999</v>
      </c>
      <c r="C75">
        <v>17.731000000000002</v>
      </c>
      <c r="E75">
        <v>31.6</v>
      </c>
    </row>
    <row r="76" spans="1:5" x14ac:dyDescent="0.2">
      <c r="A76" s="43">
        <v>23071</v>
      </c>
      <c r="B76">
        <v>16.928000000000001</v>
      </c>
      <c r="C76">
        <v>17.742000000000001</v>
      </c>
      <c r="E76">
        <v>31.7</v>
      </c>
    </row>
    <row r="77" spans="1:5" x14ac:dyDescent="0.2">
      <c r="A77" s="43">
        <v>23102</v>
      </c>
      <c r="B77">
        <v>16.927</v>
      </c>
      <c r="C77">
        <v>17.763000000000002</v>
      </c>
      <c r="E77">
        <v>31.7</v>
      </c>
    </row>
    <row r="78" spans="1:5" x14ac:dyDescent="0.2">
      <c r="A78" s="43">
        <v>23132</v>
      </c>
      <c r="B78">
        <v>16.954000000000001</v>
      </c>
      <c r="C78">
        <v>17.795000000000002</v>
      </c>
      <c r="E78">
        <v>31.7</v>
      </c>
    </row>
    <row r="79" spans="1:5" x14ac:dyDescent="0.2">
      <c r="A79" s="43">
        <v>23163</v>
      </c>
      <c r="B79">
        <v>16.991</v>
      </c>
      <c r="C79">
        <v>17.826000000000001</v>
      </c>
      <c r="E79">
        <v>31.8</v>
      </c>
    </row>
    <row r="80" spans="1:5" x14ac:dyDescent="0.2">
      <c r="A80" s="43">
        <v>23193</v>
      </c>
      <c r="B80">
        <v>17.024999999999999</v>
      </c>
      <c r="C80">
        <v>17.841999999999999</v>
      </c>
      <c r="E80">
        <v>31.8</v>
      </c>
    </row>
    <row r="81" spans="1:5" x14ac:dyDescent="0.2">
      <c r="A81" s="43">
        <v>23224</v>
      </c>
      <c r="B81">
        <v>17.047999999999998</v>
      </c>
      <c r="C81">
        <v>17.858000000000001</v>
      </c>
      <c r="E81">
        <v>31.9</v>
      </c>
    </row>
    <row r="82" spans="1:5" x14ac:dyDescent="0.2">
      <c r="A82" s="43">
        <v>23255</v>
      </c>
      <c r="B82">
        <v>17.044</v>
      </c>
      <c r="C82">
        <v>17.89</v>
      </c>
      <c r="E82">
        <v>31.9</v>
      </c>
    </row>
    <row r="83" spans="1:5" x14ac:dyDescent="0.2">
      <c r="A83" s="43">
        <v>23285</v>
      </c>
      <c r="B83">
        <v>17.077999999999999</v>
      </c>
      <c r="C83">
        <v>17.93</v>
      </c>
      <c r="E83">
        <v>32</v>
      </c>
    </row>
    <row r="84" spans="1:5" x14ac:dyDescent="0.2">
      <c r="A84" s="43">
        <v>23316</v>
      </c>
      <c r="B84">
        <v>17.102</v>
      </c>
      <c r="C84">
        <v>17.946999999999999</v>
      </c>
      <c r="E84">
        <v>32</v>
      </c>
    </row>
    <row r="85" spans="1:5" x14ac:dyDescent="0.2">
      <c r="A85" s="43">
        <v>23346</v>
      </c>
      <c r="B85">
        <v>17.126999999999999</v>
      </c>
      <c r="C85">
        <v>17.972000000000001</v>
      </c>
      <c r="E85">
        <v>32.1</v>
      </c>
    </row>
    <row r="86" spans="1:5" x14ac:dyDescent="0.2">
      <c r="A86" s="43">
        <v>23377</v>
      </c>
      <c r="B86">
        <v>17.163</v>
      </c>
      <c r="C86">
        <v>17.997</v>
      </c>
      <c r="E86">
        <v>32.200000000000003</v>
      </c>
    </row>
    <row r="87" spans="1:5" x14ac:dyDescent="0.2">
      <c r="A87" s="43">
        <v>23408</v>
      </c>
      <c r="B87">
        <v>17.187999999999999</v>
      </c>
      <c r="C87">
        <v>18.030999999999999</v>
      </c>
      <c r="E87">
        <v>32.200000000000003</v>
      </c>
    </row>
    <row r="88" spans="1:5" x14ac:dyDescent="0.2">
      <c r="A88" s="43">
        <v>23437</v>
      </c>
      <c r="B88">
        <v>17.198</v>
      </c>
      <c r="C88">
        <v>18.047999999999998</v>
      </c>
      <c r="E88">
        <v>32.200000000000003</v>
      </c>
    </row>
    <row r="89" spans="1:5" x14ac:dyDescent="0.2">
      <c r="A89" s="43">
        <v>23468</v>
      </c>
      <c r="B89">
        <v>17.210999999999999</v>
      </c>
      <c r="C89">
        <v>18.065000000000001</v>
      </c>
      <c r="E89">
        <v>32.200000000000003</v>
      </c>
    </row>
    <row r="90" spans="1:5" x14ac:dyDescent="0.2">
      <c r="A90" s="43">
        <v>23498</v>
      </c>
      <c r="B90">
        <v>17.213000000000001</v>
      </c>
      <c r="C90">
        <v>18.079999999999998</v>
      </c>
      <c r="E90">
        <v>32.200000000000003</v>
      </c>
    </row>
    <row r="91" spans="1:5" x14ac:dyDescent="0.2">
      <c r="A91" s="43">
        <v>23529</v>
      </c>
      <c r="B91">
        <v>17.236999999999998</v>
      </c>
      <c r="C91">
        <v>18.093</v>
      </c>
      <c r="E91">
        <v>32.299999999999997</v>
      </c>
    </row>
    <row r="92" spans="1:5" x14ac:dyDescent="0.2">
      <c r="A92" s="43">
        <v>23559</v>
      </c>
      <c r="B92">
        <v>17.259</v>
      </c>
      <c r="C92">
        <v>18.111000000000001</v>
      </c>
      <c r="E92">
        <v>32.299999999999997</v>
      </c>
    </row>
    <row r="93" spans="1:5" x14ac:dyDescent="0.2">
      <c r="A93" s="43">
        <v>23590</v>
      </c>
      <c r="B93">
        <v>17.273</v>
      </c>
      <c r="C93">
        <v>18.135000000000002</v>
      </c>
      <c r="E93">
        <v>32.299999999999997</v>
      </c>
    </row>
    <row r="94" spans="1:5" x14ac:dyDescent="0.2">
      <c r="A94" s="43">
        <v>23621</v>
      </c>
      <c r="B94">
        <v>17.298999999999999</v>
      </c>
      <c r="C94">
        <v>18.143000000000001</v>
      </c>
      <c r="E94">
        <v>32.299999999999997</v>
      </c>
    </row>
    <row r="95" spans="1:5" x14ac:dyDescent="0.2">
      <c r="A95" s="43">
        <v>23651</v>
      </c>
      <c r="B95">
        <v>17.309999999999999</v>
      </c>
      <c r="C95">
        <v>18.149000000000001</v>
      </c>
      <c r="E95">
        <v>32.4</v>
      </c>
    </row>
    <row r="96" spans="1:5" x14ac:dyDescent="0.2">
      <c r="A96" s="43">
        <v>23682</v>
      </c>
      <c r="B96">
        <v>17.334</v>
      </c>
      <c r="C96">
        <v>18.175999999999998</v>
      </c>
      <c r="E96">
        <v>32.5</v>
      </c>
    </row>
    <row r="97" spans="1:5" x14ac:dyDescent="0.2">
      <c r="A97" s="43">
        <v>23712</v>
      </c>
      <c r="B97">
        <v>17.359000000000002</v>
      </c>
      <c r="C97">
        <v>18.201000000000001</v>
      </c>
      <c r="E97">
        <v>32.5</v>
      </c>
    </row>
    <row r="98" spans="1:5" x14ac:dyDescent="0.2">
      <c r="A98" s="43">
        <v>23743</v>
      </c>
      <c r="B98">
        <v>17.378</v>
      </c>
      <c r="C98">
        <v>18.225999999999999</v>
      </c>
      <c r="E98">
        <v>32.6</v>
      </c>
    </row>
    <row r="99" spans="1:5" x14ac:dyDescent="0.2">
      <c r="A99" s="43">
        <v>23774</v>
      </c>
      <c r="B99">
        <v>17.385000000000002</v>
      </c>
      <c r="C99">
        <v>18.248000000000001</v>
      </c>
      <c r="E99">
        <v>32.6</v>
      </c>
    </row>
    <row r="100" spans="1:5" x14ac:dyDescent="0.2">
      <c r="A100" s="43">
        <v>23802</v>
      </c>
      <c r="B100">
        <v>17.408000000000001</v>
      </c>
      <c r="C100">
        <v>18.257999999999999</v>
      </c>
      <c r="E100">
        <v>32.6</v>
      </c>
    </row>
    <row r="101" spans="1:5" x14ac:dyDescent="0.2">
      <c r="A101" s="43">
        <v>23833</v>
      </c>
      <c r="B101">
        <v>17.434999999999999</v>
      </c>
      <c r="C101">
        <v>18.28</v>
      </c>
      <c r="E101">
        <v>32.700000000000003</v>
      </c>
    </row>
    <row r="102" spans="1:5" x14ac:dyDescent="0.2">
      <c r="A102" s="43">
        <v>23863</v>
      </c>
      <c r="B102">
        <v>17.474</v>
      </c>
      <c r="C102">
        <v>18.314</v>
      </c>
      <c r="E102">
        <v>32.700000000000003</v>
      </c>
    </row>
    <row r="103" spans="1:5" x14ac:dyDescent="0.2">
      <c r="A103" s="43">
        <v>23894</v>
      </c>
      <c r="B103">
        <v>17.524999999999999</v>
      </c>
      <c r="C103">
        <v>18.309000000000001</v>
      </c>
      <c r="E103">
        <v>32.700000000000003</v>
      </c>
    </row>
    <row r="104" spans="1:5" x14ac:dyDescent="0.2">
      <c r="A104" s="43">
        <v>23924</v>
      </c>
      <c r="B104">
        <v>17.538</v>
      </c>
      <c r="C104">
        <v>18.327000000000002</v>
      </c>
      <c r="E104">
        <v>32.700000000000003</v>
      </c>
    </row>
    <row r="105" spans="1:5" x14ac:dyDescent="0.2">
      <c r="A105" s="43">
        <v>23955</v>
      </c>
      <c r="B105">
        <v>17.542000000000002</v>
      </c>
      <c r="C105">
        <v>18.361999999999998</v>
      </c>
      <c r="E105">
        <v>32.700000000000003</v>
      </c>
    </row>
    <row r="106" spans="1:5" x14ac:dyDescent="0.2">
      <c r="A106" s="43">
        <v>23986</v>
      </c>
      <c r="B106">
        <v>17.55</v>
      </c>
      <c r="C106">
        <v>18.384</v>
      </c>
      <c r="E106">
        <v>32.799999999999997</v>
      </c>
    </row>
    <row r="107" spans="1:5" x14ac:dyDescent="0.2">
      <c r="A107" s="43">
        <v>24016</v>
      </c>
      <c r="B107">
        <v>17.556000000000001</v>
      </c>
      <c r="C107">
        <v>18.376999999999999</v>
      </c>
      <c r="E107">
        <v>32.799999999999997</v>
      </c>
    </row>
    <row r="108" spans="1:5" x14ac:dyDescent="0.2">
      <c r="A108" s="43">
        <v>24047</v>
      </c>
      <c r="B108">
        <v>17.585000000000001</v>
      </c>
      <c r="C108">
        <v>18.411000000000001</v>
      </c>
      <c r="E108">
        <v>32.9</v>
      </c>
    </row>
    <row r="109" spans="1:5" x14ac:dyDescent="0.2">
      <c r="A109" s="43">
        <v>24077</v>
      </c>
      <c r="B109">
        <v>17.649000000000001</v>
      </c>
      <c r="C109">
        <v>18.466999999999999</v>
      </c>
      <c r="E109">
        <v>33</v>
      </c>
    </row>
    <row r="110" spans="1:5" x14ac:dyDescent="0.2">
      <c r="A110" s="43">
        <v>24108</v>
      </c>
      <c r="B110">
        <v>17.670000000000002</v>
      </c>
      <c r="C110">
        <v>18.472999999999999</v>
      </c>
      <c r="E110">
        <v>33</v>
      </c>
    </row>
    <row r="111" spans="1:5" x14ac:dyDescent="0.2">
      <c r="A111" s="43">
        <v>24139</v>
      </c>
      <c r="B111">
        <v>17.742999999999999</v>
      </c>
      <c r="C111">
        <v>18.518000000000001</v>
      </c>
      <c r="E111">
        <v>33.1</v>
      </c>
    </row>
    <row r="112" spans="1:5" x14ac:dyDescent="0.2">
      <c r="A112" s="43">
        <v>24167</v>
      </c>
      <c r="B112">
        <v>17.786000000000001</v>
      </c>
      <c r="C112">
        <v>18.542000000000002</v>
      </c>
      <c r="E112">
        <v>33.1</v>
      </c>
    </row>
    <row r="113" spans="1:5" x14ac:dyDescent="0.2">
      <c r="A113" s="43">
        <v>24198</v>
      </c>
      <c r="B113">
        <v>17.847999999999999</v>
      </c>
      <c r="C113">
        <v>18.608000000000001</v>
      </c>
      <c r="E113">
        <v>33.299999999999997</v>
      </c>
    </row>
    <row r="114" spans="1:5" x14ac:dyDescent="0.2">
      <c r="A114" s="43">
        <v>24228</v>
      </c>
      <c r="B114">
        <v>17.87</v>
      </c>
      <c r="C114">
        <v>18.657</v>
      </c>
      <c r="E114">
        <v>33.4</v>
      </c>
    </row>
    <row r="115" spans="1:5" x14ac:dyDescent="0.2">
      <c r="A115" s="43">
        <v>24259</v>
      </c>
      <c r="B115">
        <v>17.914999999999999</v>
      </c>
      <c r="C115">
        <v>18.718</v>
      </c>
      <c r="E115">
        <v>33.5</v>
      </c>
    </row>
    <row r="116" spans="1:5" x14ac:dyDescent="0.2">
      <c r="A116" s="43">
        <v>24289</v>
      </c>
      <c r="B116">
        <v>17.949000000000002</v>
      </c>
      <c r="C116">
        <v>18.773</v>
      </c>
      <c r="E116">
        <v>33.6</v>
      </c>
    </row>
    <row r="117" spans="1:5" x14ac:dyDescent="0.2">
      <c r="A117" s="43">
        <v>24320</v>
      </c>
      <c r="B117">
        <v>18.018000000000001</v>
      </c>
      <c r="C117">
        <v>18.806999999999999</v>
      </c>
      <c r="E117">
        <v>33.700000000000003</v>
      </c>
    </row>
    <row r="118" spans="1:5" x14ac:dyDescent="0.2">
      <c r="A118" s="43">
        <v>24351</v>
      </c>
      <c r="B118">
        <v>18.074999999999999</v>
      </c>
      <c r="C118">
        <v>18.864999999999998</v>
      </c>
      <c r="E118">
        <v>33.799999999999997</v>
      </c>
    </row>
    <row r="119" spans="1:5" x14ac:dyDescent="0.2">
      <c r="A119" s="43">
        <v>24381</v>
      </c>
      <c r="B119">
        <v>18.123000000000001</v>
      </c>
      <c r="C119">
        <v>18.927</v>
      </c>
      <c r="E119">
        <v>34</v>
      </c>
    </row>
    <row r="120" spans="1:5" x14ac:dyDescent="0.2">
      <c r="A120" s="43">
        <v>24412</v>
      </c>
      <c r="B120">
        <v>18.149999999999999</v>
      </c>
      <c r="C120">
        <v>18.975000000000001</v>
      </c>
      <c r="E120">
        <v>34</v>
      </c>
    </row>
    <row r="121" spans="1:5" x14ac:dyDescent="0.2">
      <c r="A121" s="43">
        <v>24442</v>
      </c>
      <c r="B121">
        <v>18.187000000000001</v>
      </c>
      <c r="C121">
        <v>19.032</v>
      </c>
      <c r="E121">
        <v>34.1</v>
      </c>
    </row>
    <row r="122" spans="1:5" x14ac:dyDescent="0.2">
      <c r="A122" s="43">
        <v>24473</v>
      </c>
      <c r="B122">
        <v>18.187999999999999</v>
      </c>
      <c r="C122">
        <v>19.05</v>
      </c>
      <c r="E122">
        <v>34.200000000000003</v>
      </c>
    </row>
    <row r="123" spans="1:5" x14ac:dyDescent="0.2">
      <c r="A123" s="43">
        <v>24504</v>
      </c>
      <c r="B123">
        <v>18.209</v>
      </c>
      <c r="C123">
        <v>19.084</v>
      </c>
      <c r="E123">
        <v>34.200000000000003</v>
      </c>
    </row>
    <row r="124" spans="1:5" x14ac:dyDescent="0.2">
      <c r="A124" s="43">
        <v>24532</v>
      </c>
      <c r="B124">
        <v>18.22</v>
      </c>
      <c r="C124">
        <v>19.113</v>
      </c>
      <c r="E124">
        <v>34.299999999999997</v>
      </c>
    </row>
    <row r="125" spans="1:5" x14ac:dyDescent="0.2">
      <c r="A125" s="43">
        <v>24563</v>
      </c>
      <c r="B125">
        <v>18.248999999999999</v>
      </c>
      <c r="C125">
        <v>19.164999999999999</v>
      </c>
      <c r="E125">
        <v>34.4</v>
      </c>
    </row>
    <row r="126" spans="1:5" x14ac:dyDescent="0.2">
      <c r="A126" s="43">
        <v>24593</v>
      </c>
      <c r="B126">
        <v>18.285</v>
      </c>
      <c r="C126">
        <v>19.207999999999998</v>
      </c>
      <c r="E126">
        <v>34.5</v>
      </c>
    </row>
    <row r="127" spans="1:5" x14ac:dyDescent="0.2">
      <c r="A127" s="43">
        <v>24624</v>
      </c>
      <c r="B127">
        <v>18.343</v>
      </c>
      <c r="C127">
        <v>19.257000000000001</v>
      </c>
      <c r="E127">
        <v>34.6</v>
      </c>
    </row>
    <row r="128" spans="1:5" x14ac:dyDescent="0.2">
      <c r="A128" s="43">
        <v>24654</v>
      </c>
      <c r="B128">
        <v>18.405000000000001</v>
      </c>
      <c r="C128">
        <v>19.321999999999999</v>
      </c>
      <c r="E128">
        <v>34.700000000000003</v>
      </c>
    </row>
    <row r="129" spans="1:5" x14ac:dyDescent="0.2">
      <c r="A129" s="43">
        <v>24685</v>
      </c>
      <c r="B129">
        <v>18.463000000000001</v>
      </c>
      <c r="C129">
        <v>19.382000000000001</v>
      </c>
      <c r="E129">
        <v>34.9</v>
      </c>
    </row>
    <row r="130" spans="1:5" x14ac:dyDescent="0.2">
      <c r="A130" s="43">
        <v>24716</v>
      </c>
      <c r="B130">
        <v>18.518999999999998</v>
      </c>
      <c r="C130">
        <v>19.45</v>
      </c>
      <c r="E130">
        <v>35</v>
      </c>
    </row>
    <row r="131" spans="1:5" x14ac:dyDescent="0.2">
      <c r="A131" s="43">
        <v>24746</v>
      </c>
      <c r="B131">
        <v>18.57</v>
      </c>
      <c r="C131">
        <v>19.523</v>
      </c>
      <c r="E131">
        <v>35.1</v>
      </c>
    </row>
    <row r="132" spans="1:5" x14ac:dyDescent="0.2">
      <c r="A132" s="43">
        <v>24777</v>
      </c>
      <c r="B132">
        <v>18.632000000000001</v>
      </c>
      <c r="C132">
        <v>19.585000000000001</v>
      </c>
      <c r="E132">
        <v>35.200000000000003</v>
      </c>
    </row>
    <row r="133" spans="1:5" x14ac:dyDescent="0.2">
      <c r="A133" s="43">
        <v>24807</v>
      </c>
      <c r="B133">
        <v>18.661000000000001</v>
      </c>
      <c r="C133">
        <v>19.632999999999999</v>
      </c>
      <c r="E133">
        <v>35.4</v>
      </c>
    </row>
    <row r="134" spans="1:5" x14ac:dyDescent="0.2">
      <c r="A134" s="43">
        <v>24838</v>
      </c>
      <c r="B134">
        <v>18.748000000000001</v>
      </c>
      <c r="C134">
        <v>19.72</v>
      </c>
      <c r="E134">
        <v>35.5</v>
      </c>
    </row>
    <row r="135" spans="1:5" x14ac:dyDescent="0.2">
      <c r="A135" s="43">
        <v>24869</v>
      </c>
      <c r="B135">
        <v>18.824000000000002</v>
      </c>
      <c r="C135">
        <v>19.805</v>
      </c>
      <c r="E135">
        <v>35.700000000000003</v>
      </c>
    </row>
    <row r="136" spans="1:5" x14ac:dyDescent="0.2">
      <c r="A136" s="43">
        <v>24898</v>
      </c>
      <c r="B136">
        <v>18.885999999999999</v>
      </c>
      <c r="C136">
        <v>19.884</v>
      </c>
      <c r="E136">
        <v>35.799999999999997</v>
      </c>
    </row>
    <row r="137" spans="1:5" x14ac:dyDescent="0.2">
      <c r="A137" s="43">
        <v>24929</v>
      </c>
      <c r="B137">
        <v>18.945</v>
      </c>
      <c r="C137">
        <v>19.957000000000001</v>
      </c>
      <c r="E137">
        <v>35.9</v>
      </c>
    </row>
    <row r="138" spans="1:5" x14ac:dyDescent="0.2">
      <c r="A138" s="43">
        <v>24959</v>
      </c>
      <c r="B138">
        <v>19.015000000000001</v>
      </c>
      <c r="C138">
        <v>20.033000000000001</v>
      </c>
      <c r="E138">
        <v>36</v>
      </c>
    </row>
    <row r="139" spans="1:5" x14ac:dyDescent="0.2">
      <c r="A139" s="43">
        <v>24990</v>
      </c>
      <c r="B139">
        <v>19.074999999999999</v>
      </c>
      <c r="C139">
        <v>20.111000000000001</v>
      </c>
      <c r="E139">
        <v>36.200000000000003</v>
      </c>
    </row>
    <row r="140" spans="1:5" x14ac:dyDescent="0.2">
      <c r="A140" s="43">
        <v>25020</v>
      </c>
      <c r="B140">
        <v>19.134</v>
      </c>
      <c r="C140">
        <v>20.178000000000001</v>
      </c>
      <c r="E140">
        <v>36.4</v>
      </c>
    </row>
    <row r="141" spans="1:5" x14ac:dyDescent="0.2">
      <c r="A141" s="43">
        <v>25051</v>
      </c>
      <c r="B141">
        <v>19.212</v>
      </c>
      <c r="C141">
        <v>20.257000000000001</v>
      </c>
      <c r="E141">
        <v>36.5</v>
      </c>
    </row>
    <row r="142" spans="1:5" x14ac:dyDescent="0.2">
      <c r="A142" s="43">
        <v>25082</v>
      </c>
      <c r="B142">
        <v>19.279</v>
      </c>
      <c r="C142">
        <v>20.338999999999999</v>
      </c>
      <c r="E142">
        <v>36.700000000000003</v>
      </c>
    </row>
    <row r="143" spans="1:5" x14ac:dyDescent="0.2">
      <c r="A143" s="43">
        <v>25112</v>
      </c>
      <c r="B143">
        <v>19.364000000000001</v>
      </c>
      <c r="C143">
        <v>20.422000000000001</v>
      </c>
      <c r="E143">
        <v>36.9</v>
      </c>
    </row>
    <row r="144" spans="1:5" x14ac:dyDescent="0.2">
      <c r="A144" s="43">
        <v>25143</v>
      </c>
      <c r="B144">
        <v>19.43</v>
      </c>
      <c r="C144">
        <v>20.498000000000001</v>
      </c>
      <c r="E144">
        <v>37.1</v>
      </c>
    </row>
    <row r="145" spans="1:5" x14ac:dyDescent="0.2">
      <c r="A145" s="43">
        <v>25173</v>
      </c>
      <c r="B145">
        <v>19.47</v>
      </c>
      <c r="C145">
        <v>20.56</v>
      </c>
      <c r="E145">
        <v>37.200000000000003</v>
      </c>
    </row>
    <row r="146" spans="1:5" x14ac:dyDescent="0.2">
      <c r="A146" s="43">
        <v>25204</v>
      </c>
      <c r="B146">
        <v>19.545999999999999</v>
      </c>
      <c r="C146">
        <v>20.638000000000002</v>
      </c>
      <c r="E146">
        <v>37.299999999999997</v>
      </c>
    </row>
    <row r="147" spans="1:5" x14ac:dyDescent="0.2">
      <c r="A147" s="43">
        <v>25235</v>
      </c>
      <c r="B147">
        <v>19.594999999999999</v>
      </c>
      <c r="C147">
        <v>20.709</v>
      </c>
      <c r="E147">
        <v>37.6</v>
      </c>
    </row>
    <row r="148" spans="1:5" x14ac:dyDescent="0.2">
      <c r="A148" s="43">
        <v>25263</v>
      </c>
      <c r="B148">
        <v>19.687000000000001</v>
      </c>
      <c r="C148">
        <v>20.805</v>
      </c>
      <c r="E148">
        <v>37.799999999999997</v>
      </c>
    </row>
    <row r="149" spans="1:5" x14ac:dyDescent="0.2">
      <c r="A149" s="43">
        <v>25294</v>
      </c>
      <c r="B149">
        <v>19.774000000000001</v>
      </c>
      <c r="C149">
        <v>20.885999999999999</v>
      </c>
      <c r="E149">
        <v>38.1</v>
      </c>
    </row>
    <row r="150" spans="1:5" x14ac:dyDescent="0.2">
      <c r="A150" s="43">
        <v>25324</v>
      </c>
      <c r="B150">
        <v>19.853999999999999</v>
      </c>
      <c r="C150">
        <v>20.969000000000001</v>
      </c>
      <c r="E150">
        <v>38.1</v>
      </c>
    </row>
    <row r="151" spans="1:5" x14ac:dyDescent="0.2">
      <c r="A151" s="43">
        <v>25355</v>
      </c>
      <c r="B151">
        <v>19.95</v>
      </c>
      <c r="C151">
        <v>21.041</v>
      </c>
      <c r="E151">
        <v>38.299999999999997</v>
      </c>
    </row>
    <row r="152" spans="1:5" x14ac:dyDescent="0.2">
      <c r="A152" s="43">
        <v>25385</v>
      </c>
      <c r="B152">
        <v>20.036999999999999</v>
      </c>
      <c r="C152">
        <v>21.138999999999999</v>
      </c>
      <c r="E152">
        <v>38.5</v>
      </c>
    </row>
    <row r="153" spans="1:5" x14ac:dyDescent="0.2">
      <c r="A153" s="43">
        <v>25416</v>
      </c>
      <c r="B153">
        <v>20.093</v>
      </c>
      <c r="C153">
        <v>21.199000000000002</v>
      </c>
      <c r="E153">
        <v>38.700000000000003</v>
      </c>
    </row>
    <row r="154" spans="1:5" x14ac:dyDescent="0.2">
      <c r="A154" s="43">
        <v>25447</v>
      </c>
      <c r="B154">
        <v>20.175999999999998</v>
      </c>
      <c r="C154">
        <v>21.283999999999999</v>
      </c>
      <c r="E154">
        <v>38.9</v>
      </c>
    </row>
    <row r="155" spans="1:5" x14ac:dyDescent="0.2">
      <c r="A155" s="43">
        <v>25477</v>
      </c>
      <c r="B155">
        <v>20.245000000000001</v>
      </c>
      <c r="C155">
        <v>21.375</v>
      </c>
      <c r="E155">
        <v>39.1</v>
      </c>
    </row>
    <row r="156" spans="1:5" x14ac:dyDescent="0.2">
      <c r="A156" s="43">
        <v>25508</v>
      </c>
      <c r="B156">
        <v>20.332000000000001</v>
      </c>
      <c r="C156">
        <v>21.457000000000001</v>
      </c>
      <c r="E156">
        <v>39.200000000000003</v>
      </c>
    </row>
    <row r="157" spans="1:5" x14ac:dyDescent="0.2">
      <c r="A157" s="43">
        <v>25538</v>
      </c>
      <c r="B157">
        <v>20.425999999999998</v>
      </c>
      <c r="C157">
        <v>21.536999999999999</v>
      </c>
      <c r="E157">
        <v>39.4</v>
      </c>
    </row>
    <row r="158" spans="1:5" x14ac:dyDescent="0.2">
      <c r="A158" s="43">
        <v>25569</v>
      </c>
      <c r="B158">
        <v>20.498999999999999</v>
      </c>
      <c r="C158">
        <v>21.608000000000001</v>
      </c>
      <c r="E158">
        <v>39.6</v>
      </c>
    </row>
    <row r="159" spans="1:5" x14ac:dyDescent="0.2">
      <c r="A159" s="43">
        <v>25600</v>
      </c>
      <c r="B159">
        <v>20.58</v>
      </c>
      <c r="C159">
        <v>21.690999999999999</v>
      </c>
      <c r="E159">
        <v>39.799999999999997</v>
      </c>
    </row>
    <row r="160" spans="1:5" x14ac:dyDescent="0.2">
      <c r="A160" s="43">
        <v>25628</v>
      </c>
      <c r="B160">
        <v>20.631</v>
      </c>
      <c r="C160">
        <v>21.771999999999998</v>
      </c>
      <c r="E160">
        <v>40.1</v>
      </c>
    </row>
    <row r="161" spans="1:5" x14ac:dyDescent="0.2">
      <c r="A161" s="43">
        <v>25659</v>
      </c>
      <c r="B161">
        <v>20.736000000000001</v>
      </c>
      <c r="C161">
        <v>21.856999999999999</v>
      </c>
      <c r="E161">
        <v>40.4</v>
      </c>
    </row>
    <row r="162" spans="1:5" x14ac:dyDescent="0.2">
      <c r="A162" s="43">
        <v>25689</v>
      </c>
      <c r="B162">
        <v>20.802</v>
      </c>
      <c r="C162">
        <v>21.934000000000001</v>
      </c>
      <c r="E162">
        <v>40.5</v>
      </c>
    </row>
    <row r="163" spans="1:5" x14ac:dyDescent="0.2">
      <c r="A163" s="43">
        <v>25720</v>
      </c>
      <c r="B163">
        <v>20.856000000000002</v>
      </c>
      <c r="C163">
        <v>22.013999999999999</v>
      </c>
      <c r="E163">
        <v>40.799999999999997</v>
      </c>
    </row>
    <row r="164" spans="1:5" x14ac:dyDescent="0.2">
      <c r="A164" s="43">
        <v>25750</v>
      </c>
      <c r="B164">
        <v>20.931999999999999</v>
      </c>
      <c r="C164">
        <v>22.097999999999999</v>
      </c>
      <c r="E164">
        <v>40.9</v>
      </c>
    </row>
    <row r="165" spans="1:5" x14ac:dyDescent="0.2">
      <c r="A165" s="43">
        <v>25781</v>
      </c>
      <c r="B165">
        <v>20.986999999999998</v>
      </c>
      <c r="C165">
        <v>22.173999999999999</v>
      </c>
      <c r="E165">
        <v>41.1</v>
      </c>
    </row>
    <row r="166" spans="1:5" x14ac:dyDescent="0.2">
      <c r="A166" s="43">
        <v>25812</v>
      </c>
      <c r="B166">
        <v>21.081</v>
      </c>
      <c r="C166">
        <v>22.266999999999999</v>
      </c>
      <c r="E166">
        <v>41.3</v>
      </c>
    </row>
    <row r="167" spans="1:5" x14ac:dyDescent="0.2">
      <c r="A167" s="43">
        <v>25842</v>
      </c>
      <c r="B167">
        <v>21.184999999999999</v>
      </c>
      <c r="C167">
        <v>22.376000000000001</v>
      </c>
      <c r="E167">
        <v>41.5</v>
      </c>
    </row>
    <row r="168" spans="1:5" x14ac:dyDescent="0.2">
      <c r="A168" s="43">
        <v>25873</v>
      </c>
      <c r="B168">
        <v>21.268999999999998</v>
      </c>
      <c r="C168">
        <v>22.492000000000001</v>
      </c>
      <c r="E168">
        <v>41.8</v>
      </c>
    </row>
    <row r="169" spans="1:5" x14ac:dyDescent="0.2">
      <c r="A169" s="43">
        <v>25903</v>
      </c>
      <c r="B169">
        <v>21.363</v>
      </c>
      <c r="C169">
        <v>22.605</v>
      </c>
      <c r="E169">
        <v>42</v>
      </c>
    </row>
    <row r="170" spans="1:5" x14ac:dyDescent="0.2">
      <c r="A170" s="43">
        <v>25934</v>
      </c>
      <c r="B170">
        <v>21.408000000000001</v>
      </c>
      <c r="C170">
        <v>22.693999999999999</v>
      </c>
      <c r="E170">
        <v>42.1</v>
      </c>
    </row>
    <row r="171" spans="1:5" x14ac:dyDescent="0.2">
      <c r="A171" s="43">
        <v>25965</v>
      </c>
      <c r="B171">
        <v>21.471</v>
      </c>
      <c r="C171">
        <v>22.78</v>
      </c>
      <c r="E171">
        <v>42.2</v>
      </c>
    </row>
    <row r="172" spans="1:5" x14ac:dyDescent="0.2">
      <c r="A172" s="43">
        <v>25993</v>
      </c>
      <c r="B172">
        <v>21.542000000000002</v>
      </c>
      <c r="C172">
        <v>22.853000000000002</v>
      </c>
      <c r="E172">
        <v>42.2</v>
      </c>
    </row>
    <row r="173" spans="1:5" x14ac:dyDescent="0.2">
      <c r="A173" s="43">
        <v>26024</v>
      </c>
      <c r="B173">
        <v>21.626000000000001</v>
      </c>
      <c r="C173">
        <v>22.939</v>
      </c>
      <c r="E173">
        <v>42.4</v>
      </c>
    </row>
    <row r="174" spans="1:5" x14ac:dyDescent="0.2">
      <c r="A174" s="43">
        <v>26054</v>
      </c>
      <c r="B174">
        <v>21.716999999999999</v>
      </c>
      <c r="C174">
        <v>23.039000000000001</v>
      </c>
      <c r="E174">
        <v>42.6</v>
      </c>
    </row>
    <row r="175" spans="1:5" x14ac:dyDescent="0.2">
      <c r="A175" s="43">
        <v>26085</v>
      </c>
      <c r="B175">
        <v>21.812999999999999</v>
      </c>
      <c r="C175">
        <v>23.129000000000001</v>
      </c>
      <c r="E175">
        <v>42.8</v>
      </c>
    </row>
    <row r="176" spans="1:5" x14ac:dyDescent="0.2">
      <c r="A176" s="43">
        <v>26115</v>
      </c>
      <c r="B176">
        <v>21.879000000000001</v>
      </c>
      <c r="C176">
        <v>23.218</v>
      </c>
      <c r="E176">
        <v>42.9</v>
      </c>
    </row>
    <row r="177" spans="1:5" x14ac:dyDescent="0.2">
      <c r="A177" s="43">
        <v>26146</v>
      </c>
      <c r="B177">
        <v>21.942</v>
      </c>
      <c r="C177">
        <v>23.251000000000001</v>
      </c>
      <c r="E177">
        <v>43</v>
      </c>
    </row>
    <row r="178" spans="1:5" x14ac:dyDescent="0.2">
      <c r="A178" s="43">
        <v>26177</v>
      </c>
      <c r="B178">
        <v>21.975000000000001</v>
      </c>
      <c r="C178">
        <v>23.289000000000001</v>
      </c>
      <c r="E178">
        <v>43</v>
      </c>
    </row>
    <row r="179" spans="1:5" x14ac:dyDescent="0.2">
      <c r="A179" s="43">
        <v>26207</v>
      </c>
      <c r="B179">
        <v>22.009</v>
      </c>
      <c r="C179">
        <v>23.326000000000001</v>
      </c>
      <c r="E179">
        <v>43.1</v>
      </c>
    </row>
    <row r="180" spans="1:5" x14ac:dyDescent="0.2">
      <c r="A180" s="43">
        <v>26238</v>
      </c>
      <c r="B180">
        <v>22.053999999999998</v>
      </c>
      <c r="C180">
        <v>23.379000000000001</v>
      </c>
      <c r="E180">
        <v>43.2</v>
      </c>
    </row>
    <row r="181" spans="1:5" x14ac:dyDescent="0.2">
      <c r="A181" s="43">
        <v>26268</v>
      </c>
      <c r="B181">
        <v>22.140999999999998</v>
      </c>
      <c r="C181">
        <v>23.452000000000002</v>
      </c>
      <c r="E181">
        <v>43.3</v>
      </c>
    </row>
    <row r="182" spans="1:5" x14ac:dyDescent="0.2">
      <c r="A182" s="43">
        <v>26299</v>
      </c>
      <c r="B182">
        <v>22.231999999999999</v>
      </c>
      <c r="C182">
        <v>23.552</v>
      </c>
      <c r="E182">
        <v>43.5</v>
      </c>
    </row>
    <row r="183" spans="1:5" x14ac:dyDescent="0.2">
      <c r="A183" s="43">
        <v>26330</v>
      </c>
      <c r="B183">
        <v>22.318999999999999</v>
      </c>
      <c r="C183">
        <v>23.614999999999998</v>
      </c>
      <c r="E183">
        <v>43.6</v>
      </c>
    </row>
    <row r="184" spans="1:5" x14ac:dyDescent="0.2">
      <c r="A184" s="43">
        <v>26359</v>
      </c>
      <c r="B184">
        <v>22.350999999999999</v>
      </c>
      <c r="C184">
        <v>23.661999999999999</v>
      </c>
      <c r="E184">
        <v>43.6</v>
      </c>
    </row>
    <row r="185" spans="1:5" x14ac:dyDescent="0.2">
      <c r="A185" s="43">
        <v>26390</v>
      </c>
      <c r="B185">
        <v>22.385999999999999</v>
      </c>
      <c r="C185">
        <v>23.716999999999999</v>
      </c>
      <c r="E185">
        <v>43.8</v>
      </c>
    </row>
    <row r="186" spans="1:5" x14ac:dyDescent="0.2">
      <c r="A186" s="43">
        <v>26420</v>
      </c>
      <c r="B186">
        <v>22.434000000000001</v>
      </c>
      <c r="C186">
        <v>23.771999999999998</v>
      </c>
      <c r="E186">
        <v>43.9</v>
      </c>
    </row>
    <row r="187" spans="1:5" x14ac:dyDescent="0.2">
      <c r="A187" s="43">
        <v>26451</v>
      </c>
      <c r="B187">
        <v>22.469000000000001</v>
      </c>
      <c r="C187">
        <v>23.818999999999999</v>
      </c>
      <c r="E187">
        <v>44</v>
      </c>
    </row>
    <row r="188" spans="1:5" x14ac:dyDescent="0.2">
      <c r="A188" s="43">
        <v>26481</v>
      </c>
      <c r="B188">
        <v>22.548999999999999</v>
      </c>
      <c r="C188">
        <v>23.888000000000002</v>
      </c>
      <c r="E188">
        <v>44.1</v>
      </c>
    </row>
    <row r="189" spans="1:5" x14ac:dyDescent="0.2">
      <c r="A189" s="43">
        <v>26512</v>
      </c>
      <c r="B189">
        <v>22.614999999999998</v>
      </c>
      <c r="C189">
        <v>23.937999999999999</v>
      </c>
      <c r="E189">
        <v>44.3</v>
      </c>
    </row>
    <row r="190" spans="1:5" x14ac:dyDescent="0.2">
      <c r="A190" s="43">
        <v>26543</v>
      </c>
      <c r="B190">
        <v>22.716000000000001</v>
      </c>
      <c r="C190">
        <v>24.018000000000001</v>
      </c>
      <c r="E190">
        <v>44.3</v>
      </c>
    </row>
    <row r="191" spans="1:5" x14ac:dyDescent="0.2">
      <c r="A191" s="43">
        <v>26573</v>
      </c>
      <c r="B191">
        <v>22.741</v>
      </c>
      <c r="C191">
        <v>24.032</v>
      </c>
      <c r="E191">
        <v>44.4</v>
      </c>
    </row>
    <row r="192" spans="1:5" x14ac:dyDescent="0.2">
      <c r="A192" s="43">
        <v>26604</v>
      </c>
      <c r="B192">
        <v>22.809000000000001</v>
      </c>
      <c r="C192">
        <v>24.094999999999999</v>
      </c>
      <c r="E192">
        <v>44.4</v>
      </c>
    </row>
    <row r="193" spans="1:5" x14ac:dyDescent="0.2">
      <c r="A193" s="43">
        <v>26634</v>
      </c>
      <c r="B193">
        <v>22.882000000000001</v>
      </c>
      <c r="C193">
        <v>24.167999999999999</v>
      </c>
      <c r="E193">
        <v>44.6</v>
      </c>
    </row>
    <row r="194" spans="1:5" x14ac:dyDescent="0.2">
      <c r="A194" s="43">
        <v>26665</v>
      </c>
      <c r="B194">
        <v>22.951000000000001</v>
      </c>
      <c r="C194">
        <v>24.183</v>
      </c>
      <c r="E194">
        <v>44.6</v>
      </c>
    </row>
    <row r="195" spans="1:5" x14ac:dyDescent="0.2">
      <c r="A195" s="43">
        <v>26696</v>
      </c>
      <c r="B195">
        <v>23.071999999999999</v>
      </c>
      <c r="C195">
        <v>24.259</v>
      </c>
      <c r="E195">
        <v>44.8</v>
      </c>
    </row>
    <row r="196" spans="1:5" x14ac:dyDescent="0.2">
      <c r="A196" s="43">
        <v>26724</v>
      </c>
      <c r="B196">
        <v>23.234999999999999</v>
      </c>
      <c r="C196">
        <v>24.356999999999999</v>
      </c>
      <c r="E196">
        <v>45</v>
      </c>
    </row>
    <row r="197" spans="1:5" x14ac:dyDescent="0.2">
      <c r="A197" s="43">
        <v>26755</v>
      </c>
      <c r="B197">
        <v>23.408000000000001</v>
      </c>
      <c r="C197">
        <v>24.498000000000001</v>
      </c>
      <c r="E197">
        <v>45.1</v>
      </c>
    </row>
    <row r="198" spans="1:5" x14ac:dyDescent="0.2">
      <c r="A198" s="43">
        <v>26785</v>
      </c>
      <c r="B198">
        <v>23.523</v>
      </c>
      <c r="C198">
        <v>24.593</v>
      </c>
      <c r="E198">
        <v>45.3</v>
      </c>
    </row>
    <row r="199" spans="1:5" x14ac:dyDescent="0.2">
      <c r="A199" s="43">
        <v>26816</v>
      </c>
      <c r="B199">
        <v>23.658000000000001</v>
      </c>
      <c r="C199">
        <v>24.699000000000002</v>
      </c>
      <c r="E199">
        <v>45.4</v>
      </c>
    </row>
    <row r="200" spans="1:5" x14ac:dyDescent="0.2">
      <c r="A200" s="43">
        <v>26846</v>
      </c>
      <c r="B200">
        <v>23.744</v>
      </c>
      <c r="C200">
        <v>24.805</v>
      </c>
      <c r="E200">
        <v>45.5</v>
      </c>
    </row>
    <row r="201" spans="1:5" x14ac:dyDescent="0.2">
      <c r="A201" s="43">
        <v>26877</v>
      </c>
      <c r="B201">
        <v>24.016999999999999</v>
      </c>
      <c r="C201">
        <v>24.920999999999999</v>
      </c>
      <c r="E201">
        <v>45.7</v>
      </c>
    </row>
    <row r="202" spans="1:5" x14ac:dyDescent="0.2">
      <c r="A202" s="43">
        <v>26908</v>
      </c>
      <c r="B202">
        <v>24.113</v>
      </c>
      <c r="C202">
        <v>25.045999999999999</v>
      </c>
      <c r="E202">
        <v>46</v>
      </c>
    </row>
    <row r="203" spans="1:5" x14ac:dyDescent="0.2">
      <c r="A203" s="43">
        <v>26938</v>
      </c>
      <c r="B203">
        <v>24.248999999999999</v>
      </c>
      <c r="C203">
        <v>25.143000000000001</v>
      </c>
      <c r="E203">
        <v>46.3</v>
      </c>
    </row>
    <row r="204" spans="1:5" x14ac:dyDescent="0.2">
      <c r="A204" s="43">
        <v>26969</v>
      </c>
      <c r="B204">
        <v>24.448</v>
      </c>
      <c r="C204">
        <v>25.263999999999999</v>
      </c>
      <c r="E204">
        <v>46.5</v>
      </c>
    </row>
    <row r="205" spans="1:5" x14ac:dyDescent="0.2">
      <c r="A205" s="43">
        <v>26999</v>
      </c>
      <c r="B205">
        <v>24.649000000000001</v>
      </c>
      <c r="C205">
        <v>25.404</v>
      </c>
      <c r="E205">
        <v>46.7</v>
      </c>
    </row>
    <row r="206" spans="1:5" x14ac:dyDescent="0.2">
      <c r="A206" s="43">
        <v>27030</v>
      </c>
      <c r="B206">
        <v>24.885000000000002</v>
      </c>
      <c r="C206">
        <v>25.529</v>
      </c>
      <c r="E206">
        <v>46.9</v>
      </c>
    </row>
    <row r="207" spans="1:5" x14ac:dyDescent="0.2">
      <c r="A207" s="43">
        <v>27061</v>
      </c>
      <c r="B207">
        <v>25.175000000000001</v>
      </c>
      <c r="C207">
        <v>25.692</v>
      </c>
      <c r="E207">
        <v>47.2</v>
      </c>
    </row>
    <row r="208" spans="1:5" x14ac:dyDescent="0.2">
      <c r="A208" s="43">
        <v>27089</v>
      </c>
      <c r="B208">
        <v>25.466999999999999</v>
      </c>
      <c r="C208">
        <v>25.891999999999999</v>
      </c>
      <c r="E208">
        <v>47.6</v>
      </c>
    </row>
    <row r="209" spans="1:5" x14ac:dyDescent="0.2">
      <c r="A209" s="43">
        <v>27120</v>
      </c>
      <c r="B209">
        <v>25.646999999999998</v>
      </c>
      <c r="C209">
        <v>26.085999999999999</v>
      </c>
      <c r="E209">
        <v>47.9</v>
      </c>
    </row>
    <row r="210" spans="1:5" x14ac:dyDescent="0.2">
      <c r="A210" s="43">
        <v>27150</v>
      </c>
      <c r="B210">
        <v>25.9</v>
      </c>
      <c r="C210">
        <v>26.337</v>
      </c>
      <c r="E210">
        <v>48.5</v>
      </c>
    </row>
    <row r="211" spans="1:5" x14ac:dyDescent="0.2">
      <c r="A211" s="43">
        <v>27181</v>
      </c>
      <c r="B211">
        <v>26.119</v>
      </c>
      <c r="C211">
        <v>26.606999999999999</v>
      </c>
      <c r="E211">
        <v>49</v>
      </c>
    </row>
    <row r="212" spans="1:5" x14ac:dyDescent="0.2">
      <c r="A212" s="43">
        <v>27211</v>
      </c>
      <c r="B212">
        <v>26.312000000000001</v>
      </c>
      <c r="C212">
        <v>26.843</v>
      </c>
      <c r="E212">
        <v>49.5</v>
      </c>
    </row>
    <row r="213" spans="1:5" x14ac:dyDescent="0.2">
      <c r="A213" s="43">
        <v>27242</v>
      </c>
      <c r="B213">
        <v>26.587</v>
      </c>
      <c r="C213">
        <v>27.100999999999999</v>
      </c>
      <c r="E213">
        <v>50.2</v>
      </c>
    </row>
    <row r="214" spans="1:5" x14ac:dyDescent="0.2">
      <c r="A214" s="43">
        <v>27273</v>
      </c>
      <c r="B214">
        <v>26.863</v>
      </c>
      <c r="C214">
        <v>27.344999999999999</v>
      </c>
      <c r="E214">
        <v>50.7</v>
      </c>
    </row>
    <row r="215" spans="1:5" x14ac:dyDescent="0.2">
      <c r="A215" s="43">
        <v>27303</v>
      </c>
      <c r="B215">
        <v>27.056000000000001</v>
      </c>
      <c r="C215">
        <v>27.559000000000001</v>
      </c>
      <c r="E215">
        <v>51.2</v>
      </c>
    </row>
    <row r="216" spans="1:5" x14ac:dyDescent="0.2">
      <c r="A216" s="43">
        <v>27334</v>
      </c>
      <c r="B216">
        <v>27.259</v>
      </c>
      <c r="C216">
        <v>27.76</v>
      </c>
      <c r="E216">
        <v>51.6</v>
      </c>
    </row>
    <row r="217" spans="1:5" x14ac:dyDescent="0.2">
      <c r="A217" s="43">
        <v>27364</v>
      </c>
      <c r="B217">
        <v>27.474</v>
      </c>
      <c r="C217">
        <v>27.956</v>
      </c>
      <c r="E217">
        <v>52</v>
      </c>
    </row>
    <row r="218" spans="1:5" x14ac:dyDescent="0.2">
      <c r="A218" s="43">
        <v>27395</v>
      </c>
      <c r="B218">
        <v>27.645</v>
      </c>
      <c r="C218">
        <v>28.119</v>
      </c>
      <c r="E218">
        <v>52.3</v>
      </c>
    </row>
    <row r="219" spans="1:5" x14ac:dyDescent="0.2">
      <c r="A219" s="43">
        <v>27426</v>
      </c>
      <c r="B219">
        <v>27.795000000000002</v>
      </c>
      <c r="C219">
        <v>28.318000000000001</v>
      </c>
      <c r="E219">
        <v>52.8</v>
      </c>
    </row>
    <row r="220" spans="1:5" x14ac:dyDescent="0.2">
      <c r="A220" s="43">
        <v>27454</v>
      </c>
      <c r="B220">
        <v>27.888999999999999</v>
      </c>
      <c r="C220">
        <v>28.466000000000001</v>
      </c>
      <c r="E220">
        <v>53</v>
      </c>
    </row>
    <row r="221" spans="1:5" x14ac:dyDescent="0.2">
      <c r="A221" s="43">
        <v>27485</v>
      </c>
      <c r="B221">
        <v>27.984000000000002</v>
      </c>
      <c r="C221">
        <v>28.603999999999999</v>
      </c>
      <c r="E221">
        <v>53.3</v>
      </c>
    </row>
    <row r="222" spans="1:5" x14ac:dyDescent="0.2">
      <c r="A222" s="43">
        <v>27515</v>
      </c>
      <c r="B222">
        <v>28.094999999999999</v>
      </c>
      <c r="C222">
        <v>28.725000000000001</v>
      </c>
      <c r="E222">
        <v>53.5</v>
      </c>
    </row>
    <row r="223" spans="1:5" x14ac:dyDescent="0.2">
      <c r="A223" s="43">
        <v>27546</v>
      </c>
      <c r="B223">
        <v>28.271000000000001</v>
      </c>
      <c r="C223">
        <v>28.866</v>
      </c>
      <c r="E223">
        <v>53.8</v>
      </c>
    </row>
    <row r="224" spans="1:5" x14ac:dyDescent="0.2">
      <c r="A224" s="43">
        <v>27576</v>
      </c>
      <c r="B224">
        <v>28.513999999999999</v>
      </c>
      <c r="C224">
        <v>29.044</v>
      </c>
      <c r="E224">
        <v>54</v>
      </c>
    </row>
    <row r="225" spans="1:5" x14ac:dyDescent="0.2">
      <c r="A225" s="43">
        <v>27607</v>
      </c>
      <c r="B225">
        <v>28.637</v>
      </c>
      <c r="C225">
        <v>29.143999999999998</v>
      </c>
      <c r="E225">
        <v>54.2</v>
      </c>
    </row>
    <row r="226" spans="1:5" x14ac:dyDescent="0.2">
      <c r="A226" s="43">
        <v>27638</v>
      </c>
      <c r="B226">
        <v>28.779</v>
      </c>
      <c r="C226">
        <v>29.302</v>
      </c>
      <c r="E226">
        <v>54.5</v>
      </c>
    </row>
    <row r="227" spans="1:5" x14ac:dyDescent="0.2">
      <c r="A227" s="43">
        <v>27668</v>
      </c>
      <c r="B227">
        <v>28.946000000000002</v>
      </c>
      <c r="C227">
        <v>29.448</v>
      </c>
      <c r="E227">
        <v>54.8</v>
      </c>
    </row>
    <row r="228" spans="1:5" x14ac:dyDescent="0.2">
      <c r="A228" s="43">
        <v>27699</v>
      </c>
      <c r="B228">
        <v>29.132000000000001</v>
      </c>
      <c r="C228">
        <v>29.643000000000001</v>
      </c>
      <c r="E228">
        <v>55.2</v>
      </c>
    </row>
    <row r="229" spans="1:5" x14ac:dyDescent="0.2">
      <c r="A229" s="43">
        <v>27729</v>
      </c>
      <c r="B229">
        <v>29.292999999999999</v>
      </c>
      <c r="C229">
        <v>29.823</v>
      </c>
      <c r="E229">
        <v>55.5</v>
      </c>
    </row>
    <row r="230" spans="1:5" x14ac:dyDescent="0.2">
      <c r="A230" s="43">
        <v>27760</v>
      </c>
      <c r="B230">
        <v>29.405000000000001</v>
      </c>
      <c r="C230">
        <v>29.975999999999999</v>
      </c>
      <c r="E230">
        <v>55.9</v>
      </c>
    </row>
    <row r="231" spans="1:5" x14ac:dyDescent="0.2">
      <c r="A231" s="43">
        <v>27791</v>
      </c>
      <c r="B231">
        <v>29.442</v>
      </c>
      <c r="C231">
        <v>30.094999999999999</v>
      </c>
      <c r="E231">
        <v>56.2</v>
      </c>
    </row>
    <row r="232" spans="1:5" x14ac:dyDescent="0.2">
      <c r="A232" s="43">
        <v>27820</v>
      </c>
      <c r="B232">
        <v>29.486000000000001</v>
      </c>
      <c r="C232">
        <v>30.195</v>
      </c>
      <c r="E232">
        <v>56.5</v>
      </c>
    </row>
    <row r="233" spans="1:5" x14ac:dyDescent="0.2">
      <c r="A233" s="43">
        <v>27851</v>
      </c>
      <c r="B233">
        <v>29.553000000000001</v>
      </c>
      <c r="C233">
        <v>30.312000000000001</v>
      </c>
      <c r="E233">
        <v>56.7</v>
      </c>
    </row>
    <row r="234" spans="1:5" x14ac:dyDescent="0.2">
      <c r="A234" s="43">
        <v>27881</v>
      </c>
      <c r="B234">
        <v>29.695</v>
      </c>
      <c r="C234">
        <v>30.456</v>
      </c>
      <c r="E234">
        <v>57</v>
      </c>
    </row>
    <row r="235" spans="1:5" x14ac:dyDescent="0.2">
      <c r="A235" s="43">
        <v>27912</v>
      </c>
      <c r="B235">
        <v>29.824000000000002</v>
      </c>
      <c r="C235">
        <v>30.579000000000001</v>
      </c>
      <c r="E235">
        <v>57.2</v>
      </c>
    </row>
    <row r="236" spans="1:5" x14ac:dyDescent="0.2">
      <c r="A236" s="43">
        <v>27942</v>
      </c>
      <c r="B236">
        <v>29.975000000000001</v>
      </c>
      <c r="C236">
        <v>30.748000000000001</v>
      </c>
      <c r="E236">
        <v>57.6</v>
      </c>
    </row>
    <row r="237" spans="1:5" x14ac:dyDescent="0.2">
      <c r="A237" s="43">
        <v>27973</v>
      </c>
      <c r="B237">
        <v>30.14</v>
      </c>
      <c r="C237">
        <v>30.925000000000001</v>
      </c>
      <c r="E237">
        <v>57.9</v>
      </c>
    </row>
    <row r="238" spans="1:5" x14ac:dyDescent="0.2">
      <c r="A238" s="43">
        <v>28004</v>
      </c>
      <c r="B238">
        <v>30.31</v>
      </c>
      <c r="C238">
        <v>31.106000000000002</v>
      </c>
      <c r="E238">
        <v>58.2</v>
      </c>
    </row>
    <row r="239" spans="1:5" x14ac:dyDescent="0.2">
      <c r="A239" s="43">
        <v>28034</v>
      </c>
      <c r="B239">
        <v>30.469000000000001</v>
      </c>
      <c r="C239">
        <v>31.257999999999999</v>
      </c>
      <c r="E239">
        <v>58.5</v>
      </c>
    </row>
    <row r="240" spans="1:5" x14ac:dyDescent="0.2">
      <c r="A240" s="43">
        <v>28065</v>
      </c>
      <c r="B240">
        <v>30.606999999999999</v>
      </c>
      <c r="C240">
        <v>31.401</v>
      </c>
      <c r="E240">
        <v>58.7</v>
      </c>
    </row>
    <row r="241" spans="1:5" x14ac:dyDescent="0.2">
      <c r="A241" s="43">
        <v>28095</v>
      </c>
      <c r="B241">
        <v>30.777999999999999</v>
      </c>
      <c r="C241">
        <v>31.571000000000002</v>
      </c>
      <c r="E241">
        <v>58.9</v>
      </c>
    </row>
    <row r="242" spans="1:5" x14ac:dyDescent="0.2">
      <c r="A242" s="43">
        <v>28126</v>
      </c>
      <c r="B242">
        <v>30.957000000000001</v>
      </c>
      <c r="C242">
        <v>31.763000000000002</v>
      </c>
      <c r="E242">
        <v>59.3</v>
      </c>
    </row>
    <row r="243" spans="1:5" x14ac:dyDescent="0.2">
      <c r="A243" s="43">
        <v>28157</v>
      </c>
      <c r="B243">
        <v>31.199000000000002</v>
      </c>
      <c r="C243">
        <v>31.957999999999998</v>
      </c>
      <c r="E243">
        <v>59.7</v>
      </c>
    </row>
    <row r="244" spans="1:5" x14ac:dyDescent="0.2">
      <c r="A244" s="43">
        <v>28185</v>
      </c>
      <c r="B244">
        <v>31.356000000000002</v>
      </c>
      <c r="C244">
        <v>32.094000000000001</v>
      </c>
      <c r="E244">
        <v>60</v>
      </c>
    </row>
    <row r="245" spans="1:5" x14ac:dyDescent="0.2">
      <c r="A245" s="43">
        <v>28216</v>
      </c>
      <c r="B245">
        <v>31.538</v>
      </c>
      <c r="C245">
        <v>32.253</v>
      </c>
      <c r="E245">
        <v>60.3</v>
      </c>
    </row>
    <row r="246" spans="1:5" x14ac:dyDescent="0.2">
      <c r="A246" s="43">
        <v>28246</v>
      </c>
      <c r="B246">
        <v>31.698</v>
      </c>
      <c r="C246">
        <v>32.417000000000002</v>
      </c>
      <c r="E246">
        <v>60.6</v>
      </c>
    </row>
    <row r="247" spans="1:5" x14ac:dyDescent="0.2">
      <c r="A247" s="43">
        <v>28277</v>
      </c>
      <c r="B247">
        <v>31.875</v>
      </c>
      <c r="C247">
        <v>32.610999999999997</v>
      </c>
      <c r="E247">
        <v>61</v>
      </c>
    </row>
    <row r="248" spans="1:5" x14ac:dyDescent="0.2">
      <c r="A248" s="43">
        <v>28307</v>
      </c>
      <c r="B248">
        <v>32.040999999999997</v>
      </c>
      <c r="C248">
        <v>32.813000000000002</v>
      </c>
      <c r="E248">
        <v>61.2</v>
      </c>
    </row>
    <row r="249" spans="1:5" x14ac:dyDescent="0.2">
      <c r="A249" s="43">
        <v>28338</v>
      </c>
      <c r="B249">
        <v>32.19</v>
      </c>
      <c r="C249">
        <v>32.972999999999999</v>
      </c>
      <c r="E249">
        <v>61.5</v>
      </c>
    </row>
    <row r="250" spans="1:5" x14ac:dyDescent="0.2">
      <c r="A250" s="43">
        <v>28369</v>
      </c>
      <c r="B250">
        <v>32.311</v>
      </c>
      <c r="C250">
        <v>33.113</v>
      </c>
      <c r="E250">
        <v>61.8</v>
      </c>
    </row>
    <row r="251" spans="1:5" x14ac:dyDescent="0.2">
      <c r="A251" s="43">
        <v>28399</v>
      </c>
      <c r="B251">
        <v>32.460999999999999</v>
      </c>
      <c r="C251">
        <v>33.273000000000003</v>
      </c>
      <c r="E251">
        <v>62</v>
      </c>
    </row>
    <row r="252" spans="1:5" x14ac:dyDescent="0.2">
      <c r="A252" s="43">
        <v>28430</v>
      </c>
      <c r="B252">
        <v>32.648000000000003</v>
      </c>
      <c r="C252">
        <v>33.445</v>
      </c>
      <c r="E252">
        <v>62.3</v>
      </c>
    </row>
    <row r="253" spans="1:5" x14ac:dyDescent="0.2">
      <c r="A253" s="43">
        <v>28460</v>
      </c>
      <c r="B253">
        <v>32.805999999999997</v>
      </c>
      <c r="C253">
        <v>33.618000000000002</v>
      </c>
      <c r="E253">
        <v>62.7</v>
      </c>
    </row>
    <row r="254" spans="1:5" x14ac:dyDescent="0.2">
      <c r="A254" s="43">
        <v>28491</v>
      </c>
      <c r="B254">
        <v>33</v>
      </c>
      <c r="C254">
        <v>33.819000000000003</v>
      </c>
      <c r="E254">
        <v>63.1</v>
      </c>
    </row>
    <row r="255" spans="1:5" x14ac:dyDescent="0.2">
      <c r="A255" s="43">
        <v>28522</v>
      </c>
      <c r="B255">
        <v>33.152999999999999</v>
      </c>
      <c r="C255">
        <v>33.948999999999998</v>
      </c>
      <c r="E255">
        <v>63.4</v>
      </c>
    </row>
    <row r="256" spans="1:5" x14ac:dyDescent="0.2">
      <c r="A256" s="43">
        <v>28550</v>
      </c>
      <c r="B256">
        <v>33.368000000000002</v>
      </c>
      <c r="C256">
        <v>34.133000000000003</v>
      </c>
      <c r="E256">
        <v>63.8</v>
      </c>
    </row>
    <row r="257" spans="1:5" x14ac:dyDescent="0.2">
      <c r="A257" s="43">
        <v>28581</v>
      </c>
      <c r="B257">
        <v>33.621000000000002</v>
      </c>
      <c r="C257">
        <v>34.353999999999999</v>
      </c>
      <c r="E257">
        <v>64.3</v>
      </c>
    </row>
    <row r="258" spans="1:5" x14ac:dyDescent="0.2">
      <c r="A258" s="43">
        <v>28611</v>
      </c>
      <c r="B258">
        <v>33.860999999999997</v>
      </c>
      <c r="C258">
        <v>34.555999999999997</v>
      </c>
      <c r="E258">
        <v>64.7</v>
      </c>
    </row>
    <row r="259" spans="1:5" x14ac:dyDescent="0.2">
      <c r="A259" s="43">
        <v>28642</v>
      </c>
      <c r="B259">
        <v>34.082000000000001</v>
      </c>
      <c r="C259">
        <v>34.749000000000002</v>
      </c>
      <c r="E259">
        <v>65.2</v>
      </c>
    </row>
    <row r="260" spans="1:5" x14ac:dyDescent="0.2">
      <c r="A260" s="43">
        <v>28672</v>
      </c>
      <c r="B260">
        <v>34.268999999999998</v>
      </c>
      <c r="C260">
        <v>34.953000000000003</v>
      </c>
      <c r="E260">
        <v>65.599999999999994</v>
      </c>
    </row>
    <row r="261" spans="1:5" x14ac:dyDescent="0.2">
      <c r="A261" s="43">
        <v>28703</v>
      </c>
      <c r="B261">
        <v>34.442</v>
      </c>
      <c r="C261">
        <v>35.140999999999998</v>
      </c>
      <c r="E261">
        <v>66.099999999999994</v>
      </c>
    </row>
    <row r="262" spans="1:5" x14ac:dyDescent="0.2">
      <c r="A262" s="43">
        <v>28734</v>
      </c>
      <c r="B262">
        <v>34.637999999999998</v>
      </c>
      <c r="C262">
        <v>35.343000000000004</v>
      </c>
      <c r="E262">
        <v>66.7</v>
      </c>
    </row>
    <row r="263" spans="1:5" x14ac:dyDescent="0.2">
      <c r="A263" s="43">
        <v>28764</v>
      </c>
      <c r="B263">
        <v>34.912999999999997</v>
      </c>
      <c r="C263">
        <v>35.603000000000002</v>
      </c>
      <c r="E263">
        <v>67.2</v>
      </c>
    </row>
    <row r="264" spans="1:5" x14ac:dyDescent="0.2">
      <c r="A264" s="43">
        <v>28795</v>
      </c>
      <c r="B264">
        <v>35.112000000000002</v>
      </c>
      <c r="C264">
        <v>35.793999999999997</v>
      </c>
      <c r="E264">
        <v>67.599999999999994</v>
      </c>
    </row>
    <row r="265" spans="1:5" x14ac:dyDescent="0.2">
      <c r="A265" s="43">
        <v>28825</v>
      </c>
      <c r="B265">
        <v>35.276000000000003</v>
      </c>
      <c r="C265">
        <v>35.933999999999997</v>
      </c>
      <c r="E265">
        <v>68</v>
      </c>
    </row>
    <row r="266" spans="1:5" x14ac:dyDescent="0.2">
      <c r="A266" s="43">
        <v>28856</v>
      </c>
      <c r="B266">
        <v>35.542000000000002</v>
      </c>
      <c r="C266">
        <v>36.118000000000002</v>
      </c>
      <c r="E266">
        <v>68.5</v>
      </c>
    </row>
    <row r="267" spans="1:5" x14ac:dyDescent="0.2">
      <c r="A267" s="43">
        <v>28887</v>
      </c>
      <c r="B267">
        <v>35.731999999999999</v>
      </c>
      <c r="C267">
        <v>36.234999999999999</v>
      </c>
      <c r="E267">
        <v>69.2</v>
      </c>
    </row>
    <row r="268" spans="1:5" x14ac:dyDescent="0.2">
      <c r="A268" s="43">
        <v>28915</v>
      </c>
      <c r="B268">
        <v>36.011000000000003</v>
      </c>
      <c r="C268">
        <v>36.444000000000003</v>
      </c>
      <c r="E268">
        <v>69.8</v>
      </c>
    </row>
    <row r="269" spans="1:5" x14ac:dyDescent="0.2">
      <c r="A269" s="43">
        <v>28946</v>
      </c>
      <c r="B269">
        <v>36.386000000000003</v>
      </c>
      <c r="C269">
        <v>36.78</v>
      </c>
      <c r="E269">
        <v>70.3</v>
      </c>
    </row>
    <row r="270" spans="1:5" x14ac:dyDescent="0.2">
      <c r="A270" s="43">
        <v>28976</v>
      </c>
      <c r="B270">
        <v>36.762999999999998</v>
      </c>
      <c r="C270">
        <v>37.1</v>
      </c>
      <c r="E270">
        <v>70.8</v>
      </c>
    </row>
    <row r="271" spans="1:5" x14ac:dyDescent="0.2">
      <c r="A271" s="43">
        <v>29007</v>
      </c>
      <c r="B271">
        <v>37.066000000000003</v>
      </c>
      <c r="C271">
        <v>37.308</v>
      </c>
      <c r="E271">
        <v>71.3</v>
      </c>
    </row>
    <row r="272" spans="1:5" x14ac:dyDescent="0.2">
      <c r="A272" s="43">
        <v>29037</v>
      </c>
      <c r="B272">
        <v>37.348999999999997</v>
      </c>
      <c r="C272">
        <v>37.494999999999997</v>
      </c>
      <c r="E272">
        <v>71.900000000000006</v>
      </c>
    </row>
    <row r="273" spans="1:5" x14ac:dyDescent="0.2">
      <c r="A273" s="43">
        <v>29068</v>
      </c>
      <c r="B273">
        <v>37.634999999999998</v>
      </c>
      <c r="C273">
        <v>37.744</v>
      </c>
      <c r="E273">
        <v>72.7</v>
      </c>
    </row>
    <row r="274" spans="1:5" x14ac:dyDescent="0.2">
      <c r="A274" s="43">
        <v>29099</v>
      </c>
      <c r="B274">
        <v>37.966999999999999</v>
      </c>
      <c r="C274">
        <v>38.002000000000002</v>
      </c>
      <c r="E274">
        <v>73.3</v>
      </c>
    </row>
    <row r="275" spans="1:5" x14ac:dyDescent="0.2">
      <c r="A275" s="43">
        <v>29129</v>
      </c>
      <c r="B275">
        <v>38.276000000000003</v>
      </c>
      <c r="C275">
        <v>38.279000000000003</v>
      </c>
      <c r="E275">
        <v>74</v>
      </c>
    </row>
    <row r="276" spans="1:5" x14ac:dyDescent="0.2">
      <c r="A276" s="43">
        <v>29160</v>
      </c>
      <c r="B276">
        <v>38.542000000000002</v>
      </c>
      <c r="C276">
        <v>38.524000000000001</v>
      </c>
      <c r="E276">
        <v>74.8</v>
      </c>
    </row>
    <row r="277" spans="1:5" x14ac:dyDescent="0.2">
      <c r="A277" s="43">
        <v>29190</v>
      </c>
      <c r="B277">
        <v>38.866</v>
      </c>
      <c r="C277">
        <v>38.801000000000002</v>
      </c>
      <c r="E277">
        <v>75.7</v>
      </c>
    </row>
    <row r="278" spans="1:5" x14ac:dyDescent="0.2">
      <c r="A278" s="43">
        <v>29221</v>
      </c>
      <c r="B278">
        <v>39.273000000000003</v>
      </c>
      <c r="C278">
        <v>39.094999999999999</v>
      </c>
      <c r="E278">
        <v>76.7</v>
      </c>
    </row>
    <row r="279" spans="1:5" x14ac:dyDescent="0.2">
      <c r="A279" s="43">
        <v>29252</v>
      </c>
      <c r="B279">
        <v>39.698999999999998</v>
      </c>
      <c r="C279">
        <v>39.484999999999999</v>
      </c>
      <c r="E279">
        <v>77.5</v>
      </c>
    </row>
    <row r="280" spans="1:5" x14ac:dyDescent="0.2">
      <c r="A280" s="43">
        <v>29281</v>
      </c>
      <c r="B280">
        <v>40.186</v>
      </c>
      <c r="C280">
        <v>39.850999999999999</v>
      </c>
      <c r="E280">
        <v>78.599999999999994</v>
      </c>
    </row>
    <row r="281" spans="1:5" x14ac:dyDescent="0.2">
      <c r="A281" s="43">
        <v>29312</v>
      </c>
      <c r="B281">
        <v>40.396000000000001</v>
      </c>
      <c r="C281">
        <v>40.055999999999997</v>
      </c>
      <c r="E281">
        <v>79.5</v>
      </c>
    </row>
    <row r="282" spans="1:5" x14ac:dyDescent="0.2">
      <c r="A282" s="43">
        <v>29342</v>
      </c>
      <c r="B282">
        <v>40.71</v>
      </c>
      <c r="C282">
        <v>40.378</v>
      </c>
      <c r="E282">
        <v>80.099999999999994</v>
      </c>
    </row>
    <row r="283" spans="1:5" x14ac:dyDescent="0.2">
      <c r="A283" s="43">
        <v>29373</v>
      </c>
      <c r="B283">
        <v>40.966999999999999</v>
      </c>
      <c r="C283">
        <v>40.646000000000001</v>
      </c>
      <c r="E283">
        <v>81</v>
      </c>
    </row>
    <row r="284" spans="1:5" x14ac:dyDescent="0.2">
      <c r="A284" s="43">
        <v>29403</v>
      </c>
      <c r="B284">
        <v>41.284999999999997</v>
      </c>
      <c r="C284">
        <v>40.932000000000002</v>
      </c>
      <c r="E284">
        <v>80.8</v>
      </c>
    </row>
    <row r="285" spans="1:5" x14ac:dyDescent="0.2">
      <c r="A285" s="43">
        <v>29434</v>
      </c>
      <c r="B285">
        <v>41.628999999999998</v>
      </c>
      <c r="C285">
        <v>41.228000000000002</v>
      </c>
      <c r="E285">
        <v>81.3</v>
      </c>
    </row>
    <row r="286" spans="1:5" x14ac:dyDescent="0.2">
      <c r="A286" s="43">
        <v>29465</v>
      </c>
      <c r="B286">
        <v>42.014000000000003</v>
      </c>
      <c r="C286">
        <v>41.616</v>
      </c>
      <c r="E286">
        <v>82.1</v>
      </c>
    </row>
    <row r="287" spans="1:5" x14ac:dyDescent="0.2">
      <c r="A287" s="43">
        <v>29495</v>
      </c>
      <c r="B287">
        <v>42.350999999999999</v>
      </c>
      <c r="C287">
        <v>41.959000000000003</v>
      </c>
      <c r="E287">
        <v>83</v>
      </c>
    </row>
    <row r="288" spans="1:5" x14ac:dyDescent="0.2">
      <c r="A288" s="43">
        <v>29526</v>
      </c>
      <c r="B288">
        <v>42.695999999999998</v>
      </c>
      <c r="C288">
        <v>42.289000000000001</v>
      </c>
      <c r="E288">
        <v>83.9</v>
      </c>
    </row>
    <row r="289" spans="1:5" x14ac:dyDescent="0.2">
      <c r="A289" s="43">
        <v>29556</v>
      </c>
      <c r="B289">
        <v>42.972999999999999</v>
      </c>
      <c r="C289">
        <v>42.543999999999997</v>
      </c>
      <c r="E289">
        <v>84.9</v>
      </c>
    </row>
    <row r="290" spans="1:5" x14ac:dyDescent="0.2">
      <c r="A290" s="43">
        <v>29587</v>
      </c>
      <c r="B290">
        <v>43.386000000000003</v>
      </c>
      <c r="C290">
        <v>42.911999999999999</v>
      </c>
      <c r="E290">
        <v>85.4</v>
      </c>
    </row>
    <row r="291" spans="1:5" x14ac:dyDescent="0.2">
      <c r="A291" s="43">
        <v>29618</v>
      </c>
      <c r="B291">
        <v>43.825000000000003</v>
      </c>
      <c r="C291">
        <v>43.225999999999999</v>
      </c>
      <c r="E291">
        <v>85.9</v>
      </c>
    </row>
    <row r="292" spans="1:5" x14ac:dyDescent="0.2">
      <c r="A292" s="43">
        <v>29646</v>
      </c>
      <c r="B292">
        <v>44.13</v>
      </c>
      <c r="C292">
        <v>43.466000000000001</v>
      </c>
      <c r="E292">
        <v>86.4</v>
      </c>
    </row>
    <row r="293" spans="1:5" x14ac:dyDescent="0.2">
      <c r="A293" s="43">
        <v>29677</v>
      </c>
      <c r="B293">
        <v>44.323</v>
      </c>
      <c r="C293">
        <v>43.744</v>
      </c>
      <c r="E293">
        <v>87</v>
      </c>
    </row>
    <row r="294" spans="1:5" x14ac:dyDescent="0.2">
      <c r="A294" s="43">
        <v>29707</v>
      </c>
      <c r="B294">
        <v>44.521999999999998</v>
      </c>
      <c r="C294">
        <v>44.045000000000002</v>
      </c>
      <c r="E294">
        <v>87.8</v>
      </c>
    </row>
    <row r="295" spans="1:5" x14ac:dyDescent="0.2">
      <c r="A295" s="43">
        <v>29738</v>
      </c>
      <c r="B295">
        <v>44.698999999999998</v>
      </c>
      <c r="C295">
        <v>44.265000000000001</v>
      </c>
      <c r="E295">
        <v>88.6</v>
      </c>
    </row>
    <row r="296" spans="1:5" x14ac:dyDescent="0.2">
      <c r="A296" s="43">
        <v>29768</v>
      </c>
      <c r="B296">
        <v>44.969000000000001</v>
      </c>
      <c r="C296">
        <v>44.531999999999996</v>
      </c>
      <c r="E296">
        <v>89.8</v>
      </c>
    </row>
    <row r="297" spans="1:5" x14ac:dyDescent="0.2">
      <c r="A297" s="43">
        <v>29799</v>
      </c>
      <c r="B297">
        <v>45.25</v>
      </c>
      <c r="C297">
        <v>44.83</v>
      </c>
      <c r="E297">
        <v>90.7</v>
      </c>
    </row>
    <row r="298" spans="1:5" x14ac:dyDescent="0.2">
      <c r="A298" s="43">
        <v>29830</v>
      </c>
      <c r="B298">
        <v>45.524000000000001</v>
      </c>
      <c r="C298">
        <v>45.124000000000002</v>
      </c>
      <c r="E298">
        <v>91.8</v>
      </c>
    </row>
    <row r="299" spans="1:5" x14ac:dyDescent="0.2">
      <c r="A299" s="43">
        <v>29860</v>
      </c>
      <c r="B299">
        <v>45.73</v>
      </c>
      <c r="C299">
        <v>45.393000000000001</v>
      </c>
      <c r="E299">
        <v>92.1</v>
      </c>
    </row>
    <row r="300" spans="1:5" x14ac:dyDescent="0.2">
      <c r="A300" s="43">
        <v>29891</v>
      </c>
      <c r="B300">
        <v>45.975999999999999</v>
      </c>
      <c r="C300">
        <v>45.658000000000001</v>
      </c>
      <c r="E300">
        <v>92.5</v>
      </c>
    </row>
    <row r="301" spans="1:5" x14ac:dyDescent="0.2">
      <c r="A301" s="43">
        <v>29921</v>
      </c>
      <c r="B301">
        <v>46.118000000000002</v>
      </c>
      <c r="C301">
        <v>45.826000000000001</v>
      </c>
      <c r="E301">
        <v>93</v>
      </c>
    </row>
    <row r="302" spans="1:5" x14ac:dyDescent="0.2">
      <c r="A302" s="43">
        <v>29952</v>
      </c>
      <c r="B302">
        <v>46.392000000000003</v>
      </c>
      <c r="C302">
        <v>46.107999999999997</v>
      </c>
      <c r="E302">
        <v>93.3</v>
      </c>
    </row>
    <row r="303" spans="1:5" x14ac:dyDescent="0.2">
      <c r="A303" s="43">
        <v>29983</v>
      </c>
      <c r="B303">
        <v>46.530999999999999</v>
      </c>
      <c r="C303">
        <v>46.286000000000001</v>
      </c>
      <c r="E303">
        <v>93.8</v>
      </c>
    </row>
    <row r="304" spans="1:5" x14ac:dyDescent="0.2">
      <c r="A304" s="43">
        <v>30011</v>
      </c>
      <c r="B304">
        <v>46.651000000000003</v>
      </c>
      <c r="C304">
        <v>46.488</v>
      </c>
      <c r="E304">
        <v>93.9</v>
      </c>
    </row>
    <row r="305" spans="1:5" x14ac:dyDescent="0.2">
      <c r="A305" s="43">
        <v>30042</v>
      </c>
      <c r="B305">
        <v>46.674999999999997</v>
      </c>
      <c r="C305">
        <v>46.671999999999997</v>
      </c>
      <c r="E305">
        <v>94.7</v>
      </c>
    </row>
    <row r="306" spans="1:5" x14ac:dyDescent="0.2">
      <c r="A306" s="43">
        <v>30072</v>
      </c>
      <c r="B306">
        <v>46.951000000000001</v>
      </c>
      <c r="C306">
        <v>46.927</v>
      </c>
      <c r="E306">
        <v>95.4</v>
      </c>
    </row>
    <row r="307" spans="1:5" x14ac:dyDescent="0.2">
      <c r="A307" s="43">
        <v>30103</v>
      </c>
      <c r="B307">
        <v>47.292000000000002</v>
      </c>
      <c r="C307">
        <v>47.161999999999999</v>
      </c>
      <c r="E307">
        <v>96.1</v>
      </c>
    </row>
    <row r="308" spans="1:5" x14ac:dyDescent="0.2">
      <c r="A308" s="43">
        <v>30133</v>
      </c>
      <c r="B308">
        <v>47.572000000000003</v>
      </c>
      <c r="C308">
        <v>47.468000000000004</v>
      </c>
      <c r="E308">
        <v>96.7</v>
      </c>
    </row>
    <row r="309" spans="1:5" x14ac:dyDescent="0.2">
      <c r="A309" s="43">
        <v>30164</v>
      </c>
      <c r="B309">
        <v>47.72</v>
      </c>
      <c r="C309">
        <v>47.686</v>
      </c>
      <c r="E309">
        <v>97.1</v>
      </c>
    </row>
    <row r="310" spans="1:5" x14ac:dyDescent="0.2">
      <c r="A310" s="43">
        <v>30195</v>
      </c>
      <c r="B310">
        <v>47.851999999999997</v>
      </c>
      <c r="C310">
        <v>47.863</v>
      </c>
      <c r="E310">
        <v>97.2</v>
      </c>
    </row>
    <row r="311" spans="1:5" x14ac:dyDescent="0.2">
      <c r="A311" s="43">
        <v>30225</v>
      </c>
      <c r="B311">
        <v>48.121000000000002</v>
      </c>
      <c r="C311">
        <v>48.165999999999997</v>
      </c>
      <c r="E311">
        <v>97.5</v>
      </c>
    </row>
    <row r="312" spans="1:5" x14ac:dyDescent="0.2">
      <c r="A312" s="43">
        <v>30256</v>
      </c>
      <c r="B312">
        <v>48.265000000000001</v>
      </c>
      <c r="C312">
        <v>48.344000000000001</v>
      </c>
      <c r="E312">
        <v>97.3</v>
      </c>
    </row>
    <row r="313" spans="1:5" x14ac:dyDescent="0.2">
      <c r="A313" s="43">
        <v>30286</v>
      </c>
      <c r="B313">
        <v>48.338000000000001</v>
      </c>
      <c r="C313">
        <v>48.497999999999998</v>
      </c>
      <c r="E313">
        <v>97.2</v>
      </c>
    </row>
    <row r="314" spans="1:5" x14ac:dyDescent="0.2">
      <c r="A314" s="43">
        <v>30317</v>
      </c>
      <c r="B314">
        <v>48.564</v>
      </c>
      <c r="C314">
        <v>48.83</v>
      </c>
      <c r="E314">
        <v>97.6</v>
      </c>
    </row>
    <row r="315" spans="1:5" x14ac:dyDescent="0.2">
      <c r="A315" s="43">
        <v>30348</v>
      </c>
      <c r="B315">
        <v>48.646000000000001</v>
      </c>
      <c r="C315">
        <v>49.011000000000003</v>
      </c>
      <c r="E315">
        <v>98</v>
      </c>
    </row>
    <row r="316" spans="1:5" x14ac:dyDescent="0.2">
      <c r="A316" s="43">
        <v>30376</v>
      </c>
      <c r="B316">
        <v>48.709000000000003</v>
      </c>
      <c r="C316">
        <v>49.073</v>
      </c>
      <c r="E316">
        <v>98.2</v>
      </c>
    </row>
    <row r="317" spans="1:5" x14ac:dyDescent="0.2">
      <c r="A317" s="43">
        <v>30407</v>
      </c>
      <c r="B317">
        <v>48.930999999999997</v>
      </c>
      <c r="C317">
        <v>49.222000000000001</v>
      </c>
      <c r="E317">
        <v>98.6</v>
      </c>
    </row>
    <row r="318" spans="1:5" x14ac:dyDescent="0.2">
      <c r="A318" s="43">
        <v>30437</v>
      </c>
      <c r="B318">
        <v>49.07</v>
      </c>
      <c r="C318">
        <v>49.292999999999999</v>
      </c>
      <c r="E318">
        <v>98.9</v>
      </c>
    </row>
    <row r="319" spans="1:5" x14ac:dyDescent="0.2">
      <c r="A319" s="43">
        <v>30468</v>
      </c>
      <c r="B319">
        <v>49.253</v>
      </c>
      <c r="C319">
        <v>49.523000000000003</v>
      </c>
      <c r="E319">
        <v>99.2</v>
      </c>
    </row>
    <row r="320" spans="1:5" x14ac:dyDescent="0.2">
      <c r="A320" s="43">
        <v>30498</v>
      </c>
      <c r="B320">
        <v>49.53</v>
      </c>
      <c r="C320">
        <v>49.856000000000002</v>
      </c>
      <c r="E320">
        <v>99.8</v>
      </c>
    </row>
    <row r="321" spans="1:5" x14ac:dyDescent="0.2">
      <c r="A321" s="43">
        <v>30529</v>
      </c>
      <c r="B321">
        <v>49.743000000000002</v>
      </c>
      <c r="C321">
        <v>50.113</v>
      </c>
      <c r="E321">
        <v>100.1</v>
      </c>
    </row>
    <row r="322" spans="1:5" x14ac:dyDescent="0.2">
      <c r="A322" s="43">
        <v>30560</v>
      </c>
      <c r="B322">
        <v>49.915999999999997</v>
      </c>
      <c r="C322">
        <v>50.316000000000003</v>
      </c>
      <c r="E322">
        <v>100.5</v>
      </c>
    </row>
    <row r="323" spans="1:5" x14ac:dyDescent="0.2">
      <c r="A323" s="43">
        <v>30590</v>
      </c>
      <c r="B323">
        <v>50.002000000000002</v>
      </c>
      <c r="C323">
        <v>50.405000000000001</v>
      </c>
      <c r="E323">
        <v>101</v>
      </c>
    </row>
    <row r="324" spans="1:5" x14ac:dyDescent="0.2">
      <c r="A324" s="43">
        <v>30621</v>
      </c>
      <c r="B324">
        <v>50.072000000000003</v>
      </c>
      <c r="C324">
        <v>50.523000000000003</v>
      </c>
      <c r="E324">
        <v>101.5</v>
      </c>
    </row>
    <row r="325" spans="1:5" x14ac:dyDescent="0.2">
      <c r="A325" s="43">
        <v>30651</v>
      </c>
      <c r="B325">
        <v>50.1</v>
      </c>
      <c r="C325">
        <v>50.56</v>
      </c>
      <c r="E325">
        <v>101.8</v>
      </c>
    </row>
    <row r="326" spans="1:5" x14ac:dyDescent="0.2">
      <c r="A326" s="43">
        <v>30682</v>
      </c>
      <c r="B326">
        <v>50.317999999999998</v>
      </c>
      <c r="C326">
        <v>50.728999999999999</v>
      </c>
      <c r="E326">
        <v>102.5</v>
      </c>
    </row>
    <row r="327" spans="1:5" x14ac:dyDescent="0.2">
      <c r="A327" s="43">
        <v>30713</v>
      </c>
      <c r="B327">
        <v>50.655999999999999</v>
      </c>
      <c r="C327">
        <v>51.048999999999999</v>
      </c>
      <c r="E327">
        <v>102.8</v>
      </c>
    </row>
    <row r="328" spans="1:5" x14ac:dyDescent="0.2">
      <c r="A328" s="43">
        <v>30742</v>
      </c>
      <c r="B328">
        <v>50.823</v>
      </c>
      <c r="C328">
        <v>51.241999999999997</v>
      </c>
      <c r="E328">
        <v>103.2</v>
      </c>
    </row>
    <row r="329" spans="1:5" x14ac:dyDescent="0.2">
      <c r="A329" s="43">
        <v>30773</v>
      </c>
      <c r="B329">
        <v>51.015999999999998</v>
      </c>
      <c r="C329">
        <v>51.482999999999997</v>
      </c>
      <c r="E329">
        <v>103.7</v>
      </c>
    </row>
    <row r="330" spans="1:5" x14ac:dyDescent="0.2">
      <c r="A330" s="43">
        <v>30803</v>
      </c>
      <c r="B330">
        <v>51.08</v>
      </c>
      <c r="C330">
        <v>51.601999999999997</v>
      </c>
      <c r="E330">
        <v>104.1</v>
      </c>
    </row>
    <row r="331" spans="1:5" x14ac:dyDescent="0.2">
      <c r="A331" s="43">
        <v>30834</v>
      </c>
      <c r="B331">
        <v>51.170999999999999</v>
      </c>
      <c r="C331">
        <v>51.723999999999997</v>
      </c>
      <c r="E331">
        <v>104.5</v>
      </c>
    </row>
    <row r="332" spans="1:5" x14ac:dyDescent="0.2">
      <c r="A332" s="43">
        <v>30864</v>
      </c>
      <c r="B332">
        <v>51.353999999999999</v>
      </c>
      <c r="C332">
        <v>51.947000000000003</v>
      </c>
      <c r="E332">
        <v>105</v>
      </c>
    </row>
    <row r="333" spans="1:5" x14ac:dyDescent="0.2">
      <c r="A333" s="43">
        <v>30895</v>
      </c>
      <c r="B333">
        <v>51.512</v>
      </c>
      <c r="C333">
        <v>52.118000000000002</v>
      </c>
      <c r="E333">
        <v>105.4</v>
      </c>
    </row>
    <row r="334" spans="1:5" x14ac:dyDescent="0.2">
      <c r="A334" s="43">
        <v>30926</v>
      </c>
      <c r="B334">
        <v>51.582000000000001</v>
      </c>
      <c r="C334">
        <v>52.198</v>
      </c>
      <c r="E334">
        <v>105.8</v>
      </c>
    </row>
    <row r="335" spans="1:5" x14ac:dyDescent="0.2">
      <c r="A335" s="43">
        <v>30956</v>
      </c>
      <c r="B335">
        <v>51.704000000000001</v>
      </c>
      <c r="C335">
        <v>52.314999999999998</v>
      </c>
      <c r="E335">
        <v>106.2</v>
      </c>
    </row>
    <row r="336" spans="1:5" x14ac:dyDescent="0.2">
      <c r="A336" s="43">
        <v>30987</v>
      </c>
      <c r="B336">
        <v>51.776000000000003</v>
      </c>
      <c r="C336">
        <v>52.426000000000002</v>
      </c>
      <c r="E336">
        <v>106.4</v>
      </c>
    </row>
    <row r="337" spans="1:5" x14ac:dyDescent="0.2">
      <c r="A337" s="43">
        <v>31017</v>
      </c>
      <c r="B337">
        <v>51.921999999999997</v>
      </c>
      <c r="C337">
        <v>52.634</v>
      </c>
      <c r="E337">
        <v>106.8</v>
      </c>
    </row>
    <row r="338" spans="1:5" x14ac:dyDescent="0.2">
      <c r="A338" s="43">
        <v>31048</v>
      </c>
      <c r="B338">
        <v>52.182000000000002</v>
      </c>
      <c r="C338">
        <v>52.927999999999997</v>
      </c>
      <c r="E338">
        <v>107.1</v>
      </c>
    </row>
    <row r="339" spans="1:5" x14ac:dyDescent="0.2">
      <c r="A339" s="43">
        <v>31079</v>
      </c>
      <c r="B339">
        <v>52.423999999999999</v>
      </c>
      <c r="C339">
        <v>53.204000000000001</v>
      </c>
      <c r="E339">
        <v>107.7</v>
      </c>
    </row>
    <row r="340" spans="1:5" x14ac:dyDescent="0.2">
      <c r="A340" s="43">
        <v>31107</v>
      </c>
      <c r="B340">
        <v>52.628999999999998</v>
      </c>
      <c r="C340">
        <v>53.39</v>
      </c>
      <c r="E340">
        <v>108.1</v>
      </c>
    </row>
    <row r="341" spans="1:5" x14ac:dyDescent="0.2">
      <c r="A341" s="43">
        <v>31138</v>
      </c>
      <c r="B341">
        <v>52.706000000000003</v>
      </c>
      <c r="C341">
        <v>53.453000000000003</v>
      </c>
      <c r="E341">
        <v>108.4</v>
      </c>
    </row>
    <row r="342" spans="1:5" x14ac:dyDescent="0.2">
      <c r="A342" s="43">
        <v>31168</v>
      </c>
      <c r="B342">
        <v>52.831000000000003</v>
      </c>
      <c r="C342">
        <v>53.637999999999998</v>
      </c>
      <c r="E342">
        <v>108.8</v>
      </c>
    </row>
    <row r="343" spans="1:5" x14ac:dyDescent="0.2">
      <c r="A343" s="43">
        <v>31199</v>
      </c>
      <c r="B343">
        <v>52.973999999999997</v>
      </c>
      <c r="C343">
        <v>53.814999999999998</v>
      </c>
      <c r="E343">
        <v>109.1</v>
      </c>
    </row>
    <row r="344" spans="1:5" x14ac:dyDescent="0.2">
      <c r="A344" s="43">
        <v>31229</v>
      </c>
      <c r="B344">
        <v>53.103999999999999</v>
      </c>
      <c r="C344">
        <v>53.972999999999999</v>
      </c>
      <c r="E344">
        <v>109.4</v>
      </c>
    </row>
    <row r="345" spans="1:5" x14ac:dyDescent="0.2">
      <c r="A345" s="43">
        <v>31260</v>
      </c>
      <c r="B345">
        <v>53.28</v>
      </c>
      <c r="C345">
        <v>54.237000000000002</v>
      </c>
      <c r="E345">
        <v>109.8</v>
      </c>
    </row>
    <row r="346" spans="1:5" x14ac:dyDescent="0.2">
      <c r="A346" s="43">
        <v>31291</v>
      </c>
      <c r="B346">
        <v>53.37</v>
      </c>
      <c r="C346">
        <v>54.348999999999997</v>
      </c>
      <c r="E346">
        <v>110</v>
      </c>
    </row>
    <row r="347" spans="1:5" x14ac:dyDescent="0.2">
      <c r="A347" s="43">
        <v>31321</v>
      </c>
      <c r="B347">
        <v>53.459000000000003</v>
      </c>
      <c r="C347">
        <v>54.436</v>
      </c>
      <c r="E347">
        <v>110.5</v>
      </c>
    </row>
    <row r="348" spans="1:5" x14ac:dyDescent="0.2">
      <c r="A348" s="43">
        <v>31352</v>
      </c>
      <c r="B348">
        <v>53.613999999999997</v>
      </c>
      <c r="C348">
        <v>54.57</v>
      </c>
      <c r="E348">
        <v>111.1</v>
      </c>
    </row>
    <row r="349" spans="1:5" x14ac:dyDescent="0.2">
      <c r="A349" s="43">
        <v>31382</v>
      </c>
      <c r="B349">
        <v>53.795000000000002</v>
      </c>
      <c r="C349">
        <v>54.718000000000004</v>
      </c>
      <c r="E349">
        <v>111.4</v>
      </c>
    </row>
    <row r="350" spans="1:5" x14ac:dyDescent="0.2">
      <c r="A350" s="43">
        <v>31413</v>
      </c>
      <c r="B350">
        <v>54.042000000000002</v>
      </c>
      <c r="C350">
        <v>55.014000000000003</v>
      </c>
      <c r="E350">
        <v>111.9</v>
      </c>
    </row>
    <row r="351" spans="1:5" x14ac:dyDescent="0.2">
      <c r="A351" s="43">
        <v>31444</v>
      </c>
      <c r="B351">
        <v>54.042000000000002</v>
      </c>
      <c r="C351">
        <v>55.155999999999999</v>
      </c>
      <c r="E351">
        <v>112.2</v>
      </c>
    </row>
    <row r="352" spans="1:5" x14ac:dyDescent="0.2">
      <c r="A352" s="43">
        <v>31472</v>
      </c>
      <c r="B352">
        <v>53.923999999999999</v>
      </c>
      <c r="C352">
        <v>55.323999999999998</v>
      </c>
      <c r="E352">
        <v>112.5</v>
      </c>
    </row>
    <row r="353" spans="1:5" x14ac:dyDescent="0.2">
      <c r="A353" s="43">
        <v>31503</v>
      </c>
      <c r="B353">
        <v>53.813000000000002</v>
      </c>
      <c r="C353">
        <v>55.423999999999999</v>
      </c>
      <c r="E353">
        <v>112.9</v>
      </c>
    </row>
    <row r="354" spans="1:5" x14ac:dyDescent="0.2">
      <c r="A354" s="43">
        <v>31533</v>
      </c>
      <c r="B354">
        <v>53.911999999999999</v>
      </c>
      <c r="C354">
        <v>55.518000000000001</v>
      </c>
      <c r="E354">
        <v>113.1</v>
      </c>
    </row>
    <row r="355" spans="1:5" x14ac:dyDescent="0.2">
      <c r="A355" s="43">
        <v>31564</v>
      </c>
      <c r="B355">
        <v>54.112000000000002</v>
      </c>
      <c r="C355">
        <v>55.685000000000002</v>
      </c>
      <c r="E355">
        <v>113.4</v>
      </c>
    </row>
    <row r="356" spans="1:5" x14ac:dyDescent="0.2">
      <c r="A356" s="43">
        <v>31594</v>
      </c>
      <c r="B356">
        <v>54.125999999999998</v>
      </c>
      <c r="C356">
        <v>55.786000000000001</v>
      </c>
      <c r="E356">
        <v>113.8</v>
      </c>
    </row>
    <row r="357" spans="1:5" x14ac:dyDescent="0.2">
      <c r="A357" s="43">
        <v>31625</v>
      </c>
      <c r="B357">
        <v>54.194000000000003</v>
      </c>
      <c r="C357">
        <v>55.901000000000003</v>
      </c>
      <c r="E357">
        <v>114.2</v>
      </c>
    </row>
    <row r="358" spans="1:5" x14ac:dyDescent="0.2">
      <c r="A358" s="43">
        <v>31656</v>
      </c>
      <c r="B358">
        <v>54.371000000000002</v>
      </c>
      <c r="C358">
        <v>56.085000000000001</v>
      </c>
      <c r="E358">
        <v>114.6</v>
      </c>
    </row>
    <row r="359" spans="1:5" x14ac:dyDescent="0.2">
      <c r="A359" s="43">
        <v>31686</v>
      </c>
      <c r="B359">
        <v>54.469000000000001</v>
      </c>
      <c r="C359">
        <v>56.274000000000001</v>
      </c>
      <c r="E359">
        <v>115</v>
      </c>
    </row>
    <row r="360" spans="1:5" x14ac:dyDescent="0.2">
      <c r="A360" s="43">
        <v>31717</v>
      </c>
      <c r="B360">
        <v>54.566000000000003</v>
      </c>
      <c r="C360">
        <v>56.393999999999998</v>
      </c>
      <c r="E360">
        <v>115.3</v>
      </c>
    </row>
    <row r="361" spans="1:5" x14ac:dyDescent="0.2">
      <c r="A361" s="43">
        <v>31747</v>
      </c>
      <c r="B361">
        <v>54.64</v>
      </c>
      <c r="C361">
        <v>56.466000000000001</v>
      </c>
      <c r="E361">
        <v>115.6</v>
      </c>
    </row>
    <row r="362" spans="1:5" x14ac:dyDescent="0.2">
      <c r="A362" s="43">
        <v>31778</v>
      </c>
      <c r="B362">
        <v>54.895000000000003</v>
      </c>
      <c r="C362">
        <v>56.600999999999999</v>
      </c>
      <c r="E362">
        <v>115.9</v>
      </c>
    </row>
    <row r="363" spans="1:5" x14ac:dyDescent="0.2">
      <c r="A363" s="43">
        <v>31809</v>
      </c>
      <c r="B363">
        <v>55.088000000000001</v>
      </c>
      <c r="C363">
        <v>56.713999999999999</v>
      </c>
      <c r="E363">
        <v>116.2</v>
      </c>
    </row>
    <row r="364" spans="1:5" x14ac:dyDescent="0.2">
      <c r="A364" s="43">
        <v>31837</v>
      </c>
      <c r="B364">
        <v>55.232999999999997</v>
      </c>
      <c r="C364">
        <v>56.881999999999998</v>
      </c>
      <c r="E364">
        <v>116.6</v>
      </c>
    </row>
    <row r="365" spans="1:5" x14ac:dyDescent="0.2">
      <c r="A365" s="43">
        <v>31868</v>
      </c>
      <c r="B365">
        <v>55.439</v>
      </c>
      <c r="C365">
        <v>57.122999999999998</v>
      </c>
      <c r="E365">
        <v>117.3</v>
      </c>
    </row>
    <row r="366" spans="1:5" x14ac:dyDescent="0.2">
      <c r="A366" s="43">
        <v>31898</v>
      </c>
      <c r="B366">
        <v>55.58</v>
      </c>
      <c r="C366">
        <v>57.283000000000001</v>
      </c>
      <c r="E366">
        <v>117.7</v>
      </c>
    </row>
    <row r="367" spans="1:5" x14ac:dyDescent="0.2">
      <c r="A367" s="43">
        <v>31929</v>
      </c>
      <c r="B367">
        <v>55.790999999999997</v>
      </c>
      <c r="C367">
        <v>57.441000000000003</v>
      </c>
      <c r="E367">
        <v>117.9</v>
      </c>
    </row>
    <row r="368" spans="1:5" x14ac:dyDescent="0.2">
      <c r="A368" s="43">
        <v>31959</v>
      </c>
      <c r="B368">
        <v>55.918999999999997</v>
      </c>
      <c r="C368">
        <v>57.588999999999999</v>
      </c>
      <c r="E368">
        <v>118.3</v>
      </c>
    </row>
    <row r="369" spans="1:5" x14ac:dyDescent="0.2">
      <c r="A369" s="43">
        <v>31990</v>
      </c>
      <c r="B369">
        <v>56.14</v>
      </c>
      <c r="C369">
        <v>57.783000000000001</v>
      </c>
      <c r="E369">
        <v>118.7</v>
      </c>
    </row>
    <row r="370" spans="1:5" x14ac:dyDescent="0.2">
      <c r="A370" s="43">
        <v>32021</v>
      </c>
      <c r="B370">
        <v>56.329000000000001</v>
      </c>
      <c r="C370">
        <v>58.012</v>
      </c>
      <c r="E370">
        <v>119.2</v>
      </c>
    </row>
    <row r="371" spans="1:5" x14ac:dyDescent="0.2">
      <c r="A371" s="43">
        <v>32051</v>
      </c>
      <c r="B371">
        <v>56.508000000000003</v>
      </c>
      <c r="C371">
        <v>58.26</v>
      </c>
      <c r="E371">
        <v>119.8</v>
      </c>
    </row>
    <row r="372" spans="1:5" x14ac:dyDescent="0.2">
      <c r="A372" s="43">
        <v>32082</v>
      </c>
      <c r="B372">
        <v>56.616</v>
      </c>
      <c r="C372">
        <v>58.381999999999998</v>
      </c>
      <c r="E372">
        <v>120.1</v>
      </c>
    </row>
    <row r="373" spans="1:5" x14ac:dyDescent="0.2">
      <c r="A373" s="43">
        <v>32112</v>
      </c>
      <c r="B373">
        <v>56.72</v>
      </c>
      <c r="C373">
        <v>58.505000000000003</v>
      </c>
      <c r="E373">
        <v>120.4</v>
      </c>
    </row>
    <row r="374" spans="1:5" x14ac:dyDescent="0.2">
      <c r="A374" s="43">
        <v>32143</v>
      </c>
      <c r="B374">
        <v>56.941000000000003</v>
      </c>
      <c r="C374">
        <v>58.780999999999999</v>
      </c>
      <c r="E374">
        <v>120.9</v>
      </c>
    </row>
    <row r="375" spans="1:5" x14ac:dyDescent="0.2">
      <c r="A375" s="43">
        <v>32174</v>
      </c>
      <c r="B375">
        <v>57.024000000000001</v>
      </c>
      <c r="C375">
        <v>58.902000000000001</v>
      </c>
      <c r="E375">
        <v>121.2</v>
      </c>
    </row>
    <row r="376" spans="1:5" x14ac:dyDescent="0.2">
      <c r="A376" s="43">
        <v>32203</v>
      </c>
      <c r="B376">
        <v>57.220999999999997</v>
      </c>
      <c r="C376">
        <v>59.154000000000003</v>
      </c>
      <c r="E376">
        <v>121.7</v>
      </c>
    </row>
    <row r="377" spans="1:5" x14ac:dyDescent="0.2">
      <c r="A377" s="43">
        <v>32234</v>
      </c>
      <c r="B377">
        <v>57.499000000000002</v>
      </c>
      <c r="C377">
        <v>59.441000000000003</v>
      </c>
      <c r="E377">
        <v>122.3</v>
      </c>
    </row>
    <row r="378" spans="1:5" x14ac:dyDescent="0.2">
      <c r="A378" s="43">
        <v>32264</v>
      </c>
      <c r="B378">
        <v>57.665999999999997</v>
      </c>
      <c r="C378">
        <v>59.643999999999998</v>
      </c>
      <c r="E378">
        <v>122.7</v>
      </c>
    </row>
    <row r="379" spans="1:5" x14ac:dyDescent="0.2">
      <c r="A379" s="43">
        <v>32295</v>
      </c>
      <c r="B379">
        <v>57.911999999999999</v>
      </c>
      <c r="C379">
        <v>59.896000000000001</v>
      </c>
      <c r="E379">
        <v>123.2</v>
      </c>
    </row>
    <row r="380" spans="1:5" x14ac:dyDescent="0.2">
      <c r="A380" s="43">
        <v>32325</v>
      </c>
      <c r="B380">
        <v>58.192999999999998</v>
      </c>
      <c r="C380">
        <v>60.14</v>
      </c>
      <c r="E380">
        <v>123.6</v>
      </c>
    </row>
    <row r="381" spans="1:5" x14ac:dyDescent="0.2">
      <c r="A381" s="43">
        <v>32356</v>
      </c>
      <c r="B381">
        <v>58.366</v>
      </c>
      <c r="C381">
        <v>60.289000000000001</v>
      </c>
      <c r="E381">
        <v>124</v>
      </c>
    </row>
    <row r="382" spans="1:5" x14ac:dyDescent="0.2">
      <c r="A382" s="43">
        <v>32387</v>
      </c>
      <c r="B382">
        <v>58.65</v>
      </c>
      <c r="C382">
        <v>60.613</v>
      </c>
      <c r="E382">
        <v>124.7</v>
      </c>
    </row>
    <row r="383" spans="1:5" x14ac:dyDescent="0.2">
      <c r="A383" s="43">
        <v>32417</v>
      </c>
      <c r="B383">
        <v>58.841000000000001</v>
      </c>
      <c r="C383">
        <v>60.843000000000004</v>
      </c>
      <c r="E383">
        <v>125.2</v>
      </c>
    </row>
    <row r="384" spans="1:5" x14ac:dyDescent="0.2">
      <c r="A384" s="43">
        <v>32448</v>
      </c>
      <c r="B384">
        <v>58.978000000000002</v>
      </c>
      <c r="C384">
        <v>61.01</v>
      </c>
      <c r="E384">
        <v>125.6</v>
      </c>
    </row>
    <row r="385" spans="1:5" x14ac:dyDescent="0.2">
      <c r="A385" s="43">
        <v>32478</v>
      </c>
      <c r="B385">
        <v>59.161999999999999</v>
      </c>
      <c r="C385">
        <v>61.212000000000003</v>
      </c>
      <c r="E385">
        <v>126</v>
      </c>
    </row>
    <row r="386" spans="1:5" x14ac:dyDescent="0.2">
      <c r="A386" s="43">
        <v>32509</v>
      </c>
      <c r="B386">
        <v>59.465000000000003</v>
      </c>
      <c r="C386">
        <v>61.521999999999998</v>
      </c>
      <c r="E386">
        <v>126.5</v>
      </c>
    </row>
    <row r="387" spans="1:5" x14ac:dyDescent="0.2">
      <c r="A387" s="43">
        <v>32540</v>
      </c>
      <c r="B387">
        <v>59.662999999999997</v>
      </c>
      <c r="C387">
        <v>61.677999999999997</v>
      </c>
      <c r="E387">
        <v>126.9</v>
      </c>
    </row>
    <row r="388" spans="1:5" x14ac:dyDescent="0.2">
      <c r="A388" s="43">
        <v>32568</v>
      </c>
      <c r="B388">
        <v>59.884999999999998</v>
      </c>
      <c r="C388">
        <v>61.863</v>
      </c>
      <c r="E388">
        <v>127.4</v>
      </c>
    </row>
    <row r="389" spans="1:5" x14ac:dyDescent="0.2">
      <c r="A389" s="43">
        <v>32599</v>
      </c>
      <c r="B389">
        <v>60.283999999999999</v>
      </c>
      <c r="C389">
        <v>62.07</v>
      </c>
      <c r="E389">
        <v>127.8</v>
      </c>
    </row>
    <row r="390" spans="1:5" x14ac:dyDescent="0.2">
      <c r="A390" s="43">
        <v>32629</v>
      </c>
      <c r="B390">
        <v>60.503999999999998</v>
      </c>
      <c r="C390">
        <v>62.256</v>
      </c>
      <c r="E390">
        <v>128.30000000000001</v>
      </c>
    </row>
    <row r="391" spans="1:5" x14ac:dyDescent="0.2">
      <c r="A391" s="43">
        <v>32660</v>
      </c>
      <c r="B391">
        <v>60.637</v>
      </c>
      <c r="C391">
        <v>62.42</v>
      </c>
      <c r="E391">
        <v>128.80000000000001</v>
      </c>
    </row>
    <row r="392" spans="1:5" x14ac:dyDescent="0.2">
      <c r="A392" s="43">
        <v>32690</v>
      </c>
      <c r="B392">
        <v>60.781999999999996</v>
      </c>
      <c r="C392">
        <v>62.581000000000003</v>
      </c>
      <c r="E392">
        <v>129.19999999999999</v>
      </c>
    </row>
    <row r="393" spans="1:5" x14ac:dyDescent="0.2">
      <c r="A393" s="43">
        <v>32721</v>
      </c>
      <c r="B393">
        <v>60.789000000000001</v>
      </c>
      <c r="C393">
        <v>62.668999999999997</v>
      </c>
      <c r="E393">
        <v>129.5</v>
      </c>
    </row>
    <row r="394" spans="1:5" x14ac:dyDescent="0.2">
      <c r="A394" s="43">
        <v>32752</v>
      </c>
      <c r="B394">
        <v>60.923999999999999</v>
      </c>
      <c r="C394">
        <v>62.886000000000003</v>
      </c>
      <c r="E394">
        <v>129.9</v>
      </c>
    </row>
    <row r="395" spans="1:5" x14ac:dyDescent="0.2">
      <c r="A395" s="43">
        <v>32782</v>
      </c>
      <c r="B395">
        <v>61.161999999999999</v>
      </c>
      <c r="C395">
        <v>63.113999999999997</v>
      </c>
      <c r="E395">
        <v>130.6</v>
      </c>
    </row>
    <row r="396" spans="1:5" x14ac:dyDescent="0.2">
      <c r="A396" s="43">
        <v>32813</v>
      </c>
      <c r="B396">
        <v>61.295999999999999</v>
      </c>
      <c r="C396">
        <v>63.281999999999996</v>
      </c>
      <c r="E396">
        <v>131.1</v>
      </c>
    </row>
    <row r="397" spans="1:5" x14ac:dyDescent="0.2">
      <c r="A397" s="43">
        <v>32843</v>
      </c>
      <c r="B397">
        <v>61.472999999999999</v>
      </c>
      <c r="C397">
        <v>63.462000000000003</v>
      </c>
      <c r="E397">
        <v>131.6</v>
      </c>
    </row>
    <row r="398" spans="1:5" x14ac:dyDescent="0.2">
      <c r="A398" s="43">
        <v>32874</v>
      </c>
      <c r="B398">
        <v>61.939</v>
      </c>
      <c r="C398">
        <v>63.706000000000003</v>
      </c>
      <c r="E398">
        <v>132.1</v>
      </c>
    </row>
    <row r="399" spans="1:5" x14ac:dyDescent="0.2">
      <c r="A399" s="43">
        <v>32905</v>
      </c>
      <c r="B399">
        <v>62.212000000000003</v>
      </c>
      <c r="C399">
        <v>64.016000000000005</v>
      </c>
      <c r="E399">
        <v>132.69999999999999</v>
      </c>
    </row>
    <row r="400" spans="1:5" x14ac:dyDescent="0.2">
      <c r="A400" s="43">
        <v>32933</v>
      </c>
      <c r="B400">
        <v>62.445999999999998</v>
      </c>
      <c r="C400">
        <v>64.322999999999993</v>
      </c>
      <c r="E400">
        <v>133.5</v>
      </c>
    </row>
    <row r="401" spans="1:5" x14ac:dyDescent="0.2">
      <c r="A401" s="43">
        <v>32964</v>
      </c>
      <c r="B401">
        <v>62.576999999999998</v>
      </c>
      <c r="C401">
        <v>64.515000000000001</v>
      </c>
      <c r="E401">
        <v>134</v>
      </c>
    </row>
    <row r="402" spans="1:5" x14ac:dyDescent="0.2">
      <c r="A402" s="43">
        <v>32994</v>
      </c>
      <c r="B402">
        <v>62.718000000000004</v>
      </c>
      <c r="C402">
        <v>64.712000000000003</v>
      </c>
      <c r="E402">
        <v>134.4</v>
      </c>
    </row>
    <row r="403" spans="1:5" x14ac:dyDescent="0.2">
      <c r="A403" s="43">
        <v>33025</v>
      </c>
      <c r="B403">
        <v>62.994999999999997</v>
      </c>
      <c r="C403">
        <v>64.962999999999994</v>
      </c>
      <c r="E403">
        <v>135.1</v>
      </c>
    </row>
    <row r="404" spans="1:5" x14ac:dyDescent="0.2">
      <c r="A404" s="43">
        <v>33055</v>
      </c>
      <c r="B404">
        <v>63.151000000000003</v>
      </c>
      <c r="C404">
        <v>65.128</v>
      </c>
      <c r="E404">
        <v>135.80000000000001</v>
      </c>
    </row>
    <row r="405" spans="1:5" x14ac:dyDescent="0.2">
      <c r="A405" s="43">
        <v>33086</v>
      </c>
      <c r="B405">
        <v>63.570999999999998</v>
      </c>
      <c r="C405">
        <v>65.397999999999996</v>
      </c>
      <c r="E405">
        <v>136.6</v>
      </c>
    </row>
    <row r="406" spans="1:5" x14ac:dyDescent="0.2">
      <c r="A406" s="43">
        <v>33117</v>
      </c>
      <c r="B406">
        <v>63.960999999999999</v>
      </c>
      <c r="C406">
        <v>65.626999999999995</v>
      </c>
      <c r="E406">
        <v>137.1</v>
      </c>
    </row>
    <row r="407" spans="1:5" x14ac:dyDescent="0.2">
      <c r="A407" s="43">
        <v>33147</v>
      </c>
      <c r="B407">
        <v>64.326999999999998</v>
      </c>
      <c r="C407">
        <v>65.849999999999994</v>
      </c>
      <c r="E407">
        <v>137.6</v>
      </c>
    </row>
    <row r="408" spans="1:5" x14ac:dyDescent="0.2">
      <c r="A408" s="43">
        <v>33178</v>
      </c>
      <c r="B408">
        <v>64.409000000000006</v>
      </c>
      <c r="C408">
        <v>65.929000000000002</v>
      </c>
      <c r="E408">
        <v>138</v>
      </c>
    </row>
    <row r="409" spans="1:5" x14ac:dyDescent="0.2">
      <c r="A409" s="43">
        <v>33208</v>
      </c>
      <c r="B409">
        <v>64.468999999999994</v>
      </c>
      <c r="C409">
        <v>66.021000000000001</v>
      </c>
      <c r="E409">
        <v>138.6</v>
      </c>
    </row>
    <row r="410" spans="1:5" x14ac:dyDescent="0.2">
      <c r="A410" s="43">
        <v>33239</v>
      </c>
      <c r="B410">
        <v>64.713999999999999</v>
      </c>
      <c r="C410">
        <v>66.349999999999994</v>
      </c>
      <c r="E410">
        <v>139.5</v>
      </c>
    </row>
    <row r="411" spans="1:5" x14ac:dyDescent="0.2">
      <c r="A411" s="43">
        <v>33270</v>
      </c>
      <c r="B411">
        <v>64.747</v>
      </c>
      <c r="C411">
        <v>66.533000000000001</v>
      </c>
      <c r="E411">
        <v>140.19999999999999</v>
      </c>
    </row>
    <row r="412" spans="1:5" x14ac:dyDescent="0.2">
      <c r="A412" s="43">
        <v>33298</v>
      </c>
      <c r="B412">
        <v>64.760000000000005</v>
      </c>
      <c r="C412">
        <v>66.671999999999997</v>
      </c>
      <c r="E412">
        <v>140.5</v>
      </c>
    </row>
    <row r="413" spans="1:5" x14ac:dyDescent="0.2">
      <c r="A413" s="43">
        <v>33329</v>
      </c>
      <c r="B413">
        <v>64.878</v>
      </c>
      <c r="C413">
        <v>66.805000000000007</v>
      </c>
      <c r="E413">
        <v>140.9</v>
      </c>
    </row>
    <row r="414" spans="1:5" x14ac:dyDescent="0.2">
      <c r="A414" s="43">
        <v>33359</v>
      </c>
      <c r="B414">
        <v>65.147000000000006</v>
      </c>
      <c r="C414">
        <v>67.072000000000003</v>
      </c>
      <c r="E414">
        <v>141.30000000000001</v>
      </c>
    </row>
    <row r="415" spans="1:5" x14ac:dyDescent="0.2">
      <c r="A415" s="43">
        <v>33390</v>
      </c>
      <c r="B415">
        <v>65.257000000000005</v>
      </c>
      <c r="C415">
        <v>67.215999999999994</v>
      </c>
      <c r="E415">
        <v>141.80000000000001</v>
      </c>
    </row>
    <row r="416" spans="1:5" x14ac:dyDescent="0.2">
      <c r="A416" s="43">
        <v>33420</v>
      </c>
      <c r="B416">
        <v>65.36</v>
      </c>
      <c r="C416">
        <v>67.421000000000006</v>
      </c>
      <c r="E416">
        <v>142.30000000000001</v>
      </c>
    </row>
    <row r="417" spans="1:5" x14ac:dyDescent="0.2">
      <c r="A417" s="43">
        <v>33451</v>
      </c>
      <c r="B417">
        <v>65.510999999999996</v>
      </c>
      <c r="C417">
        <v>67.605999999999995</v>
      </c>
      <c r="E417">
        <v>142.9</v>
      </c>
    </row>
    <row r="418" spans="1:5" x14ac:dyDescent="0.2">
      <c r="A418" s="43">
        <v>33482</v>
      </c>
      <c r="B418">
        <v>65.736999999999995</v>
      </c>
      <c r="C418">
        <v>67.876999999999995</v>
      </c>
      <c r="E418">
        <v>143.4</v>
      </c>
    </row>
    <row r="419" spans="1:5" x14ac:dyDescent="0.2">
      <c r="A419" s="43">
        <v>33512</v>
      </c>
      <c r="B419">
        <v>65.86</v>
      </c>
      <c r="C419">
        <v>68.025999999999996</v>
      </c>
      <c r="E419">
        <v>143.69999999999999</v>
      </c>
    </row>
    <row r="420" spans="1:5" x14ac:dyDescent="0.2">
      <c r="A420" s="43">
        <v>33543</v>
      </c>
      <c r="B420">
        <v>66.004999999999995</v>
      </c>
      <c r="C420">
        <v>68.153000000000006</v>
      </c>
      <c r="E420">
        <v>144.19999999999999</v>
      </c>
    </row>
    <row r="421" spans="1:5" x14ac:dyDescent="0.2">
      <c r="A421" s="43">
        <v>33573</v>
      </c>
      <c r="B421">
        <v>66.17</v>
      </c>
      <c r="C421">
        <v>68.320999999999998</v>
      </c>
      <c r="E421">
        <v>144.69999999999999</v>
      </c>
    </row>
    <row r="422" spans="1:5" x14ac:dyDescent="0.2">
      <c r="A422" s="43">
        <v>33604</v>
      </c>
      <c r="B422">
        <v>66.260000000000005</v>
      </c>
      <c r="C422">
        <v>68.507000000000005</v>
      </c>
      <c r="E422">
        <v>145.1</v>
      </c>
    </row>
    <row r="423" spans="1:5" x14ac:dyDescent="0.2">
      <c r="A423" s="43">
        <v>33635</v>
      </c>
      <c r="B423">
        <v>66.427999999999997</v>
      </c>
      <c r="C423">
        <v>68.692999999999998</v>
      </c>
      <c r="E423">
        <v>145.4</v>
      </c>
    </row>
    <row r="424" spans="1:5" x14ac:dyDescent="0.2">
      <c r="A424" s="43">
        <v>33664</v>
      </c>
      <c r="B424">
        <v>66.588999999999999</v>
      </c>
      <c r="C424">
        <v>68.864999999999995</v>
      </c>
      <c r="E424">
        <v>145.9</v>
      </c>
    </row>
    <row r="425" spans="1:5" x14ac:dyDescent="0.2">
      <c r="A425" s="43">
        <v>33695</v>
      </c>
      <c r="B425">
        <v>66.769000000000005</v>
      </c>
      <c r="C425">
        <v>69.090999999999994</v>
      </c>
      <c r="E425">
        <v>146.30000000000001</v>
      </c>
    </row>
    <row r="426" spans="1:5" x14ac:dyDescent="0.2">
      <c r="A426" s="43">
        <v>33725</v>
      </c>
      <c r="B426">
        <v>66.856999999999999</v>
      </c>
      <c r="C426">
        <v>69.188000000000002</v>
      </c>
      <c r="E426">
        <v>146.80000000000001</v>
      </c>
    </row>
    <row r="427" spans="1:5" x14ac:dyDescent="0.2">
      <c r="A427" s="43">
        <v>33756</v>
      </c>
      <c r="B427">
        <v>66.975999999999999</v>
      </c>
      <c r="C427">
        <v>69.242000000000004</v>
      </c>
      <c r="E427">
        <v>147.1</v>
      </c>
    </row>
    <row r="428" spans="1:5" x14ac:dyDescent="0.2">
      <c r="A428" s="43">
        <v>33786</v>
      </c>
      <c r="B428">
        <v>67.197000000000003</v>
      </c>
      <c r="C428">
        <v>69.503</v>
      </c>
      <c r="E428">
        <v>147.6</v>
      </c>
    </row>
    <row r="429" spans="1:5" x14ac:dyDescent="0.2">
      <c r="A429" s="43">
        <v>33817</v>
      </c>
      <c r="B429">
        <v>67.287000000000006</v>
      </c>
      <c r="C429">
        <v>69.566999999999993</v>
      </c>
      <c r="E429">
        <v>147.9</v>
      </c>
    </row>
    <row r="430" spans="1:5" x14ac:dyDescent="0.2">
      <c r="A430" s="43">
        <v>33848</v>
      </c>
      <c r="B430">
        <v>67.397000000000006</v>
      </c>
      <c r="C430">
        <v>69.680000000000007</v>
      </c>
      <c r="E430">
        <v>148.1</v>
      </c>
    </row>
    <row r="431" spans="1:5" x14ac:dyDescent="0.2">
      <c r="A431" s="43">
        <v>33878</v>
      </c>
      <c r="B431">
        <v>67.635000000000005</v>
      </c>
      <c r="C431">
        <v>69.947999999999993</v>
      </c>
      <c r="E431">
        <v>148.80000000000001</v>
      </c>
    </row>
    <row r="432" spans="1:5" x14ac:dyDescent="0.2">
      <c r="A432" s="43">
        <v>33909</v>
      </c>
      <c r="B432">
        <v>67.768000000000001</v>
      </c>
      <c r="C432">
        <v>70.100999999999999</v>
      </c>
      <c r="E432">
        <v>149.19999999999999</v>
      </c>
    </row>
    <row r="433" spans="1:5" x14ac:dyDescent="0.2">
      <c r="A433" s="43">
        <v>33939</v>
      </c>
      <c r="B433">
        <v>67.885999999999996</v>
      </c>
      <c r="C433">
        <v>70.230999999999995</v>
      </c>
      <c r="E433">
        <v>149.6</v>
      </c>
    </row>
    <row r="434" spans="1:5" x14ac:dyDescent="0.2">
      <c r="A434" s="43">
        <v>33970</v>
      </c>
      <c r="B434">
        <v>68.052000000000007</v>
      </c>
      <c r="C434">
        <v>70.435000000000002</v>
      </c>
      <c r="E434">
        <v>150.1</v>
      </c>
    </row>
    <row r="435" spans="1:5" x14ac:dyDescent="0.2">
      <c r="A435" s="43">
        <v>34001</v>
      </c>
      <c r="B435">
        <v>68.153999999999996</v>
      </c>
      <c r="C435">
        <v>70.569999999999993</v>
      </c>
      <c r="E435">
        <v>150.6</v>
      </c>
    </row>
    <row r="436" spans="1:5" x14ac:dyDescent="0.2">
      <c r="A436" s="43">
        <v>34029</v>
      </c>
      <c r="B436">
        <v>68.293999999999997</v>
      </c>
      <c r="C436">
        <v>70.722999999999999</v>
      </c>
      <c r="E436">
        <v>150.80000000000001</v>
      </c>
    </row>
    <row r="437" spans="1:5" x14ac:dyDescent="0.2">
      <c r="A437" s="43">
        <v>34060</v>
      </c>
      <c r="B437">
        <v>68.474999999999994</v>
      </c>
      <c r="C437">
        <v>70.929000000000002</v>
      </c>
      <c r="E437">
        <v>151.4</v>
      </c>
    </row>
    <row r="438" spans="1:5" x14ac:dyDescent="0.2">
      <c r="A438" s="43">
        <v>34090</v>
      </c>
      <c r="B438">
        <v>68.686999999999998</v>
      </c>
      <c r="C438">
        <v>71.168999999999997</v>
      </c>
      <c r="E438">
        <v>151.80000000000001</v>
      </c>
    </row>
    <row r="439" spans="1:5" x14ac:dyDescent="0.2">
      <c r="A439" s="43">
        <v>34121</v>
      </c>
      <c r="B439">
        <v>68.710999999999999</v>
      </c>
      <c r="C439">
        <v>71.236999999999995</v>
      </c>
      <c r="E439">
        <v>152.1</v>
      </c>
    </row>
    <row r="440" spans="1:5" x14ac:dyDescent="0.2">
      <c r="A440" s="43">
        <v>34151</v>
      </c>
      <c r="B440">
        <v>68.819999999999993</v>
      </c>
      <c r="C440">
        <v>71.385000000000005</v>
      </c>
      <c r="E440">
        <v>152.30000000000001</v>
      </c>
    </row>
    <row r="441" spans="1:5" x14ac:dyDescent="0.2">
      <c r="A441" s="43">
        <v>34182</v>
      </c>
      <c r="B441">
        <v>68.938000000000002</v>
      </c>
      <c r="C441">
        <v>71.518000000000001</v>
      </c>
      <c r="E441">
        <v>152.80000000000001</v>
      </c>
    </row>
    <row r="442" spans="1:5" x14ac:dyDescent="0.2">
      <c r="A442" s="43">
        <v>34213</v>
      </c>
      <c r="B442">
        <v>69.010000000000005</v>
      </c>
      <c r="C442">
        <v>71.625</v>
      </c>
      <c r="E442">
        <v>152.9</v>
      </c>
    </row>
    <row r="443" spans="1:5" x14ac:dyDescent="0.2">
      <c r="A443" s="43">
        <v>34243</v>
      </c>
      <c r="B443">
        <v>69.227000000000004</v>
      </c>
      <c r="C443">
        <v>71.744</v>
      </c>
      <c r="E443">
        <v>153.4</v>
      </c>
    </row>
    <row r="444" spans="1:5" x14ac:dyDescent="0.2">
      <c r="A444" s="43">
        <v>34274</v>
      </c>
      <c r="B444">
        <v>69.358000000000004</v>
      </c>
      <c r="C444">
        <v>71.927999999999997</v>
      </c>
      <c r="E444">
        <v>153.9</v>
      </c>
    </row>
    <row r="445" spans="1:5" x14ac:dyDescent="0.2">
      <c r="A445" s="43">
        <v>34304</v>
      </c>
      <c r="B445">
        <v>69.373999999999995</v>
      </c>
      <c r="C445">
        <v>71.959999999999994</v>
      </c>
      <c r="E445">
        <v>154.30000000000001</v>
      </c>
    </row>
    <row r="446" spans="1:5" x14ac:dyDescent="0.2">
      <c r="A446" s="43">
        <v>34335</v>
      </c>
      <c r="B446">
        <v>69.397000000000006</v>
      </c>
      <c r="C446">
        <v>72.018000000000001</v>
      </c>
      <c r="E446">
        <v>154.5</v>
      </c>
    </row>
    <row r="447" spans="1:5" x14ac:dyDescent="0.2">
      <c r="A447" s="43">
        <v>34366</v>
      </c>
      <c r="B447">
        <v>69.558000000000007</v>
      </c>
      <c r="C447">
        <v>72.173000000000002</v>
      </c>
      <c r="E447">
        <v>154.80000000000001</v>
      </c>
    </row>
    <row r="448" spans="1:5" x14ac:dyDescent="0.2">
      <c r="A448" s="43">
        <v>34394</v>
      </c>
      <c r="B448">
        <v>69.75</v>
      </c>
      <c r="C448">
        <v>72.42</v>
      </c>
      <c r="E448">
        <v>155.30000000000001</v>
      </c>
    </row>
    <row r="449" spans="1:5" x14ac:dyDescent="0.2">
      <c r="A449" s="43">
        <v>34425</v>
      </c>
      <c r="B449">
        <v>69.831999999999994</v>
      </c>
      <c r="C449">
        <v>72.528000000000006</v>
      </c>
      <c r="E449">
        <v>155.5</v>
      </c>
    </row>
    <row r="450" spans="1:5" x14ac:dyDescent="0.2">
      <c r="A450" s="43">
        <v>34455</v>
      </c>
      <c r="B450">
        <v>69.933000000000007</v>
      </c>
      <c r="C450">
        <v>72.69</v>
      </c>
      <c r="E450">
        <v>155.9</v>
      </c>
    </row>
    <row r="451" spans="1:5" x14ac:dyDescent="0.2">
      <c r="A451" s="43">
        <v>34486</v>
      </c>
      <c r="B451">
        <v>70.103999999999999</v>
      </c>
      <c r="C451">
        <v>72.850999999999999</v>
      </c>
      <c r="E451">
        <v>156.4</v>
      </c>
    </row>
    <row r="452" spans="1:5" x14ac:dyDescent="0.2">
      <c r="A452" s="43">
        <v>34516</v>
      </c>
      <c r="B452">
        <v>70.325000000000003</v>
      </c>
      <c r="C452">
        <v>73.004000000000005</v>
      </c>
      <c r="E452">
        <v>156.69999999999999</v>
      </c>
    </row>
    <row r="453" spans="1:5" x14ac:dyDescent="0.2">
      <c r="A453" s="43">
        <v>34547</v>
      </c>
      <c r="B453">
        <v>70.486000000000004</v>
      </c>
      <c r="C453">
        <v>73.085999999999999</v>
      </c>
      <c r="E453">
        <v>157.1</v>
      </c>
    </row>
    <row r="454" spans="1:5" x14ac:dyDescent="0.2">
      <c r="A454" s="43">
        <v>34578</v>
      </c>
      <c r="B454">
        <v>70.564999999999998</v>
      </c>
      <c r="C454">
        <v>73.197000000000003</v>
      </c>
      <c r="E454">
        <v>157.5</v>
      </c>
    </row>
    <row r="455" spans="1:5" x14ac:dyDescent="0.2">
      <c r="A455" s="43">
        <v>34608</v>
      </c>
      <c r="B455">
        <v>70.683999999999997</v>
      </c>
      <c r="C455">
        <v>73.369</v>
      </c>
      <c r="E455">
        <v>157.80000000000001</v>
      </c>
    </row>
    <row r="456" spans="1:5" x14ac:dyDescent="0.2">
      <c r="A456" s="43">
        <v>34639</v>
      </c>
      <c r="B456">
        <v>70.819000000000003</v>
      </c>
      <c r="C456">
        <v>73.503</v>
      </c>
      <c r="E456">
        <v>158.19999999999999</v>
      </c>
    </row>
    <row r="457" spans="1:5" x14ac:dyDescent="0.2">
      <c r="A457" s="43">
        <v>34669</v>
      </c>
      <c r="B457">
        <v>70.864999999999995</v>
      </c>
      <c r="C457">
        <v>73.528000000000006</v>
      </c>
      <c r="E457">
        <v>158.30000000000001</v>
      </c>
    </row>
    <row r="458" spans="1:5" x14ac:dyDescent="0.2">
      <c r="A458" s="43">
        <v>34700</v>
      </c>
      <c r="B458">
        <v>71.007999999999996</v>
      </c>
      <c r="C458">
        <v>73.710999999999999</v>
      </c>
      <c r="E458">
        <v>159</v>
      </c>
    </row>
    <row r="459" spans="1:5" x14ac:dyDescent="0.2">
      <c r="A459" s="43">
        <v>34731</v>
      </c>
      <c r="B459">
        <v>71.134</v>
      </c>
      <c r="C459">
        <v>73.831000000000003</v>
      </c>
      <c r="E459">
        <v>159.4</v>
      </c>
    </row>
    <row r="460" spans="1:5" x14ac:dyDescent="0.2">
      <c r="A460" s="43">
        <v>34759</v>
      </c>
      <c r="B460">
        <v>71.265000000000001</v>
      </c>
      <c r="C460">
        <v>74.013000000000005</v>
      </c>
      <c r="E460">
        <v>159.9</v>
      </c>
    </row>
    <row r="461" spans="1:5" x14ac:dyDescent="0.2">
      <c r="A461" s="43">
        <v>34790</v>
      </c>
      <c r="B461">
        <v>71.453000000000003</v>
      </c>
      <c r="C461">
        <v>74.183999999999997</v>
      </c>
      <c r="E461">
        <v>160.4</v>
      </c>
    </row>
    <row r="462" spans="1:5" x14ac:dyDescent="0.2">
      <c r="A462" s="43">
        <v>34820</v>
      </c>
      <c r="B462">
        <v>71.563000000000002</v>
      </c>
      <c r="C462">
        <v>74.311000000000007</v>
      </c>
      <c r="E462">
        <v>160.69999999999999</v>
      </c>
    </row>
    <row r="463" spans="1:5" x14ac:dyDescent="0.2">
      <c r="A463" s="43">
        <v>34851</v>
      </c>
      <c r="B463">
        <v>71.632999999999996</v>
      </c>
      <c r="C463">
        <v>74.375</v>
      </c>
      <c r="E463">
        <v>161.1</v>
      </c>
    </row>
    <row r="464" spans="1:5" x14ac:dyDescent="0.2">
      <c r="A464" s="43">
        <v>34881</v>
      </c>
      <c r="B464">
        <v>71.721999999999994</v>
      </c>
      <c r="C464">
        <v>74.492999999999995</v>
      </c>
      <c r="E464">
        <v>161.4</v>
      </c>
    </row>
    <row r="465" spans="1:5" x14ac:dyDescent="0.2">
      <c r="A465" s="43">
        <v>34912</v>
      </c>
      <c r="B465">
        <v>71.876999999999995</v>
      </c>
      <c r="C465">
        <v>74.671000000000006</v>
      </c>
      <c r="E465">
        <v>161.80000000000001</v>
      </c>
    </row>
    <row r="466" spans="1:5" x14ac:dyDescent="0.2">
      <c r="A466" s="43">
        <v>34943</v>
      </c>
      <c r="B466">
        <v>71.926000000000002</v>
      </c>
      <c r="C466">
        <v>74.77</v>
      </c>
      <c r="E466">
        <v>162.19999999999999</v>
      </c>
    </row>
    <row r="467" spans="1:5" x14ac:dyDescent="0.2">
      <c r="A467" s="43">
        <v>34973</v>
      </c>
      <c r="B467">
        <v>72.113</v>
      </c>
      <c r="C467">
        <v>74.951999999999998</v>
      </c>
      <c r="E467">
        <v>162.69999999999999</v>
      </c>
    </row>
    <row r="468" spans="1:5" x14ac:dyDescent="0.2">
      <c r="A468" s="43">
        <v>35004</v>
      </c>
      <c r="B468">
        <v>72.111000000000004</v>
      </c>
      <c r="C468">
        <v>75</v>
      </c>
      <c r="E468">
        <v>163</v>
      </c>
    </row>
    <row r="469" spans="1:5" x14ac:dyDescent="0.2">
      <c r="A469" s="43">
        <v>35034</v>
      </c>
      <c r="B469">
        <v>72.248999999999995</v>
      </c>
      <c r="C469">
        <v>75.105000000000004</v>
      </c>
      <c r="E469">
        <v>163.1</v>
      </c>
    </row>
    <row r="470" spans="1:5" x14ac:dyDescent="0.2">
      <c r="A470" s="43">
        <v>35065</v>
      </c>
      <c r="B470">
        <v>72.41</v>
      </c>
      <c r="C470">
        <v>75.19</v>
      </c>
      <c r="E470">
        <v>163.69999999999999</v>
      </c>
    </row>
    <row r="471" spans="1:5" x14ac:dyDescent="0.2">
      <c r="A471" s="43">
        <v>35096</v>
      </c>
      <c r="B471">
        <v>72.524000000000001</v>
      </c>
      <c r="C471">
        <v>75.287999999999997</v>
      </c>
      <c r="E471">
        <v>164</v>
      </c>
    </row>
    <row r="472" spans="1:5" x14ac:dyDescent="0.2">
      <c r="A472" s="43">
        <v>35125</v>
      </c>
      <c r="B472">
        <v>72.742999999999995</v>
      </c>
      <c r="C472">
        <v>75.462000000000003</v>
      </c>
      <c r="E472">
        <v>164.4</v>
      </c>
    </row>
    <row r="473" spans="1:5" x14ac:dyDescent="0.2">
      <c r="A473" s="43">
        <v>35156</v>
      </c>
      <c r="B473">
        <v>72.960999999999999</v>
      </c>
      <c r="C473">
        <v>75.564999999999998</v>
      </c>
      <c r="E473">
        <v>164.6</v>
      </c>
    </row>
    <row r="474" spans="1:5" x14ac:dyDescent="0.2">
      <c r="A474" s="43">
        <v>35186</v>
      </c>
      <c r="B474">
        <v>73.087000000000003</v>
      </c>
      <c r="C474">
        <v>75.695999999999998</v>
      </c>
      <c r="E474">
        <v>165</v>
      </c>
    </row>
    <row r="475" spans="1:5" x14ac:dyDescent="0.2">
      <c r="A475" s="43">
        <v>35217</v>
      </c>
      <c r="B475">
        <v>73.085999999999999</v>
      </c>
      <c r="C475">
        <v>75.754000000000005</v>
      </c>
      <c r="E475">
        <v>165.4</v>
      </c>
    </row>
    <row r="476" spans="1:5" x14ac:dyDescent="0.2">
      <c r="A476" s="43">
        <v>35247</v>
      </c>
      <c r="B476">
        <v>73.241</v>
      </c>
      <c r="C476">
        <v>75.897000000000006</v>
      </c>
      <c r="E476">
        <v>165.7</v>
      </c>
    </row>
    <row r="477" spans="1:5" x14ac:dyDescent="0.2">
      <c r="A477" s="43">
        <v>35278</v>
      </c>
      <c r="B477">
        <v>73.31</v>
      </c>
      <c r="C477">
        <v>75.962000000000003</v>
      </c>
      <c r="E477">
        <v>166</v>
      </c>
    </row>
    <row r="478" spans="1:5" x14ac:dyDescent="0.2">
      <c r="A478" s="43">
        <v>35309</v>
      </c>
      <c r="B478">
        <v>73.516999999999996</v>
      </c>
      <c r="C478">
        <v>76.191999999999993</v>
      </c>
      <c r="E478">
        <v>166.5</v>
      </c>
    </row>
    <row r="479" spans="1:5" x14ac:dyDescent="0.2">
      <c r="A479" s="43">
        <v>35339</v>
      </c>
      <c r="B479">
        <v>73.739999999999995</v>
      </c>
      <c r="C479">
        <v>76.373000000000005</v>
      </c>
      <c r="E479">
        <v>166.8</v>
      </c>
    </row>
    <row r="480" spans="1:5" x14ac:dyDescent="0.2">
      <c r="A480" s="43">
        <v>35370</v>
      </c>
      <c r="B480">
        <v>73.870999999999995</v>
      </c>
      <c r="C480">
        <v>76.472999999999999</v>
      </c>
      <c r="E480">
        <v>167.2</v>
      </c>
    </row>
    <row r="481" spans="1:5" x14ac:dyDescent="0.2">
      <c r="A481" s="43">
        <v>35400</v>
      </c>
      <c r="B481">
        <v>73.956000000000003</v>
      </c>
      <c r="C481">
        <v>76.503</v>
      </c>
      <c r="E481">
        <v>167.4</v>
      </c>
    </row>
    <row r="482" spans="1:5" x14ac:dyDescent="0.2">
      <c r="A482" s="43">
        <v>35431</v>
      </c>
      <c r="B482">
        <v>74.052000000000007</v>
      </c>
      <c r="C482">
        <v>76.584000000000003</v>
      </c>
      <c r="E482">
        <v>167.8</v>
      </c>
    </row>
    <row r="483" spans="1:5" x14ac:dyDescent="0.2">
      <c r="A483" s="43">
        <v>35462</v>
      </c>
      <c r="B483">
        <v>74.207999999999998</v>
      </c>
      <c r="C483">
        <v>76.741</v>
      </c>
      <c r="E483">
        <v>168.1</v>
      </c>
    </row>
    <row r="484" spans="1:5" x14ac:dyDescent="0.2">
      <c r="A484" s="43">
        <v>35490</v>
      </c>
      <c r="B484">
        <v>74.286000000000001</v>
      </c>
      <c r="C484">
        <v>76.924999999999997</v>
      </c>
      <c r="E484">
        <v>168.4</v>
      </c>
    </row>
    <row r="485" spans="1:5" x14ac:dyDescent="0.2">
      <c r="A485" s="43">
        <v>35521</v>
      </c>
      <c r="B485">
        <v>74.358999999999995</v>
      </c>
      <c r="C485">
        <v>77.075000000000003</v>
      </c>
      <c r="E485">
        <v>168.9</v>
      </c>
    </row>
    <row r="486" spans="1:5" x14ac:dyDescent="0.2">
      <c r="A486" s="43">
        <v>35551</v>
      </c>
      <c r="B486">
        <v>74.323999999999998</v>
      </c>
      <c r="C486">
        <v>77.131</v>
      </c>
      <c r="E486">
        <v>169.2</v>
      </c>
    </row>
    <row r="487" spans="1:5" x14ac:dyDescent="0.2">
      <c r="A487" s="43">
        <v>35582</v>
      </c>
      <c r="B487">
        <v>74.42</v>
      </c>
      <c r="C487">
        <v>77.245000000000005</v>
      </c>
      <c r="E487">
        <v>169.4</v>
      </c>
    </row>
    <row r="488" spans="1:5" x14ac:dyDescent="0.2">
      <c r="A488" s="43">
        <v>35612</v>
      </c>
      <c r="B488">
        <v>74.463999999999999</v>
      </c>
      <c r="C488">
        <v>77.296999999999997</v>
      </c>
      <c r="E488">
        <v>169.7</v>
      </c>
    </row>
    <row r="489" spans="1:5" x14ac:dyDescent="0.2">
      <c r="A489" s="43">
        <v>35643</v>
      </c>
      <c r="B489">
        <v>74.524000000000001</v>
      </c>
      <c r="C489">
        <v>77.266999999999996</v>
      </c>
      <c r="E489">
        <v>169.8</v>
      </c>
    </row>
    <row r="490" spans="1:5" x14ac:dyDescent="0.2">
      <c r="A490" s="43">
        <v>35674</v>
      </c>
      <c r="B490">
        <v>74.703999999999994</v>
      </c>
      <c r="C490">
        <v>77.427000000000007</v>
      </c>
      <c r="E490">
        <v>170.2</v>
      </c>
    </row>
    <row r="491" spans="1:5" x14ac:dyDescent="0.2">
      <c r="A491" s="43">
        <v>35704</v>
      </c>
      <c r="B491">
        <v>74.801000000000002</v>
      </c>
      <c r="C491">
        <v>77.545000000000002</v>
      </c>
      <c r="E491">
        <v>170.6</v>
      </c>
    </row>
    <row r="492" spans="1:5" x14ac:dyDescent="0.2">
      <c r="A492" s="43">
        <v>35735</v>
      </c>
      <c r="B492">
        <v>74.804000000000002</v>
      </c>
      <c r="C492">
        <v>77.567999999999998</v>
      </c>
      <c r="E492">
        <v>170.8</v>
      </c>
    </row>
    <row r="493" spans="1:5" x14ac:dyDescent="0.2">
      <c r="A493" s="43">
        <v>35765</v>
      </c>
      <c r="B493">
        <v>74.787999999999997</v>
      </c>
      <c r="C493">
        <v>77.613</v>
      </c>
      <c r="E493">
        <v>171.2</v>
      </c>
    </row>
    <row r="494" spans="1:5" x14ac:dyDescent="0.2">
      <c r="A494" s="43">
        <v>35796</v>
      </c>
      <c r="B494">
        <v>74.825000000000003</v>
      </c>
      <c r="C494">
        <v>77.731999999999999</v>
      </c>
      <c r="E494">
        <v>171.6</v>
      </c>
    </row>
    <row r="495" spans="1:5" x14ac:dyDescent="0.2">
      <c r="A495" s="43">
        <v>35827</v>
      </c>
      <c r="B495">
        <v>74.787000000000006</v>
      </c>
      <c r="C495">
        <v>77.798000000000002</v>
      </c>
      <c r="E495">
        <v>171.9</v>
      </c>
    </row>
    <row r="496" spans="1:5" x14ac:dyDescent="0.2">
      <c r="A496" s="43">
        <v>35855</v>
      </c>
      <c r="B496">
        <v>74.799000000000007</v>
      </c>
      <c r="C496">
        <v>77.881</v>
      </c>
      <c r="E496">
        <v>172.2</v>
      </c>
    </row>
    <row r="497" spans="1:5" x14ac:dyDescent="0.2">
      <c r="A497" s="43">
        <v>35886</v>
      </c>
      <c r="B497">
        <v>74.891000000000005</v>
      </c>
      <c r="C497">
        <v>78.024000000000001</v>
      </c>
      <c r="E497">
        <v>172.5</v>
      </c>
    </row>
    <row r="498" spans="1:5" x14ac:dyDescent="0.2">
      <c r="A498" s="43">
        <v>35916</v>
      </c>
      <c r="B498">
        <v>74.994</v>
      </c>
      <c r="C498">
        <v>78.099999999999994</v>
      </c>
      <c r="E498">
        <v>172.9</v>
      </c>
    </row>
    <row r="499" spans="1:5" x14ac:dyDescent="0.2">
      <c r="A499" s="43">
        <v>35947</v>
      </c>
      <c r="B499">
        <v>74.930999999999997</v>
      </c>
      <c r="C499">
        <v>78.001999999999995</v>
      </c>
      <c r="E499">
        <v>173.2</v>
      </c>
    </row>
    <row r="500" spans="1:5" x14ac:dyDescent="0.2">
      <c r="A500" s="43">
        <v>35977</v>
      </c>
      <c r="B500">
        <v>75.116</v>
      </c>
      <c r="C500">
        <v>78.221999999999994</v>
      </c>
      <c r="E500">
        <v>173.5</v>
      </c>
    </row>
    <row r="501" spans="1:5" x14ac:dyDescent="0.2">
      <c r="A501" s="43">
        <v>36008</v>
      </c>
      <c r="B501">
        <v>75.22</v>
      </c>
      <c r="C501">
        <v>78.375</v>
      </c>
      <c r="E501">
        <v>174</v>
      </c>
    </row>
    <row r="502" spans="1:5" x14ac:dyDescent="0.2">
      <c r="A502" s="43">
        <v>36039</v>
      </c>
      <c r="B502">
        <v>75.176000000000002</v>
      </c>
      <c r="C502">
        <v>78.361000000000004</v>
      </c>
      <c r="E502">
        <v>174.2</v>
      </c>
    </row>
    <row r="503" spans="1:5" x14ac:dyDescent="0.2">
      <c r="A503" s="43">
        <v>36069</v>
      </c>
      <c r="B503">
        <v>75.340999999999994</v>
      </c>
      <c r="C503">
        <v>78.513999999999996</v>
      </c>
      <c r="E503">
        <v>174.4</v>
      </c>
    </row>
    <row r="504" spans="1:5" x14ac:dyDescent="0.2">
      <c r="A504" s="43">
        <v>36100</v>
      </c>
      <c r="B504">
        <v>75.344999999999999</v>
      </c>
      <c r="C504">
        <v>78.528000000000006</v>
      </c>
      <c r="E504">
        <v>174.8</v>
      </c>
    </row>
    <row r="505" spans="1:5" x14ac:dyDescent="0.2">
      <c r="A505" s="43">
        <v>36130</v>
      </c>
      <c r="B505">
        <v>75.42</v>
      </c>
      <c r="C505">
        <v>78.662999999999997</v>
      </c>
      <c r="E505">
        <v>175.4</v>
      </c>
    </row>
    <row r="506" spans="1:5" x14ac:dyDescent="0.2">
      <c r="A506" s="43">
        <v>36161</v>
      </c>
      <c r="B506">
        <v>75.527000000000001</v>
      </c>
      <c r="C506">
        <v>78.775999999999996</v>
      </c>
      <c r="E506">
        <v>175.6</v>
      </c>
    </row>
    <row r="507" spans="1:5" x14ac:dyDescent="0.2">
      <c r="A507" s="43">
        <v>36192</v>
      </c>
      <c r="B507">
        <v>75.483999999999995</v>
      </c>
      <c r="C507">
        <v>78.748999999999995</v>
      </c>
      <c r="E507">
        <v>175.6</v>
      </c>
    </row>
    <row r="508" spans="1:5" x14ac:dyDescent="0.2">
      <c r="A508" s="43">
        <v>36220</v>
      </c>
      <c r="B508">
        <v>75.540999999999997</v>
      </c>
      <c r="C508">
        <v>78.772999999999996</v>
      </c>
      <c r="E508">
        <v>175.7</v>
      </c>
    </row>
    <row r="509" spans="1:5" x14ac:dyDescent="0.2">
      <c r="A509" s="43">
        <v>36251</v>
      </c>
      <c r="B509">
        <v>75.906000000000006</v>
      </c>
      <c r="C509">
        <v>78.974999999999994</v>
      </c>
      <c r="E509">
        <v>176.3</v>
      </c>
    </row>
    <row r="510" spans="1:5" x14ac:dyDescent="0.2">
      <c r="A510" s="43">
        <v>36281</v>
      </c>
      <c r="B510">
        <v>75.954999999999998</v>
      </c>
      <c r="C510">
        <v>79.051000000000002</v>
      </c>
      <c r="E510">
        <v>176.5</v>
      </c>
    </row>
    <row r="511" spans="1:5" x14ac:dyDescent="0.2">
      <c r="A511" s="43">
        <v>36312</v>
      </c>
      <c r="B511">
        <v>75.978999999999999</v>
      </c>
      <c r="C511">
        <v>79.091999999999999</v>
      </c>
      <c r="E511">
        <v>176.6</v>
      </c>
    </row>
    <row r="512" spans="1:5" x14ac:dyDescent="0.2">
      <c r="A512" s="43">
        <v>36342</v>
      </c>
      <c r="B512">
        <v>76.180999999999997</v>
      </c>
      <c r="C512">
        <v>79.234999999999999</v>
      </c>
      <c r="E512">
        <v>177.1</v>
      </c>
    </row>
    <row r="513" spans="1:5" x14ac:dyDescent="0.2">
      <c r="A513" s="43">
        <v>36373</v>
      </c>
      <c r="B513">
        <v>76.319000000000003</v>
      </c>
      <c r="C513">
        <v>79.272999999999996</v>
      </c>
      <c r="E513">
        <v>177.3</v>
      </c>
    </row>
    <row r="514" spans="1:5" x14ac:dyDescent="0.2">
      <c r="A514" s="43">
        <v>36404</v>
      </c>
      <c r="B514">
        <v>76.593000000000004</v>
      </c>
      <c r="C514">
        <v>79.483000000000004</v>
      </c>
      <c r="E514">
        <v>177.8</v>
      </c>
    </row>
    <row r="515" spans="1:5" x14ac:dyDescent="0.2">
      <c r="A515" s="43">
        <v>36434</v>
      </c>
      <c r="B515">
        <v>76.722999999999999</v>
      </c>
      <c r="C515">
        <v>79.619</v>
      </c>
      <c r="E515">
        <v>178.1</v>
      </c>
    </row>
    <row r="516" spans="1:5" x14ac:dyDescent="0.2">
      <c r="A516" s="43">
        <v>36465</v>
      </c>
      <c r="B516">
        <v>76.792000000000002</v>
      </c>
      <c r="C516">
        <v>79.694999999999993</v>
      </c>
      <c r="E516">
        <v>178.4</v>
      </c>
    </row>
    <row r="517" spans="1:5" x14ac:dyDescent="0.2">
      <c r="A517" s="43">
        <v>36495</v>
      </c>
      <c r="B517">
        <v>76.97</v>
      </c>
      <c r="C517">
        <v>79.796000000000006</v>
      </c>
      <c r="E517">
        <v>178.7</v>
      </c>
    </row>
    <row r="518" spans="1:5" x14ac:dyDescent="0.2">
      <c r="A518" s="43">
        <v>36526</v>
      </c>
      <c r="B518">
        <v>77.180000000000007</v>
      </c>
      <c r="C518">
        <v>79.986999999999995</v>
      </c>
      <c r="E518">
        <v>179.3</v>
      </c>
    </row>
    <row r="519" spans="1:5" x14ac:dyDescent="0.2">
      <c r="A519" s="43">
        <v>36557</v>
      </c>
      <c r="B519">
        <v>77.421999999999997</v>
      </c>
      <c r="C519">
        <v>80.105999999999995</v>
      </c>
      <c r="E519">
        <v>179.4</v>
      </c>
    </row>
    <row r="520" spans="1:5" x14ac:dyDescent="0.2">
      <c r="A520" s="43">
        <v>36586</v>
      </c>
      <c r="B520">
        <v>77.754999999999995</v>
      </c>
      <c r="C520">
        <v>80.27</v>
      </c>
      <c r="E520">
        <v>180</v>
      </c>
    </row>
    <row r="521" spans="1:5" x14ac:dyDescent="0.2">
      <c r="A521" s="43">
        <v>36617</v>
      </c>
      <c r="B521">
        <v>77.69</v>
      </c>
      <c r="C521">
        <v>80.322999999999993</v>
      </c>
      <c r="E521">
        <v>180.3</v>
      </c>
    </row>
    <row r="522" spans="1:5" x14ac:dyDescent="0.2">
      <c r="A522" s="43">
        <v>36647</v>
      </c>
      <c r="B522">
        <v>77.754999999999995</v>
      </c>
      <c r="C522">
        <v>80.409000000000006</v>
      </c>
      <c r="E522">
        <v>180.7</v>
      </c>
    </row>
    <row r="523" spans="1:5" x14ac:dyDescent="0.2">
      <c r="A523" s="43">
        <v>36678</v>
      </c>
      <c r="B523">
        <v>78.019000000000005</v>
      </c>
      <c r="C523">
        <v>80.47</v>
      </c>
      <c r="E523">
        <v>181.1</v>
      </c>
    </row>
    <row r="524" spans="1:5" x14ac:dyDescent="0.2">
      <c r="A524" s="43">
        <v>36708</v>
      </c>
      <c r="B524">
        <v>78.213999999999999</v>
      </c>
      <c r="C524">
        <v>80.653999999999996</v>
      </c>
      <c r="E524">
        <v>181.5</v>
      </c>
    </row>
    <row r="525" spans="1:5" x14ac:dyDescent="0.2">
      <c r="A525" s="43">
        <v>36739</v>
      </c>
      <c r="B525">
        <v>78.209000000000003</v>
      </c>
      <c r="C525">
        <v>80.757000000000005</v>
      </c>
      <c r="E525">
        <v>181.9</v>
      </c>
    </row>
    <row r="526" spans="1:5" x14ac:dyDescent="0.2">
      <c r="A526" s="43">
        <v>36770</v>
      </c>
      <c r="B526">
        <v>78.545000000000002</v>
      </c>
      <c r="C526">
        <v>80.953000000000003</v>
      </c>
      <c r="E526">
        <v>182.3</v>
      </c>
    </row>
    <row r="527" spans="1:5" x14ac:dyDescent="0.2">
      <c r="A527" s="43">
        <v>36800</v>
      </c>
      <c r="B527">
        <v>78.652000000000001</v>
      </c>
      <c r="C527">
        <v>81.066999999999993</v>
      </c>
      <c r="E527">
        <v>182.6</v>
      </c>
    </row>
    <row r="528" spans="1:5" x14ac:dyDescent="0.2">
      <c r="A528" s="43">
        <v>36831</v>
      </c>
      <c r="B528">
        <v>78.762</v>
      </c>
      <c r="C528">
        <v>81.209999999999994</v>
      </c>
      <c r="E528">
        <v>183.1</v>
      </c>
    </row>
    <row r="529" spans="1:5" x14ac:dyDescent="0.2">
      <c r="A529" s="43">
        <v>36861</v>
      </c>
      <c r="B529">
        <v>78.882999999999996</v>
      </c>
      <c r="C529">
        <v>81.289000000000001</v>
      </c>
      <c r="E529">
        <v>183.3</v>
      </c>
    </row>
    <row r="530" spans="1:5" x14ac:dyDescent="0.2">
      <c r="A530" s="43">
        <v>36892</v>
      </c>
      <c r="B530">
        <v>79.265000000000001</v>
      </c>
      <c r="C530">
        <v>81.591999999999999</v>
      </c>
      <c r="E530">
        <v>183.9</v>
      </c>
    </row>
    <row r="531" spans="1:5" x14ac:dyDescent="0.2">
      <c r="A531" s="43">
        <v>36923</v>
      </c>
      <c r="B531">
        <v>79.388000000000005</v>
      </c>
      <c r="C531">
        <v>81.736000000000004</v>
      </c>
      <c r="E531">
        <v>184.4</v>
      </c>
    </row>
    <row r="532" spans="1:5" x14ac:dyDescent="0.2">
      <c r="A532" s="43">
        <v>36951</v>
      </c>
      <c r="B532">
        <v>79.394999999999996</v>
      </c>
      <c r="C532">
        <v>81.820999999999998</v>
      </c>
      <c r="E532">
        <v>184.7</v>
      </c>
    </row>
    <row r="533" spans="1:5" x14ac:dyDescent="0.2">
      <c r="A533" s="43">
        <v>36982</v>
      </c>
      <c r="B533">
        <v>79.534000000000006</v>
      </c>
      <c r="C533">
        <v>81.950999999999993</v>
      </c>
      <c r="E533">
        <v>185.1</v>
      </c>
    </row>
    <row r="534" spans="1:5" x14ac:dyDescent="0.2">
      <c r="A534" s="43">
        <v>37012</v>
      </c>
      <c r="B534">
        <v>79.742999999999995</v>
      </c>
      <c r="C534">
        <v>81.97</v>
      </c>
      <c r="E534">
        <v>185.3</v>
      </c>
    </row>
    <row r="535" spans="1:5" x14ac:dyDescent="0.2">
      <c r="A535" s="43">
        <v>37043</v>
      </c>
      <c r="B535">
        <v>79.885000000000005</v>
      </c>
      <c r="C535">
        <v>82.153999999999996</v>
      </c>
      <c r="E535">
        <v>186</v>
      </c>
    </row>
    <row r="536" spans="1:5" x14ac:dyDescent="0.2">
      <c r="A536" s="43">
        <v>37073</v>
      </c>
      <c r="B536">
        <v>79.858000000000004</v>
      </c>
      <c r="C536">
        <v>82.366</v>
      </c>
      <c r="E536">
        <v>186.4</v>
      </c>
    </row>
    <row r="537" spans="1:5" x14ac:dyDescent="0.2">
      <c r="A537" s="43">
        <v>37104</v>
      </c>
      <c r="B537">
        <v>79.847999999999999</v>
      </c>
      <c r="C537">
        <v>82.406000000000006</v>
      </c>
      <c r="E537">
        <v>186.7</v>
      </c>
    </row>
    <row r="538" spans="1:5" x14ac:dyDescent="0.2">
      <c r="A538" s="43">
        <v>37135</v>
      </c>
      <c r="B538">
        <v>79.576999999999998</v>
      </c>
      <c r="C538">
        <v>81.938999999999993</v>
      </c>
      <c r="E538">
        <v>187.1</v>
      </c>
    </row>
    <row r="539" spans="1:5" x14ac:dyDescent="0.2">
      <c r="A539" s="43">
        <v>37165</v>
      </c>
      <c r="B539">
        <v>79.856999999999999</v>
      </c>
      <c r="C539">
        <v>82.516000000000005</v>
      </c>
      <c r="E539">
        <v>187.4</v>
      </c>
    </row>
    <row r="540" spans="1:5" x14ac:dyDescent="0.2">
      <c r="A540" s="43">
        <v>37196</v>
      </c>
      <c r="B540">
        <v>79.802999999999997</v>
      </c>
      <c r="C540">
        <v>82.683000000000007</v>
      </c>
      <c r="E540">
        <v>188.1</v>
      </c>
    </row>
    <row r="541" spans="1:5" x14ac:dyDescent="0.2">
      <c r="A541" s="43">
        <v>37226</v>
      </c>
      <c r="B541">
        <v>79.721000000000004</v>
      </c>
      <c r="C541">
        <v>82.701999999999998</v>
      </c>
      <c r="E541">
        <v>188.4</v>
      </c>
    </row>
    <row r="542" spans="1:5" x14ac:dyDescent="0.2">
      <c r="A542" s="43">
        <v>37257</v>
      </c>
      <c r="B542">
        <v>79.793000000000006</v>
      </c>
      <c r="C542">
        <v>82.75</v>
      </c>
      <c r="E542">
        <v>188.7</v>
      </c>
    </row>
    <row r="543" spans="1:5" x14ac:dyDescent="0.2">
      <c r="A543" s="43">
        <v>37288</v>
      </c>
      <c r="B543">
        <v>79.926000000000002</v>
      </c>
      <c r="C543">
        <v>82.906999999999996</v>
      </c>
      <c r="E543">
        <v>189.1</v>
      </c>
    </row>
    <row r="544" spans="1:5" x14ac:dyDescent="0.2">
      <c r="A544" s="43">
        <v>37316</v>
      </c>
      <c r="B544">
        <v>80.144000000000005</v>
      </c>
      <c r="C544">
        <v>83.006</v>
      </c>
      <c r="E544">
        <v>189.2</v>
      </c>
    </row>
    <row r="545" spans="1:5" x14ac:dyDescent="0.2">
      <c r="A545" s="43">
        <v>37347</v>
      </c>
      <c r="B545">
        <v>80.478999999999999</v>
      </c>
      <c r="C545">
        <v>83.238</v>
      </c>
      <c r="E545">
        <v>189.7</v>
      </c>
    </row>
    <row r="546" spans="1:5" x14ac:dyDescent="0.2">
      <c r="A546" s="43">
        <v>37377</v>
      </c>
      <c r="B546">
        <v>80.531000000000006</v>
      </c>
      <c r="C546">
        <v>83.331000000000003</v>
      </c>
      <c r="E546">
        <v>190</v>
      </c>
    </row>
    <row r="547" spans="1:5" x14ac:dyDescent="0.2">
      <c r="A547" s="43">
        <v>37408</v>
      </c>
      <c r="B547">
        <v>80.632000000000005</v>
      </c>
      <c r="C547">
        <v>83.462999999999994</v>
      </c>
      <c r="E547">
        <v>190.2</v>
      </c>
    </row>
    <row r="548" spans="1:5" x14ac:dyDescent="0.2">
      <c r="A548" s="43">
        <v>37438</v>
      </c>
      <c r="B548">
        <v>80.81</v>
      </c>
      <c r="C548">
        <v>83.632000000000005</v>
      </c>
      <c r="E548">
        <v>190.5</v>
      </c>
    </row>
    <row r="549" spans="1:5" x14ac:dyDescent="0.2">
      <c r="A549" s="43">
        <v>37469</v>
      </c>
      <c r="B549">
        <v>80.968999999999994</v>
      </c>
      <c r="C549">
        <v>83.796999999999997</v>
      </c>
      <c r="E549">
        <v>191.1</v>
      </c>
    </row>
    <row r="550" spans="1:5" x14ac:dyDescent="0.2">
      <c r="A550" s="43">
        <v>37500</v>
      </c>
      <c r="B550">
        <v>81.114999999999995</v>
      </c>
      <c r="C550">
        <v>83.933999999999997</v>
      </c>
      <c r="E550">
        <v>191.3</v>
      </c>
    </row>
    <row r="551" spans="1:5" x14ac:dyDescent="0.2">
      <c r="A551" s="43">
        <v>37530</v>
      </c>
      <c r="B551">
        <v>81.262</v>
      </c>
      <c r="C551">
        <v>84.004999999999995</v>
      </c>
      <c r="E551">
        <v>191.5</v>
      </c>
    </row>
    <row r="552" spans="1:5" x14ac:dyDescent="0.2">
      <c r="A552" s="43">
        <v>37561</v>
      </c>
      <c r="B552">
        <v>81.343000000000004</v>
      </c>
      <c r="C552">
        <v>84.087000000000003</v>
      </c>
      <c r="E552">
        <v>191.9</v>
      </c>
    </row>
    <row r="553" spans="1:5" x14ac:dyDescent="0.2">
      <c r="A553" s="43">
        <v>37591</v>
      </c>
      <c r="B553">
        <v>81.421000000000006</v>
      </c>
      <c r="C553">
        <v>84.165000000000006</v>
      </c>
      <c r="E553">
        <v>192.1</v>
      </c>
    </row>
    <row r="554" spans="1:5" x14ac:dyDescent="0.2">
      <c r="A554" s="43">
        <v>37622</v>
      </c>
      <c r="B554">
        <v>81.664000000000001</v>
      </c>
      <c r="C554">
        <v>84.222999999999999</v>
      </c>
      <c r="E554">
        <v>192.4</v>
      </c>
    </row>
    <row r="555" spans="1:5" x14ac:dyDescent="0.2">
      <c r="A555" s="43">
        <v>37653</v>
      </c>
      <c r="B555">
        <v>82.009</v>
      </c>
      <c r="C555">
        <v>84.338999999999999</v>
      </c>
      <c r="E555">
        <v>192.5</v>
      </c>
    </row>
    <row r="556" spans="1:5" x14ac:dyDescent="0.2">
      <c r="A556" s="43">
        <v>37681</v>
      </c>
      <c r="B556">
        <v>82.218999999999994</v>
      </c>
      <c r="C556">
        <v>84.474000000000004</v>
      </c>
      <c r="E556">
        <v>192.5</v>
      </c>
    </row>
    <row r="557" spans="1:5" x14ac:dyDescent="0.2">
      <c r="A557" s="43">
        <v>37712</v>
      </c>
      <c r="B557">
        <v>82.08</v>
      </c>
      <c r="C557">
        <v>84.567999999999998</v>
      </c>
      <c r="E557">
        <v>192.5</v>
      </c>
    </row>
    <row r="558" spans="1:5" x14ac:dyDescent="0.2">
      <c r="A558" s="43">
        <v>37742</v>
      </c>
      <c r="B558">
        <v>81.986000000000004</v>
      </c>
      <c r="C558">
        <v>84.69</v>
      </c>
      <c r="E558">
        <v>192.9</v>
      </c>
    </row>
    <row r="559" spans="1:5" x14ac:dyDescent="0.2">
      <c r="A559" s="43">
        <v>37773</v>
      </c>
      <c r="B559">
        <v>82.073999999999998</v>
      </c>
      <c r="C559">
        <v>84.738</v>
      </c>
      <c r="E559">
        <v>193</v>
      </c>
    </row>
    <row r="560" spans="1:5" x14ac:dyDescent="0.2">
      <c r="A560" s="43">
        <v>37803</v>
      </c>
      <c r="B560">
        <v>82.314999999999998</v>
      </c>
      <c r="C560">
        <v>84.948999999999998</v>
      </c>
      <c r="E560">
        <v>193.4</v>
      </c>
    </row>
    <row r="561" spans="1:5" x14ac:dyDescent="0.2">
      <c r="A561" s="43">
        <v>37834</v>
      </c>
      <c r="B561">
        <v>82.593000000000004</v>
      </c>
      <c r="C561">
        <v>85.045000000000002</v>
      </c>
      <c r="E561">
        <v>193.6</v>
      </c>
    </row>
    <row r="562" spans="1:5" x14ac:dyDescent="0.2">
      <c r="A562" s="43">
        <v>37865</v>
      </c>
      <c r="B562">
        <v>82.852000000000004</v>
      </c>
      <c r="C562">
        <v>85.164000000000001</v>
      </c>
      <c r="E562">
        <v>193.7</v>
      </c>
    </row>
    <row r="563" spans="1:5" x14ac:dyDescent="0.2">
      <c r="A563" s="43">
        <v>37895</v>
      </c>
      <c r="B563">
        <v>82.861999999999995</v>
      </c>
      <c r="C563">
        <v>85.32</v>
      </c>
      <c r="E563">
        <v>194</v>
      </c>
    </row>
    <row r="564" spans="1:5" x14ac:dyDescent="0.2">
      <c r="A564" s="43">
        <v>37926</v>
      </c>
      <c r="B564">
        <v>82.966999999999999</v>
      </c>
      <c r="C564">
        <v>85.436999999999998</v>
      </c>
      <c r="E564">
        <v>194</v>
      </c>
    </row>
    <row r="565" spans="1:5" x14ac:dyDescent="0.2">
      <c r="A565" s="43">
        <v>37956</v>
      </c>
      <c r="B565">
        <v>83.15</v>
      </c>
      <c r="C565">
        <v>85.543999999999997</v>
      </c>
      <c r="E565">
        <v>194.2</v>
      </c>
    </row>
    <row r="566" spans="1:5" x14ac:dyDescent="0.2">
      <c r="A566" s="43">
        <v>37987</v>
      </c>
      <c r="B566">
        <v>83.471000000000004</v>
      </c>
      <c r="C566">
        <v>85.763000000000005</v>
      </c>
      <c r="E566">
        <v>194.6</v>
      </c>
    </row>
    <row r="567" spans="1:5" x14ac:dyDescent="0.2">
      <c r="A567" s="43">
        <v>38018</v>
      </c>
      <c r="B567">
        <v>83.649000000000001</v>
      </c>
      <c r="C567">
        <v>85.902000000000001</v>
      </c>
      <c r="E567">
        <v>194.9</v>
      </c>
    </row>
    <row r="568" spans="1:5" x14ac:dyDescent="0.2">
      <c r="A568" s="43">
        <v>38047</v>
      </c>
      <c r="B568">
        <v>83.778000000000006</v>
      </c>
      <c r="C568">
        <v>86.046000000000006</v>
      </c>
      <c r="E568">
        <v>195.5</v>
      </c>
    </row>
    <row r="569" spans="1:5" x14ac:dyDescent="0.2">
      <c r="A569" s="43">
        <v>38078</v>
      </c>
      <c r="B569">
        <v>83.933999999999997</v>
      </c>
      <c r="C569">
        <v>86.27</v>
      </c>
      <c r="E569">
        <v>195.9</v>
      </c>
    </row>
    <row r="570" spans="1:5" x14ac:dyDescent="0.2">
      <c r="A570" s="43">
        <v>38108</v>
      </c>
      <c r="B570">
        <v>84.206000000000003</v>
      </c>
      <c r="C570">
        <v>86.388000000000005</v>
      </c>
      <c r="E570">
        <v>196.2</v>
      </c>
    </row>
    <row r="571" spans="1:5" x14ac:dyDescent="0.2">
      <c r="A571" s="43">
        <v>38139</v>
      </c>
      <c r="B571">
        <v>84.447000000000003</v>
      </c>
      <c r="C571">
        <v>86.525000000000006</v>
      </c>
      <c r="E571">
        <v>196.6</v>
      </c>
    </row>
    <row r="572" spans="1:5" x14ac:dyDescent="0.2">
      <c r="A572" s="43">
        <v>38169</v>
      </c>
      <c r="B572">
        <v>84.525000000000006</v>
      </c>
      <c r="C572">
        <v>86.628</v>
      </c>
      <c r="E572">
        <v>196.8</v>
      </c>
    </row>
    <row r="573" spans="1:5" x14ac:dyDescent="0.2">
      <c r="A573" s="43">
        <v>38200</v>
      </c>
      <c r="B573">
        <v>84.569000000000003</v>
      </c>
      <c r="C573">
        <v>86.661000000000001</v>
      </c>
      <c r="E573">
        <v>196.9</v>
      </c>
    </row>
    <row r="574" spans="1:5" x14ac:dyDescent="0.2">
      <c r="A574" s="43">
        <v>38231</v>
      </c>
      <c r="B574">
        <v>84.734999999999999</v>
      </c>
      <c r="C574">
        <v>86.822999999999993</v>
      </c>
      <c r="E574">
        <v>197.5</v>
      </c>
    </row>
    <row r="575" spans="1:5" x14ac:dyDescent="0.2">
      <c r="A575" s="43">
        <v>38261</v>
      </c>
      <c r="B575">
        <v>85.099000000000004</v>
      </c>
      <c r="C575">
        <v>87.012</v>
      </c>
      <c r="E575">
        <v>197.9</v>
      </c>
    </row>
    <row r="576" spans="1:5" x14ac:dyDescent="0.2">
      <c r="A576" s="43">
        <v>38292</v>
      </c>
      <c r="B576">
        <v>85.427000000000007</v>
      </c>
      <c r="C576">
        <v>87.198999999999998</v>
      </c>
      <c r="E576">
        <v>198.3</v>
      </c>
    </row>
    <row r="577" spans="1:5" x14ac:dyDescent="0.2">
      <c r="A577" s="43">
        <v>38322</v>
      </c>
      <c r="B577">
        <v>85.472999999999999</v>
      </c>
      <c r="C577">
        <v>87.311000000000007</v>
      </c>
      <c r="E577">
        <v>198.6</v>
      </c>
    </row>
    <row r="578" spans="1:5" x14ac:dyDescent="0.2">
      <c r="A578" s="43">
        <v>38353</v>
      </c>
      <c r="B578">
        <v>85.584999999999994</v>
      </c>
      <c r="C578">
        <v>87.625</v>
      </c>
      <c r="E578">
        <v>199</v>
      </c>
    </row>
    <row r="579" spans="1:5" x14ac:dyDescent="0.2">
      <c r="A579" s="43">
        <v>38384</v>
      </c>
      <c r="B579">
        <v>85.822999999999993</v>
      </c>
      <c r="C579">
        <v>87.77</v>
      </c>
      <c r="E579">
        <v>199.4</v>
      </c>
    </row>
    <row r="580" spans="1:5" x14ac:dyDescent="0.2">
      <c r="A580" s="43">
        <v>38412</v>
      </c>
      <c r="B580">
        <v>86.08</v>
      </c>
      <c r="C580">
        <v>87.986999999999995</v>
      </c>
      <c r="E580">
        <v>200.1</v>
      </c>
    </row>
    <row r="581" spans="1:5" x14ac:dyDescent="0.2">
      <c r="A581" s="43">
        <v>38443</v>
      </c>
      <c r="B581">
        <v>86.320999999999998</v>
      </c>
      <c r="C581">
        <v>88.088999999999999</v>
      </c>
      <c r="E581">
        <v>200.2</v>
      </c>
    </row>
    <row r="582" spans="1:5" x14ac:dyDescent="0.2">
      <c r="A582" s="43">
        <v>38473</v>
      </c>
      <c r="B582">
        <v>86.37</v>
      </c>
      <c r="C582">
        <v>88.269000000000005</v>
      </c>
      <c r="E582">
        <v>200.5</v>
      </c>
    </row>
    <row r="583" spans="1:5" x14ac:dyDescent="0.2">
      <c r="A583" s="43">
        <v>38504</v>
      </c>
      <c r="B583">
        <v>86.423000000000002</v>
      </c>
      <c r="C583">
        <v>88.33</v>
      </c>
      <c r="E583">
        <v>200.6</v>
      </c>
    </row>
    <row r="584" spans="1:5" x14ac:dyDescent="0.2">
      <c r="A584" s="43">
        <v>38534</v>
      </c>
      <c r="B584">
        <v>86.79</v>
      </c>
      <c r="C584">
        <v>88.46</v>
      </c>
      <c r="E584">
        <v>200.9</v>
      </c>
    </row>
    <row r="585" spans="1:5" x14ac:dyDescent="0.2">
      <c r="A585" s="43">
        <v>38565</v>
      </c>
      <c r="B585">
        <v>87.14</v>
      </c>
      <c r="C585">
        <v>88.531999999999996</v>
      </c>
      <c r="E585">
        <v>201.1</v>
      </c>
    </row>
    <row r="586" spans="1:5" x14ac:dyDescent="0.2">
      <c r="A586" s="43">
        <v>38596</v>
      </c>
      <c r="B586">
        <v>87.980999999999995</v>
      </c>
      <c r="C586">
        <v>88.727999999999994</v>
      </c>
      <c r="E586">
        <v>201.3</v>
      </c>
    </row>
    <row r="587" spans="1:5" x14ac:dyDescent="0.2">
      <c r="A587" s="43">
        <v>38626</v>
      </c>
      <c r="B587">
        <v>88.120999999999995</v>
      </c>
      <c r="C587">
        <v>88.981999999999999</v>
      </c>
      <c r="E587">
        <v>202</v>
      </c>
    </row>
    <row r="588" spans="1:5" x14ac:dyDescent="0.2">
      <c r="A588" s="43">
        <v>38657</v>
      </c>
      <c r="B588">
        <v>87.938000000000002</v>
      </c>
      <c r="C588">
        <v>89.21</v>
      </c>
      <c r="E588">
        <v>202.5</v>
      </c>
    </row>
    <row r="589" spans="1:5" x14ac:dyDescent="0.2">
      <c r="A589" s="43">
        <v>38687</v>
      </c>
      <c r="B589">
        <v>87.938000000000002</v>
      </c>
      <c r="C589">
        <v>89.302000000000007</v>
      </c>
      <c r="E589">
        <v>202.8</v>
      </c>
    </row>
    <row r="590" spans="1:5" x14ac:dyDescent="0.2">
      <c r="A590" s="43">
        <v>38718</v>
      </c>
      <c r="B590">
        <v>88.364000000000004</v>
      </c>
      <c r="C590">
        <v>89.503</v>
      </c>
      <c r="E590">
        <v>203.2</v>
      </c>
    </row>
    <row r="591" spans="1:5" x14ac:dyDescent="0.2">
      <c r="A591" s="43">
        <v>38749</v>
      </c>
      <c r="B591">
        <v>88.417000000000002</v>
      </c>
      <c r="C591">
        <v>89.647000000000006</v>
      </c>
      <c r="E591">
        <v>203.6</v>
      </c>
    </row>
    <row r="592" spans="1:5" x14ac:dyDescent="0.2">
      <c r="A592" s="43">
        <v>38777</v>
      </c>
      <c r="B592">
        <v>88.587999999999994</v>
      </c>
      <c r="C592">
        <v>89.894000000000005</v>
      </c>
      <c r="E592">
        <v>204.3</v>
      </c>
    </row>
    <row r="593" spans="1:5" x14ac:dyDescent="0.2">
      <c r="A593" s="43">
        <v>38808</v>
      </c>
      <c r="B593">
        <v>88.998999999999995</v>
      </c>
      <c r="C593">
        <v>90.168999999999997</v>
      </c>
      <c r="E593">
        <v>204.8</v>
      </c>
    </row>
    <row r="594" spans="1:5" x14ac:dyDescent="0.2">
      <c r="A594" s="43">
        <v>38838</v>
      </c>
      <c r="B594">
        <v>89.239000000000004</v>
      </c>
      <c r="C594">
        <v>90.394999999999996</v>
      </c>
      <c r="E594">
        <v>205.4</v>
      </c>
    </row>
    <row r="595" spans="1:5" x14ac:dyDescent="0.2">
      <c r="A595" s="43">
        <v>38869</v>
      </c>
      <c r="B595">
        <v>89.459000000000003</v>
      </c>
      <c r="C595">
        <v>90.623000000000005</v>
      </c>
      <c r="E595">
        <v>205.9</v>
      </c>
    </row>
    <row r="596" spans="1:5" x14ac:dyDescent="0.2">
      <c r="A596" s="43">
        <v>38899</v>
      </c>
      <c r="B596">
        <v>89.765000000000001</v>
      </c>
      <c r="C596">
        <v>90.712000000000003</v>
      </c>
      <c r="E596">
        <v>206.3</v>
      </c>
    </row>
    <row r="597" spans="1:5" x14ac:dyDescent="0.2">
      <c r="A597" s="43">
        <v>38930</v>
      </c>
      <c r="B597">
        <v>90.046999999999997</v>
      </c>
      <c r="C597">
        <v>90.896000000000001</v>
      </c>
      <c r="E597">
        <v>206.8</v>
      </c>
    </row>
    <row r="598" spans="1:5" x14ac:dyDescent="0.2">
      <c r="A598" s="43">
        <v>38961</v>
      </c>
      <c r="B598">
        <v>89.811999999999998</v>
      </c>
      <c r="C598">
        <v>91.04</v>
      </c>
      <c r="E598">
        <v>207.2</v>
      </c>
    </row>
    <row r="599" spans="1:5" x14ac:dyDescent="0.2">
      <c r="A599" s="43">
        <v>38991</v>
      </c>
      <c r="B599">
        <v>89.599000000000004</v>
      </c>
      <c r="C599">
        <v>91.203999999999994</v>
      </c>
      <c r="E599">
        <v>207.6</v>
      </c>
    </row>
    <row r="600" spans="1:5" x14ac:dyDescent="0.2">
      <c r="A600" s="43">
        <v>39022</v>
      </c>
      <c r="B600">
        <v>89.63</v>
      </c>
      <c r="C600">
        <v>91.248000000000005</v>
      </c>
      <c r="E600">
        <v>207.8</v>
      </c>
    </row>
    <row r="601" spans="1:5" x14ac:dyDescent="0.2">
      <c r="A601" s="43">
        <v>39052</v>
      </c>
      <c r="B601">
        <v>89.948999999999998</v>
      </c>
      <c r="C601">
        <v>91.37</v>
      </c>
      <c r="E601">
        <v>208.1</v>
      </c>
    </row>
    <row r="602" spans="1:5" x14ac:dyDescent="0.2">
      <c r="A602" s="43">
        <v>39083</v>
      </c>
      <c r="B602">
        <v>90.248999999999995</v>
      </c>
      <c r="C602">
        <v>91.741</v>
      </c>
      <c r="E602">
        <v>208.6</v>
      </c>
    </row>
    <row r="603" spans="1:5" x14ac:dyDescent="0.2">
      <c r="A603" s="43">
        <v>39114</v>
      </c>
      <c r="B603">
        <v>90.528999999999996</v>
      </c>
      <c r="C603">
        <v>91.938999999999993</v>
      </c>
      <c r="E603">
        <v>209.13499999999999</v>
      </c>
    </row>
    <row r="604" spans="1:5" x14ac:dyDescent="0.2">
      <c r="A604" s="43">
        <v>39142</v>
      </c>
      <c r="B604">
        <v>90.861000000000004</v>
      </c>
      <c r="C604">
        <v>92.031999999999996</v>
      </c>
      <c r="E604">
        <v>209.41800000000001</v>
      </c>
    </row>
    <row r="605" spans="1:5" x14ac:dyDescent="0.2">
      <c r="A605" s="43">
        <v>39173</v>
      </c>
      <c r="B605">
        <v>91.073999999999998</v>
      </c>
      <c r="C605">
        <v>92.162999999999997</v>
      </c>
      <c r="E605">
        <v>209.74700000000001</v>
      </c>
    </row>
    <row r="606" spans="1:5" x14ac:dyDescent="0.2">
      <c r="A606" s="43">
        <v>39203</v>
      </c>
      <c r="B606">
        <v>91.338999999999999</v>
      </c>
      <c r="C606">
        <v>92.272000000000006</v>
      </c>
      <c r="E606">
        <v>210.05799999999999</v>
      </c>
    </row>
    <row r="607" spans="1:5" x14ac:dyDescent="0.2">
      <c r="A607" s="43">
        <v>39234</v>
      </c>
      <c r="B607">
        <v>91.531999999999996</v>
      </c>
      <c r="C607">
        <v>92.424000000000007</v>
      </c>
      <c r="E607">
        <v>210.392</v>
      </c>
    </row>
    <row r="608" spans="1:5" x14ac:dyDescent="0.2">
      <c r="A608" s="43">
        <v>39264</v>
      </c>
      <c r="B608">
        <v>91.671999999999997</v>
      </c>
      <c r="C608">
        <v>92.563000000000002</v>
      </c>
      <c r="E608">
        <v>210.773</v>
      </c>
    </row>
    <row r="609" spans="1:5" x14ac:dyDescent="0.2">
      <c r="A609" s="43">
        <v>39295</v>
      </c>
      <c r="B609">
        <v>91.733999999999995</v>
      </c>
      <c r="C609">
        <v>92.700999999999993</v>
      </c>
      <c r="E609">
        <v>211.119</v>
      </c>
    </row>
    <row r="610" spans="1:5" x14ac:dyDescent="0.2">
      <c r="A610" s="43">
        <v>39326</v>
      </c>
      <c r="B610">
        <v>92.087999999999994</v>
      </c>
      <c r="C610">
        <v>92.953999999999994</v>
      </c>
      <c r="E610">
        <v>211.554</v>
      </c>
    </row>
    <row r="611" spans="1:5" x14ac:dyDescent="0.2">
      <c r="A611" s="43">
        <v>39356</v>
      </c>
      <c r="B611">
        <v>92.367000000000004</v>
      </c>
      <c r="C611">
        <v>93.195999999999998</v>
      </c>
      <c r="E611">
        <v>212.077</v>
      </c>
    </row>
    <row r="612" spans="1:5" x14ac:dyDescent="0.2">
      <c r="A612" s="43">
        <v>39387</v>
      </c>
      <c r="B612">
        <v>92.855999999999995</v>
      </c>
      <c r="C612">
        <v>93.379000000000005</v>
      </c>
      <c r="E612">
        <v>212.66</v>
      </c>
    </row>
    <row r="613" spans="1:5" x14ac:dyDescent="0.2">
      <c r="A613" s="43">
        <v>39417</v>
      </c>
      <c r="B613">
        <v>93.072000000000003</v>
      </c>
      <c r="C613">
        <v>93.566999999999993</v>
      </c>
      <c r="E613">
        <v>213.16800000000001</v>
      </c>
    </row>
    <row r="614" spans="1:5" x14ac:dyDescent="0.2">
      <c r="A614" s="43">
        <v>39448</v>
      </c>
      <c r="B614">
        <v>93.307000000000002</v>
      </c>
      <c r="C614">
        <v>93.753</v>
      </c>
      <c r="E614">
        <v>213.77099999999999</v>
      </c>
    </row>
    <row r="615" spans="1:5" x14ac:dyDescent="0.2">
      <c r="A615" s="43">
        <v>39479</v>
      </c>
      <c r="B615">
        <v>93.492000000000004</v>
      </c>
      <c r="C615">
        <v>93.843999999999994</v>
      </c>
      <c r="E615">
        <v>213.93899999999999</v>
      </c>
    </row>
    <row r="616" spans="1:5" x14ac:dyDescent="0.2">
      <c r="A616" s="43">
        <v>39508</v>
      </c>
      <c r="B616">
        <v>93.76</v>
      </c>
      <c r="C616">
        <v>94.028000000000006</v>
      </c>
      <c r="E616">
        <v>214.42</v>
      </c>
    </row>
    <row r="617" spans="1:5" x14ac:dyDescent="0.2">
      <c r="A617" s="43">
        <v>39539</v>
      </c>
      <c r="B617">
        <v>93.933999999999997</v>
      </c>
      <c r="C617">
        <v>94.082999999999998</v>
      </c>
      <c r="E617">
        <v>214.56</v>
      </c>
    </row>
    <row r="618" spans="1:5" x14ac:dyDescent="0.2">
      <c r="A618" s="43">
        <v>39569</v>
      </c>
      <c r="B618">
        <v>94.337000000000003</v>
      </c>
      <c r="C618">
        <v>94.254999999999995</v>
      </c>
      <c r="E618">
        <v>214.93600000000001</v>
      </c>
    </row>
    <row r="619" spans="1:5" x14ac:dyDescent="0.2">
      <c r="A619" s="43">
        <v>39600</v>
      </c>
      <c r="B619">
        <v>95.021000000000001</v>
      </c>
      <c r="C619">
        <v>94.471000000000004</v>
      </c>
      <c r="E619">
        <v>215.42400000000001</v>
      </c>
    </row>
    <row r="620" spans="1:5" x14ac:dyDescent="0.2">
      <c r="A620" s="43">
        <v>39630</v>
      </c>
      <c r="B620">
        <v>95.462999999999994</v>
      </c>
      <c r="C620">
        <v>94.641000000000005</v>
      </c>
      <c r="E620">
        <v>215.965</v>
      </c>
    </row>
    <row r="621" spans="1:5" x14ac:dyDescent="0.2">
      <c r="A621" s="43">
        <v>39661</v>
      </c>
      <c r="B621">
        <v>95.385999999999996</v>
      </c>
      <c r="C621">
        <v>94.757000000000005</v>
      </c>
      <c r="E621">
        <v>216.393</v>
      </c>
    </row>
    <row r="622" spans="1:5" x14ac:dyDescent="0.2">
      <c r="A622" s="43">
        <v>39692</v>
      </c>
      <c r="B622">
        <v>95.465000000000003</v>
      </c>
      <c r="C622">
        <v>94.853999999999999</v>
      </c>
      <c r="E622">
        <v>216.71299999999999</v>
      </c>
    </row>
    <row r="623" spans="1:5" x14ac:dyDescent="0.2">
      <c r="A623" s="43">
        <v>39722</v>
      </c>
      <c r="B623">
        <v>94.834999999999994</v>
      </c>
      <c r="C623">
        <v>94.718999999999994</v>
      </c>
      <c r="E623">
        <v>216.78800000000001</v>
      </c>
    </row>
    <row r="624" spans="1:5" x14ac:dyDescent="0.2">
      <c r="A624" s="43">
        <v>39753</v>
      </c>
      <c r="B624">
        <v>93.715999999999994</v>
      </c>
      <c r="C624">
        <v>94.677000000000007</v>
      </c>
      <c r="E624">
        <v>216.947</v>
      </c>
    </row>
    <row r="625" spans="1:5" x14ac:dyDescent="0.2">
      <c r="A625" s="43">
        <v>39783</v>
      </c>
      <c r="B625">
        <v>93.191999999999993</v>
      </c>
      <c r="C625">
        <v>94.631</v>
      </c>
      <c r="E625">
        <v>216.92500000000001</v>
      </c>
    </row>
    <row r="626" spans="1:5" x14ac:dyDescent="0.2">
      <c r="A626" s="43">
        <v>39798</v>
      </c>
      <c r="D626">
        <v>0.25</v>
      </c>
    </row>
    <row r="627" spans="1:5" x14ac:dyDescent="0.2">
      <c r="A627" s="43">
        <v>39799</v>
      </c>
      <c r="D627">
        <v>0.25</v>
      </c>
    </row>
    <row r="628" spans="1:5" x14ac:dyDescent="0.2">
      <c r="A628" s="43">
        <v>39800</v>
      </c>
      <c r="D628">
        <v>0.25</v>
      </c>
    </row>
    <row r="629" spans="1:5" x14ac:dyDescent="0.2">
      <c r="A629" s="43">
        <v>39801</v>
      </c>
      <c r="D629">
        <v>0.25</v>
      </c>
    </row>
    <row r="630" spans="1:5" x14ac:dyDescent="0.2">
      <c r="A630" s="43">
        <v>39802</v>
      </c>
      <c r="D630">
        <v>0.25</v>
      </c>
    </row>
    <row r="631" spans="1:5" x14ac:dyDescent="0.2">
      <c r="A631" s="43">
        <v>39803</v>
      </c>
      <c r="D631">
        <v>0.25</v>
      </c>
    </row>
    <row r="632" spans="1:5" x14ac:dyDescent="0.2">
      <c r="A632" s="43">
        <v>39804</v>
      </c>
      <c r="D632">
        <v>0.25</v>
      </c>
    </row>
    <row r="633" spans="1:5" x14ac:dyDescent="0.2">
      <c r="A633" s="43">
        <v>39805</v>
      </c>
      <c r="D633">
        <v>0.25</v>
      </c>
    </row>
    <row r="634" spans="1:5" x14ac:dyDescent="0.2">
      <c r="A634" s="43">
        <v>39806</v>
      </c>
      <c r="D634">
        <v>0.25</v>
      </c>
    </row>
    <row r="635" spans="1:5" x14ac:dyDescent="0.2">
      <c r="A635" s="43">
        <v>39807</v>
      </c>
      <c r="D635">
        <v>0.25</v>
      </c>
    </row>
    <row r="636" spans="1:5" x14ac:dyDescent="0.2">
      <c r="A636" s="43">
        <v>39808</v>
      </c>
      <c r="D636">
        <v>0.25</v>
      </c>
    </row>
    <row r="637" spans="1:5" x14ac:dyDescent="0.2">
      <c r="A637" s="43">
        <v>39809</v>
      </c>
      <c r="D637">
        <v>0.25</v>
      </c>
    </row>
    <row r="638" spans="1:5" x14ac:dyDescent="0.2">
      <c r="A638" s="43">
        <v>39810</v>
      </c>
      <c r="D638">
        <v>0.25</v>
      </c>
    </row>
    <row r="639" spans="1:5" x14ac:dyDescent="0.2">
      <c r="A639" s="43">
        <v>39811</v>
      </c>
      <c r="D639">
        <v>0.25</v>
      </c>
    </row>
    <row r="640" spans="1:5" x14ac:dyDescent="0.2">
      <c r="A640" s="43">
        <v>39812</v>
      </c>
      <c r="D640">
        <v>0.25</v>
      </c>
    </row>
    <row r="641" spans="1:5" x14ac:dyDescent="0.2">
      <c r="A641" s="43">
        <v>39813</v>
      </c>
      <c r="D641">
        <v>0.25</v>
      </c>
    </row>
    <row r="642" spans="1:5" x14ac:dyDescent="0.2">
      <c r="A642" s="43">
        <v>39814</v>
      </c>
      <c r="B642">
        <v>93.203000000000003</v>
      </c>
      <c r="C642">
        <v>94.602000000000004</v>
      </c>
      <c r="D642">
        <v>0.25</v>
      </c>
      <c r="E642">
        <v>217.346</v>
      </c>
    </row>
    <row r="643" spans="1:5" x14ac:dyDescent="0.2">
      <c r="A643" s="43">
        <v>39815</v>
      </c>
      <c r="D643">
        <v>0.25</v>
      </c>
    </row>
    <row r="644" spans="1:5" x14ac:dyDescent="0.2">
      <c r="A644" s="43">
        <v>39816</v>
      </c>
      <c r="D644">
        <v>0.25</v>
      </c>
    </row>
    <row r="645" spans="1:5" x14ac:dyDescent="0.2">
      <c r="A645" s="43">
        <v>39817</v>
      </c>
      <c r="D645">
        <v>0.25</v>
      </c>
    </row>
    <row r="646" spans="1:5" x14ac:dyDescent="0.2">
      <c r="A646" s="43">
        <v>39818</v>
      </c>
      <c r="D646">
        <v>0.25</v>
      </c>
    </row>
    <row r="647" spans="1:5" x14ac:dyDescent="0.2">
      <c r="A647" s="43">
        <v>39819</v>
      </c>
      <c r="D647">
        <v>0.25</v>
      </c>
    </row>
    <row r="648" spans="1:5" x14ac:dyDescent="0.2">
      <c r="A648" s="43">
        <v>39820</v>
      </c>
      <c r="D648">
        <v>0.25</v>
      </c>
    </row>
    <row r="649" spans="1:5" x14ac:dyDescent="0.2">
      <c r="A649" s="43">
        <v>39821</v>
      </c>
      <c r="D649">
        <v>0.25</v>
      </c>
    </row>
    <row r="650" spans="1:5" x14ac:dyDescent="0.2">
      <c r="A650" s="43">
        <v>39822</v>
      </c>
      <c r="D650">
        <v>0.25</v>
      </c>
    </row>
    <row r="651" spans="1:5" x14ac:dyDescent="0.2">
      <c r="A651" s="43">
        <v>39823</v>
      </c>
      <c r="D651">
        <v>0.25</v>
      </c>
    </row>
    <row r="652" spans="1:5" x14ac:dyDescent="0.2">
      <c r="A652" s="43">
        <v>39824</v>
      </c>
      <c r="D652">
        <v>0.25</v>
      </c>
    </row>
    <row r="653" spans="1:5" x14ac:dyDescent="0.2">
      <c r="A653" s="43">
        <v>39825</v>
      </c>
      <c r="D653">
        <v>0.25</v>
      </c>
    </row>
    <row r="654" spans="1:5" x14ac:dyDescent="0.2">
      <c r="A654" s="43">
        <v>39826</v>
      </c>
      <c r="D654">
        <v>0.25</v>
      </c>
    </row>
    <row r="655" spans="1:5" x14ac:dyDescent="0.2">
      <c r="A655" s="43">
        <v>39827</v>
      </c>
      <c r="D655">
        <v>0.25</v>
      </c>
    </row>
    <row r="656" spans="1:5" x14ac:dyDescent="0.2">
      <c r="A656" s="43">
        <v>39828</v>
      </c>
      <c r="D656">
        <v>0.25</v>
      </c>
    </row>
    <row r="657" spans="1:4" x14ac:dyDescent="0.2">
      <c r="A657" s="43">
        <v>39829</v>
      </c>
      <c r="D657">
        <v>0.25</v>
      </c>
    </row>
    <row r="658" spans="1:4" x14ac:dyDescent="0.2">
      <c r="A658" s="43">
        <v>39830</v>
      </c>
      <c r="D658">
        <v>0.25</v>
      </c>
    </row>
    <row r="659" spans="1:4" x14ac:dyDescent="0.2">
      <c r="A659" s="43">
        <v>39831</v>
      </c>
      <c r="D659">
        <v>0.25</v>
      </c>
    </row>
    <row r="660" spans="1:4" x14ac:dyDescent="0.2">
      <c r="A660" s="43">
        <v>39832</v>
      </c>
      <c r="D660">
        <v>0.25</v>
      </c>
    </row>
    <row r="661" spans="1:4" x14ac:dyDescent="0.2">
      <c r="A661" s="43">
        <v>39833</v>
      </c>
      <c r="D661">
        <v>0.25</v>
      </c>
    </row>
    <row r="662" spans="1:4" x14ac:dyDescent="0.2">
      <c r="A662" s="43">
        <v>39834</v>
      </c>
      <c r="D662">
        <v>0.25</v>
      </c>
    </row>
    <row r="663" spans="1:4" x14ac:dyDescent="0.2">
      <c r="A663" s="43">
        <v>39835</v>
      </c>
      <c r="D663">
        <v>0.25</v>
      </c>
    </row>
    <row r="664" spans="1:4" x14ac:dyDescent="0.2">
      <c r="A664" s="43">
        <v>39836</v>
      </c>
      <c r="D664">
        <v>0.25</v>
      </c>
    </row>
    <row r="665" spans="1:4" x14ac:dyDescent="0.2">
      <c r="A665" s="43">
        <v>39837</v>
      </c>
      <c r="D665">
        <v>0.25</v>
      </c>
    </row>
    <row r="666" spans="1:4" x14ac:dyDescent="0.2">
      <c r="A666" s="43">
        <v>39838</v>
      </c>
      <c r="D666">
        <v>0.25</v>
      </c>
    </row>
    <row r="667" spans="1:4" x14ac:dyDescent="0.2">
      <c r="A667" s="43">
        <v>39839</v>
      </c>
      <c r="D667">
        <v>0.25</v>
      </c>
    </row>
    <row r="668" spans="1:4" x14ac:dyDescent="0.2">
      <c r="A668" s="43">
        <v>39840</v>
      </c>
      <c r="D668">
        <v>0.25</v>
      </c>
    </row>
    <row r="669" spans="1:4" x14ac:dyDescent="0.2">
      <c r="A669" s="43">
        <v>39841</v>
      </c>
      <c r="D669">
        <v>0.25</v>
      </c>
    </row>
    <row r="670" spans="1:4" x14ac:dyDescent="0.2">
      <c r="A670" s="43">
        <v>39842</v>
      </c>
      <c r="D670">
        <v>0.25</v>
      </c>
    </row>
    <row r="671" spans="1:4" x14ac:dyDescent="0.2">
      <c r="A671" s="43">
        <v>39843</v>
      </c>
      <c r="D671">
        <v>0.25</v>
      </c>
    </row>
    <row r="672" spans="1:4" x14ac:dyDescent="0.2">
      <c r="A672" s="43">
        <v>39844</v>
      </c>
      <c r="D672">
        <v>0.25</v>
      </c>
    </row>
    <row r="673" spans="1:5" x14ac:dyDescent="0.2">
      <c r="A673" s="43">
        <v>39845</v>
      </c>
      <c r="B673">
        <v>93.369</v>
      </c>
      <c r="C673">
        <v>94.677000000000007</v>
      </c>
      <c r="D673">
        <v>0.25</v>
      </c>
      <c r="E673">
        <v>217.792</v>
      </c>
    </row>
    <row r="674" spans="1:5" x14ac:dyDescent="0.2">
      <c r="A674" s="43">
        <v>39846</v>
      </c>
      <c r="D674">
        <v>0.25</v>
      </c>
    </row>
    <row r="675" spans="1:5" x14ac:dyDescent="0.2">
      <c r="A675" s="43">
        <v>39847</v>
      </c>
      <c r="D675">
        <v>0.25</v>
      </c>
    </row>
    <row r="676" spans="1:5" x14ac:dyDescent="0.2">
      <c r="A676" s="43">
        <v>39848</v>
      </c>
      <c r="D676">
        <v>0.25</v>
      </c>
    </row>
    <row r="677" spans="1:5" x14ac:dyDescent="0.2">
      <c r="A677" s="43">
        <v>39849</v>
      </c>
      <c r="D677">
        <v>0.25</v>
      </c>
    </row>
    <row r="678" spans="1:5" x14ac:dyDescent="0.2">
      <c r="A678" s="43">
        <v>39850</v>
      </c>
      <c r="D678">
        <v>0.25</v>
      </c>
    </row>
    <row r="679" spans="1:5" x14ac:dyDescent="0.2">
      <c r="A679" s="43">
        <v>39851</v>
      </c>
      <c r="D679">
        <v>0.25</v>
      </c>
    </row>
    <row r="680" spans="1:5" x14ac:dyDescent="0.2">
      <c r="A680" s="43">
        <v>39852</v>
      </c>
      <c r="D680">
        <v>0.25</v>
      </c>
    </row>
    <row r="681" spans="1:5" x14ac:dyDescent="0.2">
      <c r="A681" s="43">
        <v>39853</v>
      </c>
      <c r="D681">
        <v>0.25</v>
      </c>
    </row>
    <row r="682" spans="1:5" x14ac:dyDescent="0.2">
      <c r="A682" s="43">
        <v>39854</v>
      </c>
      <c r="D682">
        <v>0.25</v>
      </c>
    </row>
    <row r="683" spans="1:5" x14ac:dyDescent="0.2">
      <c r="A683" s="43">
        <v>39855</v>
      </c>
      <c r="D683">
        <v>0.25</v>
      </c>
    </row>
    <row r="684" spans="1:5" x14ac:dyDescent="0.2">
      <c r="A684" s="43">
        <v>39856</v>
      </c>
      <c r="D684">
        <v>0.25</v>
      </c>
    </row>
    <row r="685" spans="1:5" x14ac:dyDescent="0.2">
      <c r="A685" s="43">
        <v>39857</v>
      </c>
      <c r="D685">
        <v>0.25</v>
      </c>
    </row>
    <row r="686" spans="1:5" x14ac:dyDescent="0.2">
      <c r="A686" s="43">
        <v>39858</v>
      </c>
      <c r="D686">
        <v>0.25</v>
      </c>
    </row>
    <row r="687" spans="1:5" x14ac:dyDescent="0.2">
      <c r="A687" s="43">
        <v>39859</v>
      </c>
      <c r="D687">
        <v>0.25</v>
      </c>
    </row>
    <row r="688" spans="1:5" x14ac:dyDescent="0.2">
      <c r="A688" s="43">
        <v>39860</v>
      </c>
      <c r="D688">
        <v>0.25</v>
      </c>
    </row>
    <row r="689" spans="1:5" x14ac:dyDescent="0.2">
      <c r="A689" s="43">
        <v>39861</v>
      </c>
      <c r="D689">
        <v>0.25</v>
      </c>
    </row>
    <row r="690" spans="1:5" x14ac:dyDescent="0.2">
      <c r="A690" s="43">
        <v>39862</v>
      </c>
      <c r="D690">
        <v>0.25</v>
      </c>
    </row>
    <row r="691" spans="1:5" x14ac:dyDescent="0.2">
      <c r="A691" s="43">
        <v>39863</v>
      </c>
      <c r="D691">
        <v>0.25</v>
      </c>
    </row>
    <row r="692" spans="1:5" x14ac:dyDescent="0.2">
      <c r="A692" s="43">
        <v>39864</v>
      </c>
      <c r="D692">
        <v>0.25</v>
      </c>
    </row>
    <row r="693" spans="1:5" x14ac:dyDescent="0.2">
      <c r="A693" s="43">
        <v>39865</v>
      </c>
      <c r="D693">
        <v>0.25</v>
      </c>
    </row>
    <row r="694" spans="1:5" x14ac:dyDescent="0.2">
      <c r="A694" s="43">
        <v>39866</v>
      </c>
      <c r="D694">
        <v>0.25</v>
      </c>
    </row>
    <row r="695" spans="1:5" x14ac:dyDescent="0.2">
      <c r="A695" s="43">
        <v>39867</v>
      </c>
      <c r="D695">
        <v>0.25</v>
      </c>
    </row>
    <row r="696" spans="1:5" x14ac:dyDescent="0.2">
      <c r="A696" s="43">
        <v>39868</v>
      </c>
      <c r="D696">
        <v>0.25</v>
      </c>
    </row>
    <row r="697" spans="1:5" x14ac:dyDescent="0.2">
      <c r="A697" s="43">
        <v>39869</v>
      </c>
      <c r="D697">
        <v>0.25</v>
      </c>
    </row>
    <row r="698" spans="1:5" x14ac:dyDescent="0.2">
      <c r="A698" s="43">
        <v>39870</v>
      </c>
      <c r="D698">
        <v>0.25</v>
      </c>
    </row>
    <row r="699" spans="1:5" x14ac:dyDescent="0.2">
      <c r="A699" s="43">
        <v>39871</v>
      </c>
      <c r="D699">
        <v>0.25</v>
      </c>
    </row>
    <row r="700" spans="1:5" x14ac:dyDescent="0.2">
      <c r="A700" s="43">
        <v>39872</v>
      </c>
      <c r="D700">
        <v>0.25</v>
      </c>
    </row>
    <row r="701" spans="1:5" x14ac:dyDescent="0.2">
      <c r="A701" s="43">
        <v>39873</v>
      </c>
      <c r="B701">
        <v>93.266999999999996</v>
      </c>
      <c r="C701">
        <v>94.745000000000005</v>
      </c>
      <c r="D701">
        <v>0.25</v>
      </c>
      <c r="E701">
        <v>218.25299999999999</v>
      </c>
    </row>
    <row r="702" spans="1:5" x14ac:dyDescent="0.2">
      <c r="A702" s="43">
        <v>39874</v>
      </c>
      <c r="D702">
        <v>0.25</v>
      </c>
    </row>
    <row r="703" spans="1:5" x14ac:dyDescent="0.2">
      <c r="A703" s="43">
        <v>39875</v>
      </c>
      <c r="D703">
        <v>0.25</v>
      </c>
    </row>
    <row r="704" spans="1:5" x14ac:dyDescent="0.2">
      <c r="A704" s="43">
        <v>39876</v>
      </c>
      <c r="D704">
        <v>0.25</v>
      </c>
    </row>
    <row r="705" spans="1:4" x14ac:dyDescent="0.2">
      <c r="A705" s="43">
        <v>39877</v>
      </c>
      <c r="D705">
        <v>0.25</v>
      </c>
    </row>
    <row r="706" spans="1:4" x14ac:dyDescent="0.2">
      <c r="A706" s="43">
        <v>39878</v>
      </c>
      <c r="D706">
        <v>0.25</v>
      </c>
    </row>
    <row r="707" spans="1:4" x14ac:dyDescent="0.2">
      <c r="A707" s="43">
        <v>39879</v>
      </c>
      <c r="D707">
        <v>0.25</v>
      </c>
    </row>
    <row r="708" spans="1:4" x14ac:dyDescent="0.2">
      <c r="A708" s="43">
        <v>39880</v>
      </c>
      <c r="D708">
        <v>0.25</v>
      </c>
    </row>
    <row r="709" spans="1:4" x14ac:dyDescent="0.2">
      <c r="A709" s="43">
        <v>39881</v>
      </c>
      <c r="D709">
        <v>0.25</v>
      </c>
    </row>
    <row r="710" spans="1:4" x14ac:dyDescent="0.2">
      <c r="A710" s="43">
        <v>39882</v>
      </c>
      <c r="D710">
        <v>0.25</v>
      </c>
    </row>
    <row r="711" spans="1:4" x14ac:dyDescent="0.2">
      <c r="A711" s="43">
        <v>39883</v>
      </c>
      <c r="D711">
        <v>0.25</v>
      </c>
    </row>
    <row r="712" spans="1:4" x14ac:dyDescent="0.2">
      <c r="A712" s="43">
        <v>39884</v>
      </c>
      <c r="D712">
        <v>0.25</v>
      </c>
    </row>
    <row r="713" spans="1:4" x14ac:dyDescent="0.2">
      <c r="A713" s="43">
        <v>39885</v>
      </c>
      <c r="D713">
        <v>0.25</v>
      </c>
    </row>
    <row r="714" spans="1:4" x14ac:dyDescent="0.2">
      <c r="A714" s="43">
        <v>39886</v>
      </c>
      <c r="D714">
        <v>0.25</v>
      </c>
    </row>
    <row r="715" spans="1:4" x14ac:dyDescent="0.2">
      <c r="A715" s="43">
        <v>39887</v>
      </c>
      <c r="D715">
        <v>0.25</v>
      </c>
    </row>
    <row r="716" spans="1:4" x14ac:dyDescent="0.2">
      <c r="A716" s="43">
        <v>39888</v>
      </c>
      <c r="D716">
        <v>0.25</v>
      </c>
    </row>
    <row r="717" spans="1:4" x14ac:dyDescent="0.2">
      <c r="A717" s="43">
        <v>39889</v>
      </c>
      <c r="D717">
        <v>0.25</v>
      </c>
    </row>
    <row r="718" spans="1:4" x14ac:dyDescent="0.2">
      <c r="A718" s="43">
        <v>39890</v>
      </c>
      <c r="D718">
        <v>0.25</v>
      </c>
    </row>
    <row r="719" spans="1:4" x14ac:dyDescent="0.2">
      <c r="A719" s="43">
        <v>39891</v>
      </c>
      <c r="D719">
        <v>0.25</v>
      </c>
    </row>
    <row r="720" spans="1:4" x14ac:dyDescent="0.2">
      <c r="A720" s="43">
        <v>39892</v>
      </c>
      <c r="D720">
        <v>0.25</v>
      </c>
    </row>
    <row r="721" spans="1:5" x14ac:dyDescent="0.2">
      <c r="A721" s="43">
        <v>39893</v>
      </c>
      <c r="D721">
        <v>0.25</v>
      </c>
    </row>
    <row r="722" spans="1:5" x14ac:dyDescent="0.2">
      <c r="A722" s="43">
        <v>39894</v>
      </c>
      <c r="D722">
        <v>0.25</v>
      </c>
    </row>
    <row r="723" spans="1:5" x14ac:dyDescent="0.2">
      <c r="A723" s="43">
        <v>39895</v>
      </c>
      <c r="D723">
        <v>0.25</v>
      </c>
    </row>
    <row r="724" spans="1:5" x14ac:dyDescent="0.2">
      <c r="A724" s="43">
        <v>39896</v>
      </c>
      <c r="D724">
        <v>0.25</v>
      </c>
    </row>
    <row r="725" spans="1:5" x14ac:dyDescent="0.2">
      <c r="A725" s="43">
        <v>39897</v>
      </c>
      <c r="D725">
        <v>0.25</v>
      </c>
    </row>
    <row r="726" spans="1:5" x14ac:dyDescent="0.2">
      <c r="A726" s="43">
        <v>39898</v>
      </c>
      <c r="D726">
        <v>0.25</v>
      </c>
    </row>
    <row r="727" spans="1:5" x14ac:dyDescent="0.2">
      <c r="A727" s="43">
        <v>39899</v>
      </c>
      <c r="D727">
        <v>0.25</v>
      </c>
    </row>
    <row r="728" spans="1:5" x14ac:dyDescent="0.2">
      <c r="A728" s="43">
        <v>39900</v>
      </c>
      <c r="D728">
        <v>0.25</v>
      </c>
    </row>
    <row r="729" spans="1:5" x14ac:dyDescent="0.2">
      <c r="A729" s="43">
        <v>39901</v>
      </c>
      <c r="D729">
        <v>0.25</v>
      </c>
    </row>
    <row r="730" spans="1:5" x14ac:dyDescent="0.2">
      <c r="A730" s="43">
        <v>39902</v>
      </c>
      <c r="D730">
        <v>0.25</v>
      </c>
    </row>
    <row r="731" spans="1:5" x14ac:dyDescent="0.2">
      <c r="A731" s="43">
        <v>39903</v>
      </c>
      <c r="D731">
        <v>0.25</v>
      </c>
    </row>
    <row r="732" spans="1:5" x14ac:dyDescent="0.2">
      <c r="A732" s="43">
        <v>39904</v>
      </c>
      <c r="B732">
        <v>93.400999999999996</v>
      </c>
      <c r="C732">
        <v>94.956999999999994</v>
      </c>
      <c r="D732">
        <v>0.25</v>
      </c>
      <c r="E732">
        <v>218.70599999999999</v>
      </c>
    </row>
    <row r="733" spans="1:5" x14ac:dyDescent="0.2">
      <c r="A733" s="43">
        <v>39905</v>
      </c>
      <c r="D733">
        <v>0.25</v>
      </c>
    </row>
    <row r="734" spans="1:5" x14ac:dyDescent="0.2">
      <c r="A734" s="43">
        <v>39906</v>
      </c>
      <c r="D734">
        <v>0.25</v>
      </c>
    </row>
    <row r="735" spans="1:5" x14ac:dyDescent="0.2">
      <c r="A735" s="43">
        <v>39907</v>
      </c>
      <c r="D735">
        <v>0.25</v>
      </c>
    </row>
    <row r="736" spans="1:5" x14ac:dyDescent="0.2">
      <c r="A736" s="43">
        <v>39908</v>
      </c>
      <c r="D736">
        <v>0.25</v>
      </c>
    </row>
    <row r="737" spans="1:4" x14ac:dyDescent="0.2">
      <c r="A737" s="43">
        <v>39909</v>
      </c>
      <c r="D737">
        <v>0.25</v>
      </c>
    </row>
    <row r="738" spans="1:4" x14ac:dyDescent="0.2">
      <c r="A738" s="43">
        <v>39910</v>
      </c>
      <c r="D738">
        <v>0.25</v>
      </c>
    </row>
    <row r="739" spans="1:4" x14ac:dyDescent="0.2">
      <c r="A739" s="43">
        <v>39911</v>
      </c>
      <c r="D739">
        <v>0.25</v>
      </c>
    </row>
    <row r="740" spans="1:4" x14ac:dyDescent="0.2">
      <c r="A740" s="43">
        <v>39912</v>
      </c>
      <c r="D740">
        <v>0.25</v>
      </c>
    </row>
    <row r="741" spans="1:4" x14ac:dyDescent="0.2">
      <c r="A741" s="43">
        <v>39913</v>
      </c>
      <c r="D741">
        <v>0.25</v>
      </c>
    </row>
    <row r="742" spans="1:4" x14ac:dyDescent="0.2">
      <c r="A742" s="43">
        <v>39914</v>
      </c>
      <c r="D742">
        <v>0.25</v>
      </c>
    </row>
    <row r="743" spans="1:4" x14ac:dyDescent="0.2">
      <c r="A743" s="43">
        <v>39915</v>
      </c>
      <c r="D743">
        <v>0.25</v>
      </c>
    </row>
    <row r="744" spans="1:4" x14ac:dyDescent="0.2">
      <c r="A744" s="43">
        <v>39916</v>
      </c>
      <c r="D744">
        <v>0.25</v>
      </c>
    </row>
    <row r="745" spans="1:4" x14ac:dyDescent="0.2">
      <c r="A745" s="43">
        <v>39917</v>
      </c>
      <c r="D745">
        <v>0.25</v>
      </c>
    </row>
    <row r="746" spans="1:4" x14ac:dyDescent="0.2">
      <c r="A746" s="43">
        <v>39918</v>
      </c>
      <c r="D746">
        <v>0.25</v>
      </c>
    </row>
    <row r="747" spans="1:4" x14ac:dyDescent="0.2">
      <c r="A747" s="43">
        <v>39919</v>
      </c>
      <c r="D747">
        <v>0.25</v>
      </c>
    </row>
    <row r="748" spans="1:4" x14ac:dyDescent="0.2">
      <c r="A748" s="43">
        <v>39920</v>
      </c>
      <c r="D748">
        <v>0.25</v>
      </c>
    </row>
    <row r="749" spans="1:4" x14ac:dyDescent="0.2">
      <c r="A749" s="43">
        <v>39921</v>
      </c>
      <c r="D749">
        <v>0.25</v>
      </c>
    </row>
    <row r="750" spans="1:4" x14ac:dyDescent="0.2">
      <c r="A750" s="43">
        <v>39922</v>
      </c>
      <c r="D750">
        <v>0.25</v>
      </c>
    </row>
    <row r="751" spans="1:4" x14ac:dyDescent="0.2">
      <c r="A751" s="43">
        <v>39923</v>
      </c>
      <c r="D751">
        <v>0.25</v>
      </c>
    </row>
    <row r="752" spans="1:4" x14ac:dyDescent="0.2">
      <c r="A752" s="43">
        <v>39924</v>
      </c>
      <c r="D752">
        <v>0.25</v>
      </c>
    </row>
    <row r="753" spans="1:5" x14ac:dyDescent="0.2">
      <c r="A753" s="43">
        <v>39925</v>
      </c>
      <c r="D753">
        <v>0.25</v>
      </c>
    </row>
    <row r="754" spans="1:5" x14ac:dyDescent="0.2">
      <c r="A754" s="43">
        <v>39926</v>
      </c>
      <c r="D754">
        <v>0.25</v>
      </c>
    </row>
    <row r="755" spans="1:5" x14ac:dyDescent="0.2">
      <c r="A755" s="43">
        <v>39927</v>
      </c>
      <c r="D755">
        <v>0.25</v>
      </c>
    </row>
    <row r="756" spans="1:5" x14ac:dyDescent="0.2">
      <c r="A756" s="43">
        <v>39928</v>
      </c>
      <c r="D756">
        <v>0.25</v>
      </c>
    </row>
    <row r="757" spans="1:5" x14ac:dyDescent="0.2">
      <c r="A757" s="43">
        <v>39929</v>
      </c>
      <c r="D757">
        <v>0.25</v>
      </c>
    </row>
    <row r="758" spans="1:5" x14ac:dyDescent="0.2">
      <c r="A758" s="43">
        <v>39930</v>
      </c>
      <c r="D758">
        <v>0.25</v>
      </c>
    </row>
    <row r="759" spans="1:5" x14ac:dyDescent="0.2">
      <c r="A759" s="43">
        <v>39931</v>
      </c>
      <c r="D759">
        <v>0.25</v>
      </c>
    </row>
    <row r="760" spans="1:5" x14ac:dyDescent="0.2">
      <c r="A760" s="43">
        <v>39932</v>
      </c>
      <c r="D760">
        <v>0.25</v>
      </c>
    </row>
    <row r="761" spans="1:5" x14ac:dyDescent="0.2">
      <c r="A761" s="43">
        <v>39933</v>
      </c>
      <c r="D761">
        <v>0.25</v>
      </c>
    </row>
    <row r="762" spans="1:5" x14ac:dyDescent="0.2">
      <c r="A762" s="43">
        <v>39934</v>
      </c>
      <c r="B762">
        <v>93.498000000000005</v>
      </c>
      <c r="C762">
        <v>95.03</v>
      </c>
      <c r="D762">
        <v>0.25</v>
      </c>
      <c r="E762">
        <v>218.904</v>
      </c>
    </row>
    <row r="763" spans="1:5" x14ac:dyDescent="0.2">
      <c r="A763" s="43">
        <v>39935</v>
      </c>
      <c r="D763">
        <v>0.25</v>
      </c>
    </row>
    <row r="764" spans="1:5" x14ac:dyDescent="0.2">
      <c r="A764" s="43">
        <v>39936</v>
      </c>
      <c r="D764">
        <v>0.25</v>
      </c>
    </row>
    <row r="765" spans="1:5" x14ac:dyDescent="0.2">
      <c r="A765" s="43">
        <v>39937</v>
      </c>
      <c r="D765">
        <v>0.25</v>
      </c>
    </row>
    <row r="766" spans="1:5" x14ac:dyDescent="0.2">
      <c r="A766" s="43">
        <v>39938</v>
      </c>
      <c r="D766">
        <v>0.25</v>
      </c>
    </row>
    <row r="767" spans="1:5" x14ac:dyDescent="0.2">
      <c r="A767" s="43">
        <v>39939</v>
      </c>
      <c r="D767">
        <v>0.25</v>
      </c>
    </row>
    <row r="768" spans="1:5" x14ac:dyDescent="0.2">
      <c r="A768" s="43">
        <v>39940</v>
      </c>
      <c r="D768">
        <v>0.25</v>
      </c>
    </row>
    <row r="769" spans="1:4" x14ac:dyDescent="0.2">
      <c r="A769" s="43">
        <v>39941</v>
      </c>
      <c r="D769">
        <v>0.25</v>
      </c>
    </row>
    <row r="770" spans="1:4" x14ac:dyDescent="0.2">
      <c r="A770" s="43">
        <v>39942</v>
      </c>
      <c r="D770">
        <v>0.25</v>
      </c>
    </row>
    <row r="771" spans="1:4" x14ac:dyDescent="0.2">
      <c r="A771" s="43">
        <v>39943</v>
      </c>
      <c r="D771">
        <v>0.25</v>
      </c>
    </row>
    <row r="772" spans="1:4" x14ac:dyDescent="0.2">
      <c r="A772" s="43">
        <v>39944</v>
      </c>
      <c r="D772">
        <v>0.25</v>
      </c>
    </row>
    <row r="773" spans="1:4" x14ac:dyDescent="0.2">
      <c r="A773" s="43">
        <v>39945</v>
      </c>
      <c r="D773">
        <v>0.25</v>
      </c>
    </row>
    <row r="774" spans="1:4" x14ac:dyDescent="0.2">
      <c r="A774" s="43">
        <v>39946</v>
      </c>
      <c r="D774">
        <v>0.25</v>
      </c>
    </row>
    <row r="775" spans="1:4" x14ac:dyDescent="0.2">
      <c r="A775" s="43">
        <v>39947</v>
      </c>
      <c r="D775">
        <v>0.25</v>
      </c>
    </row>
    <row r="776" spans="1:4" x14ac:dyDescent="0.2">
      <c r="A776" s="43">
        <v>39948</v>
      </c>
      <c r="D776">
        <v>0.25</v>
      </c>
    </row>
    <row r="777" spans="1:4" x14ac:dyDescent="0.2">
      <c r="A777" s="43">
        <v>39949</v>
      </c>
      <c r="D777">
        <v>0.25</v>
      </c>
    </row>
    <row r="778" spans="1:4" x14ac:dyDescent="0.2">
      <c r="A778" s="43">
        <v>39950</v>
      </c>
      <c r="D778">
        <v>0.25</v>
      </c>
    </row>
    <row r="779" spans="1:4" x14ac:dyDescent="0.2">
      <c r="A779" s="43">
        <v>39951</v>
      </c>
      <c r="D779">
        <v>0.25</v>
      </c>
    </row>
    <row r="780" spans="1:4" x14ac:dyDescent="0.2">
      <c r="A780" s="43">
        <v>39952</v>
      </c>
      <c r="D780">
        <v>0.25</v>
      </c>
    </row>
    <row r="781" spans="1:4" x14ac:dyDescent="0.2">
      <c r="A781" s="43">
        <v>39953</v>
      </c>
      <c r="D781">
        <v>0.25</v>
      </c>
    </row>
    <row r="782" spans="1:4" x14ac:dyDescent="0.2">
      <c r="A782" s="43">
        <v>39954</v>
      </c>
      <c r="D782">
        <v>0.25</v>
      </c>
    </row>
    <row r="783" spans="1:4" x14ac:dyDescent="0.2">
      <c r="A783" s="43">
        <v>39955</v>
      </c>
      <c r="D783">
        <v>0.25</v>
      </c>
    </row>
    <row r="784" spans="1:4" x14ac:dyDescent="0.2">
      <c r="A784" s="43">
        <v>39956</v>
      </c>
      <c r="D784">
        <v>0.25</v>
      </c>
    </row>
    <row r="785" spans="1:5" x14ac:dyDescent="0.2">
      <c r="A785" s="43">
        <v>39957</v>
      </c>
      <c r="D785">
        <v>0.25</v>
      </c>
    </row>
    <row r="786" spans="1:5" x14ac:dyDescent="0.2">
      <c r="A786" s="43">
        <v>39958</v>
      </c>
      <c r="D786">
        <v>0.25</v>
      </c>
    </row>
    <row r="787" spans="1:5" x14ac:dyDescent="0.2">
      <c r="A787" s="43">
        <v>39959</v>
      </c>
      <c r="D787">
        <v>0.25</v>
      </c>
    </row>
    <row r="788" spans="1:5" x14ac:dyDescent="0.2">
      <c r="A788" s="43">
        <v>39960</v>
      </c>
      <c r="D788">
        <v>0.25</v>
      </c>
    </row>
    <row r="789" spans="1:5" x14ac:dyDescent="0.2">
      <c r="A789" s="43">
        <v>39961</v>
      </c>
      <c r="D789">
        <v>0.25</v>
      </c>
    </row>
    <row r="790" spans="1:5" x14ac:dyDescent="0.2">
      <c r="A790" s="43">
        <v>39962</v>
      </c>
      <c r="D790">
        <v>0.25</v>
      </c>
    </row>
    <row r="791" spans="1:5" x14ac:dyDescent="0.2">
      <c r="A791" s="43">
        <v>39963</v>
      </c>
      <c r="D791">
        <v>0.25</v>
      </c>
    </row>
    <row r="792" spans="1:5" x14ac:dyDescent="0.2">
      <c r="A792" s="43">
        <v>39964</v>
      </c>
      <c r="D792">
        <v>0.25</v>
      </c>
    </row>
    <row r="793" spans="1:5" x14ac:dyDescent="0.2">
      <c r="A793" s="43">
        <v>39965</v>
      </c>
      <c r="B793">
        <v>94.052999999999997</v>
      </c>
      <c r="C793">
        <v>95.150999999999996</v>
      </c>
      <c r="D793">
        <v>0.25</v>
      </c>
      <c r="E793">
        <v>219.11199999999999</v>
      </c>
    </row>
    <row r="794" spans="1:5" x14ac:dyDescent="0.2">
      <c r="A794" s="43">
        <v>39966</v>
      </c>
      <c r="D794">
        <v>0.25</v>
      </c>
    </row>
    <row r="795" spans="1:5" x14ac:dyDescent="0.2">
      <c r="A795" s="43">
        <v>39967</v>
      </c>
      <c r="D795">
        <v>0.25</v>
      </c>
    </row>
    <row r="796" spans="1:5" x14ac:dyDescent="0.2">
      <c r="A796" s="43">
        <v>39968</v>
      </c>
      <c r="D796">
        <v>0.25</v>
      </c>
    </row>
    <row r="797" spans="1:5" x14ac:dyDescent="0.2">
      <c r="A797" s="43">
        <v>39969</v>
      </c>
      <c r="D797">
        <v>0.25</v>
      </c>
    </row>
    <row r="798" spans="1:5" x14ac:dyDescent="0.2">
      <c r="A798" s="43">
        <v>39970</v>
      </c>
      <c r="D798">
        <v>0.25</v>
      </c>
    </row>
    <row r="799" spans="1:5" x14ac:dyDescent="0.2">
      <c r="A799" s="43">
        <v>39971</v>
      </c>
      <c r="D799">
        <v>0.25</v>
      </c>
    </row>
    <row r="800" spans="1:5" x14ac:dyDescent="0.2">
      <c r="A800" s="43">
        <v>39972</v>
      </c>
      <c r="D800">
        <v>0.25</v>
      </c>
    </row>
    <row r="801" spans="1:4" x14ac:dyDescent="0.2">
      <c r="A801" s="43">
        <v>39973</v>
      </c>
      <c r="D801">
        <v>0.25</v>
      </c>
    </row>
    <row r="802" spans="1:4" x14ac:dyDescent="0.2">
      <c r="A802" s="43">
        <v>39974</v>
      </c>
      <c r="D802">
        <v>0.25</v>
      </c>
    </row>
    <row r="803" spans="1:4" x14ac:dyDescent="0.2">
      <c r="A803" s="43">
        <v>39975</v>
      </c>
      <c r="D803">
        <v>0.25</v>
      </c>
    </row>
    <row r="804" spans="1:4" x14ac:dyDescent="0.2">
      <c r="A804" s="43">
        <v>39976</v>
      </c>
      <c r="D804">
        <v>0.25</v>
      </c>
    </row>
    <row r="805" spans="1:4" x14ac:dyDescent="0.2">
      <c r="A805" s="43">
        <v>39977</v>
      </c>
      <c r="D805">
        <v>0.25</v>
      </c>
    </row>
    <row r="806" spans="1:4" x14ac:dyDescent="0.2">
      <c r="A806" s="43">
        <v>39978</v>
      </c>
      <c r="D806">
        <v>0.25</v>
      </c>
    </row>
    <row r="807" spans="1:4" x14ac:dyDescent="0.2">
      <c r="A807" s="43">
        <v>39979</v>
      </c>
      <c r="D807">
        <v>0.25</v>
      </c>
    </row>
    <row r="808" spans="1:4" x14ac:dyDescent="0.2">
      <c r="A808" s="43">
        <v>39980</v>
      </c>
      <c r="D808">
        <v>0.25</v>
      </c>
    </row>
    <row r="809" spans="1:4" x14ac:dyDescent="0.2">
      <c r="A809" s="43">
        <v>39981</v>
      </c>
      <c r="D809">
        <v>0.25</v>
      </c>
    </row>
    <row r="810" spans="1:4" x14ac:dyDescent="0.2">
      <c r="A810" s="43">
        <v>39982</v>
      </c>
      <c r="D810">
        <v>0.25</v>
      </c>
    </row>
    <row r="811" spans="1:4" x14ac:dyDescent="0.2">
      <c r="A811" s="43">
        <v>39983</v>
      </c>
      <c r="D811">
        <v>0.25</v>
      </c>
    </row>
    <row r="812" spans="1:4" x14ac:dyDescent="0.2">
      <c r="A812" s="43">
        <v>39984</v>
      </c>
      <c r="D812">
        <v>0.25</v>
      </c>
    </row>
    <row r="813" spans="1:4" x14ac:dyDescent="0.2">
      <c r="A813" s="43">
        <v>39985</v>
      </c>
      <c r="D813">
        <v>0.25</v>
      </c>
    </row>
    <row r="814" spans="1:4" x14ac:dyDescent="0.2">
      <c r="A814" s="43">
        <v>39986</v>
      </c>
      <c r="D814">
        <v>0.25</v>
      </c>
    </row>
    <row r="815" spans="1:4" x14ac:dyDescent="0.2">
      <c r="A815" s="43">
        <v>39987</v>
      </c>
      <c r="D815">
        <v>0.25</v>
      </c>
    </row>
    <row r="816" spans="1:4" x14ac:dyDescent="0.2">
      <c r="A816" s="43">
        <v>39988</v>
      </c>
      <c r="D816">
        <v>0.25</v>
      </c>
    </row>
    <row r="817" spans="1:5" x14ac:dyDescent="0.2">
      <c r="A817" s="43">
        <v>39989</v>
      </c>
      <c r="D817">
        <v>0.25</v>
      </c>
    </row>
    <row r="818" spans="1:5" x14ac:dyDescent="0.2">
      <c r="A818" s="43">
        <v>39990</v>
      </c>
      <c r="D818">
        <v>0.25</v>
      </c>
    </row>
    <row r="819" spans="1:5" x14ac:dyDescent="0.2">
      <c r="A819" s="43">
        <v>39991</v>
      </c>
      <c r="D819">
        <v>0.25</v>
      </c>
    </row>
    <row r="820" spans="1:5" x14ac:dyDescent="0.2">
      <c r="A820" s="43">
        <v>39992</v>
      </c>
      <c r="D820">
        <v>0.25</v>
      </c>
    </row>
    <row r="821" spans="1:5" x14ac:dyDescent="0.2">
      <c r="A821" s="43">
        <v>39993</v>
      </c>
      <c r="D821">
        <v>0.25</v>
      </c>
    </row>
    <row r="822" spans="1:5" x14ac:dyDescent="0.2">
      <c r="A822" s="43">
        <v>39994</v>
      </c>
      <c r="D822">
        <v>0.25</v>
      </c>
    </row>
    <row r="823" spans="1:5" x14ac:dyDescent="0.2">
      <c r="A823" s="43">
        <v>39995</v>
      </c>
      <c r="B823">
        <v>94.063000000000002</v>
      </c>
      <c r="C823">
        <v>95.233000000000004</v>
      </c>
      <c r="D823">
        <v>0.25</v>
      </c>
      <c r="E823">
        <v>219.26300000000001</v>
      </c>
    </row>
    <row r="824" spans="1:5" x14ac:dyDescent="0.2">
      <c r="A824" s="43">
        <v>39996</v>
      </c>
      <c r="D824">
        <v>0.25</v>
      </c>
    </row>
    <row r="825" spans="1:5" x14ac:dyDescent="0.2">
      <c r="A825" s="43">
        <v>39997</v>
      </c>
      <c r="D825">
        <v>0.25</v>
      </c>
    </row>
    <row r="826" spans="1:5" x14ac:dyDescent="0.2">
      <c r="A826" s="43">
        <v>39998</v>
      </c>
      <c r="D826">
        <v>0.25</v>
      </c>
    </row>
    <row r="827" spans="1:5" x14ac:dyDescent="0.2">
      <c r="A827" s="43">
        <v>39999</v>
      </c>
      <c r="D827">
        <v>0.25</v>
      </c>
    </row>
    <row r="828" spans="1:5" x14ac:dyDescent="0.2">
      <c r="A828" s="43">
        <v>40000</v>
      </c>
      <c r="D828">
        <v>0.25</v>
      </c>
    </row>
    <row r="829" spans="1:5" x14ac:dyDescent="0.2">
      <c r="A829" s="43">
        <v>40001</v>
      </c>
      <c r="D829">
        <v>0.25</v>
      </c>
    </row>
    <row r="830" spans="1:5" x14ac:dyDescent="0.2">
      <c r="A830" s="43">
        <v>40002</v>
      </c>
      <c r="D830">
        <v>0.25</v>
      </c>
    </row>
    <row r="831" spans="1:5" x14ac:dyDescent="0.2">
      <c r="A831" s="43">
        <v>40003</v>
      </c>
      <c r="D831">
        <v>0.25</v>
      </c>
    </row>
    <row r="832" spans="1:5" x14ac:dyDescent="0.2">
      <c r="A832" s="43">
        <v>40004</v>
      </c>
      <c r="D832">
        <v>0.25</v>
      </c>
    </row>
    <row r="833" spans="1:4" x14ac:dyDescent="0.2">
      <c r="A833" s="43">
        <v>40005</v>
      </c>
      <c r="D833">
        <v>0.25</v>
      </c>
    </row>
    <row r="834" spans="1:4" x14ac:dyDescent="0.2">
      <c r="A834" s="43">
        <v>40006</v>
      </c>
      <c r="D834">
        <v>0.25</v>
      </c>
    </row>
    <row r="835" spans="1:4" x14ac:dyDescent="0.2">
      <c r="A835" s="43">
        <v>40007</v>
      </c>
      <c r="D835">
        <v>0.25</v>
      </c>
    </row>
    <row r="836" spans="1:4" x14ac:dyDescent="0.2">
      <c r="A836" s="43">
        <v>40008</v>
      </c>
      <c r="D836">
        <v>0.25</v>
      </c>
    </row>
    <row r="837" spans="1:4" x14ac:dyDescent="0.2">
      <c r="A837" s="43">
        <v>40009</v>
      </c>
      <c r="D837">
        <v>0.25</v>
      </c>
    </row>
    <row r="838" spans="1:4" x14ac:dyDescent="0.2">
      <c r="A838" s="43">
        <v>40010</v>
      </c>
      <c r="D838">
        <v>0.25</v>
      </c>
    </row>
    <row r="839" spans="1:4" x14ac:dyDescent="0.2">
      <c r="A839" s="43">
        <v>40011</v>
      </c>
      <c r="D839">
        <v>0.25</v>
      </c>
    </row>
    <row r="840" spans="1:4" x14ac:dyDescent="0.2">
      <c r="A840" s="43">
        <v>40012</v>
      </c>
      <c r="D840">
        <v>0.25</v>
      </c>
    </row>
    <row r="841" spans="1:4" x14ac:dyDescent="0.2">
      <c r="A841" s="43">
        <v>40013</v>
      </c>
      <c r="D841">
        <v>0.25</v>
      </c>
    </row>
    <row r="842" spans="1:4" x14ac:dyDescent="0.2">
      <c r="A842" s="43">
        <v>40014</v>
      </c>
      <c r="D842">
        <v>0.25</v>
      </c>
    </row>
    <row r="843" spans="1:4" x14ac:dyDescent="0.2">
      <c r="A843" s="43">
        <v>40015</v>
      </c>
      <c r="D843">
        <v>0.25</v>
      </c>
    </row>
    <row r="844" spans="1:4" x14ac:dyDescent="0.2">
      <c r="A844" s="43">
        <v>40016</v>
      </c>
      <c r="D844">
        <v>0.25</v>
      </c>
    </row>
    <row r="845" spans="1:4" x14ac:dyDescent="0.2">
      <c r="A845" s="43">
        <v>40017</v>
      </c>
      <c r="D845">
        <v>0.25</v>
      </c>
    </row>
    <row r="846" spans="1:4" x14ac:dyDescent="0.2">
      <c r="A846" s="43">
        <v>40018</v>
      </c>
      <c r="D846">
        <v>0.25</v>
      </c>
    </row>
    <row r="847" spans="1:4" x14ac:dyDescent="0.2">
      <c r="A847" s="43">
        <v>40019</v>
      </c>
      <c r="D847">
        <v>0.25</v>
      </c>
    </row>
    <row r="848" spans="1:4" x14ac:dyDescent="0.2">
      <c r="A848" s="43">
        <v>40020</v>
      </c>
      <c r="D848">
        <v>0.25</v>
      </c>
    </row>
    <row r="849" spans="1:5" x14ac:dyDescent="0.2">
      <c r="A849" s="43">
        <v>40021</v>
      </c>
      <c r="D849">
        <v>0.25</v>
      </c>
    </row>
    <row r="850" spans="1:5" x14ac:dyDescent="0.2">
      <c r="A850" s="43">
        <v>40022</v>
      </c>
      <c r="D850">
        <v>0.25</v>
      </c>
    </row>
    <row r="851" spans="1:5" x14ac:dyDescent="0.2">
      <c r="A851" s="43">
        <v>40023</v>
      </c>
      <c r="D851">
        <v>0.25</v>
      </c>
    </row>
    <row r="852" spans="1:5" x14ac:dyDescent="0.2">
      <c r="A852" s="43">
        <v>40024</v>
      </c>
      <c r="D852">
        <v>0.25</v>
      </c>
    </row>
    <row r="853" spans="1:5" x14ac:dyDescent="0.2">
      <c r="A853" s="43">
        <v>40025</v>
      </c>
      <c r="D853">
        <v>0.25</v>
      </c>
    </row>
    <row r="854" spans="1:5" x14ac:dyDescent="0.2">
      <c r="A854" s="43">
        <v>40026</v>
      </c>
      <c r="B854">
        <v>94.335999999999999</v>
      </c>
      <c r="C854">
        <v>95.373999999999995</v>
      </c>
      <c r="D854">
        <v>0.25</v>
      </c>
      <c r="E854">
        <v>219.49600000000001</v>
      </c>
    </row>
    <row r="855" spans="1:5" x14ac:dyDescent="0.2">
      <c r="A855" s="43">
        <v>40027</v>
      </c>
      <c r="D855">
        <v>0.25</v>
      </c>
    </row>
    <row r="856" spans="1:5" x14ac:dyDescent="0.2">
      <c r="A856" s="43">
        <v>40028</v>
      </c>
      <c r="D856">
        <v>0.25</v>
      </c>
    </row>
    <row r="857" spans="1:5" x14ac:dyDescent="0.2">
      <c r="A857" s="43">
        <v>40029</v>
      </c>
      <c r="D857">
        <v>0.25</v>
      </c>
    </row>
    <row r="858" spans="1:5" x14ac:dyDescent="0.2">
      <c r="A858" s="43">
        <v>40030</v>
      </c>
      <c r="D858">
        <v>0.25</v>
      </c>
    </row>
    <row r="859" spans="1:5" x14ac:dyDescent="0.2">
      <c r="A859" s="43">
        <v>40031</v>
      </c>
      <c r="D859">
        <v>0.25</v>
      </c>
    </row>
    <row r="860" spans="1:5" x14ac:dyDescent="0.2">
      <c r="A860" s="43">
        <v>40032</v>
      </c>
      <c r="D860">
        <v>0.25</v>
      </c>
    </row>
    <row r="861" spans="1:5" x14ac:dyDescent="0.2">
      <c r="A861" s="43">
        <v>40033</v>
      </c>
      <c r="D861">
        <v>0.25</v>
      </c>
    </row>
    <row r="862" spans="1:5" x14ac:dyDescent="0.2">
      <c r="A862" s="43">
        <v>40034</v>
      </c>
      <c r="D862">
        <v>0.25</v>
      </c>
    </row>
    <row r="863" spans="1:5" x14ac:dyDescent="0.2">
      <c r="A863" s="43">
        <v>40035</v>
      </c>
      <c r="D863">
        <v>0.25</v>
      </c>
    </row>
    <row r="864" spans="1:5" x14ac:dyDescent="0.2">
      <c r="A864" s="43">
        <v>40036</v>
      </c>
      <c r="D864">
        <v>0.25</v>
      </c>
    </row>
    <row r="865" spans="1:4" x14ac:dyDescent="0.2">
      <c r="A865" s="43">
        <v>40037</v>
      </c>
      <c r="D865">
        <v>0.25</v>
      </c>
    </row>
    <row r="866" spans="1:4" x14ac:dyDescent="0.2">
      <c r="A866" s="43">
        <v>40038</v>
      </c>
      <c r="D866">
        <v>0.25</v>
      </c>
    </row>
    <row r="867" spans="1:4" x14ac:dyDescent="0.2">
      <c r="A867" s="43">
        <v>40039</v>
      </c>
      <c r="D867">
        <v>0.25</v>
      </c>
    </row>
    <row r="868" spans="1:4" x14ac:dyDescent="0.2">
      <c r="A868" s="43">
        <v>40040</v>
      </c>
      <c r="D868">
        <v>0.25</v>
      </c>
    </row>
    <row r="869" spans="1:4" x14ac:dyDescent="0.2">
      <c r="A869" s="43">
        <v>40041</v>
      </c>
      <c r="D869">
        <v>0.25</v>
      </c>
    </row>
    <row r="870" spans="1:4" x14ac:dyDescent="0.2">
      <c r="A870" s="43">
        <v>40042</v>
      </c>
      <c r="D870">
        <v>0.25</v>
      </c>
    </row>
    <row r="871" spans="1:4" x14ac:dyDescent="0.2">
      <c r="A871" s="43">
        <v>40043</v>
      </c>
      <c r="D871">
        <v>0.25</v>
      </c>
    </row>
    <row r="872" spans="1:4" x14ac:dyDescent="0.2">
      <c r="A872" s="43">
        <v>40044</v>
      </c>
      <c r="D872">
        <v>0.25</v>
      </c>
    </row>
    <row r="873" spans="1:4" x14ac:dyDescent="0.2">
      <c r="A873" s="43">
        <v>40045</v>
      </c>
      <c r="D873">
        <v>0.25</v>
      </c>
    </row>
    <row r="874" spans="1:4" x14ac:dyDescent="0.2">
      <c r="A874" s="43">
        <v>40046</v>
      </c>
      <c r="D874">
        <v>0.25</v>
      </c>
    </row>
    <row r="875" spans="1:4" x14ac:dyDescent="0.2">
      <c r="A875" s="43">
        <v>40047</v>
      </c>
      <c r="D875">
        <v>0.25</v>
      </c>
    </row>
    <row r="876" spans="1:4" x14ac:dyDescent="0.2">
      <c r="A876" s="43">
        <v>40048</v>
      </c>
      <c r="D876">
        <v>0.25</v>
      </c>
    </row>
    <row r="877" spans="1:4" x14ac:dyDescent="0.2">
      <c r="A877" s="43">
        <v>40049</v>
      </c>
      <c r="D877">
        <v>0.25</v>
      </c>
    </row>
    <row r="878" spans="1:4" x14ac:dyDescent="0.2">
      <c r="A878" s="43">
        <v>40050</v>
      </c>
      <c r="D878">
        <v>0.25</v>
      </c>
    </row>
    <row r="879" spans="1:4" x14ac:dyDescent="0.2">
      <c r="A879" s="43">
        <v>40051</v>
      </c>
      <c r="D879">
        <v>0.25</v>
      </c>
    </row>
    <row r="880" spans="1:4" x14ac:dyDescent="0.2">
      <c r="A880" s="43">
        <v>40052</v>
      </c>
      <c r="D880">
        <v>0.25</v>
      </c>
    </row>
    <row r="881" spans="1:5" x14ac:dyDescent="0.2">
      <c r="A881" s="43">
        <v>40053</v>
      </c>
      <c r="D881">
        <v>0.25</v>
      </c>
    </row>
    <row r="882" spans="1:5" x14ac:dyDescent="0.2">
      <c r="A882" s="43">
        <v>40054</v>
      </c>
      <c r="D882">
        <v>0.25</v>
      </c>
    </row>
    <row r="883" spans="1:5" x14ac:dyDescent="0.2">
      <c r="A883" s="43">
        <v>40055</v>
      </c>
      <c r="D883">
        <v>0.25</v>
      </c>
    </row>
    <row r="884" spans="1:5" x14ac:dyDescent="0.2">
      <c r="A884" s="43">
        <v>40056</v>
      </c>
      <c r="D884">
        <v>0.25</v>
      </c>
    </row>
    <row r="885" spans="1:5" x14ac:dyDescent="0.2">
      <c r="A885" s="43">
        <v>40057</v>
      </c>
      <c r="B885">
        <v>94.489000000000004</v>
      </c>
      <c r="C885">
        <v>95.540999999999997</v>
      </c>
      <c r="D885">
        <v>0.25</v>
      </c>
      <c r="E885">
        <v>219.92</v>
      </c>
    </row>
    <row r="886" spans="1:5" x14ac:dyDescent="0.2">
      <c r="A886" s="43">
        <v>40058</v>
      </c>
      <c r="D886">
        <v>0.25</v>
      </c>
    </row>
    <row r="887" spans="1:5" x14ac:dyDescent="0.2">
      <c r="A887" s="43">
        <v>40059</v>
      </c>
      <c r="D887">
        <v>0.25</v>
      </c>
    </row>
    <row r="888" spans="1:5" x14ac:dyDescent="0.2">
      <c r="A888" s="43">
        <v>40060</v>
      </c>
      <c r="D888">
        <v>0.25</v>
      </c>
    </row>
    <row r="889" spans="1:5" x14ac:dyDescent="0.2">
      <c r="A889" s="43">
        <v>40061</v>
      </c>
      <c r="D889">
        <v>0.25</v>
      </c>
    </row>
    <row r="890" spans="1:5" x14ac:dyDescent="0.2">
      <c r="A890" s="43">
        <v>40062</v>
      </c>
      <c r="D890">
        <v>0.25</v>
      </c>
    </row>
    <row r="891" spans="1:5" x14ac:dyDescent="0.2">
      <c r="A891" s="43">
        <v>40063</v>
      </c>
      <c r="D891">
        <v>0.25</v>
      </c>
    </row>
    <row r="892" spans="1:5" x14ac:dyDescent="0.2">
      <c r="A892" s="43">
        <v>40064</v>
      </c>
      <c r="D892">
        <v>0.25</v>
      </c>
    </row>
    <row r="893" spans="1:5" x14ac:dyDescent="0.2">
      <c r="A893" s="43">
        <v>40065</v>
      </c>
      <c r="D893">
        <v>0.25</v>
      </c>
    </row>
    <row r="894" spans="1:5" x14ac:dyDescent="0.2">
      <c r="A894" s="43">
        <v>40066</v>
      </c>
      <c r="D894">
        <v>0.25</v>
      </c>
    </row>
    <row r="895" spans="1:5" x14ac:dyDescent="0.2">
      <c r="A895" s="43">
        <v>40067</v>
      </c>
      <c r="D895">
        <v>0.25</v>
      </c>
    </row>
    <row r="896" spans="1:5" x14ac:dyDescent="0.2">
      <c r="A896" s="43">
        <v>40068</v>
      </c>
      <c r="D896">
        <v>0.25</v>
      </c>
    </row>
    <row r="897" spans="1:4" x14ac:dyDescent="0.2">
      <c r="A897" s="43">
        <v>40069</v>
      </c>
      <c r="D897">
        <v>0.25</v>
      </c>
    </row>
    <row r="898" spans="1:4" x14ac:dyDescent="0.2">
      <c r="A898" s="43">
        <v>40070</v>
      </c>
      <c r="D898">
        <v>0.25</v>
      </c>
    </row>
    <row r="899" spans="1:4" x14ac:dyDescent="0.2">
      <c r="A899" s="43">
        <v>40071</v>
      </c>
      <c r="D899">
        <v>0.25</v>
      </c>
    </row>
    <row r="900" spans="1:4" x14ac:dyDescent="0.2">
      <c r="A900" s="43">
        <v>40072</v>
      </c>
      <c r="D900">
        <v>0.25</v>
      </c>
    </row>
    <row r="901" spans="1:4" x14ac:dyDescent="0.2">
      <c r="A901" s="43">
        <v>40073</v>
      </c>
      <c r="D901">
        <v>0.25</v>
      </c>
    </row>
    <row r="902" spans="1:4" x14ac:dyDescent="0.2">
      <c r="A902" s="43">
        <v>40074</v>
      </c>
      <c r="D902">
        <v>0.25</v>
      </c>
    </row>
    <row r="903" spans="1:4" x14ac:dyDescent="0.2">
      <c r="A903" s="43">
        <v>40075</v>
      </c>
      <c r="D903">
        <v>0.25</v>
      </c>
    </row>
    <row r="904" spans="1:4" x14ac:dyDescent="0.2">
      <c r="A904" s="43">
        <v>40076</v>
      </c>
      <c r="D904">
        <v>0.25</v>
      </c>
    </row>
    <row r="905" spans="1:4" x14ac:dyDescent="0.2">
      <c r="A905" s="43">
        <v>40077</v>
      </c>
      <c r="D905">
        <v>0.25</v>
      </c>
    </row>
    <row r="906" spans="1:4" x14ac:dyDescent="0.2">
      <c r="A906" s="43">
        <v>40078</v>
      </c>
      <c r="D906">
        <v>0.25</v>
      </c>
    </row>
    <row r="907" spans="1:4" x14ac:dyDescent="0.2">
      <c r="A907" s="43">
        <v>40079</v>
      </c>
      <c r="D907">
        <v>0.25</v>
      </c>
    </row>
    <row r="908" spans="1:4" x14ac:dyDescent="0.2">
      <c r="A908" s="43">
        <v>40080</v>
      </c>
      <c r="D908">
        <v>0.25</v>
      </c>
    </row>
    <row r="909" spans="1:4" x14ac:dyDescent="0.2">
      <c r="A909" s="43">
        <v>40081</v>
      </c>
      <c r="D909">
        <v>0.25</v>
      </c>
    </row>
    <row r="910" spans="1:4" x14ac:dyDescent="0.2">
      <c r="A910" s="43">
        <v>40082</v>
      </c>
      <c r="D910">
        <v>0.25</v>
      </c>
    </row>
    <row r="911" spans="1:4" x14ac:dyDescent="0.2">
      <c r="A911" s="43">
        <v>40083</v>
      </c>
      <c r="D911">
        <v>0.25</v>
      </c>
    </row>
    <row r="912" spans="1:4" x14ac:dyDescent="0.2">
      <c r="A912" s="43">
        <v>40084</v>
      </c>
      <c r="D912">
        <v>0.25</v>
      </c>
    </row>
    <row r="913" spans="1:5" x14ac:dyDescent="0.2">
      <c r="A913" s="43">
        <v>40085</v>
      </c>
      <c r="D913">
        <v>0.25</v>
      </c>
    </row>
    <row r="914" spans="1:5" x14ac:dyDescent="0.2">
      <c r="A914" s="43">
        <v>40086</v>
      </c>
      <c r="D914">
        <v>0.25</v>
      </c>
    </row>
    <row r="915" spans="1:5" x14ac:dyDescent="0.2">
      <c r="A915" s="43">
        <v>40087</v>
      </c>
      <c r="B915">
        <v>94.846999999999994</v>
      </c>
      <c r="C915">
        <v>95.893000000000001</v>
      </c>
      <c r="D915">
        <v>0.25</v>
      </c>
      <c r="E915">
        <v>220.501</v>
      </c>
    </row>
    <row r="916" spans="1:5" x14ac:dyDescent="0.2">
      <c r="A916" s="43">
        <v>40088</v>
      </c>
      <c r="D916">
        <v>0.25</v>
      </c>
    </row>
    <row r="917" spans="1:5" x14ac:dyDescent="0.2">
      <c r="A917" s="43">
        <v>40089</v>
      </c>
      <c r="D917">
        <v>0.25</v>
      </c>
    </row>
    <row r="918" spans="1:5" x14ac:dyDescent="0.2">
      <c r="A918" s="43">
        <v>40090</v>
      </c>
      <c r="D918">
        <v>0.25</v>
      </c>
    </row>
    <row r="919" spans="1:5" x14ac:dyDescent="0.2">
      <c r="A919" s="43">
        <v>40091</v>
      </c>
      <c r="D919">
        <v>0.25</v>
      </c>
    </row>
    <row r="920" spans="1:5" x14ac:dyDescent="0.2">
      <c r="A920" s="43">
        <v>40092</v>
      </c>
      <c r="D920">
        <v>0.25</v>
      </c>
    </row>
    <row r="921" spans="1:5" x14ac:dyDescent="0.2">
      <c r="A921" s="43">
        <v>40093</v>
      </c>
      <c r="D921">
        <v>0.25</v>
      </c>
    </row>
    <row r="922" spans="1:5" x14ac:dyDescent="0.2">
      <c r="A922" s="43">
        <v>40094</v>
      </c>
      <c r="D922">
        <v>0.25</v>
      </c>
    </row>
    <row r="923" spans="1:5" x14ac:dyDescent="0.2">
      <c r="A923" s="43">
        <v>40095</v>
      </c>
      <c r="D923">
        <v>0.25</v>
      </c>
    </row>
    <row r="924" spans="1:5" x14ac:dyDescent="0.2">
      <c r="A924" s="43">
        <v>40096</v>
      </c>
      <c r="D924">
        <v>0.25</v>
      </c>
    </row>
    <row r="925" spans="1:5" x14ac:dyDescent="0.2">
      <c r="A925" s="43">
        <v>40097</v>
      </c>
      <c r="D925">
        <v>0.25</v>
      </c>
    </row>
    <row r="926" spans="1:5" x14ac:dyDescent="0.2">
      <c r="A926" s="43">
        <v>40098</v>
      </c>
      <c r="D926">
        <v>0.25</v>
      </c>
    </row>
    <row r="927" spans="1:5" x14ac:dyDescent="0.2">
      <c r="A927" s="43">
        <v>40099</v>
      </c>
      <c r="D927">
        <v>0.25</v>
      </c>
    </row>
    <row r="928" spans="1:5" x14ac:dyDescent="0.2">
      <c r="A928" s="43">
        <v>40100</v>
      </c>
      <c r="D928">
        <v>0.25</v>
      </c>
    </row>
    <row r="929" spans="1:4" x14ac:dyDescent="0.2">
      <c r="A929" s="43">
        <v>40101</v>
      </c>
      <c r="D929">
        <v>0.25</v>
      </c>
    </row>
    <row r="930" spans="1:4" x14ac:dyDescent="0.2">
      <c r="A930" s="43">
        <v>40102</v>
      </c>
      <c r="D930">
        <v>0.25</v>
      </c>
    </row>
    <row r="931" spans="1:4" x14ac:dyDescent="0.2">
      <c r="A931" s="43">
        <v>40103</v>
      </c>
      <c r="D931">
        <v>0.25</v>
      </c>
    </row>
    <row r="932" spans="1:4" x14ac:dyDescent="0.2">
      <c r="A932" s="43">
        <v>40104</v>
      </c>
      <c r="D932">
        <v>0.25</v>
      </c>
    </row>
    <row r="933" spans="1:4" x14ac:dyDescent="0.2">
      <c r="A933" s="43">
        <v>40105</v>
      </c>
      <c r="D933">
        <v>0.25</v>
      </c>
    </row>
    <row r="934" spans="1:4" x14ac:dyDescent="0.2">
      <c r="A934" s="43">
        <v>40106</v>
      </c>
      <c r="D934">
        <v>0.25</v>
      </c>
    </row>
    <row r="935" spans="1:4" x14ac:dyDescent="0.2">
      <c r="A935" s="43">
        <v>40107</v>
      </c>
      <c r="D935">
        <v>0.25</v>
      </c>
    </row>
    <row r="936" spans="1:4" x14ac:dyDescent="0.2">
      <c r="A936" s="43">
        <v>40108</v>
      </c>
      <c r="D936">
        <v>0.25</v>
      </c>
    </row>
    <row r="937" spans="1:4" x14ac:dyDescent="0.2">
      <c r="A937" s="43">
        <v>40109</v>
      </c>
      <c r="D937">
        <v>0.25</v>
      </c>
    </row>
    <row r="938" spans="1:4" x14ac:dyDescent="0.2">
      <c r="A938" s="43">
        <v>40110</v>
      </c>
      <c r="D938">
        <v>0.25</v>
      </c>
    </row>
    <row r="939" spans="1:4" x14ac:dyDescent="0.2">
      <c r="A939" s="43">
        <v>40111</v>
      </c>
      <c r="D939">
        <v>0.25</v>
      </c>
    </row>
    <row r="940" spans="1:4" x14ac:dyDescent="0.2">
      <c r="A940" s="43">
        <v>40112</v>
      </c>
      <c r="D940">
        <v>0.25</v>
      </c>
    </row>
    <row r="941" spans="1:4" x14ac:dyDescent="0.2">
      <c r="A941" s="43">
        <v>40113</v>
      </c>
      <c r="D941">
        <v>0.25</v>
      </c>
    </row>
    <row r="942" spans="1:4" x14ac:dyDescent="0.2">
      <c r="A942" s="43">
        <v>40114</v>
      </c>
      <c r="D942">
        <v>0.25</v>
      </c>
    </row>
    <row r="943" spans="1:4" x14ac:dyDescent="0.2">
      <c r="A943" s="43">
        <v>40115</v>
      </c>
      <c r="D943">
        <v>0.25</v>
      </c>
    </row>
    <row r="944" spans="1:4" x14ac:dyDescent="0.2">
      <c r="A944" s="43">
        <v>40116</v>
      </c>
      <c r="D944">
        <v>0.25</v>
      </c>
    </row>
    <row r="945" spans="1:5" x14ac:dyDescent="0.2">
      <c r="A945" s="43">
        <v>40117</v>
      </c>
      <c r="D945">
        <v>0.25</v>
      </c>
    </row>
    <row r="946" spans="1:5" x14ac:dyDescent="0.2">
      <c r="A946" s="43">
        <v>40118</v>
      </c>
      <c r="B946">
        <v>95.084000000000003</v>
      </c>
      <c r="C946">
        <v>95.977999999999994</v>
      </c>
      <c r="D946">
        <v>0.25</v>
      </c>
      <c r="E946">
        <v>220.666</v>
      </c>
    </row>
    <row r="947" spans="1:5" x14ac:dyDescent="0.2">
      <c r="A947" s="43">
        <v>40119</v>
      </c>
      <c r="D947">
        <v>0.25</v>
      </c>
    </row>
    <row r="948" spans="1:5" x14ac:dyDescent="0.2">
      <c r="A948" s="43">
        <v>40120</v>
      </c>
      <c r="D948">
        <v>0.25</v>
      </c>
    </row>
    <row r="949" spans="1:5" x14ac:dyDescent="0.2">
      <c r="A949" s="43">
        <v>40121</v>
      </c>
      <c r="D949">
        <v>0.25</v>
      </c>
    </row>
    <row r="950" spans="1:5" x14ac:dyDescent="0.2">
      <c r="A950" s="43">
        <v>40122</v>
      </c>
      <c r="D950">
        <v>0.25</v>
      </c>
    </row>
    <row r="951" spans="1:5" x14ac:dyDescent="0.2">
      <c r="A951" s="43">
        <v>40123</v>
      </c>
      <c r="D951">
        <v>0.25</v>
      </c>
    </row>
    <row r="952" spans="1:5" x14ac:dyDescent="0.2">
      <c r="A952" s="43">
        <v>40124</v>
      </c>
      <c r="D952">
        <v>0.25</v>
      </c>
    </row>
    <row r="953" spans="1:5" x14ac:dyDescent="0.2">
      <c r="A953" s="43">
        <v>40125</v>
      </c>
      <c r="D953">
        <v>0.25</v>
      </c>
    </row>
    <row r="954" spans="1:5" x14ac:dyDescent="0.2">
      <c r="A954" s="43">
        <v>40126</v>
      </c>
      <c r="D954">
        <v>0.25</v>
      </c>
    </row>
    <row r="955" spans="1:5" x14ac:dyDescent="0.2">
      <c r="A955" s="43">
        <v>40127</v>
      </c>
      <c r="D955">
        <v>0.25</v>
      </c>
    </row>
    <row r="956" spans="1:5" x14ac:dyDescent="0.2">
      <c r="A956" s="43">
        <v>40128</v>
      </c>
      <c r="D956">
        <v>0.25</v>
      </c>
    </row>
    <row r="957" spans="1:5" x14ac:dyDescent="0.2">
      <c r="A957" s="43">
        <v>40129</v>
      </c>
      <c r="D957">
        <v>0.25</v>
      </c>
    </row>
    <row r="958" spans="1:5" x14ac:dyDescent="0.2">
      <c r="A958" s="43">
        <v>40130</v>
      </c>
      <c r="D958">
        <v>0.25</v>
      </c>
    </row>
    <row r="959" spans="1:5" x14ac:dyDescent="0.2">
      <c r="A959" s="43">
        <v>40131</v>
      </c>
      <c r="D959">
        <v>0.25</v>
      </c>
    </row>
    <row r="960" spans="1:5" x14ac:dyDescent="0.2">
      <c r="A960" s="43">
        <v>40132</v>
      </c>
      <c r="D960">
        <v>0.25</v>
      </c>
    </row>
    <row r="961" spans="1:5" x14ac:dyDescent="0.2">
      <c r="A961" s="43">
        <v>40133</v>
      </c>
      <c r="D961">
        <v>0.25</v>
      </c>
    </row>
    <row r="962" spans="1:5" x14ac:dyDescent="0.2">
      <c r="A962" s="43">
        <v>40134</v>
      </c>
      <c r="D962">
        <v>0.25</v>
      </c>
    </row>
    <row r="963" spans="1:5" x14ac:dyDescent="0.2">
      <c r="A963" s="43">
        <v>40135</v>
      </c>
      <c r="D963">
        <v>0.25</v>
      </c>
    </row>
    <row r="964" spans="1:5" x14ac:dyDescent="0.2">
      <c r="A964" s="43">
        <v>40136</v>
      </c>
      <c r="D964">
        <v>0.25</v>
      </c>
    </row>
    <row r="965" spans="1:5" x14ac:dyDescent="0.2">
      <c r="A965" s="43">
        <v>40137</v>
      </c>
      <c r="D965">
        <v>0.25</v>
      </c>
    </row>
    <row r="966" spans="1:5" x14ac:dyDescent="0.2">
      <c r="A966" s="43">
        <v>40138</v>
      </c>
      <c r="D966">
        <v>0.25</v>
      </c>
    </row>
    <row r="967" spans="1:5" x14ac:dyDescent="0.2">
      <c r="A967" s="43">
        <v>40139</v>
      </c>
      <c r="D967">
        <v>0.25</v>
      </c>
    </row>
    <row r="968" spans="1:5" x14ac:dyDescent="0.2">
      <c r="A968" s="43">
        <v>40140</v>
      </c>
      <c r="D968">
        <v>0.25</v>
      </c>
    </row>
    <row r="969" spans="1:5" x14ac:dyDescent="0.2">
      <c r="A969" s="43">
        <v>40141</v>
      </c>
      <c r="D969">
        <v>0.25</v>
      </c>
    </row>
    <row r="970" spans="1:5" x14ac:dyDescent="0.2">
      <c r="A970" s="43">
        <v>40142</v>
      </c>
      <c r="D970">
        <v>0.25</v>
      </c>
    </row>
    <row r="971" spans="1:5" x14ac:dyDescent="0.2">
      <c r="A971" s="43">
        <v>40143</v>
      </c>
      <c r="D971">
        <v>0.25</v>
      </c>
    </row>
    <row r="972" spans="1:5" x14ac:dyDescent="0.2">
      <c r="A972" s="43">
        <v>40144</v>
      </c>
      <c r="D972">
        <v>0.25</v>
      </c>
    </row>
    <row r="973" spans="1:5" x14ac:dyDescent="0.2">
      <c r="A973" s="43">
        <v>40145</v>
      </c>
      <c r="D973">
        <v>0.25</v>
      </c>
    </row>
    <row r="974" spans="1:5" x14ac:dyDescent="0.2">
      <c r="A974" s="43">
        <v>40146</v>
      </c>
      <c r="D974">
        <v>0.25</v>
      </c>
    </row>
    <row r="975" spans="1:5" x14ac:dyDescent="0.2">
      <c r="A975" s="43">
        <v>40147</v>
      </c>
      <c r="D975">
        <v>0.25</v>
      </c>
    </row>
    <row r="976" spans="1:5" x14ac:dyDescent="0.2">
      <c r="A976" s="43">
        <v>40148</v>
      </c>
      <c r="B976">
        <v>95.14</v>
      </c>
      <c r="C976">
        <v>96.06</v>
      </c>
      <c r="D976">
        <v>0.25</v>
      </c>
      <c r="E976">
        <v>220.881</v>
      </c>
    </row>
    <row r="977" spans="1:4" x14ac:dyDescent="0.2">
      <c r="A977" s="43">
        <v>40149</v>
      </c>
      <c r="D977">
        <v>0.25</v>
      </c>
    </row>
    <row r="978" spans="1:4" x14ac:dyDescent="0.2">
      <c r="A978" s="43">
        <v>40150</v>
      </c>
      <c r="D978">
        <v>0.25</v>
      </c>
    </row>
    <row r="979" spans="1:4" x14ac:dyDescent="0.2">
      <c r="A979" s="43">
        <v>40151</v>
      </c>
      <c r="D979">
        <v>0.25</v>
      </c>
    </row>
    <row r="980" spans="1:4" x14ac:dyDescent="0.2">
      <c r="A980" s="43">
        <v>40152</v>
      </c>
      <c r="D980">
        <v>0.25</v>
      </c>
    </row>
    <row r="981" spans="1:4" x14ac:dyDescent="0.2">
      <c r="A981" s="43">
        <v>40153</v>
      </c>
      <c r="D981">
        <v>0.25</v>
      </c>
    </row>
    <row r="982" spans="1:4" x14ac:dyDescent="0.2">
      <c r="A982" s="43">
        <v>40154</v>
      </c>
      <c r="D982">
        <v>0.25</v>
      </c>
    </row>
    <row r="983" spans="1:4" x14ac:dyDescent="0.2">
      <c r="A983" s="43">
        <v>40155</v>
      </c>
      <c r="D983">
        <v>0.25</v>
      </c>
    </row>
    <row r="984" spans="1:4" x14ac:dyDescent="0.2">
      <c r="A984" s="43">
        <v>40156</v>
      </c>
      <c r="D984">
        <v>0.25</v>
      </c>
    </row>
    <row r="985" spans="1:4" x14ac:dyDescent="0.2">
      <c r="A985" s="43">
        <v>40157</v>
      </c>
      <c r="D985">
        <v>0.25</v>
      </c>
    </row>
    <row r="986" spans="1:4" x14ac:dyDescent="0.2">
      <c r="A986" s="43">
        <v>40158</v>
      </c>
      <c r="D986">
        <v>0.25</v>
      </c>
    </row>
    <row r="987" spans="1:4" x14ac:dyDescent="0.2">
      <c r="A987" s="43">
        <v>40159</v>
      </c>
      <c r="D987">
        <v>0.25</v>
      </c>
    </row>
    <row r="988" spans="1:4" x14ac:dyDescent="0.2">
      <c r="A988" s="43">
        <v>40160</v>
      </c>
      <c r="D988">
        <v>0.25</v>
      </c>
    </row>
    <row r="989" spans="1:4" x14ac:dyDescent="0.2">
      <c r="A989" s="43">
        <v>40161</v>
      </c>
      <c r="D989">
        <v>0.25</v>
      </c>
    </row>
    <row r="990" spans="1:4" x14ac:dyDescent="0.2">
      <c r="A990" s="43">
        <v>40162</v>
      </c>
      <c r="D990">
        <v>0.25</v>
      </c>
    </row>
    <row r="991" spans="1:4" x14ac:dyDescent="0.2">
      <c r="A991" s="43">
        <v>40163</v>
      </c>
      <c r="D991">
        <v>0.25</v>
      </c>
    </row>
    <row r="992" spans="1:4" x14ac:dyDescent="0.2">
      <c r="A992" s="43">
        <v>40164</v>
      </c>
      <c r="D992">
        <v>0.25</v>
      </c>
    </row>
    <row r="993" spans="1:5" x14ac:dyDescent="0.2">
      <c r="A993" s="43">
        <v>40165</v>
      </c>
      <c r="D993">
        <v>0.25</v>
      </c>
    </row>
    <row r="994" spans="1:5" x14ac:dyDescent="0.2">
      <c r="A994" s="43">
        <v>40166</v>
      </c>
      <c r="D994">
        <v>0.25</v>
      </c>
    </row>
    <row r="995" spans="1:5" x14ac:dyDescent="0.2">
      <c r="A995" s="43">
        <v>40167</v>
      </c>
      <c r="D995">
        <v>0.25</v>
      </c>
    </row>
    <row r="996" spans="1:5" x14ac:dyDescent="0.2">
      <c r="A996" s="43">
        <v>40168</v>
      </c>
      <c r="D996">
        <v>0.25</v>
      </c>
    </row>
    <row r="997" spans="1:5" x14ac:dyDescent="0.2">
      <c r="A997" s="43">
        <v>40169</v>
      </c>
      <c r="D997">
        <v>0.25</v>
      </c>
    </row>
    <row r="998" spans="1:5" x14ac:dyDescent="0.2">
      <c r="A998" s="43">
        <v>40170</v>
      </c>
      <c r="D998">
        <v>0.25</v>
      </c>
    </row>
    <row r="999" spans="1:5" x14ac:dyDescent="0.2">
      <c r="A999" s="43">
        <v>40171</v>
      </c>
      <c r="D999">
        <v>0.25</v>
      </c>
    </row>
    <row r="1000" spans="1:5" x14ac:dyDescent="0.2">
      <c r="A1000" s="43">
        <v>40172</v>
      </c>
      <c r="D1000">
        <v>0.25</v>
      </c>
    </row>
    <row r="1001" spans="1:5" x14ac:dyDescent="0.2">
      <c r="A1001" s="43">
        <v>40173</v>
      </c>
      <c r="D1001">
        <v>0.25</v>
      </c>
    </row>
    <row r="1002" spans="1:5" x14ac:dyDescent="0.2">
      <c r="A1002" s="43">
        <v>40174</v>
      </c>
      <c r="D1002">
        <v>0.25</v>
      </c>
    </row>
    <row r="1003" spans="1:5" x14ac:dyDescent="0.2">
      <c r="A1003" s="43">
        <v>40175</v>
      </c>
      <c r="D1003">
        <v>0.25</v>
      </c>
    </row>
    <row r="1004" spans="1:5" x14ac:dyDescent="0.2">
      <c r="A1004" s="43">
        <v>40176</v>
      </c>
      <c r="D1004">
        <v>0.25</v>
      </c>
    </row>
    <row r="1005" spans="1:5" x14ac:dyDescent="0.2">
      <c r="A1005" s="43">
        <v>40177</v>
      </c>
      <c r="D1005">
        <v>0.25</v>
      </c>
    </row>
    <row r="1006" spans="1:5" x14ac:dyDescent="0.2">
      <c r="A1006" s="43">
        <v>40178</v>
      </c>
      <c r="D1006">
        <v>0.25</v>
      </c>
    </row>
    <row r="1007" spans="1:5" x14ac:dyDescent="0.2">
      <c r="A1007" s="43">
        <v>40179</v>
      </c>
      <c r="B1007">
        <v>95.347999999999999</v>
      </c>
      <c r="C1007">
        <v>96.200999999999993</v>
      </c>
      <c r="D1007">
        <v>0.25</v>
      </c>
      <c r="E1007">
        <v>220.63300000000001</v>
      </c>
    </row>
    <row r="1008" spans="1:5" x14ac:dyDescent="0.2">
      <c r="A1008" s="43">
        <v>40180</v>
      </c>
      <c r="D1008">
        <v>0.25</v>
      </c>
    </row>
    <row r="1009" spans="1:4" x14ac:dyDescent="0.2">
      <c r="A1009" s="43">
        <v>40181</v>
      </c>
      <c r="D1009">
        <v>0.25</v>
      </c>
    </row>
    <row r="1010" spans="1:4" x14ac:dyDescent="0.2">
      <c r="A1010" s="43">
        <v>40182</v>
      </c>
      <c r="D1010">
        <v>0.25</v>
      </c>
    </row>
    <row r="1011" spans="1:4" x14ac:dyDescent="0.2">
      <c r="A1011" s="43">
        <v>40183</v>
      </c>
      <c r="D1011">
        <v>0.25</v>
      </c>
    </row>
    <row r="1012" spans="1:4" x14ac:dyDescent="0.2">
      <c r="A1012" s="43">
        <v>40184</v>
      </c>
      <c r="D1012">
        <v>0.25</v>
      </c>
    </row>
    <row r="1013" spans="1:4" x14ac:dyDescent="0.2">
      <c r="A1013" s="43">
        <v>40185</v>
      </c>
      <c r="D1013">
        <v>0.25</v>
      </c>
    </row>
    <row r="1014" spans="1:4" x14ac:dyDescent="0.2">
      <c r="A1014" s="43">
        <v>40186</v>
      </c>
      <c r="D1014">
        <v>0.25</v>
      </c>
    </row>
    <row r="1015" spans="1:4" x14ac:dyDescent="0.2">
      <c r="A1015" s="43">
        <v>40187</v>
      </c>
      <c r="D1015">
        <v>0.25</v>
      </c>
    </row>
    <row r="1016" spans="1:4" x14ac:dyDescent="0.2">
      <c r="A1016" s="43">
        <v>40188</v>
      </c>
      <c r="D1016">
        <v>0.25</v>
      </c>
    </row>
    <row r="1017" spans="1:4" x14ac:dyDescent="0.2">
      <c r="A1017" s="43">
        <v>40189</v>
      </c>
      <c r="D1017">
        <v>0.25</v>
      </c>
    </row>
    <row r="1018" spans="1:4" x14ac:dyDescent="0.2">
      <c r="A1018" s="43">
        <v>40190</v>
      </c>
      <c r="D1018">
        <v>0.25</v>
      </c>
    </row>
    <row r="1019" spans="1:4" x14ac:dyDescent="0.2">
      <c r="A1019" s="43">
        <v>40191</v>
      </c>
      <c r="D1019">
        <v>0.25</v>
      </c>
    </row>
    <row r="1020" spans="1:4" x14ac:dyDescent="0.2">
      <c r="A1020" s="43">
        <v>40192</v>
      </c>
      <c r="D1020">
        <v>0.25</v>
      </c>
    </row>
    <row r="1021" spans="1:4" x14ac:dyDescent="0.2">
      <c r="A1021" s="43">
        <v>40193</v>
      </c>
      <c r="D1021">
        <v>0.25</v>
      </c>
    </row>
    <row r="1022" spans="1:4" x14ac:dyDescent="0.2">
      <c r="A1022" s="43">
        <v>40194</v>
      </c>
      <c r="D1022">
        <v>0.25</v>
      </c>
    </row>
    <row r="1023" spans="1:4" x14ac:dyDescent="0.2">
      <c r="A1023" s="43">
        <v>40195</v>
      </c>
      <c r="D1023">
        <v>0.25</v>
      </c>
    </row>
    <row r="1024" spans="1:4" x14ac:dyDescent="0.2">
      <c r="A1024" s="43">
        <v>40196</v>
      </c>
      <c r="D1024">
        <v>0.25</v>
      </c>
    </row>
    <row r="1025" spans="1:5" x14ac:dyDescent="0.2">
      <c r="A1025" s="43">
        <v>40197</v>
      </c>
      <c r="D1025">
        <v>0.25</v>
      </c>
    </row>
    <row r="1026" spans="1:5" x14ac:dyDescent="0.2">
      <c r="A1026" s="43">
        <v>40198</v>
      </c>
      <c r="D1026">
        <v>0.25</v>
      </c>
    </row>
    <row r="1027" spans="1:5" x14ac:dyDescent="0.2">
      <c r="A1027" s="43">
        <v>40199</v>
      </c>
      <c r="D1027">
        <v>0.25</v>
      </c>
    </row>
    <row r="1028" spans="1:5" x14ac:dyDescent="0.2">
      <c r="A1028" s="43">
        <v>40200</v>
      </c>
      <c r="D1028">
        <v>0.25</v>
      </c>
    </row>
    <row r="1029" spans="1:5" x14ac:dyDescent="0.2">
      <c r="A1029" s="43">
        <v>40201</v>
      </c>
      <c r="D1029">
        <v>0.25</v>
      </c>
    </row>
    <row r="1030" spans="1:5" x14ac:dyDescent="0.2">
      <c r="A1030" s="43">
        <v>40202</v>
      </c>
      <c r="D1030">
        <v>0.25</v>
      </c>
    </row>
    <row r="1031" spans="1:5" x14ac:dyDescent="0.2">
      <c r="A1031" s="43">
        <v>40203</v>
      </c>
      <c r="D1031">
        <v>0.25</v>
      </c>
    </row>
    <row r="1032" spans="1:5" x14ac:dyDescent="0.2">
      <c r="A1032" s="43">
        <v>40204</v>
      </c>
      <c r="D1032">
        <v>0.25</v>
      </c>
    </row>
    <row r="1033" spans="1:5" x14ac:dyDescent="0.2">
      <c r="A1033" s="43">
        <v>40205</v>
      </c>
      <c r="D1033">
        <v>0.25</v>
      </c>
    </row>
    <row r="1034" spans="1:5" x14ac:dyDescent="0.2">
      <c r="A1034" s="43">
        <v>40206</v>
      </c>
      <c r="D1034">
        <v>0.25</v>
      </c>
    </row>
    <row r="1035" spans="1:5" x14ac:dyDescent="0.2">
      <c r="A1035" s="43">
        <v>40207</v>
      </c>
      <c r="D1035">
        <v>0.25</v>
      </c>
    </row>
    <row r="1036" spans="1:5" x14ac:dyDescent="0.2">
      <c r="A1036" s="43">
        <v>40208</v>
      </c>
      <c r="D1036">
        <v>0.25</v>
      </c>
    </row>
    <row r="1037" spans="1:5" x14ac:dyDescent="0.2">
      <c r="A1037" s="43">
        <v>40209</v>
      </c>
      <c r="D1037">
        <v>0.25</v>
      </c>
    </row>
    <row r="1038" spans="1:5" x14ac:dyDescent="0.2">
      <c r="A1038" s="43">
        <v>40210</v>
      </c>
      <c r="B1038">
        <v>95.344999999999999</v>
      </c>
      <c r="C1038">
        <v>96.284999999999997</v>
      </c>
      <c r="D1038">
        <v>0.25</v>
      </c>
      <c r="E1038">
        <v>220.73099999999999</v>
      </c>
    </row>
    <row r="1039" spans="1:5" x14ac:dyDescent="0.2">
      <c r="A1039" s="43">
        <v>40211</v>
      </c>
      <c r="D1039">
        <v>0.25</v>
      </c>
    </row>
    <row r="1040" spans="1:5" x14ac:dyDescent="0.2">
      <c r="A1040" s="43">
        <v>40212</v>
      </c>
      <c r="D1040">
        <v>0.25</v>
      </c>
    </row>
    <row r="1041" spans="1:4" x14ac:dyDescent="0.2">
      <c r="A1041" s="43">
        <v>40213</v>
      </c>
      <c r="D1041">
        <v>0.25</v>
      </c>
    </row>
    <row r="1042" spans="1:4" x14ac:dyDescent="0.2">
      <c r="A1042" s="43">
        <v>40214</v>
      </c>
      <c r="D1042">
        <v>0.25</v>
      </c>
    </row>
    <row r="1043" spans="1:4" x14ac:dyDescent="0.2">
      <c r="A1043" s="43">
        <v>40215</v>
      </c>
      <c r="D1043">
        <v>0.25</v>
      </c>
    </row>
    <row r="1044" spans="1:4" x14ac:dyDescent="0.2">
      <c r="A1044" s="43">
        <v>40216</v>
      </c>
      <c r="D1044">
        <v>0.25</v>
      </c>
    </row>
    <row r="1045" spans="1:4" x14ac:dyDescent="0.2">
      <c r="A1045" s="43">
        <v>40217</v>
      </c>
      <c r="D1045">
        <v>0.25</v>
      </c>
    </row>
    <row r="1046" spans="1:4" x14ac:dyDescent="0.2">
      <c r="A1046" s="43">
        <v>40218</v>
      </c>
      <c r="D1046">
        <v>0.25</v>
      </c>
    </row>
    <row r="1047" spans="1:4" x14ac:dyDescent="0.2">
      <c r="A1047" s="43">
        <v>40219</v>
      </c>
      <c r="D1047">
        <v>0.25</v>
      </c>
    </row>
    <row r="1048" spans="1:4" x14ac:dyDescent="0.2">
      <c r="A1048" s="43">
        <v>40220</v>
      </c>
      <c r="D1048">
        <v>0.25</v>
      </c>
    </row>
    <row r="1049" spans="1:4" x14ac:dyDescent="0.2">
      <c r="A1049" s="43">
        <v>40221</v>
      </c>
      <c r="D1049">
        <v>0.25</v>
      </c>
    </row>
    <row r="1050" spans="1:4" x14ac:dyDescent="0.2">
      <c r="A1050" s="43">
        <v>40222</v>
      </c>
      <c r="D1050">
        <v>0.25</v>
      </c>
    </row>
    <row r="1051" spans="1:4" x14ac:dyDescent="0.2">
      <c r="A1051" s="43">
        <v>40223</v>
      </c>
      <c r="D1051">
        <v>0.25</v>
      </c>
    </row>
    <row r="1052" spans="1:4" x14ac:dyDescent="0.2">
      <c r="A1052" s="43">
        <v>40224</v>
      </c>
      <c r="D1052">
        <v>0.25</v>
      </c>
    </row>
    <row r="1053" spans="1:4" x14ac:dyDescent="0.2">
      <c r="A1053" s="43">
        <v>40225</v>
      </c>
      <c r="D1053">
        <v>0.25</v>
      </c>
    </row>
    <row r="1054" spans="1:4" x14ac:dyDescent="0.2">
      <c r="A1054" s="43">
        <v>40226</v>
      </c>
      <c r="D1054">
        <v>0.25</v>
      </c>
    </row>
    <row r="1055" spans="1:4" x14ac:dyDescent="0.2">
      <c r="A1055" s="43">
        <v>40227</v>
      </c>
      <c r="D1055">
        <v>0.25</v>
      </c>
    </row>
    <row r="1056" spans="1:4" x14ac:dyDescent="0.2">
      <c r="A1056" s="43">
        <v>40228</v>
      </c>
      <c r="D1056">
        <v>0.25</v>
      </c>
    </row>
    <row r="1057" spans="1:5" x14ac:dyDescent="0.2">
      <c r="A1057" s="43">
        <v>40229</v>
      </c>
      <c r="D1057">
        <v>0.25</v>
      </c>
    </row>
    <row r="1058" spans="1:5" x14ac:dyDescent="0.2">
      <c r="A1058" s="43">
        <v>40230</v>
      </c>
      <c r="D1058">
        <v>0.25</v>
      </c>
    </row>
    <row r="1059" spans="1:5" x14ac:dyDescent="0.2">
      <c r="A1059" s="43">
        <v>40231</v>
      </c>
      <c r="D1059">
        <v>0.25</v>
      </c>
    </row>
    <row r="1060" spans="1:5" x14ac:dyDescent="0.2">
      <c r="A1060" s="43">
        <v>40232</v>
      </c>
      <c r="D1060">
        <v>0.25</v>
      </c>
    </row>
    <row r="1061" spans="1:5" x14ac:dyDescent="0.2">
      <c r="A1061" s="43">
        <v>40233</v>
      </c>
      <c r="D1061">
        <v>0.25</v>
      </c>
    </row>
    <row r="1062" spans="1:5" x14ac:dyDescent="0.2">
      <c r="A1062" s="43">
        <v>40234</v>
      </c>
      <c r="D1062">
        <v>0.25</v>
      </c>
    </row>
    <row r="1063" spans="1:5" x14ac:dyDescent="0.2">
      <c r="A1063" s="43">
        <v>40235</v>
      </c>
      <c r="D1063">
        <v>0.25</v>
      </c>
    </row>
    <row r="1064" spans="1:5" x14ac:dyDescent="0.2">
      <c r="A1064" s="43">
        <v>40236</v>
      </c>
      <c r="D1064">
        <v>0.25</v>
      </c>
    </row>
    <row r="1065" spans="1:5" x14ac:dyDescent="0.2">
      <c r="A1065" s="43">
        <v>40237</v>
      </c>
      <c r="D1065">
        <v>0.25</v>
      </c>
    </row>
    <row r="1066" spans="1:5" x14ac:dyDescent="0.2">
      <c r="A1066" s="43">
        <v>40238</v>
      </c>
      <c r="B1066">
        <v>95.48</v>
      </c>
      <c r="C1066">
        <v>96.429000000000002</v>
      </c>
      <c r="D1066">
        <v>0.25</v>
      </c>
      <c r="E1066">
        <v>220.78299999999999</v>
      </c>
    </row>
    <row r="1067" spans="1:5" x14ac:dyDescent="0.2">
      <c r="A1067" s="43">
        <v>40239</v>
      </c>
      <c r="D1067">
        <v>0.25</v>
      </c>
    </row>
    <row r="1068" spans="1:5" x14ac:dyDescent="0.2">
      <c r="A1068" s="43">
        <v>40240</v>
      </c>
      <c r="D1068">
        <v>0.25</v>
      </c>
    </row>
    <row r="1069" spans="1:5" x14ac:dyDescent="0.2">
      <c r="A1069" s="43">
        <v>40241</v>
      </c>
      <c r="D1069">
        <v>0.25</v>
      </c>
    </row>
    <row r="1070" spans="1:5" x14ac:dyDescent="0.2">
      <c r="A1070" s="43">
        <v>40242</v>
      </c>
      <c r="D1070">
        <v>0.25</v>
      </c>
    </row>
    <row r="1071" spans="1:5" x14ac:dyDescent="0.2">
      <c r="A1071" s="43">
        <v>40243</v>
      </c>
      <c r="D1071">
        <v>0.25</v>
      </c>
    </row>
    <row r="1072" spans="1:5" x14ac:dyDescent="0.2">
      <c r="A1072" s="43">
        <v>40244</v>
      </c>
      <c r="D1072">
        <v>0.25</v>
      </c>
    </row>
    <row r="1073" spans="1:4" x14ac:dyDescent="0.2">
      <c r="A1073" s="43">
        <v>40245</v>
      </c>
      <c r="D1073">
        <v>0.25</v>
      </c>
    </row>
    <row r="1074" spans="1:4" x14ac:dyDescent="0.2">
      <c r="A1074" s="43">
        <v>40246</v>
      </c>
      <c r="D1074">
        <v>0.25</v>
      </c>
    </row>
    <row r="1075" spans="1:4" x14ac:dyDescent="0.2">
      <c r="A1075" s="43">
        <v>40247</v>
      </c>
      <c r="D1075">
        <v>0.25</v>
      </c>
    </row>
    <row r="1076" spans="1:4" x14ac:dyDescent="0.2">
      <c r="A1076" s="43">
        <v>40248</v>
      </c>
      <c r="D1076">
        <v>0.25</v>
      </c>
    </row>
    <row r="1077" spans="1:4" x14ac:dyDescent="0.2">
      <c r="A1077" s="43">
        <v>40249</v>
      </c>
      <c r="D1077">
        <v>0.25</v>
      </c>
    </row>
    <row r="1078" spans="1:4" x14ac:dyDescent="0.2">
      <c r="A1078" s="43">
        <v>40250</v>
      </c>
      <c r="D1078">
        <v>0.25</v>
      </c>
    </row>
    <row r="1079" spans="1:4" x14ac:dyDescent="0.2">
      <c r="A1079" s="43">
        <v>40251</v>
      </c>
      <c r="D1079">
        <v>0.25</v>
      </c>
    </row>
    <row r="1080" spans="1:4" x14ac:dyDescent="0.2">
      <c r="A1080" s="43">
        <v>40252</v>
      </c>
      <c r="D1080">
        <v>0.25</v>
      </c>
    </row>
    <row r="1081" spans="1:4" x14ac:dyDescent="0.2">
      <c r="A1081" s="43">
        <v>40253</v>
      </c>
      <c r="D1081">
        <v>0.25</v>
      </c>
    </row>
    <row r="1082" spans="1:4" x14ac:dyDescent="0.2">
      <c r="A1082" s="43">
        <v>40254</v>
      </c>
      <c r="D1082">
        <v>0.25</v>
      </c>
    </row>
    <row r="1083" spans="1:4" x14ac:dyDescent="0.2">
      <c r="A1083" s="43">
        <v>40255</v>
      </c>
      <c r="D1083">
        <v>0.25</v>
      </c>
    </row>
    <row r="1084" spans="1:4" x14ac:dyDescent="0.2">
      <c r="A1084" s="43">
        <v>40256</v>
      </c>
      <c r="D1084">
        <v>0.25</v>
      </c>
    </row>
    <row r="1085" spans="1:4" x14ac:dyDescent="0.2">
      <c r="A1085" s="43">
        <v>40257</v>
      </c>
      <c r="D1085">
        <v>0.25</v>
      </c>
    </row>
    <row r="1086" spans="1:4" x14ac:dyDescent="0.2">
      <c r="A1086" s="43">
        <v>40258</v>
      </c>
      <c r="D1086">
        <v>0.25</v>
      </c>
    </row>
    <row r="1087" spans="1:4" x14ac:dyDescent="0.2">
      <c r="A1087" s="43">
        <v>40259</v>
      </c>
      <c r="D1087">
        <v>0.25</v>
      </c>
    </row>
    <row r="1088" spans="1:4" x14ac:dyDescent="0.2">
      <c r="A1088" s="43">
        <v>40260</v>
      </c>
      <c r="D1088">
        <v>0.25</v>
      </c>
    </row>
    <row r="1089" spans="1:5" x14ac:dyDescent="0.2">
      <c r="A1089" s="43">
        <v>40261</v>
      </c>
      <c r="D1089">
        <v>0.25</v>
      </c>
    </row>
    <row r="1090" spans="1:5" x14ac:dyDescent="0.2">
      <c r="A1090" s="43">
        <v>40262</v>
      </c>
      <c r="D1090">
        <v>0.25</v>
      </c>
    </row>
    <row r="1091" spans="1:5" x14ac:dyDescent="0.2">
      <c r="A1091" s="43">
        <v>40263</v>
      </c>
      <c r="D1091">
        <v>0.25</v>
      </c>
    </row>
    <row r="1092" spans="1:5" x14ac:dyDescent="0.2">
      <c r="A1092" s="43">
        <v>40264</v>
      </c>
      <c r="D1092">
        <v>0.25</v>
      </c>
    </row>
    <row r="1093" spans="1:5" x14ac:dyDescent="0.2">
      <c r="A1093" s="43">
        <v>40265</v>
      </c>
      <c r="D1093">
        <v>0.25</v>
      </c>
    </row>
    <row r="1094" spans="1:5" x14ac:dyDescent="0.2">
      <c r="A1094" s="43">
        <v>40266</v>
      </c>
      <c r="D1094">
        <v>0.25</v>
      </c>
    </row>
    <row r="1095" spans="1:5" x14ac:dyDescent="0.2">
      <c r="A1095" s="43">
        <v>40267</v>
      </c>
      <c r="D1095">
        <v>0.25</v>
      </c>
    </row>
    <row r="1096" spans="1:5" x14ac:dyDescent="0.2">
      <c r="A1096" s="43">
        <v>40268</v>
      </c>
      <c r="D1096">
        <v>0.25</v>
      </c>
    </row>
    <row r="1097" spans="1:5" x14ac:dyDescent="0.2">
      <c r="A1097" s="43">
        <v>40269</v>
      </c>
      <c r="B1097">
        <v>95.531999999999996</v>
      </c>
      <c r="C1097">
        <v>96.477999999999994</v>
      </c>
      <c r="D1097">
        <v>0.25</v>
      </c>
      <c r="E1097">
        <v>220.822</v>
      </c>
    </row>
    <row r="1098" spans="1:5" x14ac:dyDescent="0.2">
      <c r="A1098" s="43">
        <v>40270</v>
      </c>
      <c r="D1098">
        <v>0.25</v>
      </c>
    </row>
    <row r="1099" spans="1:5" x14ac:dyDescent="0.2">
      <c r="A1099" s="43">
        <v>40271</v>
      </c>
      <c r="D1099">
        <v>0.25</v>
      </c>
    </row>
    <row r="1100" spans="1:5" x14ac:dyDescent="0.2">
      <c r="A1100" s="43">
        <v>40272</v>
      </c>
      <c r="D1100">
        <v>0.25</v>
      </c>
    </row>
    <row r="1101" spans="1:5" x14ac:dyDescent="0.2">
      <c r="A1101" s="43">
        <v>40273</v>
      </c>
      <c r="D1101">
        <v>0.25</v>
      </c>
    </row>
    <row r="1102" spans="1:5" x14ac:dyDescent="0.2">
      <c r="A1102" s="43">
        <v>40274</v>
      </c>
      <c r="D1102">
        <v>0.25</v>
      </c>
    </row>
    <row r="1103" spans="1:5" x14ac:dyDescent="0.2">
      <c r="A1103" s="43">
        <v>40275</v>
      </c>
      <c r="D1103">
        <v>0.25</v>
      </c>
    </row>
    <row r="1104" spans="1:5" x14ac:dyDescent="0.2">
      <c r="A1104" s="43">
        <v>40276</v>
      </c>
      <c r="D1104">
        <v>0.25</v>
      </c>
    </row>
    <row r="1105" spans="1:4" x14ac:dyDescent="0.2">
      <c r="A1105" s="43">
        <v>40277</v>
      </c>
      <c r="D1105">
        <v>0.25</v>
      </c>
    </row>
    <row r="1106" spans="1:4" x14ac:dyDescent="0.2">
      <c r="A1106" s="43">
        <v>40278</v>
      </c>
      <c r="D1106">
        <v>0.25</v>
      </c>
    </row>
    <row r="1107" spans="1:4" x14ac:dyDescent="0.2">
      <c r="A1107" s="43">
        <v>40279</v>
      </c>
      <c r="D1107">
        <v>0.25</v>
      </c>
    </row>
    <row r="1108" spans="1:4" x14ac:dyDescent="0.2">
      <c r="A1108" s="43">
        <v>40280</v>
      </c>
      <c r="D1108">
        <v>0.25</v>
      </c>
    </row>
    <row r="1109" spans="1:4" x14ac:dyDescent="0.2">
      <c r="A1109" s="43">
        <v>40281</v>
      </c>
      <c r="D1109">
        <v>0.25</v>
      </c>
    </row>
    <row r="1110" spans="1:4" x14ac:dyDescent="0.2">
      <c r="A1110" s="43">
        <v>40282</v>
      </c>
      <c r="D1110">
        <v>0.25</v>
      </c>
    </row>
    <row r="1111" spans="1:4" x14ac:dyDescent="0.2">
      <c r="A1111" s="43">
        <v>40283</v>
      </c>
      <c r="D1111">
        <v>0.25</v>
      </c>
    </row>
    <row r="1112" spans="1:4" x14ac:dyDescent="0.2">
      <c r="A1112" s="43">
        <v>40284</v>
      </c>
      <c r="D1112">
        <v>0.25</v>
      </c>
    </row>
    <row r="1113" spans="1:4" x14ac:dyDescent="0.2">
      <c r="A1113" s="43">
        <v>40285</v>
      </c>
      <c r="D1113">
        <v>0.25</v>
      </c>
    </row>
    <row r="1114" spans="1:4" x14ac:dyDescent="0.2">
      <c r="A1114" s="43">
        <v>40286</v>
      </c>
      <c r="D1114">
        <v>0.25</v>
      </c>
    </row>
    <row r="1115" spans="1:4" x14ac:dyDescent="0.2">
      <c r="A1115" s="43">
        <v>40287</v>
      </c>
      <c r="D1115">
        <v>0.25</v>
      </c>
    </row>
    <row r="1116" spans="1:4" x14ac:dyDescent="0.2">
      <c r="A1116" s="43">
        <v>40288</v>
      </c>
      <c r="D1116">
        <v>0.25</v>
      </c>
    </row>
    <row r="1117" spans="1:4" x14ac:dyDescent="0.2">
      <c r="A1117" s="43">
        <v>40289</v>
      </c>
      <c r="D1117">
        <v>0.25</v>
      </c>
    </row>
    <row r="1118" spans="1:4" x14ac:dyDescent="0.2">
      <c r="A1118" s="43">
        <v>40290</v>
      </c>
      <c r="D1118">
        <v>0.25</v>
      </c>
    </row>
    <row r="1119" spans="1:4" x14ac:dyDescent="0.2">
      <c r="A1119" s="43">
        <v>40291</v>
      </c>
      <c r="D1119">
        <v>0.25</v>
      </c>
    </row>
    <row r="1120" spans="1:4" x14ac:dyDescent="0.2">
      <c r="A1120" s="43">
        <v>40292</v>
      </c>
      <c r="D1120">
        <v>0.25</v>
      </c>
    </row>
    <row r="1121" spans="1:5" x14ac:dyDescent="0.2">
      <c r="A1121" s="43">
        <v>40293</v>
      </c>
      <c r="D1121">
        <v>0.25</v>
      </c>
    </row>
    <row r="1122" spans="1:5" x14ac:dyDescent="0.2">
      <c r="A1122" s="43">
        <v>40294</v>
      </c>
      <c r="D1122">
        <v>0.25</v>
      </c>
    </row>
    <row r="1123" spans="1:5" x14ac:dyDescent="0.2">
      <c r="A1123" s="43">
        <v>40295</v>
      </c>
      <c r="D1123">
        <v>0.25</v>
      </c>
    </row>
    <row r="1124" spans="1:5" x14ac:dyDescent="0.2">
      <c r="A1124" s="43">
        <v>40296</v>
      </c>
      <c r="D1124">
        <v>0.25</v>
      </c>
    </row>
    <row r="1125" spans="1:5" x14ac:dyDescent="0.2">
      <c r="A1125" s="43">
        <v>40297</v>
      </c>
      <c r="D1125">
        <v>0.25</v>
      </c>
    </row>
    <row r="1126" spans="1:5" x14ac:dyDescent="0.2">
      <c r="A1126" s="43">
        <v>40298</v>
      </c>
      <c r="D1126">
        <v>0.25</v>
      </c>
    </row>
    <row r="1127" spans="1:5" x14ac:dyDescent="0.2">
      <c r="A1127" s="43">
        <v>40299</v>
      </c>
      <c r="B1127">
        <v>95.561999999999998</v>
      </c>
      <c r="C1127">
        <v>96.584999999999994</v>
      </c>
      <c r="D1127">
        <v>0.25</v>
      </c>
      <c r="E1127">
        <v>220.96199999999999</v>
      </c>
    </row>
    <row r="1128" spans="1:5" x14ac:dyDescent="0.2">
      <c r="A1128" s="43">
        <v>40300</v>
      </c>
      <c r="D1128">
        <v>0.25</v>
      </c>
    </row>
    <row r="1129" spans="1:5" x14ac:dyDescent="0.2">
      <c r="A1129" s="43">
        <v>40301</v>
      </c>
      <c r="D1129">
        <v>0.25</v>
      </c>
    </row>
    <row r="1130" spans="1:5" x14ac:dyDescent="0.2">
      <c r="A1130" s="43">
        <v>40302</v>
      </c>
      <c r="D1130">
        <v>0.25</v>
      </c>
    </row>
    <row r="1131" spans="1:5" x14ac:dyDescent="0.2">
      <c r="A1131" s="43">
        <v>40303</v>
      </c>
      <c r="D1131">
        <v>0.25</v>
      </c>
    </row>
    <row r="1132" spans="1:5" x14ac:dyDescent="0.2">
      <c r="A1132" s="43">
        <v>40304</v>
      </c>
      <c r="D1132">
        <v>0.25</v>
      </c>
    </row>
    <row r="1133" spans="1:5" x14ac:dyDescent="0.2">
      <c r="A1133" s="43">
        <v>40305</v>
      </c>
      <c r="D1133">
        <v>0.25</v>
      </c>
    </row>
    <row r="1134" spans="1:5" x14ac:dyDescent="0.2">
      <c r="A1134" s="43">
        <v>40306</v>
      </c>
      <c r="D1134">
        <v>0.25</v>
      </c>
    </row>
    <row r="1135" spans="1:5" x14ac:dyDescent="0.2">
      <c r="A1135" s="43">
        <v>40307</v>
      </c>
      <c r="D1135">
        <v>0.25</v>
      </c>
    </row>
    <row r="1136" spans="1:5" x14ac:dyDescent="0.2">
      <c r="A1136" s="43">
        <v>40308</v>
      </c>
      <c r="D1136">
        <v>0.25</v>
      </c>
    </row>
    <row r="1137" spans="1:4" x14ac:dyDescent="0.2">
      <c r="A1137" s="43">
        <v>40309</v>
      </c>
      <c r="D1137">
        <v>0.25</v>
      </c>
    </row>
    <row r="1138" spans="1:4" x14ac:dyDescent="0.2">
      <c r="A1138" s="43">
        <v>40310</v>
      </c>
      <c r="D1138">
        <v>0.25</v>
      </c>
    </row>
    <row r="1139" spans="1:4" x14ac:dyDescent="0.2">
      <c r="A1139" s="43">
        <v>40311</v>
      </c>
      <c r="D1139">
        <v>0.25</v>
      </c>
    </row>
    <row r="1140" spans="1:4" x14ac:dyDescent="0.2">
      <c r="A1140" s="43">
        <v>40312</v>
      </c>
      <c r="D1140">
        <v>0.25</v>
      </c>
    </row>
    <row r="1141" spans="1:4" x14ac:dyDescent="0.2">
      <c r="A1141" s="43">
        <v>40313</v>
      </c>
      <c r="D1141">
        <v>0.25</v>
      </c>
    </row>
    <row r="1142" spans="1:4" x14ac:dyDescent="0.2">
      <c r="A1142" s="43">
        <v>40314</v>
      </c>
      <c r="D1142">
        <v>0.25</v>
      </c>
    </row>
    <row r="1143" spans="1:4" x14ac:dyDescent="0.2">
      <c r="A1143" s="43">
        <v>40315</v>
      </c>
      <c r="D1143">
        <v>0.25</v>
      </c>
    </row>
    <row r="1144" spans="1:4" x14ac:dyDescent="0.2">
      <c r="A1144" s="43">
        <v>40316</v>
      </c>
      <c r="D1144">
        <v>0.25</v>
      </c>
    </row>
    <row r="1145" spans="1:4" x14ac:dyDescent="0.2">
      <c r="A1145" s="43">
        <v>40317</v>
      </c>
      <c r="D1145">
        <v>0.25</v>
      </c>
    </row>
    <row r="1146" spans="1:4" x14ac:dyDescent="0.2">
      <c r="A1146" s="43">
        <v>40318</v>
      </c>
      <c r="D1146">
        <v>0.25</v>
      </c>
    </row>
    <row r="1147" spans="1:4" x14ac:dyDescent="0.2">
      <c r="A1147" s="43">
        <v>40319</v>
      </c>
      <c r="D1147">
        <v>0.25</v>
      </c>
    </row>
    <row r="1148" spans="1:4" x14ac:dyDescent="0.2">
      <c r="A1148" s="43">
        <v>40320</v>
      </c>
      <c r="D1148">
        <v>0.25</v>
      </c>
    </row>
    <row r="1149" spans="1:4" x14ac:dyDescent="0.2">
      <c r="A1149" s="43">
        <v>40321</v>
      </c>
      <c r="D1149">
        <v>0.25</v>
      </c>
    </row>
    <row r="1150" spans="1:4" x14ac:dyDescent="0.2">
      <c r="A1150" s="43">
        <v>40322</v>
      </c>
      <c r="D1150">
        <v>0.25</v>
      </c>
    </row>
    <row r="1151" spans="1:4" x14ac:dyDescent="0.2">
      <c r="A1151" s="43">
        <v>40323</v>
      </c>
      <c r="D1151">
        <v>0.25</v>
      </c>
    </row>
    <row r="1152" spans="1:4" x14ac:dyDescent="0.2">
      <c r="A1152" s="43">
        <v>40324</v>
      </c>
      <c r="D1152">
        <v>0.25</v>
      </c>
    </row>
    <row r="1153" spans="1:5" x14ac:dyDescent="0.2">
      <c r="A1153" s="43">
        <v>40325</v>
      </c>
      <c r="D1153">
        <v>0.25</v>
      </c>
    </row>
    <row r="1154" spans="1:5" x14ac:dyDescent="0.2">
      <c r="A1154" s="43">
        <v>40326</v>
      </c>
      <c r="D1154">
        <v>0.25</v>
      </c>
    </row>
    <row r="1155" spans="1:5" x14ac:dyDescent="0.2">
      <c r="A1155" s="43">
        <v>40327</v>
      </c>
      <c r="D1155">
        <v>0.25</v>
      </c>
    </row>
    <row r="1156" spans="1:5" x14ac:dyDescent="0.2">
      <c r="A1156" s="43">
        <v>40328</v>
      </c>
      <c r="D1156">
        <v>0.25</v>
      </c>
    </row>
    <row r="1157" spans="1:5" x14ac:dyDescent="0.2">
      <c r="A1157" s="43">
        <v>40329</v>
      </c>
      <c r="D1157">
        <v>0.25</v>
      </c>
    </row>
    <row r="1158" spans="1:5" x14ac:dyDescent="0.2">
      <c r="A1158" s="43">
        <v>40330</v>
      </c>
      <c r="B1158">
        <v>95.522000000000006</v>
      </c>
      <c r="C1158">
        <v>96.632000000000005</v>
      </c>
      <c r="D1158">
        <v>0.25</v>
      </c>
      <c r="E1158">
        <v>221.19399999999999</v>
      </c>
    </row>
    <row r="1159" spans="1:5" x14ac:dyDescent="0.2">
      <c r="A1159" s="43">
        <v>40331</v>
      </c>
      <c r="D1159">
        <v>0.25</v>
      </c>
    </row>
    <row r="1160" spans="1:5" x14ac:dyDescent="0.2">
      <c r="A1160" s="43">
        <v>40332</v>
      </c>
      <c r="D1160">
        <v>0.25</v>
      </c>
    </row>
    <row r="1161" spans="1:5" x14ac:dyDescent="0.2">
      <c r="A1161" s="43">
        <v>40333</v>
      </c>
      <c r="D1161">
        <v>0.25</v>
      </c>
    </row>
    <row r="1162" spans="1:5" x14ac:dyDescent="0.2">
      <c r="A1162" s="43">
        <v>40334</v>
      </c>
      <c r="D1162">
        <v>0.25</v>
      </c>
    </row>
    <row r="1163" spans="1:5" x14ac:dyDescent="0.2">
      <c r="A1163" s="43">
        <v>40335</v>
      </c>
      <c r="D1163">
        <v>0.25</v>
      </c>
    </row>
    <row r="1164" spans="1:5" x14ac:dyDescent="0.2">
      <c r="A1164" s="43">
        <v>40336</v>
      </c>
      <c r="D1164">
        <v>0.25</v>
      </c>
    </row>
    <row r="1165" spans="1:5" x14ac:dyDescent="0.2">
      <c r="A1165" s="43">
        <v>40337</v>
      </c>
      <c r="D1165">
        <v>0.25</v>
      </c>
    </row>
    <row r="1166" spans="1:5" x14ac:dyDescent="0.2">
      <c r="A1166" s="43">
        <v>40338</v>
      </c>
      <c r="D1166">
        <v>0.25</v>
      </c>
    </row>
    <row r="1167" spans="1:5" x14ac:dyDescent="0.2">
      <c r="A1167" s="43">
        <v>40339</v>
      </c>
      <c r="D1167">
        <v>0.25</v>
      </c>
    </row>
    <row r="1168" spans="1:5" x14ac:dyDescent="0.2">
      <c r="A1168" s="43">
        <v>40340</v>
      </c>
      <c r="D1168">
        <v>0.25</v>
      </c>
    </row>
    <row r="1169" spans="1:4" x14ac:dyDescent="0.2">
      <c r="A1169" s="43">
        <v>40341</v>
      </c>
      <c r="D1169">
        <v>0.25</v>
      </c>
    </row>
    <row r="1170" spans="1:4" x14ac:dyDescent="0.2">
      <c r="A1170" s="43">
        <v>40342</v>
      </c>
      <c r="D1170">
        <v>0.25</v>
      </c>
    </row>
    <row r="1171" spans="1:4" x14ac:dyDescent="0.2">
      <c r="A1171" s="43">
        <v>40343</v>
      </c>
      <c r="D1171">
        <v>0.25</v>
      </c>
    </row>
    <row r="1172" spans="1:4" x14ac:dyDescent="0.2">
      <c r="A1172" s="43">
        <v>40344</v>
      </c>
      <c r="D1172">
        <v>0.25</v>
      </c>
    </row>
    <row r="1173" spans="1:4" x14ac:dyDescent="0.2">
      <c r="A1173" s="43">
        <v>40345</v>
      </c>
      <c r="D1173">
        <v>0.25</v>
      </c>
    </row>
    <row r="1174" spans="1:4" x14ac:dyDescent="0.2">
      <c r="A1174" s="43">
        <v>40346</v>
      </c>
      <c r="D1174">
        <v>0.25</v>
      </c>
    </row>
    <row r="1175" spans="1:4" x14ac:dyDescent="0.2">
      <c r="A1175" s="43">
        <v>40347</v>
      </c>
      <c r="D1175">
        <v>0.25</v>
      </c>
    </row>
    <row r="1176" spans="1:4" x14ac:dyDescent="0.2">
      <c r="A1176" s="43">
        <v>40348</v>
      </c>
      <c r="D1176">
        <v>0.25</v>
      </c>
    </row>
    <row r="1177" spans="1:4" x14ac:dyDescent="0.2">
      <c r="A1177" s="43">
        <v>40349</v>
      </c>
      <c r="D1177">
        <v>0.25</v>
      </c>
    </row>
    <row r="1178" spans="1:4" x14ac:dyDescent="0.2">
      <c r="A1178" s="43">
        <v>40350</v>
      </c>
      <c r="D1178">
        <v>0.25</v>
      </c>
    </row>
    <row r="1179" spans="1:4" x14ac:dyDescent="0.2">
      <c r="A1179" s="43">
        <v>40351</v>
      </c>
      <c r="D1179">
        <v>0.25</v>
      </c>
    </row>
    <row r="1180" spans="1:4" x14ac:dyDescent="0.2">
      <c r="A1180" s="43">
        <v>40352</v>
      </c>
      <c r="D1180">
        <v>0.25</v>
      </c>
    </row>
    <row r="1181" spans="1:4" x14ac:dyDescent="0.2">
      <c r="A1181" s="43">
        <v>40353</v>
      </c>
      <c r="D1181">
        <v>0.25</v>
      </c>
    </row>
    <row r="1182" spans="1:4" x14ac:dyDescent="0.2">
      <c r="A1182" s="43">
        <v>40354</v>
      </c>
      <c r="D1182">
        <v>0.25</v>
      </c>
    </row>
    <row r="1183" spans="1:4" x14ac:dyDescent="0.2">
      <c r="A1183" s="43">
        <v>40355</v>
      </c>
      <c r="D1183">
        <v>0.25</v>
      </c>
    </row>
    <row r="1184" spans="1:4" x14ac:dyDescent="0.2">
      <c r="A1184" s="43">
        <v>40356</v>
      </c>
      <c r="D1184">
        <v>0.25</v>
      </c>
    </row>
    <row r="1185" spans="1:5" x14ac:dyDescent="0.2">
      <c r="A1185" s="43">
        <v>40357</v>
      </c>
      <c r="D1185">
        <v>0.25</v>
      </c>
    </row>
    <row r="1186" spans="1:5" x14ac:dyDescent="0.2">
      <c r="A1186" s="43">
        <v>40358</v>
      </c>
      <c r="D1186">
        <v>0.25</v>
      </c>
    </row>
    <row r="1187" spans="1:5" x14ac:dyDescent="0.2">
      <c r="A1187" s="43">
        <v>40359</v>
      </c>
      <c r="D1187">
        <v>0.25</v>
      </c>
    </row>
    <row r="1188" spans="1:5" x14ac:dyDescent="0.2">
      <c r="A1188" s="43">
        <v>40360</v>
      </c>
      <c r="B1188">
        <v>95.603999999999999</v>
      </c>
      <c r="C1188">
        <v>96.632999999999996</v>
      </c>
      <c r="D1188">
        <v>0.25</v>
      </c>
      <c r="E1188">
        <v>221.363</v>
      </c>
    </row>
    <row r="1189" spans="1:5" x14ac:dyDescent="0.2">
      <c r="A1189" s="43">
        <v>40361</v>
      </c>
      <c r="D1189">
        <v>0.25</v>
      </c>
    </row>
    <row r="1190" spans="1:5" x14ac:dyDescent="0.2">
      <c r="A1190" s="43">
        <v>40362</v>
      </c>
      <c r="D1190">
        <v>0.25</v>
      </c>
    </row>
    <row r="1191" spans="1:5" x14ac:dyDescent="0.2">
      <c r="A1191" s="43">
        <v>40363</v>
      </c>
      <c r="D1191">
        <v>0.25</v>
      </c>
    </row>
    <row r="1192" spans="1:5" x14ac:dyDescent="0.2">
      <c r="A1192" s="43">
        <v>40364</v>
      </c>
      <c r="D1192">
        <v>0.25</v>
      </c>
    </row>
    <row r="1193" spans="1:5" x14ac:dyDescent="0.2">
      <c r="A1193" s="43">
        <v>40365</v>
      </c>
      <c r="D1193">
        <v>0.25</v>
      </c>
    </row>
    <row r="1194" spans="1:5" x14ac:dyDescent="0.2">
      <c r="A1194" s="43">
        <v>40366</v>
      </c>
      <c r="D1194">
        <v>0.25</v>
      </c>
    </row>
    <row r="1195" spans="1:5" x14ac:dyDescent="0.2">
      <c r="A1195" s="43">
        <v>40367</v>
      </c>
      <c r="D1195">
        <v>0.25</v>
      </c>
    </row>
    <row r="1196" spans="1:5" x14ac:dyDescent="0.2">
      <c r="A1196" s="43">
        <v>40368</v>
      </c>
      <c r="D1196">
        <v>0.25</v>
      </c>
    </row>
    <row r="1197" spans="1:5" x14ac:dyDescent="0.2">
      <c r="A1197" s="43">
        <v>40369</v>
      </c>
      <c r="D1197">
        <v>0.25</v>
      </c>
    </row>
    <row r="1198" spans="1:5" x14ac:dyDescent="0.2">
      <c r="A1198" s="43">
        <v>40370</v>
      </c>
      <c r="D1198">
        <v>0.25</v>
      </c>
    </row>
    <row r="1199" spans="1:5" x14ac:dyDescent="0.2">
      <c r="A1199" s="43">
        <v>40371</v>
      </c>
      <c r="D1199">
        <v>0.25</v>
      </c>
    </row>
    <row r="1200" spans="1:5" x14ac:dyDescent="0.2">
      <c r="A1200" s="43">
        <v>40372</v>
      </c>
      <c r="D1200">
        <v>0.25</v>
      </c>
    </row>
    <row r="1201" spans="1:4" x14ac:dyDescent="0.2">
      <c r="A1201" s="43">
        <v>40373</v>
      </c>
      <c r="D1201">
        <v>0.25</v>
      </c>
    </row>
    <row r="1202" spans="1:4" x14ac:dyDescent="0.2">
      <c r="A1202" s="43">
        <v>40374</v>
      </c>
      <c r="D1202">
        <v>0.25</v>
      </c>
    </row>
    <row r="1203" spans="1:4" x14ac:dyDescent="0.2">
      <c r="A1203" s="43">
        <v>40375</v>
      </c>
      <c r="D1203">
        <v>0.25</v>
      </c>
    </row>
    <row r="1204" spans="1:4" x14ac:dyDescent="0.2">
      <c r="A1204" s="43">
        <v>40376</v>
      </c>
      <c r="D1204">
        <v>0.25</v>
      </c>
    </row>
    <row r="1205" spans="1:4" x14ac:dyDescent="0.2">
      <c r="A1205" s="43">
        <v>40377</v>
      </c>
      <c r="D1205">
        <v>0.25</v>
      </c>
    </row>
    <row r="1206" spans="1:4" x14ac:dyDescent="0.2">
      <c r="A1206" s="43">
        <v>40378</v>
      </c>
      <c r="D1206">
        <v>0.25</v>
      </c>
    </row>
    <row r="1207" spans="1:4" x14ac:dyDescent="0.2">
      <c r="A1207" s="43">
        <v>40379</v>
      </c>
      <c r="D1207">
        <v>0.25</v>
      </c>
    </row>
    <row r="1208" spans="1:4" x14ac:dyDescent="0.2">
      <c r="A1208" s="43">
        <v>40380</v>
      </c>
      <c r="D1208">
        <v>0.25</v>
      </c>
    </row>
    <row r="1209" spans="1:4" x14ac:dyDescent="0.2">
      <c r="A1209" s="43">
        <v>40381</v>
      </c>
      <c r="D1209">
        <v>0.25</v>
      </c>
    </row>
    <row r="1210" spans="1:4" x14ac:dyDescent="0.2">
      <c r="A1210" s="43">
        <v>40382</v>
      </c>
      <c r="D1210">
        <v>0.25</v>
      </c>
    </row>
    <row r="1211" spans="1:4" x14ac:dyDescent="0.2">
      <c r="A1211" s="43">
        <v>40383</v>
      </c>
      <c r="D1211">
        <v>0.25</v>
      </c>
    </row>
    <row r="1212" spans="1:4" x14ac:dyDescent="0.2">
      <c r="A1212" s="43">
        <v>40384</v>
      </c>
      <c r="D1212">
        <v>0.25</v>
      </c>
    </row>
    <row r="1213" spans="1:4" x14ac:dyDescent="0.2">
      <c r="A1213" s="43">
        <v>40385</v>
      </c>
      <c r="D1213">
        <v>0.25</v>
      </c>
    </row>
    <row r="1214" spans="1:4" x14ac:dyDescent="0.2">
      <c r="A1214" s="43">
        <v>40386</v>
      </c>
      <c r="D1214">
        <v>0.25</v>
      </c>
    </row>
    <row r="1215" spans="1:4" x14ac:dyDescent="0.2">
      <c r="A1215" s="43">
        <v>40387</v>
      </c>
      <c r="D1215">
        <v>0.25</v>
      </c>
    </row>
    <row r="1216" spans="1:4" x14ac:dyDescent="0.2">
      <c r="A1216" s="43">
        <v>40388</v>
      </c>
      <c r="D1216">
        <v>0.25</v>
      </c>
    </row>
    <row r="1217" spans="1:5" x14ac:dyDescent="0.2">
      <c r="A1217" s="43">
        <v>40389</v>
      </c>
      <c r="D1217">
        <v>0.25</v>
      </c>
    </row>
    <row r="1218" spans="1:5" x14ac:dyDescent="0.2">
      <c r="A1218" s="43">
        <v>40390</v>
      </c>
      <c r="D1218">
        <v>0.25</v>
      </c>
    </row>
    <row r="1219" spans="1:5" x14ac:dyDescent="0.2">
      <c r="A1219" s="43">
        <v>40391</v>
      </c>
      <c r="B1219">
        <v>95.734999999999999</v>
      </c>
      <c r="C1219">
        <v>96.725999999999999</v>
      </c>
      <c r="D1219">
        <v>0.25</v>
      </c>
      <c r="E1219">
        <v>221.50899999999999</v>
      </c>
    </row>
    <row r="1220" spans="1:5" x14ac:dyDescent="0.2">
      <c r="A1220" s="43">
        <v>40392</v>
      </c>
      <c r="D1220">
        <v>0.25</v>
      </c>
    </row>
    <row r="1221" spans="1:5" x14ac:dyDescent="0.2">
      <c r="A1221" s="43">
        <v>40393</v>
      </c>
      <c r="D1221">
        <v>0.25</v>
      </c>
    </row>
    <row r="1222" spans="1:5" x14ac:dyDescent="0.2">
      <c r="A1222" s="43">
        <v>40394</v>
      </c>
      <c r="D1222">
        <v>0.25</v>
      </c>
    </row>
    <row r="1223" spans="1:5" x14ac:dyDescent="0.2">
      <c r="A1223" s="43">
        <v>40395</v>
      </c>
      <c r="D1223">
        <v>0.25</v>
      </c>
    </row>
    <row r="1224" spans="1:5" x14ac:dyDescent="0.2">
      <c r="A1224" s="43">
        <v>40396</v>
      </c>
      <c r="D1224">
        <v>0.25</v>
      </c>
    </row>
    <row r="1225" spans="1:5" x14ac:dyDescent="0.2">
      <c r="A1225" s="43">
        <v>40397</v>
      </c>
      <c r="D1225">
        <v>0.25</v>
      </c>
    </row>
    <row r="1226" spans="1:5" x14ac:dyDescent="0.2">
      <c r="A1226" s="43">
        <v>40398</v>
      </c>
      <c r="D1226">
        <v>0.25</v>
      </c>
    </row>
    <row r="1227" spans="1:5" x14ac:dyDescent="0.2">
      <c r="A1227" s="43">
        <v>40399</v>
      </c>
      <c r="D1227">
        <v>0.25</v>
      </c>
    </row>
    <row r="1228" spans="1:5" x14ac:dyDescent="0.2">
      <c r="A1228" s="43">
        <v>40400</v>
      </c>
      <c r="D1228">
        <v>0.25</v>
      </c>
    </row>
    <row r="1229" spans="1:5" x14ac:dyDescent="0.2">
      <c r="A1229" s="43">
        <v>40401</v>
      </c>
      <c r="D1229">
        <v>0.25</v>
      </c>
    </row>
    <row r="1230" spans="1:5" x14ac:dyDescent="0.2">
      <c r="A1230" s="43">
        <v>40402</v>
      </c>
      <c r="D1230">
        <v>0.25</v>
      </c>
    </row>
    <row r="1231" spans="1:5" x14ac:dyDescent="0.2">
      <c r="A1231" s="43">
        <v>40403</v>
      </c>
      <c r="D1231">
        <v>0.25</v>
      </c>
    </row>
    <row r="1232" spans="1:5" x14ac:dyDescent="0.2">
      <c r="A1232" s="43">
        <v>40404</v>
      </c>
      <c r="D1232">
        <v>0.25</v>
      </c>
    </row>
    <row r="1233" spans="1:4" x14ac:dyDescent="0.2">
      <c r="A1233" s="43">
        <v>40405</v>
      </c>
      <c r="D1233">
        <v>0.25</v>
      </c>
    </row>
    <row r="1234" spans="1:4" x14ac:dyDescent="0.2">
      <c r="A1234" s="43">
        <v>40406</v>
      </c>
      <c r="D1234">
        <v>0.25</v>
      </c>
    </row>
    <row r="1235" spans="1:4" x14ac:dyDescent="0.2">
      <c r="A1235" s="43">
        <v>40407</v>
      </c>
      <c r="D1235">
        <v>0.25</v>
      </c>
    </row>
    <row r="1236" spans="1:4" x14ac:dyDescent="0.2">
      <c r="A1236" s="43">
        <v>40408</v>
      </c>
      <c r="D1236">
        <v>0.25</v>
      </c>
    </row>
    <row r="1237" spans="1:4" x14ac:dyDescent="0.2">
      <c r="A1237" s="43">
        <v>40409</v>
      </c>
      <c r="D1237">
        <v>0.25</v>
      </c>
    </row>
    <row r="1238" spans="1:4" x14ac:dyDescent="0.2">
      <c r="A1238" s="43">
        <v>40410</v>
      </c>
      <c r="D1238">
        <v>0.25</v>
      </c>
    </row>
    <row r="1239" spans="1:4" x14ac:dyDescent="0.2">
      <c r="A1239" s="43">
        <v>40411</v>
      </c>
      <c r="D1239">
        <v>0.25</v>
      </c>
    </row>
    <row r="1240" spans="1:4" x14ac:dyDescent="0.2">
      <c r="A1240" s="43">
        <v>40412</v>
      </c>
      <c r="D1240">
        <v>0.25</v>
      </c>
    </row>
    <row r="1241" spans="1:4" x14ac:dyDescent="0.2">
      <c r="A1241" s="43">
        <v>40413</v>
      </c>
      <c r="D1241">
        <v>0.25</v>
      </c>
    </row>
    <row r="1242" spans="1:4" x14ac:dyDescent="0.2">
      <c r="A1242" s="43">
        <v>40414</v>
      </c>
      <c r="D1242">
        <v>0.25</v>
      </c>
    </row>
    <row r="1243" spans="1:4" x14ac:dyDescent="0.2">
      <c r="A1243" s="43">
        <v>40415</v>
      </c>
      <c r="D1243">
        <v>0.25</v>
      </c>
    </row>
    <row r="1244" spans="1:4" x14ac:dyDescent="0.2">
      <c r="A1244" s="43">
        <v>40416</v>
      </c>
      <c r="D1244">
        <v>0.25</v>
      </c>
    </row>
    <row r="1245" spans="1:4" x14ac:dyDescent="0.2">
      <c r="A1245" s="43">
        <v>40417</v>
      </c>
      <c r="D1245">
        <v>0.25</v>
      </c>
    </row>
    <row r="1246" spans="1:4" x14ac:dyDescent="0.2">
      <c r="A1246" s="43">
        <v>40418</v>
      </c>
      <c r="D1246">
        <v>0.25</v>
      </c>
    </row>
    <row r="1247" spans="1:4" x14ac:dyDescent="0.2">
      <c r="A1247" s="43">
        <v>40419</v>
      </c>
      <c r="D1247">
        <v>0.25</v>
      </c>
    </row>
    <row r="1248" spans="1:4" x14ac:dyDescent="0.2">
      <c r="A1248" s="43">
        <v>40420</v>
      </c>
      <c r="D1248">
        <v>0.25</v>
      </c>
    </row>
    <row r="1249" spans="1:5" x14ac:dyDescent="0.2">
      <c r="A1249" s="43">
        <v>40421</v>
      </c>
      <c r="D1249">
        <v>0.25</v>
      </c>
    </row>
    <row r="1250" spans="1:5" x14ac:dyDescent="0.2">
      <c r="A1250" s="43">
        <v>40422</v>
      </c>
      <c r="B1250">
        <v>95.83</v>
      </c>
      <c r="C1250">
        <v>96.781000000000006</v>
      </c>
      <c r="D1250">
        <v>0.25</v>
      </c>
      <c r="E1250">
        <v>221.71100000000001</v>
      </c>
    </row>
    <row r="1251" spans="1:5" x14ac:dyDescent="0.2">
      <c r="A1251" s="43">
        <v>40423</v>
      </c>
      <c r="D1251">
        <v>0.25</v>
      </c>
    </row>
    <row r="1252" spans="1:5" x14ac:dyDescent="0.2">
      <c r="A1252" s="43">
        <v>40424</v>
      </c>
      <c r="D1252">
        <v>0.25</v>
      </c>
    </row>
    <row r="1253" spans="1:5" x14ac:dyDescent="0.2">
      <c r="A1253" s="43">
        <v>40425</v>
      </c>
      <c r="D1253">
        <v>0.25</v>
      </c>
    </row>
    <row r="1254" spans="1:5" x14ac:dyDescent="0.2">
      <c r="A1254" s="43">
        <v>40426</v>
      </c>
      <c r="D1254">
        <v>0.25</v>
      </c>
    </row>
    <row r="1255" spans="1:5" x14ac:dyDescent="0.2">
      <c r="A1255" s="43">
        <v>40427</v>
      </c>
      <c r="D1255">
        <v>0.25</v>
      </c>
    </row>
    <row r="1256" spans="1:5" x14ac:dyDescent="0.2">
      <c r="A1256" s="43">
        <v>40428</v>
      </c>
      <c r="D1256">
        <v>0.25</v>
      </c>
    </row>
    <row r="1257" spans="1:5" x14ac:dyDescent="0.2">
      <c r="A1257" s="43">
        <v>40429</v>
      </c>
      <c r="D1257">
        <v>0.25</v>
      </c>
    </row>
    <row r="1258" spans="1:5" x14ac:dyDescent="0.2">
      <c r="A1258" s="43">
        <v>40430</v>
      </c>
      <c r="D1258">
        <v>0.25</v>
      </c>
    </row>
    <row r="1259" spans="1:5" x14ac:dyDescent="0.2">
      <c r="A1259" s="43">
        <v>40431</v>
      </c>
      <c r="D1259">
        <v>0.25</v>
      </c>
    </row>
    <row r="1260" spans="1:5" x14ac:dyDescent="0.2">
      <c r="A1260" s="43">
        <v>40432</v>
      </c>
      <c r="D1260">
        <v>0.25</v>
      </c>
    </row>
    <row r="1261" spans="1:5" x14ac:dyDescent="0.2">
      <c r="A1261" s="43">
        <v>40433</v>
      </c>
      <c r="D1261">
        <v>0.25</v>
      </c>
    </row>
    <row r="1262" spans="1:5" x14ac:dyDescent="0.2">
      <c r="A1262" s="43">
        <v>40434</v>
      </c>
      <c r="D1262">
        <v>0.25</v>
      </c>
    </row>
    <row r="1263" spans="1:5" x14ac:dyDescent="0.2">
      <c r="A1263" s="43">
        <v>40435</v>
      </c>
      <c r="D1263">
        <v>0.25</v>
      </c>
    </row>
    <row r="1264" spans="1:5" x14ac:dyDescent="0.2">
      <c r="A1264" s="43">
        <v>40436</v>
      </c>
      <c r="D1264">
        <v>0.25</v>
      </c>
    </row>
    <row r="1265" spans="1:5" x14ac:dyDescent="0.2">
      <c r="A1265" s="43">
        <v>40437</v>
      </c>
      <c r="D1265">
        <v>0.25</v>
      </c>
    </row>
    <row r="1266" spans="1:5" x14ac:dyDescent="0.2">
      <c r="A1266" s="43">
        <v>40438</v>
      </c>
      <c r="D1266">
        <v>0.25</v>
      </c>
    </row>
    <row r="1267" spans="1:5" x14ac:dyDescent="0.2">
      <c r="A1267" s="43">
        <v>40439</v>
      </c>
      <c r="D1267">
        <v>0.25</v>
      </c>
    </row>
    <row r="1268" spans="1:5" x14ac:dyDescent="0.2">
      <c r="A1268" s="43">
        <v>40440</v>
      </c>
      <c r="D1268">
        <v>0.25</v>
      </c>
    </row>
    <row r="1269" spans="1:5" x14ac:dyDescent="0.2">
      <c r="A1269" s="43">
        <v>40441</v>
      </c>
      <c r="D1269">
        <v>0.25</v>
      </c>
    </row>
    <row r="1270" spans="1:5" x14ac:dyDescent="0.2">
      <c r="A1270" s="43">
        <v>40442</v>
      </c>
      <c r="D1270">
        <v>0.25</v>
      </c>
    </row>
    <row r="1271" spans="1:5" x14ac:dyDescent="0.2">
      <c r="A1271" s="43">
        <v>40443</v>
      </c>
      <c r="D1271">
        <v>0.25</v>
      </c>
    </row>
    <row r="1272" spans="1:5" x14ac:dyDescent="0.2">
      <c r="A1272" s="43">
        <v>40444</v>
      </c>
      <c r="D1272">
        <v>0.25</v>
      </c>
    </row>
    <row r="1273" spans="1:5" x14ac:dyDescent="0.2">
      <c r="A1273" s="43">
        <v>40445</v>
      </c>
      <c r="D1273">
        <v>0.25</v>
      </c>
    </row>
    <row r="1274" spans="1:5" x14ac:dyDescent="0.2">
      <c r="A1274" s="43">
        <v>40446</v>
      </c>
      <c r="D1274">
        <v>0.25</v>
      </c>
    </row>
    <row r="1275" spans="1:5" x14ac:dyDescent="0.2">
      <c r="A1275" s="43">
        <v>40447</v>
      </c>
      <c r="D1275">
        <v>0.25</v>
      </c>
    </row>
    <row r="1276" spans="1:5" x14ac:dyDescent="0.2">
      <c r="A1276" s="43">
        <v>40448</v>
      </c>
      <c r="D1276">
        <v>0.25</v>
      </c>
    </row>
    <row r="1277" spans="1:5" x14ac:dyDescent="0.2">
      <c r="A1277" s="43">
        <v>40449</v>
      </c>
      <c r="D1277">
        <v>0.25</v>
      </c>
    </row>
    <row r="1278" spans="1:5" x14ac:dyDescent="0.2">
      <c r="A1278" s="43">
        <v>40450</v>
      </c>
      <c r="D1278">
        <v>0.25</v>
      </c>
    </row>
    <row r="1279" spans="1:5" x14ac:dyDescent="0.2">
      <c r="A1279" s="43">
        <v>40451</v>
      </c>
      <c r="D1279">
        <v>0.25</v>
      </c>
    </row>
    <row r="1280" spans="1:5" x14ac:dyDescent="0.2">
      <c r="A1280" s="43">
        <v>40452</v>
      </c>
      <c r="B1280">
        <v>96.135000000000005</v>
      </c>
      <c r="C1280">
        <v>96.927999999999997</v>
      </c>
      <c r="D1280">
        <v>0.25</v>
      </c>
      <c r="E1280">
        <v>221.83</v>
      </c>
    </row>
    <row r="1281" spans="1:4" x14ac:dyDescent="0.2">
      <c r="A1281" s="43">
        <v>40453</v>
      </c>
      <c r="D1281">
        <v>0.25</v>
      </c>
    </row>
    <row r="1282" spans="1:4" x14ac:dyDescent="0.2">
      <c r="A1282" s="43">
        <v>40454</v>
      </c>
      <c r="D1282">
        <v>0.25</v>
      </c>
    </row>
    <row r="1283" spans="1:4" x14ac:dyDescent="0.2">
      <c r="A1283" s="43">
        <v>40455</v>
      </c>
      <c r="D1283">
        <v>0.25</v>
      </c>
    </row>
    <row r="1284" spans="1:4" x14ac:dyDescent="0.2">
      <c r="A1284" s="43">
        <v>40456</v>
      </c>
      <c r="D1284">
        <v>0.25</v>
      </c>
    </row>
    <row r="1285" spans="1:4" x14ac:dyDescent="0.2">
      <c r="A1285" s="43">
        <v>40457</v>
      </c>
      <c r="D1285">
        <v>0.25</v>
      </c>
    </row>
    <row r="1286" spans="1:4" x14ac:dyDescent="0.2">
      <c r="A1286" s="43">
        <v>40458</v>
      </c>
      <c r="D1286">
        <v>0.25</v>
      </c>
    </row>
    <row r="1287" spans="1:4" x14ac:dyDescent="0.2">
      <c r="A1287" s="43">
        <v>40459</v>
      </c>
      <c r="D1287">
        <v>0.25</v>
      </c>
    </row>
    <row r="1288" spans="1:4" x14ac:dyDescent="0.2">
      <c r="A1288" s="43">
        <v>40460</v>
      </c>
      <c r="D1288">
        <v>0.25</v>
      </c>
    </row>
    <row r="1289" spans="1:4" x14ac:dyDescent="0.2">
      <c r="A1289" s="43">
        <v>40461</v>
      </c>
      <c r="D1289">
        <v>0.25</v>
      </c>
    </row>
    <row r="1290" spans="1:4" x14ac:dyDescent="0.2">
      <c r="A1290" s="43">
        <v>40462</v>
      </c>
      <c r="D1290">
        <v>0.25</v>
      </c>
    </row>
    <row r="1291" spans="1:4" x14ac:dyDescent="0.2">
      <c r="A1291" s="43">
        <v>40463</v>
      </c>
      <c r="D1291">
        <v>0.25</v>
      </c>
    </row>
    <row r="1292" spans="1:4" x14ac:dyDescent="0.2">
      <c r="A1292" s="43">
        <v>40464</v>
      </c>
      <c r="D1292">
        <v>0.25</v>
      </c>
    </row>
    <row r="1293" spans="1:4" x14ac:dyDescent="0.2">
      <c r="A1293" s="43">
        <v>40465</v>
      </c>
      <c r="D1293">
        <v>0.25</v>
      </c>
    </row>
    <row r="1294" spans="1:4" x14ac:dyDescent="0.2">
      <c r="A1294" s="43">
        <v>40466</v>
      </c>
      <c r="D1294">
        <v>0.25</v>
      </c>
    </row>
    <row r="1295" spans="1:4" x14ac:dyDescent="0.2">
      <c r="A1295" s="43">
        <v>40467</v>
      </c>
      <c r="D1295">
        <v>0.25</v>
      </c>
    </row>
    <row r="1296" spans="1:4" x14ac:dyDescent="0.2">
      <c r="A1296" s="43">
        <v>40468</v>
      </c>
      <c r="D1296">
        <v>0.25</v>
      </c>
    </row>
    <row r="1297" spans="1:5" x14ac:dyDescent="0.2">
      <c r="A1297" s="43">
        <v>40469</v>
      </c>
      <c r="D1297">
        <v>0.25</v>
      </c>
    </row>
    <row r="1298" spans="1:5" x14ac:dyDescent="0.2">
      <c r="A1298" s="43">
        <v>40470</v>
      </c>
      <c r="D1298">
        <v>0.25</v>
      </c>
    </row>
    <row r="1299" spans="1:5" x14ac:dyDescent="0.2">
      <c r="A1299" s="43">
        <v>40471</v>
      </c>
      <c r="D1299">
        <v>0.25</v>
      </c>
    </row>
    <row r="1300" spans="1:5" x14ac:dyDescent="0.2">
      <c r="A1300" s="43">
        <v>40472</v>
      </c>
      <c r="D1300">
        <v>0.25</v>
      </c>
    </row>
    <row r="1301" spans="1:5" x14ac:dyDescent="0.2">
      <c r="A1301" s="43">
        <v>40473</v>
      </c>
      <c r="D1301">
        <v>0.25</v>
      </c>
    </row>
    <row r="1302" spans="1:5" x14ac:dyDescent="0.2">
      <c r="A1302" s="43">
        <v>40474</v>
      </c>
      <c r="D1302">
        <v>0.25</v>
      </c>
    </row>
    <row r="1303" spans="1:5" x14ac:dyDescent="0.2">
      <c r="A1303" s="43">
        <v>40475</v>
      </c>
      <c r="D1303">
        <v>0.25</v>
      </c>
    </row>
    <row r="1304" spans="1:5" x14ac:dyDescent="0.2">
      <c r="A1304" s="43">
        <v>40476</v>
      </c>
      <c r="D1304">
        <v>0.25</v>
      </c>
    </row>
    <row r="1305" spans="1:5" x14ac:dyDescent="0.2">
      <c r="A1305" s="43">
        <v>40477</v>
      </c>
      <c r="D1305">
        <v>0.25</v>
      </c>
    </row>
    <row r="1306" spans="1:5" x14ac:dyDescent="0.2">
      <c r="A1306" s="43">
        <v>40478</v>
      </c>
      <c r="D1306">
        <v>0.25</v>
      </c>
    </row>
    <row r="1307" spans="1:5" x14ac:dyDescent="0.2">
      <c r="A1307" s="43">
        <v>40479</v>
      </c>
      <c r="D1307">
        <v>0.25</v>
      </c>
    </row>
    <row r="1308" spans="1:5" x14ac:dyDescent="0.2">
      <c r="A1308" s="43">
        <v>40480</v>
      </c>
      <c r="D1308">
        <v>0.25</v>
      </c>
    </row>
    <row r="1309" spans="1:5" x14ac:dyDescent="0.2">
      <c r="A1309" s="43">
        <v>40481</v>
      </c>
      <c r="D1309">
        <v>0.25</v>
      </c>
    </row>
    <row r="1310" spans="1:5" x14ac:dyDescent="0.2">
      <c r="A1310" s="43">
        <v>40482</v>
      </c>
      <c r="D1310">
        <v>0.25</v>
      </c>
    </row>
    <row r="1311" spans="1:5" x14ac:dyDescent="0.2">
      <c r="A1311" s="43">
        <v>40483</v>
      </c>
      <c r="B1311">
        <v>96.326999999999998</v>
      </c>
      <c r="C1311">
        <v>97.054000000000002</v>
      </c>
      <c r="D1311">
        <v>0.25</v>
      </c>
      <c r="E1311">
        <v>222.149</v>
      </c>
    </row>
    <row r="1312" spans="1:5" x14ac:dyDescent="0.2">
      <c r="A1312" s="43">
        <v>40484</v>
      </c>
      <c r="D1312">
        <v>0.25</v>
      </c>
    </row>
    <row r="1313" spans="1:4" x14ac:dyDescent="0.2">
      <c r="A1313" s="43">
        <v>40485</v>
      </c>
      <c r="D1313">
        <v>0.25</v>
      </c>
    </row>
    <row r="1314" spans="1:4" x14ac:dyDescent="0.2">
      <c r="A1314" s="43">
        <v>40486</v>
      </c>
      <c r="D1314">
        <v>0.25</v>
      </c>
    </row>
    <row r="1315" spans="1:4" x14ac:dyDescent="0.2">
      <c r="A1315" s="43">
        <v>40487</v>
      </c>
      <c r="D1315">
        <v>0.25</v>
      </c>
    </row>
    <row r="1316" spans="1:4" x14ac:dyDescent="0.2">
      <c r="A1316" s="43">
        <v>40488</v>
      </c>
      <c r="D1316">
        <v>0.25</v>
      </c>
    </row>
    <row r="1317" spans="1:4" x14ac:dyDescent="0.2">
      <c r="A1317" s="43">
        <v>40489</v>
      </c>
      <c r="D1317">
        <v>0.25</v>
      </c>
    </row>
    <row r="1318" spans="1:4" x14ac:dyDescent="0.2">
      <c r="A1318" s="43">
        <v>40490</v>
      </c>
      <c r="D1318">
        <v>0.25</v>
      </c>
    </row>
    <row r="1319" spans="1:4" x14ac:dyDescent="0.2">
      <c r="A1319" s="43">
        <v>40491</v>
      </c>
      <c r="D1319">
        <v>0.25</v>
      </c>
    </row>
    <row r="1320" spans="1:4" x14ac:dyDescent="0.2">
      <c r="A1320" s="43">
        <v>40492</v>
      </c>
      <c r="D1320">
        <v>0.25</v>
      </c>
    </row>
    <row r="1321" spans="1:4" x14ac:dyDescent="0.2">
      <c r="A1321" s="43">
        <v>40493</v>
      </c>
      <c r="D1321">
        <v>0.25</v>
      </c>
    </row>
    <row r="1322" spans="1:4" x14ac:dyDescent="0.2">
      <c r="A1322" s="43">
        <v>40494</v>
      </c>
      <c r="D1322">
        <v>0.25</v>
      </c>
    </row>
    <row r="1323" spans="1:4" x14ac:dyDescent="0.2">
      <c r="A1323" s="43">
        <v>40495</v>
      </c>
      <c r="D1323">
        <v>0.25</v>
      </c>
    </row>
    <row r="1324" spans="1:4" x14ac:dyDescent="0.2">
      <c r="A1324" s="43">
        <v>40496</v>
      </c>
      <c r="D1324">
        <v>0.25</v>
      </c>
    </row>
    <row r="1325" spans="1:4" x14ac:dyDescent="0.2">
      <c r="A1325" s="43">
        <v>40497</v>
      </c>
      <c r="D1325">
        <v>0.25</v>
      </c>
    </row>
    <row r="1326" spans="1:4" x14ac:dyDescent="0.2">
      <c r="A1326" s="43">
        <v>40498</v>
      </c>
      <c r="D1326">
        <v>0.25</v>
      </c>
    </row>
    <row r="1327" spans="1:4" x14ac:dyDescent="0.2">
      <c r="A1327" s="43">
        <v>40499</v>
      </c>
      <c r="D1327">
        <v>0.25</v>
      </c>
    </row>
    <row r="1328" spans="1:4" x14ac:dyDescent="0.2">
      <c r="A1328" s="43">
        <v>40500</v>
      </c>
      <c r="D1328">
        <v>0.25</v>
      </c>
    </row>
    <row r="1329" spans="1:5" x14ac:dyDescent="0.2">
      <c r="A1329" s="43">
        <v>40501</v>
      </c>
      <c r="D1329">
        <v>0.25</v>
      </c>
    </row>
    <row r="1330" spans="1:5" x14ac:dyDescent="0.2">
      <c r="A1330" s="43">
        <v>40502</v>
      </c>
      <c r="D1330">
        <v>0.25</v>
      </c>
    </row>
    <row r="1331" spans="1:5" x14ac:dyDescent="0.2">
      <c r="A1331" s="43">
        <v>40503</v>
      </c>
      <c r="D1331">
        <v>0.25</v>
      </c>
    </row>
    <row r="1332" spans="1:5" x14ac:dyDescent="0.2">
      <c r="A1332" s="43">
        <v>40504</v>
      </c>
      <c r="D1332">
        <v>0.25</v>
      </c>
    </row>
    <row r="1333" spans="1:5" x14ac:dyDescent="0.2">
      <c r="A1333" s="43">
        <v>40505</v>
      </c>
      <c r="D1333">
        <v>0.25</v>
      </c>
    </row>
    <row r="1334" spans="1:5" x14ac:dyDescent="0.2">
      <c r="A1334" s="43">
        <v>40506</v>
      </c>
      <c r="D1334">
        <v>0.25</v>
      </c>
    </row>
    <row r="1335" spans="1:5" x14ac:dyDescent="0.2">
      <c r="A1335" s="43">
        <v>40507</v>
      </c>
      <c r="D1335">
        <v>0.25</v>
      </c>
    </row>
    <row r="1336" spans="1:5" x14ac:dyDescent="0.2">
      <c r="A1336" s="43">
        <v>40508</v>
      </c>
      <c r="D1336">
        <v>0.25</v>
      </c>
    </row>
    <row r="1337" spans="1:5" x14ac:dyDescent="0.2">
      <c r="A1337" s="43">
        <v>40509</v>
      </c>
      <c r="D1337">
        <v>0.25</v>
      </c>
    </row>
    <row r="1338" spans="1:5" x14ac:dyDescent="0.2">
      <c r="A1338" s="43">
        <v>40510</v>
      </c>
      <c r="D1338">
        <v>0.25</v>
      </c>
    </row>
    <row r="1339" spans="1:5" x14ac:dyDescent="0.2">
      <c r="A1339" s="43">
        <v>40511</v>
      </c>
      <c r="D1339">
        <v>0.25</v>
      </c>
    </row>
    <row r="1340" spans="1:5" x14ac:dyDescent="0.2">
      <c r="A1340" s="43">
        <v>40512</v>
      </c>
      <c r="D1340">
        <v>0.25</v>
      </c>
    </row>
    <row r="1341" spans="1:5" x14ac:dyDescent="0.2">
      <c r="A1341" s="43">
        <v>40513</v>
      </c>
      <c r="B1341">
        <v>96.545000000000002</v>
      </c>
      <c r="C1341">
        <v>97.073999999999998</v>
      </c>
      <c r="D1341">
        <v>0.25</v>
      </c>
      <c r="E1341">
        <v>222.34299999999999</v>
      </c>
    </row>
    <row r="1342" spans="1:5" x14ac:dyDescent="0.2">
      <c r="A1342" s="43">
        <v>40514</v>
      </c>
      <c r="D1342">
        <v>0.25</v>
      </c>
    </row>
    <row r="1343" spans="1:5" x14ac:dyDescent="0.2">
      <c r="A1343" s="43">
        <v>40515</v>
      </c>
      <c r="D1343">
        <v>0.25</v>
      </c>
    </row>
    <row r="1344" spans="1:5" x14ac:dyDescent="0.2">
      <c r="A1344" s="43">
        <v>40516</v>
      </c>
      <c r="D1344">
        <v>0.25</v>
      </c>
    </row>
    <row r="1345" spans="1:4" x14ac:dyDescent="0.2">
      <c r="A1345" s="43">
        <v>40517</v>
      </c>
      <c r="D1345">
        <v>0.25</v>
      </c>
    </row>
    <row r="1346" spans="1:4" x14ac:dyDescent="0.2">
      <c r="A1346" s="43">
        <v>40518</v>
      </c>
      <c r="D1346">
        <v>0.25</v>
      </c>
    </row>
    <row r="1347" spans="1:4" x14ac:dyDescent="0.2">
      <c r="A1347" s="43">
        <v>40519</v>
      </c>
      <c r="D1347">
        <v>0.25</v>
      </c>
    </row>
    <row r="1348" spans="1:4" x14ac:dyDescent="0.2">
      <c r="A1348" s="43">
        <v>40520</v>
      </c>
      <c r="D1348">
        <v>0.25</v>
      </c>
    </row>
    <row r="1349" spans="1:4" x14ac:dyDescent="0.2">
      <c r="A1349" s="43">
        <v>40521</v>
      </c>
      <c r="D1349">
        <v>0.25</v>
      </c>
    </row>
    <row r="1350" spans="1:4" x14ac:dyDescent="0.2">
      <c r="A1350" s="43">
        <v>40522</v>
      </c>
      <c r="D1350">
        <v>0.25</v>
      </c>
    </row>
    <row r="1351" spans="1:4" x14ac:dyDescent="0.2">
      <c r="A1351" s="43">
        <v>40523</v>
      </c>
      <c r="D1351">
        <v>0.25</v>
      </c>
    </row>
    <row r="1352" spans="1:4" x14ac:dyDescent="0.2">
      <c r="A1352" s="43">
        <v>40524</v>
      </c>
      <c r="D1352">
        <v>0.25</v>
      </c>
    </row>
    <row r="1353" spans="1:4" x14ac:dyDescent="0.2">
      <c r="A1353" s="43">
        <v>40525</v>
      </c>
      <c r="D1353">
        <v>0.25</v>
      </c>
    </row>
    <row r="1354" spans="1:4" x14ac:dyDescent="0.2">
      <c r="A1354" s="43">
        <v>40526</v>
      </c>
      <c r="D1354">
        <v>0.25</v>
      </c>
    </row>
    <row r="1355" spans="1:4" x14ac:dyDescent="0.2">
      <c r="A1355" s="43">
        <v>40527</v>
      </c>
      <c r="D1355">
        <v>0.25</v>
      </c>
    </row>
    <row r="1356" spans="1:4" x14ac:dyDescent="0.2">
      <c r="A1356" s="43">
        <v>40528</v>
      </c>
      <c r="D1356">
        <v>0.25</v>
      </c>
    </row>
    <row r="1357" spans="1:4" x14ac:dyDescent="0.2">
      <c r="A1357" s="43">
        <v>40529</v>
      </c>
      <c r="D1357">
        <v>0.25</v>
      </c>
    </row>
    <row r="1358" spans="1:4" x14ac:dyDescent="0.2">
      <c r="A1358" s="43">
        <v>40530</v>
      </c>
      <c r="D1358">
        <v>0.25</v>
      </c>
    </row>
    <row r="1359" spans="1:4" x14ac:dyDescent="0.2">
      <c r="A1359" s="43">
        <v>40531</v>
      </c>
      <c r="D1359">
        <v>0.25</v>
      </c>
    </row>
    <row r="1360" spans="1:4" x14ac:dyDescent="0.2">
      <c r="A1360" s="43">
        <v>40532</v>
      </c>
      <c r="D1360">
        <v>0.25</v>
      </c>
    </row>
    <row r="1361" spans="1:5" x14ac:dyDescent="0.2">
      <c r="A1361" s="43">
        <v>40533</v>
      </c>
      <c r="D1361">
        <v>0.25</v>
      </c>
    </row>
    <row r="1362" spans="1:5" x14ac:dyDescent="0.2">
      <c r="A1362" s="43">
        <v>40534</v>
      </c>
      <c r="D1362">
        <v>0.25</v>
      </c>
    </row>
    <row r="1363" spans="1:5" x14ac:dyDescent="0.2">
      <c r="A1363" s="43">
        <v>40535</v>
      </c>
      <c r="D1363">
        <v>0.25</v>
      </c>
    </row>
    <row r="1364" spans="1:5" x14ac:dyDescent="0.2">
      <c r="A1364" s="43">
        <v>40536</v>
      </c>
      <c r="D1364">
        <v>0.25</v>
      </c>
    </row>
    <row r="1365" spans="1:5" x14ac:dyDescent="0.2">
      <c r="A1365" s="43">
        <v>40537</v>
      </c>
      <c r="D1365">
        <v>0.25</v>
      </c>
    </row>
    <row r="1366" spans="1:5" x14ac:dyDescent="0.2">
      <c r="A1366" s="43">
        <v>40538</v>
      </c>
      <c r="D1366">
        <v>0.25</v>
      </c>
    </row>
    <row r="1367" spans="1:5" x14ac:dyDescent="0.2">
      <c r="A1367" s="43">
        <v>40539</v>
      </c>
      <c r="D1367">
        <v>0.25</v>
      </c>
    </row>
    <row r="1368" spans="1:5" x14ac:dyDescent="0.2">
      <c r="A1368" s="43">
        <v>40540</v>
      </c>
      <c r="D1368">
        <v>0.25</v>
      </c>
    </row>
    <row r="1369" spans="1:5" x14ac:dyDescent="0.2">
      <c r="A1369" s="43">
        <v>40541</v>
      </c>
      <c r="D1369">
        <v>0.25</v>
      </c>
    </row>
    <row r="1370" spans="1:5" x14ac:dyDescent="0.2">
      <c r="A1370" s="43">
        <v>40542</v>
      </c>
      <c r="D1370">
        <v>0.25</v>
      </c>
    </row>
    <row r="1371" spans="1:5" x14ac:dyDescent="0.2">
      <c r="A1371" s="43">
        <v>40543</v>
      </c>
      <c r="D1371">
        <v>0.25</v>
      </c>
    </row>
    <row r="1372" spans="1:5" x14ac:dyDescent="0.2">
      <c r="A1372" s="43">
        <v>40544</v>
      </c>
      <c r="B1372">
        <v>96.834999999999994</v>
      </c>
      <c r="C1372">
        <v>97.283000000000001</v>
      </c>
      <c r="D1372">
        <v>0.25</v>
      </c>
      <c r="E1372">
        <v>222.803</v>
      </c>
    </row>
    <row r="1373" spans="1:5" x14ac:dyDescent="0.2">
      <c r="A1373" s="43">
        <v>40545</v>
      </c>
      <c r="D1373">
        <v>0.25</v>
      </c>
    </row>
    <row r="1374" spans="1:5" x14ac:dyDescent="0.2">
      <c r="A1374" s="43">
        <v>40546</v>
      </c>
      <c r="D1374">
        <v>0.25</v>
      </c>
    </row>
    <row r="1375" spans="1:5" x14ac:dyDescent="0.2">
      <c r="A1375" s="43">
        <v>40547</v>
      </c>
      <c r="D1375">
        <v>0.25</v>
      </c>
    </row>
    <row r="1376" spans="1:5" x14ac:dyDescent="0.2">
      <c r="A1376" s="43">
        <v>40548</v>
      </c>
      <c r="D1376">
        <v>0.25</v>
      </c>
    </row>
    <row r="1377" spans="1:4" x14ac:dyDescent="0.2">
      <c r="A1377" s="43">
        <v>40549</v>
      </c>
      <c r="D1377">
        <v>0.25</v>
      </c>
    </row>
    <row r="1378" spans="1:4" x14ac:dyDescent="0.2">
      <c r="A1378" s="43">
        <v>40550</v>
      </c>
      <c r="D1378">
        <v>0.25</v>
      </c>
    </row>
    <row r="1379" spans="1:4" x14ac:dyDescent="0.2">
      <c r="A1379" s="43">
        <v>40551</v>
      </c>
      <c r="D1379">
        <v>0.25</v>
      </c>
    </row>
    <row r="1380" spans="1:4" x14ac:dyDescent="0.2">
      <c r="A1380" s="43">
        <v>40552</v>
      </c>
      <c r="D1380">
        <v>0.25</v>
      </c>
    </row>
    <row r="1381" spans="1:4" x14ac:dyDescent="0.2">
      <c r="A1381" s="43">
        <v>40553</v>
      </c>
      <c r="D1381">
        <v>0.25</v>
      </c>
    </row>
    <row r="1382" spans="1:4" x14ac:dyDescent="0.2">
      <c r="A1382" s="43">
        <v>40554</v>
      </c>
      <c r="D1382">
        <v>0.25</v>
      </c>
    </row>
    <row r="1383" spans="1:4" x14ac:dyDescent="0.2">
      <c r="A1383" s="43">
        <v>40555</v>
      </c>
      <c r="D1383">
        <v>0.25</v>
      </c>
    </row>
    <row r="1384" spans="1:4" x14ac:dyDescent="0.2">
      <c r="A1384" s="43">
        <v>40556</v>
      </c>
      <c r="D1384">
        <v>0.25</v>
      </c>
    </row>
    <row r="1385" spans="1:4" x14ac:dyDescent="0.2">
      <c r="A1385" s="43">
        <v>40557</v>
      </c>
      <c r="D1385">
        <v>0.25</v>
      </c>
    </row>
    <row r="1386" spans="1:4" x14ac:dyDescent="0.2">
      <c r="A1386" s="43">
        <v>40558</v>
      </c>
      <c r="D1386">
        <v>0.25</v>
      </c>
    </row>
    <row r="1387" spans="1:4" x14ac:dyDescent="0.2">
      <c r="A1387" s="43">
        <v>40559</v>
      </c>
      <c r="D1387">
        <v>0.25</v>
      </c>
    </row>
    <row r="1388" spans="1:4" x14ac:dyDescent="0.2">
      <c r="A1388" s="43">
        <v>40560</v>
      </c>
      <c r="D1388">
        <v>0.25</v>
      </c>
    </row>
    <row r="1389" spans="1:4" x14ac:dyDescent="0.2">
      <c r="A1389" s="43">
        <v>40561</v>
      </c>
      <c r="D1389">
        <v>0.25</v>
      </c>
    </row>
    <row r="1390" spans="1:4" x14ac:dyDescent="0.2">
      <c r="A1390" s="43">
        <v>40562</v>
      </c>
      <c r="D1390">
        <v>0.25</v>
      </c>
    </row>
    <row r="1391" spans="1:4" x14ac:dyDescent="0.2">
      <c r="A1391" s="43">
        <v>40563</v>
      </c>
      <c r="D1391">
        <v>0.25</v>
      </c>
    </row>
    <row r="1392" spans="1:4" x14ac:dyDescent="0.2">
      <c r="A1392" s="43">
        <v>40564</v>
      </c>
      <c r="D1392">
        <v>0.25</v>
      </c>
    </row>
    <row r="1393" spans="1:5" x14ac:dyDescent="0.2">
      <c r="A1393" s="43">
        <v>40565</v>
      </c>
      <c r="D1393">
        <v>0.25</v>
      </c>
    </row>
    <row r="1394" spans="1:5" x14ac:dyDescent="0.2">
      <c r="A1394" s="43">
        <v>40566</v>
      </c>
      <c r="D1394">
        <v>0.25</v>
      </c>
    </row>
    <row r="1395" spans="1:5" x14ac:dyDescent="0.2">
      <c r="A1395" s="43">
        <v>40567</v>
      </c>
      <c r="D1395">
        <v>0.25</v>
      </c>
    </row>
    <row r="1396" spans="1:5" x14ac:dyDescent="0.2">
      <c r="A1396" s="43">
        <v>40568</v>
      </c>
      <c r="D1396">
        <v>0.25</v>
      </c>
    </row>
    <row r="1397" spans="1:5" x14ac:dyDescent="0.2">
      <c r="A1397" s="43">
        <v>40569</v>
      </c>
      <c r="D1397">
        <v>0.25</v>
      </c>
    </row>
    <row r="1398" spans="1:5" x14ac:dyDescent="0.2">
      <c r="A1398" s="43">
        <v>40570</v>
      </c>
      <c r="D1398">
        <v>0.25</v>
      </c>
    </row>
    <row r="1399" spans="1:5" x14ac:dyDescent="0.2">
      <c r="A1399" s="43">
        <v>40571</v>
      </c>
      <c r="D1399">
        <v>0.25</v>
      </c>
    </row>
    <row r="1400" spans="1:5" x14ac:dyDescent="0.2">
      <c r="A1400" s="43">
        <v>40572</v>
      </c>
      <c r="D1400">
        <v>0.25</v>
      </c>
    </row>
    <row r="1401" spans="1:5" x14ac:dyDescent="0.2">
      <c r="A1401" s="43">
        <v>40573</v>
      </c>
      <c r="D1401">
        <v>0.25</v>
      </c>
    </row>
    <row r="1402" spans="1:5" x14ac:dyDescent="0.2">
      <c r="A1402" s="43">
        <v>40574</v>
      </c>
      <c r="D1402">
        <v>0.25</v>
      </c>
    </row>
    <row r="1403" spans="1:5" x14ac:dyDescent="0.2">
      <c r="A1403" s="43">
        <v>40575</v>
      </c>
      <c r="B1403">
        <v>97.105000000000004</v>
      </c>
      <c r="C1403">
        <v>97.453000000000003</v>
      </c>
      <c r="D1403">
        <v>0.25</v>
      </c>
      <c r="E1403">
        <v>223.21299999999999</v>
      </c>
    </row>
    <row r="1404" spans="1:5" x14ac:dyDescent="0.2">
      <c r="A1404" s="43">
        <v>40576</v>
      </c>
      <c r="D1404">
        <v>0.25</v>
      </c>
    </row>
    <row r="1405" spans="1:5" x14ac:dyDescent="0.2">
      <c r="A1405" s="43">
        <v>40577</v>
      </c>
      <c r="D1405">
        <v>0.25</v>
      </c>
    </row>
    <row r="1406" spans="1:5" x14ac:dyDescent="0.2">
      <c r="A1406" s="43">
        <v>40578</v>
      </c>
      <c r="D1406">
        <v>0.25</v>
      </c>
    </row>
    <row r="1407" spans="1:5" x14ac:dyDescent="0.2">
      <c r="A1407" s="43">
        <v>40579</v>
      </c>
      <c r="D1407">
        <v>0.25</v>
      </c>
    </row>
    <row r="1408" spans="1:5" x14ac:dyDescent="0.2">
      <c r="A1408" s="43">
        <v>40580</v>
      </c>
      <c r="D1408">
        <v>0.25</v>
      </c>
    </row>
    <row r="1409" spans="1:4" x14ac:dyDescent="0.2">
      <c r="A1409" s="43">
        <v>40581</v>
      </c>
      <c r="D1409">
        <v>0.25</v>
      </c>
    </row>
    <row r="1410" spans="1:4" x14ac:dyDescent="0.2">
      <c r="A1410" s="43">
        <v>40582</v>
      </c>
      <c r="D1410">
        <v>0.25</v>
      </c>
    </row>
    <row r="1411" spans="1:4" x14ac:dyDescent="0.2">
      <c r="A1411" s="43">
        <v>40583</v>
      </c>
      <c r="D1411">
        <v>0.25</v>
      </c>
    </row>
    <row r="1412" spans="1:4" x14ac:dyDescent="0.2">
      <c r="A1412" s="43">
        <v>40584</v>
      </c>
      <c r="D1412">
        <v>0.25</v>
      </c>
    </row>
    <row r="1413" spans="1:4" x14ac:dyDescent="0.2">
      <c r="A1413" s="43">
        <v>40585</v>
      </c>
      <c r="D1413">
        <v>0.25</v>
      </c>
    </row>
    <row r="1414" spans="1:4" x14ac:dyDescent="0.2">
      <c r="A1414" s="43">
        <v>40586</v>
      </c>
      <c r="D1414">
        <v>0.25</v>
      </c>
    </row>
    <row r="1415" spans="1:4" x14ac:dyDescent="0.2">
      <c r="A1415" s="43">
        <v>40587</v>
      </c>
      <c r="D1415">
        <v>0.25</v>
      </c>
    </row>
    <row r="1416" spans="1:4" x14ac:dyDescent="0.2">
      <c r="A1416" s="43">
        <v>40588</v>
      </c>
      <c r="D1416">
        <v>0.25</v>
      </c>
    </row>
    <row r="1417" spans="1:4" x14ac:dyDescent="0.2">
      <c r="A1417" s="43">
        <v>40589</v>
      </c>
      <c r="D1417">
        <v>0.25</v>
      </c>
    </row>
    <row r="1418" spans="1:4" x14ac:dyDescent="0.2">
      <c r="A1418" s="43">
        <v>40590</v>
      </c>
      <c r="D1418">
        <v>0.25</v>
      </c>
    </row>
    <row r="1419" spans="1:4" x14ac:dyDescent="0.2">
      <c r="A1419" s="43">
        <v>40591</v>
      </c>
      <c r="D1419">
        <v>0.25</v>
      </c>
    </row>
    <row r="1420" spans="1:4" x14ac:dyDescent="0.2">
      <c r="A1420" s="43">
        <v>40592</v>
      </c>
      <c r="D1420">
        <v>0.25</v>
      </c>
    </row>
    <row r="1421" spans="1:4" x14ac:dyDescent="0.2">
      <c r="A1421" s="43">
        <v>40593</v>
      </c>
      <c r="D1421">
        <v>0.25</v>
      </c>
    </row>
    <row r="1422" spans="1:4" x14ac:dyDescent="0.2">
      <c r="A1422" s="43">
        <v>40594</v>
      </c>
      <c r="D1422">
        <v>0.25</v>
      </c>
    </row>
    <row r="1423" spans="1:4" x14ac:dyDescent="0.2">
      <c r="A1423" s="43">
        <v>40595</v>
      </c>
      <c r="D1423">
        <v>0.25</v>
      </c>
    </row>
    <row r="1424" spans="1:4" x14ac:dyDescent="0.2">
      <c r="A1424" s="43">
        <v>40596</v>
      </c>
      <c r="D1424">
        <v>0.25</v>
      </c>
    </row>
    <row r="1425" spans="1:5" x14ac:dyDescent="0.2">
      <c r="A1425" s="43">
        <v>40597</v>
      </c>
      <c r="D1425">
        <v>0.25</v>
      </c>
    </row>
    <row r="1426" spans="1:5" x14ac:dyDescent="0.2">
      <c r="A1426" s="43">
        <v>40598</v>
      </c>
      <c r="D1426">
        <v>0.25</v>
      </c>
    </row>
    <row r="1427" spans="1:5" x14ac:dyDescent="0.2">
      <c r="A1427" s="43">
        <v>40599</v>
      </c>
      <c r="D1427">
        <v>0.25</v>
      </c>
    </row>
    <row r="1428" spans="1:5" x14ac:dyDescent="0.2">
      <c r="A1428" s="43">
        <v>40600</v>
      </c>
      <c r="D1428">
        <v>0.25</v>
      </c>
    </row>
    <row r="1429" spans="1:5" x14ac:dyDescent="0.2">
      <c r="A1429" s="43">
        <v>40601</v>
      </c>
      <c r="D1429">
        <v>0.25</v>
      </c>
    </row>
    <row r="1430" spans="1:5" x14ac:dyDescent="0.2">
      <c r="A1430" s="43">
        <v>40602</v>
      </c>
      <c r="D1430">
        <v>0.25</v>
      </c>
    </row>
    <row r="1431" spans="1:5" x14ac:dyDescent="0.2">
      <c r="A1431" s="43">
        <v>40603</v>
      </c>
      <c r="B1431">
        <v>97.495999999999995</v>
      </c>
      <c r="C1431">
        <v>97.6</v>
      </c>
      <c r="D1431">
        <v>0.25</v>
      </c>
      <c r="E1431">
        <v>223.45400000000001</v>
      </c>
    </row>
    <row r="1432" spans="1:5" x14ac:dyDescent="0.2">
      <c r="A1432" s="43">
        <v>40604</v>
      </c>
      <c r="D1432">
        <v>0.25</v>
      </c>
    </row>
    <row r="1433" spans="1:5" x14ac:dyDescent="0.2">
      <c r="A1433" s="43">
        <v>40605</v>
      </c>
      <c r="D1433">
        <v>0.25</v>
      </c>
    </row>
    <row r="1434" spans="1:5" x14ac:dyDescent="0.2">
      <c r="A1434" s="43">
        <v>40606</v>
      </c>
      <c r="D1434">
        <v>0.25</v>
      </c>
    </row>
    <row r="1435" spans="1:5" x14ac:dyDescent="0.2">
      <c r="A1435" s="43">
        <v>40607</v>
      </c>
      <c r="D1435">
        <v>0.25</v>
      </c>
    </row>
    <row r="1436" spans="1:5" x14ac:dyDescent="0.2">
      <c r="A1436" s="43">
        <v>40608</v>
      </c>
      <c r="D1436">
        <v>0.25</v>
      </c>
    </row>
    <row r="1437" spans="1:5" x14ac:dyDescent="0.2">
      <c r="A1437" s="43">
        <v>40609</v>
      </c>
      <c r="D1437">
        <v>0.25</v>
      </c>
    </row>
    <row r="1438" spans="1:5" x14ac:dyDescent="0.2">
      <c r="A1438" s="43">
        <v>40610</v>
      </c>
      <c r="D1438">
        <v>0.25</v>
      </c>
    </row>
    <row r="1439" spans="1:5" x14ac:dyDescent="0.2">
      <c r="A1439" s="43">
        <v>40611</v>
      </c>
      <c r="D1439">
        <v>0.25</v>
      </c>
    </row>
    <row r="1440" spans="1:5" x14ac:dyDescent="0.2">
      <c r="A1440" s="43">
        <v>40612</v>
      </c>
      <c r="D1440">
        <v>0.25</v>
      </c>
    </row>
    <row r="1441" spans="1:4" x14ac:dyDescent="0.2">
      <c r="A1441" s="43">
        <v>40613</v>
      </c>
      <c r="D1441">
        <v>0.25</v>
      </c>
    </row>
    <row r="1442" spans="1:4" x14ac:dyDescent="0.2">
      <c r="A1442" s="43">
        <v>40614</v>
      </c>
      <c r="D1442">
        <v>0.25</v>
      </c>
    </row>
    <row r="1443" spans="1:4" x14ac:dyDescent="0.2">
      <c r="A1443" s="43">
        <v>40615</v>
      </c>
      <c r="D1443">
        <v>0.25</v>
      </c>
    </row>
    <row r="1444" spans="1:4" x14ac:dyDescent="0.2">
      <c r="A1444" s="43">
        <v>40616</v>
      </c>
      <c r="D1444">
        <v>0.25</v>
      </c>
    </row>
    <row r="1445" spans="1:4" x14ac:dyDescent="0.2">
      <c r="A1445" s="43">
        <v>40617</v>
      </c>
      <c r="D1445">
        <v>0.25</v>
      </c>
    </row>
    <row r="1446" spans="1:4" x14ac:dyDescent="0.2">
      <c r="A1446" s="43">
        <v>40618</v>
      </c>
      <c r="D1446">
        <v>0.25</v>
      </c>
    </row>
    <row r="1447" spans="1:4" x14ac:dyDescent="0.2">
      <c r="A1447" s="43">
        <v>40619</v>
      </c>
      <c r="D1447">
        <v>0.25</v>
      </c>
    </row>
    <row r="1448" spans="1:4" x14ac:dyDescent="0.2">
      <c r="A1448" s="43">
        <v>40620</v>
      </c>
      <c r="D1448">
        <v>0.25</v>
      </c>
    </row>
    <row r="1449" spans="1:4" x14ac:dyDescent="0.2">
      <c r="A1449" s="43">
        <v>40621</v>
      </c>
      <c r="D1449">
        <v>0.25</v>
      </c>
    </row>
    <row r="1450" spans="1:4" x14ac:dyDescent="0.2">
      <c r="A1450" s="43">
        <v>40622</v>
      </c>
      <c r="D1450">
        <v>0.25</v>
      </c>
    </row>
    <row r="1451" spans="1:4" x14ac:dyDescent="0.2">
      <c r="A1451" s="43">
        <v>40623</v>
      </c>
      <c r="D1451">
        <v>0.25</v>
      </c>
    </row>
    <row r="1452" spans="1:4" x14ac:dyDescent="0.2">
      <c r="A1452" s="43">
        <v>40624</v>
      </c>
      <c r="D1452">
        <v>0.25</v>
      </c>
    </row>
    <row r="1453" spans="1:4" x14ac:dyDescent="0.2">
      <c r="A1453" s="43">
        <v>40625</v>
      </c>
      <c r="D1453">
        <v>0.25</v>
      </c>
    </row>
    <row r="1454" spans="1:4" x14ac:dyDescent="0.2">
      <c r="A1454" s="43">
        <v>40626</v>
      </c>
      <c r="D1454">
        <v>0.25</v>
      </c>
    </row>
    <row r="1455" spans="1:4" x14ac:dyDescent="0.2">
      <c r="A1455" s="43">
        <v>40627</v>
      </c>
      <c r="D1455">
        <v>0.25</v>
      </c>
    </row>
    <row r="1456" spans="1:4" x14ac:dyDescent="0.2">
      <c r="A1456" s="43">
        <v>40628</v>
      </c>
      <c r="D1456">
        <v>0.25</v>
      </c>
    </row>
    <row r="1457" spans="1:5" x14ac:dyDescent="0.2">
      <c r="A1457" s="43">
        <v>40629</v>
      </c>
      <c r="D1457">
        <v>0.25</v>
      </c>
    </row>
    <row r="1458" spans="1:5" x14ac:dyDescent="0.2">
      <c r="A1458" s="43">
        <v>40630</v>
      </c>
      <c r="D1458">
        <v>0.25</v>
      </c>
    </row>
    <row r="1459" spans="1:5" x14ac:dyDescent="0.2">
      <c r="A1459" s="43">
        <v>40631</v>
      </c>
      <c r="D1459">
        <v>0.25</v>
      </c>
    </row>
    <row r="1460" spans="1:5" x14ac:dyDescent="0.2">
      <c r="A1460" s="43">
        <v>40632</v>
      </c>
      <c r="D1460">
        <v>0.25</v>
      </c>
    </row>
    <row r="1461" spans="1:5" x14ac:dyDescent="0.2">
      <c r="A1461" s="43">
        <v>40633</v>
      </c>
      <c r="D1461">
        <v>0.25</v>
      </c>
    </row>
    <row r="1462" spans="1:5" x14ac:dyDescent="0.2">
      <c r="A1462" s="43">
        <v>40634</v>
      </c>
      <c r="B1462">
        <v>97.908000000000001</v>
      </c>
      <c r="C1462">
        <v>97.823999999999998</v>
      </c>
      <c r="D1462">
        <v>0.25</v>
      </c>
      <c r="E1462">
        <v>223.727</v>
      </c>
    </row>
    <row r="1463" spans="1:5" x14ac:dyDescent="0.2">
      <c r="A1463" s="43">
        <v>40635</v>
      </c>
      <c r="D1463">
        <v>0.25</v>
      </c>
    </row>
    <row r="1464" spans="1:5" x14ac:dyDescent="0.2">
      <c r="A1464" s="43">
        <v>40636</v>
      </c>
      <c r="D1464">
        <v>0.25</v>
      </c>
    </row>
    <row r="1465" spans="1:5" x14ac:dyDescent="0.2">
      <c r="A1465" s="43">
        <v>40637</v>
      </c>
      <c r="D1465">
        <v>0.25</v>
      </c>
    </row>
    <row r="1466" spans="1:5" x14ac:dyDescent="0.2">
      <c r="A1466" s="43">
        <v>40638</v>
      </c>
      <c r="D1466">
        <v>0.25</v>
      </c>
    </row>
    <row r="1467" spans="1:5" x14ac:dyDescent="0.2">
      <c r="A1467" s="43">
        <v>40639</v>
      </c>
      <c r="D1467">
        <v>0.25</v>
      </c>
    </row>
    <row r="1468" spans="1:5" x14ac:dyDescent="0.2">
      <c r="A1468" s="43">
        <v>40640</v>
      </c>
      <c r="D1468">
        <v>0.25</v>
      </c>
    </row>
    <row r="1469" spans="1:5" x14ac:dyDescent="0.2">
      <c r="A1469" s="43">
        <v>40641</v>
      </c>
      <c r="D1469">
        <v>0.25</v>
      </c>
    </row>
    <row r="1470" spans="1:5" x14ac:dyDescent="0.2">
      <c r="A1470" s="43">
        <v>40642</v>
      </c>
      <c r="D1470">
        <v>0.25</v>
      </c>
    </row>
    <row r="1471" spans="1:5" x14ac:dyDescent="0.2">
      <c r="A1471" s="43">
        <v>40643</v>
      </c>
      <c r="D1471">
        <v>0.25</v>
      </c>
    </row>
    <row r="1472" spans="1:5" x14ac:dyDescent="0.2">
      <c r="A1472" s="43">
        <v>40644</v>
      </c>
      <c r="D1472">
        <v>0.25</v>
      </c>
    </row>
    <row r="1473" spans="1:4" x14ac:dyDescent="0.2">
      <c r="A1473" s="43">
        <v>40645</v>
      </c>
      <c r="D1473">
        <v>0.25</v>
      </c>
    </row>
    <row r="1474" spans="1:4" x14ac:dyDescent="0.2">
      <c r="A1474" s="43">
        <v>40646</v>
      </c>
      <c r="D1474">
        <v>0.25</v>
      </c>
    </row>
    <row r="1475" spans="1:4" x14ac:dyDescent="0.2">
      <c r="A1475" s="43">
        <v>40647</v>
      </c>
      <c r="D1475">
        <v>0.25</v>
      </c>
    </row>
    <row r="1476" spans="1:4" x14ac:dyDescent="0.2">
      <c r="A1476" s="43">
        <v>40648</v>
      </c>
      <c r="D1476">
        <v>0.25</v>
      </c>
    </row>
    <row r="1477" spans="1:4" x14ac:dyDescent="0.2">
      <c r="A1477" s="43">
        <v>40649</v>
      </c>
      <c r="D1477">
        <v>0.25</v>
      </c>
    </row>
    <row r="1478" spans="1:4" x14ac:dyDescent="0.2">
      <c r="A1478" s="43">
        <v>40650</v>
      </c>
      <c r="D1478">
        <v>0.25</v>
      </c>
    </row>
    <row r="1479" spans="1:4" x14ac:dyDescent="0.2">
      <c r="A1479" s="43">
        <v>40651</v>
      </c>
      <c r="D1479">
        <v>0.25</v>
      </c>
    </row>
    <row r="1480" spans="1:4" x14ac:dyDescent="0.2">
      <c r="A1480" s="43">
        <v>40652</v>
      </c>
      <c r="D1480">
        <v>0.25</v>
      </c>
    </row>
    <row r="1481" spans="1:4" x14ac:dyDescent="0.2">
      <c r="A1481" s="43">
        <v>40653</v>
      </c>
      <c r="D1481">
        <v>0.25</v>
      </c>
    </row>
    <row r="1482" spans="1:4" x14ac:dyDescent="0.2">
      <c r="A1482" s="43">
        <v>40654</v>
      </c>
      <c r="D1482">
        <v>0.25</v>
      </c>
    </row>
    <row r="1483" spans="1:4" x14ac:dyDescent="0.2">
      <c r="A1483" s="43">
        <v>40655</v>
      </c>
      <c r="D1483">
        <v>0.25</v>
      </c>
    </row>
    <row r="1484" spans="1:4" x14ac:dyDescent="0.2">
      <c r="A1484" s="43">
        <v>40656</v>
      </c>
      <c r="D1484">
        <v>0.25</v>
      </c>
    </row>
    <row r="1485" spans="1:4" x14ac:dyDescent="0.2">
      <c r="A1485" s="43">
        <v>40657</v>
      </c>
      <c r="D1485">
        <v>0.25</v>
      </c>
    </row>
    <row r="1486" spans="1:4" x14ac:dyDescent="0.2">
      <c r="A1486" s="43">
        <v>40658</v>
      </c>
      <c r="D1486">
        <v>0.25</v>
      </c>
    </row>
    <row r="1487" spans="1:4" x14ac:dyDescent="0.2">
      <c r="A1487" s="43">
        <v>40659</v>
      </c>
      <c r="D1487">
        <v>0.25</v>
      </c>
    </row>
    <row r="1488" spans="1:4" x14ac:dyDescent="0.2">
      <c r="A1488" s="43">
        <v>40660</v>
      </c>
      <c r="D1488">
        <v>0.25</v>
      </c>
    </row>
    <row r="1489" spans="1:5" x14ac:dyDescent="0.2">
      <c r="A1489" s="43">
        <v>40661</v>
      </c>
      <c r="D1489">
        <v>0.25</v>
      </c>
    </row>
    <row r="1490" spans="1:5" x14ac:dyDescent="0.2">
      <c r="A1490" s="43">
        <v>40662</v>
      </c>
      <c r="D1490">
        <v>0.25</v>
      </c>
    </row>
    <row r="1491" spans="1:5" x14ac:dyDescent="0.2">
      <c r="A1491" s="43">
        <v>40663</v>
      </c>
      <c r="D1491">
        <v>0.25</v>
      </c>
    </row>
    <row r="1492" spans="1:5" x14ac:dyDescent="0.2">
      <c r="A1492" s="43">
        <v>40664</v>
      </c>
      <c r="B1492">
        <v>98.206000000000003</v>
      </c>
      <c r="C1492">
        <v>98.057000000000002</v>
      </c>
      <c r="D1492">
        <v>0.25</v>
      </c>
      <c r="E1492">
        <v>224.17500000000001</v>
      </c>
    </row>
    <row r="1493" spans="1:5" x14ac:dyDescent="0.2">
      <c r="A1493" s="43">
        <v>40665</v>
      </c>
      <c r="D1493">
        <v>0.25</v>
      </c>
    </row>
    <row r="1494" spans="1:5" x14ac:dyDescent="0.2">
      <c r="A1494" s="43">
        <v>40666</v>
      </c>
      <c r="D1494">
        <v>0.25</v>
      </c>
    </row>
    <row r="1495" spans="1:5" x14ac:dyDescent="0.2">
      <c r="A1495" s="43">
        <v>40667</v>
      </c>
      <c r="D1495">
        <v>0.25</v>
      </c>
    </row>
    <row r="1496" spans="1:5" x14ac:dyDescent="0.2">
      <c r="A1496" s="43">
        <v>40668</v>
      </c>
      <c r="D1496">
        <v>0.25</v>
      </c>
    </row>
    <row r="1497" spans="1:5" x14ac:dyDescent="0.2">
      <c r="A1497" s="43">
        <v>40669</v>
      </c>
      <c r="D1497">
        <v>0.25</v>
      </c>
    </row>
    <row r="1498" spans="1:5" x14ac:dyDescent="0.2">
      <c r="A1498" s="43">
        <v>40670</v>
      </c>
      <c r="D1498">
        <v>0.25</v>
      </c>
    </row>
    <row r="1499" spans="1:5" x14ac:dyDescent="0.2">
      <c r="A1499" s="43">
        <v>40671</v>
      </c>
      <c r="D1499">
        <v>0.25</v>
      </c>
    </row>
    <row r="1500" spans="1:5" x14ac:dyDescent="0.2">
      <c r="A1500" s="43">
        <v>40672</v>
      </c>
      <c r="D1500">
        <v>0.25</v>
      </c>
    </row>
    <row r="1501" spans="1:5" x14ac:dyDescent="0.2">
      <c r="A1501" s="43">
        <v>40673</v>
      </c>
      <c r="D1501">
        <v>0.25</v>
      </c>
    </row>
    <row r="1502" spans="1:5" x14ac:dyDescent="0.2">
      <c r="A1502" s="43">
        <v>40674</v>
      </c>
      <c r="D1502">
        <v>0.25</v>
      </c>
    </row>
    <row r="1503" spans="1:5" x14ac:dyDescent="0.2">
      <c r="A1503" s="43">
        <v>40675</v>
      </c>
      <c r="D1503">
        <v>0.25</v>
      </c>
    </row>
    <row r="1504" spans="1:5" x14ac:dyDescent="0.2">
      <c r="A1504" s="43">
        <v>40676</v>
      </c>
      <c r="D1504">
        <v>0.25</v>
      </c>
    </row>
    <row r="1505" spans="1:4" x14ac:dyDescent="0.2">
      <c r="A1505" s="43">
        <v>40677</v>
      </c>
      <c r="D1505">
        <v>0.25</v>
      </c>
    </row>
    <row r="1506" spans="1:4" x14ac:dyDescent="0.2">
      <c r="A1506" s="43">
        <v>40678</v>
      </c>
      <c r="D1506">
        <v>0.25</v>
      </c>
    </row>
    <row r="1507" spans="1:4" x14ac:dyDescent="0.2">
      <c r="A1507" s="43">
        <v>40679</v>
      </c>
      <c r="D1507">
        <v>0.25</v>
      </c>
    </row>
    <row r="1508" spans="1:4" x14ac:dyDescent="0.2">
      <c r="A1508" s="43">
        <v>40680</v>
      </c>
      <c r="D1508">
        <v>0.25</v>
      </c>
    </row>
    <row r="1509" spans="1:4" x14ac:dyDescent="0.2">
      <c r="A1509" s="43">
        <v>40681</v>
      </c>
      <c r="D1509">
        <v>0.25</v>
      </c>
    </row>
    <row r="1510" spans="1:4" x14ac:dyDescent="0.2">
      <c r="A1510" s="43">
        <v>40682</v>
      </c>
      <c r="D1510">
        <v>0.25</v>
      </c>
    </row>
    <row r="1511" spans="1:4" x14ac:dyDescent="0.2">
      <c r="A1511" s="43">
        <v>40683</v>
      </c>
      <c r="D1511">
        <v>0.25</v>
      </c>
    </row>
    <row r="1512" spans="1:4" x14ac:dyDescent="0.2">
      <c r="A1512" s="43">
        <v>40684</v>
      </c>
      <c r="D1512">
        <v>0.25</v>
      </c>
    </row>
    <row r="1513" spans="1:4" x14ac:dyDescent="0.2">
      <c r="A1513" s="43">
        <v>40685</v>
      </c>
      <c r="D1513">
        <v>0.25</v>
      </c>
    </row>
    <row r="1514" spans="1:4" x14ac:dyDescent="0.2">
      <c r="A1514" s="43">
        <v>40686</v>
      </c>
      <c r="D1514">
        <v>0.25</v>
      </c>
    </row>
    <row r="1515" spans="1:4" x14ac:dyDescent="0.2">
      <c r="A1515" s="43">
        <v>40687</v>
      </c>
      <c r="D1515">
        <v>0.25</v>
      </c>
    </row>
    <row r="1516" spans="1:4" x14ac:dyDescent="0.2">
      <c r="A1516" s="43">
        <v>40688</v>
      </c>
      <c r="D1516">
        <v>0.25</v>
      </c>
    </row>
    <row r="1517" spans="1:4" x14ac:dyDescent="0.2">
      <c r="A1517" s="43">
        <v>40689</v>
      </c>
      <c r="D1517">
        <v>0.25</v>
      </c>
    </row>
    <row r="1518" spans="1:4" x14ac:dyDescent="0.2">
      <c r="A1518" s="43">
        <v>40690</v>
      </c>
      <c r="D1518">
        <v>0.25</v>
      </c>
    </row>
    <row r="1519" spans="1:4" x14ac:dyDescent="0.2">
      <c r="A1519" s="43">
        <v>40691</v>
      </c>
      <c r="D1519">
        <v>0.25</v>
      </c>
    </row>
    <row r="1520" spans="1:4" x14ac:dyDescent="0.2">
      <c r="A1520" s="43">
        <v>40692</v>
      </c>
      <c r="D1520">
        <v>0.25</v>
      </c>
    </row>
    <row r="1521" spans="1:5" x14ac:dyDescent="0.2">
      <c r="A1521" s="43">
        <v>40693</v>
      </c>
      <c r="D1521">
        <v>0.25</v>
      </c>
    </row>
    <row r="1522" spans="1:5" x14ac:dyDescent="0.2">
      <c r="A1522" s="43">
        <v>40694</v>
      </c>
      <c r="D1522">
        <v>0.25</v>
      </c>
    </row>
    <row r="1523" spans="1:5" x14ac:dyDescent="0.2">
      <c r="A1523" s="43">
        <v>40695</v>
      </c>
      <c r="B1523">
        <v>98.186000000000007</v>
      </c>
      <c r="C1523">
        <v>98.164000000000001</v>
      </c>
      <c r="D1523">
        <v>0.25</v>
      </c>
      <c r="E1523">
        <v>224.697</v>
      </c>
    </row>
    <row r="1524" spans="1:5" x14ac:dyDescent="0.2">
      <c r="A1524" s="43">
        <v>40696</v>
      </c>
      <c r="D1524">
        <v>0.25</v>
      </c>
    </row>
    <row r="1525" spans="1:5" x14ac:dyDescent="0.2">
      <c r="A1525" s="43">
        <v>40697</v>
      </c>
      <c r="D1525">
        <v>0.25</v>
      </c>
    </row>
    <row r="1526" spans="1:5" x14ac:dyDescent="0.2">
      <c r="A1526" s="43">
        <v>40698</v>
      </c>
      <c r="D1526">
        <v>0.25</v>
      </c>
    </row>
    <row r="1527" spans="1:5" x14ac:dyDescent="0.2">
      <c r="A1527" s="43">
        <v>40699</v>
      </c>
      <c r="D1527">
        <v>0.25</v>
      </c>
    </row>
    <row r="1528" spans="1:5" x14ac:dyDescent="0.2">
      <c r="A1528" s="43">
        <v>40700</v>
      </c>
      <c r="D1528">
        <v>0.25</v>
      </c>
    </row>
    <row r="1529" spans="1:5" x14ac:dyDescent="0.2">
      <c r="A1529" s="43">
        <v>40701</v>
      </c>
      <c r="D1529">
        <v>0.25</v>
      </c>
    </row>
    <row r="1530" spans="1:5" x14ac:dyDescent="0.2">
      <c r="A1530" s="43">
        <v>40702</v>
      </c>
      <c r="D1530">
        <v>0.25</v>
      </c>
    </row>
    <row r="1531" spans="1:5" x14ac:dyDescent="0.2">
      <c r="A1531" s="43">
        <v>40703</v>
      </c>
      <c r="D1531">
        <v>0.25</v>
      </c>
    </row>
    <row r="1532" spans="1:5" x14ac:dyDescent="0.2">
      <c r="A1532" s="43">
        <v>40704</v>
      </c>
      <c r="D1532">
        <v>0.25</v>
      </c>
    </row>
    <row r="1533" spans="1:5" x14ac:dyDescent="0.2">
      <c r="A1533" s="43">
        <v>40705</v>
      </c>
      <c r="D1533">
        <v>0.25</v>
      </c>
    </row>
    <row r="1534" spans="1:5" x14ac:dyDescent="0.2">
      <c r="A1534" s="43">
        <v>40706</v>
      </c>
      <c r="D1534">
        <v>0.25</v>
      </c>
    </row>
    <row r="1535" spans="1:5" x14ac:dyDescent="0.2">
      <c r="A1535" s="43">
        <v>40707</v>
      </c>
      <c r="D1535">
        <v>0.25</v>
      </c>
    </row>
    <row r="1536" spans="1:5" x14ac:dyDescent="0.2">
      <c r="A1536" s="43">
        <v>40708</v>
      </c>
      <c r="D1536">
        <v>0.25</v>
      </c>
    </row>
    <row r="1537" spans="1:4" x14ac:dyDescent="0.2">
      <c r="A1537" s="43">
        <v>40709</v>
      </c>
      <c r="D1537">
        <v>0.25</v>
      </c>
    </row>
    <row r="1538" spans="1:4" x14ac:dyDescent="0.2">
      <c r="A1538" s="43">
        <v>40710</v>
      </c>
      <c r="D1538">
        <v>0.25</v>
      </c>
    </row>
    <row r="1539" spans="1:4" x14ac:dyDescent="0.2">
      <c r="A1539" s="43">
        <v>40711</v>
      </c>
      <c r="D1539">
        <v>0.25</v>
      </c>
    </row>
    <row r="1540" spans="1:4" x14ac:dyDescent="0.2">
      <c r="A1540" s="43">
        <v>40712</v>
      </c>
      <c r="D1540">
        <v>0.25</v>
      </c>
    </row>
    <row r="1541" spans="1:4" x14ac:dyDescent="0.2">
      <c r="A1541" s="43">
        <v>40713</v>
      </c>
      <c r="D1541">
        <v>0.25</v>
      </c>
    </row>
    <row r="1542" spans="1:4" x14ac:dyDescent="0.2">
      <c r="A1542" s="43">
        <v>40714</v>
      </c>
      <c r="D1542">
        <v>0.25</v>
      </c>
    </row>
    <row r="1543" spans="1:4" x14ac:dyDescent="0.2">
      <c r="A1543" s="43">
        <v>40715</v>
      </c>
      <c r="D1543">
        <v>0.25</v>
      </c>
    </row>
    <row r="1544" spans="1:4" x14ac:dyDescent="0.2">
      <c r="A1544" s="43">
        <v>40716</v>
      </c>
      <c r="D1544">
        <v>0.25</v>
      </c>
    </row>
    <row r="1545" spans="1:4" x14ac:dyDescent="0.2">
      <c r="A1545" s="43">
        <v>40717</v>
      </c>
      <c r="D1545">
        <v>0.25</v>
      </c>
    </row>
    <row r="1546" spans="1:4" x14ac:dyDescent="0.2">
      <c r="A1546" s="43">
        <v>40718</v>
      </c>
      <c r="D1546">
        <v>0.25</v>
      </c>
    </row>
    <row r="1547" spans="1:4" x14ac:dyDescent="0.2">
      <c r="A1547" s="43">
        <v>40719</v>
      </c>
      <c r="D1547">
        <v>0.25</v>
      </c>
    </row>
    <row r="1548" spans="1:4" x14ac:dyDescent="0.2">
      <c r="A1548" s="43">
        <v>40720</v>
      </c>
      <c r="D1548">
        <v>0.25</v>
      </c>
    </row>
    <row r="1549" spans="1:4" x14ac:dyDescent="0.2">
      <c r="A1549" s="43">
        <v>40721</v>
      </c>
      <c r="D1549">
        <v>0.25</v>
      </c>
    </row>
    <row r="1550" spans="1:4" x14ac:dyDescent="0.2">
      <c r="A1550" s="43">
        <v>40722</v>
      </c>
      <c r="D1550">
        <v>0.25</v>
      </c>
    </row>
    <row r="1551" spans="1:4" x14ac:dyDescent="0.2">
      <c r="A1551" s="43">
        <v>40723</v>
      </c>
      <c r="D1551">
        <v>0.25</v>
      </c>
    </row>
    <row r="1552" spans="1:4" x14ac:dyDescent="0.2">
      <c r="A1552" s="43">
        <v>40724</v>
      </c>
      <c r="D1552">
        <v>0.25</v>
      </c>
    </row>
    <row r="1553" spans="1:5" x14ac:dyDescent="0.2">
      <c r="A1553" s="43">
        <v>40725</v>
      </c>
      <c r="B1553">
        <v>98.352999999999994</v>
      </c>
      <c r="C1553">
        <v>98.308999999999997</v>
      </c>
      <c r="D1553">
        <v>0.25</v>
      </c>
      <c r="E1553">
        <v>225.21799999999999</v>
      </c>
    </row>
    <row r="1554" spans="1:5" x14ac:dyDescent="0.2">
      <c r="A1554" s="43">
        <v>40726</v>
      </c>
      <c r="D1554">
        <v>0.25</v>
      </c>
    </row>
    <row r="1555" spans="1:5" x14ac:dyDescent="0.2">
      <c r="A1555" s="43">
        <v>40727</v>
      </c>
      <c r="D1555">
        <v>0.25</v>
      </c>
    </row>
    <row r="1556" spans="1:5" x14ac:dyDescent="0.2">
      <c r="A1556" s="43">
        <v>40728</v>
      </c>
      <c r="D1556">
        <v>0.25</v>
      </c>
    </row>
    <row r="1557" spans="1:5" x14ac:dyDescent="0.2">
      <c r="A1557" s="43">
        <v>40729</v>
      </c>
      <c r="D1557">
        <v>0.25</v>
      </c>
    </row>
    <row r="1558" spans="1:5" x14ac:dyDescent="0.2">
      <c r="A1558" s="43">
        <v>40730</v>
      </c>
      <c r="D1558">
        <v>0.25</v>
      </c>
    </row>
    <row r="1559" spans="1:5" x14ac:dyDescent="0.2">
      <c r="A1559" s="43">
        <v>40731</v>
      </c>
      <c r="D1559">
        <v>0.25</v>
      </c>
    </row>
    <row r="1560" spans="1:5" x14ac:dyDescent="0.2">
      <c r="A1560" s="43">
        <v>40732</v>
      </c>
      <c r="D1560">
        <v>0.25</v>
      </c>
    </row>
    <row r="1561" spans="1:5" x14ac:dyDescent="0.2">
      <c r="A1561" s="43">
        <v>40733</v>
      </c>
      <c r="D1561">
        <v>0.25</v>
      </c>
    </row>
    <row r="1562" spans="1:5" x14ac:dyDescent="0.2">
      <c r="A1562" s="43">
        <v>40734</v>
      </c>
      <c r="D1562">
        <v>0.25</v>
      </c>
    </row>
    <row r="1563" spans="1:5" x14ac:dyDescent="0.2">
      <c r="A1563" s="43">
        <v>40735</v>
      </c>
      <c r="D1563">
        <v>0.25</v>
      </c>
    </row>
    <row r="1564" spans="1:5" x14ac:dyDescent="0.2">
      <c r="A1564" s="43">
        <v>40736</v>
      </c>
      <c r="D1564">
        <v>0.25</v>
      </c>
    </row>
    <row r="1565" spans="1:5" x14ac:dyDescent="0.2">
      <c r="A1565" s="43">
        <v>40737</v>
      </c>
      <c r="D1565">
        <v>0.25</v>
      </c>
    </row>
    <row r="1566" spans="1:5" x14ac:dyDescent="0.2">
      <c r="A1566" s="43">
        <v>40738</v>
      </c>
      <c r="D1566">
        <v>0.25</v>
      </c>
    </row>
    <row r="1567" spans="1:5" x14ac:dyDescent="0.2">
      <c r="A1567" s="43">
        <v>40739</v>
      </c>
      <c r="D1567">
        <v>0.25</v>
      </c>
    </row>
    <row r="1568" spans="1:5" x14ac:dyDescent="0.2">
      <c r="A1568" s="43">
        <v>40740</v>
      </c>
      <c r="D1568">
        <v>0.25</v>
      </c>
    </row>
    <row r="1569" spans="1:5" x14ac:dyDescent="0.2">
      <c r="A1569" s="43">
        <v>40741</v>
      </c>
      <c r="D1569">
        <v>0.25</v>
      </c>
    </row>
    <row r="1570" spans="1:5" x14ac:dyDescent="0.2">
      <c r="A1570" s="43">
        <v>40742</v>
      </c>
      <c r="D1570">
        <v>0.25</v>
      </c>
    </row>
    <row r="1571" spans="1:5" x14ac:dyDescent="0.2">
      <c r="A1571" s="43">
        <v>40743</v>
      </c>
      <c r="D1571">
        <v>0.25</v>
      </c>
    </row>
    <row r="1572" spans="1:5" x14ac:dyDescent="0.2">
      <c r="A1572" s="43">
        <v>40744</v>
      </c>
      <c r="D1572">
        <v>0.25</v>
      </c>
    </row>
    <row r="1573" spans="1:5" x14ac:dyDescent="0.2">
      <c r="A1573" s="43">
        <v>40745</v>
      </c>
      <c r="D1573">
        <v>0.25</v>
      </c>
    </row>
    <row r="1574" spans="1:5" x14ac:dyDescent="0.2">
      <c r="A1574" s="43">
        <v>40746</v>
      </c>
      <c r="D1574">
        <v>0.25</v>
      </c>
    </row>
    <row r="1575" spans="1:5" x14ac:dyDescent="0.2">
      <c r="A1575" s="43">
        <v>40747</v>
      </c>
      <c r="D1575">
        <v>0.25</v>
      </c>
    </row>
    <row r="1576" spans="1:5" x14ac:dyDescent="0.2">
      <c r="A1576" s="43">
        <v>40748</v>
      </c>
      <c r="D1576">
        <v>0.25</v>
      </c>
    </row>
    <row r="1577" spans="1:5" x14ac:dyDescent="0.2">
      <c r="A1577" s="43">
        <v>40749</v>
      </c>
      <c r="D1577">
        <v>0.25</v>
      </c>
    </row>
    <row r="1578" spans="1:5" x14ac:dyDescent="0.2">
      <c r="A1578" s="43">
        <v>40750</v>
      </c>
      <c r="D1578">
        <v>0.25</v>
      </c>
    </row>
    <row r="1579" spans="1:5" x14ac:dyDescent="0.2">
      <c r="A1579" s="43">
        <v>40751</v>
      </c>
      <c r="D1579">
        <v>0.25</v>
      </c>
    </row>
    <row r="1580" spans="1:5" x14ac:dyDescent="0.2">
      <c r="A1580" s="43">
        <v>40752</v>
      </c>
      <c r="D1580">
        <v>0.25</v>
      </c>
    </row>
    <row r="1581" spans="1:5" x14ac:dyDescent="0.2">
      <c r="A1581" s="43">
        <v>40753</v>
      </c>
      <c r="D1581">
        <v>0.25</v>
      </c>
    </row>
    <row r="1582" spans="1:5" x14ac:dyDescent="0.2">
      <c r="A1582" s="43">
        <v>40754</v>
      </c>
      <c r="D1582">
        <v>0.25</v>
      </c>
    </row>
    <row r="1583" spans="1:5" x14ac:dyDescent="0.2">
      <c r="A1583" s="43">
        <v>40755</v>
      </c>
      <c r="D1583">
        <v>0.25</v>
      </c>
    </row>
    <row r="1584" spans="1:5" x14ac:dyDescent="0.2">
      <c r="A1584" s="43">
        <v>40756</v>
      </c>
      <c r="B1584">
        <v>98.584000000000003</v>
      </c>
      <c r="C1584">
        <v>98.504999999999995</v>
      </c>
      <c r="D1584">
        <v>0.25</v>
      </c>
      <c r="E1584">
        <v>225.86199999999999</v>
      </c>
    </row>
    <row r="1585" spans="1:4" x14ac:dyDescent="0.2">
      <c r="A1585" s="43">
        <v>40757</v>
      </c>
      <c r="D1585">
        <v>0.25</v>
      </c>
    </row>
    <row r="1586" spans="1:4" x14ac:dyDescent="0.2">
      <c r="A1586" s="43">
        <v>40758</v>
      </c>
      <c r="D1586">
        <v>0.25</v>
      </c>
    </row>
    <row r="1587" spans="1:4" x14ac:dyDescent="0.2">
      <c r="A1587" s="43">
        <v>40759</v>
      </c>
      <c r="D1587">
        <v>0.25</v>
      </c>
    </row>
    <row r="1588" spans="1:4" x14ac:dyDescent="0.2">
      <c r="A1588" s="43">
        <v>40760</v>
      </c>
      <c r="D1588">
        <v>0.25</v>
      </c>
    </row>
    <row r="1589" spans="1:4" x14ac:dyDescent="0.2">
      <c r="A1589" s="43">
        <v>40761</v>
      </c>
      <c r="D1589">
        <v>0.25</v>
      </c>
    </row>
    <row r="1590" spans="1:4" x14ac:dyDescent="0.2">
      <c r="A1590" s="43">
        <v>40762</v>
      </c>
      <c r="D1590">
        <v>0.25</v>
      </c>
    </row>
    <row r="1591" spans="1:4" x14ac:dyDescent="0.2">
      <c r="A1591" s="43">
        <v>40763</v>
      </c>
      <c r="D1591">
        <v>0.25</v>
      </c>
    </row>
    <row r="1592" spans="1:4" x14ac:dyDescent="0.2">
      <c r="A1592" s="43">
        <v>40764</v>
      </c>
      <c r="D1592">
        <v>0.25</v>
      </c>
    </row>
    <row r="1593" spans="1:4" x14ac:dyDescent="0.2">
      <c r="A1593" s="43">
        <v>40765</v>
      </c>
      <c r="D1593">
        <v>0.25</v>
      </c>
    </row>
    <row r="1594" spans="1:4" x14ac:dyDescent="0.2">
      <c r="A1594" s="43">
        <v>40766</v>
      </c>
      <c r="D1594">
        <v>0.25</v>
      </c>
    </row>
    <row r="1595" spans="1:4" x14ac:dyDescent="0.2">
      <c r="A1595" s="43">
        <v>40767</v>
      </c>
      <c r="D1595">
        <v>0.25</v>
      </c>
    </row>
    <row r="1596" spans="1:4" x14ac:dyDescent="0.2">
      <c r="A1596" s="43">
        <v>40768</v>
      </c>
      <c r="D1596">
        <v>0.25</v>
      </c>
    </row>
    <row r="1597" spans="1:4" x14ac:dyDescent="0.2">
      <c r="A1597" s="43">
        <v>40769</v>
      </c>
      <c r="D1597">
        <v>0.25</v>
      </c>
    </row>
    <row r="1598" spans="1:4" x14ac:dyDescent="0.2">
      <c r="A1598" s="43">
        <v>40770</v>
      </c>
      <c r="D1598">
        <v>0.25</v>
      </c>
    </row>
    <row r="1599" spans="1:4" x14ac:dyDescent="0.2">
      <c r="A1599" s="43">
        <v>40771</v>
      </c>
      <c r="D1599">
        <v>0.25</v>
      </c>
    </row>
    <row r="1600" spans="1:4" x14ac:dyDescent="0.2">
      <c r="A1600" s="43">
        <v>40772</v>
      </c>
      <c r="D1600">
        <v>0.25</v>
      </c>
    </row>
    <row r="1601" spans="1:5" x14ac:dyDescent="0.2">
      <c r="A1601" s="43">
        <v>40773</v>
      </c>
      <c r="D1601">
        <v>0.25</v>
      </c>
    </row>
    <row r="1602" spans="1:5" x14ac:dyDescent="0.2">
      <c r="A1602" s="43">
        <v>40774</v>
      </c>
      <c r="D1602">
        <v>0.25</v>
      </c>
    </row>
    <row r="1603" spans="1:5" x14ac:dyDescent="0.2">
      <c r="A1603" s="43">
        <v>40775</v>
      </c>
      <c r="D1603">
        <v>0.25</v>
      </c>
    </row>
    <row r="1604" spans="1:5" x14ac:dyDescent="0.2">
      <c r="A1604" s="43">
        <v>40776</v>
      </c>
      <c r="D1604">
        <v>0.25</v>
      </c>
    </row>
    <row r="1605" spans="1:5" x14ac:dyDescent="0.2">
      <c r="A1605" s="43">
        <v>40777</v>
      </c>
      <c r="D1605">
        <v>0.25</v>
      </c>
    </row>
    <row r="1606" spans="1:5" x14ac:dyDescent="0.2">
      <c r="A1606" s="43">
        <v>40778</v>
      </c>
      <c r="D1606">
        <v>0.25</v>
      </c>
    </row>
    <row r="1607" spans="1:5" x14ac:dyDescent="0.2">
      <c r="A1607" s="43">
        <v>40779</v>
      </c>
      <c r="D1607">
        <v>0.25</v>
      </c>
    </row>
    <row r="1608" spans="1:5" x14ac:dyDescent="0.2">
      <c r="A1608" s="43">
        <v>40780</v>
      </c>
      <c r="D1608">
        <v>0.25</v>
      </c>
    </row>
    <row r="1609" spans="1:5" x14ac:dyDescent="0.2">
      <c r="A1609" s="43">
        <v>40781</v>
      </c>
      <c r="D1609">
        <v>0.25</v>
      </c>
    </row>
    <row r="1610" spans="1:5" x14ac:dyDescent="0.2">
      <c r="A1610" s="43">
        <v>40782</v>
      </c>
      <c r="D1610">
        <v>0.25</v>
      </c>
    </row>
    <row r="1611" spans="1:5" x14ac:dyDescent="0.2">
      <c r="A1611" s="43">
        <v>40783</v>
      </c>
      <c r="D1611">
        <v>0.25</v>
      </c>
    </row>
    <row r="1612" spans="1:5" x14ac:dyDescent="0.2">
      <c r="A1612" s="43">
        <v>40784</v>
      </c>
      <c r="D1612">
        <v>0.25</v>
      </c>
    </row>
    <row r="1613" spans="1:5" x14ac:dyDescent="0.2">
      <c r="A1613" s="43">
        <v>40785</v>
      </c>
      <c r="D1613">
        <v>0.25</v>
      </c>
    </row>
    <row r="1614" spans="1:5" x14ac:dyDescent="0.2">
      <c r="A1614" s="43">
        <v>40786</v>
      </c>
      <c r="D1614">
        <v>0.25</v>
      </c>
    </row>
    <row r="1615" spans="1:5" x14ac:dyDescent="0.2">
      <c r="A1615" s="43">
        <v>40787</v>
      </c>
      <c r="B1615">
        <v>98.722999999999999</v>
      </c>
      <c r="C1615">
        <v>98.572000000000003</v>
      </c>
      <c r="D1615">
        <v>0.25</v>
      </c>
      <c r="E1615">
        <v>226.11799999999999</v>
      </c>
    </row>
    <row r="1616" spans="1:5" x14ac:dyDescent="0.2">
      <c r="A1616" s="43">
        <v>40788</v>
      </c>
      <c r="D1616">
        <v>0.25</v>
      </c>
    </row>
    <row r="1617" spans="1:4" x14ac:dyDescent="0.2">
      <c r="A1617" s="43">
        <v>40789</v>
      </c>
      <c r="D1617">
        <v>0.25</v>
      </c>
    </row>
    <row r="1618" spans="1:4" x14ac:dyDescent="0.2">
      <c r="A1618" s="43">
        <v>40790</v>
      </c>
      <c r="D1618">
        <v>0.25</v>
      </c>
    </row>
    <row r="1619" spans="1:4" x14ac:dyDescent="0.2">
      <c r="A1619" s="43">
        <v>40791</v>
      </c>
      <c r="D1619">
        <v>0.25</v>
      </c>
    </row>
    <row r="1620" spans="1:4" x14ac:dyDescent="0.2">
      <c r="A1620" s="43">
        <v>40792</v>
      </c>
      <c r="D1620">
        <v>0.25</v>
      </c>
    </row>
    <row r="1621" spans="1:4" x14ac:dyDescent="0.2">
      <c r="A1621" s="43">
        <v>40793</v>
      </c>
      <c r="D1621">
        <v>0.25</v>
      </c>
    </row>
    <row r="1622" spans="1:4" x14ac:dyDescent="0.2">
      <c r="A1622" s="43">
        <v>40794</v>
      </c>
      <c r="D1622">
        <v>0.25</v>
      </c>
    </row>
    <row r="1623" spans="1:4" x14ac:dyDescent="0.2">
      <c r="A1623" s="43">
        <v>40795</v>
      </c>
      <c r="D1623">
        <v>0.25</v>
      </c>
    </row>
    <row r="1624" spans="1:4" x14ac:dyDescent="0.2">
      <c r="A1624" s="43">
        <v>40796</v>
      </c>
      <c r="D1624">
        <v>0.25</v>
      </c>
    </row>
    <row r="1625" spans="1:4" x14ac:dyDescent="0.2">
      <c r="A1625" s="43">
        <v>40797</v>
      </c>
      <c r="D1625">
        <v>0.25</v>
      </c>
    </row>
    <row r="1626" spans="1:4" x14ac:dyDescent="0.2">
      <c r="A1626" s="43">
        <v>40798</v>
      </c>
      <c r="D1626">
        <v>0.25</v>
      </c>
    </row>
    <row r="1627" spans="1:4" x14ac:dyDescent="0.2">
      <c r="A1627" s="43">
        <v>40799</v>
      </c>
      <c r="D1627">
        <v>0.25</v>
      </c>
    </row>
    <row r="1628" spans="1:4" x14ac:dyDescent="0.2">
      <c r="A1628" s="43">
        <v>40800</v>
      </c>
      <c r="D1628">
        <v>0.25</v>
      </c>
    </row>
    <row r="1629" spans="1:4" x14ac:dyDescent="0.2">
      <c r="A1629" s="43">
        <v>40801</v>
      </c>
      <c r="D1629">
        <v>0.25</v>
      </c>
    </row>
    <row r="1630" spans="1:4" x14ac:dyDescent="0.2">
      <c r="A1630" s="43">
        <v>40802</v>
      </c>
      <c r="D1630">
        <v>0.25</v>
      </c>
    </row>
    <row r="1631" spans="1:4" x14ac:dyDescent="0.2">
      <c r="A1631" s="43">
        <v>40803</v>
      </c>
      <c r="D1631">
        <v>0.25</v>
      </c>
    </row>
    <row r="1632" spans="1:4" x14ac:dyDescent="0.2">
      <c r="A1632" s="43">
        <v>40804</v>
      </c>
      <c r="D1632">
        <v>0.25</v>
      </c>
    </row>
    <row r="1633" spans="1:5" x14ac:dyDescent="0.2">
      <c r="A1633" s="43">
        <v>40805</v>
      </c>
      <c r="D1633">
        <v>0.25</v>
      </c>
    </row>
    <row r="1634" spans="1:5" x14ac:dyDescent="0.2">
      <c r="A1634" s="43">
        <v>40806</v>
      </c>
      <c r="D1634">
        <v>0.25</v>
      </c>
    </row>
    <row r="1635" spans="1:5" x14ac:dyDescent="0.2">
      <c r="A1635" s="43">
        <v>40807</v>
      </c>
      <c r="D1635">
        <v>0.25</v>
      </c>
    </row>
    <row r="1636" spans="1:5" x14ac:dyDescent="0.2">
      <c r="A1636" s="43">
        <v>40808</v>
      </c>
      <c r="D1636">
        <v>0.25</v>
      </c>
    </row>
    <row r="1637" spans="1:5" x14ac:dyDescent="0.2">
      <c r="A1637" s="43">
        <v>40809</v>
      </c>
      <c r="D1637">
        <v>0.25</v>
      </c>
    </row>
    <row r="1638" spans="1:5" x14ac:dyDescent="0.2">
      <c r="A1638" s="43">
        <v>40810</v>
      </c>
      <c r="D1638">
        <v>0.25</v>
      </c>
    </row>
    <row r="1639" spans="1:5" x14ac:dyDescent="0.2">
      <c r="A1639" s="43">
        <v>40811</v>
      </c>
      <c r="D1639">
        <v>0.25</v>
      </c>
    </row>
    <row r="1640" spans="1:5" x14ac:dyDescent="0.2">
      <c r="A1640" s="43">
        <v>40812</v>
      </c>
      <c r="D1640">
        <v>0.25</v>
      </c>
    </row>
    <row r="1641" spans="1:5" x14ac:dyDescent="0.2">
      <c r="A1641" s="43">
        <v>40813</v>
      </c>
      <c r="D1641">
        <v>0.25</v>
      </c>
    </row>
    <row r="1642" spans="1:5" x14ac:dyDescent="0.2">
      <c r="A1642" s="43">
        <v>40814</v>
      </c>
      <c r="D1642">
        <v>0.25</v>
      </c>
    </row>
    <row r="1643" spans="1:5" x14ac:dyDescent="0.2">
      <c r="A1643" s="43">
        <v>40815</v>
      </c>
      <c r="D1643">
        <v>0.25</v>
      </c>
    </row>
    <row r="1644" spans="1:5" x14ac:dyDescent="0.2">
      <c r="A1644" s="43">
        <v>40816</v>
      </c>
      <c r="D1644">
        <v>0.25</v>
      </c>
    </row>
    <row r="1645" spans="1:5" x14ac:dyDescent="0.2">
      <c r="A1645" s="43">
        <v>40817</v>
      </c>
      <c r="B1645">
        <v>98.724999999999994</v>
      </c>
      <c r="C1645">
        <v>98.619</v>
      </c>
      <c r="D1645">
        <v>0.25</v>
      </c>
      <c r="E1645">
        <v>226.506</v>
      </c>
    </row>
    <row r="1646" spans="1:5" x14ac:dyDescent="0.2">
      <c r="A1646" s="43">
        <v>40818</v>
      </c>
      <c r="D1646">
        <v>0.25</v>
      </c>
    </row>
    <row r="1647" spans="1:5" x14ac:dyDescent="0.2">
      <c r="A1647" s="43">
        <v>40819</v>
      </c>
      <c r="D1647">
        <v>0.25</v>
      </c>
    </row>
    <row r="1648" spans="1:5" x14ac:dyDescent="0.2">
      <c r="A1648" s="43">
        <v>40820</v>
      </c>
      <c r="D1648">
        <v>0.25</v>
      </c>
    </row>
    <row r="1649" spans="1:4" x14ac:dyDescent="0.2">
      <c r="A1649" s="43">
        <v>40821</v>
      </c>
      <c r="D1649">
        <v>0.25</v>
      </c>
    </row>
    <row r="1650" spans="1:4" x14ac:dyDescent="0.2">
      <c r="A1650" s="43">
        <v>40822</v>
      </c>
      <c r="D1650">
        <v>0.25</v>
      </c>
    </row>
    <row r="1651" spans="1:4" x14ac:dyDescent="0.2">
      <c r="A1651" s="43">
        <v>40823</v>
      </c>
      <c r="D1651">
        <v>0.25</v>
      </c>
    </row>
    <row r="1652" spans="1:4" x14ac:dyDescent="0.2">
      <c r="A1652" s="43">
        <v>40824</v>
      </c>
      <c r="D1652">
        <v>0.25</v>
      </c>
    </row>
    <row r="1653" spans="1:4" x14ac:dyDescent="0.2">
      <c r="A1653" s="43">
        <v>40825</v>
      </c>
      <c r="D1653">
        <v>0.25</v>
      </c>
    </row>
    <row r="1654" spans="1:4" x14ac:dyDescent="0.2">
      <c r="A1654" s="43">
        <v>40826</v>
      </c>
      <c r="D1654">
        <v>0.25</v>
      </c>
    </row>
    <row r="1655" spans="1:4" x14ac:dyDescent="0.2">
      <c r="A1655" s="43">
        <v>40827</v>
      </c>
      <c r="D1655">
        <v>0.25</v>
      </c>
    </row>
    <row r="1656" spans="1:4" x14ac:dyDescent="0.2">
      <c r="A1656" s="43">
        <v>40828</v>
      </c>
      <c r="D1656">
        <v>0.25</v>
      </c>
    </row>
    <row r="1657" spans="1:4" x14ac:dyDescent="0.2">
      <c r="A1657" s="43">
        <v>40829</v>
      </c>
      <c r="D1657">
        <v>0.25</v>
      </c>
    </row>
    <row r="1658" spans="1:4" x14ac:dyDescent="0.2">
      <c r="A1658" s="43">
        <v>40830</v>
      </c>
      <c r="D1658">
        <v>0.25</v>
      </c>
    </row>
    <row r="1659" spans="1:4" x14ac:dyDescent="0.2">
      <c r="A1659" s="43">
        <v>40831</v>
      </c>
      <c r="D1659">
        <v>0.25</v>
      </c>
    </row>
    <row r="1660" spans="1:4" x14ac:dyDescent="0.2">
      <c r="A1660" s="43">
        <v>40832</v>
      </c>
      <c r="D1660">
        <v>0.25</v>
      </c>
    </row>
    <row r="1661" spans="1:4" x14ac:dyDescent="0.2">
      <c r="A1661" s="43">
        <v>40833</v>
      </c>
      <c r="D1661">
        <v>0.25</v>
      </c>
    </row>
    <row r="1662" spans="1:4" x14ac:dyDescent="0.2">
      <c r="A1662" s="43">
        <v>40834</v>
      </c>
      <c r="D1662">
        <v>0.25</v>
      </c>
    </row>
    <row r="1663" spans="1:4" x14ac:dyDescent="0.2">
      <c r="A1663" s="43">
        <v>40835</v>
      </c>
      <c r="D1663">
        <v>0.25</v>
      </c>
    </row>
    <row r="1664" spans="1:4" x14ac:dyDescent="0.2">
      <c r="A1664" s="43">
        <v>40836</v>
      </c>
      <c r="D1664">
        <v>0.25</v>
      </c>
    </row>
    <row r="1665" spans="1:5" x14ac:dyDescent="0.2">
      <c r="A1665" s="43">
        <v>40837</v>
      </c>
      <c r="D1665">
        <v>0.25</v>
      </c>
    </row>
    <row r="1666" spans="1:5" x14ac:dyDescent="0.2">
      <c r="A1666" s="43">
        <v>40838</v>
      </c>
      <c r="D1666">
        <v>0.25</v>
      </c>
    </row>
    <row r="1667" spans="1:5" x14ac:dyDescent="0.2">
      <c r="A1667" s="43">
        <v>40839</v>
      </c>
      <c r="D1667">
        <v>0.25</v>
      </c>
    </row>
    <row r="1668" spans="1:5" x14ac:dyDescent="0.2">
      <c r="A1668" s="43">
        <v>40840</v>
      </c>
      <c r="D1668">
        <v>0.25</v>
      </c>
    </row>
    <row r="1669" spans="1:5" x14ac:dyDescent="0.2">
      <c r="A1669" s="43">
        <v>40841</v>
      </c>
      <c r="D1669">
        <v>0.25</v>
      </c>
    </row>
    <row r="1670" spans="1:5" x14ac:dyDescent="0.2">
      <c r="A1670" s="43">
        <v>40842</v>
      </c>
      <c r="D1670">
        <v>0.25</v>
      </c>
    </row>
    <row r="1671" spans="1:5" x14ac:dyDescent="0.2">
      <c r="A1671" s="43">
        <v>40843</v>
      </c>
      <c r="D1671">
        <v>0.25</v>
      </c>
    </row>
    <row r="1672" spans="1:5" x14ac:dyDescent="0.2">
      <c r="A1672" s="43">
        <v>40844</v>
      </c>
      <c r="D1672">
        <v>0.25</v>
      </c>
    </row>
    <row r="1673" spans="1:5" x14ac:dyDescent="0.2">
      <c r="A1673" s="43">
        <v>40845</v>
      </c>
      <c r="D1673">
        <v>0.25</v>
      </c>
    </row>
    <row r="1674" spans="1:5" x14ac:dyDescent="0.2">
      <c r="A1674" s="43">
        <v>40846</v>
      </c>
      <c r="D1674">
        <v>0.25</v>
      </c>
    </row>
    <row r="1675" spans="1:5" x14ac:dyDescent="0.2">
      <c r="A1675" s="43">
        <v>40847</v>
      </c>
      <c r="D1675">
        <v>0.25</v>
      </c>
    </row>
    <row r="1676" spans="1:5" x14ac:dyDescent="0.2">
      <c r="A1676" s="43">
        <v>40848</v>
      </c>
      <c r="B1676">
        <v>98.927999999999997</v>
      </c>
      <c r="C1676">
        <v>98.828000000000003</v>
      </c>
      <c r="D1676">
        <v>0.25</v>
      </c>
      <c r="E1676">
        <v>226.899</v>
      </c>
    </row>
    <row r="1677" spans="1:5" x14ac:dyDescent="0.2">
      <c r="A1677" s="43">
        <v>40849</v>
      </c>
      <c r="D1677">
        <v>0.25</v>
      </c>
    </row>
    <row r="1678" spans="1:5" x14ac:dyDescent="0.2">
      <c r="A1678" s="43">
        <v>40850</v>
      </c>
      <c r="D1678">
        <v>0.25</v>
      </c>
    </row>
    <row r="1679" spans="1:5" x14ac:dyDescent="0.2">
      <c r="A1679" s="43">
        <v>40851</v>
      </c>
      <c r="D1679">
        <v>0.25</v>
      </c>
    </row>
    <row r="1680" spans="1:5" x14ac:dyDescent="0.2">
      <c r="A1680" s="43">
        <v>40852</v>
      </c>
      <c r="D1680">
        <v>0.25</v>
      </c>
    </row>
    <row r="1681" spans="1:4" x14ac:dyDescent="0.2">
      <c r="A1681" s="43">
        <v>40853</v>
      </c>
      <c r="D1681">
        <v>0.25</v>
      </c>
    </row>
    <row r="1682" spans="1:4" x14ac:dyDescent="0.2">
      <c r="A1682" s="43">
        <v>40854</v>
      </c>
      <c r="D1682">
        <v>0.25</v>
      </c>
    </row>
    <row r="1683" spans="1:4" x14ac:dyDescent="0.2">
      <c r="A1683" s="43">
        <v>40855</v>
      </c>
      <c r="D1683">
        <v>0.25</v>
      </c>
    </row>
    <row r="1684" spans="1:4" x14ac:dyDescent="0.2">
      <c r="A1684" s="43">
        <v>40856</v>
      </c>
      <c r="D1684">
        <v>0.25</v>
      </c>
    </row>
    <row r="1685" spans="1:4" x14ac:dyDescent="0.2">
      <c r="A1685" s="43">
        <v>40857</v>
      </c>
      <c r="D1685">
        <v>0.25</v>
      </c>
    </row>
    <row r="1686" spans="1:4" x14ac:dyDescent="0.2">
      <c r="A1686" s="43">
        <v>40858</v>
      </c>
      <c r="D1686">
        <v>0.25</v>
      </c>
    </row>
    <row r="1687" spans="1:4" x14ac:dyDescent="0.2">
      <c r="A1687" s="43">
        <v>40859</v>
      </c>
      <c r="D1687">
        <v>0.25</v>
      </c>
    </row>
    <row r="1688" spans="1:4" x14ac:dyDescent="0.2">
      <c r="A1688" s="43">
        <v>40860</v>
      </c>
      <c r="D1688">
        <v>0.25</v>
      </c>
    </row>
    <row r="1689" spans="1:4" x14ac:dyDescent="0.2">
      <c r="A1689" s="43">
        <v>40861</v>
      </c>
      <c r="D1689">
        <v>0.25</v>
      </c>
    </row>
    <row r="1690" spans="1:4" x14ac:dyDescent="0.2">
      <c r="A1690" s="43">
        <v>40862</v>
      </c>
      <c r="D1690">
        <v>0.25</v>
      </c>
    </row>
    <row r="1691" spans="1:4" x14ac:dyDescent="0.2">
      <c r="A1691" s="43">
        <v>40863</v>
      </c>
      <c r="D1691">
        <v>0.25</v>
      </c>
    </row>
    <row r="1692" spans="1:4" x14ac:dyDescent="0.2">
      <c r="A1692" s="43">
        <v>40864</v>
      </c>
      <c r="D1692">
        <v>0.25</v>
      </c>
    </row>
    <row r="1693" spans="1:4" x14ac:dyDescent="0.2">
      <c r="A1693" s="43">
        <v>40865</v>
      </c>
      <c r="D1693">
        <v>0.25</v>
      </c>
    </row>
    <row r="1694" spans="1:4" x14ac:dyDescent="0.2">
      <c r="A1694" s="43">
        <v>40866</v>
      </c>
      <c r="D1694">
        <v>0.25</v>
      </c>
    </row>
    <row r="1695" spans="1:4" x14ac:dyDescent="0.2">
      <c r="A1695" s="43">
        <v>40867</v>
      </c>
      <c r="D1695">
        <v>0.25</v>
      </c>
    </row>
    <row r="1696" spans="1:4" x14ac:dyDescent="0.2">
      <c r="A1696" s="43">
        <v>40868</v>
      </c>
      <c r="D1696">
        <v>0.25</v>
      </c>
    </row>
    <row r="1697" spans="1:5" x14ac:dyDescent="0.2">
      <c r="A1697" s="43">
        <v>40869</v>
      </c>
      <c r="D1697">
        <v>0.25</v>
      </c>
    </row>
    <row r="1698" spans="1:5" x14ac:dyDescent="0.2">
      <c r="A1698" s="43">
        <v>40870</v>
      </c>
      <c r="D1698">
        <v>0.25</v>
      </c>
    </row>
    <row r="1699" spans="1:5" x14ac:dyDescent="0.2">
      <c r="A1699" s="43">
        <v>40871</v>
      </c>
      <c r="D1699">
        <v>0.25</v>
      </c>
    </row>
    <row r="1700" spans="1:5" x14ac:dyDescent="0.2">
      <c r="A1700" s="43">
        <v>40872</v>
      </c>
      <c r="D1700">
        <v>0.25</v>
      </c>
    </row>
    <row r="1701" spans="1:5" x14ac:dyDescent="0.2">
      <c r="A1701" s="43">
        <v>40873</v>
      </c>
      <c r="D1701">
        <v>0.25</v>
      </c>
    </row>
    <row r="1702" spans="1:5" x14ac:dyDescent="0.2">
      <c r="A1702" s="43">
        <v>40874</v>
      </c>
      <c r="D1702">
        <v>0.25</v>
      </c>
    </row>
    <row r="1703" spans="1:5" x14ac:dyDescent="0.2">
      <c r="A1703" s="43">
        <v>40875</v>
      </c>
      <c r="D1703">
        <v>0.25</v>
      </c>
    </row>
    <row r="1704" spans="1:5" x14ac:dyDescent="0.2">
      <c r="A1704" s="43">
        <v>40876</v>
      </c>
      <c r="D1704">
        <v>0.25</v>
      </c>
    </row>
    <row r="1705" spans="1:5" x14ac:dyDescent="0.2">
      <c r="A1705" s="43">
        <v>40877</v>
      </c>
      <c r="D1705">
        <v>0.25</v>
      </c>
    </row>
    <row r="1706" spans="1:5" x14ac:dyDescent="0.2">
      <c r="A1706" s="43">
        <v>40878</v>
      </c>
      <c r="B1706">
        <v>98.983999999999995</v>
      </c>
      <c r="C1706">
        <v>98.992000000000004</v>
      </c>
      <c r="D1706">
        <v>0.25</v>
      </c>
      <c r="E1706">
        <v>227.405</v>
      </c>
    </row>
    <row r="1707" spans="1:5" x14ac:dyDescent="0.2">
      <c r="A1707" s="43">
        <v>40879</v>
      </c>
      <c r="D1707">
        <v>0.25</v>
      </c>
    </row>
    <row r="1708" spans="1:5" x14ac:dyDescent="0.2">
      <c r="A1708" s="43">
        <v>40880</v>
      </c>
      <c r="D1708">
        <v>0.25</v>
      </c>
    </row>
    <row r="1709" spans="1:5" x14ac:dyDescent="0.2">
      <c r="A1709" s="43">
        <v>40881</v>
      </c>
      <c r="D1709">
        <v>0.25</v>
      </c>
    </row>
    <row r="1710" spans="1:5" x14ac:dyDescent="0.2">
      <c r="A1710" s="43">
        <v>40882</v>
      </c>
      <c r="D1710">
        <v>0.25</v>
      </c>
    </row>
    <row r="1711" spans="1:5" x14ac:dyDescent="0.2">
      <c r="A1711" s="43">
        <v>40883</v>
      </c>
      <c r="D1711">
        <v>0.25</v>
      </c>
    </row>
    <row r="1712" spans="1:5" x14ac:dyDescent="0.2">
      <c r="A1712" s="43">
        <v>40884</v>
      </c>
      <c r="D1712">
        <v>0.25</v>
      </c>
    </row>
    <row r="1713" spans="1:4" x14ac:dyDescent="0.2">
      <c r="A1713" s="43">
        <v>40885</v>
      </c>
      <c r="D1713">
        <v>0.25</v>
      </c>
    </row>
    <row r="1714" spans="1:4" x14ac:dyDescent="0.2">
      <c r="A1714" s="43">
        <v>40886</v>
      </c>
      <c r="D1714">
        <v>0.25</v>
      </c>
    </row>
    <row r="1715" spans="1:4" x14ac:dyDescent="0.2">
      <c r="A1715" s="43">
        <v>40887</v>
      </c>
      <c r="D1715">
        <v>0.25</v>
      </c>
    </row>
    <row r="1716" spans="1:4" x14ac:dyDescent="0.2">
      <c r="A1716" s="43">
        <v>40888</v>
      </c>
      <c r="D1716">
        <v>0.25</v>
      </c>
    </row>
    <row r="1717" spans="1:4" x14ac:dyDescent="0.2">
      <c r="A1717" s="43">
        <v>40889</v>
      </c>
      <c r="D1717">
        <v>0.25</v>
      </c>
    </row>
    <row r="1718" spans="1:4" x14ac:dyDescent="0.2">
      <c r="A1718" s="43">
        <v>40890</v>
      </c>
      <c r="D1718">
        <v>0.25</v>
      </c>
    </row>
    <row r="1719" spans="1:4" x14ac:dyDescent="0.2">
      <c r="A1719" s="43">
        <v>40891</v>
      </c>
      <c r="D1719">
        <v>0.25</v>
      </c>
    </row>
    <row r="1720" spans="1:4" x14ac:dyDescent="0.2">
      <c r="A1720" s="43">
        <v>40892</v>
      </c>
      <c r="D1720">
        <v>0.25</v>
      </c>
    </row>
    <row r="1721" spans="1:4" x14ac:dyDescent="0.2">
      <c r="A1721" s="43">
        <v>40893</v>
      </c>
      <c r="D1721">
        <v>0.25</v>
      </c>
    </row>
    <row r="1722" spans="1:4" x14ac:dyDescent="0.2">
      <c r="A1722" s="43">
        <v>40894</v>
      </c>
      <c r="D1722">
        <v>0.25</v>
      </c>
    </row>
    <row r="1723" spans="1:4" x14ac:dyDescent="0.2">
      <c r="A1723" s="43">
        <v>40895</v>
      </c>
      <c r="D1723">
        <v>0.25</v>
      </c>
    </row>
    <row r="1724" spans="1:4" x14ac:dyDescent="0.2">
      <c r="A1724" s="43">
        <v>40896</v>
      </c>
      <c r="D1724">
        <v>0.25</v>
      </c>
    </row>
    <row r="1725" spans="1:4" x14ac:dyDescent="0.2">
      <c r="A1725" s="43">
        <v>40897</v>
      </c>
      <c r="D1725">
        <v>0.25</v>
      </c>
    </row>
    <row r="1726" spans="1:4" x14ac:dyDescent="0.2">
      <c r="A1726" s="43">
        <v>40898</v>
      </c>
      <c r="D1726">
        <v>0.25</v>
      </c>
    </row>
    <row r="1727" spans="1:4" x14ac:dyDescent="0.2">
      <c r="A1727" s="43">
        <v>40899</v>
      </c>
      <c r="D1727">
        <v>0.25</v>
      </c>
    </row>
    <row r="1728" spans="1:4" x14ac:dyDescent="0.2">
      <c r="A1728" s="43">
        <v>40900</v>
      </c>
      <c r="D1728">
        <v>0.25</v>
      </c>
    </row>
    <row r="1729" spans="1:5" x14ac:dyDescent="0.2">
      <c r="A1729" s="43">
        <v>40901</v>
      </c>
      <c r="D1729">
        <v>0.25</v>
      </c>
    </row>
    <row r="1730" spans="1:5" x14ac:dyDescent="0.2">
      <c r="A1730" s="43">
        <v>40902</v>
      </c>
      <c r="D1730">
        <v>0.25</v>
      </c>
    </row>
    <row r="1731" spans="1:5" x14ac:dyDescent="0.2">
      <c r="A1731" s="43">
        <v>40903</v>
      </c>
      <c r="D1731">
        <v>0.25</v>
      </c>
    </row>
    <row r="1732" spans="1:5" x14ac:dyDescent="0.2">
      <c r="A1732" s="43">
        <v>40904</v>
      </c>
      <c r="D1732">
        <v>0.25</v>
      </c>
    </row>
    <row r="1733" spans="1:5" x14ac:dyDescent="0.2">
      <c r="A1733" s="43">
        <v>40905</v>
      </c>
      <c r="D1733">
        <v>0.25</v>
      </c>
    </row>
    <row r="1734" spans="1:5" x14ac:dyDescent="0.2">
      <c r="A1734" s="43">
        <v>40906</v>
      </c>
      <c r="D1734">
        <v>0.25</v>
      </c>
    </row>
    <row r="1735" spans="1:5" x14ac:dyDescent="0.2">
      <c r="A1735" s="43">
        <v>40907</v>
      </c>
      <c r="D1735">
        <v>0.25</v>
      </c>
    </row>
    <row r="1736" spans="1:5" x14ac:dyDescent="0.2">
      <c r="A1736" s="43">
        <v>40908</v>
      </c>
      <c r="D1736">
        <v>0.25</v>
      </c>
    </row>
    <row r="1737" spans="1:5" x14ac:dyDescent="0.2">
      <c r="A1737" s="43">
        <v>40909</v>
      </c>
      <c r="B1737">
        <v>99.322999999999993</v>
      </c>
      <c r="C1737">
        <v>99.287999999999997</v>
      </c>
      <c r="D1737">
        <v>0.25</v>
      </c>
      <c r="E1737">
        <v>227.87700000000001</v>
      </c>
    </row>
    <row r="1738" spans="1:5" x14ac:dyDescent="0.2">
      <c r="A1738" s="43">
        <v>40910</v>
      </c>
      <c r="D1738">
        <v>0.25</v>
      </c>
    </row>
    <row r="1739" spans="1:5" x14ac:dyDescent="0.2">
      <c r="A1739" s="43">
        <v>40911</v>
      </c>
      <c r="D1739">
        <v>0.25</v>
      </c>
    </row>
    <row r="1740" spans="1:5" x14ac:dyDescent="0.2">
      <c r="A1740" s="43">
        <v>40912</v>
      </c>
      <c r="D1740">
        <v>0.25</v>
      </c>
    </row>
    <row r="1741" spans="1:5" x14ac:dyDescent="0.2">
      <c r="A1741" s="43">
        <v>40913</v>
      </c>
      <c r="D1741">
        <v>0.25</v>
      </c>
    </row>
    <row r="1742" spans="1:5" x14ac:dyDescent="0.2">
      <c r="A1742" s="43">
        <v>40914</v>
      </c>
      <c r="D1742">
        <v>0.25</v>
      </c>
    </row>
    <row r="1743" spans="1:5" x14ac:dyDescent="0.2">
      <c r="A1743" s="43">
        <v>40915</v>
      </c>
      <c r="D1743">
        <v>0.25</v>
      </c>
    </row>
    <row r="1744" spans="1:5" x14ac:dyDescent="0.2">
      <c r="A1744" s="43">
        <v>40916</v>
      </c>
      <c r="D1744">
        <v>0.25</v>
      </c>
    </row>
    <row r="1745" spans="1:4" x14ac:dyDescent="0.2">
      <c r="A1745" s="43">
        <v>40917</v>
      </c>
      <c r="D1745">
        <v>0.25</v>
      </c>
    </row>
    <row r="1746" spans="1:4" x14ac:dyDescent="0.2">
      <c r="A1746" s="43">
        <v>40918</v>
      </c>
      <c r="D1746">
        <v>0.25</v>
      </c>
    </row>
    <row r="1747" spans="1:4" x14ac:dyDescent="0.2">
      <c r="A1747" s="43">
        <v>40919</v>
      </c>
      <c r="D1747">
        <v>0.25</v>
      </c>
    </row>
    <row r="1748" spans="1:4" x14ac:dyDescent="0.2">
      <c r="A1748" s="43">
        <v>40920</v>
      </c>
      <c r="D1748">
        <v>0.25</v>
      </c>
    </row>
    <row r="1749" spans="1:4" x14ac:dyDescent="0.2">
      <c r="A1749" s="43">
        <v>40921</v>
      </c>
      <c r="D1749">
        <v>0.25</v>
      </c>
    </row>
    <row r="1750" spans="1:4" x14ac:dyDescent="0.2">
      <c r="A1750" s="43">
        <v>40922</v>
      </c>
      <c r="D1750">
        <v>0.25</v>
      </c>
    </row>
    <row r="1751" spans="1:4" x14ac:dyDescent="0.2">
      <c r="A1751" s="43">
        <v>40923</v>
      </c>
      <c r="D1751">
        <v>0.25</v>
      </c>
    </row>
    <row r="1752" spans="1:4" x14ac:dyDescent="0.2">
      <c r="A1752" s="43">
        <v>40924</v>
      </c>
      <c r="D1752">
        <v>0.25</v>
      </c>
    </row>
    <row r="1753" spans="1:4" x14ac:dyDescent="0.2">
      <c r="A1753" s="43">
        <v>40925</v>
      </c>
      <c r="D1753">
        <v>0.25</v>
      </c>
    </row>
    <row r="1754" spans="1:4" x14ac:dyDescent="0.2">
      <c r="A1754" s="43">
        <v>40926</v>
      </c>
      <c r="D1754">
        <v>0.25</v>
      </c>
    </row>
    <row r="1755" spans="1:4" x14ac:dyDescent="0.2">
      <c r="A1755" s="43">
        <v>40927</v>
      </c>
      <c r="D1755">
        <v>0.25</v>
      </c>
    </row>
    <row r="1756" spans="1:4" x14ac:dyDescent="0.2">
      <c r="A1756" s="43">
        <v>40928</v>
      </c>
      <c r="D1756">
        <v>0.25</v>
      </c>
    </row>
    <row r="1757" spans="1:4" x14ac:dyDescent="0.2">
      <c r="A1757" s="43">
        <v>40929</v>
      </c>
      <c r="D1757">
        <v>0.25</v>
      </c>
    </row>
    <row r="1758" spans="1:4" x14ac:dyDescent="0.2">
      <c r="A1758" s="43">
        <v>40930</v>
      </c>
      <c r="D1758">
        <v>0.25</v>
      </c>
    </row>
    <row r="1759" spans="1:4" x14ac:dyDescent="0.2">
      <c r="A1759" s="43">
        <v>40931</v>
      </c>
      <c r="D1759">
        <v>0.25</v>
      </c>
    </row>
    <row r="1760" spans="1:4" x14ac:dyDescent="0.2">
      <c r="A1760" s="43">
        <v>40932</v>
      </c>
      <c r="D1760">
        <v>0.25</v>
      </c>
    </row>
    <row r="1761" spans="1:5" x14ac:dyDescent="0.2">
      <c r="A1761" s="43">
        <v>40933</v>
      </c>
      <c r="D1761">
        <v>0.25</v>
      </c>
    </row>
    <row r="1762" spans="1:5" x14ac:dyDescent="0.2">
      <c r="A1762" s="43">
        <v>40934</v>
      </c>
      <c r="D1762">
        <v>0.25</v>
      </c>
    </row>
    <row r="1763" spans="1:5" x14ac:dyDescent="0.2">
      <c r="A1763" s="43">
        <v>40935</v>
      </c>
      <c r="D1763">
        <v>0.25</v>
      </c>
    </row>
    <row r="1764" spans="1:5" x14ac:dyDescent="0.2">
      <c r="A1764" s="43">
        <v>40936</v>
      </c>
      <c r="D1764">
        <v>0.25</v>
      </c>
    </row>
    <row r="1765" spans="1:5" x14ac:dyDescent="0.2">
      <c r="A1765" s="43">
        <v>40937</v>
      </c>
      <c r="D1765">
        <v>0.25</v>
      </c>
    </row>
    <row r="1766" spans="1:5" x14ac:dyDescent="0.2">
      <c r="A1766" s="43">
        <v>40938</v>
      </c>
      <c r="D1766">
        <v>0.25</v>
      </c>
    </row>
    <row r="1767" spans="1:5" x14ac:dyDescent="0.2">
      <c r="A1767" s="43">
        <v>40939</v>
      </c>
      <c r="D1767">
        <v>0.25</v>
      </c>
    </row>
    <row r="1768" spans="1:5" x14ac:dyDescent="0.2">
      <c r="A1768" s="43">
        <v>40940</v>
      </c>
      <c r="B1768">
        <v>99.545000000000002</v>
      </c>
      <c r="C1768">
        <v>99.426000000000002</v>
      </c>
      <c r="D1768">
        <v>0.25</v>
      </c>
      <c r="E1768">
        <v>228.03399999999999</v>
      </c>
    </row>
    <row r="1769" spans="1:5" x14ac:dyDescent="0.2">
      <c r="A1769" s="43">
        <v>40941</v>
      </c>
      <c r="D1769">
        <v>0.25</v>
      </c>
    </row>
    <row r="1770" spans="1:5" x14ac:dyDescent="0.2">
      <c r="A1770" s="43">
        <v>40942</v>
      </c>
      <c r="D1770">
        <v>0.25</v>
      </c>
    </row>
    <row r="1771" spans="1:5" x14ac:dyDescent="0.2">
      <c r="A1771" s="43">
        <v>40943</v>
      </c>
      <c r="D1771">
        <v>0.25</v>
      </c>
    </row>
    <row r="1772" spans="1:5" x14ac:dyDescent="0.2">
      <c r="A1772" s="43">
        <v>40944</v>
      </c>
      <c r="D1772">
        <v>0.25</v>
      </c>
    </row>
    <row r="1773" spans="1:5" x14ac:dyDescent="0.2">
      <c r="A1773" s="43">
        <v>40945</v>
      </c>
      <c r="D1773">
        <v>0.25</v>
      </c>
    </row>
    <row r="1774" spans="1:5" x14ac:dyDescent="0.2">
      <c r="A1774" s="43">
        <v>40946</v>
      </c>
      <c r="D1774">
        <v>0.25</v>
      </c>
    </row>
    <row r="1775" spans="1:5" x14ac:dyDescent="0.2">
      <c r="A1775" s="43">
        <v>40947</v>
      </c>
      <c r="D1775">
        <v>0.25</v>
      </c>
    </row>
    <row r="1776" spans="1:5" x14ac:dyDescent="0.2">
      <c r="A1776" s="43">
        <v>40948</v>
      </c>
      <c r="D1776">
        <v>0.25</v>
      </c>
    </row>
    <row r="1777" spans="1:4" x14ac:dyDescent="0.2">
      <c r="A1777" s="43">
        <v>40949</v>
      </c>
      <c r="D1777">
        <v>0.25</v>
      </c>
    </row>
    <row r="1778" spans="1:4" x14ac:dyDescent="0.2">
      <c r="A1778" s="43">
        <v>40950</v>
      </c>
      <c r="D1778">
        <v>0.25</v>
      </c>
    </row>
    <row r="1779" spans="1:4" x14ac:dyDescent="0.2">
      <c r="A1779" s="43">
        <v>40951</v>
      </c>
      <c r="D1779">
        <v>0.25</v>
      </c>
    </row>
    <row r="1780" spans="1:4" x14ac:dyDescent="0.2">
      <c r="A1780" s="43">
        <v>40952</v>
      </c>
      <c r="D1780">
        <v>0.25</v>
      </c>
    </row>
    <row r="1781" spans="1:4" x14ac:dyDescent="0.2">
      <c r="A1781" s="43">
        <v>40953</v>
      </c>
      <c r="D1781">
        <v>0.25</v>
      </c>
    </row>
    <row r="1782" spans="1:4" x14ac:dyDescent="0.2">
      <c r="A1782" s="43">
        <v>40954</v>
      </c>
      <c r="D1782">
        <v>0.25</v>
      </c>
    </row>
    <row r="1783" spans="1:4" x14ac:dyDescent="0.2">
      <c r="A1783" s="43">
        <v>40955</v>
      </c>
      <c r="D1783">
        <v>0.25</v>
      </c>
    </row>
    <row r="1784" spans="1:4" x14ac:dyDescent="0.2">
      <c r="A1784" s="43">
        <v>40956</v>
      </c>
      <c r="D1784">
        <v>0.25</v>
      </c>
    </row>
    <row r="1785" spans="1:4" x14ac:dyDescent="0.2">
      <c r="A1785" s="43">
        <v>40957</v>
      </c>
      <c r="D1785">
        <v>0.25</v>
      </c>
    </row>
    <row r="1786" spans="1:4" x14ac:dyDescent="0.2">
      <c r="A1786" s="43">
        <v>40958</v>
      </c>
      <c r="D1786">
        <v>0.25</v>
      </c>
    </row>
    <row r="1787" spans="1:4" x14ac:dyDescent="0.2">
      <c r="A1787" s="43">
        <v>40959</v>
      </c>
      <c r="D1787">
        <v>0.25</v>
      </c>
    </row>
    <row r="1788" spans="1:4" x14ac:dyDescent="0.2">
      <c r="A1788" s="43">
        <v>40960</v>
      </c>
      <c r="D1788">
        <v>0.25</v>
      </c>
    </row>
    <row r="1789" spans="1:4" x14ac:dyDescent="0.2">
      <c r="A1789" s="43">
        <v>40961</v>
      </c>
      <c r="D1789">
        <v>0.25</v>
      </c>
    </row>
    <row r="1790" spans="1:4" x14ac:dyDescent="0.2">
      <c r="A1790" s="43">
        <v>40962</v>
      </c>
      <c r="D1790">
        <v>0.25</v>
      </c>
    </row>
    <row r="1791" spans="1:4" x14ac:dyDescent="0.2">
      <c r="A1791" s="43">
        <v>40963</v>
      </c>
      <c r="D1791">
        <v>0.25</v>
      </c>
    </row>
    <row r="1792" spans="1:4" x14ac:dyDescent="0.2">
      <c r="A1792" s="43">
        <v>40964</v>
      </c>
      <c r="D1792">
        <v>0.25</v>
      </c>
    </row>
    <row r="1793" spans="1:5" x14ac:dyDescent="0.2">
      <c r="A1793" s="43">
        <v>40965</v>
      </c>
      <c r="D1793">
        <v>0.25</v>
      </c>
    </row>
    <row r="1794" spans="1:5" x14ac:dyDescent="0.2">
      <c r="A1794" s="43">
        <v>40966</v>
      </c>
      <c r="D1794">
        <v>0.25</v>
      </c>
    </row>
    <row r="1795" spans="1:5" x14ac:dyDescent="0.2">
      <c r="A1795" s="43">
        <v>40967</v>
      </c>
      <c r="D1795">
        <v>0.25</v>
      </c>
    </row>
    <row r="1796" spans="1:5" x14ac:dyDescent="0.2">
      <c r="A1796" s="43">
        <v>40968</v>
      </c>
      <c r="D1796">
        <v>0.25</v>
      </c>
    </row>
    <row r="1797" spans="1:5" x14ac:dyDescent="0.2">
      <c r="A1797" s="43">
        <v>40969</v>
      </c>
      <c r="B1797">
        <v>99.734999999999999</v>
      </c>
      <c r="C1797">
        <v>99.594999999999999</v>
      </c>
      <c r="D1797">
        <v>0.25</v>
      </c>
      <c r="E1797">
        <v>228.47800000000001</v>
      </c>
    </row>
    <row r="1798" spans="1:5" x14ac:dyDescent="0.2">
      <c r="A1798" s="43">
        <v>40970</v>
      </c>
      <c r="D1798">
        <v>0.25</v>
      </c>
    </row>
    <row r="1799" spans="1:5" x14ac:dyDescent="0.2">
      <c r="A1799" s="43">
        <v>40971</v>
      </c>
      <c r="D1799">
        <v>0.25</v>
      </c>
    </row>
    <row r="1800" spans="1:5" x14ac:dyDescent="0.2">
      <c r="A1800" s="43">
        <v>40972</v>
      </c>
      <c r="D1800">
        <v>0.25</v>
      </c>
    </row>
    <row r="1801" spans="1:5" x14ac:dyDescent="0.2">
      <c r="A1801" s="43">
        <v>40973</v>
      </c>
      <c r="D1801">
        <v>0.25</v>
      </c>
    </row>
    <row r="1802" spans="1:5" x14ac:dyDescent="0.2">
      <c r="A1802" s="43">
        <v>40974</v>
      </c>
      <c r="D1802">
        <v>0.25</v>
      </c>
    </row>
    <row r="1803" spans="1:5" x14ac:dyDescent="0.2">
      <c r="A1803" s="43">
        <v>40975</v>
      </c>
      <c r="D1803">
        <v>0.25</v>
      </c>
    </row>
    <row r="1804" spans="1:5" x14ac:dyDescent="0.2">
      <c r="A1804" s="43">
        <v>40976</v>
      </c>
      <c r="D1804">
        <v>0.25</v>
      </c>
    </row>
    <row r="1805" spans="1:5" x14ac:dyDescent="0.2">
      <c r="A1805" s="43">
        <v>40977</v>
      </c>
      <c r="D1805">
        <v>0.25</v>
      </c>
    </row>
    <row r="1806" spans="1:5" x14ac:dyDescent="0.2">
      <c r="A1806" s="43">
        <v>40978</v>
      </c>
      <c r="D1806">
        <v>0.25</v>
      </c>
    </row>
    <row r="1807" spans="1:5" x14ac:dyDescent="0.2">
      <c r="A1807" s="43">
        <v>40979</v>
      </c>
      <c r="D1807">
        <v>0.25</v>
      </c>
    </row>
    <row r="1808" spans="1:5" x14ac:dyDescent="0.2">
      <c r="A1808" s="43">
        <v>40980</v>
      </c>
      <c r="D1808">
        <v>0.25</v>
      </c>
    </row>
    <row r="1809" spans="1:4" x14ac:dyDescent="0.2">
      <c r="A1809" s="43">
        <v>40981</v>
      </c>
      <c r="D1809">
        <v>0.25</v>
      </c>
    </row>
    <row r="1810" spans="1:4" x14ac:dyDescent="0.2">
      <c r="A1810" s="43">
        <v>40982</v>
      </c>
      <c r="D1810">
        <v>0.25</v>
      </c>
    </row>
    <row r="1811" spans="1:4" x14ac:dyDescent="0.2">
      <c r="A1811" s="43">
        <v>40983</v>
      </c>
      <c r="D1811">
        <v>0.25</v>
      </c>
    </row>
    <row r="1812" spans="1:4" x14ac:dyDescent="0.2">
      <c r="A1812" s="43">
        <v>40984</v>
      </c>
      <c r="D1812">
        <v>0.25</v>
      </c>
    </row>
    <row r="1813" spans="1:4" x14ac:dyDescent="0.2">
      <c r="A1813" s="43">
        <v>40985</v>
      </c>
      <c r="D1813">
        <v>0.25</v>
      </c>
    </row>
    <row r="1814" spans="1:4" x14ac:dyDescent="0.2">
      <c r="A1814" s="43">
        <v>40986</v>
      </c>
      <c r="D1814">
        <v>0.25</v>
      </c>
    </row>
    <row r="1815" spans="1:4" x14ac:dyDescent="0.2">
      <c r="A1815" s="43">
        <v>40987</v>
      </c>
      <c r="D1815">
        <v>0.25</v>
      </c>
    </row>
    <row r="1816" spans="1:4" x14ac:dyDescent="0.2">
      <c r="A1816" s="43">
        <v>40988</v>
      </c>
      <c r="D1816">
        <v>0.25</v>
      </c>
    </row>
    <row r="1817" spans="1:4" x14ac:dyDescent="0.2">
      <c r="A1817" s="43">
        <v>40989</v>
      </c>
      <c r="D1817">
        <v>0.25</v>
      </c>
    </row>
    <row r="1818" spans="1:4" x14ac:dyDescent="0.2">
      <c r="A1818" s="43">
        <v>40990</v>
      </c>
      <c r="D1818">
        <v>0.25</v>
      </c>
    </row>
    <row r="1819" spans="1:4" x14ac:dyDescent="0.2">
      <c r="A1819" s="43">
        <v>40991</v>
      </c>
      <c r="D1819">
        <v>0.25</v>
      </c>
    </row>
    <row r="1820" spans="1:4" x14ac:dyDescent="0.2">
      <c r="A1820" s="43">
        <v>40992</v>
      </c>
      <c r="D1820">
        <v>0.25</v>
      </c>
    </row>
    <row r="1821" spans="1:4" x14ac:dyDescent="0.2">
      <c r="A1821" s="43">
        <v>40993</v>
      </c>
      <c r="D1821">
        <v>0.25</v>
      </c>
    </row>
    <row r="1822" spans="1:4" x14ac:dyDescent="0.2">
      <c r="A1822" s="43">
        <v>40994</v>
      </c>
      <c r="D1822">
        <v>0.25</v>
      </c>
    </row>
    <row r="1823" spans="1:4" x14ac:dyDescent="0.2">
      <c r="A1823" s="43">
        <v>40995</v>
      </c>
      <c r="D1823">
        <v>0.25</v>
      </c>
    </row>
    <row r="1824" spans="1:4" x14ac:dyDescent="0.2">
      <c r="A1824" s="43">
        <v>40996</v>
      </c>
      <c r="D1824">
        <v>0.25</v>
      </c>
    </row>
    <row r="1825" spans="1:5" x14ac:dyDescent="0.2">
      <c r="A1825" s="43">
        <v>40997</v>
      </c>
      <c r="D1825">
        <v>0.25</v>
      </c>
    </row>
    <row r="1826" spans="1:5" x14ac:dyDescent="0.2">
      <c r="A1826" s="43">
        <v>40998</v>
      </c>
      <c r="D1826">
        <v>0.25</v>
      </c>
    </row>
    <row r="1827" spans="1:5" x14ac:dyDescent="0.2">
      <c r="A1827" s="43">
        <v>40999</v>
      </c>
      <c r="D1827">
        <v>0.25</v>
      </c>
    </row>
    <row r="1828" spans="1:5" x14ac:dyDescent="0.2">
      <c r="A1828" s="43">
        <v>41000</v>
      </c>
      <c r="B1828">
        <v>99.866</v>
      </c>
      <c r="C1828">
        <v>99.745999999999995</v>
      </c>
      <c r="D1828">
        <v>0.25</v>
      </c>
      <c r="E1828">
        <v>228.905</v>
      </c>
    </row>
    <row r="1829" spans="1:5" x14ac:dyDescent="0.2">
      <c r="A1829" s="43">
        <v>41001</v>
      </c>
      <c r="D1829">
        <v>0.25</v>
      </c>
    </row>
    <row r="1830" spans="1:5" x14ac:dyDescent="0.2">
      <c r="A1830" s="43">
        <v>41002</v>
      </c>
      <c r="D1830">
        <v>0.25</v>
      </c>
    </row>
    <row r="1831" spans="1:5" x14ac:dyDescent="0.2">
      <c r="A1831" s="43">
        <v>41003</v>
      </c>
      <c r="D1831">
        <v>0.25</v>
      </c>
    </row>
    <row r="1832" spans="1:5" x14ac:dyDescent="0.2">
      <c r="A1832" s="43">
        <v>41004</v>
      </c>
      <c r="D1832">
        <v>0.25</v>
      </c>
    </row>
    <row r="1833" spans="1:5" x14ac:dyDescent="0.2">
      <c r="A1833" s="43">
        <v>41005</v>
      </c>
      <c r="D1833">
        <v>0.25</v>
      </c>
    </row>
    <row r="1834" spans="1:5" x14ac:dyDescent="0.2">
      <c r="A1834" s="43">
        <v>41006</v>
      </c>
      <c r="D1834">
        <v>0.25</v>
      </c>
    </row>
    <row r="1835" spans="1:5" x14ac:dyDescent="0.2">
      <c r="A1835" s="43">
        <v>41007</v>
      </c>
      <c r="D1835">
        <v>0.25</v>
      </c>
    </row>
    <row r="1836" spans="1:5" x14ac:dyDescent="0.2">
      <c r="A1836" s="43">
        <v>41008</v>
      </c>
      <c r="D1836">
        <v>0.25</v>
      </c>
    </row>
    <row r="1837" spans="1:5" x14ac:dyDescent="0.2">
      <c r="A1837" s="43">
        <v>41009</v>
      </c>
      <c r="D1837">
        <v>0.25</v>
      </c>
    </row>
    <row r="1838" spans="1:5" x14ac:dyDescent="0.2">
      <c r="A1838" s="43">
        <v>41010</v>
      </c>
      <c r="D1838">
        <v>0.25</v>
      </c>
    </row>
    <row r="1839" spans="1:5" x14ac:dyDescent="0.2">
      <c r="A1839" s="43">
        <v>41011</v>
      </c>
      <c r="D1839">
        <v>0.25</v>
      </c>
    </row>
    <row r="1840" spans="1:5" x14ac:dyDescent="0.2">
      <c r="A1840" s="43">
        <v>41012</v>
      </c>
      <c r="D1840">
        <v>0.25</v>
      </c>
    </row>
    <row r="1841" spans="1:4" x14ac:dyDescent="0.2">
      <c r="A1841" s="43">
        <v>41013</v>
      </c>
      <c r="D1841">
        <v>0.25</v>
      </c>
    </row>
    <row r="1842" spans="1:4" x14ac:dyDescent="0.2">
      <c r="A1842" s="43">
        <v>41014</v>
      </c>
      <c r="D1842">
        <v>0.25</v>
      </c>
    </row>
    <row r="1843" spans="1:4" x14ac:dyDescent="0.2">
      <c r="A1843" s="43">
        <v>41015</v>
      </c>
      <c r="D1843">
        <v>0.25</v>
      </c>
    </row>
    <row r="1844" spans="1:4" x14ac:dyDescent="0.2">
      <c r="A1844" s="43">
        <v>41016</v>
      </c>
      <c r="D1844">
        <v>0.25</v>
      </c>
    </row>
    <row r="1845" spans="1:4" x14ac:dyDescent="0.2">
      <c r="A1845" s="43">
        <v>41017</v>
      </c>
      <c r="D1845">
        <v>0.25</v>
      </c>
    </row>
    <row r="1846" spans="1:4" x14ac:dyDescent="0.2">
      <c r="A1846" s="43">
        <v>41018</v>
      </c>
      <c r="D1846">
        <v>0.25</v>
      </c>
    </row>
    <row r="1847" spans="1:4" x14ac:dyDescent="0.2">
      <c r="A1847" s="43">
        <v>41019</v>
      </c>
      <c r="D1847">
        <v>0.25</v>
      </c>
    </row>
    <row r="1848" spans="1:4" x14ac:dyDescent="0.2">
      <c r="A1848" s="43">
        <v>41020</v>
      </c>
      <c r="D1848">
        <v>0.25</v>
      </c>
    </row>
    <row r="1849" spans="1:4" x14ac:dyDescent="0.2">
      <c r="A1849" s="43">
        <v>41021</v>
      </c>
      <c r="D1849">
        <v>0.25</v>
      </c>
    </row>
    <row r="1850" spans="1:4" x14ac:dyDescent="0.2">
      <c r="A1850" s="43">
        <v>41022</v>
      </c>
      <c r="D1850">
        <v>0.25</v>
      </c>
    </row>
    <row r="1851" spans="1:4" x14ac:dyDescent="0.2">
      <c r="A1851" s="43">
        <v>41023</v>
      </c>
      <c r="D1851">
        <v>0.25</v>
      </c>
    </row>
    <row r="1852" spans="1:4" x14ac:dyDescent="0.2">
      <c r="A1852" s="43">
        <v>41024</v>
      </c>
      <c r="D1852">
        <v>0.25</v>
      </c>
    </row>
    <row r="1853" spans="1:4" x14ac:dyDescent="0.2">
      <c r="A1853" s="43">
        <v>41025</v>
      </c>
      <c r="D1853">
        <v>0.25</v>
      </c>
    </row>
    <row r="1854" spans="1:4" x14ac:dyDescent="0.2">
      <c r="A1854" s="43">
        <v>41026</v>
      </c>
      <c r="D1854">
        <v>0.25</v>
      </c>
    </row>
    <row r="1855" spans="1:4" x14ac:dyDescent="0.2">
      <c r="A1855" s="43">
        <v>41027</v>
      </c>
      <c r="D1855">
        <v>0.25</v>
      </c>
    </row>
    <row r="1856" spans="1:4" x14ac:dyDescent="0.2">
      <c r="A1856" s="43">
        <v>41028</v>
      </c>
      <c r="D1856">
        <v>0.25</v>
      </c>
    </row>
    <row r="1857" spans="1:5" x14ac:dyDescent="0.2">
      <c r="A1857" s="43">
        <v>41029</v>
      </c>
      <c r="D1857">
        <v>0.25</v>
      </c>
    </row>
    <row r="1858" spans="1:5" x14ac:dyDescent="0.2">
      <c r="A1858" s="43">
        <v>41030</v>
      </c>
      <c r="B1858">
        <v>99.754000000000005</v>
      </c>
      <c r="C1858">
        <v>99.846999999999994</v>
      </c>
      <c r="D1858">
        <v>0.25</v>
      </c>
      <c r="E1858">
        <v>229.22399999999999</v>
      </c>
    </row>
    <row r="1859" spans="1:5" x14ac:dyDescent="0.2">
      <c r="A1859" s="43">
        <v>41031</v>
      </c>
      <c r="D1859">
        <v>0.25</v>
      </c>
    </row>
    <row r="1860" spans="1:5" x14ac:dyDescent="0.2">
      <c r="A1860" s="43">
        <v>41032</v>
      </c>
      <c r="D1860">
        <v>0.25</v>
      </c>
    </row>
    <row r="1861" spans="1:5" x14ac:dyDescent="0.2">
      <c r="A1861" s="43">
        <v>41033</v>
      </c>
      <c r="D1861">
        <v>0.25</v>
      </c>
    </row>
    <row r="1862" spans="1:5" x14ac:dyDescent="0.2">
      <c r="A1862" s="43">
        <v>41034</v>
      </c>
      <c r="D1862">
        <v>0.25</v>
      </c>
    </row>
    <row r="1863" spans="1:5" x14ac:dyDescent="0.2">
      <c r="A1863" s="43">
        <v>41035</v>
      </c>
      <c r="D1863">
        <v>0.25</v>
      </c>
    </row>
    <row r="1864" spans="1:5" x14ac:dyDescent="0.2">
      <c r="A1864" s="43">
        <v>41036</v>
      </c>
      <c r="D1864">
        <v>0.25</v>
      </c>
    </row>
    <row r="1865" spans="1:5" x14ac:dyDescent="0.2">
      <c r="A1865" s="43">
        <v>41037</v>
      </c>
      <c r="D1865">
        <v>0.25</v>
      </c>
    </row>
    <row r="1866" spans="1:5" x14ac:dyDescent="0.2">
      <c r="A1866" s="43">
        <v>41038</v>
      </c>
      <c r="D1866">
        <v>0.25</v>
      </c>
    </row>
    <row r="1867" spans="1:5" x14ac:dyDescent="0.2">
      <c r="A1867" s="43">
        <v>41039</v>
      </c>
      <c r="D1867">
        <v>0.25</v>
      </c>
    </row>
    <row r="1868" spans="1:5" x14ac:dyDescent="0.2">
      <c r="A1868" s="43">
        <v>41040</v>
      </c>
      <c r="D1868">
        <v>0.25</v>
      </c>
    </row>
    <row r="1869" spans="1:5" x14ac:dyDescent="0.2">
      <c r="A1869" s="43">
        <v>41041</v>
      </c>
      <c r="D1869">
        <v>0.25</v>
      </c>
    </row>
    <row r="1870" spans="1:5" x14ac:dyDescent="0.2">
      <c r="A1870" s="43">
        <v>41042</v>
      </c>
      <c r="D1870">
        <v>0.25</v>
      </c>
    </row>
    <row r="1871" spans="1:5" x14ac:dyDescent="0.2">
      <c r="A1871" s="43">
        <v>41043</v>
      </c>
      <c r="D1871">
        <v>0.25</v>
      </c>
    </row>
    <row r="1872" spans="1:5" x14ac:dyDescent="0.2">
      <c r="A1872" s="43">
        <v>41044</v>
      </c>
      <c r="D1872">
        <v>0.25</v>
      </c>
    </row>
    <row r="1873" spans="1:4" x14ac:dyDescent="0.2">
      <c r="A1873" s="43">
        <v>41045</v>
      </c>
      <c r="D1873">
        <v>0.25</v>
      </c>
    </row>
    <row r="1874" spans="1:4" x14ac:dyDescent="0.2">
      <c r="A1874" s="43">
        <v>41046</v>
      </c>
      <c r="D1874">
        <v>0.25</v>
      </c>
    </row>
    <row r="1875" spans="1:4" x14ac:dyDescent="0.2">
      <c r="A1875" s="43">
        <v>41047</v>
      </c>
      <c r="D1875">
        <v>0.25</v>
      </c>
    </row>
    <row r="1876" spans="1:4" x14ac:dyDescent="0.2">
      <c r="A1876" s="43">
        <v>41048</v>
      </c>
      <c r="D1876">
        <v>0.25</v>
      </c>
    </row>
    <row r="1877" spans="1:4" x14ac:dyDescent="0.2">
      <c r="A1877" s="43">
        <v>41049</v>
      </c>
      <c r="D1877">
        <v>0.25</v>
      </c>
    </row>
    <row r="1878" spans="1:4" x14ac:dyDescent="0.2">
      <c r="A1878" s="43">
        <v>41050</v>
      </c>
      <c r="D1878">
        <v>0.25</v>
      </c>
    </row>
    <row r="1879" spans="1:4" x14ac:dyDescent="0.2">
      <c r="A1879" s="43">
        <v>41051</v>
      </c>
      <c r="D1879">
        <v>0.25</v>
      </c>
    </row>
    <row r="1880" spans="1:4" x14ac:dyDescent="0.2">
      <c r="A1880" s="43">
        <v>41052</v>
      </c>
      <c r="D1880">
        <v>0.25</v>
      </c>
    </row>
    <row r="1881" spans="1:4" x14ac:dyDescent="0.2">
      <c r="A1881" s="43">
        <v>41053</v>
      </c>
      <c r="D1881">
        <v>0.25</v>
      </c>
    </row>
    <row r="1882" spans="1:4" x14ac:dyDescent="0.2">
      <c r="A1882" s="43">
        <v>41054</v>
      </c>
      <c r="D1882">
        <v>0.25</v>
      </c>
    </row>
    <row r="1883" spans="1:4" x14ac:dyDescent="0.2">
      <c r="A1883" s="43">
        <v>41055</v>
      </c>
      <c r="D1883">
        <v>0.25</v>
      </c>
    </row>
    <row r="1884" spans="1:4" x14ac:dyDescent="0.2">
      <c r="A1884" s="43">
        <v>41056</v>
      </c>
      <c r="D1884">
        <v>0.25</v>
      </c>
    </row>
    <row r="1885" spans="1:4" x14ac:dyDescent="0.2">
      <c r="A1885" s="43">
        <v>41057</v>
      </c>
      <c r="D1885">
        <v>0.25</v>
      </c>
    </row>
    <row r="1886" spans="1:4" x14ac:dyDescent="0.2">
      <c r="A1886" s="43">
        <v>41058</v>
      </c>
      <c r="D1886">
        <v>0.25</v>
      </c>
    </row>
    <row r="1887" spans="1:4" x14ac:dyDescent="0.2">
      <c r="A1887" s="43">
        <v>41059</v>
      </c>
      <c r="D1887">
        <v>0.25</v>
      </c>
    </row>
    <row r="1888" spans="1:4" x14ac:dyDescent="0.2">
      <c r="A1888" s="43">
        <v>41060</v>
      </c>
      <c r="D1888">
        <v>0.25</v>
      </c>
    </row>
    <row r="1889" spans="1:5" x14ac:dyDescent="0.2">
      <c r="A1889" s="43">
        <v>41061</v>
      </c>
      <c r="B1889">
        <v>99.703999999999994</v>
      </c>
      <c r="C1889">
        <v>99.95</v>
      </c>
      <c r="D1889">
        <v>0.25</v>
      </c>
      <c r="E1889">
        <v>229.62299999999999</v>
      </c>
    </row>
    <row r="1890" spans="1:5" x14ac:dyDescent="0.2">
      <c r="A1890" s="43">
        <v>41062</v>
      </c>
      <c r="D1890">
        <v>0.25</v>
      </c>
    </row>
    <row r="1891" spans="1:5" x14ac:dyDescent="0.2">
      <c r="A1891" s="43">
        <v>41063</v>
      </c>
      <c r="D1891">
        <v>0.25</v>
      </c>
    </row>
    <row r="1892" spans="1:5" x14ac:dyDescent="0.2">
      <c r="A1892" s="43">
        <v>41064</v>
      </c>
      <c r="D1892">
        <v>0.25</v>
      </c>
    </row>
    <row r="1893" spans="1:5" x14ac:dyDescent="0.2">
      <c r="A1893" s="43">
        <v>41065</v>
      </c>
      <c r="D1893">
        <v>0.25</v>
      </c>
    </row>
    <row r="1894" spans="1:5" x14ac:dyDescent="0.2">
      <c r="A1894" s="43">
        <v>41066</v>
      </c>
      <c r="D1894">
        <v>0.25</v>
      </c>
    </row>
    <row r="1895" spans="1:5" x14ac:dyDescent="0.2">
      <c r="A1895" s="43">
        <v>41067</v>
      </c>
      <c r="D1895">
        <v>0.25</v>
      </c>
    </row>
    <row r="1896" spans="1:5" x14ac:dyDescent="0.2">
      <c r="A1896" s="43">
        <v>41068</v>
      </c>
      <c r="D1896">
        <v>0.25</v>
      </c>
    </row>
    <row r="1897" spans="1:5" x14ac:dyDescent="0.2">
      <c r="A1897" s="43">
        <v>41069</v>
      </c>
      <c r="D1897">
        <v>0.25</v>
      </c>
    </row>
    <row r="1898" spans="1:5" x14ac:dyDescent="0.2">
      <c r="A1898" s="43">
        <v>41070</v>
      </c>
      <c r="D1898">
        <v>0.25</v>
      </c>
    </row>
    <row r="1899" spans="1:5" x14ac:dyDescent="0.2">
      <c r="A1899" s="43">
        <v>41071</v>
      </c>
      <c r="D1899">
        <v>0.25</v>
      </c>
    </row>
    <row r="1900" spans="1:5" x14ac:dyDescent="0.2">
      <c r="A1900" s="43">
        <v>41072</v>
      </c>
      <c r="D1900">
        <v>0.25</v>
      </c>
    </row>
    <row r="1901" spans="1:5" x14ac:dyDescent="0.2">
      <c r="A1901" s="43">
        <v>41073</v>
      </c>
      <c r="D1901">
        <v>0.25</v>
      </c>
    </row>
    <row r="1902" spans="1:5" x14ac:dyDescent="0.2">
      <c r="A1902" s="43">
        <v>41074</v>
      </c>
      <c r="D1902">
        <v>0.25</v>
      </c>
    </row>
    <row r="1903" spans="1:5" x14ac:dyDescent="0.2">
      <c r="A1903" s="43">
        <v>41075</v>
      </c>
      <c r="D1903">
        <v>0.25</v>
      </c>
    </row>
    <row r="1904" spans="1:5" x14ac:dyDescent="0.2">
      <c r="A1904" s="43">
        <v>41076</v>
      </c>
      <c r="D1904">
        <v>0.25</v>
      </c>
    </row>
    <row r="1905" spans="1:5" x14ac:dyDescent="0.2">
      <c r="A1905" s="43">
        <v>41077</v>
      </c>
      <c r="D1905">
        <v>0.25</v>
      </c>
    </row>
    <row r="1906" spans="1:5" x14ac:dyDescent="0.2">
      <c r="A1906" s="43">
        <v>41078</v>
      </c>
      <c r="D1906">
        <v>0.25</v>
      </c>
    </row>
    <row r="1907" spans="1:5" x14ac:dyDescent="0.2">
      <c r="A1907" s="43">
        <v>41079</v>
      </c>
      <c r="D1907">
        <v>0.25</v>
      </c>
    </row>
    <row r="1908" spans="1:5" x14ac:dyDescent="0.2">
      <c r="A1908" s="43">
        <v>41080</v>
      </c>
      <c r="D1908">
        <v>0.25</v>
      </c>
    </row>
    <row r="1909" spans="1:5" x14ac:dyDescent="0.2">
      <c r="A1909" s="43">
        <v>41081</v>
      </c>
      <c r="D1909">
        <v>0.25</v>
      </c>
    </row>
    <row r="1910" spans="1:5" x14ac:dyDescent="0.2">
      <c r="A1910" s="43">
        <v>41082</v>
      </c>
      <c r="D1910">
        <v>0.25</v>
      </c>
    </row>
    <row r="1911" spans="1:5" x14ac:dyDescent="0.2">
      <c r="A1911" s="43">
        <v>41083</v>
      </c>
      <c r="D1911">
        <v>0.25</v>
      </c>
    </row>
    <row r="1912" spans="1:5" x14ac:dyDescent="0.2">
      <c r="A1912" s="43">
        <v>41084</v>
      </c>
      <c r="D1912">
        <v>0.25</v>
      </c>
    </row>
    <row r="1913" spans="1:5" x14ac:dyDescent="0.2">
      <c r="A1913" s="43">
        <v>41085</v>
      </c>
      <c r="D1913">
        <v>0.25</v>
      </c>
    </row>
    <row r="1914" spans="1:5" x14ac:dyDescent="0.2">
      <c r="A1914" s="43">
        <v>41086</v>
      </c>
      <c r="D1914">
        <v>0.25</v>
      </c>
    </row>
    <row r="1915" spans="1:5" x14ac:dyDescent="0.2">
      <c r="A1915" s="43">
        <v>41087</v>
      </c>
      <c r="D1915">
        <v>0.25</v>
      </c>
    </row>
    <row r="1916" spans="1:5" x14ac:dyDescent="0.2">
      <c r="A1916" s="43">
        <v>41088</v>
      </c>
      <c r="D1916">
        <v>0.25</v>
      </c>
    </row>
    <row r="1917" spans="1:5" x14ac:dyDescent="0.2">
      <c r="A1917" s="43">
        <v>41089</v>
      </c>
      <c r="D1917">
        <v>0.25</v>
      </c>
    </row>
    <row r="1918" spans="1:5" x14ac:dyDescent="0.2">
      <c r="A1918" s="43">
        <v>41090</v>
      </c>
      <c r="D1918">
        <v>0.25</v>
      </c>
    </row>
    <row r="1919" spans="1:5" x14ac:dyDescent="0.2">
      <c r="A1919" s="43">
        <v>41091</v>
      </c>
      <c r="B1919">
        <v>99.74</v>
      </c>
      <c r="C1919">
        <v>100.053</v>
      </c>
      <c r="D1919">
        <v>0.25</v>
      </c>
      <c r="E1919">
        <v>229.97</v>
      </c>
    </row>
    <row r="1920" spans="1:5" x14ac:dyDescent="0.2">
      <c r="A1920" s="43">
        <v>41092</v>
      </c>
      <c r="D1920">
        <v>0.25</v>
      </c>
    </row>
    <row r="1921" spans="1:4" x14ac:dyDescent="0.2">
      <c r="A1921" s="43">
        <v>41093</v>
      </c>
      <c r="D1921">
        <v>0.25</v>
      </c>
    </row>
    <row r="1922" spans="1:4" x14ac:dyDescent="0.2">
      <c r="A1922" s="43">
        <v>41094</v>
      </c>
      <c r="D1922">
        <v>0.25</v>
      </c>
    </row>
    <row r="1923" spans="1:4" x14ac:dyDescent="0.2">
      <c r="A1923" s="43">
        <v>41095</v>
      </c>
      <c r="D1923">
        <v>0.25</v>
      </c>
    </row>
    <row r="1924" spans="1:4" x14ac:dyDescent="0.2">
      <c r="A1924" s="43">
        <v>41096</v>
      </c>
      <c r="D1924">
        <v>0.25</v>
      </c>
    </row>
    <row r="1925" spans="1:4" x14ac:dyDescent="0.2">
      <c r="A1925" s="43">
        <v>41097</v>
      </c>
      <c r="D1925">
        <v>0.25</v>
      </c>
    </row>
    <row r="1926" spans="1:4" x14ac:dyDescent="0.2">
      <c r="A1926" s="43">
        <v>41098</v>
      </c>
      <c r="D1926">
        <v>0.25</v>
      </c>
    </row>
    <row r="1927" spans="1:4" x14ac:dyDescent="0.2">
      <c r="A1927" s="43">
        <v>41099</v>
      </c>
      <c r="D1927">
        <v>0.25</v>
      </c>
    </row>
    <row r="1928" spans="1:4" x14ac:dyDescent="0.2">
      <c r="A1928" s="43">
        <v>41100</v>
      </c>
      <c r="D1928">
        <v>0.25</v>
      </c>
    </row>
    <row r="1929" spans="1:4" x14ac:dyDescent="0.2">
      <c r="A1929" s="43">
        <v>41101</v>
      </c>
      <c r="D1929">
        <v>0.25</v>
      </c>
    </row>
    <row r="1930" spans="1:4" x14ac:dyDescent="0.2">
      <c r="A1930" s="43">
        <v>41102</v>
      </c>
      <c r="D1930">
        <v>0.25</v>
      </c>
    </row>
    <row r="1931" spans="1:4" x14ac:dyDescent="0.2">
      <c r="A1931" s="43">
        <v>41103</v>
      </c>
      <c r="D1931">
        <v>0.25</v>
      </c>
    </row>
    <row r="1932" spans="1:4" x14ac:dyDescent="0.2">
      <c r="A1932" s="43">
        <v>41104</v>
      </c>
      <c r="D1932">
        <v>0.25</v>
      </c>
    </row>
    <row r="1933" spans="1:4" x14ac:dyDescent="0.2">
      <c r="A1933" s="43">
        <v>41105</v>
      </c>
      <c r="D1933">
        <v>0.25</v>
      </c>
    </row>
    <row r="1934" spans="1:4" x14ac:dyDescent="0.2">
      <c r="A1934" s="43">
        <v>41106</v>
      </c>
      <c r="D1934">
        <v>0.25</v>
      </c>
    </row>
    <row r="1935" spans="1:4" x14ac:dyDescent="0.2">
      <c r="A1935" s="43">
        <v>41107</v>
      </c>
      <c r="D1935">
        <v>0.25</v>
      </c>
    </row>
    <row r="1936" spans="1:4" x14ac:dyDescent="0.2">
      <c r="A1936" s="43">
        <v>41108</v>
      </c>
      <c r="D1936">
        <v>0.25</v>
      </c>
    </row>
    <row r="1937" spans="1:5" x14ac:dyDescent="0.2">
      <c r="A1937" s="43">
        <v>41109</v>
      </c>
      <c r="D1937">
        <v>0.25</v>
      </c>
    </row>
    <row r="1938" spans="1:5" x14ac:dyDescent="0.2">
      <c r="A1938" s="43">
        <v>41110</v>
      </c>
      <c r="D1938">
        <v>0.25</v>
      </c>
    </row>
    <row r="1939" spans="1:5" x14ac:dyDescent="0.2">
      <c r="A1939" s="43">
        <v>41111</v>
      </c>
      <c r="D1939">
        <v>0.25</v>
      </c>
    </row>
    <row r="1940" spans="1:5" x14ac:dyDescent="0.2">
      <c r="A1940" s="43">
        <v>41112</v>
      </c>
      <c r="D1940">
        <v>0.25</v>
      </c>
    </row>
    <row r="1941" spans="1:5" x14ac:dyDescent="0.2">
      <c r="A1941" s="43">
        <v>41113</v>
      </c>
      <c r="D1941">
        <v>0.25</v>
      </c>
    </row>
    <row r="1942" spans="1:5" x14ac:dyDescent="0.2">
      <c r="A1942" s="43">
        <v>41114</v>
      </c>
      <c r="D1942">
        <v>0.25</v>
      </c>
    </row>
    <row r="1943" spans="1:5" x14ac:dyDescent="0.2">
      <c r="A1943" s="43">
        <v>41115</v>
      </c>
      <c r="D1943">
        <v>0.25</v>
      </c>
    </row>
    <row r="1944" spans="1:5" x14ac:dyDescent="0.2">
      <c r="A1944" s="43">
        <v>41116</v>
      </c>
      <c r="D1944">
        <v>0.25</v>
      </c>
    </row>
    <row r="1945" spans="1:5" x14ac:dyDescent="0.2">
      <c r="A1945" s="43">
        <v>41117</v>
      </c>
      <c r="D1945">
        <v>0.25</v>
      </c>
    </row>
    <row r="1946" spans="1:5" x14ac:dyDescent="0.2">
      <c r="A1946" s="43">
        <v>41118</v>
      </c>
      <c r="D1946">
        <v>0.25</v>
      </c>
    </row>
    <row r="1947" spans="1:5" x14ac:dyDescent="0.2">
      <c r="A1947" s="43">
        <v>41119</v>
      </c>
      <c r="D1947">
        <v>0.25</v>
      </c>
    </row>
    <row r="1948" spans="1:5" x14ac:dyDescent="0.2">
      <c r="A1948" s="43">
        <v>41120</v>
      </c>
      <c r="D1948">
        <v>0.25</v>
      </c>
    </row>
    <row r="1949" spans="1:5" x14ac:dyDescent="0.2">
      <c r="A1949" s="43">
        <v>41121</v>
      </c>
      <c r="D1949">
        <v>0.25</v>
      </c>
    </row>
    <row r="1950" spans="1:5" x14ac:dyDescent="0.2">
      <c r="A1950" s="43">
        <v>41122</v>
      </c>
      <c r="B1950">
        <v>100.075</v>
      </c>
      <c r="C1950">
        <v>100.116</v>
      </c>
      <c r="D1950">
        <v>0.25</v>
      </c>
      <c r="E1950">
        <v>230.233</v>
      </c>
    </row>
    <row r="1951" spans="1:5" x14ac:dyDescent="0.2">
      <c r="A1951" s="43">
        <v>41123</v>
      </c>
      <c r="D1951">
        <v>0.25</v>
      </c>
    </row>
    <row r="1952" spans="1:5" x14ac:dyDescent="0.2">
      <c r="A1952" s="43">
        <v>41124</v>
      </c>
      <c r="D1952">
        <v>0.25</v>
      </c>
    </row>
    <row r="1953" spans="1:4" x14ac:dyDescent="0.2">
      <c r="A1953" s="43">
        <v>41125</v>
      </c>
      <c r="D1953">
        <v>0.25</v>
      </c>
    </row>
    <row r="1954" spans="1:4" x14ac:dyDescent="0.2">
      <c r="A1954" s="43">
        <v>41126</v>
      </c>
      <c r="D1954">
        <v>0.25</v>
      </c>
    </row>
    <row r="1955" spans="1:4" x14ac:dyDescent="0.2">
      <c r="A1955" s="43">
        <v>41127</v>
      </c>
      <c r="D1955">
        <v>0.25</v>
      </c>
    </row>
    <row r="1956" spans="1:4" x14ac:dyDescent="0.2">
      <c r="A1956" s="43">
        <v>41128</v>
      </c>
      <c r="D1956">
        <v>0.25</v>
      </c>
    </row>
    <row r="1957" spans="1:4" x14ac:dyDescent="0.2">
      <c r="A1957" s="43">
        <v>41129</v>
      </c>
      <c r="D1957">
        <v>0.25</v>
      </c>
    </row>
    <row r="1958" spans="1:4" x14ac:dyDescent="0.2">
      <c r="A1958" s="43">
        <v>41130</v>
      </c>
      <c r="D1958">
        <v>0.25</v>
      </c>
    </row>
    <row r="1959" spans="1:4" x14ac:dyDescent="0.2">
      <c r="A1959" s="43">
        <v>41131</v>
      </c>
      <c r="D1959">
        <v>0.25</v>
      </c>
    </row>
    <row r="1960" spans="1:4" x14ac:dyDescent="0.2">
      <c r="A1960" s="43">
        <v>41132</v>
      </c>
      <c r="D1960">
        <v>0.25</v>
      </c>
    </row>
    <row r="1961" spans="1:4" x14ac:dyDescent="0.2">
      <c r="A1961" s="43">
        <v>41133</v>
      </c>
      <c r="D1961">
        <v>0.25</v>
      </c>
    </row>
    <row r="1962" spans="1:4" x14ac:dyDescent="0.2">
      <c r="A1962" s="43">
        <v>41134</v>
      </c>
      <c r="D1962">
        <v>0.25</v>
      </c>
    </row>
    <row r="1963" spans="1:4" x14ac:dyDescent="0.2">
      <c r="A1963" s="43">
        <v>41135</v>
      </c>
      <c r="D1963">
        <v>0.25</v>
      </c>
    </row>
    <row r="1964" spans="1:4" x14ac:dyDescent="0.2">
      <c r="A1964" s="43">
        <v>41136</v>
      </c>
      <c r="D1964">
        <v>0.25</v>
      </c>
    </row>
    <row r="1965" spans="1:4" x14ac:dyDescent="0.2">
      <c r="A1965" s="43">
        <v>41137</v>
      </c>
      <c r="D1965">
        <v>0.25</v>
      </c>
    </row>
    <row r="1966" spans="1:4" x14ac:dyDescent="0.2">
      <c r="A1966" s="43">
        <v>41138</v>
      </c>
      <c r="D1966">
        <v>0.25</v>
      </c>
    </row>
    <row r="1967" spans="1:4" x14ac:dyDescent="0.2">
      <c r="A1967" s="43">
        <v>41139</v>
      </c>
      <c r="D1967">
        <v>0.25</v>
      </c>
    </row>
    <row r="1968" spans="1:4" x14ac:dyDescent="0.2">
      <c r="A1968" s="43">
        <v>41140</v>
      </c>
      <c r="D1968">
        <v>0.25</v>
      </c>
    </row>
    <row r="1969" spans="1:5" x14ac:dyDescent="0.2">
      <c r="A1969" s="43">
        <v>41141</v>
      </c>
      <c r="D1969">
        <v>0.25</v>
      </c>
    </row>
    <row r="1970" spans="1:5" x14ac:dyDescent="0.2">
      <c r="A1970" s="43">
        <v>41142</v>
      </c>
      <c r="D1970">
        <v>0.25</v>
      </c>
    </row>
    <row r="1971" spans="1:5" x14ac:dyDescent="0.2">
      <c r="A1971" s="43">
        <v>41143</v>
      </c>
      <c r="D1971">
        <v>0.25</v>
      </c>
    </row>
    <row r="1972" spans="1:5" x14ac:dyDescent="0.2">
      <c r="A1972" s="43">
        <v>41144</v>
      </c>
      <c r="D1972">
        <v>0.25</v>
      </c>
    </row>
    <row r="1973" spans="1:5" x14ac:dyDescent="0.2">
      <c r="A1973" s="43">
        <v>41145</v>
      </c>
      <c r="D1973">
        <v>0.25</v>
      </c>
    </row>
    <row r="1974" spans="1:5" x14ac:dyDescent="0.2">
      <c r="A1974" s="43">
        <v>41146</v>
      </c>
      <c r="D1974">
        <v>0.25</v>
      </c>
    </row>
    <row r="1975" spans="1:5" x14ac:dyDescent="0.2">
      <c r="A1975" s="43">
        <v>41147</v>
      </c>
      <c r="D1975">
        <v>0.25</v>
      </c>
    </row>
    <row r="1976" spans="1:5" x14ac:dyDescent="0.2">
      <c r="A1976" s="43">
        <v>41148</v>
      </c>
      <c r="D1976">
        <v>0.25</v>
      </c>
    </row>
    <row r="1977" spans="1:5" x14ac:dyDescent="0.2">
      <c r="A1977" s="43">
        <v>41149</v>
      </c>
      <c r="D1977">
        <v>0.25</v>
      </c>
    </row>
    <row r="1978" spans="1:5" x14ac:dyDescent="0.2">
      <c r="A1978" s="43">
        <v>41150</v>
      </c>
      <c r="D1978">
        <v>0.25</v>
      </c>
    </row>
    <row r="1979" spans="1:5" x14ac:dyDescent="0.2">
      <c r="A1979" s="43">
        <v>41151</v>
      </c>
      <c r="D1979">
        <v>0.25</v>
      </c>
    </row>
    <row r="1980" spans="1:5" x14ac:dyDescent="0.2">
      <c r="A1980" s="43">
        <v>41152</v>
      </c>
      <c r="D1980">
        <v>0.25</v>
      </c>
    </row>
    <row r="1981" spans="1:5" x14ac:dyDescent="0.2">
      <c r="A1981" s="43">
        <v>41153</v>
      </c>
      <c r="B1981">
        <v>100.379</v>
      </c>
      <c r="C1981">
        <v>100.24</v>
      </c>
      <c r="D1981">
        <v>0.25</v>
      </c>
      <c r="E1981">
        <v>230.65899999999999</v>
      </c>
    </row>
    <row r="1982" spans="1:5" x14ac:dyDescent="0.2">
      <c r="A1982" s="43">
        <v>41154</v>
      </c>
      <c r="D1982">
        <v>0.25</v>
      </c>
    </row>
    <row r="1983" spans="1:5" x14ac:dyDescent="0.2">
      <c r="A1983" s="43">
        <v>41155</v>
      </c>
      <c r="D1983">
        <v>0.25</v>
      </c>
    </row>
    <row r="1984" spans="1:5" x14ac:dyDescent="0.2">
      <c r="A1984" s="43">
        <v>41156</v>
      </c>
      <c r="D1984">
        <v>0.25</v>
      </c>
    </row>
    <row r="1985" spans="1:4" x14ac:dyDescent="0.2">
      <c r="A1985" s="43">
        <v>41157</v>
      </c>
      <c r="D1985">
        <v>0.25</v>
      </c>
    </row>
    <row r="1986" spans="1:4" x14ac:dyDescent="0.2">
      <c r="A1986" s="43">
        <v>41158</v>
      </c>
      <c r="D1986">
        <v>0.25</v>
      </c>
    </row>
    <row r="1987" spans="1:4" x14ac:dyDescent="0.2">
      <c r="A1987" s="43">
        <v>41159</v>
      </c>
      <c r="D1987">
        <v>0.25</v>
      </c>
    </row>
    <row r="1988" spans="1:4" x14ac:dyDescent="0.2">
      <c r="A1988" s="43">
        <v>41160</v>
      </c>
      <c r="D1988">
        <v>0.25</v>
      </c>
    </row>
    <row r="1989" spans="1:4" x14ac:dyDescent="0.2">
      <c r="A1989" s="43">
        <v>41161</v>
      </c>
      <c r="D1989">
        <v>0.25</v>
      </c>
    </row>
    <row r="1990" spans="1:4" x14ac:dyDescent="0.2">
      <c r="A1990" s="43">
        <v>41162</v>
      </c>
      <c r="D1990">
        <v>0.25</v>
      </c>
    </row>
    <row r="1991" spans="1:4" x14ac:dyDescent="0.2">
      <c r="A1991" s="43">
        <v>41163</v>
      </c>
      <c r="D1991">
        <v>0.25</v>
      </c>
    </row>
    <row r="1992" spans="1:4" x14ac:dyDescent="0.2">
      <c r="A1992" s="43">
        <v>41164</v>
      </c>
      <c r="D1992">
        <v>0.25</v>
      </c>
    </row>
    <row r="1993" spans="1:4" x14ac:dyDescent="0.2">
      <c r="A1993" s="43">
        <v>41165</v>
      </c>
      <c r="D1993">
        <v>0.25</v>
      </c>
    </row>
    <row r="1994" spans="1:4" x14ac:dyDescent="0.2">
      <c r="A1994" s="43">
        <v>41166</v>
      </c>
      <c r="D1994">
        <v>0.25</v>
      </c>
    </row>
    <row r="1995" spans="1:4" x14ac:dyDescent="0.2">
      <c r="A1995" s="43">
        <v>41167</v>
      </c>
      <c r="D1995">
        <v>0.25</v>
      </c>
    </row>
    <row r="1996" spans="1:4" x14ac:dyDescent="0.2">
      <c r="A1996" s="43">
        <v>41168</v>
      </c>
      <c r="D1996">
        <v>0.25</v>
      </c>
    </row>
    <row r="1997" spans="1:4" x14ac:dyDescent="0.2">
      <c r="A1997" s="43">
        <v>41169</v>
      </c>
      <c r="D1997">
        <v>0.25</v>
      </c>
    </row>
    <row r="1998" spans="1:4" x14ac:dyDescent="0.2">
      <c r="A1998" s="43">
        <v>41170</v>
      </c>
      <c r="D1998">
        <v>0.25</v>
      </c>
    </row>
    <row r="1999" spans="1:4" x14ac:dyDescent="0.2">
      <c r="A1999" s="43">
        <v>41171</v>
      </c>
      <c r="D1999">
        <v>0.25</v>
      </c>
    </row>
    <row r="2000" spans="1:4" x14ac:dyDescent="0.2">
      <c r="A2000" s="43">
        <v>41172</v>
      </c>
      <c r="D2000">
        <v>0.25</v>
      </c>
    </row>
    <row r="2001" spans="1:5" x14ac:dyDescent="0.2">
      <c r="A2001" s="43">
        <v>41173</v>
      </c>
      <c r="D2001">
        <v>0.25</v>
      </c>
    </row>
    <row r="2002" spans="1:5" x14ac:dyDescent="0.2">
      <c r="A2002" s="43">
        <v>41174</v>
      </c>
      <c r="D2002">
        <v>0.25</v>
      </c>
    </row>
    <row r="2003" spans="1:5" x14ac:dyDescent="0.2">
      <c r="A2003" s="43">
        <v>41175</v>
      </c>
      <c r="D2003">
        <v>0.25</v>
      </c>
    </row>
    <row r="2004" spans="1:5" x14ac:dyDescent="0.2">
      <c r="A2004" s="43">
        <v>41176</v>
      </c>
      <c r="D2004">
        <v>0.25</v>
      </c>
    </row>
    <row r="2005" spans="1:5" x14ac:dyDescent="0.2">
      <c r="A2005" s="43">
        <v>41177</v>
      </c>
      <c r="D2005">
        <v>0.25</v>
      </c>
    </row>
    <row r="2006" spans="1:5" x14ac:dyDescent="0.2">
      <c r="A2006" s="43">
        <v>41178</v>
      </c>
      <c r="D2006">
        <v>0.25</v>
      </c>
    </row>
    <row r="2007" spans="1:5" x14ac:dyDescent="0.2">
      <c r="A2007" s="43">
        <v>41179</v>
      </c>
      <c r="D2007">
        <v>0.25</v>
      </c>
    </row>
    <row r="2008" spans="1:5" x14ac:dyDescent="0.2">
      <c r="A2008" s="43">
        <v>41180</v>
      </c>
      <c r="D2008">
        <v>0.25</v>
      </c>
    </row>
    <row r="2009" spans="1:5" x14ac:dyDescent="0.2">
      <c r="A2009" s="43">
        <v>41181</v>
      </c>
      <c r="D2009">
        <v>0.25</v>
      </c>
    </row>
    <row r="2010" spans="1:5" x14ac:dyDescent="0.2">
      <c r="A2010" s="43">
        <v>41182</v>
      </c>
      <c r="D2010">
        <v>0.25</v>
      </c>
    </row>
    <row r="2011" spans="1:5" x14ac:dyDescent="0.2">
      <c r="A2011" s="43">
        <v>41183</v>
      </c>
      <c r="B2011">
        <v>100.67700000000001</v>
      </c>
      <c r="C2011">
        <v>100.482</v>
      </c>
      <c r="D2011">
        <v>0.25</v>
      </c>
      <c r="E2011">
        <v>231.024</v>
      </c>
    </row>
    <row r="2012" spans="1:5" x14ac:dyDescent="0.2">
      <c r="A2012" s="43">
        <v>41184</v>
      </c>
      <c r="D2012">
        <v>0.25</v>
      </c>
    </row>
    <row r="2013" spans="1:5" x14ac:dyDescent="0.2">
      <c r="A2013" s="43">
        <v>41185</v>
      </c>
      <c r="D2013">
        <v>0.25</v>
      </c>
    </row>
    <row r="2014" spans="1:5" x14ac:dyDescent="0.2">
      <c r="A2014" s="43">
        <v>41186</v>
      </c>
      <c r="D2014">
        <v>0.25</v>
      </c>
    </row>
    <row r="2015" spans="1:5" x14ac:dyDescent="0.2">
      <c r="A2015" s="43">
        <v>41187</v>
      </c>
      <c r="D2015">
        <v>0.25</v>
      </c>
    </row>
    <row r="2016" spans="1:5" x14ac:dyDescent="0.2">
      <c r="A2016" s="43">
        <v>41188</v>
      </c>
      <c r="D2016">
        <v>0.25</v>
      </c>
    </row>
    <row r="2017" spans="1:4" x14ac:dyDescent="0.2">
      <c r="A2017" s="43">
        <v>41189</v>
      </c>
      <c r="D2017">
        <v>0.25</v>
      </c>
    </row>
    <row r="2018" spans="1:4" x14ac:dyDescent="0.2">
      <c r="A2018" s="43">
        <v>41190</v>
      </c>
      <c r="D2018">
        <v>0.25</v>
      </c>
    </row>
    <row r="2019" spans="1:4" x14ac:dyDescent="0.2">
      <c r="A2019" s="43">
        <v>41191</v>
      </c>
      <c r="D2019">
        <v>0.25</v>
      </c>
    </row>
    <row r="2020" spans="1:4" x14ac:dyDescent="0.2">
      <c r="A2020" s="43">
        <v>41192</v>
      </c>
      <c r="D2020">
        <v>0.25</v>
      </c>
    </row>
    <row r="2021" spans="1:4" x14ac:dyDescent="0.2">
      <c r="A2021" s="43">
        <v>41193</v>
      </c>
      <c r="D2021">
        <v>0.25</v>
      </c>
    </row>
    <row r="2022" spans="1:4" x14ac:dyDescent="0.2">
      <c r="A2022" s="43">
        <v>41194</v>
      </c>
      <c r="D2022">
        <v>0.25</v>
      </c>
    </row>
    <row r="2023" spans="1:4" x14ac:dyDescent="0.2">
      <c r="A2023" s="43">
        <v>41195</v>
      </c>
      <c r="D2023">
        <v>0.25</v>
      </c>
    </row>
    <row r="2024" spans="1:4" x14ac:dyDescent="0.2">
      <c r="A2024" s="43">
        <v>41196</v>
      </c>
      <c r="D2024">
        <v>0.25</v>
      </c>
    </row>
    <row r="2025" spans="1:4" x14ac:dyDescent="0.2">
      <c r="A2025" s="43">
        <v>41197</v>
      </c>
      <c r="D2025">
        <v>0.25</v>
      </c>
    </row>
    <row r="2026" spans="1:4" x14ac:dyDescent="0.2">
      <c r="A2026" s="43">
        <v>41198</v>
      </c>
      <c r="D2026">
        <v>0.25</v>
      </c>
    </row>
    <row r="2027" spans="1:4" x14ac:dyDescent="0.2">
      <c r="A2027" s="43">
        <v>41199</v>
      </c>
      <c r="D2027">
        <v>0.25</v>
      </c>
    </row>
    <row r="2028" spans="1:4" x14ac:dyDescent="0.2">
      <c r="A2028" s="43">
        <v>41200</v>
      </c>
      <c r="D2028">
        <v>0.25</v>
      </c>
    </row>
    <row r="2029" spans="1:4" x14ac:dyDescent="0.2">
      <c r="A2029" s="43">
        <v>41201</v>
      </c>
      <c r="D2029">
        <v>0.25</v>
      </c>
    </row>
    <row r="2030" spans="1:4" x14ac:dyDescent="0.2">
      <c r="A2030" s="43">
        <v>41202</v>
      </c>
      <c r="D2030">
        <v>0.25</v>
      </c>
    </row>
    <row r="2031" spans="1:4" x14ac:dyDescent="0.2">
      <c r="A2031" s="43">
        <v>41203</v>
      </c>
      <c r="D2031">
        <v>0.25</v>
      </c>
    </row>
    <row r="2032" spans="1:4" x14ac:dyDescent="0.2">
      <c r="A2032" s="43">
        <v>41204</v>
      </c>
      <c r="D2032">
        <v>0.25</v>
      </c>
    </row>
    <row r="2033" spans="1:5" x14ac:dyDescent="0.2">
      <c r="A2033" s="43">
        <v>41205</v>
      </c>
      <c r="D2033">
        <v>0.25</v>
      </c>
    </row>
    <row r="2034" spans="1:5" x14ac:dyDescent="0.2">
      <c r="A2034" s="43">
        <v>41206</v>
      </c>
      <c r="D2034">
        <v>0.25</v>
      </c>
    </row>
    <row r="2035" spans="1:5" x14ac:dyDescent="0.2">
      <c r="A2035" s="43">
        <v>41207</v>
      </c>
      <c r="D2035">
        <v>0.25</v>
      </c>
    </row>
    <row r="2036" spans="1:5" x14ac:dyDescent="0.2">
      <c r="A2036" s="43">
        <v>41208</v>
      </c>
      <c r="D2036">
        <v>0.25</v>
      </c>
    </row>
    <row r="2037" spans="1:5" x14ac:dyDescent="0.2">
      <c r="A2037" s="43">
        <v>41209</v>
      </c>
      <c r="D2037">
        <v>0.25</v>
      </c>
    </row>
    <row r="2038" spans="1:5" x14ac:dyDescent="0.2">
      <c r="A2038" s="43">
        <v>41210</v>
      </c>
      <c r="D2038">
        <v>0.25</v>
      </c>
    </row>
    <row r="2039" spans="1:5" x14ac:dyDescent="0.2">
      <c r="A2039" s="43">
        <v>41211</v>
      </c>
      <c r="D2039">
        <v>0.25</v>
      </c>
    </row>
    <row r="2040" spans="1:5" x14ac:dyDescent="0.2">
      <c r="A2040" s="43">
        <v>41212</v>
      </c>
      <c r="D2040">
        <v>0.25</v>
      </c>
    </row>
    <row r="2041" spans="1:5" x14ac:dyDescent="0.2">
      <c r="A2041" s="43">
        <v>41213</v>
      </c>
      <c r="D2041">
        <v>0.25</v>
      </c>
    </row>
    <row r="2042" spans="1:5" x14ac:dyDescent="0.2">
      <c r="A2042" s="43">
        <v>41214</v>
      </c>
      <c r="B2042">
        <v>100.60899999999999</v>
      </c>
      <c r="C2042">
        <v>100.59099999999999</v>
      </c>
      <c r="D2042">
        <v>0.25</v>
      </c>
      <c r="E2042">
        <v>231.33</v>
      </c>
    </row>
    <row r="2043" spans="1:5" x14ac:dyDescent="0.2">
      <c r="A2043" s="43">
        <v>41215</v>
      </c>
      <c r="D2043">
        <v>0.25</v>
      </c>
    </row>
    <row r="2044" spans="1:5" x14ac:dyDescent="0.2">
      <c r="A2044" s="43">
        <v>41216</v>
      </c>
      <c r="D2044">
        <v>0.25</v>
      </c>
    </row>
    <row r="2045" spans="1:5" x14ac:dyDescent="0.2">
      <c r="A2045" s="43">
        <v>41217</v>
      </c>
      <c r="D2045">
        <v>0.25</v>
      </c>
    </row>
    <row r="2046" spans="1:5" x14ac:dyDescent="0.2">
      <c r="A2046" s="43">
        <v>41218</v>
      </c>
      <c r="D2046">
        <v>0.25</v>
      </c>
    </row>
    <row r="2047" spans="1:5" x14ac:dyDescent="0.2">
      <c r="A2047" s="43">
        <v>41219</v>
      </c>
      <c r="D2047">
        <v>0.25</v>
      </c>
    </row>
    <row r="2048" spans="1:5" x14ac:dyDescent="0.2">
      <c r="A2048" s="43">
        <v>41220</v>
      </c>
      <c r="D2048">
        <v>0.25</v>
      </c>
    </row>
    <row r="2049" spans="1:4" x14ac:dyDescent="0.2">
      <c r="A2049" s="43">
        <v>41221</v>
      </c>
      <c r="D2049">
        <v>0.25</v>
      </c>
    </row>
    <row r="2050" spans="1:4" x14ac:dyDescent="0.2">
      <c r="A2050" s="43">
        <v>41222</v>
      </c>
      <c r="D2050">
        <v>0.25</v>
      </c>
    </row>
    <row r="2051" spans="1:4" x14ac:dyDescent="0.2">
      <c r="A2051" s="43">
        <v>41223</v>
      </c>
      <c r="D2051">
        <v>0.25</v>
      </c>
    </row>
    <row r="2052" spans="1:4" x14ac:dyDescent="0.2">
      <c r="A2052" s="43">
        <v>41224</v>
      </c>
      <c r="D2052">
        <v>0.25</v>
      </c>
    </row>
    <row r="2053" spans="1:4" x14ac:dyDescent="0.2">
      <c r="A2053" s="43">
        <v>41225</v>
      </c>
      <c r="D2053">
        <v>0.25</v>
      </c>
    </row>
    <row r="2054" spans="1:4" x14ac:dyDescent="0.2">
      <c r="A2054" s="43">
        <v>41226</v>
      </c>
      <c r="D2054">
        <v>0.25</v>
      </c>
    </row>
    <row r="2055" spans="1:4" x14ac:dyDescent="0.2">
      <c r="A2055" s="43">
        <v>41227</v>
      </c>
      <c r="D2055">
        <v>0.25</v>
      </c>
    </row>
    <row r="2056" spans="1:4" x14ac:dyDescent="0.2">
      <c r="A2056" s="43">
        <v>41228</v>
      </c>
      <c r="D2056">
        <v>0.25</v>
      </c>
    </row>
    <row r="2057" spans="1:4" x14ac:dyDescent="0.2">
      <c r="A2057" s="43">
        <v>41229</v>
      </c>
      <c r="D2057">
        <v>0.25</v>
      </c>
    </row>
    <row r="2058" spans="1:4" x14ac:dyDescent="0.2">
      <c r="A2058" s="43">
        <v>41230</v>
      </c>
      <c r="D2058">
        <v>0.25</v>
      </c>
    </row>
    <row r="2059" spans="1:4" x14ac:dyDescent="0.2">
      <c r="A2059" s="43">
        <v>41231</v>
      </c>
      <c r="D2059">
        <v>0.25</v>
      </c>
    </row>
    <row r="2060" spans="1:4" x14ac:dyDescent="0.2">
      <c r="A2060" s="43">
        <v>41232</v>
      </c>
      <c r="D2060">
        <v>0.25</v>
      </c>
    </row>
    <row r="2061" spans="1:4" x14ac:dyDescent="0.2">
      <c r="A2061" s="43">
        <v>41233</v>
      </c>
      <c r="D2061">
        <v>0.25</v>
      </c>
    </row>
    <row r="2062" spans="1:4" x14ac:dyDescent="0.2">
      <c r="A2062" s="43">
        <v>41234</v>
      </c>
      <c r="D2062">
        <v>0.25</v>
      </c>
    </row>
    <row r="2063" spans="1:4" x14ac:dyDescent="0.2">
      <c r="A2063" s="43">
        <v>41235</v>
      </c>
      <c r="D2063">
        <v>0.25</v>
      </c>
    </row>
    <row r="2064" spans="1:4" x14ac:dyDescent="0.2">
      <c r="A2064" s="43">
        <v>41236</v>
      </c>
      <c r="D2064">
        <v>0.25</v>
      </c>
    </row>
    <row r="2065" spans="1:5" x14ac:dyDescent="0.2">
      <c r="A2065" s="43">
        <v>41237</v>
      </c>
      <c r="D2065">
        <v>0.25</v>
      </c>
    </row>
    <row r="2066" spans="1:5" x14ac:dyDescent="0.2">
      <c r="A2066" s="43">
        <v>41238</v>
      </c>
      <c r="D2066">
        <v>0.25</v>
      </c>
    </row>
    <row r="2067" spans="1:5" x14ac:dyDescent="0.2">
      <c r="A2067" s="43">
        <v>41239</v>
      </c>
      <c r="D2067">
        <v>0.25</v>
      </c>
    </row>
    <row r="2068" spans="1:5" x14ac:dyDescent="0.2">
      <c r="A2068" s="43">
        <v>41240</v>
      </c>
      <c r="D2068">
        <v>0.25</v>
      </c>
    </row>
    <row r="2069" spans="1:5" x14ac:dyDescent="0.2">
      <c r="A2069" s="43">
        <v>41241</v>
      </c>
      <c r="D2069">
        <v>0.25</v>
      </c>
    </row>
    <row r="2070" spans="1:5" x14ac:dyDescent="0.2">
      <c r="A2070" s="43">
        <v>41242</v>
      </c>
      <c r="D2070">
        <v>0.25</v>
      </c>
    </row>
    <row r="2071" spans="1:5" x14ac:dyDescent="0.2">
      <c r="A2071" s="43">
        <v>41243</v>
      </c>
      <c r="D2071">
        <v>0.25</v>
      </c>
    </row>
    <row r="2072" spans="1:5" x14ac:dyDescent="0.2">
      <c r="A2072" s="43">
        <v>41244</v>
      </c>
      <c r="B2072">
        <v>100.593</v>
      </c>
      <c r="C2072">
        <v>100.664</v>
      </c>
      <c r="D2072">
        <v>0.25</v>
      </c>
      <c r="E2072">
        <v>231.72499999999999</v>
      </c>
    </row>
    <row r="2073" spans="1:5" x14ac:dyDescent="0.2">
      <c r="A2073" s="43">
        <v>41245</v>
      </c>
      <c r="D2073">
        <v>0.25</v>
      </c>
    </row>
    <row r="2074" spans="1:5" x14ac:dyDescent="0.2">
      <c r="A2074" s="43">
        <v>41246</v>
      </c>
      <c r="D2074">
        <v>0.25</v>
      </c>
    </row>
    <row r="2075" spans="1:5" x14ac:dyDescent="0.2">
      <c r="A2075" s="43">
        <v>41247</v>
      </c>
      <c r="D2075">
        <v>0.25</v>
      </c>
    </row>
    <row r="2076" spans="1:5" x14ac:dyDescent="0.2">
      <c r="A2076" s="43">
        <v>41248</v>
      </c>
      <c r="D2076">
        <v>0.25</v>
      </c>
    </row>
    <row r="2077" spans="1:5" x14ac:dyDescent="0.2">
      <c r="A2077" s="43">
        <v>41249</v>
      </c>
      <c r="D2077">
        <v>0.25</v>
      </c>
    </row>
    <row r="2078" spans="1:5" x14ac:dyDescent="0.2">
      <c r="A2078" s="43">
        <v>41250</v>
      </c>
      <c r="D2078">
        <v>0.25</v>
      </c>
    </row>
    <row r="2079" spans="1:5" x14ac:dyDescent="0.2">
      <c r="A2079" s="43">
        <v>41251</v>
      </c>
      <c r="D2079">
        <v>0.25</v>
      </c>
    </row>
    <row r="2080" spans="1:5" x14ac:dyDescent="0.2">
      <c r="A2080" s="43">
        <v>41252</v>
      </c>
      <c r="D2080">
        <v>0.25</v>
      </c>
    </row>
    <row r="2081" spans="1:4" x14ac:dyDescent="0.2">
      <c r="A2081" s="43">
        <v>41253</v>
      </c>
      <c r="D2081">
        <v>0.25</v>
      </c>
    </row>
    <row r="2082" spans="1:4" x14ac:dyDescent="0.2">
      <c r="A2082" s="43">
        <v>41254</v>
      </c>
      <c r="D2082">
        <v>0.25</v>
      </c>
    </row>
    <row r="2083" spans="1:4" x14ac:dyDescent="0.2">
      <c r="A2083" s="43">
        <v>41255</v>
      </c>
      <c r="D2083">
        <v>0.25</v>
      </c>
    </row>
    <row r="2084" spans="1:4" x14ac:dyDescent="0.2">
      <c r="A2084" s="43">
        <v>41256</v>
      </c>
      <c r="D2084">
        <v>0.25</v>
      </c>
    </row>
    <row r="2085" spans="1:4" x14ac:dyDescent="0.2">
      <c r="A2085" s="43">
        <v>41257</v>
      </c>
      <c r="D2085">
        <v>0.25</v>
      </c>
    </row>
    <row r="2086" spans="1:4" x14ac:dyDescent="0.2">
      <c r="A2086" s="43">
        <v>41258</v>
      </c>
      <c r="D2086">
        <v>0.25</v>
      </c>
    </row>
    <row r="2087" spans="1:4" x14ac:dyDescent="0.2">
      <c r="A2087" s="43">
        <v>41259</v>
      </c>
      <c r="D2087">
        <v>0.25</v>
      </c>
    </row>
    <row r="2088" spans="1:4" x14ac:dyDescent="0.2">
      <c r="A2088" s="43">
        <v>41260</v>
      </c>
      <c r="D2088">
        <v>0.25</v>
      </c>
    </row>
    <row r="2089" spans="1:4" x14ac:dyDescent="0.2">
      <c r="A2089" s="43">
        <v>41261</v>
      </c>
      <c r="D2089">
        <v>0.25</v>
      </c>
    </row>
    <row r="2090" spans="1:4" x14ac:dyDescent="0.2">
      <c r="A2090" s="43">
        <v>41262</v>
      </c>
      <c r="D2090">
        <v>0.25</v>
      </c>
    </row>
    <row r="2091" spans="1:4" x14ac:dyDescent="0.2">
      <c r="A2091" s="43">
        <v>41263</v>
      </c>
      <c r="D2091">
        <v>0.25</v>
      </c>
    </row>
    <row r="2092" spans="1:4" x14ac:dyDescent="0.2">
      <c r="A2092" s="43">
        <v>41264</v>
      </c>
      <c r="D2092">
        <v>0.25</v>
      </c>
    </row>
    <row r="2093" spans="1:4" x14ac:dyDescent="0.2">
      <c r="A2093" s="43">
        <v>41265</v>
      </c>
      <c r="D2093">
        <v>0.25</v>
      </c>
    </row>
    <row r="2094" spans="1:4" x14ac:dyDescent="0.2">
      <c r="A2094" s="43">
        <v>41266</v>
      </c>
      <c r="D2094">
        <v>0.25</v>
      </c>
    </row>
    <row r="2095" spans="1:4" x14ac:dyDescent="0.2">
      <c r="A2095" s="43">
        <v>41267</v>
      </c>
      <c r="D2095">
        <v>0.25</v>
      </c>
    </row>
    <row r="2096" spans="1:4" x14ac:dyDescent="0.2">
      <c r="A2096" s="43">
        <v>41268</v>
      </c>
      <c r="D2096">
        <v>0.25</v>
      </c>
    </row>
    <row r="2097" spans="1:5" x14ac:dyDescent="0.2">
      <c r="A2097" s="43">
        <v>41269</v>
      </c>
      <c r="D2097">
        <v>0.25</v>
      </c>
    </row>
    <row r="2098" spans="1:5" x14ac:dyDescent="0.2">
      <c r="A2098" s="43">
        <v>41270</v>
      </c>
      <c r="D2098">
        <v>0.25</v>
      </c>
    </row>
    <row r="2099" spans="1:5" x14ac:dyDescent="0.2">
      <c r="A2099" s="43">
        <v>41271</v>
      </c>
      <c r="D2099">
        <v>0.25</v>
      </c>
    </row>
    <row r="2100" spans="1:5" x14ac:dyDescent="0.2">
      <c r="A2100" s="43">
        <v>41272</v>
      </c>
      <c r="D2100">
        <v>0.25</v>
      </c>
    </row>
    <row r="2101" spans="1:5" x14ac:dyDescent="0.2">
      <c r="A2101" s="43">
        <v>41273</v>
      </c>
      <c r="D2101">
        <v>0.25</v>
      </c>
    </row>
    <row r="2102" spans="1:5" x14ac:dyDescent="0.2">
      <c r="A2102" s="43">
        <v>41274</v>
      </c>
      <c r="D2102">
        <v>0.25</v>
      </c>
    </row>
    <row r="2103" spans="1:5" x14ac:dyDescent="0.2">
      <c r="A2103" s="43">
        <v>41275</v>
      </c>
      <c r="B2103">
        <v>100.78700000000001</v>
      </c>
      <c r="C2103">
        <v>100.871</v>
      </c>
      <c r="D2103">
        <v>0.25</v>
      </c>
      <c r="E2103">
        <v>232.22900000000001</v>
      </c>
    </row>
    <row r="2104" spans="1:5" x14ac:dyDescent="0.2">
      <c r="A2104" s="43">
        <v>41276</v>
      </c>
      <c r="D2104">
        <v>0.25</v>
      </c>
    </row>
    <row r="2105" spans="1:5" x14ac:dyDescent="0.2">
      <c r="A2105" s="43">
        <v>41277</v>
      </c>
      <c r="D2105">
        <v>0.25</v>
      </c>
    </row>
    <row r="2106" spans="1:5" x14ac:dyDescent="0.2">
      <c r="A2106" s="43">
        <v>41278</v>
      </c>
      <c r="D2106">
        <v>0.25</v>
      </c>
    </row>
    <row r="2107" spans="1:5" x14ac:dyDescent="0.2">
      <c r="A2107" s="43">
        <v>41279</v>
      </c>
      <c r="D2107">
        <v>0.25</v>
      </c>
    </row>
    <row r="2108" spans="1:5" x14ac:dyDescent="0.2">
      <c r="A2108" s="43">
        <v>41280</v>
      </c>
      <c r="D2108">
        <v>0.25</v>
      </c>
    </row>
    <row r="2109" spans="1:5" x14ac:dyDescent="0.2">
      <c r="A2109" s="43">
        <v>41281</v>
      </c>
      <c r="D2109">
        <v>0.25</v>
      </c>
    </row>
    <row r="2110" spans="1:5" x14ac:dyDescent="0.2">
      <c r="A2110" s="43">
        <v>41282</v>
      </c>
      <c r="D2110">
        <v>0.25</v>
      </c>
    </row>
    <row r="2111" spans="1:5" x14ac:dyDescent="0.2">
      <c r="A2111" s="43">
        <v>41283</v>
      </c>
      <c r="D2111">
        <v>0.25</v>
      </c>
    </row>
    <row r="2112" spans="1:5" x14ac:dyDescent="0.2">
      <c r="A2112" s="43">
        <v>41284</v>
      </c>
      <c r="D2112">
        <v>0.25</v>
      </c>
    </row>
    <row r="2113" spans="1:4" x14ac:dyDescent="0.2">
      <c r="A2113" s="43">
        <v>41285</v>
      </c>
      <c r="D2113">
        <v>0.25</v>
      </c>
    </row>
    <row r="2114" spans="1:4" x14ac:dyDescent="0.2">
      <c r="A2114" s="43">
        <v>41286</v>
      </c>
      <c r="D2114">
        <v>0.25</v>
      </c>
    </row>
    <row r="2115" spans="1:4" x14ac:dyDescent="0.2">
      <c r="A2115" s="43">
        <v>41287</v>
      </c>
      <c r="D2115">
        <v>0.25</v>
      </c>
    </row>
    <row r="2116" spans="1:4" x14ac:dyDescent="0.2">
      <c r="A2116" s="43">
        <v>41288</v>
      </c>
      <c r="D2116">
        <v>0.25</v>
      </c>
    </row>
    <row r="2117" spans="1:4" x14ac:dyDescent="0.2">
      <c r="A2117" s="43">
        <v>41289</v>
      </c>
      <c r="D2117">
        <v>0.25</v>
      </c>
    </row>
    <row r="2118" spans="1:4" x14ac:dyDescent="0.2">
      <c r="A2118" s="43">
        <v>41290</v>
      </c>
      <c r="D2118">
        <v>0.25</v>
      </c>
    </row>
    <row r="2119" spans="1:4" x14ac:dyDescent="0.2">
      <c r="A2119" s="43">
        <v>41291</v>
      </c>
      <c r="D2119">
        <v>0.25</v>
      </c>
    </row>
    <row r="2120" spans="1:4" x14ac:dyDescent="0.2">
      <c r="A2120" s="43">
        <v>41292</v>
      </c>
      <c r="D2120">
        <v>0.25</v>
      </c>
    </row>
    <row r="2121" spans="1:4" x14ac:dyDescent="0.2">
      <c r="A2121" s="43">
        <v>41293</v>
      </c>
      <c r="D2121">
        <v>0.25</v>
      </c>
    </row>
    <row r="2122" spans="1:4" x14ac:dyDescent="0.2">
      <c r="A2122" s="43">
        <v>41294</v>
      </c>
      <c r="D2122">
        <v>0.25</v>
      </c>
    </row>
    <row r="2123" spans="1:4" x14ac:dyDescent="0.2">
      <c r="A2123" s="43">
        <v>41295</v>
      </c>
      <c r="D2123">
        <v>0.25</v>
      </c>
    </row>
    <row r="2124" spans="1:4" x14ac:dyDescent="0.2">
      <c r="A2124" s="43">
        <v>41296</v>
      </c>
      <c r="D2124">
        <v>0.25</v>
      </c>
    </row>
    <row r="2125" spans="1:4" x14ac:dyDescent="0.2">
      <c r="A2125" s="43">
        <v>41297</v>
      </c>
      <c r="D2125">
        <v>0.25</v>
      </c>
    </row>
    <row r="2126" spans="1:4" x14ac:dyDescent="0.2">
      <c r="A2126" s="43">
        <v>41298</v>
      </c>
      <c r="D2126">
        <v>0.25</v>
      </c>
    </row>
    <row r="2127" spans="1:4" x14ac:dyDescent="0.2">
      <c r="A2127" s="43">
        <v>41299</v>
      </c>
      <c r="D2127">
        <v>0.25</v>
      </c>
    </row>
    <row r="2128" spans="1:4" x14ac:dyDescent="0.2">
      <c r="A2128" s="43">
        <v>41300</v>
      </c>
      <c r="D2128">
        <v>0.25</v>
      </c>
    </row>
    <row r="2129" spans="1:5" x14ac:dyDescent="0.2">
      <c r="A2129" s="43">
        <v>41301</v>
      </c>
      <c r="D2129">
        <v>0.25</v>
      </c>
    </row>
    <row r="2130" spans="1:5" x14ac:dyDescent="0.2">
      <c r="A2130" s="43">
        <v>41302</v>
      </c>
      <c r="D2130">
        <v>0.25</v>
      </c>
    </row>
    <row r="2131" spans="1:5" x14ac:dyDescent="0.2">
      <c r="A2131" s="43">
        <v>41303</v>
      </c>
      <c r="D2131">
        <v>0.25</v>
      </c>
    </row>
    <row r="2132" spans="1:5" x14ac:dyDescent="0.2">
      <c r="A2132" s="43">
        <v>41304</v>
      </c>
      <c r="D2132">
        <v>0.25</v>
      </c>
    </row>
    <row r="2133" spans="1:5" x14ac:dyDescent="0.2">
      <c r="A2133" s="43">
        <v>41305</v>
      </c>
      <c r="D2133">
        <v>0.25</v>
      </c>
    </row>
    <row r="2134" spans="1:5" x14ac:dyDescent="0.2">
      <c r="A2134" s="43">
        <v>41306</v>
      </c>
      <c r="B2134">
        <v>101.15600000000001</v>
      </c>
      <c r="C2134">
        <v>100.992</v>
      </c>
      <c r="D2134">
        <v>0.25</v>
      </c>
      <c r="E2134">
        <v>232.56899999999999</v>
      </c>
    </row>
    <row r="2135" spans="1:5" x14ac:dyDescent="0.2">
      <c r="A2135" s="43">
        <v>41307</v>
      </c>
      <c r="D2135">
        <v>0.25</v>
      </c>
    </row>
    <row r="2136" spans="1:5" x14ac:dyDescent="0.2">
      <c r="A2136" s="43">
        <v>41308</v>
      </c>
      <c r="D2136">
        <v>0.25</v>
      </c>
    </row>
    <row r="2137" spans="1:5" x14ac:dyDescent="0.2">
      <c r="A2137" s="43">
        <v>41309</v>
      </c>
      <c r="D2137">
        <v>0.25</v>
      </c>
    </row>
    <row r="2138" spans="1:5" x14ac:dyDescent="0.2">
      <c r="A2138" s="43">
        <v>41310</v>
      </c>
      <c r="D2138">
        <v>0.25</v>
      </c>
    </row>
    <row r="2139" spans="1:5" x14ac:dyDescent="0.2">
      <c r="A2139" s="43">
        <v>41311</v>
      </c>
      <c r="D2139">
        <v>0.25</v>
      </c>
    </row>
    <row r="2140" spans="1:5" x14ac:dyDescent="0.2">
      <c r="A2140" s="43">
        <v>41312</v>
      </c>
      <c r="D2140">
        <v>0.25</v>
      </c>
    </row>
    <row r="2141" spans="1:5" x14ac:dyDescent="0.2">
      <c r="A2141" s="43">
        <v>41313</v>
      </c>
      <c r="D2141">
        <v>0.25</v>
      </c>
    </row>
    <row r="2142" spans="1:5" x14ac:dyDescent="0.2">
      <c r="A2142" s="43">
        <v>41314</v>
      </c>
      <c r="D2142">
        <v>0.25</v>
      </c>
    </row>
    <row r="2143" spans="1:5" x14ac:dyDescent="0.2">
      <c r="A2143" s="43">
        <v>41315</v>
      </c>
      <c r="D2143">
        <v>0.25</v>
      </c>
    </row>
    <row r="2144" spans="1:5" x14ac:dyDescent="0.2">
      <c r="A2144" s="43">
        <v>41316</v>
      </c>
      <c r="D2144">
        <v>0.25</v>
      </c>
    </row>
    <row r="2145" spans="1:4" x14ac:dyDescent="0.2">
      <c r="A2145" s="43">
        <v>41317</v>
      </c>
      <c r="D2145">
        <v>0.25</v>
      </c>
    </row>
    <row r="2146" spans="1:4" x14ac:dyDescent="0.2">
      <c r="A2146" s="43">
        <v>41318</v>
      </c>
      <c r="D2146">
        <v>0.25</v>
      </c>
    </row>
    <row r="2147" spans="1:4" x14ac:dyDescent="0.2">
      <c r="A2147" s="43">
        <v>41319</v>
      </c>
      <c r="D2147">
        <v>0.25</v>
      </c>
    </row>
    <row r="2148" spans="1:4" x14ac:dyDescent="0.2">
      <c r="A2148" s="43">
        <v>41320</v>
      </c>
      <c r="D2148">
        <v>0.25</v>
      </c>
    </row>
    <row r="2149" spans="1:4" x14ac:dyDescent="0.2">
      <c r="A2149" s="43">
        <v>41321</v>
      </c>
      <c r="D2149">
        <v>0.25</v>
      </c>
    </row>
    <row r="2150" spans="1:4" x14ac:dyDescent="0.2">
      <c r="A2150" s="43">
        <v>41322</v>
      </c>
      <c r="D2150">
        <v>0.25</v>
      </c>
    </row>
    <row r="2151" spans="1:4" x14ac:dyDescent="0.2">
      <c r="A2151" s="43">
        <v>41323</v>
      </c>
      <c r="D2151">
        <v>0.25</v>
      </c>
    </row>
    <row r="2152" spans="1:4" x14ac:dyDescent="0.2">
      <c r="A2152" s="43">
        <v>41324</v>
      </c>
      <c r="D2152">
        <v>0.25</v>
      </c>
    </row>
    <row r="2153" spans="1:4" x14ac:dyDescent="0.2">
      <c r="A2153" s="43">
        <v>41325</v>
      </c>
      <c r="D2153">
        <v>0.25</v>
      </c>
    </row>
    <row r="2154" spans="1:4" x14ac:dyDescent="0.2">
      <c r="A2154" s="43">
        <v>41326</v>
      </c>
      <c r="D2154">
        <v>0.25</v>
      </c>
    </row>
    <row r="2155" spans="1:4" x14ac:dyDescent="0.2">
      <c r="A2155" s="43">
        <v>41327</v>
      </c>
      <c r="D2155">
        <v>0.25</v>
      </c>
    </row>
    <row r="2156" spans="1:4" x14ac:dyDescent="0.2">
      <c r="A2156" s="43">
        <v>41328</v>
      </c>
      <c r="D2156">
        <v>0.25</v>
      </c>
    </row>
    <row r="2157" spans="1:4" x14ac:dyDescent="0.2">
      <c r="A2157" s="43">
        <v>41329</v>
      </c>
      <c r="D2157">
        <v>0.25</v>
      </c>
    </row>
    <row r="2158" spans="1:4" x14ac:dyDescent="0.2">
      <c r="A2158" s="43">
        <v>41330</v>
      </c>
      <c r="D2158">
        <v>0.25</v>
      </c>
    </row>
    <row r="2159" spans="1:4" x14ac:dyDescent="0.2">
      <c r="A2159" s="43">
        <v>41331</v>
      </c>
      <c r="D2159">
        <v>0.25</v>
      </c>
    </row>
    <row r="2160" spans="1:4" x14ac:dyDescent="0.2">
      <c r="A2160" s="43">
        <v>41332</v>
      </c>
      <c r="D2160">
        <v>0.25</v>
      </c>
    </row>
    <row r="2161" spans="1:5" x14ac:dyDescent="0.2">
      <c r="A2161" s="43">
        <v>41333</v>
      </c>
      <c r="D2161">
        <v>0.25</v>
      </c>
    </row>
    <row r="2162" spans="1:5" x14ac:dyDescent="0.2">
      <c r="A2162" s="43">
        <v>41334</v>
      </c>
      <c r="B2162">
        <v>101.023</v>
      </c>
      <c r="C2162">
        <v>101.08499999999999</v>
      </c>
      <c r="D2162">
        <v>0.25</v>
      </c>
      <c r="E2162">
        <v>232.79400000000001</v>
      </c>
    </row>
    <row r="2163" spans="1:5" x14ac:dyDescent="0.2">
      <c r="A2163" s="43">
        <v>41335</v>
      </c>
      <c r="D2163">
        <v>0.25</v>
      </c>
    </row>
    <row r="2164" spans="1:5" x14ac:dyDescent="0.2">
      <c r="A2164" s="43">
        <v>41336</v>
      </c>
      <c r="D2164">
        <v>0.25</v>
      </c>
    </row>
    <row r="2165" spans="1:5" x14ac:dyDescent="0.2">
      <c r="A2165" s="43">
        <v>41337</v>
      </c>
      <c r="D2165">
        <v>0.25</v>
      </c>
    </row>
    <row r="2166" spans="1:5" x14ac:dyDescent="0.2">
      <c r="A2166" s="43">
        <v>41338</v>
      </c>
      <c r="D2166">
        <v>0.25</v>
      </c>
    </row>
    <row r="2167" spans="1:5" x14ac:dyDescent="0.2">
      <c r="A2167" s="43">
        <v>41339</v>
      </c>
      <c r="D2167">
        <v>0.25</v>
      </c>
    </row>
    <row r="2168" spans="1:5" x14ac:dyDescent="0.2">
      <c r="A2168" s="43">
        <v>41340</v>
      </c>
      <c r="D2168">
        <v>0.25</v>
      </c>
    </row>
    <row r="2169" spans="1:5" x14ac:dyDescent="0.2">
      <c r="A2169" s="43">
        <v>41341</v>
      </c>
      <c r="D2169">
        <v>0.25</v>
      </c>
    </row>
    <row r="2170" spans="1:5" x14ac:dyDescent="0.2">
      <c r="A2170" s="43">
        <v>41342</v>
      </c>
      <c r="D2170">
        <v>0.25</v>
      </c>
    </row>
    <row r="2171" spans="1:5" x14ac:dyDescent="0.2">
      <c r="A2171" s="43">
        <v>41343</v>
      </c>
      <c r="D2171">
        <v>0.25</v>
      </c>
    </row>
    <row r="2172" spans="1:5" x14ac:dyDescent="0.2">
      <c r="A2172" s="43">
        <v>41344</v>
      </c>
      <c r="D2172">
        <v>0.25</v>
      </c>
    </row>
    <row r="2173" spans="1:5" x14ac:dyDescent="0.2">
      <c r="A2173" s="43">
        <v>41345</v>
      </c>
      <c r="D2173">
        <v>0.25</v>
      </c>
    </row>
    <row r="2174" spans="1:5" x14ac:dyDescent="0.2">
      <c r="A2174" s="43">
        <v>41346</v>
      </c>
      <c r="D2174">
        <v>0.25</v>
      </c>
    </row>
    <row r="2175" spans="1:5" x14ac:dyDescent="0.2">
      <c r="A2175" s="43">
        <v>41347</v>
      </c>
      <c r="D2175">
        <v>0.25</v>
      </c>
    </row>
    <row r="2176" spans="1:5" x14ac:dyDescent="0.2">
      <c r="A2176" s="43">
        <v>41348</v>
      </c>
      <c r="D2176">
        <v>0.25</v>
      </c>
    </row>
    <row r="2177" spans="1:4" x14ac:dyDescent="0.2">
      <c r="A2177" s="43">
        <v>41349</v>
      </c>
      <c r="D2177">
        <v>0.25</v>
      </c>
    </row>
    <row r="2178" spans="1:4" x14ac:dyDescent="0.2">
      <c r="A2178" s="43">
        <v>41350</v>
      </c>
      <c r="D2178">
        <v>0.25</v>
      </c>
    </row>
    <row r="2179" spans="1:4" x14ac:dyDescent="0.2">
      <c r="A2179" s="43">
        <v>41351</v>
      </c>
      <c r="D2179">
        <v>0.25</v>
      </c>
    </row>
    <row r="2180" spans="1:4" x14ac:dyDescent="0.2">
      <c r="A2180" s="43">
        <v>41352</v>
      </c>
      <c r="D2180">
        <v>0.25</v>
      </c>
    </row>
    <row r="2181" spans="1:4" x14ac:dyDescent="0.2">
      <c r="A2181" s="43">
        <v>41353</v>
      </c>
      <c r="D2181">
        <v>0.25</v>
      </c>
    </row>
    <row r="2182" spans="1:4" x14ac:dyDescent="0.2">
      <c r="A2182" s="43">
        <v>41354</v>
      </c>
      <c r="D2182">
        <v>0.25</v>
      </c>
    </row>
    <row r="2183" spans="1:4" x14ac:dyDescent="0.2">
      <c r="A2183" s="43">
        <v>41355</v>
      </c>
      <c r="D2183">
        <v>0.25</v>
      </c>
    </row>
    <row r="2184" spans="1:4" x14ac:dyDescent="0.2">
      <c r="A2184" s="43">
        <v>41356</v>
      </c>
      <c r="D2184">
        <v>0.25</v>
      </c>
    </row>
    <row r="2185" spans="1:4" x14ac:dyDescent="0.2">
      <c r="A2185" s="43">
        <v>41357</v>
      </c>
      <c r="D2185">
        <v>0.25</v>
      </c>
    </row>
    <row r="2186" spans="1:4" x14ac:dyDescent="0.2">
      <c r="A2186" s="43">
        <v>41358</v>
      </c>
      <c r="D2186">
        <v>0.25</v>
      </c>
    </row>
    <row r="2187" spans="1:4" x14ac:dyDescent="0.2">
      <c r="A2187" s="43">
        <v>41359</v>
      </c>
      <c r="D2187">
        <v>0.25</v>
      </c>
    </row>
    <row r="2188" spans="1:4" x14ac:dyDescent="0.2">
      <c r="A2188" s="43">
        <v>41360</v>
      </c>
      <c r="D2188">
        <v>0.25</v>
      </c>
    </row>
    <row r="2189" spans="1:4" x14ac:dyDescent="0.2">
      <c r="A2189" s="43">
        <v>41361</v>
      </c>
      <c r="D2189">
        <v>0.25</v>
      </c>
    </row>
    <row r="2190" spans="1:4" x14ac:dyDescent="0.2">
      <c r="A2190" s="43">
        <v>41362</v>
      </c>
      <c r="D2190">
        <v>0.25</v>
      </c>
    </row>
    <row r="2191" spans="1:4" x14ac:dyDescent="0.2">
      <c r="A2191" s="43">
        <v>41363</v>
      </c>
      <c r="D2191">
        <v>0.25</v>
      </c>
    </row>
    <row r="2192" spans="1:4" x14ac:dyDescent="0.2">
      <c r="A2192" s="43">
        <v>41364</v>
      </c>
      <c r="D2192">
        <v>0.25</v>
      </c>
    </row>
    <row r="2193" spans="1:5" x14ac:dyDescent="0.2">
      <c r="A2193" s="43">
        <v>41365</v>
      </c>
      <c r="B2193">
        <v>100.944</v>
      </c>
      <c r="C2193">
        <v>101.163</v>
      </c>
      <c r="D2193">
        <v>0.25</v>
      </c>
      <c r="E2193">
        <v>232.83199999999999</v>
      </c>
    </row>
    <row r="2194" spans="1:5" x14ac:dyDescent="0.2">
      <c r="A2194" s="43">
        <v>41366</v>
      </c>
      <c r="D2194">
        <v>0.25</v>
      </c>
    </row>
    <row r="2195" spans="1:5" x14ac:dyDescent="0.2">
      <c r="A2195" s="43">
        <v>41367</v>
      </c>
      <c r="D2195">
        <v>0.25</v>
      </c>
    </row>
    <row r="2196" spans="1:5" x14ac:dyDescent="0.2">
      <c r="A2196" s="43">
        <v>41368</v>
      </c>
      <c r="D2196">
        <v>0.25</v>
      </c>
    </row>
    <row r="2197" spans="1:5" x14ac:dyDescent="0.2">
      <c r="A2197" s="43">
        <v>41369</v>
      </c>
      <c r="D2197">
        <v>0.25</v>
      </c>
    </row>
    <row r="2198" spans="1:5" x14ac:dyDescent="0.2">
      <c r="A2198" s="43">
        <v>41370</v>
      </c>
      <c r="D2198">
        <v>0.25</v>
      </c>
    </row>
    <row r="2199" spans="1:5" x14ac:dyDescent="0.2">
      <c r="A2199" s="43">
        <v>41371</v>
      </c>
      <c r="D2199">
        <v>0.25</v>
      </c>
    </row>
    <row r="2200" spans="1:5" x14ac:dyDescent="0.2">
      <c r="A2200" s="43">
        <v>41372</v>
      </c>
      <c r="D2200">
        <v>0.25</v>
      </c>
    </row>
    <row r="2201" spans="1:5" x14ac:dyDescent="0.2">
      <c r="A2201" s="43">
        <v>41373</v>
      </c>
      <c r="D2201">
        <v>0.25</v>
      </c>
    </row>
    <row r="2202" spans="1:5" x14ac:dyDescent="0.2">
      <c r="A2202" s="43">
        <v>41374</v>
      </c>
      <c r="D2202">
        <v>0.25</v>
      </c>
    </row>
    <row r="2203" spans="1:5" x14ac:dyDescent="0.2">
      <c r="A2203" s="43">
        <v>41375</v>
      </c>
      <c r="D2203">
        <v>0.25</v>
      </c>
    </row>
    <row r="2204" spans="1:5" x14ac:dyDescent="0.2">
      <c r="A2204" s="43">
        <v>41376</v>
      </c>
      <c r="D2204">
        <v>0.25</v>
      </c>
    </row>
    <row r="2205" spans="1:5" x14ac:dyDescent="0.2">
      <c r="A2205" s="43">
        <v>41377</v>
      </c>
      <c r="D2205">
        <v>0.25</v>
      </c>
    </row>
    <row r="2206" spans="1:5" x14ac:dyDescent="0.2">
      <c r="A2206" s="43">
        <v>41378</v>
      </c>
      <c r="D2206">
        <v>0.25</v>
      </c>
    </row>
    <row r="2207" spans="1:5" x14ac:dyDescent="0.2">
      <c r="A2207" s="43">
        <v>41379</v>
      </c>
      <c r="D2207">
        <v>0.25</v>
      </c>
    </row>
    <row r="2208" spans="1:5" x14ac:dyDescent="0.2">
      <c r="A2208" s="43">
        <v>41380</v>
      </c>
      <c r="D2208">
        <v>0.25</v>
      </c>
    </row>
    <row r="2209" spans="1:5" x14ac:dyDescent="0.2">
      <c r="A2209" s="43">
        <v>41381</v>
      </c>
      <c r="D2209">
        <v>0.25</v>
      </c>
    </row>
    <row r="2210" spans="1:5" x14ac:dyDescent="0.2">
      <c r="A2210" s="43">
        <v>41382</v>
      </c>
      <c r="D2210">
        <v>0.25</v>
      </c>
    </row>
    <row r="2211" spans="1:5" x14ac:dyDescent="0.2">
      <c r="A2211" s="43">
        <v>41383</v>
      </c>
      <c r="D2211">
        <v>0.25</v>
      </c>
    </row>
    <row r="2212" spans="1:5" x14ac:dyDescent="0.2">
      <c r="A2212" s="43">
        <v>41384</v>
      </c>
      <c r="D2212">
        <v>0.25</v>
      </c>
    </row>
    <row r="2213" spans="1:5" x14ac:dyDescent="0.2">
      <c r="A2213" s="43">
        <v>41385</v>
      </c>
      <c r="D2213">
        <v>0.25</v>
      </c>
    </row>
    <row r="2214" spans="1:5" x14ac:dyDescent="0.2">
      <c r="A2214" s="43">
        <v>41386</v>
      </c>
      <c r="D2214">
        <v>0.25</v>
      </c>
    </row>
    <row r="2215" spans="1:5" x14ac:dyDescent="0.2">
      <c r="A2215" s="43">
        <v>41387</v>
      </c>
      <c r="D2215">
        <v>0.25</v>
      </c>
    </row>
    <row r="2216" spans="1:5" x14ac:dyDescent="0.2">
      <c r="A2216" s="43">
        <v>41388</v>
      </c>
      <c r="D2216">
        <v>0.25</v>
      </c>
    </row>
    <row r="2217" spans="1:5" x14ac:dyDescent="0.2">
      <c r="A2217" s="43">
        <v>41389</v>
      </c>
      <c r="D2217">
        <v>0.25</v>
      </c>
    </row>
    <row r="2218" spans="1:5" x14ac:dyDescent="0.2">
      <c r="A2218" s="43">
        <v>41390</v>
      </c>
      <c r="D2218">
        <v>0.25</v>
      </c>
    </row>
    <row r="2219" spans="1:5" x14ac:dyDescent="0.2">
      <c r="A2219" s="43">
        <v>41391</v>
      </c>
      <c r="D2219">
        <v>0.25</v>
      </c>
    </row>
    <row r="2220" spans="1:5" x14ac:dyDescent="0.2">
      <c r="A2220" s="43">
        <v>41392</v>
      </c>
      <c r="D2220">
        <v>0.25</v>
      </c>
    </row>
    <row r="2221" spans="1:5" x14ac:dyDescent="0.2">
      <c r="A2221" s="43">
        <v>41393</v>
      </c>
      <c r="D2221">
        <v>0.25</v>
      </c>
    </row>
    <row r="2222" spans="1:5" x14ac:dyDescent="0.2">
      <c r="A2222" s="43">
        <v>41394</v>
      </c>
      <c r="D2222">
        <v>0.25</v>
      </c>
    </row>
    <row r="2223" spans="1:5" x14ac:dyDescent="0.2">
      <c r="A2223" s="43">
        <v>41395</v>
      </c>
      <c r="B2223">
        <v>101.01</v>
      </c>
      <c r="C2223">
        <v>101.27200000000001</v>
      </c>
      <c r="D2223">
        <v>0.25</v>
      </c>
      <c r="E2223">
        <v>232.99600000000001</v>
      </c>
    </row>
    <row r="2224" spans="1:5" x14ac:dyDescent="0.2">
      <c r="A2224" s="43">
        <v>41396</v>
      </c>
      <c r="D2224">
        <v>0.25</v>
      </c>
    </row>
    <row r="2225" spans="1:4" x14ac:dyDescent="0.2">
      <c r="A2225" s="43">
        <v>41397</v>
      </c>
      <c r="D2225">
        <v>0.25</v>
      </c>
    </row>
    <row r="2226" spans="1:4" x14ac:dyDescent="0.2">
      <c r="A2226" s="43">
        <v>41398</v>
      </c>
      <c r="D2226">
        <v>0.25</v>
      </c>
    </row>
    <row r="2227" spans="1:4" x14ac:dyDescent="0.2">
      <c r="A2227" s="43">
        <v>41399</v>
      </c>
      <c r="D2227">
        <v>0.25</v>
      </c>
    </row>
    <row r="2228" spans="1:4" x14ac:dyDescent="0.2">
      <c r="A2228" s="43">
        <v>41400</v>
      </c>
      <c r="D2228">
        <v>0.25</v>
      </c>
    </row>
    <row r="2229" spans="1:4" x14ac:dyDescent="0.2">
      <c r="A2229" s="43">
        <v>41401</v>
      </c>
      <c r="D2229">
        <v>0.25</v>
      </c>
    </row>
    <row r="2230" spans="1:4" x14ac:dyDescent="0.2">
      <c r="A2230" s="43">
        <v>41402</v>
      </c>
      <c r="D2230">
        <v>0.25</v>
      </c>
    </row>
    <row r="2231" spans="1:4" x14ac:dyDescent="0.2">
      <c r="A2231" s="43">
        <v>41403</v>
      </c>
      <c r="D2231">
        <v>0.25</v>
      </c>
    </row>
    <row r="2232" spans="1:4" x14ac:dyDescent="0.2">
      <c r="A2232" s="43">
        <v>41404</v>
      </c>
      <c r="D2232">
        <v>0.25</v>
      </c>
    </row>
    <row r="2233" spans="1:4" x14ac:dyDescent="0.2">
      <c r="A2233" s="43">
        <v>41405</v>
      </c>
      <c r="D2233">
        <v>0.25</v>
      </c>
    </row>
    <row r="2234" spans="1:4" x14ac:dyDescent="0.2">
      <c r="A2234" s="43">
        <v>41406</v>
      </c>
      <c r="D2234">
        <v>0.25</v>
      </c>
    </row>
    <row r="2235" spans="1:4" x14ac:dyDescent="0.2">
      <c r="A2235" s="43">
        <v>41407</v>
      </c>
      <c r="D2235">
        <v>0.25</v>
      </c>
    </row>
    <row r="2236" spans="1:4" x14ac:dyDescent="0.2">
      <c r="A2236" s="43">
        <v>41408</v>
      </c>
      <c r="D2236">
        <v>0.25</v>
      </c>
    </row>
    <row r="2237" spans="1:4" x14ac:dyDescent="0.2">
      <c r="A2237" s="43">
        <v>41409</v>
      </c>
      <c r="D2237">
        <v>0.25</v>
      </c>
    </row>
    <row r="2238" spans="1:4" x14ac:dyDescent="0.2">
      <c r="A2238" s="43">
        <v>41410</v>
      </c>
      <c r="D2238">
        <v>0.25</v>
      </c>
    </row>
    <row r="2239" spans="1:4" x14ac:dyDescent="0.2">
      <c r="A2239" s="43">
        <v>41411</v>
      </c>
      <c r="D2239">
        <v>0.25</v>
      </c>
    </row>
    <row r="2240" spans="1:4" x14ac:dyDescent="0.2">
      <c r="A2240" s="43">
        <v>41412</v>
      </c>
      <c r="D2240">
        <v>0.25</v>
      </c>
    </row>
    <row r="2241" spans="1:5" x14ac:dyDescent="0.2">
      <c r="A2241" s="43">
        <v>41413</v>
      </c>
      <c r="D2241">
        <v>0.25</v>
      </c>
    </row>
    <row r="2242" spans="1:5" x14ac:dyDescent="0.2">
      <c r="A2242" s="43">
        <v>41414</v>
      </c>
      <c r="D2242">
        <v>0.25</v>
      </c>
    </row>
    <row r="2243" spans="1:5" x14ac:dyDescent="0.2">
      <c r="A2243" s="43">
        <v>41415</v>
      </c>
      <c r="D2243">
        <v>0.25</v>
      </c>
    </row>
    <row r="2244" spans="1:5" x14ac:dyDescent="0.2">
      <c r="A2244" s="43">
        <v>41416</v>
      </c>
      <c r="D2244">
        <v>0.25</v>
      </c>
    </row>
    <row r="2245" spans="1:5" x14ac:dyDescent="0.2">
      <c r="A2245" s="43">
        <v>41417</v>
      </c>
      <c r="D2245">
        <v>0.25</v>
      </c>
    </row>
    <row r="2246" spans="1:5" x14ac:dyDescent="0.2">
      <c r="A2246" s="43">
        <v>41418</v>
      </c>
      <c r="D2246">
        <v>0.25</v>
      </c>
    </row>
    <row r="2247" spans="1:5" x14ac:dyDescent="0.2">
      <c r="A2247" s="43">
        <v>41419</v>
      </c>
      <c r="D2247">
        <v>0.25</v>
      </c>
    </row>
    <row r="2248" spans="1:5" x14ac:dyDescent="0.2">
      <c r="A2248" s="43">
        <v>41420</v>
      </c>
      <c r="D2248">
        <v>0.25</v>
      </c>
    </row>
    <row r="2249" spans="1:5" x14ac:dyDescent="0.2">
      <c r="A2249" s="43">
        <v>41421</v>
      </c>
      <c r="D2249">
        <v>0.25</v>
      </c>
    </row>
    <row r="2250" spans="1:5" x14ac:dyDescent="0.2">
      <c r="A2250" s="43">
        <v>41422</v>
      </c>
      <c r="D2250">
        <v>0.25</v>
      </c>
    </row>
    <row r="2251" spans="1:5" x14ac:dyDescent="0.2">
      <c r="A2251" s="43">
        <v>41423</v>
      </c>
      <c r="D2251">
        <v>0.25</v>
      </c>
    </row>
    <row r="2252" spans="1:5" x14ac:dyDescent="0.2">
      <c r="A2252" s="43">
        <v>41424</v>
      </c>
      <c r="D2252">
        <v>0.25</v>
      </c>
    </row>
    <row r="2253" spans="1:5" x14ac:dyDescent="0.2">
      <c r="A2253" s="43">
        <v>41425</v>
      </c>
      <c r="D2253">
        <v>0.25</v>
      </c>
    </row>
    <row r="2254" spans="1:5" x14ac:dyDescent="0.2">
      <c r="A2254" s="43">
        <v>41426</v>
      </c>
      <c r="B2254">
        <v>101.22799999999999</v>
      </c>
      <c r="C2254">
        <v>101.438</v>
      </c>
      <c r="D2254">
        <v>0.25</v>
      </c>
      <c r="E2254">
        <v>233.35</v>
      </c>
    </row>
    <row r="2255" spans="1:5" x14ac:dyDescent="0.2">
      <c r="A2255" s="43">
        <v>41427</v>
      </c>
      <c r="D2255">
        <v>0.25</v>
      </c>
    </row>
    <row r="2256" spans="1:5" x14ac:dyDescent="0.2">
      <c r="A2256" s="43">
        <v>41428</v>
      </c>
      <c r="D2256">
        <v>0.25</v>
      </c>
    </row>
    <row r="2257" spans="1:4" x14ac:dyDescent="0.2">
      <c r="A2257" s="43">
        <v>41429</v>
      </c>
      <c r="D2257">
        <v>0.25</v>
      </c>
    </row>
    <row r="2258" spans="1:4" x14ac:dyDescent="0.2">
      <c r="A2258" s="43">
        <v>41430</v>
      </c>
      <c r="D2258">
        <v>0.25</v>
      </c>
    </row>
    <row r="2259" spans="1:4" x14ac:dyDescent="0.2">
      <c r="A2259" s="43">
        <v>41431</v>
      </c>
      <c r="D2259">
        <v>0.25</v>
      </c>
    </row>
    <row r="2260" spans="1:4" x14ac:dyDescent="0.2">
      <c r="A2260" s="43">
        <v>41432</v>
      </c>
      <c r="D2260">
        <v>0.25</v>
      </c>
    </row>
    <row r="2261" spans="1:4" x14ac:dyDescent="0.2">
      <c r="A2261" s="43">
        <v>41433</v>
      </c>
      <c r="D2261">
        <v>0.25</v>
      </c>
    </row>
    <row r="2262" spans="1:4" x14ac:dyDescent="0.2">
      <c r="A2262" s="43">
        <v>41434</v>
      </c>
      <c r="D2262">
        <v>0.25</v>
      </c>
    </row>
    <row r="2263" spans="1:4" x14ac:dyDescent="0.2">
      <c r="A2263" s="43">
        <v>41435</v>
      </c>
      <c r="D2263">
        <v>0.25</v>
      </c>
    </row>
    <row r="2264" spans="1:4" x14ac:dyDescent="0.2">
      <c r="A2264" s="43">
        <v>41436</v>
      </c>
      <c r="D2264">
        <v>0.25</v>
      </c>
    </row>
    <row r="2265" spans="1:4" x14ac:dyDescent="0.2">
      <c r="A2265" s="43">
        <v>41437</v>
      </c>
      <c r="D2265">
        <v>0.25</v>
      </c>
    </row>
    <row r="2266" spans="1:4" x14ac:dyDescent="0.2">
      <c r="A2266" s="43">
        <v>41438</v>
      </c>
      <c r="D2266">
        <v>0.25</v>
      </c>
    </row>
    <row r="2267" spans="1:4" x14ac:dyDescent="0.2">
      <c r="A2267" s="43">
        <v>41439</v>
      </c>
      <c r="D2267">
        <v>0.25</v>
      </c>
    </row>
    <row r="2268" spans="1:4" x14ac:dyDescent="0.2">
      <c r="A2268" s="43">
        <v>41440</v>
      </c>
      <c r="D2268">
        <v>0.25</v>
      </c>
    </row>
    <row r="2269" spans="1:4" x14ac:dyDescent="0.2">
      <c r="A2269" s="43">
        <v>41441</v>
      </c>
      <c r="D2269">
        <v>0.25</v>
      </c>
    </row>
    <row r="2270" spans="1:4" x14ac:dyDescent="0.2">
      <c r="A2270" s="43">
        <v>41442</v>
      </c>
      <c r="D2270">
        <v>0.25</v>
      </c>
    </row>
    <row r="2271" spans="1:4" x14ac:dyDescent="0.2">
      <c r="A2271" s="43">
        <v>41443</v>
      </c>
      <c r="D2271">
        <v>0.25</v>
      </c>
    </row>
    <row r="2272" spans="1:4" x14ac:dyDescent="0.2">
      <c r="A2272" s="43">
        <v>41444</v>
      </c>
      <c r="D2272">
        <v>0.25</v>
      </c>
    </row>
    <row r="2273" spans="1:5" x14ac:dyDescent="0.2">
      <c r="A2273" s="43">
        <v>41445</v>
      </c>
      <c r="D2273">
        <v>0.25</v>
      </c>
    </row>
    <row r="2274" spans="1:5" x14ac:dyDescent="0.2">
      <c r="A2274" s="43">
        <v>41446</v>
      </c>
      <c r="D2274">
        <v>0.25</v>
      </c>
    </row>
    <row r="2275" spans="1:5" x14ac:dyDescent="0.2">
      <c r="A2275" s="43">
        <v>41447</v>
      </c>
      <c r="D2275">
        <v>0.25</v>
      </c>
    </row>
    <row r="2276" spans="1:5" x14ac:dyDescent="0.2">
      <c r="A2276" s="43">
        <v>41448</v>
      </c>
      <c r="D2276">
        <v>0.25</v>
      </c>
    </row>
    <row r="2277" spans="1:5" x14ac:dyDescent="0.2">
      <c r="A2277" s="43">
        <v>41449</v>
      </c>
      <c r="D2277">
        <v>0.25</v>
      </c>
    </row>
    <row r="2278" spans="1:5" x14ac:dyDescent="0.2">
      <c r="A2278" s="43">
        <v>41450</v>
      </c>
      <c r="D2278">
        <v>0.25</v>
      </c>
    </row>
    <row r="2279" spans="1:5" x14ac:dyDescent="0.2">
      <c r="A2279" s="43">
        <v>41451</v>
      </c>
      <c r="D2279">
        <v>0.25</v>
      </c>
    </row>
    <row r="2280" spans="1:5" x14ac:dyDescent="0.2">
      <c r="A2280" s="43">
        <v>41452</v>
      </c>
      <c r="D2280">
        <v>0.25</v>
      </c>
    </row>
    <row r="2281" spans="1:5" x14ac:dyDescent="0.2">
      <c r="A2281" s="43">
        <v>41453</v>
      </c>
      <c r="D2281">
        <v>0.25</v>
      </c>
    </row>
    <row r="2282" spans="1:5" x14ac:dyDescent="0.2">
      <c r="A2282" s="43">
        <v>41454</v>
      </c>
      <c r="D2282">
        <v>0.25</v>
      </c>
    </row>
    <row r="2283" spans="1:5" x14ac:dyDescent="0.2">
      <c r="A2283" s="43">
        <v>41455</v>
      </c>
      <c r="D2283">
        <v>0.25</v>
      </c>
    </row>
    <row r="2284" spans="1:5" x14ac:dyDescent="0.2">
      <c r="A2284" s="43">
        <v>41456</v>
      </c>
      <c r="B2284">
        <v>101.354</v>
      </c>
      <c r="C2284">
        <v>101.56699999999999</v>
      </c>
      <c r="D2284">
        <v>0.25</v>
      </c>
      <c r="E2284">
        <v>233.88</v>
      </c>
    </row>
    <row r="2285" spans="1:5" x14ac:dyDescent="0.2">
      <c r="A2285" s="43">
        <v>41457</v>
      </c>
      <c r="D2285">
        <v>0.25</v>
      </c>
    </row>
    <row r="2286" spans="1:5" x14ac:dyDescent="0.2">
      <c r="A2286" s="43">
        <v>41458</v>
      </c>
      <c r="D2286">
        <v>0.25</v>
      </c>
    </row>
    <row r="2287" spans="1:5" x14ac:dyDescent="0.2">
      <c r="A2287" s="43">
        <v>41459</v>
      </c>
      <c r="D2287">
        <v>0.25</v>
      </c>
    </row>
    <row r="2288" spans="1:5" x14ac:dyDescent="0.2">
      <c r="A2288" s="43">
        <v>41460</v>
      </c>
      <c r="D2288">
        <v>0.25</v>
      </c>
    </row>
    <row r="2289" spans="1:4" x14ac:dyDescent="0.2">
      <c r="A2289" s="43">
        <v>41461</v>
      </c>
      <c r="D2289">
        <v>0.25</v>
      </c>
    </row>
    <row r="2290" spans="1:4" x14ac:dyDescent="0.2">
      <c r="A2290" s="43">
        <v>41462</v>
      </c>
      <c r="D2290">
        <v>0.25</v>
      </c>
    </row>
    <row r="2291" spans="1:4" x14ac:dyDescent="0.2">
      <c r="A2291" s="43">
        <v>41463</v>
      </c>
      <c r="D2291">
        <v>0.25</v>
      </c>
    </row>
    <row r="2292" spans="1:4" x14ac:dyDescent="0.2">
      <c r="A2292" s="43">
        <v>41464</v>
      </c>
      <c r="D2292">
        <v>0.25</v>
      </c>
    </row>
    <row r="2293" spans="1:4" x14ac:dyDescent="0.2">
      <c r="A2293" s="43">
        <v>41465</v>
      </c>
      <c r="D2293">
        <v>0.25</v>
      </c>
    </row>
    <row r="2294" spans="1:4" x14ac:dyDescent="0.2">
      <c r="A2294" s="43">
        <v>41466</v>
      </c>
      <c r="D2294">
        <v>0.25</v>
      </c>
    </row>
    <row r="2295" spans="1:4" x14ac:dyDescent="0.2">
      <c r="A2295" s="43">
        <v>41467</v>
      </c>
      <c r="D2295">
        <v>0.25</v>
      </c>
    </row>
    <row r="2296" spans="1:4" x14ac:dyDescent="0.2">
      <c r="A2296" s="43">
        <v>41468</v>
      </c>
      <c r="D2296">
        <v>0.25</v>
      </c>
    </row>
    <row r="2297" spans="1:4" x14ac:dyDescent="0.2">
      <c r="A2297" s="43">
        <v>41469</v>
      </c>
      <c r="D2297">
        <v>0.25</v>
      </c>
    </row>
    <row r="2298" spans="1:4" x14ac:dyDescent="0.2">
      <c r="A2298" s="43">
        <v>41470</v>
      </c>
      <c r="D2298">
        <v>0.25</v>
      </c>
    </row>
    <row r="2299" spans="1:4" x14ac:dyDescent="0.2">
      <c r="A2299" s="43">
        <v>41471</v>
      </c>
      <c r="D2299">
        <v>0.25</v>
      </c>
    </row>
    <row r="2300" spans="1:4" x14ac:dyDescent="0.2">
      <c r="A2300" s="43">
        <v>41472</v>
      </c>
      <c r="D2300">
        <v>0.25</v>
      </c>
    </row>
    <row r="2301" spans="1:4" x14ac:dyDescent="0.2">
      <c r="A2301" s="43">
        <v>41473</v>
      </c>
      <c r="D2301">
        <v>0.25</v>
      </c>
    </row>
    <row r="2302" spans="1:4" x14ac:dyDescent="0.2">
      <c r="A2302" s="43">
        <v>41474</v>
      </c>
      <c r="D2302">
        <v>0.25</v>
      </c>
    </row>
    <row r="2303" spans="1:4" x14ac:dyDescent="0.2">
      <c r="A2303" s="43">
        <v>41475</v>
      </c>
      <c r="D2303">
        <v>0.25</v>
      </c>
    </row>
    <row r="2304" spans="1:4" x14ac:dyDescent="0.2">
      <c r="A2304" s="43">
        <v>41476</v>
      </c>
      <c r="D2304">
        <v>0.25</v>
      </c>
    </row>
    <row r="2305" spans="1:5" x14ac:dyDescent="0.2">
      <c r="A2305" s="43">
        <v>41477</v>
      </c>
      <c r="D2305">
        <v>0.25</v>
      </c>
    </row>
    <row r="2306" spans="1:5" x14ac:dyDescent="0.2">
      <c r="A2306" s="43">
        <v>41478</v>
      </c>
      <c r="D2306">
        <v>0.25</v>
      </c>
    </row>
    <row r="2307" spans="1:5" x14ac:dyDescent="0.2">
      <c r="A2307" s="43">
        <v>41479</v>
      </c>
      <c r="D2307">
        <v>0.25</v>
      </c>
    </row>
    <row r="2308" spans="1:5" x14ac:dyDescent="0.2">
      <c r="A2308" s="43">
        <v>41480</v>
      </c>
      <c r="D2308">
        <v>0.25</v>
      </c>
    </row>
    <row r="2309" spans="1:5" x14ac:dyDescent="0.2">
      <c r="A2309" s="43">
        <v>41481</v>
      </c>
      <c r="D2309">
        <v>0.25</v>
      </c>
    </row>
    <row r="2310" spans="1:5" x14ac:dyDescent="0.2">
      <c r="A2310" s="43">
        <v>41482</v>
      </c>
      <c r="D2310">
        <v>0.25</v>
      </c>
    </row>
    <row r="2311" spans="1:5" x14ac:dyDescent="0.2">
      <c r="A2311" s="43">
        <v>41483</v>
      </c>
      <c r="D2311">
        <v>0.25</v>
      </c>
    </row>
    <row r="2312" spans="1:5" x14ac:dyDescent="0.2">
      <c r="A2312" s="43">
        <v>41484</v>
      </c>
      <c r="D2312">
        <v>0.25</v>
      </c>
    </row>
    <row r="2313" spans="1:5" x14ac:dyDescent="0.2">
      <c r="A2313" s="43">
        <v>41485</v>
      </c>
      <c r="D2313">
        <v>0.25</v>
      </c>
    </row>
    <row r="2314" spans="1:5" x14ac:dyDescent="0.2">
      <c r="A2314" s="43">
        <v>41486</v>
      </c>
      <c r="D2314">
        <v>0.25</v>
      </c>
    </row>
    <row r="2315" spans="1:5" x14ac:dyDescent="0.2">
      <c r="A2315" s="43">
        <v>41487</v>
      </c>
      <c r="B2315">
        <v>101.51</v>
      </c>
      <c r="C2315">
        <v>101.685</v>
      </c>
      <c r="D2315">
        <v>0.25</v>
      </c>
      <c r="E2315">
        <v>234.33600000000001</v>
      </c>
    </row>
    <row r="2316" spans="1:5" x14ac:dyDescent="0.2">
      <c r="A2316" s="43">
        <v>41488</v>
      </c>
      <c r="D2316">
        <v>0.25</v>
      </c>
    </row>
    <row r="2317" spans="1:5" x14ac:dyDescent="0.2">
      <c r="A2317" s="43">
        <v>41489</v>
      </c>
      <c r="D2317">
        <v>0.25</v>
      </c>
    </row>
    <row r="2318" spans="1:5" x14ac:dyDescent="0.2">
      <c r="A2318" s="43">
        <v>41490</v>
      </c>
      <c r="D2318">
        <v>0.25</v>
      </c>
    </row>
    <row r="2319" spans="1:5" x14ac:dyDescent="0.2">
      <c r="A2319" s="43">
        <v>41491</v>
      </c>
      <c r="D2319">
        <v>0.25</v>
      </c>
    </row>
    <row r="2320" spans="1:5" x14ac:dyDescent="0.2">
      <c r="A2320" s="43">
        <v>41492</v>
      </c>
      <c r="D2320">
        <v>0.25</v>
      </c>
    </row>
    <row r="2321" spans="1:4" x14ac:dyDescent="0.2">
      <c r="A2321" s="43">
        <v>41493</v>
      </c>
      <c r="D2321">
        <v>0.25</v>
      </c>
    </row>
    <row r="2322" spans="1:4" x14ac:dyDescent="0.2">
      <c r="A2322" s="43">
        <v>41494</v>
      </c>
      <c r="D2322">
        <v>0.25</v>
      </c>
    </row>
    <row r="2323" spans="1:4" x14ac:dyDescent="0.2">
      <c r="A2323" s="43">
        <v>41495</v>
      </c>
      <c r="D2323">
        <v>0.25</v>
      </c>
    </row>
    <row r="2324" spans="1:4" x14ac:dyDescent="0.2">
      <c r="A2324" s="43">
        <v>41496</v>
      </c>
      <c r="D2324">
        <v>0.25</v>
      </c>
    </row>
    <row r="2325" spans="1:4" x14ac:dyDescent="0.2">
      <c r="A2325" s="43">
        <v>41497</v>
      </c>
      <c r="D2325">
        <v>0.25</v>
      </c>
    </row>
    <row r="2326" spans="1:4" x14ac:dyDescent="0.2">
      <c r="A2326" s="43">
        <v>41498</v>
      </c>
      <c r="D2326">
        <v>0.25</v>
      </c>
    </row>
    <row r="2327" spans="1:4" x14ac:dyDescent="0.2">
      <c r="A2327" s="43">
        <v>41499</v>
      </c>
      <c r="D2327">
        <v>0.25</v>
      </c>
    </row>
    <row r="2328" spans="1:4" x14ac:dyDescent="0.2">
      <c r="A2328" s="43">
        <v>41500</v>
      </c>
      <c r="D2328">
        <v>0.25</v>
      </c>
    </row>
    <row r="2329" spans="1:4" x14ac:dyDescent="0.2">
      <c r="A2329" s="43">
        <v>41501</v>
      </c>
      <c r="D2329">
        <v>0.25</v>
      </c>
    </row>
    <row r="2330" spans="1:4" x14ac:dyDescent="0.2">
      <c r="A2330" s="43">
        <v>41502</v>
      </c>
      <c r="D2330">
        <v>0.25</v>
      </c>
    </row>
    <row r="2331" spans="1:4" x14ac:dyDescent="0.2">
      <c r="A2331" s="43">
        <v>41503</v>
      </c>
      <c r="D2331">
        <v>0.25</v>
      </c>
    </row>
    <row r="2332" spans="1:4" x14ac:dyDescent="0.2">
      <c r="A2332" s="43">
        <v>41504</v>
      </c>
      <c r="D2332">
        <v>0.25</v>
      </c>
    </row>
    <row r="2333" spans="1:4" x14ac:dyDescent="0.2">
      <c r="A2333" s="43">
        <v>41505</v>
      </c>
      <c r="D2333">
        <v>0.25</v>
      </c>
    </row>
    <row r="2334" spans="1:4" x14ac:dyDescent="0.2">
      <c r="A2334" s="43">
        <v>41506</v>
      </c>
      <c r="D2334">
        <v>0.25</v>
      </c>
    </row>
    <row r="2335" spans="1:4" x14ac:dyDescent="0.2">
      <c r="A2335" s="43">
        <v>41507</v>
      </c>
      <c r="D2335">
        <v>0.25</v>
      </c>
    </row>
    <row r="2336" spans="1:4" x14ac:dyDescent="0.2">
      <c r="A2336" s="43">
        <v>41508</v>
      </c>
      <c r="D2336">
        <v>0.25</v>
      </c>
    </row>
    <row r="2337" spans="1:5" x14ac:dyDescent="0.2">
      <c r="A2337" s="43">
        <v>41509</v>
      </c>
      <c r="D2337">
        <v>0.25</v>
      </c>
    </row>
    <row r="2338" spans="1:5" x14ac:dyDescent="0.2">
      <c r="A2338" s="43">
        <v>41510</v>
      </c>
      <c r="D2338">
        <v>0.25</v>
      </c>
    </row>
    <row r="2339" spans="1:5" x14ac:dyDescent="0.2">
      <c r="A2339" s="43">
        <v>41511</v>
      </c>
      <c r="D2339">
        <v>0.25</v>
      </c>
    </row>
    <row r="2340" spans="1:5" x14ac:dyDescent="0.2">
      <c r="A2340" s="43">
        <v>41512</v>
      </c>
      <c r="D2340">
        <v>0.25</v>
      </c>
    </row>
    <row r="2341" spans="1:5" x14ac:dyDescent="0.2">
      <c r="A2341" s="43">
        <v>41513</v>
      </c>
      <c r="D2341">
        <v>0.25</v>
      </c>
    </row>
    <row r="2342" spans="1:5" x14ac:dyDescent="0.2">
      <c r="A2342" s="43">
        <v>41514</v>
      </c>
      <c r="D2342">
        <v>0.25</v>
      </c>
    </row>
    <row r="2343" spans="1:5" x14ac:dyDescent="0.2">
      <c r="A2343" s="43">
        <v>41515</v>
      </c>
      <c r="D2343">
        <v>0.25</v>
      </c>
    </row>
    <row r="2344" spans="1:5" x14ac:dyDescent="0.2">
      <c r="A2344" s="43">
        <v>41516</v>
      </c>
      <c r="D2344">
        <v>0.25</v>
      </c>
    </row>
    <row r="2345" spans="1:5" x14ac:dyDescent="0.2">
      <c r="A2345" s="43">
        <v>41517</v>
      </c>
      <c r="D2345">
        <v>0.25</v>
      </c>
    </row>
    <row r="2346" spans="1:5" x14ac:dyDescent="0.2">
      <c r="A2346" s="43">
        <v>41518</v>
      </c>
      <c r="B2346">
        <v>101.55</v>
      </c>
      <c r="C2346">
        <v>101.79900000000001</v>
      </c>
      <c r="D2346">
        <v>0.25</v>
      </c>
      <c r="E2346">
        <v>234.7</v>
      </c>
    </row>
    <row r="2347" spans="1:5" x14ac:dyDescent="0.2">
      <c r="A2347" s="43">
        <v>41519</v>
      </c>
      <c r="D2347">
        <v>0.25</v>
      </c>
    </row>
    <row r="2348" spans="1:5" x14ac:dyDescent="0.2">
      <c r="A2348" s="43">
        <v>41520</v>
      </c>
      <c r="D2348">
        <v>0.25</v>
      </c>
    </row>
    <row r="2349" spans="1:5" x14ac:dyDescent="0.2">
      <c r="A2349" s="43">
        <v>41521</v>
      </c>
      <c r="D2349">
        <v>0.25</v>
      </c>
    </row>
    <row r="2350" spans="1:5" x14ac:dyDescent="0.2">
      <c r="A2350" s="43">
        <v>41522</v>
      </c>
      <c r="D2350">
        <v>0.25</v>
      </c>
    </row>
    <row r="2351" spans="1:5" x14ac:dyDescent="0.2">
      <c r="A2351" s="43">
        <v>41523</v>
      </c>
      <c r="D2351">
        <v>0.25</v>
      </c>
    </row>
    <row r="2352" spans="1:5" x14ac:dyDescent="0.2">
      <c r="A2352" s="43">
        <v>41524</v>
      </c>
      <c r="D2352">
        <v>0.25</v>
      </c>
    </row>
    <row r="2353" spans="1:4" x14ac:dyDescent="0.2">
      <c r="A2353" s="43">
        <v>41525</v>
      </c>
      <c r="D2353">
        <v>0.25</v>
      </c>
    </row>
    <row r="2354" spans="1:4" x14ac:dyDescent="0.2">
      <c r="A2354" s="43">
        <v>41526</v>
      </c>
      <c r="D2354">
        <v>0.25</v>
      </c>
    </row>
    <row r="2355" spans="1:4" x14ac:dyDescent="0.2">
      <c r="A2355" s="43">
        <v>41527</v>
      </c>
      <c r="D2355">
        <v>0.25</v>
      </c>
    </row>
    <row r="2356" spans="1:4" x14ac:dyDescent="0.2">
      <c r="A2356" s="43">
        <v>41528</v>
      </c>
      <c r="D2356">
        <v>0.25</v>
      </c>
    </row>
    <row r="2357" spans="1:4" x14ac:dyDescent="0.2">
      <c r="A2357" s="43">
        <v>41529</v>
      </c>
      <c r="D2357">
        <v>0.25</v>
      </c>
    </row>
    <row r="2358" spans="1:4" x14ac:dyDescent="0.2">
      <c r="A2358" s="43">
        <v>41530</v>
      </c>
      <c r="D2358">
        <v>0.25</v>
      </c>
    </row>
    <row r="2359" spans="1:4" x14ac:dyDescent="0.2">
      <c r="A2359" s="43">
        <v>41531</v>
      </c>
      <c r="D2359">
        <v>0.25</v>
      </c>
    </row>
    <row r="2360" spans="1:4" x14ac:dyDescent="0.2">
      <c r="A2360" s="43">
        <v>41532</v>
      </c>
      <c r="D2360">
        <v>0.25</v>
      </c>
    </row>
    <row r="2361" spans="1:4" x14ac:dyDescent="0.2">
      <c r="A2361" s="43">
        <v>41533</v>
      </c>
      <c r="D2361">
        <v>0.25</v>
      </c>
    </row>
    <row r="2362" spans="1:4" x14ac:dyDescent="0.2">
      <c r="A2362" s="43">
        <v>41534</v>
      </c>
      <c r="D2362">
        <v>0.25</v>
      </c>
    </row>
    <row r="2363" spans="1:4" x14ac:dyDescent="0.2">
      <c r="A2363" s="43">
        <v>41535</v>
      </c>
      <c r="D2363">
        <v>0.25</v>
      </c>
    </row>
    <row r="2364" spans="1:4" x14ac:dyDescent="0.2">
      <c r="A2364" s="43">
        <v>41536</v>
      </c>
      <c r="D2364">
        <v>0.25</v>
      </c>
    </row>
    <row r="2365" spans="1:4" x14ac:dyDescent="0.2">
      <c r="A2365" s="43">
        <v>41537</v>
      </c>
      <c r="D2365">
        <v>0.25</v>
      </c>
    </row>
    <row r="2366" spans="1:4" x14ac:dyDescent="0.2">
      <c r="A2366" s="43">
        <v>41538</v>
      </c>
      <c r="D2366">
        <v>0.25</v>
      </c>
    </row>
    <row r="2367" spans="1:4" x14ac:dyDescent="0.2">
      <c r="A2367" s="43">
        <v>41539</v>
      </c>
      <c r="D2367">
        <v>0.25</v>
      </c>
    </row>
    <row r="2368" spans="1:4" x14ac:dyDescent="0.2">
      <c r="A2368" s="43">
        <v>41540</v>
      </c>
      <c r="D2368">
        <v>0.25</v>
      </c>
    </row>
    <row r="2369" spans="1:5" x14ac:dyDescent="0.2">
      <c r="A2369" s="43">
        <v>41541</v>
      </c>
      <c r="D2369">
        <v>0.25</v>
      </c>
    </row>
    <row r="2370" spans="1:5" x14ac:dyDescent="0.2">
      <c r="A2370" s="43">
        <v>41542</v>
      </c>
      <c r="D2370">
        <v>0.25</v>
      </c>
    </row>
    <row r="2371" spans="1:5" x14ac:dyDescent="0.2">
      <c r="A2371" s="43">
        <v>41543</v>
      </c>
      <c r="D2371">
        <v>0.25</v>
      </c>
    </row>
    <row r="2372" spans="1:5" x14ac:dyDescent="0.2">
      <c r="A2372" s="43">
        <v>41544</v>
      </c>
      <c r="D2372">
        <v>0.25</v>
      </c>
    </row>
    <row r="2373" spans="1:5" x14ac:dyDescent="0.2">
      <c r="A2373" s="43">
        <v>41545</v>
      </c>
      <c r="D2373">
        <v>0.25</v>
      </c>
    </row>
    <row r="2374" spans="1:5" x14ac:dyDescent="0.2">
      <c r="A2374" s="43">
        <v>41546</v>
      </c>
      <c r="D2374">
        <v>0.25</v>
      </c>
    </row>
    <row r="2375" spans="1:5" x14ac:dyDescent="0.2">
      <c r="A2375" s="43">
        <v>41547</v>
      </c>
      <c r="D2375">
        <v>0.25</v>
      </c>
    </row>
    <row r="2376" spans="1:5" x14ac:dyDescent="0.2">
      <c r="A2376" s="43">
        <v>41548</v>
      </c>
      <c r="B2376">
        <v>101.72199999999999</v>
      </c>
      <c r="C2376">
        <v>102.015</v>
      </c>
      <c r="D2376">
        <v>0.25</v>
      </c>
      <c r="E2376">
        <v>234.92099999999999</v>
      </c>
    </row>
    <row r="2377" spans="1:5" x14ac:dyDescent="0.2">
      <c r="A2377" s="43">
        <v>41549</v>
      </c>
      <c r="D2377">
        <v>0.25</v>
      </c>
    </row>
    <row r="2378" spans="1:5" x14ac:dyDescent="0.2">
      <c r="A2378" s="43">
        <v>41550</v>
      </c>
      <c r="D2378">
        <v>0.25</v>
      </c>
    </row>
    <row r="2379" spans="1:5" x14ac:dyDescent="0.2">
      <c r="A2379" s="43">
        <v>41551</v>
      </c>
      <c r="D2379">
        <v>0.25</v>
      </c>
    </row>
    <row r="2380" spans="1:5" x14ac:dyDescent="0.2">
      <c r="A2380" s="43">
        <v>41552</v>
      </c>
      <c r="D2380">
        <v>0.25</v>
      </c>
    </row>
    <row r="2381" spans="1:5" x14ac:dyDescent="0.2">
      <c r="A2381" s="43">
        <v>41553</v>
      </c>
      <c r="D2381">
        <v>0.25</v>
      </c>
    </row>
    <row r="2382" spans="1:5" x14ac:dyDescent="0.2">
      <c r="A2382" s="43">
        <v>41554</v>
      </c>
      <c r="D2382">
        <v>0.25</v>
      </c>
    </row>
    <row r="2383" spans="1:5" x14ac:dyDescent="0.2">
      <c r="A2383" s="43">
        <v>41555</v>
      </c>
      <c r="D2383">
        <v>0.25</v>
      </c>
    </row>
    <row r="2384" spans="1:5" x14ac:dyDescent="0.2">
      <c r="A2384" s="43">
        <v>41556</v>
      </c>
      <c r="D2384">
        <v>0.25</v>
      </c>
    </row>
    <row r="2385" spans="1:4" x14ac:dyDescent="0.2">
      <c r="A2385" s="43">
        <v>41557</v>
      </c>
      <c r="D2385">
        <v>0.25</v>
      </c>
    </row>
    <row r="2386" spans="1:4" x14ac:dyDescent="0.2">
      <c r="A2386" s="43">
        <v>41558</v>
      </c>
      <c r="D2386">
        <v>0.25</v>
      </c>
    </row>
    <row r="2387" spans="1:4" x14ac:dyDescent="0.2">
      <c r="A2387" s="43">
        <v>41559</v>
      </c>
      <c r="D2387">
        <v>0.25</v>
      </c>
    </row>
    <row r="2388" spans="1:4" x14ac:dyDescent="0.2">
      <c r="A2388" s="43">
        <v>41560</v>
      </c>
      <c r="D2388">
        <v>0.25</v>
      </c>
    </row>
    <row r="2389" spans="1:4" x14ac:dyDescent="0.2">
      <c r="A2389" s="43">
        <v>41561</v>
      </c>
      <c r="D2389">
        <v>0.25</v>
      </c>
    </row>
    <row r="2390" spans="1:4" x14ac:dyDescent="0.2">
      <c r="A2390" s="43">
        <v>41562</v>
      </c>
      <c r="D2390">
        <v>0.25</v>
      </c>
    </row>
    <row r="2391" spans="1:4" x14ac:dyDescent="0.2">
      <c r="A2391" s="43">
        <v>41563</v>
      </c>
      <c r="D2391">
        <v>0.25</v>
      </c>
    </row>
    <row r="2392" spans="1:4" x14ac:dyDescent="0.2">
      <c r="A2392" s="43">
        <v>41564</v>
      </c>
      <c r="D2392">
        <v>0.25</v>
      </c>
    </row>
    <row r="2393" spans="1:4" x14ac:dyDescent="0.2">
      <c r="A2393" s="43">
        <v>41565</v>
      </c>
      <c r="D2393">
        <v>0.25</v>
      </c>
    </row>
    <row r="2394" spans="1:4" x14ac:dyDescent="0.2">
      <c r="A2394" s="43">
        <v>41566</v>
      </c>
      <c r="D2394">
        <v>0.25</v>
      </c>
    </row>
    <row r="2395" spans="1:4" x14ac:dyDescent="0.2">
      <c r="A2395" s="43">
        <v>41567</v>
      </c>
      <c r="D2395">
        <v>0.25</v>
      </c>
    </row>
    <row r="2396" spans="1:4" x14ac:dyDescent="0.2">
      <c r="A2396" s="43">
        <v>41568</v>
      </c>
      <c r="D2396">
        <v>0.25</v>
      </c>
    </row>
    <row r="2397" spans="1:4" x14ac:dyDescent="0.2">
      <c r="A2397" s="43">
        <v>41569</v>
      </c>
      <c r="D2397">
        <v>0.25</v>
      </c>
    </row>
    <row r="2398" spans="1:4" x14ac:dyDescent="0.2">
      <c r="A2398" s="43">
        <v>41570</v>
      </c>
      <c r="D2398">
        <v>0.25</v>
      </c>
    </row>
    <row r="2399" spans="1:4" x14ac:dyDescent="0.2">
      <c r="A2399" s="43">
        <v>41571</v>
      </c>
      <c r="D2399">
        <v>0.25</v>
      </c>
    </row>
    <row r="2400" spans="1:4" x14ac:dyDescent="0.2">
      <c r="A2400" s="43">
        <v>41572</v>
      </c>
      <c r="D2400">
        <v>0.25</v>
      </c>
    </row>
    <row r="2401" spans="1:5" x14ac:dyDescent="0.2">
      <c r="A2401" s="43">
        <v>41573</v>
      </c>
      <c r="D2401">
        <v>0.25</v>
      </c>
    </row>
    <row r="2402" spans="1:5" x14ac:dyDescent="0.2">
      <c r="A2402" s="43">
        <v>41574</v>
      </c>
      <c r="D2402">
        <v>0.25</v>
      </c>
    </row>
    <row r="2403" spans="1:5" x14ac:dyDescent="0.2">
      <c r="A2403" s="43">
        <v>41575</v>
      </c>
      <c r="D2403">
        <v>0.25</v>
      </c>
    </row>
    <row r="2404" spans="1:5" x14ac:dyDescent="0.2">
      <c r="A2404" s="43">
        <v>41576</v>
      </c>
      <c r="D2404">
        <v>0.25</v>
      </c>
    </row>
    <row r="2405" spans="1:5" x14ac:dyDescent="0.2">
      <c r="A2405" s="43">
        <v>41577</v>
      </c>
      <c r="D2405">
        <v>0.25</v>
      </c>
    </row>
    <row r="2406" spans="1:5" x14ac:dyDescent="0.2">
      <c r="A2406" s="43">
        <v>41578</v>
      </c>
      <c r="D2406">
        <v>0.25</v>
      </c>
    </row>
    <row r="2407" spans="1:5" x14ac:dyDescent="0.2">
      <c r="A2407" s="43">
        <v>41579</v>
      </c>
      <c r="B2407">
        <v>101.881</v>
      </c>
      <c r="C2407">
        <v>102.194</v>
      </c>
      <c r="D2407">
        <v>0.25</v>
      </c>
      <c r="E2407">
        <v>235.35900000000001</v>
      </c>
    </row>
    <row r="2408" spans="1:5" x14ac:dyDescent="0.2">
      <c r="A2408" s="43">
        <v>41580</v>
      </c>
      <c r="D2408">
        <v>0.25</v>
      </c>
    </row>
    <row r="2409" spans="1:5" x14ac:dyDescent="0.2">
      <c r="A2409" s="43">
        <v>41581</v>
      </c>
      <c r="D2409">
        <v>0.25</v>
      </c>
    </row>
    <row r="2410" spans="1:5" x14ac:dyDescent="0.2">
      <c r="A2410" s="43">
        <v>41582</v>
      </c>
      <c r="D2410">
        <v>0.25</v>
      </c>
    </row>
    <row r="2411" spans="1:5" x14ac:dyDescent="0.2">
      <c r="A2411" s="43">
        <v>41583</v>
      </c>
      <c r="D2411">
        <v>0.25</v>
      </c>
    </row>
    <row r="2412" spans="1:5" x14ac:dyDescent="0.2">
      <c r="A2412" s="43">
        <v>41584</v>
      </c>
      <c r="D2412">
        <v>0.25</v>
      </c>
    </row>
    <row r="2413" spans="1:5" x14ac:dyDescent="0.2">
      <c r="A2413" s="43">
        <v>41585</v>
      </c>
      <c r="D2413">
        <v>0.25</v>
      </c>
    </row>
    <row r="2414" spans="1:5" x14ac:dyDescent="0.2">
      <c r="A2414" s="43">
        <v>41586</v>
      </c>
      <c r="D2414">
        <v>0.25</v>
      </c>
    </row>
    <row r="2415" spans="1:5" x14ac:dyDescent="0.2">
      <c r="A2415" s="43">
        <v>41587</v>
      </c>
      <c r="D2415">
        <v>0.25</v>
      </c>
    </row>
    <row r="2416" spans="1:5" x14ac:dyDescent="0.2">
      <c r="A2416" s="43">
        <v>41588</v>
      </c>
      <c r="D2416">
        <v>0.25</v>
      </c>
    </row>
    <row r="2417" spans="1:4" x14ac:dyDescent="0.2">
      <c r="A2417" s="43">
        <v>41589</v>
      </c>
      <c r="D2417">
        <v>0.25</v>
      </c>
    </row>
    <row r="2418" spans="1:4" x14ac:dyDescent="0.2">
      <c r="A2418" s="43">
        <v>41590</v>
      </c>
      <c r="D2418">
        <v>0.25</v>
      </c>
    </row>
    <row r="2419" spans="1:4" x14ac:dyDescent="0.2">
      <c r="A2419" s="43">
        <v>41591</v>
      </c>
      <c r="D2419">
        <v>0.25</v>
      </c>
    </row>
    <row r="2420" spans="1:4" x14ac:dyDescent="0.2">
      <c r="A2420" s="43">
        <v>41592</v>
      </c>
      <c r="D2420">
        <v>0.25</v>
      </c>
    </row>
    <row r="2421" spans="1:4" x14ac:dyDescent="0.2">
      <c r="A2421" s="43">
        <v>41593</v>
      </c>
      <c r="D2421">
        <v>0.25</v>
      </c>
    </row>
    <row r="2422" spans="1:4" x14ac:dyDescent="0.2">
      <c r="A2422" s="43">
        <v>41594</v>
      </c>
      <c r="D2422">
        <v>0.25</v>
      </c>
    </row>
    <row r="2423" spans="1:4" x14ac:dyDescent="0.2">
      <c r="A2423" s="43">
        <v>41595</v>
      </c>
      <c r="D2423">
        <v>0.25</v>
      </c>
    </row>
    <row r="2424" spans="1:4" x14ac:dyDescent="0.2">
      <c r="A2424" s="43">
        <v>41596</v>
      </c>
      <c r="D2424">
        <v>0.25</v>
      </c>
    </row>
    <row r="2425" spans="1:4" x14ac:dyDescent="0.2">
      <c r="A2425" s="43">
        <v>41597</v>
      </c>
      <c r="D2425">
        <v>0.25</v>
      </c>
    </row>
    <row r="2426" spans="1:4" x14ac:dyDescent="0.2">
      <c r="A2426" s="43">
        <v>41598</v>
      </c>
      <c r="D2426">
        <v>0.25</v>
      </c>
    </row>
    <row r="2427" spans="1:4" x14ac:dyDescent="0.2">
      <c r="A2427" s="43">
        <v>41599</v>
      </c>
      <c r="D2427">
        <v>0.25</v>
      </c>
    </row>
    <row r="2428" spans="1:4" x14ac:dyDescent="0.2">
      <c r="A2428" s="43">
        <v>41600</v>
      </c>
      <c r="D2428">
        <v>0.25</v>
      </c>
    </row>
    <row r="2429" spans="1:4" x14ac:dyDescent="0.2">
      <c r="A2429" s="43">
        <v>41601</v>
      </c>
      <c r="D2429">
        <v>0.25</v>
      </c>
    </row>
    <row r="2430" spans="1:4" x14ac:dyDescent="0.2">
      <c r="A2430" s="43">
        <v>41602</v>
      </c>
      <c r="D2430">
        <v>0.25</v>
      </c>
    </row>
    <row r="2431" spans="1:4" x14ac:dyDescent="0.2">
      <c r="A2431" s="43">
        <v>41603</v>
      </c>
      <c r="D2431">
        <v>0.25</v>
      </c>
    </row>
    <row r="2432" spans="1:4" x14ac:dyDescent="0.2">
      <c r="A2432" s="43">
        <v>41604</v>
      </c>
      <c r="D2432">
        <v>0.25</v>
      </c>
    </row>
    <row r="2433" spans="1:5" x14ac:dyDescent="0.2">
      <c r="A2433" s="43">
        <v>41605</v>
      </c>
      <c r="D2433">
        <v>0.25</v>
      </c>
    </row>
    <row r="2434" spans="1:5" x14ac:dyDescent="0.2">
      <c r="A2434" s="43">
        <v>41606</v>
      </c>
      <c r="D2434">
        <v>0.25</v>
      </c>
    </row>
    <row r="2435" spans="1:5" x14ac:dyDescent="0.2">
      <c r="A2435" s="43">
        <v>41607</v>
      </c>
      <c r="D2435">
        <v>0.25</v>
      </c>
    </row>
    <row r="2436" spans="1:5" x14ac:dyDescent="0.2">
      <c r="A2436" s="43">
        <v>41608</v>
      </c>
      <c r="D2436">
        <v>0.25</v>
      </c>
    </row>
    <row r="2437" spans="1:5" x14ac:dyDescent="0.2">
      <c r="A2437" s="43">
        <v>41609</v>
      </c>
      <c r="B2437">
        <v>102.084</v>
      </c>
      <c r="C2437">
        <v>102.333</v>
      </c>
      <c r="D2437">
        <v>0.25</v>
      </c>
      <c r="E2437">
        <v>235.75899999999999</v>
      </c>
    </row>
    <row r="2438" spans="1:5" x14ac:dyDescent="0.2">
      <c r="A2438" s="43">
        <v>41610</v>
      </c>
      <c r="D2438">
        <v>0.25</v>
      </c>
    </row>
    <row r="2439" spans="1:5" x14ac:dyDescent="0.2">
      <c r="A2439" s="43">
        <v>41611</v>
      </c>
      <c r="D2439">
        <v>0.25</v>
      </c>
    </row>
    <row r="2440" spans="1:5" x14ac:dyDescent="0.2">
      <c r="A2440" s="43">
        <v>41612</v>
      </c>
      <c r="D2440">
        <v>0.25</v>
      </c>
    </row>
    <row r="2441" spans="1:5" x14ac:dyDescent="0.2">
      <c r="A2441" s="43">
        <v>41613</v>
      </c>
      <c r="D2441">
        <v>0.25</v>
      </c>
    </row>
    <row r="2442" spans="1:5" x14ac:dyDescent="0.2">
      <c r="A2442" s="43">
        <v>41614</v>
      </c>
      <c r="D2442">
        <v>0.25</v>
      </c>
    </row>
    <row r="2443" spans="1:5" x14ac:dyDescent="0.2">
      <c r="A2443" s="43">
        <v>41615</v>
      </c>
      <c r="D2443">
        <v>0.25</v>
      </c>
    </row>
    <row r="2444" spans="1:5" x14ac:dyDescent="0.2">
      <c r="A2444" s="43">
        <v>41616</v>
      </c>
      <c r="D2444">
        <v>0.25</v>
      </c>
    </row>
    <row r="2445" spans="1:5" x14ac:dyDescent="0.2">
      <c r="A2445" s="43">
        <v>41617</v>
      </c>
      <c r="D2445">
        <v>0.25</v>
      </c>
    </row>
    <row r="2446" spans="1:5" x14ac:dyDescent="0.2">
      <c r="A2446" s="43">
        <v>41618</v>
      </c>
      <c r="D2446">
        <v>0.25</v>
      </c>
    </row>
    <row r="2447" spans="1:5" x14ac:dyDescent="0.2">
      <c r="A2447" s="43">
        <v>41619</v>
      </c>
      <c r="D2447">
        <v>0.25</v>
      </c>
    </row>
    <row r="2448" spans="1:5" x14ac:dyDescent="0.2">
      <c r="A2448" s="43">
        <v>41620</v>
      </c>
      <c r="D2448">
        <v>0.25</v>
      </c>
    </row>
    <row r="2449" spans="1:4" x14ac:dyDescent="0.2">
      <c r="A2449" s="43">
        <v>41621</v>
      </c>
      <c r="D2449">
        <v>0.25</v>
      </c>
    </row>
    <row r="2450" spans="1:4" x14ac:dyDescent="0.2">
      <c r="A2450" s="43">
        <v>41622</v>
      </c>
      <c r="D2450">
        <v>0.25</v>
      </c>
    </row>
    <row r="2451" spans="1:4" x14ac:dyDescent="0.2">
      <c r="A2451" s="43">
        <v>41623</v>
      </c>
      <c r="D2451">
        <v>0.25</v>
      </c>
    </row>
    <row r="2452" spans="1:4" x14ac:dyDescent="0.2">
      <c r="A2452" s="43">
        <v>41624</v>
      </c>
      <c r="D2452">
        <v>0.25</v>
      </c>
    </row>
    <row r="2453" spans="1:4" x14ac:dyDescent="0.2">
      <c r="A2453" s="43">
        <v>41625</v>
      </c>
      <c r="D2453">
        <v>0.25</v>
      </c>
    </row>
    <row r="2454" spans="1:4" x14ac:dyDescent="0.2">
      <c r="A2454" s="43">
        <v>41626</v>
      </c>
      <c r="D2454">
        <v>0.25</v>
      </c>
    </row>
    <row r="2455" spans="1:4" x14ac:dyDescent="0.2">
      <c r="A2455" s="43">
        <v>41627</v>
      </c>
      <c r="D2455">
        <v>0.25</v>
      </c>
    </row>
    <row r="2456" spans="1:4" x14ac:dyDescent="0.2">
      <c r="A2456" s="43">
        <v>41628</v>
      </c>
      <c r="D2456">
        <v>0.25</v>
      </c>
    </row>
    <row r="2457" spans="1:4" x14ac:dyDescent="0.2">
      <c r="A2457" s="43">
        <v>41629</v>
      </c>
      <c r="D2457">
        <v>0.25</v>
      </c>
    </row>
    <row r="2458" spans="1:4" x14ac:dyDescent="0.2">
      <c r="A2458" s="43">
        <v>41630</v>
      </c>
      <c r="D2458">
        <v>0.25</v>
      </c>
    </row>
    <row r="2459" spans="1:4" x14ac:dyDescent="0.2">
      <c r="A2459" s="43">
        <v>41631</v>
      </c>
      <c r="D2459">
        <v>0.25</v>
      </c>
    </row>
    <row r="2460" spans="1:4" x14ac:dyDescent="0.2">
      <c r="A2460" s="43">
        <v>41632</v>
      </c>
      <c r="D2460">
        <v>0.25</v>
      </c>
    </row>
    <row r="2461" spans="1:4" x14ac:dyDescent="0.2">
      <c r="A2461" s="43">
        <v>41633</v>
      </c>
      <c r="D2461">
        <v>0.25</v>
      </c>
    </row>
    <row r="2462" spans="1:4" x14ac:dyDescent="0.2">
      <c r="A2462" s="43">
        <v>41634</v>
      </c>
      <c r="D2462">
        <v>0.25</v>
      </c>
    </row>
    <row r="2463" spans="1:4" x14ac:dyDescent="0.2">
      <c r="A2463" s="43">
        <v>41635</v>
      </c>
      <c r="D2463">
        <v>0.25</v>
      </c>
    </row>
    <row r="2464" spans="1:4" x14ac:dyDescent="0.2">
      <c r="A2464" s="43">
        <v>41636</v>
      </c>
      <c r="D2464">
        <v>0.25</v>
      </c>
    </row>
    <row r="2465" spans="1:5" x14ac:dyDescent="0.2">
      <c r="A2465" s="43">
        <v>41637</v>
      </c>
      <c r="D2465">
        <v>0.25</v>
      </c>
    </row>
    <row r="2466" spans="1:5" x14ac:dyDescent="0.2">
      <c r="A2466" s="43">
        <v>41638</v>
      </c>
      <c r="D2466">
        <v>0.25</v>
      </c>
    </row>
    <row r="2467" spans="1:5" x14ac:dyDescent="0.2">
      <c r="A2467" s="43">
        <v>41639</v>
      </c>
      <c r="D2467">
        <v>0.25</v>
      </c>
    </row>
    <row r="2468" spans="1:5" x14ac:dyDescent="0.2">
      <c r="A2468" s="43">
        <v>41640</v>
      </c>
      <c r="B2468">
        <v>102.27800000000001</v>
      </c>
      <c r="C2468">
        <v>102.426</v>
      </c>
      <c r="D2468">
        <v>0.25</v>
      </c>
      <c r="E2468">
        <v>235.96100000000001</v>
      </c>
    </row>
    <row r="2469" spans="1:5" x14ac:dyDescent="0.2">
      <c r="A2469" s="43">
        <v>41641</v>
      </c>
      <c r="D2469">
        <v>0.25</v>
      </c>
    </row>
    <row r="2470" spans="1:5" x14ac:dyDescent="0.2">
      <c r="A2470" s="43">
        <v>41642</v>
      </c>
      <c r="D2470">
        <v>0.25</v>
      </c>
    </row>
    <row r="2471" spans="1:5" x14ac:dyDescent="0.2">
      <c r="A2471" s="43">
        <v>41643</v>
      </c>
      <c r="D2471">
        <v>0.25</v>
      </c>
    </row>
    <row r="2472" spans="1:5" x14ac:dyDescent="0.2">
      <c r="A2472" s="43">
        <v>41644</v>
      </c>
      <c r="D2472">
        <v>0.25</v>
      </c>
    </row>
    <row r="2473" spans="1:5" x14ac:dyDescent="0.2">
      <c r="A2473" s="43">
        <v>41645</v>
      </c>
      <c r="D2473">
        <v>0.25</v>
      </c>
    </row>
    <row r="2474" spans="1:5" x14ac:dyDescent="0.2">
      <c r="A2474" s="43">
        <v>41646</v>
      </c>
      <c r="D2474">
        <v>0.25</v>
      </c>
    </row>
    <row r="2475" spans="1:5" x14ac:dyDescent="0.2">
      <c r="A2475" s="43">
        <v>41647</v>
      </c>
      <c r="D2475">
        <v>0.25</v>
      </c>
    </row>
    <row r="2476" spans="1:5" x14ac:dyDescent="0.2">
      <c r="A2476" s="43">
        <v>41648</v>
      </c>
      <c r="D2476">
        <v>0.25</v>
      </c>
    </row>
    <row r="2477" spans="1:5" x14ac:dyDescent="0.2">
      <c r="A2477" s="43">
        <v>41649</v>
      </c>
      <c r="D2477">
        <v>0.25</v>
      </c>
    </row>
    <row r="2478" spans="1:5" x14ac:dyDescent="0.2">
      <c r="A2478" s="43">
        <v>41650</v>
      </c>
      <c r="D2478">
        <v>0.25</v>
      </c>
    </row>
    <row r="2479" spans="1:5" x14ac:dyDescent="0.2">
      <c r="A2479" s="43">
        <v>41651</v>
      </c>
      <c r="D2479">
        <v>0.25</v>
      </c>
    </row>
    <row r="2480" spans="1:5" x14ac:dyDescent="0.2">
      <c r="A2480" s="43">
        <v>41652</v>
      </c>
      <c r="D2480">
        <v>0.25</v>
      </c>
    </row>
    <row r="2481" spans="1:4" x14ac:dyDescent="0.2">
      <c r="A2481" s="43">
        <v>41653</v>
      </c>
      <c r="D2481">
        <v>0.25</v>
      </c>
    </row>
    <row r="2482" spans="1:4" x14ac:dyDescent="0.2">
      <c r="A2482" s="43">
        <v>41654</v>
      </c>
      <c r="D2482">
        <v>0.25</v>
      </c>
    </row>
    <row r="2483" spans="1:4" x14ac:dyDescent="0.2">
      <c r="A2483" s="43">
        <v>41655</v>
      </c>
      <c r="D2483">
        <v>0.25</v>
      </c>
    </row>
    <row r="2484" spans="1:4" x14ac:dyDescent="0.2">
      <c r="A2484" s="43">
        <v>41656</v>
      </c>
      <c r="D2484">
        <v>0.25</v>
      </c>
    </row>
    <row r="2485" spans="1:4" x14ac:dyDescent="0.2">
      <c r="A2485" s="43">
        <v>41657</v>
      </c>
      <c r="D2485">
        <v>0.25</v>
      </c>
    </row>
    <row r="2486" spans="1:4" x14ac:dyDescent="0.2">
      <c r="A2486" s="43">
        <v>41658</v>
      </c>
      <c r="D2486">
        <v>0.25</v>
      </c>
    </row>
    <row r="2487" spans="1:4" x14ac:dyDescent="0.2">
      <c r="A2487" s="43">
        <v>41659</v>
      </c>
      <c r="D2487">
        <v>0.25</v>
      </c>
    </row>
    <row r="2488" spans="1:4" x14ac:dyDescent="0.2">
      <c r="A2488" s="43">
        <v>41660</v>
      </c>
      <c r="D2488">
        <v>0.25</v>
      </c>
    </row>
    <row r="2489" spans="1:4" x14ac:dyDescent="0.2">
      <c r="A2489" s="43">
        <v>41661</v>
      </c>
      <c r="D2489">
        <v>0.25</v>
      </c>
    </row>
    <row r="2490" spans="1:4" x14ac:dyDescent="0.2">
      <c r="A2490" s="43">
        <v>41662</v>
      </c>
      <c r="D2490">
        <v>0.25</v>
      </c>
    </row>
    <row r="2491" spans="1:4" x14ac:dyDescent="0.2">
      <c r="A2491" s="43">
        <v>41663</v>
      </c>
      <c r="D2491">
        <v>0.25</v>
      </c>
    </row>
    <row r="2492" spans="1:4" x14ac:dyDescent="0.2">
      <c r="A2492" s="43">
        <v>41664</v>
      </c>
      <c r="D2492">
        <v>0.25</v>
      </c>
    </row>
    <row r="2493" spans="1:4" x14ac:dyDescent="0.2">
      <c r="A2493" s="43">
        <v>41665</v>
      </c>
      <c r="D2493">
        <v>0.25</v>
      </c>
    </row>
    <row r="2494" spans="1:4" x14ac:dyDescent="0.2">
      <c r="A2494" s="43">
        <v>41666</v>
      </c>
      <c r="D2494">
        <v>0.25</v>
      </c>
    </row>
    <row r="2495" spans="1:4" x14ac:dyDescent="0.2">
      <c r="A2495" s="43">
        <v>41667</v>
      </c>
      <c r="D2495">
        <v>0.25</v>
      </c>
    </row>
    <row r="2496" spans="1:4" x14ac:dyDescent="0.2">
      <c r="A2496" s="43">
        <v>41668</v>
      </c>
      <c r="D2496">
        <v>0.25</v>
      </c>
    </row>
    <row r="2497" spans="1:5" x14ac:dyDescent="0.2">
      <c r="A2497" s="43">
        <v>41669</v>
      </c>
      <c r="D2497">
        <v>0.25</v>
      </c>
    </row>
    <row r="2498" spans="1:5" x14ac:dyDescent="0.2">
      <c r="A2498" s="43">
        <v>41670</v>
      </c>
      <c r="D2498">
        <v>0.25</v>
      </c>
    </row>
    <row r="2499" spans="1:5" x14ac:dyDescent="0.2">
      <c r="A2499" s="43">
        <v>41671</v>
      </c>
      <c r="B2499">
        <v>102.33799999999999</v>
      </c>
      <c r="C2499">
        <v>102.489</v>
      </c>
      <c r="D2499">
        <v>0.25</v>
      </c>
      <c r="E2499">
        <v>236.185</v>
      </c>
    </row>
    <row r="2500" spans="1:5" x14ac:dyDescent="0.2">
      <c r="A2500" s="43">
        <v>41672</v>
      </c>
      <c r="D2500">
        <v>0.25</v>
      </c>
    </row>
    <row r="2501" spans="1:5" x14ac:dyDescent="0.2">
      <c r="A2501" s="43">
        <v>41673</v>
      </c>
      <c r="D2501">
        <v>0.25</v>
      </c>
    </row>
    <row r="2502" spans="1:5" x14ac:dyDescent="0.2">
      <c r="A2502" s="43">
        <v>41674</v>
      </c>
      <c r="D2502">
        <v>0.25</v>
      </c>
    </row>
    <row r="2503" spans="1:5" x14ac:dyDescent="0.2">
      <c r="A2503" s="43">
        <v>41675</v>
      </c>
      <c r="D2503">
        <v>0.25</v>
      </c>
    </row>
    <row r="2504" spans="1:5" x14ac:dyDescent="0.2">
      <c r="A2504" s="43">
        <v>41676</v>
      </c>
      <c r="D2504">
        <v>0.25</v>
      </c>
    </row>
    <row r="2505" spans="1:5" x14ac:dyDescent="0.2">
      <c r="A2505" s="43">
        <v>41677</v>
      </c>
      <c r="D2505">
        <v>0.25</v>
      </c>
    </row>
    <row r="2506" spans="1:5" x14ac:dyDescent="0.2">
      <c r="A2506" s="43">
        <v>41678</v>
      </c>
      <c r="D2506">
        <v>0.25</v>
      </c>
    </row>
    <row r="2507" spans="1:5" x14ac:dyDescent="0.2">
      <c r="A2507" s="43">
        <v>41679</v>
      </c>
      <c r="D2507">
        <v>0.25</v>
      </c>
    </row>
    <row r="2508" spans="1:5" x14ac:dyDescent="0.2">
      <c r="A2508" s="43">
        <v>41680</v>
      </c>
      <c r="D2508">
        <v>0.25</v>
      </c>
    </row>
    <row r="2509" spans="1:5" x14ac:dyDescent="0.2">
      <c r="A2509" s="43">
        <v>41681</v>
      </c>
      <c r="D2509">
        <v>0.25</v>
      </c>
    </row>
    <row r="2510" spans="1:5" x14ac:dyDescent="0.2">
      <c r="A2510" s="43">
        <v>41682</v>
      </c>
      <c r="D2510">
        <v>0.25</v>
      </c>
    </row>
    <row r="2511" spans="1:5" x14ac:dyDescent="0.2">
      <c r="A2511" s="43">
        <v>41683</v>
      </c>
      <c r="D2511">
        <v>0.25</v>
      </c>
    </row>
    <row r="2512" spans="1:5" x14ac:dyDescent="0.2">
      <c r="A2512" s="43">
        <v>41684</v>
      </c>
      <c r="D2512">
        <v>0.25</v>
      </c>
    </row>
    <row r="2513" spans="1:5" x14ac:dyDescent="0.2">
      <c r="A2513" s="43">
        <v>41685</v>
      </c>
      <c r="D2513">
        <v>0.25</v>
      </c>
    </row>
    <row r="2514" spans="1:5" x14ac:dyDescent="0.2">
      <c r="A2514" s="43">
        <v>41686</v>
      </c>
      <c r="D2514">
        <v>0.25</v>
      </c>
    </row>
    <row r="2515" spans="1:5" x14ac:dyDescent="0.2">
      <c r="A2515" s="43">
        <v>41687</v>
      </c>
      <c r="D2515">
        <v>0.25</v>
      </c>
    </row>
    <row r="2516" spans="1:5" x14ac:dyDescent="0.2">
      <c r="A2516" s="43">
        <v>41688</v>
      </c>
      <c r="D2516">
        <v>0.25</v>
      </c>
    </row>
    <row r="2517" spans="1:5" x14ac:dyDescent="0.2">
      <c r="A2517" s="43">
        <v>41689</v>
      </c>
      <c r="D2517">
        <v>0.25</v>
      </c>
    </row>
    <row r="2518" spans="1:5" x14ac:dyDescent="0.2">
      <c r="A2518" s="43">
        <v>41690</v>
      </c>
      <c r="D2518">
        <v>0.25</v>
      </c>
    </row>
    <row r="2519" spans="1:5" x14ac:dyDescent="0.2">
      <c r="A2519" s="43">
        <v>41691</v>
      </c>
      <c r="D2519">
        <v>0.25</v>
      </c>
    </row>
    <row r="2520" spans="1:5" x14ac:dyDescent="0.2">
      <c r="A2520" s="43">
        <v>41692</v>
      </c>
      <c r="D2520">
        <v>0.25</v>
      </c>
    </row>
    <row r="2521" spans="1:5" x14ac:dyDescent="0.2">
      <c r="A2521" s="43">
        <v>41693</v>
      </c>
      <c r="D2521">
        <v>0.25</v>
      </c>
    </row>
    <row r="2522" spans="1:5" x14ac:dyDescent="0.2">
      <c r="A2522" s="43">
        <v>41694</v>
      </c>
      <c r="D2522">
        <v>0.25</v>
      </c>
    </row>
    <row r="2523" spans="1:5" x14ac:dyDescent="0.2">
      <c r="A2523" s="43">
        <v>41695</v>
      </c>
      <c r="D2523">
        <v>0.25</v>
      </c>
    </row>
    <row r="2524" spans="1:5" x14ac:dyDescent="0.2">
      <c r="A2524" s="43">
        <v>41696</v>
      </c>
      <c r="D2524">
        <v>0.25</v>
      </c>
    </row>
    <row r="2525" spans="1:5" x14ac:dyDescent="0.2">
      <c r="A2525" s="43">
        <v>41697</v>
      </c>
      <c r="D2525">
        <v>0.25</v>
      </c>
    </row>
    <row r="2526" spans="1:5" x14ac:dyDescent="0.2">
      <c r="A2526" s="43">
        <v>41698</v>
      </c>
      <c r="D2526">
        <v>0.25</v>
      </c>
    </row>
    <row r="2527" spans="1:5" x14ac:dyDescent="0.2">
      <c r="A2527" s="43">
        <v>41699</v>
      </c>
      <c r="B2527">
        <v>102.54300000000001</v>
      </c>
      <c r="C2527">
        <v>102.684</v>
      </c>
      <c r="D2527">
        <v>0.25</v>
      </c>
      <c r="E2527">
        <v>236.625</v>
      </c>
    </row>
    <row r="2528" spans="1:5" x14ac:dyDescent="0.2">
      <c r="A2528" s="43">
        <v>41700</v>
      </c>
      <c r="D2528">
        <v>0.25</v>
      </c>
    </row>
    <row r="2529" spans="1:4" x14ac:dyDescent="0.2">
      <c r="A2529" s="43">
        <v>41701</v>
      </c>
      <c r="D2529">
        <v>0.25</v>
      </c>
    </row>
    <row r="2530" spans="1:4" x14ac:dyDescent="0.2">
      <c r="A2530" s="43">
        <v>41702</v>
      </c>
      <c r="D2530">
        <v>0.25</v>
      </c>
    </row>
    <row r="2531" spans="1:4" x14ac:dyDescent="0.2">
      <c r="A2531" s="43">
        <v>41703</v>
      </c>
      <c r="D2531">
        <v>0.25</v>
      </c>
    </row>
    <row r="2532" spans="1:4" x14ac:dyDescent="0.2">
      <c r="A2532" s="43">
        <v>41704</v>
      </c>
      <c r="D2532">
        <v>0.25</v>
      </c>
    </row>
    <row r="2533" spans="1:4" x14ac:dyDescent="0.2">
      <c r="A2533" s="43">
        <v>41705</v>
      </c>
      <c r="D2533">
        <v>0.25</v>
      </c>
    </row>
    <row r="2534" spans="1:4" x14ac:dyDescent="0.2">
      <c r="A2534" s="43">
        <v>41706</v>
      </c>
      <c r="D2534">
        <v>0.25</v>
      </c>
    </row>
    <row r="2535" spans="1:4" x14ac:dyDescent="0.2">
      <c r="A2535" s="43">
        <v>41707</v>
      </c>
      <c r="D2535">
        <v>0.25</v>
      </c>
    </row>
    <row r="2536" spans="1:4" x14ac:dyDescent="0.2">
      <c r="A2536" s="43">
        <v>41708</v>
      </c>
      <c r="D2536">
        <v>0.25</v>
      </c>
    </row>
    <row r="2537" spans="1:4" x14ac:dyDescent="0.2">
      <c r="A2537" s="43">
        <v>41709</v>
      </c>
      <c r="D2537">
        <v>0.25</v>
      </c>
    </row>
    <row r="2538" spans="1:4" x14ac:dyDescent="0.2">
      <c r="A2538" s="43">
        <v>41710</v>
      </c>
      <c r="D2538">
        <v>0.25</v>
      </c>
    </row>
    <row r="2539" spans="1:4" x14ac:dyDescent="0.2">
      <c r="A2539" s="43">
        <v>41711</v>
      </c>
      <c r="D2539">
        <v>0.25</v>
      </c>
    </row>
    <row r="2540" spans="1:4" x14ac:dyDescent="0.2">
      <c r="A2540" s="43">
        <v>41712</v>
      </c>
      <c r="D2540">
        <v>0.25</v>
      </c>
    </row>
    <row r="2541" spans="1:4" x14ac:dyDescent="0.2">
      <c r="A2541" s="43">
        <v>41713</v>
      </c>
      <c r="D2541">
        <v>0.25</v>
      </c>
    </row>
    <row r="2542" spans="1:4" x14ac:dyDescent="0.2">
      <c r="A2542" s="43">
        <v>41714</v>
      </c>
      <c r="D2542">
        <v>0.25</v>
      </c>
    </row>
    <row r="2543" spans="1:4" x14ac:dyDescent="0.2">
      <c r="A2543" s="43">
        <v>41715</v>
      </c>
      <c r="D2543">
        <v>0.25</v>
      </c>
    </row>
    <row r="2544" spans="1:4" x14ac:dyDescent="0.2">
      <c r="A2544" s="43">
        <v>41716</v>
      </c>
      <c r="D2544">
        <v>0.25</v>
      </c>
    </row>
    <row r="2545" spans="1:5" x14ac:dyDescent="0.2">
      <c r="A2545" s="43">
        <v>41717</v>
      </c>
      <c r="D2545">
        <v>0.25</v>
      </c>
    </row>
    <row r="2546" spans="1:5" x14ac:dyDescent="0.2">
      <c r="A2546" s="43">
        <v>41718</v>
      </c>
      <c r="D2546">
        <v>0.25</v>
      </c>
    </row>
    <row r="2547" spans="1:5" x14ac:dyDescent="0.2">
      <c r="A2547" s="43">
        <v>41719</v>
      </c>
      <c r="D2547">
        <v>0.25</v>
      </c>
    </row>
    <row r="2548" spans="1:5" x14ac:dyDescent="0.2">
      <c r="A2548" s="43">
        <v>41720</v>
      </c>
      <c r="D2548">
        <v>0.25</v>
      </c>
    </row>
    <row r="2549" spans="1:5" x14ac:dyDescent="0.2">
      <c r="A2549" s="43">
        <v>41721</v>
      </c>
      <c r="D2549">
        <v>0.25</v>
      </c>
    </row>
    <row r="2550" spans="1:5" x14ac:dyDescent="0.2">
      <c r="A2550" s="43">
        <v>41722</v>
      </c>
      <c r="D2550">
        <v>0.25</v>
      </c>
    </row>
    <row r="2551" spans="1:5" x14ac:dyDescent="0.2">
      <c r="A2551" s="43">
        <v>41723</v>
      </c>
      <c r="D2551">
        <v>0.25</v>
      </c>
    </row>
    <row r="2552" spans="1:5" x14ac:dyDescent="0.2">
      <c r="A2552" s="43">
        <v>41724</v>
      </c>
      <c r="D2552">
        <v>0.25</v>
      </c>
    </row>
    <row r="2553" spans="1:5" x14ac:dyDescent="0.2">
      <c r="A2553" s="43">
        <v>41725</v>
      </c>
      <c r="D2553">
        <v>0.25</v>
      </c>
    </row>
    <row r="2554" spans="1:5" x14ac:dyDescent="0.2">
      <c r="A2554" s="43">
        <v>41726</v>
      </c>
      <c r="D2554">
        <v>0.25</v>
      </c>
    </row>
    <row r="2555" spans="1:5" x14ac:dyDescent="0.2">
      <c r="A2555" s="43">
        <v>41727</v>
      </c>
      <c r="D2555">
        <v>0.25</v>
      </c>
    </row>
    <row r="2556" spans="1:5" x14ac:dyDescent="0.2">
      <c r="A2556" s="43">
        <v>41728</v>
      </c>
      <c r="D2556">
        <v>0.25</v>
      </c>
    </row>
    <row r="2557" spans="1:5" x14ac:dyDescent="0.2">
      <c r="A2557" s="43">
        <v>41729</v>
      </c>
      <c r="D2557">
        <v>0.25</v>
      </c>
    </row>
    <row r="2558" spans="1:5" x14ac:dyDescent="0.2">
      <c r="A2558" s="43">
        <v>41730</v>
      </c>
      <c r="B2558">
        <v>102.742</v>
      </c>
      <c r="C2558">
        <v>102.879</v>
      </c>
      <c r="D2558">
        <v>0.25</v>
      </c>
      <c r="E2558">
        <v>237.072</v>
      </c>
    </row>
    <row r="2559" spans="1:5" x14ac:dyDescent="0.2">
      <c r="A2559" s="43">
        <v>41731</v>
      </c>
      <c r="D2559">
        <v>0.25</v>
      </c>
    </row>
    <row r="2560" spans="1:5" x14ac:dyDescent="0.2">
      <c r="A2560" s="43">
        <v>41732</v>
      </c>
      <c r="D2560">
        <v>0.25</v>
      </c>
    </row>
    <row r="2561" spans="1:4" x14ac:dyDescent="0.2">
      <c r="A2561" s="43">
        <v>41733</v>
      </c>
      <c r="D2561">
        <v>0.25</v>
      </c>
    </row>
    <row r="2562" spans="1:4" x14ac:dyDescent="0.2">
      <c r="A2562" s="43">
        <v>41734</v>
      </c>
      <c r="D2562">
        <v>0.25</v>
      </c>
    </row>
    <row r="2563" spans="1:4" x14ac:dyDescent="0.2">
      <c r="A2563" s="43">
        <v>41735</v>
      </c>
      <c r="D2563">
        <v>0.25</v>
      </c>
    </row>
    <row r="2564" spans="1:4" x14ac:dyDescent="0.2">
      <c r="A2564" s="43">
        <v>41736</v>
      </c>
      <c r="D2564">
        <v>0.25</v>
      </c>
    </row>
    <row r="2565" spans="1:4" x14ac:dyDescent="0.2">
      <c r="A2565" s="43">
        <v>41737</v>
      </c>
      <c r="D2565">
        <v>0.25</v>
      </c>
    </row>
    <row r="2566" spans="1:4" x14ac:dyDescent="0.2">
      <c r="A2566" s="43">
        <v>41738</v>
      </c>
      <c r="D2566">
        <v>0.25</v>
      </c>
    </row>
    <row r="2567" spans="1:4" x14ac:dyDescent="0.2">
      <c r="A2567" s="43">
        <v>41739</v>
      </c>
      <c r="D2567">
        <v>0.25</v>
      </c>
    </row>
    <row r="2568" spans="1:4" x14ac:dyDescent="0.2">
      <c r="A2568" s="43">
        <v>41740</v>
      </c>
      <c r="D2568">
        <v>0.25</v>
      </c>
    </row>
    <row r="2569" spans="1:4" x14ac:dyDescent="0.2">
      <c r="A2569" s="43">
        <v>41741</v>
      </c>
      <c r="D2569">
        <v>0.25</v>
      </c>
    </row>
    <row r="2570" spans="1:4" x14ac:dyDescent="0.2">
      <c r="A2570" s="43">
        <v>41742</v>
      </c>
      <c r="D2570">
        <v>0.25</v>
      </c>
    </row>
    <row r="2571" spans="1:4" x14ac:dyDescent="0.2">
      <c r="A2571" s="43">
        <v>41743</v>
      </c>
      <c r="D2571">
        <v>0.25</v>
      </c>
    </row>
    <row r="2572" spans="1:4" x14ac:dyDescent="0.2">
      <c r="A2572" s="43">
        <v>41744</v>
      </c>
      <c r="D2572">
        <v>0.25</v>
      </c>
    </row>
    <row r="2573" spans="1:4" x14ac:dyDescent="0.2">
      <c r="A2573" s="43">
        <v>41745</v>
      </c>
      <c r="D2573">
        <v>0.25</v>
      </c>
    </row>
    <row r="2574" spans="1:4" x14ac:dyDescent="0.2">
      <c r="A2574" s="43">
        <v>41746</v>
      </c>
      <c r="D2574">
        <v>0.25</v>
      </c>
    </row>
    <row r="2575" spans="1:4" x14ac:dyDescent="0.2">
      <c r="A2575" s="43">
        <v>41747</v>
      </c>
      <c r="D2575">
        <v>0.25</v>
      </c>
    </row>
    <row r="2576" spans="1:4" x14ac:dyDescent="0.2">
      <c r="A2576" s="43">
        <v>41748</v>
      </c>
      <c r="D2576">
        <v>0.25</v>
      </c>
    </row>
    <row r="2577" spans="1:5" x14ac:dyDescent="0.2">
      <c r="A2577" s="43">
        <v>41749</v>
      </c>
      <c r="D2577">
        <v>0.25</v>
      </c>
    </row>
    <row r="2578" spans="1:5" x14ac:dyDescent="0.2">
      <c r="A2578" s="43">
        <v>41750</v>
      </c>
      <c r="D2578">
        <v>0.25</v>
      </c>
    </row>
    <row r="2579" spans="1:5" x14ac:dyDescent="0.2">
      <c r="A2579" s="43">
        <v>41751</v>
      </c>
      <c r="D2579">
        <v>0.25</v>
      </c>
    </row>
    <row r="2580" spans="1:5" x14ac:dyDescent="0.2">
      <c r="A2580" s="43">
        <v>41752</v>
      </c>
      <c r="D2580">
        <v>0.25</v>
      </c>
    </row>
    <row r="2581" spans="1:5" x14ac:dyDescent="0.2">
      <c r="A2581" s="43">
        <v>41753</v>
      </c>
      <c r="D2581">
        <v>0.25</v>
      </c>
    </row>
    <row r="2582" spans="1:5" x14ac:dyDescent="0.2">
      <c r="A2582" s="43">
        <v>41754</v>
      </c>
      <c r="D2582">
        <v>0.25</v>
      </c>
    </row>
    <row r="2583" spans="1:5" x14ac:dyDescent="0.2">
      <c r="A2583" s="43">
        <v>41755</v>
      </c>
      <c r="D2583">
        <v>0.25</v>
      </c>
    </row>
    <row r="2584" spans="1:5" x14ac:dyDescent="0.2">
      <c r="A2584" s="43">
        <v>41756</v>
      </c>
      <c r="D2584">
        <v>0.25</v>
      </c>
    </row>
    <row r="2585" spans="1:5" x14ac:dyDescent="0.2">
      <c r="A2585" s="43">
        <v>41757</v>
      </c>
      <c r="D2585">
        <v>0.25</v>
      </c>
    </row>
    <row r="2586" spans="1:5" x14ac:dyDescent="0.2">
      <c r="A2586" s="43">
        <v>41758</v>
      </c>
      <c r="D2586">
        <v>0.25</v>
      </c>
    </row>
    <row r="2587" spans="1:5" x14ac:dyDescent="0.2">
      <c r="A2587" s="43">
        <v>41759</v>
      </c>
      <c r="D2587">
        <v>0.25</v>
      </c>
    </row>
    <row r="2588" spans="1:5" x14ac:dyDescent="0.2">
      <c r="A2588" s="43">
        <v>41760</v>
      </c>
      <c r="B2588">
        <v>102.919</v>
      </c>
      <c r="C2588">
        <v>103.06100000000001</v>
      </c>
      <c r="D2588">
        <v>0.25</v>
      </c>
      <c r="E2588">
        <v>237.529</v>
      </c>
    </row>
    <row r="2589" spans="1:5" x14ac:dyDescent="0.2">
      <c r="A2589" s="43">
        <v>41761</v>
      </c>
      <c r="D2589">
        <v>0.25</v>
      </c>
    </row>
    <row r="2590" spans="1:5" x14ac:dyDescent="0.2">
      <c r="A2590" s="43">
        <v>41762</v>
      </c>
      <c r="D2590">
        <v>0.25</v>
      </c>
    </row>
    <row r="2591" spans="1:5" x14ac:dyDescent="0.2">
      <c r="A2591" s="43">
        <v>41763</v>
      </c>
      <c r="D2591">
        <v>0.25</v>
      </c>
    </row>
    <row r="2592" spans="1:5" x14ac:dyDescent="0.2">
      <c r="A2592" s="43">
        <v>41764</v>
      </c>
      <c r="D2592">
        <v>0.25</v>
      </c>
    </row>
    <row r="2593" spans="1:4" x14ac:dyDescent="0.2">
      <c r="A2593" s="43">
        <v>41765</v>
      </c>
      <c r="D2593">
        <v>0.25</v>
      </c>
    </row>
    <row r="2594" spans="1:4" x14ac:dyDescent="0.2">
      <c r="A2594" s="43">
        <v>41766</v>
      </c>
      <c r="D2594">
        <v>0.25</v>
      </c>
    </row>
    <row r="2595" spans="1:4" x14ac:dyDescent="0.2">
      <c r="A2595" s="43">
        <v>41767</v>
      </c>
      <c r="D2595">
        <v>0.25</v>
      </c>
    </row>
    <row r="2596" spans="1:4" x14ac:dyDescent="0.2">
      <c r="A2596" s="43">
        <v>41768</v>
      </c>
      <c r="D2596">
        <v>0.25</v>
      </c>
    </row>
    <row r="2597" spans="1:4" x14ac:dyDescent="0.2">
      <c r="A2597" s="43">
        <v>41769</v>
      </c>
      <c r="D2597">
        <v>0.25</v>
      </c>
    </row>
    <row r="2598" spans="1:4" x14ac:dyDescent="0.2">
      <c r="A2598" s="43">
        <v>41770</v>
      </c>
      <c r="D2598">
        <v>0.25</v>
      </c>
    </row>
    <row r="2599" spans="1:4" x14ac:dyDescent="0.2">
      <c r="A2599" s="43">
        <v>41771</v>
      </c>
      <c r="D2599">
        <v>0.25</v>
      </c>
    </row>
    <row r="2600" spans="1:4" x14ac:dyDescent="0.2">
      <c r="A2600" s="43">
        <v>41772</v>
      </c>
      <c r="D2600">
        <v>0.25</v>
      </c>
    </row>
    <row r="2601" spans="1:4" x14ac:dyDescent="0.2">
      <c r="A2601" s="43">
        <v>41773</v>
      </c>
      <c r="D2601">
        <v>0.25</v>
      </c>
    </row>
    <row r="2602" spans="1:4" x14ac:dyDescent="0.2">
      <c r="A2602" s="43">
        <v>41774</v>
      </c>
      <c r="D2602">
        <v>0.25</v>
      </c>
    </row>
    <row r="2603" spans="1:4" x14ac:dyDescent="0.2">
      <c r="A2603" s="43">
        <v>41775</v>
      </c>
      <c r="D2603">
        <v>0.25</v>
      </c>
    </row>
    <row r="2604" spans="1:4" x14ac:dyDescent="0.2">
      <c r="A2604" s="43">
        <v>41776</v>
      </c>
      <c r="D2604">
        <v>0.25</v>
      </c>
    </row>
    <row r="2605" spans="1:4" x14ac:dyDescent="0.2">
      <c r="A2605" s="43">
        <v>41777</v>
      </c>
      <c r="D2605">
        <v>0.25</v>
      </c>
    </row>
    <row r="2606" spans="1:4" x14ac:dyDescent="0.2">
      <c r="A2606" s="43">
        <v>41778</v>
      </c>
      <c r="D2606">
        <v>0.25</v>
      </c>
    </row>
    <row r="2607" spans="1:4" x14ac:dyDescent="0.2">
      <c r="A2607" s="43">
        <v>41779</v>
      </c>
      <c r="D2607">
        <v>0.25</v>
      </c>
    </row>
    <row r="2608" spans="1:4" x14ac:dyDescent="0.2">
      <c r="A2608" s="43">
        <v>41780</v>
      </c>
      <c r="D2608">
        <v>0.25</v>
      </c>
    </row>
    <row r="2609" spans="1:5" x14ac:dyDescent="0.2">
      <c r="A2609" s="43">
        <v>41781</v>
      </c>
      <c r="D2609">
        <v>0.25</v>
      </c>
    </row>
    <row r="2610" spans="1:5" x14ac:dyDescent="0.2">
      <c r="A2610" s="43">
        <v>41782</v>
      </c>
      <c r="D2610">
        <v>0.25</v>
      </c>
    </row>
    <row r="2611" spans="1:5" x14ac:dyDescent="0.2">
      <c r="A2611" s="43">
        <v>41783</v>
      </c>
      <c r="D2611">
        <v>0.25</v>
      </c>
    </row>
    <row r="2612" spans="1:5" x14ac:dyDescent="0.2">
      <c r="A2612" s="43">
        <v>41784</v>
      </c>
      <c r="D2612">
        <v>0.25</v>
      </c>
    </row>
    <row r="2613" spans="1:5" x14ac:dyDescent="0.2">
      <c r="A2613" s="43">
        <v>41785</v>
      </c>
      <c r="D2613">
        <v>0.25</v>
      </c>
    </row>
    <row r="2614" spans="1:5" x14ac:dyDescent="0.2">
      <c r="A2614" s="43">
        <v>41786</v>
      </c>
      <c r="D2614">
        <v>0.25</v>
      </c>
    </row>
    <row r="2615" spans="1:5" x14ac:dyDescent="0.2">
      <c r="A2615" s="43">
        <v>41787</v>
      </c>
      <c r="D2615">
        <v>0.25</v>
      </c>
    </row>
    <row r="2616" spans="1:5" x14ac:dyDescent="0.2">
      <c r="A2616" s="43">
        <v>41788</v>
      </c>
      <c r="D2616">
        <v>0.25</v>
      </c>
    </row>
    <row r="2617" spans="1:5" x14ac:dyDescent="0.2">
      <c r="A2617" s="43">
        <v>41789</v>
      </c>
      <c r="D2617">
        <v>0.25</v>
      </c>
    </row>
    <row r="2618" spans="1:5" x14ac:dyDescent="0.2">
      <c r="A2618" s="43">
        <v>41790</v>
      </c>
      <c r="D2618">
        <v>0.25</v>
      </c>
    </row>
    <row r="2619" spans="1:5" x14ac:dyDescent="0.2">
      <c r="A2619" s="43">
        <v>41791</v>
      </c>
      <c r="B2619">
        <v>103.035</v>
      </c>
      <c r="C2619">
        <v>103.18</v>
      </c>
      <c r="D2619">
        <v>0.25</v>
      </c>
      <c r="E2619">
        <v>237.83699999999999</v>
      </c>
    </row>
    <row r="2620" spans="1:5" x14ac:dyDescent="0.2">
      <c r="A2620" s="43">
        <v>41792</v>
      </c>
      <c r="D2620">
        <v>0.25</v>
      </c>
    </row>
    <row r="2621" spans="1:5" x14ac:dyDescent="0.2">
      <c r="A2621" s="43">
        <v>41793</v>
      </c>
      <c r="D2621">
        <v>0.25</v>
      </c>
    </row>
    <row r="2622" spans="1:5" x14ac:dyDescent="0.2">
      <c r="A2622" s="43">
        <v>41794</v>
      </c>
      <c r="D2622">
        <v>0.25</v>
      </c>
    </row>
    <row r="2623" spans="1:5" x14ac:dyDescent="0.2">
      <c r="A2623" s="43">
        <v>41795</v>
      </c>
      <c r="D2623">
        <v>0.25</v>
      </c>
    </row>
    <row r="2624" spans="1:5" x14ac:dyDescent="0.2">
      <c r="A2624" s="43">
        <v>41796</v>
      </c>
      <c r="D2624">
        <v>0.25</v>
      </c>
    </row>
    <row r="2625" spans="1:4" x14ac:dyDescent="0.2">
      <c r="A2625" s="43">
        <v>41797</v>
      </c>
      <c r="D2625">
        <v>0.25</v>
      </c>
    </row>
    <row r="2626" spans="1:4" x14ac:dyDescent="0.2">
      <c r="A2626" s="43">
        <v>41798</v>
      </c>
      <c r="D2626">
        <v>0.25</v>
      </c>
    </row>
    <row r="2627" spans="1:4" x14ac:dyDescent="0.2">
      <c r="A2627" s="43">
        <v>41799</v>
      </c>
      <c r="D2627">
        <v>0.25</v>
      </c>
    </row>
    <row r="2628" spans="1:4" x14ac:dyDescent="0.2">
      <c r="A2628" s="43">
        <v>41800</v>
      </c>
      <c r="D2628">
        <v>0.25</v>
      </c>
    </row>
    <row r="2629" spans="1:4" x14ac:dyDescent="0.2">
      <c r="A2629" s="43">
        <v>41801</v>
      </c>
      <c r="D2629">
        <v>0.25</v>
      </c>
    </row>
    <row r="2630" spans="1:4" x14ac:dyDescent="0.2">
      <c r="A2630" s="43">
        <v>41802</v>
      </c>
      <c r="D2630">
        <v>0.25</v>
      </c>
    </row>
    <row r="2631" spans="1:4" x14ac:dyDescent="0.2">
      <c r="A2631" s="43">
        <v>41803</v>
      </c>
      <c r="D2631">
        <v>0.25</v>
      </c>
    </row>
    <row r="2632" spans="1:4" x14ac:dyDescent="0.2">
      <c r="A2632" s="43">
        <v>41804</v>
      </c>
      <c r="D2632">
        <v>0.25</v>
      </c>
    </row>
    <row r="2633" spans="1:4" x14ac:dyDescent="0.2">
      <c r="A2633" s="43">
        <v>41805</v>
      </c>
      <c r="D2633">
        <v>0.25</v>
      </c>
    </row>
    <row r="2634" spans="1:4" x14ac:dyDescent="0.2">
      <c r="A2634" s="43">
        <v>41806</v>
      </c>
      <c r="D2634">
        <v>0.25</v>
      </c>
    </row>
    <row r="2635" spans="1:4" x14ac:dyDescent="0.2">
      <c r="A2635" s="43">
        <v>41807</v>
      </c>
      <c r="D2635">
        <v>0.25</v>
      </c>
    </row>
    <row r="2636" spans="1:4" x14ac:dyDescent="0.2">
      <c r="A2636" s="43">
        <v>41808</v>
      </c>
      <c r="D2636">
        <v>0.25</v>
      </c>
    </row>
    <row r="2637" spans="1:4" x14ac:dyDescent="0.2">
      <c r="A2637" s="43">
        <v>41809</v>
      </c>
      <c r="D2637">
        <v>0.25</v>
      </c>
    </row>
    <row r="2638" spans="1:4" x14ac:dyDescent="0.2">
      <c r="A2638" s="43">
        <v>41810</v>
      </c>
      <c r="D2638">
        <v>0.25</v>
      </c>
    </row>
    <row r="2639" spans="1:4" x14ac:dyDescent="0.2">
      <c r="A2639" s="43">
        <v>41811</v>
      </c>
      <c r="D2639">
        <v>0.25</v>
      </c>
    </row>
    <row r="2640" spans="1:4" x14ac:dyDescent="0.2">
      <c r="A2640" s="43">
        <v>41812</v>
      </c>
      <c r="D2640">
        <v>0.25</v>
      </c>
    </row>
    <row r="2641" spans="1:5" x14ac:dyDescent="0.2">
      <c r="A2641" s="43">
        <v>41813</v>
      </c>
      <c r="D2641">
        <v>0.25</v>
      </c>
    </row>
    <row r="2642" spans="1:5" x14ac:dyDescent="0.2">
      <c r="A2642" s="43">
        <v>41814</v>
      </c>
      <c r="D2642">
        <v>0.25</v>
      </c>
    </row>
    <row r="2643" spans="1:5" x14ac:dyDescent="0.2">
      <c r="A2643" s="43">
        <v>41815</v>
      </c>
      <c r="D2643">
        <v>0.25</v>
      </c>
    </row>
    <row r="2644" spans="1:5" x14ac:dyDescent="0.2">
      <c r="A2644" s="43">
        <v>41816</v>
      </c>
      <c r="D2644">
        <v>0.25</v>
      </c>
    </row>
    <row r="2645" spans="1:5" x14ac:dyDescent="0.2">
      <c r="A2645" s="43">
        <v>41817</v>
      </c>
      <c r="D2645">
        <v>0.25</v>
      </c>
    </row>
    <row r="2646" spans="1:5" x14ac:dyDescent="0.2">
      <c r="A2646" s="43">
        <v>41818</v>
      </c>
      <c r="D2646">
        <v>0.25</v>
      </c>
    </row>
    <row r="2647" spans="1:5" x14ac:dyDescent="0.2">
      <c r="A2647" s="43">
        <v>41819</v>
      </c>
      <c r="D2647">
        <v>0.25</v>
      </c>
    </row>
    <row r="2648" spans="1:5" x14ac:dyDescent="0.2">
      <c r="A2648" s="43">
        <v>41820</v>
      </c>
      <c r="D2648">
        <v>0.25</v>
      </c>
    </row>
    <row r="2649" spans="1:5" x14ac:dyDescent="0.2">
      <c r="A2649" s="43">
        <v>41821</v>
      </c>
      <c r="B2649">
        <v>103.19</v>
      </c>
      <c r="C2649">
        <v>103.369</v>
      </c>
      <c r="D2649">
        <v>0.25</v>
      </c>
      <c r="E2649">
        <v>238.19499999999999</v>
      </c>
    </row>
    <row r="2650" spans="1:5" x14ac:dyDescent="0.2">
      <c r="A2650" s="43">
        <v>41822</v>
      </c>
      <c r="D2650">
        <v>0.25</v>
      </c>
    </row>
    <row r="2651" spans="1:5" x14ac:dyDescent="0.2">
      <c r="A2651" s="43">
        <v>41823</v>
      </c>
      <c r="D2651">
        <v>0.25</v>
      </c>
    </row>
    <row r="2652" spans="1:5" x14ac:dyDescent="0.2">
      <c r="A2652" s="43">
        <v>41824</v>
      </c>
      <c r="D2652">
        <v>0.25</v>
      </c>
    </row>
    <row r="2653" spans="1:5" x14ac:dyDescent="0.2">
      <c r="A2653" s="43">
        <v>41825</v>
      </c>
      <c r="D2653">
        <v>0.25</v>
      </c>
    </row>
    <row r="2654" spans="1:5" x14ac:dyDescent="0.2">
      <c r="A2654" s="43">
        <v>41826</v>
      </c>
      <c r="D2654">
        <v>0.25</v>
      </c>
    </row>
    <row r="2655" spans="1:5" x14ac:dyDescent="0.2">
      <c r="A2655" s="43">
        <v>41827</v>
      </c>
      <c r="D2655">
        <v>0.25</v>
      </c>
    </row>
    <row r="2656" spans="1:5" x14ac:dyDescent="0.2">
      <c r="A2656" s="43">
        <v>41828</v>
      </c>
      <c r="D2656">
        <v>0.25</v>
      </c>
    </row>
    <row r="2657" spans="1:4" x14ac:dyDescent="0.2">
      <c r="A2657" s="43">
        <v>41829</v>
      </c>
      <c r="D2657">
        <v>0.25</v>
      </c>
    </row>
    <row r="2658" spans="1:4" x14ac:dyDescent="0.2">
      <c r="A2658" s="43">
        <v>41830</v>
      </c>
      <c r="D2658">
        <v>0.25</v>
      </c>
    </row>
    <row r="2659" spans="1:4" x14ac:dyDescent="0.2">
      <c r="A2659" s="43">
        <v>41831</v>
      </c>
      <c r="D2659">
        <v>0.25</v>
      </c>
    </row>
    <row r="2660" spans="1:4" x14ac:dyDescent="0.2">
      <c r="A2660" s="43">
        <v>41832</v>
      </c>
      <c r="D2660">
        <v>0.25</v>
      </c>
    </row>
    <row r="2661" spans="1:4" x14ac:dyDescent="0.2">
      <c r="A2661" s="43">
        <v>41833</v>
      </c>
      <c r="D2661">
        <v>0.25</v>
      </c>
    </row>
    <row r="2662" spans="1:4" x14ac:dyDescent="0.2">
      <c r="A2662" s="43">
        <v>41834</v>
      </c>
      <c r="D2662">
        <v>0.25</v>
      </c>
    </row>
    <row r="2663" spans="1:4" x14ac:dyDescent="0.2">
      <c r="A2663" s="43">
        <v>41835</v>
      </c>
      <c r="D2663">
        <v>0.25</v>
      </c>
    </row>
    <row r="2664" spans="1:4" x14ac:dyDescent="0.2">
      <c r="A2664" s="43">
        <v>41836</v>
      </c>
      <c r="D2664">
        <v>0.25</v>
      </c>
    </row>
    <row r="2665" spans="1:4" x14ac:dyDescent="0.2">
      <c r="A2665" s="43">
        <v>41837</v>
      </c>
      <c r="D2665">
        <v>0.25</v>
      </c>
    </row>
    <row r="2666" spans="1:4" x14ac:dyDescent="0.2">
      <c r="A2666" s="43">
        <v>41838</v>
      </c>
      <c r="D2666">
        <v>0.25</v>
      </c>
    </row>
    <row r="2667" spans="1:4" x14ac:dyDescent="0.2">
      <c r="A2667" s="43">
        <v>41839</v>
      </c>
      <c r="D2667">
        <v>0.25</v>
      </c>
    </row>
    <row r="2668" spans="1:4" x14ac:dyDescent="0.2">
      <c r="A2668" s="43">
        <v>41840</v>
      </c>
      <c r="D2668">
        <v>0.25</v>
      </c>
    </row>
    <row r="2669" spans="1:4" x14ac:dyDescent="0.2">
      <c r="A2669" s="43">
        <v>41841</v>
      </c>
      <c r="D2669">
        <v>0.25</v>
      </c>
    </row>
    <row r="2670" spans="1:4" x14ac:dyDescent="0.2">
      <c r="A2670" s="43">
        <v>41842</v>
      </c>
      <c r="D2670">
        <v>0.25</v>
      </c>
    </row>
    <row r="2671" spans="1:4" x14ac:dyDescent="0.2">
      <c r="A2671" s="43">
        <v>41843</v>
      </c>
      <c r="D2671">
        <v>0.25</v>
      </c>
    </row>
    <row r="2672" spans="1:4" x14ac:dyDescent="0.2">
      <c r="A2672" s="43">
        <v>41844</v>
      </c>
      <c r="D2672">
        <v>0.25</v>
      </c>
    </row>
    <row r="2673" spans="1:5" x14ac:dyDescent="0.2">
      <c r="A2673" s="43">
        <v>41845</v>
      </c>
      <c r="D2673">
        <v>0.25</v>
      </c>
    </row>
    <row r="2674" spans="1:5" x14ac:dyDescent="0.2">
      <c r="A2674" s="43">
        <v>41846</v>
      </c>
      <c r="D2674">
        <v>0.25</v>
      </c>
    </row>
    <row r="2675" spans="1:5" x14ac:dyDescent="0.2">
      <c r="A2675" s="43">
        <v>41847</v>
      </c>
      <c r="D2675">
        <v>0.25</v>
      </c>
    </row>
    <row r="2676" spans="1:5" x14ac:dyDescent="0.2">
      <c r="A2676" s="43">
        <v>41848</v>
      </c>
      <c r="D2676">
        <v>0.25</v>
      </c>
    </row>
    <row r="2677" spans="1:5" x14ac:dyDescent="0.2">
      <c r="A2677" s="43">
        <v>41849</v>
      </c>
      <c r="D2677">
        <v>0.25</v>
      </c>
    </row>
    <row r="2678" spans="1:5" x14ac:dyDescent="0.2">
      <c r="A2678" s="43">
        <v>41850</v>
      </c>
      <c r="D2678">
        <v>0.25</v>
      </c>
    </row>
    <row r="2679" spans="1:5" x14ac:dyDescent="0.2">
      <c r="A2679" s="43">
        <v>41851</v>
      </c>
      <c r="D2679">
        <v>0.25</v>
      </c>
    </row>
    <row r="2680" spans="1:5" x14ac:dyDescent="0.2">
      <c r="A2680" s="43">
        <v>41852</v>
      </c>
      <c r="B2680">
        <v>103.17700000000001</v>
      </c>
      <c r="C2680">
        <v>103.408</v>
      </c>
      <c r="D2680">
        <v>0.25</v>
      </c>
      <c r="E2680">
        <v>238.405</v>
      </c>
    </row>
    <row r="2681" spans="1:5" x14ac:dyDescent="0.2">
      <c r="A2681" s="43">
        <v>41853</v>
      </c>
      <c r="D2681">
        <v>0.25</v>
      </c>
    </row>
    <row r="2682" spans="1:5" x14ac:dyDescent="0.2">
      <c r="A2682" s="43">
        <v>41854</v>
      </c>
      <c r="D2682">
        <v>0.25</v>
      </c>
    </row>
    <row r="2683" spans="1:5" x14ac:dyDescent="0.2">
      <c r="A2683" s="43">
        <v>41855</v>
      </c>
      <c r="D2683">
        <v>0.25</v>
      </c>
    </row>
    <row r="2684" spans="1:5" x14ac:dyDescent="0.2">
      <c r="A2684" s="43">
        <v>41856</v>
      </c>
      <c r="D2684">
        <v>0.25</v>
      </c>
    </row>
    <row r="2685" spans="1:5" x14ac:dyDescent="0.2">
      <c r="A2685" s="43">
        <v>41857</v>
      </c>
      <c r="D2685">
        <v>0.25</v>
      </c>
    </row>
    <row r="2686" spans="1:5" x14ac:dyDescent="0.2">
      <c r="A2686" s="43">
        <v>41858</v>
      </c>
      <c r="D2686">
        <v>0.25</v>
      </c>
    </row>
    <row r="2687" spans="1:5" x14ac:dyDescent="0.2">
      <c r="A2687" s="43">
        <v>41859</v>
      </c>
      <c r="D2687">
        <v>0.25</v>
      </c>
    </row>
    <row r="2688" spans="1:5" x14ac:dyDescent="0.2">
      <c r="A2688" s="43">
        <v>41860</v>
      </c>
      <c r="D2688">
        <v>0.25</v>
      </c>
    </row>
    <row r="2689" spans="1:4" x14ac:dyDescent="0.2">
      <c r="A2689" s="43">
        <v>41861</v>
      </c>
      <c r="D2689">
        <v>0.25</v>
      </c>
    </row>
    <row r="2690" spans="1:4" x14ac:dyDescent="0.2">
      <c r="A2690" s="43">
        <v>41862</v>
      </c>
      <c r="D2690">
        <v>0.25</v>
      </c>
    </row>
    <row r="2691" spans="1:4" x14ac:dyDescent="0.2">
      <c r="A2691" s="43">
        <v>41863</v>
      </c>
      <c r="D2691">
        <v>0.25</v>
      </c>
    </row>
    <row r="2692" spans="1:4" x14ac:dyDescent="0.2">
      <c r="A2692" s="43">
        <v>41864</v>
      </c>
      <c r="D2692">
        <v>0.25</v>
      </c>
    </row>
    <row r="2693" spans="1:4" x14ac:dyDescent="0.2">
      <c r="A2693" s="43">
        <v>41865</v>
      </c>
      <c r="D2693">
        <v>0.25</v>
      </c>
    </row>
    <row r="2694" spans="1:4" x14ac:dyDescent="0.2">
      <c r="A2694" s="43">
        <v>41866</v>
      </c>
      <c r="D2694">
        <v>0.25</v>
      </c>
    </row>
    <row r="2695" spans="1:4" x14ac:dyDescent="0.2">
      <c r="A2695" s="43">
        <v>41867</v>
      </c>
      <c r="D2695">
        <v>0.25</v>
      </c>
    </row>
    <row r="2696" spans="1:4" x14ac:dyDescent="0.2">
      <c r="A2696" s="43">
        <v>41868</v>
      </c>
      <c r="D2696">
        <v>0.25</v>
      </c>
    </row>
    <row r="2697" spans="1:4" x14ac:dyDescent="0.2">
      <c r="A2697" s="43">
        <v>41869</v>
      </c>
      <c r="D2697">
        <v>0.25</v>
      </c>
    </row>
    <row r="2698" spans="1:4" x14ac:dyDescent="0.2">
      <c r="A2698" s="43">
        <v>41870</v>
      </c>
      <c r="D2698">
        <v>0.25</v>
      </c>
    </row>
    <row r="2699" spans="1:4" x14ac:dyDescent="0.2">
      <c r="A2699" s="43">
        <v>41871</v>
      </c>
      <c r="D2699">
        <v>0.25</v>
      </c>
    </row>
    <row r="2700" spans="1:4" x14ac:dyDescent="0.2">
      <c r="A2700" s="43">
        <v>41872</v>
      </c>
      <c r="D2700">
        <v>0.25</v>
      </c>
    </row>
    <row r="2701" spans="1:4" x14ac:dyDescent="0.2">
      <c r="A2701" s="43">
        <v>41873</v>
      </c>
      <c r="D2701">
        <v>0.25</v>
      </c>
    </row>
    <row r="2702" spans="1:4" x14ac:dyDescent="0.2">
      <c r="A2702" s="43">
        <v>41874</v>
      </c>
      <c r="D2702">
        <v>0.25</v>
      </c>
    </row>
    <row r="2703" spans="1:4" x14ac:dyDescent="0.2">
      <c r="A2703" s="43">
        <v>41875</v>
      </c>
      <c r="D2703">
        <v>0.25</v>
      </c>
    </row>
    <row r="2704" spans="1:4" x14ac:dyDescent="0.2">
      <c r="A2704" s="43">
        <v>41876</v>
      </c>
      <c r="D2704">
        <v>0.25</v>
      </c>
    </row>
    <row r="2705" spans="1:5" x14ac:dyDescent="0.2">
      <c r="A2705" s="43">
        <v>41877</v>
      </c>
      <c r="D2705">
        <v>0.25</v>
      </c>
    </row>
    <row r="2706" spans="1:5" x14ac:dyDescent="0.2">
      <c r="A2706" s="43">
        <v>41878</v>
      </c>
      <c r="D2706">
        <v>0.25</v>
      </c>
    </row>
    <row r="2707" spans="1:5" x14ac:dyDescent="0.2">
      <c r="A2707" s="43">
        <v>41879</v>
      </c>
      <c r="D2707">
        <v>0.25</v>
      </c>
    </row>
    <row r="2708" spans="1:5" x14ac:dyDescent="0.2">
      <c r="A2708" s="43">
        <v>41880</v>
      </c>
      <c r="D2708">
        <v>0.25</v>
      </c>
    </row>
    <row r="2709" spans="1:5" x14ac:dyDescent="0.2">
      <c r="A2709" s="43">
        <v>41881</v>
      </c>
      <c r="D2709">
        <v>0.25</v>
      </c>
    </row>
    <row r="2710" spans="1:5" x14ac:dyDescent="0.2">
      <c r="A2710" s="43">
        <v>41882</v>
      </c>
      <c r="D2710">
        <v>0.25</v>
      </c>
    </row>
    <row r="2711" spans="1:5" x14ac:dyDescent="0.2">
      <c r="A2711" s="43">
        <v>41883</v>
      </c>
      <c r="B2711">
        <v>103.203</v>
      </c>
      <c r="C2711">
        <v>103.536</v>
      </c>
      <c r="D2711">
        <v>0.25</v>
      </c>
      <c r="E2711">
        <v>238.786</v>
      </c>
    </row>
    <row r="2712" spans="1:5" x14ac:dyDescent="0.2">
      <c r="A2712" s="43">
        <v>41884</v>
      </c>
      <c r="D2712">
        <v>0.25</v>
      </c>
    </row>
    <row r="2713" spans="1:5" x14ac:dyDescent="0.2">
      <c r="A2713" s="43">
        <v>41885</v>
      </c>
      <c r="D2713">
        <v>0.25</v>
      </c>
    </row>
    <row r="2714" spans="1:5" x14ac:dyDescent="0.2">
      <c r="A2714" s="43">
        <v>41886</v>
      </c>
      <c r="D2714">
        <v>0.25</v>
      </c>
    </row>
    <row r="2715" spans="1:5" x14ac:dyDescent="0.2">
      <c r="A2715" s="43">
        <v>41887</v>
      </c>
      <c r="D2715">
        <v>0.25</v>
      </c>
    </row>
    <row r="2716" spans="1:5" x14ac:dyDescent="0.2">
      <c r="A2716" s="43">
        <v>41888</v>
      </c>
      <c r="D2716">
        <v>0.25</v>
      </c>
    </row>
    <row r="2717" spans="1:5" x14ac:dyDescent="0.2">
      <c r="A2717" s="43">
        <v>41889</v>
      </c>
      <c r="D2717">
        <v>0.25</v>
      </c>
    </row>
    <row r="2718" spans="1:5" x14ac:dyDescent="0.2">
      <c r="A2718" s="43">
        <v>41890</v>
      </c>
      <c r="D2718">
        <v>0.25</v>
      </c>
    </row>
    <row r="2719" spans="1:5" x14ac:dyDescent="0.2">
      <c r="A2719" s="43">
        <v>41891</v>
      </c>
      <c r="D2719">
        <v>0.25</v>
      </c>
    </row>
    <row r="2720" spans="1:5" x14ac:dyDescent="0.2">
      <c r="A2720" s="43">
        <v>41892</v>
      </c>
      <c r="D2720">
        <v>0.25</v>
      </c>
    </row>
    <row r="2721" spans="1:4" x14ac:dyDescent="0.2">
      <c r="A2721" s="43">
        <v>41893</v>
      </c>
      <c r="D2721">
        <v>0.25</v>
      </c>
    </row>
    <row r="2722" spans="1:4" x14ac:dyDescent="0.2">
      <c r="A2722" s="43">
        <v>41894</v>
      </c>
      <c r="D2722">
        <v>0.25</v>
      </c>
    </row>
    <row r="2723" spans="1:4" x14ac:dyDescent="0.2">
      <c r="A2723" s="43">
        <v>41895</v>
      </c>
      <c r="D2723">
        <v>0.25</v>
      </c>
    </row>
    <row r="2724" spans="1:4" x14ac:dyDescent="0.2">
      <c r="A2724" s="43">
        <v>41896</v>
      </c>
      <c r="D2724">
        <v>0.25</v>
      </c>
    </row>
    <row r="2725" spans="1:4" x14ac:dyDescent="0.2">
      <c r="A2725" s="43">
        <v>41897</v>
      </c>
      <c r="D2725">
        <v>0.25</v>
      </c>
    </row>
    <row r="2726" spans="1:4" x14ac:dyDescent="0.2">
      <c r="A2726" s="43">
        <v>41898</v>
      </c>
      <c r="D2726">
        <v>0.25</v>
      </c>
    </row>
    <row r="2727" spans="1:4" x14ac:dyDescent="0.2">
      <c r="A2727" s="43">
        <v>41899</v>
      </c>
      <c r="D2727">
        <v>0.25</v>
      </c>
    </row>
    <row r="2728" spans="1:4" x14ac:dyDescent="0.2">
      <c r="A2728" s="43">
        <v>41900</v>
      </c>
      <c r="D2728">
        <v>0.25</v>
      </c>
    </row>
    <row r="2729" spans="1:4" x14ac:dyDescent="0.2">
      <c r="A2729" s="43">
        <v>41901</v>
      </c>
      <c r="D2729">
        <v>0.25</v>
      </c>
    </row>
    <row r="2730" spans="1:4" x14ac:dyDescent="0.2">
      <c r="A2730" s="43">
        <v>41902</v>
      </c>
      <c r="D2730">
        <v>0.25</v>
      </c>
    </row>
    <row r="2731" spans="1:4" x14ac:dyDescent="0.2">
      <c r="A2731" s="43">
        <v>41903</v>
      </c>
      <c r="D2731">
        <v>0.25</v>
      </c>
    </row>
    <row r="2732" spans="1:4" x14ac:dyDescent="0.2">
      <c r="A2732" s="43">
        <v>41904</v>
      </c>
      <c r="D2732">
        <v>0.25</v>
      </c>
    </row>
    <row r="2733" spans="1:4" x14ac:dyDescent="0.2">
      <c r="A2733" s="43">
        <v>41905</v>
      </c>
      <c r="D2733">
        <v>0.25</v>
      </c>
    </row>
    <row r="2734" spans="1:4" x14ac:dyDescent="0.2">
      <c r="A2734" s="43">
        <v>41906</v>
      </c>
      <c r="D2734">
        <v>0.25</v>
      </c>
    </row>
    <row r="2735" spans="1:4" x14ac:dyDescent="0.2">
      <c r="A2735" s="43">
        <v>41907</v>
      </c>
      <c r="D2735">
        <v>0.25</v>
      </c>
    </row>
    <row r="2736" spans="1:4" x14ac:dyDescent="0.2">
      <c r="A2736" s="43">
        <v>41908</v>
      </c>
      <c r="D2736">
        <v>0.25</v>
      </c>
    </row>
    <row r="2737" spans="1:5" x14ac:dyDescent="0.2">
      <c r="A2737" s="43">
        <v>41909</v>
      </c>
      <c r="D2737">
        <v>0.25</v>
      </c>
    </row>
    <row r="2738" spans="1:5" x14ac:dyDescent="0.2">
      <c r="A2738" s="43">
        <v>41910</v>
      </c>
      <c r="D2738">
        <v>0.25</v>
      </c>
    </row>
    <row r="2739" spans="1:5" x14ac:dyDescent="0.2">
      <c r="A2739" s="43">
        <v>41911</v>
      </c>
      <c r="D2739">
        <v>0.25</v>
      </c>
    </row>
    <row r="2740" spans="1:5" x14ac:dyDescent="0.2">
      <c r="A2740" s="43">
        <v>41912</v>
      </c>
      <c r="D2740">
        <v>0.25</v>
      </c>
    </row>
    <row r="2741" spans="1:5" x14ac:dyDescent="0.2">
      <c r="A2741" s="43">
        <v>41913</v>
      </c>
      <c r="B2741">
        <v>103.17700000000001</v>
      </c>
      <c r="C2741">
        <v>103.629</v>
      </c>
      <c r="D2741">
        <v>0.25</v>
      </c>
      <c r="E2741">
        <v>239.191</v>
      </c>
    </row>
    <row r="2742" spans="1:5" x14ac:dyDescent="0.2">
      <c r="A2742" s="43">
        <v>41914</v>
      </c>
      <c r="D2742">
        <v>0.25</v>
      </c>
    </row>
    <row r="2743" spans="1:5" x14ac:dyDescent="0.2">
      <c r="A2743" s="43">
        <v>41915</v>
      </c>
      <c r="D2743">
        <v>0.25</v>
      </c>
    </row>
    <row r="2744" spans="1:5" x14ac:dyDescent="0.2">
      <c r="A2744" s="43">
        <v>41916</v>
      </c>
      <c r="D2744">
        <v>0.25</v>
      </c>
    </row>
    <row r="2745" spans="1:5" x14ac:dyDescent="0.2">
      <c r="A2745" s="43">
        <v>41917</v>
      </c>
      <c r="D2745">
        <v>0.25</v>
      </c>
    </row>
    <row r="2746" spans="1:5" x14ac:dyDescent="0.2">
      <c r="A2746" s="43">
        <v>41918</v>
      </c>
      <c r="D2746">
        <v>0.25</v>
      </c>
    </row>
    <row r="2747" spans="1:5" x14ac:dyDescent="0.2">
      <c r="A2747" s="43">
        <v>41919</v>
      </c>
      <c r="D2747">
        <v>0.25</v>
      </c>
    </row>
    <row r="2748" spans="1:5" x14ac:dyDescent="0.2">
      <c r="A2748" s="43">
        <v>41920</v>
      </c>
      <c r="D2748">
        <v>0.25</v>
      </c>
    </row>
    <row r="2749" spans="1:5" x14ac:dyDescent="0.2">
      <c r="A2749" s="43">
        <v>41921</v>
      </c>
      <c r="D2749">
        <v>0.25</v>
      </c>
    </row>
    <row r="2750" spans="1:5" x14ac:dyDescent="0.2">
      <c r="A2750" s="43">
        <v>41922</v>
      </c>
      <c r="D2750">
        <v>0.25</v>
      </c>
    </row>
    <row r="2751" spans="1:5" x14ac:dyDescent="0.2">
      <c r="A2751" s="43">
        <v>41923</v>
      </c>
      <c r="D2751">
        <v>0.25</v>
      </c>
    </row>
    <row r="2752" spans="1:5" x14ac:dyDescent="0.2">
      <c r="A2752" s="43">
        <v>41924</v>
      </c>
      <c r="D2752">
        <v>0.25</v>
      </c>
    </row>
    <row r="2753" spans="1:4" x14ac:dyDescent="0.2">
      <c r="A2753" s="43">
        <v>41925</v>
      </c>
      <c r="D2753">
        <v>0.25</v>
      </c>
    </row>
    <row r="2754" spans="1:4" x14ac:dyDescent="0.2">
      <c r="A2754" s="43">
        <v>41926</v>
      </c>
      <c r="D2754">
        <v>0.25</v>
      </c>
    </row>
    <row r="2755" spans="1:4" x14ac:dyDescent="0.2">
      <c r="A2755" s="43">
        <v>41927</v>
      </c>
      <c r="D2755">
        <v>0.25</v>
      </c>
    </row>
    <row r="2756" spans="1:4" x14ac:dyDescent="0.2">
      <c r="A2756" s="43">
        <v>41928</v>
      </c>
      <c r="D2756">
        <v>0.25</v>
      </c>
    </row>
    <row r="2757" spans="1:4" x14ac:dyDescent="0.2">
      <c r="A2757" s="43">
        <v>41929</v>
      </c>
      <c r="D2757">
        <v>0.25</v>
      </c>
    </row>
    <row r="2758" spans="1:4" x14ac:dyDescent="0.2">
      <c r="A2758" s="43">
        <v>41930</v>
      </c>
      <c r="D2758">
        <v>0.25</v>
      </c>
    </row>
    <row r="2759" spans="1:4" x14ac:dyDescent="0.2">
      <c r="A2759" s="43">
        <v>41931</v>
      </c>
      <c r="D2759">
        <v>0.25</v>
      </c>
    </row>
    <row r="2760" spans="1:4" x14ac:dyDescent="0.2">
      <c r="A2760" s="43">
        <v>41932</v>
      </c>
      <c r="D2760">
        <v>0.25</v>
      </c>
    </row>
    <row r="2761" spans="1:4" x14ac:dyDescent="0.2">
      <c r="A2761" s="43">
        <v>41933</v>
      </c>
      <c r="D2761">
        <v>0.25</v>
      </c>
    </row>
    <row r="2762" spans="1:4" x14ac:dyDescent="0.2">
      <c r="A2762" s="43">
        <v>41934</v>
      </c>
      <c r="D2762">
        <v>0.25</v>
      </c>
    </row>
    <row r="2763" spans="1:4" x14ac:dyDescent="0.2">
      <c r="A2763" s="43">
        <v>41935</v>
      </c>
      <c r="D2763">
        <v>0.25</v>
      </c>
    </row>
    <row r="2764" spans="1:4" x14ac:dyDescent="0.2">
      <c r="A2764" s="43">
        <v>41936</v>
      </c>
      <c r="D2764">
        <v>0.25</v>
      </c>
    </row>
    <row r="2765" spans="1:4" x14ac:dyDescent="0.2">
      <c r="A2765" s="43">
        <v>41937</v>
      </c>
      <c r="D2765">
        <v>0.25</v>
      </c>
    </row>
    <row r="2766" spans="1:4" x14ac:dyDescent="0.2">
      <c r="A2766" s="43">
        <v>41938</v>
      </c>
      <c r="D2766">
        <v>0.25</v>
      </c>
    </row>
    <row r="2767" spans="1:4" x14ac:dyDescent="0.2">
      <c r="A2767" s="43">
        <v>41939</v>
      </c>
      <c r="D2767">
        <v>0.25</v>
      </c>
    </row>
    <row r="2768" spans="1:4" x14ac:dyDescent="0.2">
      <c r="A2768" s="43">
        <v>41940</v>
      </c>
      <c r="D2768">
        <v>0.25</v>
      </c>
    </row>
    <row r="2769" spans="1:5" x14ac:dyDescent="0.2">
      <c r="A2769" s="43">
        <v>41941</v>
      </c>
      <c r="D2769">
        <v>0.25</v>
      </c>
    </row>
    <row r="2770" spans="1:5" x14ac:dyDescent="0.2">
      <c r="A2770" s="43">
        <v>41942</v>
      </c>
      <c r="D2770">
        <v>0.25</v>
      </c>
    </row>
    <row r="2771" spans="1:5" x14ac:dyDescent="0.2">
      <c r="A2771" s="43">
        <v>41943</v>
      </c>
      <c r="D2771">
        <v>0.25</v>
      </c>
    </row>
    <row r="2772" spans="1:5" x14ac:dyDescent="0.2">
      <c r="A2772" s="43">
        <v>41944</v>
      </c>
      <c r="B2772">
        <v>103.098</v>
      </c>
      <c r="C2772">
        <v>103.74</v>
      </c>
      <c r="D2772">
        <v>0.25</v>
      </c>
      <c r="E2772">
        <v>239.458</v>
      </c>
    </row>
    <row r="2773" spans="1:5" x14ac:dyDescent="0.2">
      <c r="A2773" s="43">
        <v>41945</v>
      </c>
      <c r="D2773">
        <v>0.25</v>
      </c>
    </row>
    <row r="2774" spans="1:5" x14ac:dyDescent="0.2">
      <c r="A2774" s="43">
        <v>41946</v>
      </c>
      <c r="D2774">
        <v>0.25</v>
      </c>
    </row>
    <row r="2775" spans="1:5" x14ac:dyDescent="0.2">
      <c r="A2775" s="43">
        <v>41947</v>
      </c>
      <c r="D2775">
        <v>0.25</v>
      </c>
    </row>
    <row r="2776" spans="1:5" x14ac:dyDescent="0.2">
      <c r="A2776" s="43">
        <v>41948</v>
      </c>
      <c r="D2776">
        <v>0.25</v>
      </c>
    </row>
    <row r="2777" spans="1:5" x14ac:dyDescent="0.2">
      <c r="A2777" s="43">
        <v>41949</v>
      </c>
      <c r="D2777">
        <v>0.25</v>
      </c>
    </row>
    <row r="2778" spans="1:5" x14ac:dyDescent="0.2">
      <c r="A2778" s="43">
        <v>41950</v>
      </c>
      <c r="D2778">
        <v>0.25</v>
      </c>
    </row>
    <row r="2779" spans="1:5" x14ac:dyDescent="0.2">
      <c r="A2779" s="43">
        <v>41951</v>
      </c>
      <c r="D2779">
        <v>0.25</v>
      </c>
    </row>
    <row r="2780" spans="1:5" x14ac:dyDescent="0.2">
      <c r="A2780" s="43">
        <v>41952</v>
      </c>
      <c r="D2780">
        <v>0.25</v>
      </c>
    </row>
    <row r="2781" spans="1:5" x14ac:dyDescent="0.2">
      <c r="A2781" s="43">
        <v>41953</v>
      </c>
      <c r="D2781">
        <v>0.25</v>
      </c>
    </row>
    <row r="2782" spans="1:5" x14ac:dyDescent="0.2">
      <c r="A2782" s="43">
        <v>41954</v>
      </c>
      <c r="D2782">
        <v>0.25</v>
      </c>
    </row>
    <row r="2783" spans="1:5" x14ac:dyDescent="0.2">
      <c r="A2783" s="43">
        <v>41955</v>
      </c>
      <c r="D2783">
        <v>0.25</v>
      </c>
    </row>
    <row r="2784" spans="1:5" x14ac:dyDescent="0.2">
      <c r="A2784" s="43">
        <v>41956</v>
      </c>
      <c r="D2784">
        <v>0.25</v>
      </c>
    </row>
    <row r="2785" spans="1:4" x14ac:dyDescent="0.2">
      <c r="A2785" s="43">
        <v>41957</v>
      </c>
      <c r="D2785">
        <v>0.25</v>
      </c>
    </row>
    <row r="2786" spans="1:4" x14ac:dyDescent="0.2">
      <c r="A2786" s="43">
        <v>41958</v>
      </c>
      <c r="D2786">
        <v>0.25</v>
      </c>
    </row>
    <row r="2787" spans="1:4" x14ac:dyDescent="0.2">
      <c r="A2787" s="43">
        <v>41959</v>
      </c>
      <c r="D2787">
        <v>0.25</v>
      </c>
    </row>
    <row r="2788" spans="1:4" x14ac:dyDescent="0.2">
      <c r="A2788" s="43">
        <v>41960</v>
      </c>
      <c r="D2788">
        <v>0.25</v>
      </c>
    </row>
    <row r="2789" spans="1:4" x14ac:dyDescent="0.2">
      <c r="A2789" s="43">
        <v>41961</v>
      </c>
      <c r="D2789">
        <v>0.25</v>
      </c>
    </row>
    <row r="2790" spans="1:4" x14ac:dyDescent="0.2">
      <c r="A2790" s="43">
        <v>41962</v>
      </c>
      <c r="D2790">
        <v>0.25</v>
      </c>
    </row>
    <row r="2791" spans="1:4" x14ac:dyDescent="0.2">
      <c r="A2791" s="43">
        <v>41963</v>
      </c>
      <c r="D2791">
        <v>0.25</v>
      </c>
    </row>
    <row r="2792" spans="1:4" x14ac:dyDescent="0.2">
      <c r="A2792" s="43">
        <v>41964</v>
      </c>
      <c r="D2792">
        <v>0.25</v>
      </c>
    </row>
    <row r="2793" spans="1:4" x14ac:dyDescent="0.2">
      <c r="A2793" s="43">
        <v>41965</v>
      </c>
      <c r="D2793">
        <v>0.25</v>
      </c>
    </row>
    <row r="2794" spans="1:4" x14ac:dyDescent="0.2">
      <c r="A2794" s="43">
        <v>41966</v>
      </c>
      <c r="D2794">
        <v>0.25</v>
      </c>
    </row>
    <row r="2795" spans="1:4" x14ac:dyDescent="0.2">
      <c r="A2795" s="43">
        <v>41967</v>
      </c>
      <c r="D2795">
        <v>0.25</v>
      </c>
    </row>
    <row r="2796" spans="1:4" x14ac:dyDescent="0.2">
      <c r="A2796" s="43">
        <v>41968</v>
      </c>
      <c r="D2796">
        <v>0.25</v>
      </c>
    </row>
    <row r="2797" spans="1:4" x14ac:dyDescent="0.2">
      <c r="A2797" s="43">
        <v>41969</v>
      </c>
      <c r="D2797">
        <v>0.25</v>
      </c>
    </row>
    <row r="2798" spans="1:4" x14ac:dyDescent="0.2">
      <c r="A2798" s="43">
        <v>41970</v>
      </c>
      <c r="D2798">
        <v>0.25</v>
      </c>
    </row>
    <row r="2799" spans="1:4" x14ac:dyDescent="0.2">
      <c r="A2799" s="43">
        <v>41971</v>
      </c>
      <c r="D2799">
        <v>0.25</v>
      </c>
    </row>
    <row r="2800" spans="1:4" x14ac:dyDescent="0.2">
      <c r="A2800" s="43">
        <v>41972</v>
      </c>
      <c r="D2800">
        <v>0.25</v>
      </c>
    </row>
    <row r="2801" spans="1:5" x14ac:dyDescent="0.2">
      <c r="A2801" s="43">
        <v>41973</v>
      </c>
      <c r="D2801">
        <v>0.25</v>
      </c>
    </row>
    <row r="2802" spans="1:5" x14ac:dyDescent="0.2">
      <c r="A2802" s="43">
        <v>41974</v>
      </c>
      <c r="B2802">
        <v>102.94</v>
      </c>
      <c r="C2802">
        <v>103.837</v>
      </c>
      <c r="D2802">
        <v>0.25</v>
      </c>
      <c r="E2802">
        <v>239.584</v>
      </c>
    </row>
    <row r="2803" spans="1:5" x14ac:dyDescent="0.2">
      <c r="A2803" s="43">
        <v>41975</v>
      </c>
      <c r="D2803">
        <v>0.25</v>
      </c>
    </row>
    <row r="2804" spans="1:5" x14ac:dyDescent="0.2">
      <c r="A2804" s="43">
        <v>41976</v>
      </c>
      <c r="D2804">
        <v>0.25</v>
      </c>
    </row>
    <row r="2805" spans="1:5" x14ac:dyDescent="0.2">
      <c r="A2805" s="43">
        <v>41977</v>
      </c>
      <c r="D2805">
        <v>0.25</v>
      </c>
    </row>
    <row r="2806" spans="1:5" x14ac:dyDescent="0.2">
      <c r="A2806" s="43">
        <v>41978</v>
      </c>
      <c r="D2806">
        <v>0.25</v>
      </c>
    </row>
    <row r="2807" spans="1:5" x14ac:dyDescent="0.2">
      <c r="A2807" s="43">
        <v>41979</v>
      </c>
      <c r="D2807">
        <v>0.25</v>
      </c>
    </row>
    <row r="2808" spans="1:5" x14ac:dyDescent="0.2">
      <c r="A2808" s="43">
        <v>41980</v>
      </c>
      <c r="D2808">
        <v>0.25</v>
      </c>
    </row>
    <row r="2809" spans="1:5" x14ac:dyDescent="0.2">
      <c r="A2809" s="43">
        <v>41981</v>
      </c>
      <c r="D2809">
        <v>0.25</v>
      </c>
    </row>
    <row r="2810" spans="1:5" x14ac:dyDescent="0.2">
      <c r="A2810" s="43">
        <v>41982</v>
      </c>
      <c r="D2810">
        <v>0.25</v>
      </c>
    </row>
    <row r="2811" spans="1:5" x14ac:dyDescent="0.2">
      <c r="A2811" s="43">
        <v>41983</v>
      </c>
      <c r="D2811">
        <v>0.25</v>
      </c>
    </row>
    <row r="2812" spans="1:5" x14ac:dyDescent="0.2">
      <c r="A2812" s="43">
        <v>41984</v>
      </c>
      <c r="D2812">
        <v>0.25</v>
      </c>
    </row>
    <row r="2813" spans="1:5" x14ac:dyDescent="0.2">
      <c r="A2813" s="43">
        <v>41985</v>
      </c>
      <c r="D2813">
        <v>0.25</v>
      </c>
    </row>
    <row r="2814" spans="1:5" x14ac:dyDescent="0.2">
      <c r="A2814" s="43">
        <v>41986</v>
      </c>
      <c r="D2814">
        <v>0.25</v>
      </c>
    </row>
    <row r="2815" spans="1:5" x14ac:dyDescent="0.2">
      <c r="A2815" s="43">
        <v>41987</v>
      </c>
      <c r="D2815">
        <v>0.25</v>
      </c>
    </row>
    <row r="2816" spans="1:5" x14ac:dyDescent="0.2">
      <c r="A2816" s="43">
        <v>41988</v>
      </c>
      <c r="D2816">
        <v>0.25</v>
      </c>
    </row>
    <row r="2817" spans="1:4" x14ac:dyDescent="0.2">
      <c r="A2817" s="43">
        <v>41989</v>
      </c>
      <c r="D2817">
        <v>0.25</v>
      </c>
    </row>
    <row r="2818" spans="1:4" x14ac:dyDescent="0.2">
      <c r="A2818" s="43">
        <v>41990</v>
      </c>
      <c r="D2818">
        <v>0.25</v>
      </c>
    </row>
    <row r="2819" spans="1:4" x14ac:dyDescent="0.2">
      <c r="A2819" s="43">
        <v>41991</v>
      </c>
      <c r="D2819">
        <v>0.25</v>
      </c>
    </row>
    <row r="2820" spans="1:4" x14ac:dyDescent="0.2">
      <c r="A2820" s="43">
        <v>41992</v>
      </c>
      <c r="D2820">
        <v>0.25</v>
      </c>
    </row>
    <row r="2821" spans="1:4" x14ac:dyDescent="0.2">
      <c r="A2821" s="43">
        <v>41993</v>
      </c>
      <c r="D2821">
        <v>0.25</v>
      </c>
    </row>
    <row r="2822" spans="1:4" x14ac:dyDescent="0.2">
      <c r="A2822" s="43">
        <v>41994</v>
      </c>
      <c r="D2822">
        <v>0.25</v>
      </c>
    </row>
    <row r="2823" spans="1:4" x14ac:dyDescent="0.2">
      <c r="A2823" s="43">
        <v>41995</v>
      </c>
      <c r="D2823">
        <v>0.25</v>
      </c>
    </row>
    <row r="2824" spans="1:4" x14ac:dyDescent="0.2">
      <c r="A2824" s="43">
        <v>41996</v>
      </c>
      <c r="D2824">
        <v>0.25</v>
      </c>
    </row>
    <row r="2825" spans="1:4" x14ac:dyDescent="0.2">
      <c r="A2825" s="43">
        <v>41997</v>
      </c>
      <c r="D2825">
        <v>0.25</v>
      </c>
    </row>
    <row r="2826" spans="1:4" x14ac:dyDescent="0.2">
      <c r="A2826" s="43">
        <v>41998</v>
      </c>
      <c r="D2826">
        <v>0.25</v>
      </c>
    </row>
    <row r="2827" spans="1:4" x14ac:dyDescent="0.2">
      <c r="A2827" s="43">
        <v>41999</v>
      </c>
      <c r="D2827">
        <v>0.25</v>
      </c>
    </row>
    <row r="2828" spans="1:4" x14ac:dyDescent="0.2">
      <c r="A2828" s="43">
        <v>42000</v>
      </c>
      <c r="D2828">
        <v>0.25</v>
      </c>
    </row>
    <row r="2829" spans="1:4" x14ac:dyDescent="0.2">
      <c r="A2829" s="43">
        <v>42001</v>
      </c>
      <c r="D2829">
        <v>0.25</v>
      </c>
    </row>
    <row r="2830" spans="1:4" x14ac:dyDescent="0.2">
      <c r="A2830" s="43">
        <v>42002</v>
      </c>
      <c r="D2830">
        <v>0.25</v>
      </c>
    </row>
    <row r="2831" spans="1:4" x14ac:dyDescent="0.2">
      <c r="A2831" s="43">
        <v>42003</v>
      </c>
      <c r="D2831">
        <v>0.25</v>
      </c>
    </row>
    <row r="2832" spans="1:4" x14ac:dyDescent="0.2">
      <c r="A2832" s="43">
        <v>42004</v>
      </c>
      <c r="D2832">
        <v>0.25</v>
      </c>
    </row>
    <row r="2833" spans="1:5" x14ac:dyDescent="0.2">
      <c r="A2833" s="43">
        <v>42005</v>
      </c>
      <c r="B2833">
        <v>102.465</v>
      </c>
      <c r="C2833">
        <v>103.816</v>
      </c>
      <c r="D2833">
        <v>0.25</v>
      </c>
      <c r="E2833">
        <v>239.81100000000001</v>
      </c>
    </row>
    <row r="2834" spans="1:5" x14ac:dyDescent="0.2">
      <c r="A2834" s="43">
        <v>42006</v>
      </c>
      <c r="D2834">
        <v>0.25</v>
      </c>
    </row>
    <row r="2835" spans="1:5" x14ac:dyDescent="0.2">
      <c r="A2835" s="43">
        <v>42007</v>
      </c>
      <c r="D2835">
        <v>0.25</v>
      </c>
    </row>
    <row r="2836" spans="1:5" x14ac:dyDescent="0.2">
      <c r="A2836" s="43">
        <v>42008</v>
      </c>
      <c r="D2836">
        <v>0.25</v>
      </c>
    </row>
    <row r="2837" spans="1:5" x14ac:dyDescent="0.2">
      <c r="A2837" s="43">
        <v>42009</v>
      </c>
      <c r="D2837">
        <v>0.25</v>
      </c>
    </row>
    <row r="2838" spans="1:5" x14ac:dyDescent="0.2">
      <c r="A2838" s="43">
        <v>42010</v>
      </c>
      <c r="D2838">
        <v>0.25</v>
      </c>
    </row>
    <row r="2839" spans="1:5" x14ac:dyDescent="0.2">
      <c r="A2839" s="43">
        <v>42011</v>
      </c>
      <c r="D2839">
        <v>0.25</v>
      </c>
    </row>
    <row r="2840" spans="1:5" x14ac:dyDescent="0.2">
      <c r="A2840" s="43">
        <v>42012</v>
      </c>
      <c r="D2840">
        <v>0.25</v>
      </c>
    </row>
    <row r="2841" spans="1:5" x14ac:dyDescent="0.2">
      <c r="A2841" s="43">
        <v>42013</v>
      </c>
      <c r="D2841">
        <v>0.25</v>
      </c>
    </row>
    <row r="2842" spans="1:5" x14ac:dyDescent="0.2">
      <c r="A2842" s="43">
        <v>42014</v>
      </c>
      <c r="D2842">
        <v>0.25</v>
      </c>
    </row>
    <row r="2843" spans="1:5" x14ac:dyDescent="0.2">
      <c r="A2843" s="43">
        <v>42015</v>
      </c>
      <c r="D2843">
        <v>0.25</v>
      </c>
    </row>
    <row r="2844" spans="1:5" x14ac:dyDescent="0.2">
      <c r="A2844" s="43">
        <v>42016</v>
      </c>
      <c r="D2844">
        <v>0.25</v>
      </c>
    </row>
    <row r="2845" spans="1:5" x14ac:dyDescent="0.2">
      <c r="A2845" s="43">
        <v>42017</v>
      </c>
      <c r="D2845">
        <v>0.25</v>
      </c>
    </row>
    <row r="2846" spans="1:5" x14ac:dyDescent="0.2">
      <c r="A2846" s="43">
        <v>42018</v>
      </c>
      <c r="D2846">
        <v>0.25</v>
      </c>
    </row>
    <row r="2847" spans="1:5" x14ac:dyDescent="0.2">
      <c r="A2847" s="43">
        <v>42019</v>
      </c>
      <c r="D2847">
        <v>0.25</v>
      </c>
    </row>
    <row r="2848" spans="1:5" x14ac:dyDescent="0.2">
      <c r="A2848" s="43">
        <v>42020</v>
      </c>
      <c r="D2848">
        <v>0.25</v>
      </c>
    </row>
    <row r="2849" spans="1:5" x14ac:dyDescent="0.2">
      <c r="A2849" s="43">
        <v>42021</v>
      </c>
      <c r="D2849">
        <v>0.25</v>
      </c>
    </row>
    <row r="2850" spans="1:5" x14ac:dyDescent="0.2">
      <c r="A2850" s="43">
        <v>42022</v>
      </c>
      <c r="D2850">
        <v>0.25</v>
      </c>
    </row>
    <row r="2851" spans="1:5" x14ac:dyDescent="0.2">
      <c r="A2851" s="43">
        <v>42023</v>
      </c>
      <c r="D2851">
        <v>0.25</v>
      </c>
    </row>
    <row r="2852" spans="1:5" x14ac:dyDescent="0.2">
      <c r="A2852" s="43">
        <v>42024</v>
      </c>
      <c r="D2852">
        <v>0.25</v>
      </c>
    </row>
    <row r="2853" spans="1:5" x14ac:dyDescent="0.2">
      <c r="A2853" s="43">
        <v>42025</v>
      </c>
      <c r="D2853">
        <v>0.25</v>
      </c>
    </row>
    <row r="2854" spans="1:5" x14ac:dyDescent="0.2">
      <c r="A2854" s="43">
        <v>42026</v>
      </c>
      <c r="D2854">
        <v>0.25</v>
      </c>
    </row>
    <row r="2855" spans="1:5" x14ac:dyDescent="0.2">
      <c r="A2855" s="43">
        <v>42027</v>
      </c>
      <c r="D2855">
        <v>0.25</v>
      </c>
    </row>
    <row r="2856" spans="1:5" x14ac:dyDescent="0.2">
      <c r="A2856" s="43">
        <v>42028</v>
      </c>
      <c r="D2856">
        <v>0.25</v>
      </c>
    </row>
    <row r="2857" spans="1:5" x14ac:dyDescent="0.2">
      <c r="A2857" s="43">
        <v>42029</v>
      </c>
      <c r="D2857">
        <v>0.25</v>
      </c>
    </row>
    <row r="2858" spans="1:5" x14ac:dyDescent="0.2">
      <c r="A2858" s="43">
        <v>42030</v>
      </c>
      <c r="D2858">
        <v>0.25</v>
      </c>
    </row>
    <row r="2859" spans="1:5" x14ac:dyDescent="0.2">
      <c r="A2859" s="43">
        <v>42031</v>
      </c>
      <c r="D2859">
        <v>0.25</v>
      </c>
    </row>
    <row r="2860" spans="1:5" x14ac:dyDescent="0.2">
      <c r="A2860" s="43">
        <v>42032</v>
      </c>
      <c r="D2860">
        <v>0.25</v>
      </c>
    </row>
    <row r="2861" spans="1:5" x14ac:dyDescent="0.2">
      <c r="A2861" s="43">
        <v>42033</v>
      </c>
      <c r="D2861">
        <v>0.25</v>
      </c>
    </row>
    <row r="2862" spans="1:5" x14ac:dyDescent="0.2">
      <c r="A2862" s="43">
        <v>42034</v>
      </c>
      <c r="D2862">
        <v>0.25</v>
      </c>
    </row>
    <row r="2863" spans="1:5" x14ac:dyDescent="0.2">
      <c r="A2863" s="43">
        <v>42035</v>
      </c>
      <c r="D2863">
        <v>0.25</v>
      </c>
    </row>
    <row r="2864" spans="1:5" x14ac:dyDescent="0.2">
      <c r="A2864" s="43">
        <v>42036</v>
      </c>
      <c r="B2864">
        <v>102.634</v>
      </c>
      <c r="C2864">
        <v>103.92</v>
      </c>
      <c r="D2864">
        <v>0.25</v>
      </c>
      <c r="E2864">
        <v>240.172</v>
      </c>
    </row>
    <row r="2865" spans="1:4" x14ac:dyDescent="0.2">
      <c r="A2865" s="43">
        <v>42037</v>
      </c>
      <c r="D2865">
        <v>0.25</v>
      </c>
    </row>
    <row r="2866" spans="1:4" x14ac:dyDescent="0.2">
      <c r="A2866" s="43">
        <v>42038</v>
      </c>
      <c r="D2866">
        <v>0.25</v>
      </c>
    </row>
    <row r="2867" spans="1:4" x14ac:dyDescent="0.2">
      <c r="A2867" s="43">
        <v>42039</v>
      </c>
      <c r="D2867">
        <v>0.25</v>
      </c>
    </row>
    <row r="2868" spans="1:4" x14ac:dyDescent="0.2">
      <c r="A2868" s="43">
        <v>42040</v>
      </c>
      <c r="D2868">
        <v>0.25</v>
      </c>
    </row>
    <row r="2869" spans="1:4" x14ac:dyDescent="0.2">
      <c r="A2869" s="43">
        <v>42041</v>
      </c>
      <c r="D2869">
        <v>0.25</v>
      </c>
    </row>
    <row r="2870" spans="1:4" x14ac:dyDescent="0.2">
      <c r="A2870" s="43">
        <v>42042</v>
      </c>
      <c r="D2870">
        <v>0.25</v>
      </c>
    </row>
    <row r="2871" spans="1:4" x14ac:dyDescent="0.2">
      <c r="A2871" s="43">
        <v>42043</v>
      </c>
      <c r="D2871">
        <v>0.25</v>
      </c>
    </row>
    <row r="2872" spans="1:4" x14ac:dyDescent="0.2">
      <c r="A2872" s="43">
        <v>42044</v>
      </c>
      <c r="D2872">
        <v>0.25</v>
      </c>
    </row>
    <row r="2873" spans="1:4" x14ac:dyDescent="0.2">
      <c r="A2873" s="43">
        <v>42045</v>
      </c>
      <c r="D2873">
        <v>0.25</v>
      </c>
    </row>
    <row r="2874" spans="1:4" x14ac:dyDescent="0.2">
      <c r="A2874" s="43">
        <v>42046</v>
      </c>
      <c r="D2874">
        <v>0.25</v>
      </c>
    </row>
    <row r="2875" spans="1:4" x14ac:dyDescent="0.2">
      <c r="A2875" s="43">
        <v>42047</v>
      </c>
      <c r="D2875">
        <v>0.25</v>
      </c>
    </row>
    <row r="2876" spans="1:4" x14ac:dyDescent="0.2">
      <c r="A2876" s="43">
        <v>42048</v>
      </c>
      <c r="D2876">
        <v>0.25</v>
      </c>
    </row>
    <row r="2877" spans="1:4" x14ac:dyDescent="0.2">
      <c r="A2877" s="43">
        <v>42049</v>
      </c>
      <c r="D2877">
        <v>0.25</v>
      </c>
    </row>
    <row r="2878" spans="1:4" x14ac:dyDescent="0.2">
      <c r="A2878" s="43">
        <v>42050</v>
      </c>
      <c r="D2878">
        <v>0.25</v>
      </c>
    </row>
    <row r="2879" spans="1:4" x14ac:dyDescent="0.2">
      <c r="A2879" s="43">
        <v>42051</v>
      </c>
      <c r="D2879">
        <v>0.25</v>
      </c>
    </row>
    <row r="2880" spans="1:4" x14ac:dyDescent="0.2">
      <c r="A2880" s="43">
        <v>42052</v>
      </c>
      <c r="D2880">
        <v>0.25</v>
      </c>
    </row>
    <row r="2881" spans="1:5" x14ac:dyDescent="0.2">
      <c r="A2881" s="43">
        <v>42053</v>
      </c>
      <c r="D2881">
        <v>0.25</v>
      </c>
    </row>
    <row r="2882" spans="1:5" x14ac:dyDescent="0.2">
      <c r="A2882" s="43">
        <v>42054</v>
      </c>
      <c r="D2882">
        <v>0.25</v>
      </c>
    </row>
    <row r="2883" spans="1:5" x14ac:dyDescent="0.2">
      <c r="A2883" s="43">
        <v>42055</v>
      </c>
      <c r="D2883">
        <v>0.25</v>
      </c>
    </row>
    <row r="2884" spans="1:5" x14ac:dyDescent="0.2">
      <c r="A2884" s="43">
        <v>42056</v>
      </c>
      <c r="D2884">
        <v>0.25</v>
      </c>
    </row>
    <row r="2885" spans="1:5" x14ac:dyDescent="0.2">
      <c r="A2885" s="43">
        <v>42057</v>
      </c>
      <c r="D2885">
        <v>0.25</v>
      </c>
    </row>
    <row r="2886" spans="1:5" x14ac:dyDescent="0.2">
      <c r="A2886" s="43">
        <v>42058</v>
      </c>
      <c r="D2886">
        <v>0.25</v>
      </c>
    </row>
    <row r="2887" spans="1:5" x14ac:dyDescent="0.2">
      <c r="A2887" s="43">
        <v>42059</v>
      </c>
      <c r="D2887">
        <v>0.25</v>
      </c>
    </row>
    <row r="2888" spans="1:5" x14ac:dyDescent="0.2">
      <c r="A2888" s="43">
        <v>42060</v>
      </c>
      <c r="D2888">
        <v>0.25</v>
      </c>
    </row>
    <row r="2889" spans="1:5" x14ac:dyDescent="0.2">
      <c r="A2889" s="43">
        <v>42061</v>
      </c>
      <c r="D2889">
        <v>0.25</v>
      </c>
    </row>
    <row r="2890" spans="1:5" x14ac:dyDescent="0.2">
      <c r="A2890" s="43">
        <v>42062</v>
      </c>
      <c r="D2890">
        <v>0.25</v>
      </c>
    </row>
    <row r="2891" spans="1:5" x14ac:dyDescent="0.2">
      <c r="A2891" s="43">
        <v>42063</v>
      </c>
      <c r="D2891">
        <v>0.25</v>
      </c>
    </row>
    <row r="2892" spans="1:5" x14ac:dyDescent="0.2">
      <c r="A2892" s="43">
        <v>42064</v>
      </c>
      <c r="B2892">
        <v>102.831</v>
      </c>
      <c r="C2892">
        <v>104.08</v>
      </c>
      <c r="D2892">
        <v>0.25</v>
      </c>
      <c r="E2892">
        <v>240.755</v>
      </c>
    </row>
    <row r="2893" spans="1:5" x14ac:dyDescent="0.2">
      <c r="A2893" s="43">
        <v>42065</v>
      </c>
      <c r="D2893">
        <v>0.25</v>
      </c>
    </row>
    <row r="2894" spans="1:5" x14ac:dyDescent="0.2">
      <c r="A2894" s="43">
        <v>42066</v>
      </c>
      <c r="D2894">
        <v>0.25</v>
      </c>
    </row>
    <row r="2895" spans="1:5" x14ac:dyDescent="0.2">
      <c r="A2895" s="43">
        <v>42067</v>
      </c>
      <c r="D2895">
        <v>0.25</v>
      </c>
    </row>
    <row r="2896" spans="1:5" x14ac:dyDescent="0.2">
      <c r="A2896" s="43">
        <v>42068</v>
      </c>
      <c r="D2896">
        <v>0.25</v>
      </c>
    </row>
    <row r="2897" spans="1:4" x14ac:dyDescent="0.2">
      <c r="A2897" s="43">
        <v>42069</v>
      </c>
      <c r="D2897">
        <v>0.25</v>
      </c>
    </row>
    <row r="2898" spans="1:4" x14ac:dyDescent="0.2">
      <c r="A2898" s="43">
        <v>42070</v>
      </c>
      <c r="D2898">
        <v>0.25</v>
      </c>
    </row>
    <row r="2899" spans="1:4" x14ac:dyDescent="0.2">
      <c r="A2899" s="43">
        <v>42071</v>
      </c>
      <c r="D2899">
        <v>0.25</v>
      </c>
    </row>
    <row r="2900" spans="1:4" x14ac:dyDescent="0.2">
      <c r="A2900" s="43">
        <v>42072</v>
      </c>
      <c r="D2900">
        <v>0.25</v>
      </c>
    </row>
    <row r="2901" spans="1:4" x14ac:dyDescent="0.2">
      <c r="A2901" s="43">
        <v>42073</v>
      </c>
      <c r="D2901">
        <v>0.25</v>
      </c>
    </row>
    <row r="2902" spans="1:4" x14ac:dyDescent="0.2">
      <c r="A2902" s="43">
        <v>42074</v>
      </c>
      <c r="D2902">
        <v>0.25</v>
      </c>
    </row>
    <row r="2903" spans="1:4" x14ac:dyDescent="0.2">
      <c r="A2903" s="43">
        <v>42075</v>
      </c>
      <c r="D2903">
        <v>0.25</v>
      </c>
    </row>
    <row r="2904" spans="1:4" x14ac:dyDescent="0.2">
      <c r="A2904" s="43">
        <v>42076</v>
      </c>
      <c r="D2904">
        <v>0.25</v>
      </c>
    </row>
    <row r="2905" spans="1:4" x14ac:dyDescent="0.2">
      <c r="A2905" s="43">
        <v>42077</v>
      </c>
      <c r="D2905">
        <v>0.25</v>
      </c>
    </row>
    <row r="2906" spans="1:4" x14ac:dyDescent="0.2">
      <c r="A2906" s="43">
        <v>42078</v>
      </c>
      <c r="D2906">
        <v>0.25</v>
      </c>
    </row>
    <row r="2907" spans="1:4" x14ac:dyDescent="0.2">
      <c r="A2907" s="43">
        <v>42079</v>
      </c>
      <c r="D2907">
        <v>0.25</v>
      </c>
    </row>
    <row r="2908" spans="1:4" x14ac:dyDescent="0.2">
      <c r="A2908" s="43">
        <v>42080</v>
      </c>
      <c r="D2908">
        <v>0.25</v>
      </c>
    </row>
    <row r="2909" spans="1:4" x14ac:dyDescent="0.2">
      <c r="A2909" s="43">
        <v>42081</v>
      </c>
      <c r="D2909">
        <v>0.25</v>
      </c>
    </row>
    <row r="2910" spans="1:4" x14ac:dyDescent="0.2">
      <c r="A2910" s="43">
        <v>42082</v>
      </c>
      <c r="D2910">
        <v>0.25</v>
      </c>
    </row>
    <row r="2911" spans="1:4" x14ac:dyDescent="0.2">
      <c r="A2911" s="43">
        <v>42083</v>
      </c>
      <c r="D2911">
        <v>0.25</v>
      </c>
    </row>
    <row r="2912" spans="1:4" x14ac:dyDescent="0.2">
      <c r="A2912" s="43">
        <v>42084</v>
      </c>
      <c r="D2912">
        <v>0.25</v>
      </c>
    </row>
    <row r="2913" spans="1:5" x14ac:dyDescent="0.2">
      <c r="A2913" s="43">
        <v>42085</v>
      </c>
      <c r="D2913">
        <v>0.25</v>
      </c>
    </row>
    <row r="2914" spans="1:5" x14ac:dyDescent="0.2">
      <c r="A2914" s="43">
        <v>42086</v>
      </c>
      <c r="D2914">
        <v>0.25</v>
      </c>
    </row>
    <row r="2915" spans="1:5" x14ac:dyDescent="0.2">
      <c r="A2915" s="43">
        <v>42087</v>
      </c>
      <c r="D2915">
        <v>0.25</v>
      </c>
    </row>
    <row r="2916" spans="1:5" x14ac:dyDescent="0.2">
      <c r="A2916" s="43">
        <v>42088</v>
      </c>
      <c r="D2916">
        <v>0.25</v>
      </c>
    </row>
    <row r="2917" spans="1:5" x14ac:dyDescent="0.2">
      <c r="A2917" s="43">
        <v>42089</v>
      </c>
      <c r="D2917">
        <v>0.25</v>
      </c>
    </row>
    <row r="2918" spans="1:5" x14ac:dyDescent="0.2">
      <c r="A2918" s="43">
        <v>42090</v>
      </c>
      <c r="D2918">
        <v>0.25</v>
      </c>
    </row>
    <row r="2919" spans="1:5" x14ac:dyDescent="0.2">
      <c r="A2919" s="43">
        <v>42091</v>
      </c>
      <c r="D2919">
        <v>0.25</v>
      </c>
    </row>
    <row r="2920" spans="1:5" x14ac:dyDescent="0.2">
      <c r="A2920" s="43">
        <v>42092</v>
      </c>
      <c r="D2920">
        <v>0.25</v>
      </c>
    </row>
    <row r="2921" spans="1:5" x14ac:dyDescent="0.2">
      <c r="A2921" s="43">
        <v>42093</v>
      </c>
      <c r="D2921">
        <v>0.25</v>
      </c>
    </row>
    <row r="2922" spans="1:5" x14ac:dyDescent="0.2">
      <c r="A2922" s="43">
        <v>42094</v>
      </c>
      <c r="D2922">
        <v>0.25</v>
      </c>
    </row>
    <row r="2923" spans="1:5" x14ac:dyDescent="0.2">
      <c r="A2923" s="43">
        <v>42095</v>
      </c>
      <c r="B2923">
        <v>102.91</v>
      </c>
      <c r="C2923">
        <v>104.256</v>
      </c>
      <c r="D2923">
        <v>0.25</v>
      </c>
      <c r="E2923">
        <v>241.346</v>
      </c>
    </row>
    <row r="2924" spans="1:5" x14ac:dyDescent="0.2">
      <c r="A2924" s="43">
        <v>42096</v>
      </c>
      <c r="D2924">
        <v>0.25</v>
      </c>
    </row>
    <row r="2925" spans="1:5" x14ac:dyDescent="0.2">
      <c r="A2925" s="43">
        <v>42097</v>
      </c>
      <c r="D2925">
        <v>0.25</v>
      </c>
    </row>
    <row r="2926" spans="1:5" x14ac:dyDescent="0.2">
      <c r="A2926" s="43">
        <v>42098</v>
      </c>
      <c r="D2926">
        <v>0.25</v>
      </c>
    </row>
    <row r="2927" spans="1:5" x14ac:dyDescent="0.2">
      <c r="A2927" s="43">
        <v>42099</v>
      </c>
      <c r="D2927">
        <v>0.25</v>
      </c>
    </row>
    <row r="2928" spans="1:5" x14ac:dyDescent="0.2">
      <c r="A2928" s="43">
        <v>42100</v>
      </c>
      <c r="D2928">
        <v>0.25</v>
      </c>
    </row>
    <row r="2929" spans="1:4" x14ac:dyDescent="0.2">
      <c r="A2929" s="43">
        <v>42101</v>
      </c>
      <c r="D2929">
        <v>0.25</v>
      </c>
    </row>
    <row r="2930" spans="1:4" x14ac:dyDescent="0.2">
      <c r="A2930" s="43">
        <v>42102</v>
      </c>
      <c r="D2930">
        <v>0.25</v>
      </c>
    </row>
    <row r="2931" spans="1:4" x14ac:dyDescent="0.2">
      <c r="A2931" s="43">
        <v>42103</v>
      </c>
      <c r="D2931">
        <v>0.25</v>
      </c>
    </row>
    <row r="2932" spans="1:4" x14ac:dyDescent="0.2">
      <c r="A2932" s="43">
        <v>42104</v>
      </c>
      <c r="D2932">
        <v>0.25</v>
      </c>
    </row>
    <row r="2933" spans="1:4" x14ac:dyDescent="0.2">
      <c r="A2933" s="43">
        <v>42105</v>
      </c>
      <c r="D2933">
        <v>0.25</v>
      </c>
    </row>
    <row r="2934" spans="1:4" x14ac:dyDescent="0.2">
      <c r="A2934" s="43">
        <v>42106</v>
      </c>
      <c r="D2934">
        <v>0.25</v>
      </c>
    </row>
    <row r="2935" spans="1:4" x14ac:dyDescent="0.2">
      <c r="A2935" s="43">
        <v>42107</v>
      </c>
      <c r="D2935">
        <v>0.25</v>
      </c>
    </row>
    <row r="2936" spans="1:4" x14ac:dyDescent="0.2">
      <c r="A2936" s="43">
        <v>42108</v>
      </c>
      <c r="D2936">
        <v>0.25</v>
      </c>
    </row>
    <row r="2937" spans="1:4" x14ac:dyDescent="0.2">
      <c r="A2937" s="43">
        <v>42109</v>
      </c>
      <c r="D2937">
        <v>0.25</v>
      </c>
    </row>
    <row r="2938" spans="1:4" x14ac:dyDescent="0.2">
      <c r="A2938" s="43">
        <v>42110</v>
      </c>
      <c r="D2938">
        <v>0.25</v>
      </c>
    </row>
    <row r="2939" spans="1:4" x14ac:dyDescent="0.2">
      <c r="A2939" s="43">
        <v>42111</v>
      </c>
      <c r="D2939">
        <v>0.25</v>
      </c>
    </row>
    <row r="2940" spans="1:4" x14ac:dyDescent="0.2">
      <c r="A2940" s="43">
        <v>42112</v>
      </c>
      <c r="D2940">
        <v>0.25</v>
      </c>
    </row>
    <row r="2941" spans="1:4" x14ac:dyDescent="0.2">
      <c r="A2941" s="43">
        <v>42113</v>
      </c>
      <c r="D2941">
        <v>0.25</v>
      </c>
    </row>
    <row r="2942" spans="1:4" x14ac:dyDescent="0.2">
      <c r="A2942" s="43">
        <v>42114</v>
      </c>
      <c r="D2942">
        <v>0.25</v>
      </c>
    </row>
    <row r="2943" spans="1:4" x14ac:dyDescent="0.2">
      <c r="A2943" s="43">
        <v>42115</v>
      </c>
      <c r="D2943">
        <v>0.25</v>
      </c>
    </row>
    <row r="2944" spans="1:4" x14ac:dyDescent="0.2">
      <c r="A2944" s="43">
        <v>42116</v>
      </c>
      <c r="D2944">
        <v>0.25</v>
      </c>
    </row>
    <row r="2945" spans="1:5" x14ac:dyDescent="0.2">
      <c r="A2945" s="43">
        <v>42117</v>
      </c>
      <c r="D2945">
        <v>0.25</v>
      </c>
    </row>
    <row r="2946" spans="1:5" x14ac:dyDescent="0.2">
      <c r="A2946" s="43">
        <v>42118</v>
      </c>
      <c r="D2946">
        <v>0.25</v>
      </c>
    </row>
    <row r="2947" spans="1:5" x14ac:dyDescent="0.2">
      <c r="A2947" s="43">
        <v>42119</v>
      </c>
      <c r="D2947">
        <v>0.25</v>
      </c>
    </row>
    <row r="2948" spans="1:5" x14ac:dyDescent="0.2">
      <c r="A2948" s="43">
        <v>42120</v>
      </c>
      <c r="D2948">
        <v>0.25</v>
      </c>
    </row>
    <row r="2949" spans="1:5" x14ac:dyDescent="0.2">
      <c r="A2949" s="43">
        <v>42121</v>
      </c>
      <c r="D2949">
        <v>0.25</v>
      </c>
    </row>
    <row r="2950" spans="1:5" x14ac:dyDescent="0.2">
      <c r="A2950" s="43">
        <v>42122</v>
      </c>
      <c r="D2950">
        <v>0.25</v>
      </c>
    </row>
    <row r="2951" spans="1:5" x14ac:dyDescent="0.2">
      <c r="A2951" s="43">
        <v>42123</v>
      </c>
      <c r="D2951">
        <v>0.25</v>
      </c>
    </row>
    <row r="2952" spans="1:5" x14ac:dyDescent="0.2">
      <c r="A2952" s="43">
        <v>42124</v>
      </c>
      <c r="D2952">
        <v>0.25</v>
      </c>
    </row>
    <row r="2953" spans="1:5" x14ac:dyDescent="0.2">
      <c r="A2953" s="43">
        <v>42125</v>
      </c>
      <c r="B2953">
        <v>103.15600000000001</v>
      </c>
      <c r="C2953">
        <v>104.38500000000001</v>
      </c>
      <c r="D2953">
        <v>0.25</v>
      </c>
      <c r="E2953">
        <v>241.68799999999999</v>
      </c>
    </row>
    <row r="2954" spans="1:5" x14ac:dyDescent="0.2">
      <c r="A2954" s="43">
        <v>42126</v>
      </c>
      <c r="D2954">
        <v>0.25</v>
      </c>
    </row>
    <row r="2955" spans="1:5" x14ac:dyDescent="0.2">
      <c r="A2955" s="43">
        <v>42127</v>
      </c>
      <c r="D2955">
        <v>0.25</v>
      </c>
    </row>
    <row r="2956" spans="1:5" x14ac:dyDescent="0.2">
      <c r="A2956" s="43">
        <v>42128</v>
      </c>
      <c r="D2956">
        <v>0.25</v>
      </c>
    </row>
    <row r="2957" spans="1:5" x14ac:dyDescent="0.2">
      <c r="A2957" s="43">
        <v>42129</v>
      </c>
      <c r="D2957">
        <v>0.25</v>
      </c>
    </row>
    <row r="2958" spans="1:5" x14ac:dyDescent="0.2">
      <c r="A2958" s="43">
        <v>42130</v>
      </c>
      <c r="D2958">
        <v>0.25</v>
      </c>
    </row>
    <row r="2959" spans="1:5" x14ac:dyDescent="0.2">
      <c r="A2959" s="43">
        <v>42131</v>
      </c>
      <c r="D2959">
        <v>0.25</v>
      </c>
    </row>
    <row r="2960" spans="1:5" x14ac:dyDescent="0.2">
      <c r="A2960" s="43">
        <v>42132</v>
      </c>
      <c r="D2960">
        <v>0.25</v>
      </c>
    </row>
    <row r="2961" spans="1:4" x14ac:dyDescent="0.2">
      <c r="A2961" s="43">
        <v>42133</v>
      </c>
      <c r="D2961">
        <v>0.25</v>
      </c>
    </row>
    <row r="2962" spans="1:4" x14ac:dyDescent="0.2">
      <c r="A2962" s="43">
        <v>42134</v>
      </c>
      <c r="D2962">
        <v>0.25</v>
      </c>
    </row>
    <row r="2963" spans="1:4" x14ac:dyDescent="0.2">
      <c r="A2963" s="43">
        <v>42135</v>
      </c>
      <c r="D2963">
        <v>0.25</v>
      </c>
    </row>
    <row r="2964" spans="1:4" x14ac:dyDescent="0.2">
      <c r="A2964" s="43">
        <v>42136</v>
      </c>
      <c r="D2964">
        <v>0.25</v>
      </c>
    </row>
    <row r="2965" spans="1:4" x14ac:dyDescent="0.2">
      <c r="A2965" s="43">
        <v>42137</v>
      </c>
      <c r="D2965">
        <v>0.25</v>
      </c>
    </row>
    <row r="2966" spans="1:4" x14ac:dyDescent="0.2">
      <c r="A2966" s="43">
        <v>42138</v>
      </c>
      <c r="D2966">
        <v>0.25</v>
      </c>
    </row>
    <row r="2967" spans="1:4" x14ac:dyDescent="0.2">
      <c r="A2967" s="43">
        <v>42139</v>
      </c>
      <c r="D2967">
        <v>0.25</v>
      </c>
    </row>
    <row r="2968" spans="1:4" x14ac:dyDescent="0.2">
      <c r="A2968" s="43">
        <v>42140</v>
      </c>
      <c r="D2968">
        <v>0.25</v>
      </c>
    </row>
    <row r="2969" spans="1:4" x14ac:dyDescent="0.2">
      <c r="A2969" s="43">
        <v>42141</v>
      </c>
      <c r="D2969">
        <v>0.25</v>
      </c>
    </row>
    <row r="2970" spans="1:4" x14ac:dyDescent="0.2">
      <c r="A2970" s="43">
        <v>42142</v>
      </c>
      <c r="D2970">
        <v>0.25</v>
      </c>
    </row>
    <row r="2971" spans="1:4" x14ac:dyDescent="0.2">
      <c r="A2971" s="43">
        <v>42143</v>
      </c>
      <c r="D2971">
        <v>0.25</v>
      </c>
    </row>
    <row r="2972" spans="1:4" x14ac:dyDescent="0.2">
      <c r="A2972" s="43">
        <v>42144</v>
      </c>
      <c r="D2972">
        <v>0.25</v>
      </c>
    </row>
    <row r="2973" spans="1:4" x14ac:dyDescent="0.2">
      <c r="A2973" s="43">
        <v>42145</v>
      </c>
      <c r="D2973">
        <v>0.25</v>
      </c>
    </row>
    <row r="2974" spans="1:4" x14ac:dyDescent="0.2">
      <c r="A2974" s="43">
        <v>42146</v>
      </c>
      <c r="D2974">
        <v>0.25</v>
      </c>
    </row>
    <row r="2975" spans="1:4" x14ac:dyDescent="0.2">
      <c r="A2975" s="43">
        <v>42147</v>
      </c>
      <c r="D2975">
        <v>0.25</v>
      </c>
    </row>
    <row r="2976" spans="1:4" x14ac:dyDescent="0.2">
      <c r="A2976" s="43">
        <v>42148</v>
      </c>
      <c r="D2976">
        <v>0.25</v>
      </c>
    </row>
    <row r="2977" spans="1:5" x14ac:dyDescent="0.2">
      <c r="A2977" s="43">
        <v>42149</v>
      </c>
      <c r="D2977">
        <v>0.25</v>
      </c>
    </row>
    <row r="2978" spans="1:5" x14ac:dyDescent="0.2">
      <c r="A2978" s="43">
        <v>42150</v>
      </c>
      <c r="D2978">
        <v>0.25</v>
      </c>
    </row>
    <row r="2979" spans="1:5" x14ac:dyDescent="0.2">
      <c r="A2979" s="43">
        <v>42151</v>
      </c>
      <c r="D2979">
        <v>0.25</v>
      </c>
    </row>
    <row r="2980" spans="1:5" x14ac:dyDescent="0.2">
      <c r="A2980" s="43">
        <v>42152</v>
      </c>
      <c r="D2980">
        <v>0.25</v>
      </c>
    </row>
    <row r="2981" spans="1:5" x14ac:dyDescent="0.2">
      <c r="A2981" s="43">
        <v>42153</v>
      </c>
      <c r="D2981">
        <v>0.25</v>
      </c>
    </row>
    <row r="2982" spans="1:5" x14ac:dyDescent="0.2">
      <c r="A2982" s="43">
        <v>42154</v>
      </c>
      <c r="D2982">
        <v>0.25</v>
      </c>
    </row>
    <row r="2983" spans="1:5" x14ac:dyDescent="0.2">
      <c r="A2983" s="43">
        <v>42155</v>
      </c>
      <c r="D2983">
        <v>0.25</v>
      </c>
    </row>
    <row r="2984" spans="1:5" x14ac:dyDescent="0.2">
      <c r="A2984" s="43">
        <v>42156</v>
      </c>
      <c r="B2984">
        <v>103.35599999999999</v>
      </c>
      <c r="C2984">
        <v>104.511</v>
      </c>
      <c r="D2984">
        <v>0.25</v>
      </c>
      <c r="E2984">
        <v>242.06399999999999</v>
      </c>
    </row>
    <row r="2985" spans="1:5" x14ac:dyDescent="0.2">
      <c r="A2985" s="43">
        <v>42157</v>
      </c>
      <c r="D2985">
        <v>0.25</v>
      </c>
    </row>
    <row r="2986" spans="1:5" x14ac:dyDescent="0.2">
      <c r="A2986" s="43">
        <v>42158</v>
      </c>
      <c r="D2986">
        <v>0.25</v>
      </c>
    </row>
    <row r="2987" spans="1:5" x14ac:dyDescent="0.2">
      <c r="A2987" s="43">
        <v>42159</v>
      </c>
      <c r="D2987">
        <v>0.25</v>
      </c>
    </row>
    <row r="2988" spans="1:5" x14ac:dyDescent="0.2">
      <c r="A2988" s="43">
        <v>42160</v>
      </c>
      <c r="D2988">
        <v>0.25</v>
      </c>
    </row>
    <row r="2989" spans="1:5" x14ac:dyDescent="0.2">
      <c r="A2989" s="43">
        <v>42161</v>
      </c>
      <c r="D2989">
        <v>0.25</v>
      </c>
    </row>
    <row r="2990" spans="1:5" x14ac:dyDescent="0.2">
      <c r="A2990" s="43">
        <v>42162</v>
      </c>
      <c r="D2990">
        <v>0.25</v>
      </c>
    </row>
    <row r="2991" spans="1:5" x14ac:dyDescent="0.2">
      <c r="A2991" s="43">
        <v>42163</v>
      </c>
      <c r="D2991">
        <v>0.25</v>
      </c>
    </row>
    <row r="2992" spans="1:5" x14ac:dyDescent="0.2">
      <c r="A2992" s="43">
        <v>42164</v>
      </c>
      <c r="D2992">
        <v>0.25</v>
      </c>
    </row>
    <row r="2993" spans="1:4" x14ac:dyDescent="0.2">
      <c r="A2993" s="43">
        <v>42165</v>
      </c>
      <c r="D2993">
        <v>0.25</v>
      </c>
    </row>
    <row r="2994" spans="1:4" x14ac:dyDescent="0.2">
      <c r="A2994" s="43">
        <v>42166</v>
      </c>
      <c r="D2994">
        <v>0.25</v>
      </c>
    </row>
    <row r="2995" spans="1:4" x14ac:dyDescent="0.2">
      <c r="A2995" s="43">
        <v>42167</v>
      </c>
      <c r="D2995">
        <v>0.25</v>
      </c>
    </row>
    <row r="2996" spans="1:4" x14ac:dyDescent="0.2">
      <c r="A2996" s="43">
        <v>42168</v>
      </c>
      <c r="D2996">
        <v>0.25</v>
      </c>
    </row>
    <row r="2997" spans="1:4" x14ac:dyDescent="0.2">
      <c r="A2997" s="43">
        <v>42169</v>
      </c>
      <c r="D2997">
        <v>0.25</v>
      </c>
    </row>
    <row r="2998" spans="1:4" x14ac:dyDescent="0.2">
      <c r="A2998" s="43">
        <v>42170</v>
      </c>
      <c r="D2998">
        <v>0.25</v>
      </c>
    </row>
    <row r="2999" spans="1:4" x14ac:dyDescent="0.2">
      <c r="A2999" s="43">
        <v>42171</v>
      </c>
      <c r="D2999">
        <v>0.25</v>
      </c>
    </row>
    <row r="3000" spans="1:4" x14ac:dyDescent="0.2">
      <c r="A3000" s="43">
        <v>42172</v>
      </c>
      <c r="D3000">
        <v>0.25</v>
      </c>
    </row>
    <row r="3001" spans="1:4" x14ac:dyDescent="0.2">
      <c r="A3001" s="43">
        <v>42173</v>
      </c>
      <c r="D3001">
        <v>0.25</v>
      </c>
    </row>
    <row r="3002" spans="1:4" x14ac:dyDescent="0.2">
      <c r="A3002" s="43">
        <v>42174</v>
      </c>
      <c r="D3002">
        <v>0.25</v>
      </c>
    </row>
    <row r="3003" spans="1:4" x14ac:dyDescent="0.2">
      <c r="A3003" s="43">
        <v>42175</v>
      </c>
      <c r="D3003">
        <v>0.25</v>
      </c>
    </row>
    <row r="3004" spans="1:4" x14ac:dyDescent="0.2">
      <c r="A3004" s="43">
        <v>42176</v>
      </c>
      <c r="D3004">
        <v>0.25</v>
      </c>
    </row>
    <row r="3005" spans="1:4" x14ac:dyDescent="0.2">
      <c r="A3005" s="43">
        <v>42177</v>
      </c>
      <c r="D3005">
        <v>0.25</v>
      </c>
    </row>
    <row r="3006" spans="1:4" x14ac:dyDescent="0.2">
      <c r="A3006" s="43">
        <v>42178</v>
      </c>
      <c r="D3006">
        <v>0.25</v>
      </c>
    </row>
    <row r="3007" spans="1:4" x14ac:dyDescent="0.2">
      <c r="A3007" s="43">
        <v>42179</v>
      </c>
      <c r="D3007">
        <v>0.25</v>
      </c>
    </row>
    <row r="3008" spans="1:4" x14ac:dyDescent="0.2">
      <c r="A3008" s="43">
        <v>42180</v>
      </c>
      <c r="D3008">
        <v>0.25</v>
      </c>
    </row>
    <row r="3009" spans="1:5" x14ac:dyDescent="0.2">
      <c r="A3009" s="43">
        <v>42181</v>
      </c>
      <c r="D3009">
        <v>0.25</v>
      </c>
    </row>
    <row r="3010" spans="1:5" x14ac:dyDescent="0.2">
      <c r="A3010" s="43">
        <v>42182</v>
      </c>
      <c r="D3010">
        <v>0.25</v>
      </c>
    </row>
    <row r="3011" spans="1:5" x14ac:dyDescent="0.2">
      <c r="A3011" s="43">
        <v>42183</v>
      </c>
      <c r="D3011">
        <v>0.25</v>
      </c>
    </row>
    <row r="3012" spans="1:5" x14ac:dyDescent="0.2">
      <c r="A3012" s="43">
        <v>42184</v>
      </c>
      <c r="D3012">
        <v>0.25</v>
      </c>
    </row>
    <row r="3013" spans="1:5" x14ac:dyDescent="0.2">
      <c r="A3013" s="43">
        <v>42185</v>
      </c>
      <c r="D3013">
        <v>0.25</v>
      </c>
    </row>
    <row r="3014" spans="1:5" x14ac:dyDescent="0.2">
      <c r="A3014" s="43">
        <v>42186</v>
      </c>
      <c r="B3014">
        <v>103.441</v>
      </c>
      <c r="C3014">
        <v>104.60299999999999</v>
      </c>
      <c r="D3014">
        <v>0.25</v>
      </c>
      <c r="E3014">
        <v>242.565</v>
      </c>
    </row>
    <row r="3015" spans="1:5" x14ac:dyDescent="0.2">
      <c r="A3015" s="43">
        <v>42187</v>
      </c>
      <c r="D3015">
        <v>0.25</v>
      </c>
    </row>
    <row r="3016" spans="1:5" x14ac:dyDescent="0.2">
      <c r="A3016" s="43">
        <v>42188</v>
      </c>
      <c r="D3016">
        <v>0.25</v>
      </c>
    </row>
    <row r="3017" spans="1:5" x14ac:dyDescent="0.2">
      <c r="A3017" s="43">
        <v>42189</v>
      </c>
      <c r="D3017">
        <v>0.25</v>
      </c>
    </row>
    <row r="3018" spans="1:5" x14ac:dyDescent="0.2">
      <c r="A3018" s="43">
        <v>42190</v>
      </c>
      <c r="D3018">
        <v>0.25</v>
      </c>
    </row>
    <row r="3019" spans="1:5" x14ac:dyDescent="0.2">
      <c r="A3019" s="43">
        <v>42191</v>
      </c>
      <c r="D3019">
        <v>0.25</v>
      </c>
    </row>
    <row r="3020" spans="1:5" x14ac:dyDescent="0.2">
      <c r="A3020" s="43">
        <v>42192</v>
      </c>
      <c r="D3020">
        <v>0.25</v>
      </c>
    </row>
    <row r="3021" spans="1:5" x14ac:dyDescent="0.2">
      <c r="A3021" s="43">
        <v>42193</v>
      </c>
      <c r="D3021">
        <v>0.25</v>
      </c>
    </row>
    <row r="3022" spans="1:5" x14ac:dyDescent="0.2">
      <c r="A3022" s="43">
        <v>42194</v>
      </c>
      <c r="D3022">
        <v>0.25</v>
      </c>
    </row>
    <row r="3023" spans="1:5" x14ac:dyDescent="0.2">
      <c r="A3023" s="43">
        <v>42195</v>
      </c>
      <c r="D3023">
        <v>0.25</v>
      </c>
    </row>
    <row r="3024" spans="1:5" x14ac:dyDescent="0.2">
      <c r="A3024" s="43">
        <v>42196</v>
      </c>
      <c r="D3024">
        <v>0.25</v>
      </c>
    </row>
    <row r="3025" spans="1:4" x14ac:dyDescent="0.2">
      <c r="A3025" s="43">
        <v>42197</v>
      </c>
      <c r="D3025">
        <v>0.25</v>
      </c>
    </row>
    <row r="3026" spans="1:4" x14ac:dyDescent="0.2">
      <c r="A3026" s="43">
        <v>42198</v>
      </c>
      <c r="D3026">
        <v>0.25</v>
      </c>
    </row>
    <row r="3027" spans="1:4" x14ac:dyDescent="0.2">
      <c r="A3027" s="43">
        <v>42199</v>
      </c>
      <c r="D3027">
        <v>0.25</v>
      </c>
    </row>
    <row r="3028" spans="1:4" x14ac:dyDescent="0.2">
      <c r="A3028" s="43">
        <v>42200</v>
      </c>
      <c r="D3028">
        <v>0.25</v>
      </c>
    </row>
    <row r="3029" spans="1:4" x14ac:dyDescent="0.2">
      <c r="A3029" s="43">
        <v>42201</v>
      </c>
      <c r="D3029">
        <v>0.25</v>
      </c>
    </row>
    <row r="3030" spans="1:4" x14ac:dyDescent="0.2">
      <c r="A3030" s="43">
        <v>42202</v>
      </c>
      <c r="D3030">
        <v>0.25</v>
      </c>
    </row>
    <row r="3031" spans="1:4" x14ac:dyDescent="0.2">
      <c r="A3031" s="43">
        <v>42203</v>
      </c>
      <c r="D3031">
        <v>0.25</v>
      </c>
    </row>
    <row r="3032" spans="1:4" x14ac:dyDescent="0.2">
      <c r="A3032" s="43">
        <v>42204</v>
      </c>
      <c r="D3032">
        <v>0.25</v>
      </c>
    </row>
    <row r="3033" spans="1:4" x14ac:dyDescent="0.2">
      <c r="A3033" s="43">
        <v>42205</v>
      </c>
      <c r="D3033">
        <v>0.25</v>
      </c>
    </row>
    <row r="3034" spans="1:4" x14ac:dyDescent="0.2">
      <c r="A3034" s="43">
        <v>42206</v>
      </c>
      <c r="D3034">
        <v>0.25</v>
      </c>
    </row>
    <row r="3035" spans="1:4" x14ac:dyDescent="0.2">
      <c r="A3035" s="43">
        <v>42207</v>
      </c>
      <c r="D3035">
        <v>0.25</v>
      </c>
    </row>
    <row r="3036" spans="1:4" x14ac:dyDescent="0.2">
      <c r="A3036" s="43">
        <v>42208</v>
      </c>
      <c r="D3036">
        <v>0.25</v>
      </c>
    </row>
    <row r="3037" spans="1:4" x14ac:dyDescent="0.2">
      <c r="A3037" s="43">
        <v>42209</v>
      </c>
      <c r="D3037">
        <v>0.25</v>
      </c>
    </row>
    <row r="3038" spans="1:4" x14ac:dyDescent="0.2">
      <c r="A3038" s="43">
        <v>42210</v>
      </c>
      <c r="D3038">
        <v>0.25</v>
      </c>
    </row>
    <row r="3039" spans="1:4" x14ac:dyDescent="0.2">
      <c r="A3039" s="43">
        <v>42211</v>
      </c>
      <c r="D3039">
        <v>0.25</v>
      </c>
    </row>
    <row r="3040" spans="1:4" x14ac:dyDescent="0.2">
      <c r="A3040" s="43">
        <v>42212</v>
      </c>
      <c r="D3040">
        <v>0.25</v>
      </c>
    </row>
    <row r="3041" spans="1:5" x14ac:dyDescent="0.2">
      <c r="A3041" s="43">
        <v>42213</v>
      </c>
      <c r="D3041">
        <v>0.25</v>
      </c>
    </row>
    <row r="3042" spans="1:5" x14ac:dyDescent="0.2">
      <c r="A3042" s="43">
        <v>42214</v>
      </c>
      <c r="D3042">
        <v>0.25</v>
      </c>
    </row>
    <row r="3043" spans="1:5" x14ac:dyDescent="0.2">
      <c r="A3043" s="43">
        <v>42215</v>
      </c>
      <c r="D3043">
        <v>0.25</v>
      </c>
    </row>
    <row r="3044" spans="1:5" x14ac:dyDescent="0.2">
      <c r="A3044" s="43">
        <v>42216</v>
      </c>
      <c r="D3044">
        <v>0.25</v>
      </c>
    </row>
    <row r="3045" spans="1:5" x14ac:dyDescent="0.2">
      <c r="A3045" s="43">
        <v>42217</v>
      </c>
      <c r="B3045">
        <v>103.44199999999999</v>
      </c>
      <c r="C3045">
        <v>104.679</v>
      </c>
      <c r="D3045">
        <v>0.25</v>
      </c>
      <c r="E3045">
        <v>242.81700000000001</v>
      </c>
    </row>
    <row r="3046" spans="1:5" x14ac:dyDescent="0.2">
      <c r="A3046" s="43">
        <v>42218</v>
      </c>
      <c r="D3046">
        <v>0.25</v>
      </c>
    </row>
    <row r="3047" spans="1:5" x14ac:dyDescent="0.2">
      <c r="A3047" s="43">
        <v>42219</v>
      </c>
      <c r="D3047">
        <v>0.25</v>
      </c>
    </row>
    <row r="3048" spans="1:5" x14ac:dyDescent="0.2">
      <c r="A3048" s="43">
        <v>42220</v>
      </c>
      <c r="D3048">
        <v>0.25</v>
      </c>
    </row>
    <row r="3049" spans="1:5" x14ac:dyDescent="0.2">
      <c r="A3049" s="43">
        <v>42221</v>
      </c>
      <c r="D3049">
        <v>0.25</v>
      </c>
    </row>
    <row r="3050" spans="1:5" x14ac:dyDescent="0.2">
      <c r="A3050" s="43">
        <v>42222</v>
      </c>
      <c r="D3050">
        <v>0.25</v>
      </c>
    </row>
    <row r="3051" spans="1:5" x14ac:dyDescent="0.2">
      <c r="A3051" s="43">
        <v>42223</v>
      </c>
      <c r="D3051">
        <v>0.25</v>
      </c>
    </row>
    <row r="3052" spans="1:5" x14ac:dyDescent="0.2">
      <c r="A3052" s="43">
        <v>42224</v>
      </c>
      <c r="D3052">
        <v>0.25</v>
      </c>
    </row>
    <row r="3053" spans="1:5" x14ac:dyDescent="0.2">
      <c r="A3053" s="43">
        <v>42225</v>
      </c>
      <c r="D3053">
        <v>0.25</v>
      </c>
    </row>
    <row r="3054" spans="1:5" x14ac:dyDescent="0.2">
      <c r="A3054" s="43">
        <v>42226</v>
      </c>
      <c r="D3054">
        <v>0.25</v>
      </c>
    </row>
    <row r="3055" spans="1:5" x14ac:dyDescent="0.2">
      <c r="A3055" s="43">
        <v>42227</v>
      </c>
      <c r="D3055">
        <v>0.25</v>
      </c>
    </row>
    <row r="3056" spans="1:5" x14ac:dyDescent="0.2">
      <c r="A3056" s="43">
        <v>42228</v>
      </c>
      <c r="D3056">
        <v>0.25</v>
      </c>
    </row>
    <row r="3057" spans="1:4" x14ac:dyDescent="0.2">
      <c r="A3057" s="43">
        <v>42229</v>
      </c>
      <c r="D3057">
        <v>0.25</v>
      </c>
    </row>
    <row r="3058" spans="1:4" x14ac:dyDescent="0.2">
      <c r="A3058" s="43">
        <v>42230</v>
      </c>
      <c r="D3058">
        <v>0.25</v>
      </c>
    </row>
    <row r="3059" spans="1:4" x14ac:dyDescent="0.2">
      <c r="A3059" s="43">
        <v>42231</v>
      </c>
      <c r="D3059">
        <v>0.25</v>
      </c>
    </row>
    <row r="3060" spans="1:4" x14ac:dyDescent="0.2">
      <c r="A3060" s="43">
        <v>42232</v>
      </c>
      <c r="D3060">
        <v>0.25</v>
      </c>
    </row>
    <row r="3061" spans="1:4" x14ac:dyDescent="0.2">
      <c r="A3061" s="43">
        <v>42233</v>
      </c>
      <c r="D3061">
        <v>0.25</v>
      </c>
    </row>
    <row r="3062" spans="1:4" x14ac:dyDescent="0.2">
      <c r="A3062" s="43">
        <v>42234</v>
      </c>
      <c r="D3062">
        <v>0.25</v>
      </c>
    </row>
    <row r="3063" spans="1:4" x14ac:dyDescent="0.2">
      <c r="A3063" s="43">
        <v>42235</v>
      </c>
      <c r="D3063">
        <v>0.25</v>
      </c>
    </row>
    <row r="3064" spans="1:4" x14ac:dyDescent="0.2">
      <c r="A3064" s="43">
        <v>42236</v>
      </c>
      <c r="D3064">
        <v>0.25</v>
      </c>
    </row>
    <row r="3065" spans="1:4" x14ac:dyDescent="0.2">
      <c r="A3065" s="43">
        <v>42237</v>
      </c>
      <c r="D3065">
        <v>0.25</v>
      </c>
    </row>
    <row r="3066" spans="1:4" x14ac:dyDescent="0.2">
      <c r="A3066" s="43">
        <v>42238</v>
      </c>
      <c r="D3066">
        <v>0.25</v>
      </c>
    </row>
    <row r="3067" spans="1:4" x14ac:dyDescent="0.2">
      <c r="A3067" s="43">
        <v>42239</v>
      </c>
      <c r="D3067">
        <v>0.25</v>
      </c>
    </row>
    <row r="3068" spans="1:4" x14ac:dyDescent="0.2">
      <c r="A3068" s="43">
        <v>42240</v>
      </c>
      <c r="D3068">
        <v>0.25</v>
      </c>
    </row>
    <row r="3069" spans="1:4" x14ac:dyDescent="0.2">
      <c r="A3069" s="43">
        <v>42241</v>
      </c>
      <c r="D3069">
        <v>0.25</v>
      </c>
    </row>
    <row r="3070" spans="1:4" x14ac:dyDescent="0.2">
      <c r="A3070" s="43">
        <v>42242</v>
      </c>
      <c r="D3070">
        <v>0.25</v>
      </c>
    </row>
    <row r="3071" spans="1:4" x14ac:dyDescent="0.2">
      <c r="A3071" s="43">
        <v>42243</v>
      </c>
      <c r="D3071">
        <v>0.25</v>
      </c>
    </row>
    <row r="3072" spans="1:4" x14ac:dyDescent="0.2">
      <c r="A3072" s="43">
        <v>42244</v>
      </c>
      <c r="D3072">
        <v>0.25</v>
      </c>
    </row>
    <row r="3073" spans="1:5" x14ac:dyDescent="0.2">
      <c r="A3073" s="43">
        <v>42245</v>
      </c>
      <c r="D3073">
        <v>0.25</v>
      </c>
    </row>
    <row r="3074" spans="1:5" x14ac:dyDescent="0.2">
      <c r="A3074" s="43">
        <v>42246</v>
      </c>
      <c r="D3074">
        <v>0.25</v>
      </c>
    </row>
    <row r="3075" spans="1:5" x14ac:dyDescent="0.2">
      <c r="A3075" s="43">
        <v>42247</v>
      </c>
      <c r="D3075">
        <v>0.25</v>
      </c>
    </row>
    <row r="3076" spans="1:5" x14ac:dyDescent="0.2">
      <c r="A3076" s="43">
        <v>42248</v>
      </c>
      <c r="B3076">
        <v>103.289</v>
      </c>
      <c r="C3076">
        <v>104.81399999999999</v>
      </c>
      <c r="D3076">
        <v>0.25</v>
      </c>
      <c r="E3076">
        <v>243.316</v>
      </c>
    </row>
    <row r="3077" spans="1:5" x14ac:dyDescent="0.2">
      <c r="A3077" s="43">
        <v>42249</v>
      </c>
      <c r="D3077">
        <v>0.25</v>
      </c>
    </row>
    <row r="3078" spans="1:5" x14ac:dyDescent="0.2">
      <c r="A3078" s="43">
        <v>42250</v>
      </c>
      <c r="D3078">
        <v>0.25</v>
      </c>
    </row>
    <row r="3079" spans="1:5" x14ac:dyDescent="0.2">
      <c r="A3079" s="43">
        <v>42251</v>
      </c>
      <c r="D3079">
        <v>0.25</v>
      </c>
    </row>
    <row r="3080" spans="1:5" x14ac:dyDescent="0.2">
      <c r="A3080" s="43">
        <v>42252</v>
      </c>
      <c r="D3080">
        <v>0.25</v>
      </c>
    </row>
    <row r="3081" spans="1:5" x14ac:dyDescent="0.2">
      <c r="A3081" s="43">
        <v>42253</v>
      </c>
      <c r="D3081">
        <v>0.25</v>
      </c>
    </row>
    <row r="3082" spans="1:5" x14ac:dyDescent="0.2">
      <c r="A3082" s="43">
        <v>42254</v>
      </c>
      <c r="D3082">
        <v>0.25</v>
      </c>
    </row>
    <row r="3083" spans="1:5" x14ac:dyDescent="0.2">
      <c r="A3083" s="43">
        <v>42255</v>
      </c>
      <c r="D3083">
        <v>0.25</v>
      </c>
    </row>
    <row r="3084" spans="1:5" x14ac:dyDescent="0.2">
      <c r="A3084" s="43">
        <v>42256</v>
      </c>
      <c r="D3084">
        <v>0.25</v>
      </c>
    </row>
    <row r="3085" spans="1:5" x14ac:dyDescent="0.2">
      <c r="A3085" s="43">
        <v>42257</v>
      </c>
      <c r="D3085">
        <v>0.25</v>
      </c>
    </row>
    <row r="3086" spans="1:5" x14ac:dyDescent="0.2">
      <c r="A3086" s="43">
        <v>42258</v>
      </c>
      <c r="D3086">
        <v>0.25</v>
      </c>
    </row>
    <row r="3087" spans="1:5" x14ac:dyDescent="0.2">
      <c r="A3087" s="43">
        <v>42259</v>
      </c>
      <c r="D3087">
        <v>0.25</v>
      </c>
    </row>
    <row r="3088" spans="1:5" x14ac:dyDescent="0.2">
      <c r="A3088" s="43">
        <v>42260</v>
      </c>
      <c r="D3088">
        <v>0.25</v>
      </c>
    </row>
    <row r="3089" spans="1:4" x14ac:dyDescent="0.2">
      <c r="A3089" s="43">
        <v>42261</v>
      </c>
      <c r="D3089">
        <v>0.25</v>
      </c>
    </row>
    <row r="3090" spans="1:4" x14ac:dyDescent="0.2">
      <c r="A3090" s="43">
        <v>42262</v>
      </c>
      <c r="D3090">
        <v>0.25</v>
      </c>
    </row>
    <row r="3091" spans="1:4" x14ac:dyDescent="0.2">
      <c r="A3091" s="43">
        <v>42263</v>
      </c>
      <c r="D3091">
        <v>0.25</v>
      </c>
    </row>
    <row r="3092" spans="1:4" x14ac:dyDescent="0.2">
      <c r="A3092" s="43">
        <v>42264</v>
      </c>
      <c r="D3092">
        <v>0.25</v>
      </c>
    </row>
    <row r="3093" spans="1:4" x14ac:dyDescent="0.2">
      <c r="A3093" s="43">
        <v>42265</v>
      </c>
      <c r="D3093">
        <v>0.25</v>
      </c>
    </row>
    <row r="3094" spans="1:4" x14ac:dyDescent="0.2">
      <c r="A3094" s="43">
        <v>42266</v>
      </c>
      <c r="D3094">
        <v>0.25</v>
      </c>
    </row>
    <row r="3095" spans="1:4" x14ac:dyDescent="0.2">
      <c r="A3095" s="43">
        <v>42267</v>
      </c>
      <c r="D3095">
        <v>0.25</v>
      </c>
    </row>
    <row r="3096" spans="1:4" x14ac:dyDescent="0.2">
      <c r="A3096" s="43">
        <v>42268</v>
      </c>
      <c r="D3096">
        <v>0.25</v>
      </c>
    </row>
    <row r="3097" spans="1:4" x14ac:dyDescent="0.2">
      <c r="A3097" s="43">
        <v>42269</v>
      </c>
      <c r="D3097">
        <v>0.25</v>
      </c>
    </row>
    <row r="3098" spans="1:4" x14ac:dyDescent="0.2">
      <c r="A3098" s="43">
        <v>42270</v>
      </c>
      <c r="D3098">
        <v>0.25</v>
      </c>
    </row>
    <row r="3099" spans="1:4" x14ac:dyDescent="0.2">
      <c r="A3099" s="43">
        <v>42271</v>
      </c>
      <c r="D3099">
        <v>0.25</v>
      </c>
    </row>
    <row r="3100" spans="1:4" x14ac:dyDescent="0.2">
      <c r="A3100" s="43">
        <v>42272</v>
      </c>
      <c r="D3100">
        <v>0.25</v>
      </c>
    </row>
    <row r="3101" spans="1:4" x14ac:dyDescent="0.2">
      <c r="A3101" s="43">
        <v>42273</v>
      </c>
      <c r="D3101">
        <v>0.25</v>
      </c>
    </row>
    <row r="3102" spans="1:4" x14ac:dyDescent="0.2">
      <c r="A3102" s="43">
        <v>42274</v>
      </c>
      <c r="D3102">
        <v>0.25</v>
      </c>
    </row>
    <row r="3103" spans="1:4" x14ac:dyDescent="0.2">
      <c r="A3103" s="43">
        <v>42275</v>
      </c>
      <c r="D3103">
        <v>0.25</v>
      </c>
    </row>
    <row r="3104" spans="1:4" x14ac:dyDescent="0.2">
      <c r="A3104" s="43">
        <v>42276</v>
      </c>
      <c r="D3104">
        <v>0.25</v>
      </c>
    </row>
    <row r="3105" spans="1:5" x14ac:dyDescent="0.2">
      <c r="A3105" s="43">
        <v>42277</v>
      </c>
      <c r="D3105">
        <v>0.25</v>
      </c>
    </row>
    <row r="3106" spans="1:5" x14ac:dyDescent="0.2">
      <c r="A3106" s="43">
        <v>42278</v>
      </c>
      <c r="B3106">
        <v>103.274</v>
      </c>
      <c r="C3106">
        <v>104.82899999999999</v>
      </c>
      <c r="D3106">
        <v>0.25</v>
      </c>
      <c r="E3106">
        <v>243.768</v>
      </c>
    </row>
    <row r="3107" spans="1:5" x14ac:dyDescent="0.2">
      <c r="A3107" s="43">
        <v>42279</v>
      </c>
      <c r="D3107">
        <v>0.25</v>
      </c>
    </row>
    <row r="3108" spans="1:5" x14ac:dyDescent="0.2">
      <c r="A3108" s="43">
        <v>42280</v>
      </c>
      <c r="D3108">
        <v>0.25</v>
      </c>
    </row>
    <row r="3109" spans="1:5" x14ac:dyDescent="0.2">
      <c r="A3109" s="43">
        <v>42281</v>
      </c>
      <c r="D3109">
        <v>0.25</v>
      </c>
    </row>
    <row r="3110" spans="1:5" x14ac:dyDescent="0.2">
      <c r="A3110" s="43">
        <v>42282</v>
      </c>
      <c r="D3110">
        <v>0.25</v>
      </c>
    </row>
    <row r="3111" spans="1:5" x14ac:dyDescent="0.2">
      <c r="A3111" s="43">
        <v>42283</v>
      </c>
      <c r="D3111">
        <v>0.25</v>
      </c>
    </row>
    <row r="3112" spans="1:5" x14ac:dyDescent="0.2">
      <c r="A3112" s="43">
        <v>42284</v>
      </c>
      <c r="D3112">
        <v>0.25</v>
      </c>
    </row>
    <row r="3113" spans="1:5" x14ac:dyDescent="0.2">
      <c r="A3113" s="43">
        <v>42285</v>
      </c>
      <c r="D3113">
        <v>0.25</v>
      </c>
    </row>
    <row r="3114" spans="1:5" x14ac:dyDescent="0.2">
      <c r="A3114" s="43">
        <v>42286</v>
      </c>
      <c r="D3114">
        <v>0.25</v>
      </c>
    </row>
    <row r="3115" spans="1:5" x14ac:dyDescent="0.2">
      <c r="A3115" s="43">
        <v>42287</v>
      </c>
      <c r="D3115">
        <v>0.25</v>
      </c>
    </row>
    <row r="3116" spans="1:5" x14ac:dyDescent="0.2">
      <c r="A3116" s="43">
        <v>42288</v>
      </c>
      <c r="D3116">
        <v>0.25</v>
      </c>
    </row>
    <row r="3117" spans="1:5" x14ac:dyDescent="0.2">
      <c r="A3117" s="43">
        <v>42289</v>
      </c>
      <c r="D3117">
        <v>0.25</v>
      </c>
    </row>
    <row r="3118" spans="1:5" x14ac:dyDescent="0.2">
      <c r="A3118" s="43">
        <v>42290</v>
      </c>
      <c r="D3118">
        <v>0.25</v>
      </c>
    </row>
    <row r="3119" spans="1:5" x14ac:dyDescent="0.2">
      <c r="A3119" s="43">
        <v>42291</v>
      </c>
      <c r="D3119">
        <v>0.25</v>
      </c>
    </row>
    <row r="3120" spans="1:5" x14ac:dyDescent="0.2">
      <c r="A3120" s="43">
        <v>42292</v>
      </c>
      <c r="D3120">
        <v>0.25</v>
      </c>
    </row>
    <row r="3121" spans="1:4" x14ac:dyDescent="0.2">
      <c r="A3121" s="43">
        <v>42293</v>
      </c>
      <c r="D3121">
        <v>0.25</v>
      </c>
    </row>
    <row r="3122" spans="1:4" x14ac:dyDescent="0.2">
      <c r="A3122" s="43">
        <v>42294</v>
      </c>
      <c r="D3122">
        <v>0.25</v>
      </c>
    </row>
    <row r="3123" spans="1:4" x14ac:dyDescent="0.2">
      <c r="A3123" s="43">
        <v>42295</v>
      </c>
      <c r="D3123">
        <v>0.25</v>
      </c>
    </row>
    <row r="3124" spans="1:4" x14ac:dyDescent="0.2">
      <c r="A3124" s="43">
        <v>42296</v>
      </c>
      <c r="D3124">
        <v>0.25</v>
      </c>
    </row>
    <row r="3125" spans="1:4" x14ac:dyDescent="0.2">
      <c r="A3125" s="43">
        <v>42297</v>
      </c>
      <c r="D3125">
        <v>0.25</v>
      </c>
    </row>
    <row r="3126" spans="1:4" x14ac:dyDescent="0.2">
      <c r="A3126" s="43">
        <v>42298</v>
      </c>
      <c r="D3126">
        <v>0.25</v>
      </c>
    </row>
    <row r="3127" spans="1:4" x14ac:dyDescent="0.2">
      <c r="A3127" s="43">
        <v>42299</v>
      </c>
      <c r="D3127">
        <v>0.25</v>
      </c>
    </row>
    <row r="3128" spans="1:4" x14ac:dyDescent="0.2">
      <c r="A3128" s="43">
        <v>42300</v>
      </c>
      <c r="D3128">
        <v>0.25</v>
      </c>
    </row>
    <row r="3129" spans="1:4" x14ac:dyDescent="0.2">
      <c r="A3129" s="43">
        <v>42301</v>
      </c>
      <c r="D3129">
        <v>0.25</v>
      </c>
    </row>
    <row r="3130" spans="1:4" x14ac:dyDescent="0.2">
      <c r="A3130" s="43">
        <v>42302</v>
      </c>
      <c r="D3130">
        <v>0.25</v>
      </c>
    </row>
    <row r="3131" spans="1:4" x14ac:dyDescent="0.2">
      <c r="A3131" s="43">
        <v>42303</v>
      </c>
      <c r="D3131">
        <v>0.25</v>
      </c>
    </row>
    <row r="3132" spans="1:4" x14ac:dyDescent="0.2">
      <c r="A3132" s="43">
        <v>42304</v>
      </c>
      <c r="D3132">
        <v>0.25</v>
      </c>
    </row>
    <row r="3133" spans="1:4" x14ac:dyDescent="0.2">
      <c r="A3133" s="43">
        <v>42305</v>
      </c>
      <c r="D3133">
        <v>0.25</v>
      </c>
    </row>
    <row r="3134" spans="1:4" x14ac:dyDescent="0.2">
      <c r="A3134" s="43">
        <v>42306</v>
      </c>
      <c r="D3134">
        <v>0.25</v>
      </c>
    </row>
    <row r="3135" spans="1:4" x14ac:dyDescent="0.2">
      <c r="A3135" s="43">
        <v>42307</v>
      </c>
      <c r="D3135">
        <v>0.25</v>
      </c>
    </row>
    <row r="3136" spans="1:4" x14ac:dyDescent="0.2">
      <c r="A3136" s="43">
        <v>42308</v>
      </c>
      <c r="D3136">
        <v>0.25</v>
      </c>
    </row>
    <row r="3137" spans="1:5" x14ac:dyDescent="0.2">
      <c r="A3137" s="43">
        <v>42309</v>
      </c>
      <c r="B3137">
        <v>103.337</v>
      </c>
      <c r="C3137">
        <v>104.94</v>
      </c>
      <c r="D3137">
        <v>0.25</v>
      </c>
      <c r="E3137">
        <v>244.24100000000001</v>
      </c>
    </row>
    <row r="3138" spans="1:5" x14ac:dyDescent="0.2">
      <c r="A3138" s="43">
        <v>42310</v>
      </c>
      <c r="D3138">
        <v>0.25</v>
      </c>
    </row>
    <row r="3139" spans="1:5" x14ac:dyDescent="0.2">
      <c r="A3139" s="43">
        <v>42311</v>
      </c>
      <c r="D3139">
        <v>0.25</v>
      </c>
    </row>
    <row r="3140" spans="1:5" x14ac:dyDescent="0.2">
      <c r="A3140" s="43">
        <v>42312</v>
      </c>
      <c r="D3140">
        <v>0.25</v>
      </c>
    </row>
    <row r="3141" spans="1:5" x14ac:dyDescent="0.2">
      <c r="A3141" s="43">
        <v>42313</v>
      </c>
      <c r="D3141">
        <v>0.25</v>
      </c>
    </row>
    <row r="3142" spans="1:5" x14ac:dyDescent="0.2">
      <c r="A3142" s="43">
        <v>42314</v>
      </c>
      <c r="D3142">
        <v>0.25</v>
      </c>
    </row>
    <row r="3143" spans="1:5" x14ac:dyDescent="0.2">
      <c r="A3143" s="43">
        <v>42315</v>
      </c>
      <c r="D3143">
        <v>0.25</v>
      </c>
    </row>
    <row r="3144" spans="1:5" x14ac:dyDescent="0.2">
      <c r="A3144" s="43">
        <v>42316</v>
      </c>
      <c r="D3144">
        <v>0.25</v>
      </c>
    </row>
    <row r="3145" spans="1:5" x14ac:dyDescent="0.2">
      <c r="A3145" s="43">
        <v>42317</v>
      </c>
      <c r="D3145">
        <v>0.25</v>
      </c>
    </row>
    <row r="3146" spans="1:5" x14ac:dyDescent="0.2">
      <c r="A3146" s="43">
        <v>42318</v>
      </c>
      <c r="D3146">
        <v>0.25</v>
      </c>
    </row>
    <row r="3147" spans="1:5" x14ac:dyDescent="0.2">
      <c r="A3147" s="43">
        <v>42319</v>
      </c>
      <c r="D3147">
        <v>0.25</v>
      </c>
    </row>
    <row r="3148" spans="1:5" x14ac:dyDescent="0.2">
      <c r="A3148" s="43">
        <v>42320</v>
      </c>
      <c r="D3148">
        <v>0.25</v>
      </c>
    </row>
    <row r="3149" spans="1:5" x14ac:dyDescent="0.2">
      <c r="A3149" s="43">
        <v>42321</v>
      </c>
      <c r="D3149">
        <v>0.25</v>
      </c>
    </row>
    <row r="3150" spans="1:5" x14ac:dyDescent="0.2">
      <c r="A3150" s="43">
        <v>42322</v>
      </c>
      <c r="D3150">
        <v>0.25</v>
      </c>
    </row>
    <row r="3151" spans="1:5" x14ac:dyDescent="0.2">
      <c r="A3151" s="43">
        <v>42323</v>
      </c>
      <c r="D3151">
        <v>0.25</v>
      </c>
    </row>
    <row r="3152" spans="1:5" x14ac:dyDescent="0.2">
      <c r="A3152" s="43">
        <v>42324</v>
      </c>
      <c r="D3152">
        <v>0.25</v>
      </c>
    </row>
    <row r="3153" spans="1:5" x14ac:dyDescent="0.2">
      <c r="A3153" s="43">
        <v>42325</v>
      </c>
      <c r="D3153">
        <v>0.25</v>
      </c>
    </row>
    <row r="3154" spans="1:5" x14ac:dyDescent="0.2">
      <c r="A3154" s="43">
        <v>42326</v>
      </c>
      <c r="D3154">
        <v>0.25</v>
      </c>
    </row>
    <row r="3155" spans="1:5" x14ac:dyDescent="0.2">
      <c r="A3155" s="43">
        <v>42327</v>
      </c>
      <c r="D3155">
        <v>0.25</v>
      </c>
    </row>
    <row r="3156" spans="1:5" x14ac:dyDescent="0.2">
      <c r="A3156" s="43">
        <v>42328</v>
      </c>
      <c r="D3156">
        <v>0.25</v>
      </c>
    </row>
    <row r="3157" spans="1:5" x14ac:dyDescent="0.2">
      <c r="A3157" s="43">
        <v>42329</v>
      </c>
      <c r="D3157">
        <v>0.25</v>
      </c>
    </row>
    <row r="3158" spans="1:5" x14ac:dyDescent="0.2">
      <c r="A3158" s="43">
        <v>42330</v>
      </c>
      <c r="D3158">
        <v>0.25</v>
      </c>
    </row>
    <row r="3159" spans="1:5" x14ac:dyDescent="0.2">
      <c r="A3159" s="43">
        <v>42331</v>
      </c>
      <c r="D3159">
        <v>0.25</v>
      </c>
    </row>
    <row r="3160" spans="1:5" x14ac:dyDescent="0.2">
      <c r="A3160" s="43">
        <v>42332</v>
      </c>
      <c r="D3160">
        <v>0.25</v>
      </c>
    </row>
    <row r="3161" spans="1:5" x14ac:dyDescent="0.2">
      <c r="A3161" s="43">
        <v>42333</v>
      </c>
      <c r="D3161">
        <v>0.25</v>
      </c>
    </row>
    <row r="3162" spans="1:5" x14ac:dyDescent="0.2">
      <c r="A3162" s="43">
        <v>42334</v>
      </c>
      <c r="D3162">
        <v>0.25</v>
      </c>
    </row>
    <row r="3163" spans="1:5" x14ac:dyDescent="0.2">
      <c r="A3163" s="43">
        <v>42335</v>
      </c>
      <c r="D3163">
        <v>0.25</v>
      </c>
    </row>
    <row r="3164" spans="1:5" x14ac:dyDescent="0.2">
      <c r="A3164" s="43">
        <v>42336</v>
      </c>
      <c r="D3164">
        <v>0.25</v>
      </c>
    </row>
    <row r="3165" spans="1:5" x14ac:dyDescent="0.2">
      <c r="A3165" s="43">
        <v>42337</v>
      </c>
      <c r="D3165">
        <v>0.25</v>
      </c>
    </row>
    <row r="3166" spans="1:5" x14ac:dyDescent="0.2">
      <c r="A3166" s="43">
        <v>42338</v>
      </c>
      <c r="D3166">
        <v>0.25</v>
      </c>
    </row>
    <row r="3167" spans="1:5" x14ac:dyDescent="0.2">
      <c r="A3167" s="43">
        <v>42339</v>
      </c>
      <c r="B3167">
        <v>103.253</v>
      </c>
      <c r="C3167">
        <v>105.009</v>
      </c>
      <c r="D3167">
        <v>0.25</v>
      </c>
      <c r="E3167">
        <v>244.547</v>
      </c>
    </row>
    <row r="3168" spans="1:5" x14ac:dyDescent="0.2">
      <c r="A3168" s="43">
        <v>42340</v>
      </c>
      <c r="D3168">
        <v>0.25</v>
      </c>
    </row>
    <row r="3169" spans="1:4" x14ac:dyDescent="0.2">
      <c r="A3169" s="43">
        <v>42341</v>
      </c>
      <c r="D3169">
        <v>0.25</v>
      </c>
    </row>
    <row r="3170" spans="1:4" x14ac:dyDescent="0.2">
      <c r="A3170" s="43">
        <v>42342</v>
      </c>
      <c r="D3170">
        <v>0.25</v>
      </c>
    </row>
    <row r="3171" spans="1:4" x14ac:dyDescent="0.2">
      <c r="A3171" s="43">
        <v>42343</v>
      </c>
      <c r="D3171">
        <v>0.25</v>
      </c>
    </row>
    <row r="3172" spans="1:4" x14ac:dyDescent="0.2">
      <c r="A3172" s="43">
        <v>42344</v>
      </c>
      <c r="D3172">
        <v>0.25</v>
      </c>
    </row>
    <row r="3173" spans="1:4" x14ac:dyDescent="0.2">
      <c r="A3173" s="43">
        <v>42345</v>
      </c>
      <c r="D3173">
        <v>0.25</v>
      </c>
    </row>
    <row r="3174" spans="1:4" x14ac:dyDescent="0.2">
      <c r="A3174" s="43">
        <v>42346</v>
      </c>
      <c r="D3174">
        <v>0.25</v>
      </c>
    </row>
    <row r="3175" spans="1:4" x14ac:dyDescent="0.2">
      <c r="A3175" s="43">
        <v>42347</v>
      </c>
      <c r="D3175">
        <v>0.25</v>
      </c>
    </row>
    <row r="3176" spans="1:4" x14ac:dyDescent="0.2">
      <c r="A3176" s="43">
        <v>42348</v>
      </c>
      <c r="D3176">
        <v>0.25</v>
      </c>
    </row>
    <row r="3177" spans="1:4" x14ac:dyDescent="0.2">
      <c r="A3177" s="43">
        <v>42349</v>
      </c>
      <c r="D3177">
        <v>0.25</v>
      </c>
    </row>
    <row r="3178" spans="1:4" x14ac:dyDescent="0.2">
      <c r="A3178" s="43">
        <v>42350</v>
      </c>
      <c r="D3178">
        <v>0.25</v>
      </c>
    </row>
    <row r="3179" spans="1:4" x14ac:dyDescent="0.2">
      <c r="A3179" s="43">
        <v>42351</v>
      </c>
      <c r="D3179">
        <v>0.25</v>
      </c>
    </row>
    <row r="3180" spans="1:4" x14ac:dyDescent="0.2">
      <c r="A3180" s="43">
        <v>42352</v>
      </c>
      <c r="D3180">
        <v>0.25</v>
      </c>
    </row>
    <row r="3181" spans="1:4" x14ac:dyDescent="0.2">
      <c r="A3181" s="43">
        <v>42353</v>
      </c>
      <c r="D3181">
        <v>0.25</v>
      </c>
    </row>
    <row r="3182" spans="1:4" x14ac:dyDescent="0.2">
      <c r="A3182" s="43">
        <v>42354</v>
      </c>
      <c r="D3182">
        <v>0.5</v>
      </c>
    </row>
    <row r="3183" spans="1:4" x14ac:dyDescent="0.2">
      <c r="A3183" s="43">
        <v>42355</v>
      </c>
      <c r="D3183">
        <v>0.5</v>
      </c>
    </row>
    <row r="3184" spans="1:4" x14ac:dyDescent="0.2">
      <c r="A3184" s="43">
        <v>42356</v>
      </c>
      <c r="D3184">
        <v>0.5</v>
      </c>
    </row>
    <row r="3185" spans="1:5" x14ac:dyDescent="0.2">
      <c r="A3185" s="43">
        <v>42357</v>
      </c>
      <c r="D3185">
        <v>0.5</v>
      </c>
    </row>
    <row r="3186" spans="1:5" x14ac:dyDescent="0.2">
      <c r="A3186" s="43">
        <v>42358</v>
      </c>
      <c r="D3186">
        <v>0.5</v>
      </c>
    </row>
    <row r="3187" spans="1:5" x14ac:dyDescent="0.2">
      <c r="A3187" s="43">
        <v>42359</v>
      </c>
      <c r="D3187">
        <v>0.5</v>
      </c>
    </row>
    <row r="3188" spans="1:5" x14ac:dyDescent="0.2">
      <c r="A3188" s="43">
        <v>42360</v>
      </c>
      <c r="D3188">
        <v>0.5</v>
      </c>
    </row>
    <row r="3189" spans="1:5" x14ac:dyDescent="0.2">
      <c r="A3189" s="43">
        <v>42361</v>
      </c>
      <c r="D3189">
        <v>0.5</v>
      </c>
    </row>
    <row r="3190" spans="1:5" x14ac:dyDescent="0.2">
      <c r="A3190" s="43">
        <v>42362</v>
      </c>
      <c r="D3190">
        <v>0.5</v>
      </c>
    </row>
    <row r="3191" spans="1:5" x14ac:dyDescent="0.2">
      <c r="A3191" s="43">
        <v>42363</v>
      </c>
      <c r="D3191">
        <v>0.5</v>
      </c>
    </row>
    <row r="3192" spans="1:5" x14ac:dyDescent="0.2">
      <c r="A3192" s="43">
        <v>42364</v>
      </c>
      <c r="D3192">
        <v>0.5</v>
      </c>
    </row>
    <row r="3193" spans="1:5" x14ac:dyDescent="0.2">
      <c r="A3193" s="43">
        <v>42365</v>
      </c>
      <c r="D3193">
        <v>0.5</v>
      </c>
    </row>
    <row r="3194" spans="1:5" x14ac:dyDescent="0.2">
      <c r="A3194" s="43">
        <v>42366</v>
      </c>
      <c r="D3194">
        <v>0.5</v>
      </c>
    </row>
    <row r="3195" spans="1:5" x14ac:dyDescent="0.2">
      <c r="A3195" s="43">
        <v>42367</v>
      </c>
      <c r="D3195">
        <v>0.5</v>
      </c>
    </row>
    <row r="3196" spans="1:5" x14ac:dyDescent="0.2">
      <c r="A3196" s="43">
        <v>42368</v>
      </c>
      <c r="D3196">
        <v>0.5</v>
      </c>
    </row>
    <row r="3197" spans="1:5" x14ac:dyDescent="0.2">
      <c r="A3197" s="43">
        <v>42369</v>
      </c>
      <c r="D3197">
        <v>0.5</v>
      </c>
    </row>
    <row r="3198" spans="1:5" x14ac:dyDescent="0.2">
      <c r="A3198" s="43">
        <v>42370</v>
      </c>
      <c r="B3198">
        <v>103.306</v>
      </c>
      <c r="C3198">
        <v>105.20399999999999</v>
      </c>
      <c r="D3198">
        <v>0.5</v>
      </c>
      <c r="E3198">
        <v>244.95500000000001</v>
      </c>
    </row>
    <row r="3199" spans="1:5" x14ac:dyDescent="0.2">
      <c r="A3199" s="43">
        <v>42371</v>
      </c>
      <c r="D3199">
        <v>0.5</v>
      </c>
    </row>
    <row r="3200" spans="1:5" x14ac:dyDescent="0.2">
      <c r="A3200" s="43">
        <v>42372</v>
      </c>
      <c r="D3200">
        <v>0.5</v>
      </c>
    </row>
    <row r="3201" spans="1:4" x14ac:dyDescent="0.2">
      <c r="A3201" s="43">
        <v>42373</v>
      </c>
      <c r="D3201">
        <v>0.5</v>
      </c>
    </row>
    <row r="3202" spans="1:4" x14ac:dyDescent="0.2">
      <c r="A3202" s="43">
        <v>42374</v>
      </c>
      <c r="D3202">
        <v>0.5</v>
      </c>
    </row>
    <row r="3203" spans="1:4" x14ac:dyDescent="0.2">
      <c r="A3203" s="43">
        <v>42375</v>
      </c>
      <c r="D3203">
        <v>0.5</v>
      </c>
    </row>
    <row r="3204" spans="1:4" x14ac:dyDescent="0.2">
      <c r="A3204" s="43">
        <v>42376</v>
      </c>
      <c r="D3204">
        <v>0.5</v>
      </c>
    </row>
    <row r="3205" spans="1:4" x14ac:dyDescent="0.2">
      <c r="A3205" s="43">
        <v>42377</v>
      </c>
      <c r="D3205">
        <v>0.5</v>
      </c>
    </row>
    <row r="3206" spans="1:4" x14ac:dyDescent="0.2">
      <c r="A3206" s="43">
        <v>42378</v>
      </c>
      <c r="D3206">
        <v>0.5</v>
      </c>
    </row>
    <row r="3207" spans="1:4" x14ac:dyDescent="0.2">
      <c r="A3207" s="43">
        <v>42379</v>
      </c>
      <c r="D3207">
        <v>0.5</v>
      </c>
    </row>
    <row r="3208" spans="1:4" x14ac:dyDescent="0.2">
      <c r="A3208" s="43">
        <v>42380</v>
      </c>
      <c r="D3208">
        <v>0.5</v>
      </c>
    </row>
    <row r="3209" spans="1:4" x14ac:dyDescent="0.2">
      <c r="A3209" s="43">
        <v>42381</v>
      </c>
      <c r="D3209">
        <v>0.5</v>
      </c>
    </row>
    <row r="3210" spans="1:4" x14ac:dyDescent="0.2">
      <c r="A3210" s="43">
        <v>42382</v>
      </c>
      <c r="D3210">
        <v>0.5</v>
      </c>
    </row>
    <row r="3211" spans="1:4" x14ac:dyDescent="0.2">
      <c r="A3211" s="43">
        <v>42383</v>
      </c>
      <c r="D3211">
        <v>0.5</v>
      </c>
    </row>
    <row r="3212" spans="1:4" x14ac:dyDescent="0.2">
      <c r="A3212" s="43">
        <v>42384</v>
      </c>
      <c r="D3212">
        <v>0.5</v>
      </c>
    </row>
    <row r="3213" spans="1:4" x14ac:dyDescent="0.2">
      <c r="A3213" s="43">
        <v>42385</v>
      </c>
      <c r="D3213">
        <v>0.5</v>
      </c>
    </row>
    <row r="3214" spans="1:4" x14ac:dyDescent="0.2">
      <c r="A3214" s="43">
        <v>42386</v>
      </c>
      <c r="D3214">
        <v>0.5</v>
      </c>
    </row>
    <row r="3215" spans="1:4" x14ac:dyDescent="0.2">
      <c r="A3215" s="43">
        <v>42387</v>
      </c>
      <c r="D3215">
        <v>0.5</v>
      </c>
    </row>
    <row r="3216" spans="1:4" x14ac:dyDescent="0.2">
      <c r="A3216" s="43">
        <v>42388</v>
      </c>
      <c r="D3216">
        <v>0.5</v>
      </c>
    </row>
    <row r="3217" spans="1:5" x14ac:dyDescent="0.2">
      <c r="A3217" s="43">
        <v>42389</v>
      </c>
      <c r="D3217">
        <v>0.5</v>
      </c>
    </row>
    <row r="3218" spans="1:5" x14ac:dyDescent="0.2">
      <c r="A3218" s="43">
        <v>42390</v>
      </c>
      <c r="D3218">
        <v>0.5</v>
      </c>
    </row>
    <row r="3219" spans="1:5" x14ac:dyDescent="0.2">
      <c r="A3219" s="43">
        <v>42391</v>
      </c>
      <c r="D3219">
        <v>0.5</v>
      </c>
    </row>
    <row r="3220" spans="1:5" x14ac:dyDescent="0.2">
      <c r="A3220" s="43">
        <v>42392</v>
      </c>
      <c r="D3220">
        <v>0.5</v>
      </c>
    </row>
    <row r="3221" spans="1:5" x14ac:dyDescent="0.2">
      <c r="A3221" s="43">
        <v>42393</v>
      </c>
      <c r="D3221">
        <v>0.5</v>
      </c>
    </row>
    <row r="3222" spans="1:5" x14ac:dyDescent="0.2">
      <c r="A3222" s="43">
        <v>42394</v>
      </c>
      <c r="D3222">
        <v>0.5</v>
      </c>
    </row>
    <row r="3223" spans="1:5" x14ac:dyDescent="0.2">
      <c r="A3223" s="43">
        <v>42395</v>
      </c>
      <c r="D3223">
        <v>0.5</v>
      </c>
    </row>
    <row r="3224" spans="1:5" x14ac:dyDescent="0.2">
      <c r="A3224" s="43">
        <v>42396</v>
      </c>
      <c r="D3224">
        <v>0.5</v>
      </c>
    </row>
    <row r="3225" spans="1:5" x14ac:dyDescent="0.2">
      <c r="A3225" s="43">
        <v>42397</v>
      </c>
      <c r="D3225">
        <v>0.5</v>
      </c>
    </row>
    <row r="3226" spans="1:5" x14ac:dyDescent="0.2">
      <c r="A3226" s="43">
        <v>42398</v>
      </c>
      <c r="D3226">
        <v>0.5</v>
      </c>
    </row>
    <row r="3227" spans="1:5" x14ac:dyDescent="0.2">
      <c r="A3227" s="43">
        <v>42399</v>
      </c>
      <c r="D3227">
        <v>0.5</v>
      </c>
    </row>
    <row r="3228" spans="1:5" x14ac:dyDescent="0.2">
      <c r="A3228" s="43">
        <v>42400</v>
      </c>
      <c r="D3228">
        <v>0.5</v>
      </c>
    </row>
    <row r="3229" spans="1:5" x14ac:dyDescent="0.2">
      <c r="A3229" s="43">
        <v>42401</v>
      </c>
      <c r="B3229">
        <v>103.242</v>
      </c>
      <c r="C3229">
        <v>105.369</v>
      </c>
      <c r="D3229">
        <v>0.5</v>
      </c>
      <c r="E3229">
        <v>245.51</v>
      </c>
    </row>
    <row r="3230" spans="1:5" x14ac:dyDescent="0.2">
      <c r="A3230" s="43">
        <v>42402</v>
      </c>
      <c r="D3230">
        <v>0.5</v>
      </c>
    </row>
    <row r="3231" spans="1:5" x14ac:dyDescent="0.2">
      <c r="A3231" s="43">
        <v>42403</v>
      </c>
      <c r="D3231">
        <v>0.5</v>
      </c>
    </row>
    <row r="3232" spans="1:5" x14ac:dyDescent="0.2">
      <c r="A3232" s="43">
        <v>42404</v>
      </c>
      <c r="D3232">
        <v>0.5</v>
      </c>
    </row>
    <row r="3233" spans="1:4" x14ac:dyDescent="0.2">
      <c r="A3233" s="43">
        <v>42405</v>
      </c>
      <c r="D3233">
        <v>0.5</v>
      </c>
    </row>
    <row r="3234" spans="1:4" x14ac:dyDescent="0.2">
      <c r="A3234" s="43">
        <v>42406</v>
      </c>
      <c r="D3234">
        <v>0.5</v>
      </c>
    </row>
    <row r="3235" spans="1:4" x14ac:dyDescent="0.2">
      <c r="A3235" s="43">
        <v>42407</v>
      </c>
      <c r="D3235">
        <v>0.5</v>
      </c>
    </row>
    <row r="3236" spans="1:4" x14ac:dyDescent="0.2">
      <c r="A3236" s="43">
        <v>42408</v>
      </c>
      <c r="D3236">
        <v>0.5</v>
      </c>
    </row>
    <row r="3237" spans="1:4" x14ac:dyDescent="0.2">
      <c r="A3237" s="43">
        <v>42409</v>
      </c>
      <c r="D3237">
        <v>0.5</v>
      </c>
    </row>
    <row r="3238" spans="1:4" x14ac:dyDescent="0.2">
      <c r="A3238" s="43">
        <v>42410</v>
      </c>
      <c r="D3238">
        <v>0.5</v>
      </c>
    </row>
    <row r="3239" spans="1:4" x14ac:dyDescent="0.2">
      <c r="A3239" s="43">
        <v>42411</v>
      </c>
      <c r="D3239">
        <v>0.5</v>
      </c>
    </row>
    <row r="3240" spans="1:4" x14ac:dyDescent="0.2">
      <c r="A3240" s="43">
        <v>42412</v>
      </c>
      <c r="D3240">
        <v>0.5</v>
      </c>
    </row>
    <row r="3241" spans="1:4" x14ac:dyDescent="0.2">
      <c r="A3241" s="43">
        <v>42413</v>
      </c>
      <c r="D3241">
        <v>0.5</v>
      </c>
    </row>
    <row r="3242" spans="1:4" x14ac:dyDescent="0.2">
      <c r="A3242" s="43">
        <v>42414</v>
      </c>
      <c r="D3242">
        <v>0.5</v>
      </c>
    </row>
    <row r="3243" spans="1:4" x14ac:dyDescent="0.2">
      <c r="A3243" s="43">
        <v>42415</v>
      </c>
      <c r="D3243">
        <v>0.5</v>
      </c>
    </row>
    <row r="3244" spans="1:4" x14ac:dyDescent="0.2">
      <c r="A3244" s="43">
        <v>42416</v>
      </c>
      <c r="D3244">
        <v>0.5</v>
      </c>
    </row>
    <row r="3245" spans="1:4" x14ac:dyDescent="0.2">
      <c r="A3245" s="43">
        <v>42417</v>
      </c>
      <c r="D3245">
        <v>0.5</v>
      </c>
    </row>
    <row r="3246" spans="1:4" x14ac:dyDescent="0.2">
      <c r="A3246" s="43">
        <v>42418</v>
      </c>
      <c r="D3246">
        <v>0.5</v>
      </c>
    </row>
    <row r="3247" spans="1:4" x14ac:dyDescent="0.2">
      <c r="A3247" s="43">
        <v>42419</v>
      </c>
      <c r="D3247">
        <v>0.5</v>
      </c>
    </row>
    <row r="3248" spans="1:4" x14ac:dyDescent="0.2">
      <c r="A3248" s="43">
        <v>42420</v>
      </c>
      <c r="D3248">
        <v>0.5</v>
      </c>
    </row>
    <row r="3249" spans="1:5" x14ac:dyDescent="0.2">
      <c r="A3249" s="43">
        <v>42421</v>
      </c>
      <c r="D3249">
        <v>0.5</v>
      </c>
    </row>
    <row r="3250" spans="1:5" x14ac:dyDescent="0.2">
      <c r="A3250" s="43">
        <v>42422</v>
      </c>
      <c r="D3250">
        <v>0.5</v>
      </c>
    </row>
    <row r="3251" spans="1:5" x14ac:dyDescent="0.2">
      <c r="A3251" s="43">
        <v>42423</v>
      </c>
      <c r="D3251">
        <v>0.5</v>
      </c>
    </row>
    <row r="3252" spans="1:5" x14ac:dyDescent="0.2">
      <c r="A3252" s="43">
        <v>42424</v>
      </c>
      <c r="D3252">
        <v>0.5</v>
      </c>
    </row>
    <row r="3253" spans="1:5" x14ac:dyDescent="0.2">
      <c r="A3253" s="43">
        <v>42425</v>
      </c>
      <c r="D3253">
        <v>0.5</v>
      </c>
    </row>
    <row r="3254" spans="1:5" x14ac:dyDescent="0.2">
      <c r="A3254" s="43">
        <v>42426</v>
      </c>
      <c r="D3254">
        <v>0.5</v>
      </c>
    </row>
    <row r="3255" spans="1:5" x14ac:dyDescent="0.2">
      <c r="A3255" s="43">
        <v>42427</v>
      </c>
      <c r="D3255">
        <v>0.5</v>
      </c>
    </row>
    <row r="3256" spans="1:5" x14ac:dyDescent="0.2">
      <c r="A3256" s="43">
        <v>42428</v>
      </c>
      <c r="D3256">
        <v>0.5</v>
      </c>
    </row>
    <row r="3257" spans="1:5" x14ac:dyDescent="0.2">
      <c r="A3257" s="43">
        <v>42429</v>
      </c>
      <c r="D3257">
        <v>0.5</v>
      </c>
    </row>
    <row r="3258" spans="1:5" x14ac:dyDescent="0.2">
      <c r="A3258" s="43">
        <v>42430</v>
      </c>
      <c r="B3258">
        <v>103.48099999999999</v>
      </c>
      <c r="C3258">
        <v>105.521</v>
      </c>
      <c r="D3258">
        <v>0.5</v>
      </c>
      <c r="E3258">
        <v>245.91300000000001</v>
      </c>
    </row>
    <row r="3259" spans="1:5" x14ac:dyDescent="0.2">
      <c r="A3259" s="43">
        <v>42431</v>
      </c>
      <c r="D3259">
        <v>0.5</v>
      </c>
    </row>
    <row r="3260" spans="1:5" x14ac:dyDescent="0.2">
      <c r="A3260" s="43">
        <v>42432</v>
      </c>
      <c r="D3260">
        <v>0.5</v>
      </c>
    </row>
    <row r="3261" spans="1:5" x14ac:dyDescent="0.2">
      <c r="A3261" s="43">
        <v>42433</v>
      </c>
      <c r="D3261">
        <v>0.5</v>
      </c>
    </row>
    <row r="3262" spans="1:5" x14ac:dyDescent="0.2">
      <c r="A3262" s="43">
        <v>42434</v>
      </c>
      <c r="D3262">
        <v>0.5</v>
      </c>
    </row>
    <row r="3263" spans="1:5" x14ac:dyDescent="0.2">
      <c r="A3263" s="43">
        <v>42435</v>
      </c>
      <c r="D3263">
        <v>0.5</v>
      </c>
    </row>
    <row r="3264" spans="1:5" x14ac:dyDescent="0.2">
      <c r="A3264" s="43">
        <v>42436</v>
      </c>
      <c r="D3264">
        <v>0.5</v>
      </c>
    </row>
    <row r="3265" spans="1:4" x14ac:dyDescent="0.2">
      <c r="A3265" s="43">
        <v>42437</v>
      </c>
      <c r="D3265">
        <v>0.5</v>
      </c>
    </row>
    <row r="3266" spans="1:4" x14ac:dyDescent="0.2">
      <c r="A3266" s="43">
        <v>42438</v>
      </c>
      <c r="D3266">
        <v>0.5</v>
      </c>
    </row>
    <row r="3267" spans="1:4" x14ac:dyDescent="0.2">
      <c r="A3267" s="43">
        <v>42439</v>
      </c>
      <c r="D3267">
        <v>0.5</v>
      </c>
    </row>
    <row r="3268" spans="1:4" x14ac:dyDescent="0.2">
      <c r="A3268" s="43">
        <v>42440</v>
      </c>
      <c r="D3268">
        <v>0.5</v>
      </c>
    </row>
    <row r="3269" spans="1:4" x14ac:dyDescent="0.2">
      <c r="A3269" s="43">
        <v>42441</v>
      </c>
      <c r="D3269">
        <v>0.5</v>
      </c>
    </row>
    <row r="3270" spans="1:4" x14ac:dyDescent="0.2">
      <c r="A3270" s="43">
        <v>42442</v>
      </c>
      <c r="D3270">
        <v>0.5</v>
      </c>
    </row>
    <row r="3271" spans="1:4" x14ac:dyDescent="0.2">
      <c r="A3271" s="43">
        <v>42443</v>
      </c>
      <c r="D3271">
        <v>0.5</v>
      </c>
    </row>
    <row r="3272" spans="1:4" x14ac:dyDescent="0.2">
      <c r="A3272" s="43">
        <v>42444</v>
      </c>
      <c r="D3272">
        <v>0.5</v>
      </c>
    </row>
    <row r="3273" spans="1:4" x14ac:dyDescent="0.2">
      <c r="A3273" s="43">
        <v>42445</v>
      </c>
      <c r="D3273">
        <v>0.5</v>
      </c>
    </row>
    <row r="3274" spans="1:4" x14ac:dyDescent="0.2">
      <c r="A3274" s="43">
        <v>42446</v>
      </c>
      <c r="D3274">
        <v>0.5</v>
      </c>
    </row>
    <row r="3275" spans="1:4" x14ac:dyDescent="0.2">
      <c r="A3275" s="43">
        <v>42447</v>
      </c>
      <c r="D3275">
        <v>0.5</v>
      </c>
    </row>
    <row r="3276" spans="1:4" x14ac:dyDescent="0.2">
      <c r="A3276" s="43">
        <v>42448</v>
      </c>
      <c r="D3276">
        <v>0.5</v>
      </c>
    </row>
    <row r="3277" spans="1:4" x14ac:dyDescent="0.2">
      <c r="A3277" s="43">
        <v>42449</v>
      </c>
      <c r="D3277">
        <v>0.5</v>
      </c>
    </row>
    <row r="3278" spans="1:4" x14ac:dyDescent="0.2">
      <c r="A3278" s="43">
        <v>42450</v>
      </c>
      <c r="D3278">
        <v>0.5</v>
      </c>
    </row>
    <row r="3279" spans="1:4" x14ac:dyDescent="0.2">
      <c r="A3279" s="43">
        <v>42451</v>
      </c>
      <c r="D3279">
        <v>0.5</v>
      </c>
    </row>
    <row r="3280" spans="1:4" x14ac:dyDescent="0.2">
      <c r="A3280" s="43">
        <v>42452</v>
      </c>
      <c r="D3280">
        <v>0.5</v>
      </c>
    </row>
    <row r="3281" spans="1:5" x14ac:dyDescent="0.2">
      <c r="A3281" s="43">
        <v>42453</v>
      </c>
      <c r="D3281">
        <v>0.5</v>
      </c>
    </row>
    <row r="3282" spans="1:5" x14ac:dyDescent="0.2">
      <c r="A3282" s="43">
        <v>42454</v>
      </c>
      <c r="D3282">
        <v>0.5</v>
      </c>
    </row>
    <row r="3283" spans="1:5" x14ac:dyDescent="0.2">
      <c r="A3283" s="43">
        <v>42455</v>
      </c>
      <c r="D3283">
        <v>0.5</v>
      </c>
    </row>
    <row r="3284" spans="1:5" x14ac:dyDescent="0.2">
      <c r="A3284" s="43">
        <v>42456</v>
      </c>
      <c r="D3284">
        <v>0.5</v>
      </c>
    </row>
    <row r="3285" spans="1:5" x14ac:dyDescent="0.2">
      <c r="A3285" s="43">
        <v>42457</v>
      </c>
      <c r="D3285">
        <v>0.5</v>
      </c>
    </row>
    <row r="3286" spans="1:5" x14ac:dyDescent="0.2">
      <c r="A3286" s="43">
        <v>42458</v>
      </c>
      <c r="D3286">
        <v>0.5</v>
      </c>
    </row>
    <row r="3287" spans="1:5" x14ac:dyDescent="0.2">
      <c r="A3287" s="43">
        <v>42459</v>
      </c>
      <c r="D3287">
        <v>0.5</v>
      </c>
    </row>
    <row r="3288" spans="1:5" x14ac:dyDescent="0.2">
      <c r="A3288" s="43">
        <v>42460</v>
      </c>
      <c r="D3288">
        <v>0.5</v>
      </c>
    </row>
    <row r="3289" spans="1:5" x14ac:dyDescent="0.2">
      <c r="A3289" s="43">
        <v>42461</v>
      </c>
      <c r="B3289">
        <v>103.82299999999999</v>
      </c>
      <c r="C3289">
        <v>105.786</v>
      </c>
      <c r="D3289">
        <v>0.5</v>
      </c>
      <c r="E3289">
        <v>246.55099999999999</v>
      </c>
    </row>
    <row r="3290" spans="1:5" x14ac:dyDescent="0.2">
      <c r="A3290" s="43">
        <v>42462</v>
      </c>
      <c r="D3290">
        <v>0.5</v>
      </c>
    </row>
    <row r="3291" spans="1:5" x14ac:dyDescent="0.2">
      <c r="A3291" s="43">
        <v>42463</v>
      </c>
      <c r="D3291">
        <v>0.5</v>
      </c>
    </row>
    <row r="3292" spans="1:5" x14ac:dyDescent="0.2">
      <c r="A3292" s="43">
        <v>42464</v>
      </c>
      <c r="D3292">
        <v>0.5</v>
      </c>
    </row>
    <row r="3293" spans="1:5" x14ac:dyDescent="0.2">
      <c r="A3293" s="43">
        <v>42465</v>
      </c>
      <c r="D3293">
        <v>0.5</v>
      </c>
    </row>
    <row r="3294" spans="1:5" x14ac:dyDescent="0.2">
      <c r="A3294" s="43">
        <v>42466</v>
      </c>
      <c r="D3294">
        <v>0.5</v>
      </c>
    </row>
    <row r="3295" spans="1:5" x14ac:dyDescent="0.2">
      <c r="A3295" s="43">
        <v>42467</v>
      </c>
      <c r="D3295">
        <v>0.5</v>
      </c>
    </row>
    <row r="3296" spans="1:5" x14ac:dyDescent="0.2">
      <c r="A3296" s="43">
        <v>42468</v>
      </c>
      <c r="D3296">
        <v>0.5</v>
      </c>
    </row>
    <row r="3297" spans="1:4" x14ac:dyDescent="0.2">
      <c r="A3297" s="43">
        <v>42469</v>
      </c>
      <c r="D3297">
        <v>0.5</v>
      </c>
    </row>
    <row r="3298" spans="1:4" x14ac:dyDescent="0.2">
      <c r="A3298" s="43">
        <v>42470</v>
      </c>
      <c r="D3298">
        <v>0.5</v>
      </c>
    </row>
    <row r="3299" spans="1:4" x14ac:dyDescent="0.2">
      <c r="A3299" s="43">
        <v>42471</v>
      </c>
      <c r="D3299">
        <v>0.5</v>
      </c>
    </row>
    <row r="3300" spans="1:4" x14ac:dyDescent="0.2">
      <c r="A3300" s="43">
        <v>42472</v>
      </c>
      <c r="D3300">
        <v>0.5</v>
      </c>
    </row>
    <row r="3301" spans="1:4" x14ac:dyDescent="0.2">
      <c r="A3301" s="43">
        <v>42473</v>
      </c>
      <c r="D3301">
        <v>0.5</v>
      </c>
    </row>
    <row r="3302" spans="1:4" x14ac:dyDescent="0.2">
      <c r="A3302" s="43">
        <v>42474</v>
      </c>
      <c r="D3302">
        <v>0.5</v>
      </c>
    </row>
    <row r="3303" spans="1:4" x14ac:dyDescent="0.2">
      <c r="A3303" s="43">
        <v>42475</v>
      </c>
      <c r="D3303">
        <v>0.5</v>
      </c>
    </row>
    <row r="3304" spans="1:4" x14ac:dyDescent="0.2">
      <c r="A3304" s="43">
        <v>42476</v>
      </c>
      <c r="D3304">
        <v>0.5</v>
      </c>
    </row>
    <row r="3305" spans="1:4" x14ac:dyDescent="0.2">
      <c r="A3305" s="43">
        <v>42477</v>
      </c>
      <c r="D3305">
        <v>0.5</v>
      </c>
    </row>
    <row r="3306" spans="1:4" x14ac:dyDescent="0.2">
      <c r="A3306" s="43">
        <v>42478</v>
      </c>
      <c r="D3306">
        <v>0.5</v>
      </c>
    </row>
    <row r="3307" spans="1:4" x14ac:dyDescent="0.2">
      <c r="A3307" s="43">
        <v>42479</v>
      </c>
      <c r="D3307">
        <v>0.5</v>
      </c>
    </row>
    <row r="3308" spans="1:4" x14ac:dyDescent="0.2">
      <c r="A3308" s="43">
        <v>42480</v>
      </c>
      <c r="D3308">
        <v>0.5</v>
      </c>
    </row>
    <row r="3309" spans="1:4" x14ac:dyDescent="0.2">
      <c r="A3309" s="43">
        <v>42481</v>
      </c>
      <c r="D3309">
        <v>0.5</v>
      </c>
    </row>
    <row r="3310" spans="1:4" x14ac:dyDescent="0.2">
      <c r="A3310" s="43">
        <v>42482</v>
      </c>
      <c r="D3310">
        <v>0.5</v>
      </c>
    </row>
    <row r="3311" spans="1:4" x14ac:dyDescent="0.2">
      <c r="A3311" s="43">
        <v>42483</v>
      </c>
      <c r="D3311">
        <v>0.5</v>
      </c>
    </row>
    <row r="3312" spans="1:4" x14ac:dyDescent="0.2">
      <c r="A3312" s="43">
        <v>42484</v>
      </c>
      <c r="D3312">
        <v>0.5</v>
      </c>
    </row>
    <row r="3313" spans="1:5" x14ac:dyDescent="0.2">
      <c r="A3313" s="43">
        <v>42485</v>
      </c>
      <c r="D3313">
        <v>0.5</v>
      </c>
    </row>
    <row r="3314" spans="1:5" x14ac:dyDescent="0.2">
      <c r="A3314" s="43">
        <v>42486</v>
      </c>
      <c r="D3314">
        <v>0.5</v>
      </c>
    </row>
    <row r="3315" spans="1:5" x14ac:dyDescent="0.2">
      <c r="A3315" s="43">
        <v>42487</v>
      </c>
      <c r="D3315">
        <v>0.5</v>
      </c>
    </row>
    <row r="3316" spans="1:5" x14ac:dyDescent="0.2">
      <c r="A3316" s="43">
        <v>42488</v>
      </c>
      <c r="D3316">
        <v>0.5</v>
      </c>
    </row>
    <row r="3317" spans="1:5" x14ac:dyDescent="0.2">
      <c r="A3317" s="43">
        <v>42489</v>
      </c>
      <c r="D3317">
        <v>0.5</v>
      </c>
    </row>
    <row r="3318" spans="1:5" x14ac:dyDescent="0.2">
      <c r="A3318" s="43">
        <v>42490</v>
      </c>
      <c r="D3318">
        <v>0.5</v>
      </c>
    </row>
    <row r="3319" spans="1:5" x14ac:dyDescent="0.2">
      <c r="A3319" s="43">
        <v>42491</v>
      </c>
      <c r="B3319">
        <v>103.977</v>
      </c>
      <c r="C3319">
        <v>105.94799999999999</v>
      </c>
      <c r="D3319">
        <v>0.5</v>
      </c>
      <c r="E3319">
        <v>247.137</v>
      </c>
    </row>
    <row r="3320" spans="1:5" x14ac:dyDescent="0.2">
      <c r="A3320" s="43">
        <v>42492</v>
      </c>
      <c r="D3320">
        <v>0.5</v>
      </c>
    </row>
    <row r="3321" spans="1:5" x14ac:dyDescent="0.2">
      <c r="A3321" s="43">
        <v>42493</v>
      </c>
      <c r="D3321">
        <v>0.5</v>
      </c>
    </row>
    <row r="3322" spans="1:5" x14ac:dyDescent="0.2">
      <c r="A3322" s="43">
        <v>42494</v>
      </c>
      <c r="D3322">
        <v>0.5</v>
      </c>
    </row>
    <row r="3323" spans="1:5" x14ac:dyDescent="0.2">
      <c r="A3323" s="43">
        <v>42495</v>
      </c>
      <c r="D3323">
        <v>0.5</v>
      </c>
    </row>
    <row r="3324" spans="1:5" x14ac:dyDescent="0.2">
      <c r="A3324" s="43">
        <v>42496</v>
      </c>
      <c r="D3324">
        <v>0.5</v>
      </c>
    </row>
    <row r="3325" spans="1:5" x14ac:dyDescent="0.2">
      <c r="A3325" s="43">
        <v>42497</v>
      </c>
      <c r="D3325">
        <v>0.5</v>
      </c>
    </row>
    <row r="3326" spans="1:5" x14ac:dyDescent="0.2">
      <c r="A3326" s="43">
        <v>42498</v>
      </c>
      <c r="D3326">
        <v>0.5</v>
      </c>
    </row>
    <row r="3327" spans="1:5" x14ac:dyDescent="0.2">
      <c r="A3327" s="43">
        <v>42499</v>
      </c>
      <c r="D3327">
        <v>0.5</v>
      </c>
    </row>
    <row r="3328" spans="1:5" x14ac:dyDescent="0.2">
      <c r="A3328" s="43">
        <v>42500</v>
      </c>
      <c r="D3328">
        <v>0.5</v>
      </c>
    </row>
    <row r="3329" spans="1:4" x14ac:dyDescent="0.2">
      <c r="A3329" s="43">
        <v>42501</v>
      </c>
      <c r="D3329">
        <v>0.5</v>
      </c>
    </row>
    <row r="3330" spans="1:4" x14ac:dyDescent="0.2">
      <c r="A3330" s="43">
        <v>42502</v>
      </c>
      <c r="D3330">
        <v>0.5</v>
      </c>
    </row>
    <row r="3331" spans="1:4" x14ac:dyDescent="0.2">
      <c r="A3331" s="43">
        <v>42503</v>
      </c>
      <c r="D3331">
        <v>0.5</v>
      </c>
    </row>
    <row r="3332" spans="1:4" x14ac:dyDescent="0.2">
      <c r="A3332" s="43">
        <v>42504</v>
      </c>
      <c r="D3332">
        <v>0.5</v>
      </c>
    </row>
    <row r="3333" spans="1:4" x14ac:dyDescent="0.2">
      <c r="A3333" s="43">
        <v>42505</v>
      </c>
      <c r="D3333">
        <v>0.5</v>
      </c>
    </row>
    <row r="3334" spans="1:4" x14ac:dyDescent="0.2">
      <c r="A3334" s="43">
        <v>42506</v>
      </c>
      <c r="D3334">
        <v>0.5</v>
      </c>
    </row>
    <row r="3335" spans="1:4" x14ac:dyDescent="0.2">
      <c r="A3335" s="43">
        <v>42507</v>
      </c>
      <c r="D3335">
        <v>0.5</v>
      </c>
    </row>
    <row r="3336" spans="1:4" x14ac:dyDescent="0.2">
      <c r="A3336" s="43">
        <v>42508</v>
      </c>
      <c r="D3336">
        <v>0.5</v>
      </c>
    </row>
    <row r="3337" spans="1:4" x14ac:dyDescent="0.2">
      <c r="A3337" s="43">
        <v>42509</v>
      </c>
      <c r="D3337">
        <v>0.5</v>
      </c>
    </row>
    <row r="3338" spans="1:4" x14ac:dyDescent="0.2">
      <c r="A3338" s="43">
        <v>42510</v>
      </c>
      <c r="D3338">
        <v>0.5</v>
      </c>
    </row>
    <row r="3339" spans="1:4" x14ac:dyDescent="0.2">
      <c r="A3339" s="43">
        <v>42511</v>
      </c>
      <c r="D3339">
        <v>0.5</v>
      </c>
    </row>
    <row r="3340" spans="1:4" x14ac:dyDescent="0.2">
      <c r="A3340" s="43">
        <v>42512</v>
      </c>
      <c r="D3340">
        <v>0.5</v>
      </c>
    </row>
    <row r="3341" spans="1:4" x14ac:dyDescent="0.2">
      <c r="A3341" s="43">
        <v>42513</v>
      </c>
      <c r="D3341">
        <v>0.5</v>
      </c>
    </row>
    <row r="3342" spans="1:4" x14ac:dyDescent="0.2">
      <c r="A3342" s="43">
        <v>42514</v>
      </c>
      <c r="D3342">
        <v>0.5</v>
      </c>
    </row>
    <row r="3343" spans="1:4" x14ac:dyDescent="0.2">
      <c r="A3343" s="43">
        <v>42515</v>
      </c>
      <c r="D3343">
        <v>0.5</v>
      </c>
    </row>
    <row r="3344" spans="1:4" x14ac:dyDescent="0.2">
      <c r="A3344" s="43">
        <v>42516</v>
      </c>
      <c r="D3344">
        <v>0.5</v>
      </c>
    </row>
    <row r="3345" spans="1:5" x14ac:dyDescent="0.2">
      <c r="A3345" s="43">
        <v>42517</v>
      </c>
      <c r="D3345">
        <v>0.5</v>
      </c>
    </row>
    <row r="3346" spans="1:5" x14ac:dyDescent="0.2">
      <c r="A3346" s="43">
        <v>42518</v>
      </c>
      <c r="D3346">
        <v>0.5</v>
      </c>
    </row>
    <row r="3347" spans="1:5" x14ac:dyDescent="0.2">
      <c r="A3347" s="43">
        <v>42519</v>
      </c>
      <c r="D3347">
        <v>0.5</v>
      </c>
    </row>
    <row r="3348" spans="1:5" x14ac:dyDescent="0.2">
      <c r="A3348" s="43">
        <v>42520</v>
      </c>
      <c r="D3348">
        <v>0.5</v>
      </c>
    </row>
    <row r="3349" spans="1:5" x14ac:dyDescent="0.2">
      <c r="A3349" s="43">
        <v>42521</v>
      </c>
      <c r="D3349">
        <v>0.5</v>
      </c>
    </row>
    <row r="3350" spans="1:5" x14ac:dyDescent="0.2">
      <c r="A3350" s="43">
        <v>42522</v>
      </c>
      <c r="B3350">
        <v>104.175</v>
      </c>
      <c r="C3350">
        <v>106.077</v>
      </c>
      <c r="D3350">
        <v>0.5</v>
      </c>
      <c r="E3350">
        <v>247.54</v>
      </c>
    </row>
    <row r="3351" spans="1:5" x14ac:dyDescent="0.2">
      <c r="A3351" s="43">
        <v>42523</v>
      </c>
      <c r="D3351">
        <v>0.5</v>
      </c>
    </row>
    <row r="3352" spans="1:5" x14ac:dyDescent="0.2">
      <c r="A3352" s="43">
        <v>42524</v>
      </c>
      <c r="D3352">
        <v>0.5</v>
      </c>
    </row>
    <row r="3353" spans="1:5" x14ac:dyDescent="0.2">
      <c r="A3353" s="43">
        <v>42525</v>
      </c>
      <c r="D3353">
        <v>0.5</v>
      </c>
    </row>
    <row r="3354" spans="1:5" x14ac:dyDescent="0.2">
      <c r="A3354" s="43">
        <v>42526</v>
      </c>
      <c r="D3354">
        <v>0.5</v>
      </c>
    </row>
    <row r="3355" spans="1:5" x14ac:dyDescent="0.2">
      <c r="A3355" s="43">
        <v>42527</v>
      </c>
      <c r="D3355">
        <v>0.5</v>
      </c>
    </row>
    <row r="3356" spans="1:5" x14ac:dyDescent="0.2">
      <c r="A3356" s="43">
        <v>42528</v>
      </c>
      <c r="D3356">
        <v>0.5</v>
      </c>
    </row>
    <row r="3357" spans="1:5" x14ac:dyDescent="0.2">
      <c r="A3357" s="43">
        <v>42529</v>
      </c>
      <c r="D3357">
        <v>0.5</v>
      </c>
    </row>
    <row r="3358" spans="1:5" x14ac:dyDescent="0.2">
      <c r="A3358" s="43">
        <v>42530</v>
      </c>
      <c r="D3358">
        <v>0.5</v>
      </c>
    </row>
    <row r="3359" spans="1:5" x14ac:dyDescent="0.2">
      <c r="A3359" s="43">
        <v>42531</v>
      </c>
      <c r="D3359">
        <v>0.5</v>
      </c>
    </row>
    <row r="3360" spans="1:5" x14ac:dyDescent="0.2">
      <c r="A3360" s="43">
        <v>42532</v>
      </c>
      <c r="D3360">
        <v>0.5</v>
      </c>
    </row>
    <row r="3361" spans="1:4" x14ac:dyDescent="0.2">
      <c r="A3361" s="43">
        <v>42533</v>
      </c>
      <c r="D3361">
        <v>0.5</v>
      </c>
    </row>
    <row r="3362" spans="1:4" x14ac:dyDescent="0.2">
      <c r="A3362" s="43">
        <v>42534</v>
      </c>
      <c r="D3362">
        <v>0.5</v>
      </c>
    </row>
    <row r="3363" spans="1:4" x14ac:dyDescent="0.2">
      <c r="A3363" s="43">
        <v>42535</v>
      </c>
      <c r="D3363">
        <v>0.5</v>
      </c>
    </row>
    <row r="3364" spans="1:4" x14ac:dyDescent="0.2">
      <c r="A3364" s="43">
        <v>42536</v>
      </c>
      <c r="D3364">
        <v>0.5</v>
      </c>
    </row>
    <row r="3365" spans="1:4" x14ac:dyDescent="0.2">
      <c r="A3365" s="43">
        <v>42537</v>
      </c>
      <c r="D3365">
        <v>0.5</v>
      </c>
    </row>
    <row r="3366" spans="1:4" x14ac:dyDescent="0.2">
      <c r="A3366" s="43">
        <v>42538</v>
      </c>
      <c r="D3366">
        <v>0.5</v>
      </c>
    </row>
    <row r="3367" spans="1:4" x14ac:dyDescent="0.2">
      <c r="A3367" s="43">
        <v>42539</v>
      </c>
      <c r="D3367">
        <v>0.5</v>
      </c>
    </row>
    <row r="3368" spans="1:4" x14ac:dyDescent="0.2">
      <c r="A3368" s="43">
        <v>42540</v>
      </c>
      <c r="D3368">
        <v>0.5</v>
      </c>
    </row>
    <row r="3369" spans="1:4" x14ac:dyDescent="0.2">
      <c r="A3369" s="43">
        <v>42541</v>
      </c>
      <c r="D3369">
        <v>0.5</v>
      </c>
    </row>
    <row r="3370" spans="1:4" x14ac:dyDescent="0.2">
      <c r="A3370" s="43">
        <v>42542</v>
      </c>
      <c r="D3370">
        <v>0.5</v>
      </c>
    </row>
    <row r="3371" spans="1:4" x14ac:dyDescent="0.2">
      <c r="A3371" s="43">
        <v>42543</v>
      </c>
      <c r="D3371">
        <v>0.5</v>
      </c>
    </row>
    <row r="3372" spans="1:4" x14ac:dyDescent="0.2">
      <c r="A3372" s="43">
        <v>42544</v>
      </c>
      <c r="D3372">
        <v>0.5</v>
      </c>
    </row>
    <row r="3373" spans="1:4" x14ac:dyDescent="0.2">
      <c r="A3373" s="43">
        <v>42545</v>
      </c>
      <c r="D3373">
        <v>0.5</v>
      </c>
    </row>
    <row r="3374" spans="1:4" x14ac:dyDescent="0.2">
      <c r="A3374" s="43">
        <v>42546</v>
      </c>
      <c r="D3374">
        <v>0.5</v>
      </c>
    </row>
    <row r="3375" spans="1:4" x14ac:dyDescent="0.2">
      <c r="A3375" s="43">
        <v>42547</v>
      </c>
      <c r="D3375">
        <v>0.5</v>
      </c>
    </row>
    <row r="3376" spans="1:4" x14ac:dyDescent="0.2">
      <c r="A3376" s="43">
        <v>42548</v>
      </c>
      <c r="D3376">
        <v>0.5</v>
      </c>
    </row>
    <row r="3377" spans="1:5" x14ac:dyDescent="0.2">
      <c r="A3377" s="43">
        <v>42549</v>
      </c>
      <c r="D3377">
        <v>0.5</v>
      </c>
    </row>
    <row r="3378" spans="1:5" x14ac:dyDescent="0.2">
      <c r="A3378" s="43">
        <v>42550</v>
      </c>
      <c r="D3378">
        <v>0.5</v>
      </c>
    </row>
    <row r="3379" spans="1:5" x14ac:dyDescent="0.2">
      <c r="A3379" s="43">
        <v>42551</v>
      </c>
      <c r="D3379">
        <v>0.5</v>
      </c>
    </row>
    <row r="3380" spans="1:5" x14ac:dyDescent="0.2">
      <c r="A3380" s="43">
        <v>42552</v>
      </c>
      <c r="B3380">
        <v>104.218</v>
      </c>
      <c r="C3380">
        <v>106.25700000000001</v>
      </c>
      <c r="D3380">
        <v>0.5</v>
      </c>
      <c r="E3380">
        <v>247.82900000000001</v>
      </c>
    </row>
    <row r="3381" spans="1:5" x14ac:dyDescent="0.2">
      <c r="A3381" s="43">
        <v>42553</v>
      </c>
      <c r="D3381">
        <v>0.5</v>
      </c>
    </row>
    <row r="3382" spans="1:5" x14ac:dyDescent="0.2">
      <c r="A3382" s="43">
        <v>42554</v>
      </c>
      <c r="D3382">
        <v>0.5</v>
      </c>
    </row>
    <row r="3383" spans="1:5" x14ac:dyDescent="0.2">
      <c r="A3383" s="43">
        <v>42555</v>
      </c>
      <c r="D3383">
        <v>0.5</v>
      </c>
    </row>
    <row r="3384" spans="1:5" x14ac:dyDescent="0.2">
      <c r="A3384" s="43">
        <v>42556</v>
      </c>
      <c r="D3384">
        <v>0.5</v>
      </c>
    </row>
    <row r="3385" spans="1:5" x14ac:dyDescent="0.2">
      <c r="A3385" s="43">
        <v>42557</v>
      </c>
      <c r="D3385">
        <v>0.5</v>
      </c>
    </row>
    <row r="3386" spans="1:5" x14ac:dyDescent="0.2">
      <c r="A3386" s="43">
        <v>42558</v>
      </c>
      <c r="D3386">
        <v>0.5</v>
      </c>
    </row>
    <row r="3387" spans="1:5" x14ac:dyDescent="0.2">
      <c r="A3387" s="43">
        <v>42559</v>
      </c>
      <c r="D3387">
        <v>0.5</v>
      </c>
    </row>
    <row r="3388" spans="1:5" x14ac:dyDescent="0.2">
      <c r="A3388" s="43">
        <v>42560</v>
      </c>
      <c r="D3388">
        <v>0.5</v>
      </c>
    </row>
    <row r="3389" spans="1:5" x14ac:dyDescent="0.2">
      <c r="A3389" s="43">
        <v>42561</v>
      </c>
      <c r="D3389">
        <v>0.5</v>
      </c>
    </row>
    <row r="3390" spans="1:5" x14ac:dyDescent="0.2">
      <c r="A3390" s="43">
        <v>42562</v>
      </c>
      <c r="D3390">
        <v>0.5</v>
      </c>
    </row>
    <row r="3391" spans="1:5" x14ac:dyDescent="0.2">
      <c r="A3391" s="43">
        <v>42563</v>
      </c>
      <c r="D3391">
        <v>0.5</v>
      </c>
    </row>
    <row r="3392" spans="1:5" x14ac:dyDescent="0.2">
      <c r="A3392" s="43">
        <v>42564</v>
      </c>
      <c r="D3392">
        <v>0.5</v>
      </c>
    </row>
    <row r="3393" spans="1:4" x14ac:dyDescent="0.2">
      <c r="A3393" s="43">
        <v>42565</v>
      </c>
      <c r="D3393">
        <v>0.5</v>
      </c>
    </row>
    <row r="3394" spans="1:4" x14ac:dyDescent="0.2">
      <c r="A3394" s="43">
        <v>42566</v>
      </c>
      <c r="D3394">
        <v>0.5</v>
      </c>
    </row>
    <row r="3395" spans="1:4" x14ac:dyDescent="0.2">
      <c r="A3395" s="43">
        <v>42567</v>
      </c>
      <c r="D3395">
        <v>0.5</v>
      </c>
    </row>
    <row r="3396" spans="1:4" x14ac:dyDescent="0.2">
      <c r="A3396" s="43">
        <v>42568</v>
      </c>
      <c r="D3396">
        <v>0.5</v>
      </c>
    </row>
    <row r="3397" spans="1:4" x14ac:dyDescent="0.2">
      <c r="A3397" s="43">
        <v>42569</v>
      </c>
      <c r="D3397">
        <v>0.5</v>
      </c>
    </row>
    <row r="3398" spans="1:4" x14ac:dyDescent="0.2">
      <c r="A3398" s="43">
        <v>42570</v>
      </c>
      <c r="D3398">
        <v>0.5</v>
      </c>
    </row>
    <row r="3399" spans="1:4" x14ac:dyDescent="0.2">
      <c r="A3399" s="43">
        <v>42571</v>
      </c>
      <c r="D3399">
        <v>0.5</v>
      </c>
    </row>
    <row r="3400" spans="1:4" x14ac:dyDescent="0.2">
      <c r="A3400" s="43">
        <v>42572</v>
      </c>
      <c r="D3400">
        <v>0.5</v>
      </c>
    </row>
    <row r="3401" spans="1:4" x14ac:dyDescent="0.2">
      <c r="A3401" s="43">
        <v>42573</v>
      </c>
      <c r="D3401">
        <v>0.5</v>
      </c>
    </row>
    <row r="3402" spans="1:4" x14ac:dyDescent="0.2">
      <c r="A3402" s="43">
        <v>42574</v>
      </c>
      <c r="D3402">
        <v>0.5</v>
      </c>
    </row>
    <row r="3403" spans="1:4" x14ac:dyDescent="0.2">
      <c r="A3403" s="43">
        <v>42575</v>
      </c>
      <c r="D3403">
        <v>0.5</v>
      </c>
    </row>
    <row r="3404" spans="1:4" x14ac:dyDescent="0.2">
      <c r="A3404" s="43">
        <v>42576</v>
      </c>
      <c r="D3404">
        <v>0.5</v>
      </c>
    </row>
    <row r="3405" spans="1:4" x14ac:dyDescent="0.2">
      <c r="A3405" s="43">
        <v>42577</v>
      </c>
      <c r="D3405">
        <v>0.5</v>
      </c>
    </row>
    <row r="3406" spans="1:4" x14ac:dyDescent="0.2">
      <c r="A3406" s="43">
        <v>42578</v>
      </c>
      <c r="D3406">
        <v>0.5</v>
      </c>
    </row>
    <row r="3407" spans="1:4" x14ac:dyDescent="0.2">
      <c r="A3407" s="43">
        <v>42579</v>
      </c>
      <c r="D3407">
        <v>0.5</v>
      </c>
    </row>
    <row r="3408" spans="1:4" x14ac:dyDescent="0.2">
      <c r="A3408" s="43">
        <v>42580</v>
      </c>
      <c r="D3408">
        <v>0.5</v>
      </c>
    </row>
    <row r="3409" spans="1:5" x14ac:dyDescent="0.2">
      <c r="A3409" s="43">
        <v>42581</v>
      </c>
      <c r="D3409">
        <v>0.5</v>
      </c>
    </row>
    <row r="3410" spans="1:5" x14ac:dyDescent="0.2">
      <c r="A3410" s="43">
        <v>42582</v>
      </c>
      <c r="D3410">
        <v>0.5</v>
      </c>
    </row>
    <row r="3411" spans="1:5" x14ac:dyDescent="0.2">
      <c r="A3411" s="43">
        <v>42583</v>
      </c>
      <c r="B3411">
        <v>104.374</v>
      </c>
      <c r="C3411">
        <v>106.456</v>
      </c>
      <c r="D3411">
        <v>0.5</v>
      </c>
      <c r="E3411">
        <v>248.423</v>
      </c>
    </row>
    <row r="3412" spans="1:5" x14ac:dyDescent="0.2">
      <c r="A3412" s="43">
        <v>42584</v>
      </c>
      <c r="D3412">
        <v>0.5</v>
      </c>
    </row>
    <row r="3413" spans="1:5" x14ac:dyDescent="0.2">
      <c r="A3413" s="43">
        <v>42585</v>
      </c>
      <c r="D3413">
        <v>0.5</v>
      </c>
    </row>
    <row r="3414" spans="1:5" x14ac:dyDescent="0.2">
      <c r="A3414" s="43">
        <v>42586</v>
      </c>
      <c r="D3414">
        <v>0.5</v>
      </c>
    </row>
    <row r="3415" spans="1:5" x14ac:dyDescent="0.2">
      <c r="A3415" s="43">
        <v>42587</v>
      </c>
      <c r="D3415">
        <v>0.5</v>
      </c>
    </row>
    <row r="3416" spans="1:5" x14ac:dyDescent="0.2">
      <c r="A3416" s="43">
        <v>42588</v>
      </c>
      <c r="D3416">
        <v>0.5</v>
      </c>
    </row>
    <row r="3417" spans="1:5" x14ac:dyDescent="0.2">
      <c r="A3417" s="43">
        <v>42589</v>
      </c>
      <c r="D3417">
        <v>0.5</v>
      </c>
    </row>
    <row r="3418" spans="1:5" x14ac:dyDescent="0.2">
      <c r="A3418" s="43">
        <v>42590</v>
      </c>
      <c r="D3418">
        <v>0.5</v>
      </c>
    </row>
    <row r="3419" spans="1:5" x14ac:dyDescent="0.2">
      <c r="A3419" s="43">
        <v>42591</v>
      </c>
      <c r="D3419">
        <v>0.5</v>
      </c>
    </row>
    <row r="3420" spans="1:5" x14ac:dyDescent="0.2">
      <c r="A3420" s="43">
        <v>42592</v>
      </c>
      <c r="D3420">
        <v>0.5</v>
      </c>
    </row>
    <row r="3421" spans="1:5" x14ac:dyDescent="0.2">
      <c r="A3421" s="43">
        <v>42593</v>
      </c>
      <c r="D3421">
        <v>0.5</v>
      </c>
    </row>
    <row r="3422" spans="1:5" x14ac:dyDescent="0.2">
      <c r="A3422" s="43">
        <v>42594</v>
      </c>
      <c r="D3422">
        <v>0.5</v>
      </c>
    </row>
    <row r="3423" spans="1:5" x14ac:dyDescent="0.2">
      <c r="A3423" s="43">
        <v>42595</v>
      </c>
      <c r="D3423">
        <v>0.5</v>
      </c>
    </row>
    <row r="3424" spans="1:5" x14ac:dyDescent="0.2">
      <c r="A3424" s="43">
        <v>42596</v>
      </c>
      <c r="D3424">
        <v>0.5</v>
      </c>
    </row>
    <row r="3425" spans="1:4" x14ac:dyDescent="0.2">
      <c r="A3425" s="43">
        <v>42597</v>
      </c>
      <c r="D3425">
        <v>0.5</v>
      </c>
    </row>
    <row r="3426" spans="1:4" x14ac:dyDescent="0.2">
      <c r="A3426" s="43">
        <v>42598</v>
      </c>
      <c r="D3426">
        <v>0.5</v>
      </c>
    </row>
    <row r="3427" spans="1:4" x14ac:dyDescent="0.2">
      <c r="A3427" s="43">
        <v>42599</v>
      </c>
      <c r="D3427">
        <v>0.5</v>
      </c>
    </row>
    <row r="3428" spans="1:4" x14ac:dyDescent="0.2">
      <c r="A3428" s="43">
        <v>42600</v>
      </c>
      <c r="D3428">
        <v>0.5</v>
      </c>
    </row>
    <row r="3429" spans="1:4" x14ac:dyDescent="0.2">
      <c r="A3429" s="43">
        <v>42601</v>
      </c>
      <c r="D3429">
        <v>0.5</v>
      </c>
    </row>
    <row r="3430" spans="1:4" x14ac:dyDescent="0.2">
      <c r="A3430" s="43">
        <v>42602</v>
      </c>
      <c r="D3430">
        <v>0.5</v>
      </c>
    </row>
    <row r="3431" spans="1:4" x14ac:dyDescent="0.2">
      <c r="A3431" s="43">
        <v>42603</v>
      </c>
      <c r="D3431">
        <v>0.5</v>
      </c>
    </row>
    <row r="3432" spans="1:4" x14ac:dyDescent="0.2">
      <c r="A3432" s="43">
        <v>42604</v>
      </c>
      <c r="D3432">
        <v>0.5</v>
      </c>
    </row>
    <row r="3433" spans="1:4" x14ac:dyDescent="0.2">
      <c r="A3433" s="43">
        <v>42605</v>
      </c>
      <c r="D3433">
        <v>0.5</v>
      </c>
    </row>
    <row r="3434" spans="1:4" x14ac:dyDescent="0.2">
      <c r="A3434" s="43">
        <v>42606</v>
      </c>
      <c r="D3434">
        <v>0.5</v>
      </c>
    </row>
    <row r="3435" spans="1:4" x14ac:dyDescent="0.2">
      <c r="A3435" s="43">
        <v>42607</v>
      </c>
      <c r="D3435">
        <v>0.5</v>
      </c>
    </row>
    <row r="3436" spans="1:4" x14ac:dyDescent="0.2">
      <c r="A3436" s="43">
        <v>42608</v>
      </c>
      <c r="D3436">
        <v>0.5</v>
      </c>
    </row>
    <row r="3437" spans="1:4" x14ac:dyDescent="0.2">
      <c r="A3437" s="43">
        <v>42609</v>
      </c>
      <c r="D3437">
        <v>0.5</v>
      </c>
    </row>
    <row r="3438" spans="1:4" x14ac:dyDescent="0.2">
      <c r="A3438" s="43">
        <v>42610</v>
      </c>
      <c r="D3438">
        <v>0.5</v>
      </c>
    </row>
    <row r="3439" spans="1:4" x14ac:dyDescent="0.2">
      <c r="A3439" s="43">
        <v>42611</v>
      </c>
      <c r="D3439">
        <v>0.5</v>
      </c>
    </row>
    <row r="3440" spans="1:4" x14ac:dyDescent="0.2">
      <c r="A3440" s="43">
        <v>42612</v>
      </c>
      <c r="D3440">
        <v>0.5</v>
      </c>
    </row>
    <row r="3441" spans="1:5" x14ac:dyDescent="0.2">
      <c r="A3441" s="43">
        <v>42613</v>
      </c>
      <c r="D3441">
        <v>0.5</v>
      </c>
    </row>
    <row r="3442" spans="1:5" x14ac:dyDescent="0.2">
      <c r="A3442" s="43">
        <v>42614</v>
      </c>
      <c r="B3442">
        <v>104.55500000000001</v>
      </c>
      <c r="C3442">
        <v>106.57899999999999</v>
      </c>
      <c r="D3442">
        <v>0.5</v>
      </c>
      <c r="E3442">
        <v>248.84200000000001</v>
      </c>
    </row>
    <row r="3443" spans="1:5" x14ac:dyDescent="0.2">
      <c r="A3443" s="43">
        <v>42615</v>
      </c>
      <c r="D3443">
        <v>0.5</v>
      </c>
    </row>
    <row r="3444" spans="1:5" x14ac:dyDescent="0.2">
      <c r="A3444" s="43">
        <v>42616</v>
      </c>
      <c r="D3444">
        <v>0.5</v>
      </c>
    </row>
    <row r="3445" spans="1:5" x14ac:dyDescent="0.2">
      <c r="A3445" s="43">
        <v>42617</v>
      </c>
      <c r="D3445">
        <v>0.5</v>
      </c>
    </row>
    <row r="3446" spans="1:5" x14ac:dyDescent="0.2">
      <c r="A3446" s="43">
        <v>42618</v>
      </c>
      <c r="D3446">
        <v>0.5</v>
      </c>
    </row>
    <row r="3447" spans="1:5" x14ac:dyDescent="0.2">
      <c r="A3447" s="43">
        <v>42619</v>
      </c>
      <c r="D3447">
        <v>0.5</v>
      </c>
    </row>
    <row r="3448" spans="1:5" x14ac:dyDescent="0.2">
      <c r="A3448" s="43">
        <v>42620</v>
      </c>
      <c r="D3448">
        <v>0.5</v>
      </c>
    </row>
    <row r="3449" spans="1:5" x14ac:dyDescent="0.2">
      <c r="A3449" s="43">
        <v>42621</v>
      </c>
      <c r="D3449">
        <v>0.5</v>
      </c>
    </row>
    <row r="3450" spans="1:5" x14ac:dyDescent="0.2">
      <c r="A3450" s="43">
        <v>42622</v>
      </c>
      <c r="D3450">
        <v>0.5</v>
      </c>
    </row>
    <row r="3451" spans="1:5" x14ac:dyDescent="0.2">
      <c r="A3451" s="43">
        <v>42623</v>
      </c>
      <c r="D3451">
        <v>0.5</v>
      </c>
    </row>
    <row r="3452" spans="1:5" x14ac:dyDescent="0.2">
      <c r="A3452" s="43">
        <v>42624</v>
      </c>
      <c r="D3452">
        <v>0.5</v>
      </c>
    </row>
    <row r="3453" spans="1:5" x14ac:dyDescent="0.2">
      <c r="A3453" s="43">
        <v>42625</v>
      </c>
      <c r="D3453">
        <v>0.5</v>
      </c>
    </row>
    <row r="3454" spans="1:5" x14ac:dyDescent="0.2">
      <c r="A3454" s="43">
        <v>42626</v>
      </c>
      <c r="D3454">
        <v>0.5</v>
      </c>
    </row>
    <row r="3455" spans="1:5" x14ac:dyDescent="0.2">
      <c r="A3455" s="43">
        <v>42627</v>
      </c>
      <c r="D3455">
        <v>0.5</v>
      </c>
    </row>
    <row r="3456" spans="1:5" x14ac:dyDescent="0.2">
      <c r="A3456" s="43">
        <v>42628</v>
      </c>
      <c r="D3456">
        <v>0.5</v>
      </c>
    </row>
    <row r="3457" spans="1:5" x14ac:dyDescent="0.2">
      <c r="A3457" s="43">
        <v>42629</v>
      </c>
      <c r="D3457">
        <v>0.5</v>
      </c>
    </row>
    <row r="3458" spans="1:5" x14ac:dyDescent="0.2">
      <c r="A3458" s="43">
        <v>42630</v>
      </c>
      <c r="D3458">
        <v>0.5</v>
      </c>
    </row>
    <row r="3459" spans="1:5" x14ac:dyDescent="0.2">
      <c r="A3459" s="43">
        <v>42631</v>
      </c>
      <c r="D3459">
        <v>0.5</v>
      </c>
    </row>
    <row r="3460" spans="1:5" x14ac:dyDescent="0.2">
      <c r="A3460" s="43">
        <v>42632</v>
      </c>
      <c r="D3460">
        <v>0.5</v>
      </c>
    </row>
    <row r="3461" spans="1:5" x14ac:dyDescent="0.2">
      <c r="A3461" s="43">
        <v>42633</v>
      </c>
      <c r="D3461">
        <v>0.5</v>
      </c>
    </row>
    <row r="3462" spans="1:5" x14ac:dyDescent="0.2">
      <c r="A3462" s="43">
        <v>42634</v>
      </c>
      <c r="D3462">
        <v>0.5</v>
      </c>
    </row>
    <row r="3463" spans="1:5" x14ac:dyDescent="0.2">
      <c r="A3463" s="43">
        <v>42635</v>
      </c>
      <c r="D3463">
        <v>0.5</v>
      </c>
    </row>
    <row r="3464" spans="1:5" x14ac:dyDescent="0.2">
      <c r="A3464" s="43">
        <v>42636</v>
      </c>
      <c r="D3464">
        <v>0.5</v>
      </c>
    </row>
    <row r="3465" spans="1:5" x14ac:dyDescent="0.2">
      <c r="A3465" s="43">
        <v>42637</v>
      </c>
      <c r="D3465">
        <v>0.5</v>
      </c>
    </row>
    <row r="3466" spans="1:5" x14ac:dyDescent="0.2">
      <c r="A3466" s="43">
        <v>42638</v>
      </c>
      <c r="D3466">
        <v>0.5</v>
      </c>
    </row>
    <row r="3467" spans="1:5" x14ac:dyDescent="0.2">
      <c r="A3467" s="43">
        <v>42639</v>
      </c>
      <c r="D3467">
        <v>0.5</v>
      </c>
    </row>
    <row r="3468" spans="1:5" x14ac:dyDescent="0.2">
      <c r="A3468" s="43">
        <v>42640</v>
      </c>
      <c r="D3468">
        <v>0.5</v>
      </c>
    </row>
    <row r="3469" spans="1:5" x14ac:dyDescent="0.2">
      <c r="A3469" s="43">
        <v>42641</v>
      </c>
      <c r="D3469">
        <v>0.5</v>
      </c>
    </row>
    <row r="3470" spans="1:5" x14ac:dyDescent="0.2">
      <c r="A3470" s="43">
        <v>42642</v>
      </c>
      <c r="D3470">
        <v>0.5</v>
      </c>
    </row>
    <row r="3471" spans="1:5" x14ac:dyDescent="0.2">
      <c r="A3471" s="43">
        <v>42643</v>
      </c>
      <c r="D3471">
        <v>0.5</v>
      </c>
    </row>
    <row r="3472" spans="1:5" x14ac:dyDescent="0.2">
      <c r="A3472" s="43">
        <v>42644</v>
      </c>
      <c r="B3472">
        <v>104.786</v>
      </c>
      <c r="C3472">
        <v>106.73699999999999</v>
      </c>
      <c r="D3472">
        <v>0.5</v>
      </c>
      <c r="E3472">
        <v>249.142</v>
      </c>
    </row>
    <row r="3473" spans="1:4" x14ac:dyDescent="0.2">
      <c r="A3473" s="43">
        <v>42645</v>
      </c>
      <c r="D3473">
        <v>0.5</v>
      </c>
    </row>
    <row r="3474" spans="1:4" x14ac:dyDescent="0.2">
      <c r="A3474" s="43">
        <v>42646</v>
      </c>
      <c r="D3474">
        <v>0.5</v>
      </c>
    </row>
    <row r="3475" spans="1:4" x14ac:dyDescent="0.2">
      <c r="A3475" s="43">
        <v>42647</v>
      </c>
      <c r="D3475">
        <v>0.5</v>
      </c>
    </row>
    <row r="3476" spans="1:4" x14ac:dyDescent="0.2">
      <c r="A3476" s="43">
        <v>42648</v>
      </c>
      <c r="D3476">
        <v>0.5</v>
      </c>
    </row>
    <row r="3477" spans="1:4" x14ac:dyDescent="0.2">
      <c r="A3477" s="43">
        <v>42649</v>
      </c>
      <c r="D3477">
        <v>0.5</v>
      </c>
    </row>
    <row r="3478" spans="1:4" x14ac:dyDescent="0.2">
      <c r="A3478" s="43">
        <v>42650</v>
      </c>
      <c r="D3478">
        <v>0.5</v>
      </c>
    </row>
    <row r="3479" spans="1:4" x14ac:dyDescent="0.2">
      <c r="A3479" s="43">
        <v>42651</v>
      </c>
      <c r="D3479">
        <v>0.5</v>
      </c>
    </row>
    <row r="3480" spans="1:4" x14ac:dyDescent="0.2">
      <c r="A3480" s="43">
        <v>42652</v>
      </c>
      <c r="D3480">
        <v>0.5</v>
      </c>
    </row>
    <row r="3481" spans="1:4" x14ac:dyDescent="0.2">
      <c r="A3481" s="43">
        <v>42653</v>
      </c>
      <c r="D3481">
        <v>0.5</v>
      </c>
    </row>
    <row r="3482" spans="1:4" x14ac:dyDescent="0.2">
      <c r="A3482" s="43">
        <v>42654</v>
      </c>
      <c r="D3482">
        <v>0.5</v>
      </c>
    </row>
    <row r="3483" spans="1:4" x14ac:dyDescent="0.2">
      <c r="A3483" s="43">
        <v>42655</v>
      </c>
      <c r="D3483">
        <v>0.5</v>
      </c>
    </row>
    <row r="3484" spans="1:4" x14ac:dyDescent="0.2">
      <c r="A3484" s="43">
        <v>42656</v>
      </c>
      <c r="D3484">
        <v>0.5</v>
      </c>
    </row>
    <row r="3485" spans="1:4" x14ac:dyDescent="0.2">
      <c r="A3485" s="43">
        <v>42657</v>
      </c>
      <c r="D3485">
        <v>0.5</v>
      </c>
    </row>
    <row r="3486" spans="1:4" x14ac:dyDescent="0.2">
      <c r="A3486" s="43">
        <v>42658</v>
      </c>
      <c r="D3486">
        <v>0.5</v>
      </c>
    </row>
    <row r="3487" spans="1:4" x14ac:dyDescent="0.2">
      <c r="A3487" s="43">
        <v>42659</v>
      </c>
      <c r="D3487">
        <v>0.5</v>
      </c>
    </row>
    <row r="3488" spans="1:4" x14ac:dyDescent="0.2">
      <c r="A3488" s="43">
        <v>42660</v>
      </c>
      <c r="D3488">
        <v>0.5</v>
      </c>
    </row>
    <row r="3489" spans="1:5" x14ac:dyDescent="0.2">
      <c r="A3489" s="43">
        <v>42661</v>
      </c>
      <c r="D3489">
        <v>0.5</v>
      </c>
    </row>
    <row r="3490" spans="1:5" x14ac:dyDescent="0.2">
      <c r="A3490" s="43">
        <v>42662</v>
      </c>
      <c r="D3490">
        <v>0.5</v>
      </c>
    </row>
    <row r="3491" spans="1:5" x14ac:dyDescent="0.2">
      <c r="A3491" s="43">
        <v>42663</v>
      </c>
      <c r="D3491">
        <v>0.5</v>
      </c>
    </row>
    <row r="3492" spans="1:5" x14ac:dyDescent="0.2">
      <c r="A3492" s="43">
        <v>42664</v>
      </c>
      <c r="D3492">
        <v>0.5</v>
      </c>
    </row>
    <row r="3493" spans="1:5" x14ac:dyDescent="0.2">
      <c r="A3493" s="43">
        <v>42665</v>
      </c>
      <c r="D3493">
        <v>0.5</v>
      </c>
    </row>
    <row r="3494" spans="1:5" x14ac:dyDescent="0.2">
      <c r="A3494" s="43">
        <v>42666</v>
      </c>
      <c r="D3494">
        <v>0.5</v>
      </c>
    </row>
    <row r="3495" spans="1:5" x14ac:dyDescent="0.2">
      <c r="A3495" s="43">
        <v>42667</v>
      </c>
      <c r="D3495">
        <v>0.5</v>
      </c>
    </row>
    <row r="3496" spans="1:5" x14ac:dyDescent="0.2">
      <c r="A3496" s="43">
        <v>42668</v>
      </c>
      <c r="D3496">
        <v>0.5</v>
      </c>
    </row>
    <row r="3497" spans="1:5" x14ac:dyDescent="0.2">
      <c r="A3497" s="43">
        <v>42669</v>
      </c>
      <c r="D3497">
        <v>0.5</v>
      </c>
    </row>
    <row r="3498" spans="1:5" x14ac:dyDescent="0.2">
      <c r="A3498" s="43">
        <v>42670</v>
      </c>
      <c r="D3498">
        <v>0.5</v>
      </c>
    </row>
    <row r="3499" spans="1:5" x14ac:dyDescent="0.2">
      <c r="A3499" s="43">
        <v>42671</v>
      </c>
      <c r="D3499">
        <v>0.5</v>
      </c>
    </row>
    <row r="3500" spans="1:5" x14ac:dyDescent="0.2">
      <c r="A3500" s="43">
        <v>42672</v>
      </c>
      <c r="D3500">
        <v>0.5</v>
      </c>
    </row>
    <row r="3501" spans="1:5" x14ac:dyDescent="0.2">
      <c r="A3501" s="43">
        <v>42673</v>
      </c>
      <c r="D3501">
        <v>0.5</v>
      </c>
    </row>
    <row r="3502" spans="1:5" x14ac:dyDescent="0.2">
      <c r="A3502" s="43">
        <v>42674</v>
      </c>
      <c r="D3502">
        <v>0.5</v>
      </c>
    </row>
    <row r="3503" spans="1:5" x14ac:dyDescent="0.2">
      <c r="A3503" s="43">
        <v>42675</v>
      </c>
      <c r="B3503">
        <v>104.82599999999999</v>
      </c>
      <c r="C3503">
        <v>106.789</v>
      </c>
      <c r="D3503">
        <v>0.5</v>
      </c>
      <c r="E3503">
        <v>249.48099999999999</v>
      </c>
    </row>
    <row r="3504" spans="1:5" x14ac:dyDescent="0.2">
      <c r="A3504" s="43">
        <v>42676</v>
      </c>
      <c r="D3504">
        <v>0.5</v>
      </c>
    </row>
    <row r="3505" spans="1:4" x14ac:dyDescent="0.2">
      <c r="A3505" s="43">
        <v>42677</v>
      </c>
      <c r="D3505">
        <v>0.5</v>
      </c>
    </row>
    <row r="3506" spans="1:4" x14ac:dyDescent="0.2">
      <c r="A3506" s="43">
        <v>42678</v>
      </c>
      <c r="D3506">
        <v>0.5</v>
      </c>
    </row>
    <row r="3507" spans="1:4" x14ac:dyDescent="0.2">
      <c r="A3507" s="43">
        <v>42679</v>
      </c>
      <c r="D3507">
        <v>0.5</v>
      </c>
    </row>
    <row r="3508" spans="1:4" x14ac:dyDescent="0.2">
      <c r="A3508" s="43">
        <v>42680</v>
      </c>
      <c r="D3508">
        <v>0.5</v>
      </c>
    </row>
    <row r="3509" spans="1:4" x14ac:dyDescent="0.2">
      <c r="A3509" s="43">
        <v>42681</v>
      </c>
      <c r="D3509">
        <v>0.5</v>
      </c>
    </row>
    <row r="3510" spans="1:4" x14ac:dyDescent="0.2">
      <c r="A3510" s="43">
        <v>42682</v>
      </c>
      <c r="D3510">
        <v>0.5</v>
      </c>
    </row>
    <row r="3511" spans="1:4" x14ac:dyDescent="0.2">
      <c r="A3511" s="43">
        <v>42683</v>
      </c>
      <c r="D3511">
        <v>0.5</v>
      </c>
    </row>
    <row r="3512" spans="1:4" x14ac:dyDescent="0.2">
      <c r="A3512" s="43">
        <v>42684</v>
      </c>
      <c r="D3512">
        <v>0.5</v>
      </c>
    </row>
    <row r="3513" spans="1:4" x14ac:dyDescent="0.2">
      <c r="A3513" s="43">
        <v>42685</v>
      </c>
      <c r="D3513">
        <v>0.5</v>
      </c>
    </row>
    <row r="3514" spans="1:4" x14ac:dyDescent="0.2">
      <c r="A3514" s="43">
        <v>42686</v>
      </c>
      <c r="D3514">
        <v>0.5</v>
      </c>
    </row>
    <row r="3515" spans="1:4" x14ac:dyDescent="0.2">
      <c r="A3515" s="43">
        <v>42687</v>
      </c>
      <c r="D3515">
        <v>0.5</v>
      </c>
    </row>
    <row r="3516" spans="1:4" x14ac:dyDescent="0.2">
      <c r="A3516" s="43">
        <v>42688</v>
      </c>
      <c r="D3516">
        <v>0.5</v>
      </c>
    </row>
    <row r="3517" spans="1:4" x14ac:dyDescent="0.2">
      <c r="A3517" s="43">
        <v>42689</v>
      </c>
      <c r="D3517">
        <v>0.5</v>
      </c>
    </row>
    <row r="3518" spans="1:4" x14ac:dyDescent="0.2">
      <c r="A3518" s="43">
        <v>42690</v>
      </c>
      <c r="D3518">
        <v>0.5</v>
      </c>
    </row>
    <row r="3519" spans="1:4" x14ac:dyDescent="0.2">
      <c r="A3519" s="43">
        <v>42691</v>
      </c>
      <c r="D3519">
        <v>0.5</v>
      </c>
    </row>
    <row r="3520" spans="1:4" x14ac:dyDescent="0.2">
      <c r="A3520" s="43">
        <v>42692</v>
      </c>
      <c r="D3520">
        <v>0.5</v>
      </c>
    </row>
    <row r="3521" spans="1:5" x14ac:dyDescent="0.2">
      <c r="A3521" s="43">
        <v>42693</v>
      </c>
      <c r="D3521">
        <v>0.5</v>
      </c>
    </row>
    <row r="3522" spans="1:5" x14ac:dyDescent="0.2">
      <c r="A3522" s="43">
        <v>42694</v>
      </c>
      <c r="D3522">
        <v>0.5</v>
      </c>
    </row>
    <row r="3523" spans="1:5" x14ac:dyDescent="0.2">
      <c r="A3523" s="43">
        <v>42695</v>
      </c>
      <c r="D3523">
        <v>0.5</v>
      </c>
    </row>
    <row r="3524" spans="1:5" x14ac:dyDescent="0.2">
      <c r="A3524" s="43">
        <v>42696</v>
      </c>
      <c r="D3524">
        <v>0.5</v>
      </c>
    </row>
    <row r="3525" spans="1:5" x14ac:dyDescent="0.2">
      <c r="A3525" s="43">
        <v>42697</v>
      </c>
      <c r="D3525">
        <v>0.5</v>
      </c>
    </row>
    <row r="3526" spans="1:5" x14ac:dyDescent="0.2">
      <c r="A3526" s="43">
        <v>42698</v>
      </c>
      <c r="D3526">
        <v>0.5</v>
      </c>
    </row>
    <row r="3527" spans="1:5" x14ac:dyDescent="0.2">
      <c r="A3527" s="43">
        <v>42699</v>
      </c>
      <c r="D3527">
        <v>0.5</v>
      </c>
    </row>
    <row r="3528" spans="1:5" x14ac:dyDescent="0.2">
      <c r="A3528" s="43">
        <v>42700</v>
      </c>
      <c r="D3528">
        <v>0.5</v>
      </c>
    </row>
    <row r="3529" spans="1:5" x14ac:dyDescent="0.2">
      <c r="A3529" s="43">
        <v>42701</v>
      </c>
      <c r="D3529">
        <v>0.5</v>
      </c>
    </row>
    <row r="3530" spans="1:5" x14ac:dyDescent="0.2">
      <c r="A3530" s="43">
        <v>42702</v>
      </c>
      <c r="D3530">
        <v>0.5</v>
      </c>
    </row>
    <row r="3531" spans="1:5" x14ac:dyDescent="0.2">
      <c r="A3531" s="43">
        <v>42703</v>
      </c>
      <c r="D3531">
        <v>0.5</v>
      </c>
    </row>
    <row r="3532" spans="1:5" x14ac:dyDescent="0.2">
      <c r="A3532" s="43">
        <v>42704</v>
      </c>
      <c r="D3532">
        <v>0.5</v>
      </c>
    </row>
    <row r="3533" spans="1:5" x14ac:dyDescent="0.2">
      <c r="A3533" s="43">
        <v>42705</v>
      </c>
      <c r="B3533">
        <v>105.017</v>
      </c>
      <c r="C3533">
        <v>106.929</v>
      </c>
      <c r="D3533">
        <v>0.5</v>
      </c>
      <c r="E3533">
        <v>249.92</v>
      </c>
    </row>
    <row r="3534" spans="1:5" x14ac:dyDescent="0.2">
      <c r="A3534" s="43">
        <v>42706</v>
      </c>
      <c r="D3534">
        <v>0.5</v>
      </c>
    </row>
    <row r="3535" spans="1:5" x14ac:dyDescent="0.2">
      <c r="A3535" s="43">
        <v>42707</v>
      </c>
      <c r="D3535">
        <v>0.5</v>
      </c>
    </row>
    <row r="3536" spans="1:5" x14ac:dyDescent="0.2">
      <c r="A3536" s="43">
        <v>42708</v>
      </c>
      <c r="D3536">
        <v>0.5</v>
      </c>
    </row>
    <row r="3537" spans="1:4" x14ac:dyDescent="0.2">
      <c r="A3537" s="43">
        <v>42709</v>
      </c>
      <c r="D3537">
        <v>0.5</v>
      </c>
    </row>
    <row r="3538" spans="1:4" x14ac:dyDescent="0.2">
      <c r="A3538" s="43">
        <v>42710</v>
      </c>
      <c r="D3538">
        <v>0.5</v>
      </c>
    </row>
    <row r="3539" spans="1:4" x14ac:dyDescent="0.2">
      <c r="A3539" s="43">
        <v>42711</v>
      </c>
      <c r="D3539">
        <v>0.5</v>
      </c>
    </row>
    <row r="3540" spans="1:4" x14ac:dyDescent="0.2">
      <c r="A3540" s="43">
        <v>42712</v>
      </c>
      <c r="D3540">
        <v>0.5</v>
      </c>
    </row>
    <row r="3541" spans="1:4" x14ac:dyDescent="0.2">
      <c r="A3541" s="43">
        <v>42713</v>
      </c>
      <c r="D3541">
        <v>0.5</v>
      </c>
    </row>
    <row r="3542" spans="1:4" x14ac:dyDescent="0.2">
      <c r="A3542" s="43">
        <v>42714</v>
      </c>
      <c r="D3542">
        <v>0.5</v>
      </c>
    </row>
    <row r="3543" spans="1:4" x14ac:dyDescent="0.2">
      <c r="A3543" s="43">
        <v>42715</v>
      </c>
      <c r="D3543">
        <v>0.5</v>
      </c>
    </row>
    <row r="3544" spans="1:4" x14ac:dyDescent="0.2">
      <c r="A3544" s="43">
        <v>42716</v>
      </c>
      <c r="D3544">
        <v>0.5</v>
      </c>
    </row>
    <row r="3545" spans="1:4" x14ac:dyDescent="0.2">
      <c r="A3545" s="43">
        <v>42717</v>
      </c>
      <c r="D3545">
        <v>0.5</v>
      </c>
    </row>
    <row r="3546" spans="1:4" x14ac:dyDescent="0.2">
      <c r="A3546" s="43">
        <v>42718</v>
      </c>
      <c r="D3546">
        <v>0.75</v>
      </c>
    </row>
    <row r="3547" spans="1:4" x14ac:dyDescent="0.2">
      <c r="A3547" s="43">
        <v>42719</v>
      </c>
      <c r="D3547">
        <v>0.75</v>
      </c>
    </row>
    <row r="3548" spans="1:4" x14ac:dyDescent="0.2">
      <c r="A3548" s="43">
        <v>42720</v>
      </c>
      <c r="D3548">
        <v>0.75</v>
      </c>
    </row>
    <row r="3549" spans="1:4" x14ac:dyDescent="0.2">
      <c r="A3549" s="43">
        <v>42721</v>
      </c>
      <c r="D3549">
        <v>0.75</v>
      </c>
    </row>
    <row r="3550" spans="1:4" x14ac:dyDescent="0.2">
      <c r="A3550" s="43">
        <v>42722</v>
      </c>
      <c r="D3550">
        <v>0.75</v>
      </c>
    </row>
    <row r="3551" spans="1:4" x14ac:dyDescent="0.2">
      <c r="A3551" s="43">
        <v>42723</v>
      </c>
      <c r="D3551">
        <v>0.75</v>
      </c>
    </row>
    <row r="3552" spans="1:4" x14ac:dyDescent="0.2">
      <c r="A3552" s="43">
        <v>42724</v>
      </c>
      <c r="D3552">
        <v>0.75</v>
      </c>
    </row>
    <row r="3553" spans="1:5" x14ac:dyDescent="0.2">
      <c r="A3553" s="43">
        <v>42725</v>
      </c>
      <c r="D3553">
        <v>0.75</v>
      </c>
    </row>
    <row r="3554" spans="1:5" x14ac:dyDescent="0.2">
      <c r="A3554" s="43">
        <v>42726</v>
      </c>
      <c r="D3554">
        <v>0.75</v>
      </c>
    </row>
    <row r="3555" spans="1:5" x14ac:dyDescent="0.2">
      <c r="A3555" s="43">
        <v>42727</v>
      </c>
      <c r="D3555">
        <v>0.75</v>
      </c>
    </row>
    <row r="3556" spans="1:5" x14ac:dyDescent="0.2">
      <c r="A3556" s="43">
        <v>42728</v>
      </c>
      <c r="D3556">
        <v>0.75</v>
      </c>
    </row>
    <row r="3557" spans="1:5" x14ac:dyDescent="0.2">
      <c r="A3557" s="43">
        <v>42729</v>
      </c>
      <c r="D3557">
        <v>0.75</v>
      </c>
    </row>
    <row r="3558" spans="1:5" x14ac:dyDescent="0.2">
      <c r="A3558" s="43">
        <v>42730</v>
      </c>
      <c r="D3558">
        <v>0.75</v>
      </c>
    </row>
    <row r="3559" spans="1:5" x14ac:dyDescent="0.2">
      <c r="A3559" s="43">
        <v>42731</v>
      </c>
      <c r="D3559">
        <v>0.75</v>
      </c>
    </row>
    <row r="3560" spans="1:5" x14ac:dyDescent="0.2">
      <c r="A3560" s="43">
        <v>42732</v>
      </c>
      <c r="D3560">
        <v>0.75</v>
      </c>
    </row>
    <row r="3561" spans="1:5" x14ac:dyDescent="0.2">
      <c r="A3561" s="43">
        <v>42733</v>
      </c>
      <c r="D3561">
        <v>0.75</v>
      </c>
    </row>
    <row r="3562" spans="1:5" x14ac:dyDescent="0.2">
      <c r="A3562" s="43">
        <v>42734</v>
      </c>
      <c r="D3562">
        <v>0.75</v>
      </c>
    </row>
    <row r="3563" spans="1:5" x14ac:dyDescent="0.2">
      <c r="A3563" s="43">
        <v>42735</v>
      </c>
      <c r="D3563">
        <v>0.75</v>
      </c>
    </row>
    <row r="3564" spans="1:5" x14ac:dyDescent="0.2">
      <c r="A3564" s="43">
        <v>42736</v>
      </c>
      <c r="B3564">
        <v>105.41</v>
      </c>
      <c r="C3564">
        <v>107.20399999999999</v>
      </c>
      <c r="D3564">
        <v>0.75</v>
      </c>
      <c r="E3564">
        <v>250.46199999999999</v>
      </c>
    </row>
    <row r="3565" spans="1:5" x14ac:dyDescent="0.2">
      <c r="A3565" s="43">
        <v>42737</v>
      </c>
      <c r="D3565">
        <v>0.75</v>
      </c>
    </row>
    <row r="3566" spans="1:5" x14ac:dyDescent="0.2">
      <c r="A3566" s="43">
        <v>42738</v>
      </c>
      <c r="D3566">
        <v>0.75</v>
      </c>
    </row>
    <row r="3567" spans="1:5" x14ac:dyDescent="0.2">
      <c r="A3567" s="43">
        <v>42739</v>
      </c>
      <c r="D3567">
        <v>0.75</v>
      </c>
    </row>
    <row r="3568" spans="1:5" x14ac:dyDescent="0.2">
      <c r="A3568" s="43">
        <v>42740</v>
      </c>
      <c r="D3568">
        <v>0.75</v>
      </c>
    </row>
    <row r="3569" spans="1:4" x14ac:dyDescent="0.2">
      <c r="A3569" s="43">
        <v>42741</v>
      </c>
      <c r="D3569">
        <v>0.75</v>
      </c>
    </row>
    <row r="3570" spans="1:4" x14ac:dyDescent="0.2">
      <c r="A3570" s="43">
        <v>42742</v>
      </c>
      <c r="D3570">
        <v>0.75</v>
      </c>
    </row>
    <row r="3571" spans="1:4" x14ac:dyDescent="0.2">
      <c r="A3571" s="43">
        <v>42743</v>
      </c>
      <c r="D3571">
        <v>0.75</v>
      </c>
    </row>
    <row r="3572" spans="1:4" x14ac:dyDescent="0.2">
      <c r="A3572" s="43">
        <v>42744</v>
      </c>
      <c r="D3572">
        <v>0.75</v>
      </c>
    </row>
    <row r="3573" spans="1:4" x14ac:dyDescent="0.2">
      <c r="A3573" s="43">
        <v>42745</v>
      </c>
      <c r="D3573">
        <v>0.75</v>
      </c>
    </row>
    <row r="3574" spans="1:4" x14ac:dyDescent="0.2">
      <c r="A3574" s="43">
        <v>42746</v>
      </c>
      <c r="D3574">
        <v>0.75</v>
      </c>
    </row>
    <row r="3575" spans="1:4" x14ac:dyDescent="0.2">
      <c r="A3575" s="43">
        <v>42747</v>
      </c>
      <c r="D3575">
        <v>0.75</v>
      </c>
    </row>
    <row r="3576" spans="1:4" x14ac:dyDescent="0.2">
      <c r="A3576" s="43">
        <v>42748</v>
      </c>
      <c r="D3576">
        <v>0.75</v>
      </c>
    </row>
    <row r="3577" spans="1:4" x14ac:dyDescent="0.2">
      <c r="A3577" s="43">
        <v>42749</v>
      </c>
      <c r="D3577">
        <v>0.75</v>
      </c>
    </row>
    <row r="3578" spans="1:4" x14ac:dyDescent="0.2">
      <c r="A3578" s="43">
        <v>42750</v>
      </c>
      <c r="D3578">
        <v>0.75</v>
      </c>
    </row>
    <row r="3579" spans="1:4" x14ac:dyDescent="0.2">
      <c r="A3579" s="43">
        <v>42751</v>
      </c>
      <c r="D3579">
        <v>0.75</v>
      </c>
    </row>
    <row r="3580" spans="1:4" x14ac:dyDescent="0.2">
      <c r="A3580" s="43">
        <v>42752</v>
      </c>
      <c r="D3580">
        <v>0.75</v>
      </c>
    </row>
    <row r="3581" spans="1:4" x14ac:dyDescent="0.2">
      <c r="A3581" s="43">
        <v>42753</v>
      </c>
      <c r="D3581">
        <v>0.75</v>
      </c>
    </row>
    <row r="3582" spans="1:4" x14ac:dyDescent="0.2">
      <c r="A3582" s="43">
        <v>42754</v>
      </c>
      <c r="D3582">
        <v>0.75</v>
      </c>
    </row>
    <row r="3583" spans="1:4" x14ac:dyDescent="0.2">
      <c r="A3583" s="43">
        <v>42755</v>
      </c>
      <c r="D3583">
        <v>0.75</v>
      </c>
    </row>
    <row r="3584" spans="1:4" x14ac:dyDescent="0.2">
      <c r="A3584" s="43">
        <v>42756</v>
      </c>
      <c r="D3584">
        <v>0.75</v>
      </c>
    </row>
    <row r="3585" spans="1:5" x14ac:dyDescent="0.2">
      <c r="A3585" s="43">
        <v>42757</v>
      </c>
      <c r="D3585">
        <v>0.75</v>
      </c>
    </row>
    <row r="3586" spans="1:5" x14ac:dyDescent="0.2">
      <c r="A3586" s="43">
        <v>42758</v>
      </c>
      <c r="D3586">
        <v>0.75</v>
      </c>
    </row>
    <row r="3587" spans="1:5" x14ac:dyDescent="0.2">
      <c r="A3587" s="43">
        <v>42759</v>
      </c>
      <c r="D3587">
        <v>0.75</v>
      </c>
    </row>
    <row r="3588" spans="1:5" x14ac:dyDescent="0.2">
      <c r="A3588" s="43">
        <v>42760</v>
      </c>
      <c r="D3588">
        <v>0.75</v>
      </c>
    </row>
    <row r="3589" spans="1:5" x14ac:dyDescent="0.2">
      <c r="A3589" s="43">
        <v>42761</v>
      </c>
      <c r="D3589">
        <v>0.75</v>
      </c>
    </row>
    <row r="3590" spans="1:5" x14ac:dyDescent="0.2">
      <c r="A3590" s="43">
        <v>42762</v>
      </c>
      <c r="D3590">
        <v>0.75</v>
      </c>
    </row>
    <row r="3591" spans="1:5" x14ac:dyDescent="0.2">
      <c r="A3591" s="43">
        <v>42763</v>
      </c>
      <c r="D3591">
        <v>0.75</v>
      </c>
    </row>
    <row r="3592" spans="1:5" x14ac:dyDescent="0.2">
      <c r="A3592" s="43">
        <v>42764</v>
      </c>
      <c r="D3592">
        <v>0.75</v>
      </c>
    </row>
    <row r="3593" spans="1:5" x14ac:dyDescent="0.2">
      <c r="A3593" s="43">
        <v>42765</v>
      </c>
      <c r="D3593">
        <v>0.75</v>
      </c>
    </row>
    <row r="3594" spans="1:5" x14ac:dyDescent="0.2">
      <c r="A3594" s="43">
        <v>42766</v>
      </c>
      <c r="D3594">
        <v>0.75</v>
      </c>
    </row>
    <row r="3595" spans="1:5" x14ac:dyDescent="0.2">
      <c r="A3595" s="43">
        <v>42767</v>
      </c>
      <c r="B3595">
        <v>105.502</v>
      </c>
      <c r="C3595">
        <v>107.357</v>
      </c>
      <c r="D3595">
        <v>0.75</v>
      </c>
      <c r="E3595">
        <v>250.90299999999999</v>
      </c>
    </row>
    <row r="3596" spans="1:5" x14ac:dyDescent="0.2">
      <c r="A3596" s="43">
        <v>42768</v>
      </c>
      <c r="D3596">
        <v>0.75</v>
      </c>
    </row>
    <row r="3597" spans="1:5" x14ac:dyDescent="0.2">
      <c r="A3597" s="43">
        <v>42769</v>
      </c>
      <c r="D3597">
        <v>0.75</v>
      </c>
    </row>
    <row r="3598" spans="1:5" x14ac:dyDescent="0.2">
      <c r="A3598" s="43">
        <v>42770</v>
      </c>
      <c r="D3598">
        <v>0.75</v>
      </c>
    </row>
    <row r="3599" spans="1:5" x14ac:dyDescent="0.2">
      <c r="A3599" s="43">
        <v>42771</v>
      </c>
      <c r="D3599">
        <v>0.75</v>
      </c>
    </row>
    <row r="3600" spans="1:5" x14ac:dyDescent="0.2">
      <c r="A3600" s="43">
        <v>42772</v>
      </c>
      <c r="D3600">
        <v>0.75</v>
      </c>
    </row>
    <row r="3601" spans="1:4" x14ac:dyDescent="0.2">
      <c r="A3601" s="43">
        <v>42773</v>
      </c>
      <c r="D3601">
        <v>0.75</v>
      </c>
    </row>
    <row r="3602" spans="1:4" x14ac:dyDescent="0.2">
      <c r="A3602" s="43">
        <v>42774</v>
      </c>
      <c r="D3602">
        <v>0.75</v>
      </c>
    </row>
    <row r="3603" spans="1:4" x14ac:dyDescent="0.2">
      <c r="A3603" s="43">
        <v>42775</v>
      </c>
      <c r="D3603">
        <v>0.75</v>
      </c>
    </row>
    <row r="3604" spans="1:4" x14ac:dyDescent="0.2">
      <c r="A3604" s="43">
        <v>42776</v>
      </c>
      <c r="D3604">
        <v>0.75</v>
      </c>
    </row>
    <row r="3605" spans="1:4" x14ac:dyDescent="0.2">
      <c r="A3605" s="43">
        <v>42777</v>
      </c>
      <c r="D3605">
        <v>0.75</v>
      </c>
    </row>
    <row r="3606" spans="1:4" x14ac:dyDescent="0.2">
      <c r="A3606" s="43">
        <v>42778</v>
      </c>
      <c r="D3606">
        <v>0.75</v>
      </c>
    </row>
    <row r="3607" spans="1:4" x14ac:dyDescent="0.2">
      <c r="A3607" s="43">
        <v>42779</v>
      </c>
      <c r="D3607">
        <v>0.75</v>
      </c>
    </row>
    <row r="3608" spans="1:4" x14ac:dyDescent="0.2">
      <c r="A3608" s="43">
        <v>42780</v>
      </c>
      <c r="D3608">
        <v>0.75</v>
      </c>
    </row>
    <row r="3609" spans="1:4" x14ac:dyDescent="0.2">
      <c r="A3609" s="43">
        <v>42781</v>
      </c>
      <c r="D3609">
        <v>0.75</v>
      </c>
    </row>
    <row r="3610" spans="1:4" x14ac:dyDescent="0.2">
      <c r="A3610" s="43">
        <v>42782</v>
      </c>
      <c r="D3610">
        <v>0.75</v>
      </c>
    </row>
    <row r="3611" spans="1:4" x14ac:dyDescent="0.2">
      <c r="A3611" s="43">
        <v>42783</v>
      </c>
      <c r="D3611">
        <v>0.75</v>
      </c>
    </row>
    <row r="3612" spans="1:4" x14ac:dyDescent="0.2">
      <c r="A3612" s="43">
        <v>42784</v>
      </c>
      <c r="D3612">
        <v>0.75</v>
      </c>
    </row>
    <row r="3613" spans="1:4" x14ac:dyDescent="0.2">
      <c r="A3613" s="43">
        <v>42785</v>
      </c>
      <c r="D3613">
        <v>0.75</v>
      </c>
    </row>
    <row r="3614" spans="1:4" x14ac:dyDescent="0.2">
      <c r="A3614" s="43">
        <v>42786</v>
      </c>
      <c r="D3614">
        <v>0.75</v>
      </c>
    </row>
    <row r="3615" spans="1:4" x14ac:dyDescent="0.2">
      <c r="A3615" s="43">
        <v>42787</v>
      </c>
      <c r="D3615">
        <v>0.75</v>
      </c>
    </row>
    <row r="3616" spans="1:4" x14ac:dyDescent="0.2">
      <c r="A3616" s="43">
        <v>42788</v>
      </c>
      <c r="D3616">
        <v>0.75</v>
      </c>
    </row>
    <row r="3617" spans="1:5" x14ac:dyDescent="0.2">
      <c r="A3617" s="43">
        <v>42789</v>
      </c>
      <c r="D3617">
        <v>0.75</v>
      </c>
    </row>
    <row r="3618" spans="1:5" x14ac:dyDescent="0.2">
      <c r="A3618" s="43">
        <v>42790</v>
      </c>
      <c r="D3618">
        <v>0.75</v>
      </c>
    </row>
    <row r="3619" spans="1:5" x14ac:dyDescent="0.2">
      <c r="A3619" s="43">
        <v>42791</v>
      </c>
      <c r="D3619">
        <v>0.75</v>
      </c>
    </row>
    <row r="3620" spans="1:5" x14ac:dyDescent="0.2">
      <c r="A3620" s="43">
        <v>42792</v>
      </c>
      <c r="D3620">
        <v>0.75</v>
      </c>
    </row>
    <row r="3621" spans="1:5" x14ac:dyDescent="0.2">
      <c r="A3621" s="43">
        <v>42793</v>
      </c>
      <c r="D3621">
        <v>0.75</v>
      </c>
    </row>
    <row r="3622" spans="1:5" x14ac:dyDescent="0.2">
      <c r="A3622" s="43">
        <v>42794</v>
      </c>
      <c r="D3622">
        <v>0.75</v>
      </c>
    </row>
    <row r="3623" spans="1:5" x14ac:dyDescent="0.2">
      <c r="A3623" s="43">
        <v>42795</v>
      </c>
      <c r="B3623">
        <v>105.44799999999999</v>
      </c>
      <c r="C3623">
        <v>107.307</v>
      </c>
      <c r="D3623">
        <v>0.75</v>
      </c>
      <c r="E3623">
        <v>250.83600000000001</v>
      </c>
    </row>
    <row r="3624" spans="1:5" x14ac:dyDescent="0.2">
      <c r="A3624" s="43">
        <v>42796</v>
      </c>
      <c r="D3624">
        <v>0.75</v>
      </c>
    </row>
    <row r="3625" spans="1:5" x14ac:dyDescent="0.2">
      <c r="A3625" s="43">
        <v>42797</v>
      </c>
      <c r="D3625">
        <v>0.75</v>
      </c>
    </row>
    <row r="3626" spans="1:5" x14ac:dyDescent="0.2">
      <c r="A3626" s="43">
        <v>42798</v>
      </c>
      <c r="D3626">
        <v>0.75</v>
      </c>
    </row>
    <row r="3627" spans="1:5" x14ac:dyDescent="0.2">
      <c r="A3627" s="43">
        <v>42799</v>
      </c>
      <c r="D3627">
        <v>0.75</v>
      </c>
    </row>
    <row r="3628" spans="1:5" x14ac:dyDescent="0.2">
      <c r="A3628" s="43">
        <v>42800</v>
      </c>
      <c r="D3628">
        <v>0.75</v>
      </c>
    </row>
    <row r="3629" spans="1:5" x14ac:dyDescent="0.2">
      <c r="A3629" s="43">
        <v>42801</v>
      </c>
      <c r="D3629">
        <v>0.75</v>
      </c>
    </row>
    <row r="3630" spans="1:5" x14ac:dyDescent="0.2">
      <c r="A3630" s="43">
        <v>42802</v>
      </c>
      <c r="D3630">
        <v>0.75</v>
      </c>
    </row>
    <row r="3631" spans="1:5" x14ac:dyDescent="0.2">
      <c r="A3631" s="43">
        <v>42803</v>
      </c>
      <c r="D3631">
        <v>0.75</v>
      </c>
    </row>
    <row r="3632" spans="1:5" x14ac:dyDescent="0.2">
      <c r="A3632" s="43">
        <v>42804</v>
      </c>
      <c r="D3632">
        <v>0.75</v>
      </c>
    </row>
    <row r="3633" spans="1:4" x14ac:dyDescent="0.2">
      <c r="A3633" s="43">
        <v>42805</v>
      </c>
      <c r="D3633">
        <v>0.75</v>
      </c>
    </row>
    <row r="3634" spans="1:4" x14ac:dyDescent="0.2">
      <c r="A3634" s="43">
        <v>42806</v>
      </c>
      <c r="D3634">
        <v>0.75</v>
      </c>
    </row>
    <row r="3635" spans="1:4" x14ac:dyDescent="0.2">
      <c r="A3635" s="43">
        <v>42807</v>
      </c>
      <c r="D3635">
        <v>0.75</v>
      </c>
    </row>
    <row r="3636" spans="1:4" x14ac:dyDescent="0.2">
      <c r="A3636" s="43">
        <v>42808</v>
      </c>
      <c r="D3636">
        <v>0.75</v>
      </c>
    </row>
    <row r="3637" spans="1:4" x14ac:dyDescent="0.2">
      <c r="A3637" s="43">
        <v>42809</v>
      </c>
      <c r="D3637">
        <v>0.75</v>
      </c>
    </row>
    <row r="3638" spans="1:4" x14ac:dyDescent="0.2">
      <c r="A3638" s="43">
        <v>42810</v>
      </c>
      <c r="D3638">
        <v>1</v>
      </c>
    </row>
    <row r="3639" spans="1:4" x14ac:dyDescent="0.2">
      <c r="A3639" s="43">
        <v>42811</v>
      </c>
      <c r="D3639">
        <v>1</v>
      </c>
    </row>
    <row r="3640" spans="1:4" x14ac:dyDescent="0.2">
      <c r="A3640" s="43">
        <v>42812</v>
      </c>
      <c r="D3640">
        <v>1</v>
      </c>
    </row>
    <row r="3641" spans="1:4" x14ac:dyDescent="0.2">
      <c r="A3641" s="43">
        <v>42813</v>
      </c>
      <c r="D3641">
        <v>1</v>
      </c>
    </row>
    <row r="3642" spans="1:4" x14ac:dyDescent="0.2">
      <c r="A3642" s="43">
        <v>42814</v>
      </c>
      <c r="D3642">
        <v>1</v>
      </c>
    </row>
    <row r="3643" spans="1:4" x14ac:dyDescent="0.2">
      <c r="A3643" s="43">
        <v>42815</v>
      </c>
      <c r="D3643">
        <v>1</v>
      </c>
    </row>
    <row r="3644" spans="1:4" x14ac:dyDescent="0.2">
      <c r="A3644" s="43">
        <v>42816</v>
      </c>
      <c r="D3644">
        <v>1</v>
      </c>
    </row>
    <row r="3645" spans="1:4" x14ac:dyDescent="0.2">
      <c r="A3645" s="43">
        <v>42817</v>
      </c>
      <c r="D3645">
        <v>1</v>
      </c>
    </row>
    <row r="3646" spans="1:4" x14ac:dyDescent="0.2">
      <c r="A3646" s="43">
        <v>42818</v>
      </c>
      <c r="D3646">
        <v>1</v>
      </c>
    </row>
    <row r="3647" spans="1:4" x14ac:dyDescent="0.2">
      <c r="A3647" s="43">
        <v>42819</v>
      </c>
      <c r="D3647">
        <v>1</v>
      </c>
    </row>
    <row r="3648" spans="1:4" x14ac:dyDescent="0.2">
      <c r="A3648" s="43">
        <v>42820</v>
      </c>
      <c r="D3648">
        <v>1</v>
      </c>
    </row>
    <row r="3649" spans="1:5" x14ac:dyDescent="0.2">
      <c r="A3649" s="43">
        <v>42821</v>
      </c>
      <c r="D3649">
        <v>1</v>
      </c>
    </row>
    <row r="3650" spans="1:5" x14ac:dyDescent="0.2">
      <c r="A3650" s="43">
        <v>42822</v>
      </c>
      <c r="D3650">
        <v>1</v>
      </c>
    </row>
    <row r="3651" spans="1:5" x14ac:dyDescent="0.2">
      <c r="A3651" s="43">
        <v>42823</v>
      </c>
      <c r="D3651">
        <v>1</v>
      </c>
    </row>
    <row r="3652" spans="1:5" x14ac:dyDescent="0.2">
      <c r="A3652" s="43">
        <v>42824</v>
      </c>
      <c r="D3652">
        <v>1</v>
      </c>
    </row>
    <row r="3653" spans="1:5" x14ac:dyDescent="0.2">
      <c r="A3653" s="43">
        <v>42825</v>
      </c>
      <c r="D3653">
        <v>1</v>
      </c>
    </row>
    <row r="3654" spans="1:5" x14ac:dyDescent="0.2">
      <c r="A3654" s="43">
        <v>42826</v>
      </c>
      <c r="B3654">
        <v>105.732</v>
      </c>
      <c r="C3654">
        <v>107.587</v>
      </c>
      <c r="D3654">
        <v>1</v>
      </c>
      <c r="E3654">
        <v>251.25200000000001</v>
      </c>
    </row>
    <row r="3655" spans="1:5" x14ac:dyDescent="0.2">
      <c r="A3655" s="43">
        <v>42827</v>
      </c>
      <c r="D3655">
        <v>1</v>
      </c>
    </row>
    <row r="3656" spans="1:5" x14ac:dyDescent="0.2">
      <c r="A3656" s="43">
        <v>42828</v>
      </c>
      <c r="D3656">
        <v>1</v>
      </c>
    </row>
    <row r="3657" spans="1:5" x14ac:dyDescent="0.2">
      <c r="A3657" s="43">
        <v>42829</v>
      </c>
      <c r="D3657">
        <v>1</v>
      </c>
    </row>
    <row r="3658" spans="1:5" x14ac:dyDescent="0.2">
      <c r="A3658" s="43">
        <v>42830</v>
      </c>
      <c r="D3658">
        <v>1</v>
      </c>
    </row>
    <row r="3659" spans="1:5" x14ac:dyDescent="0.2">
      <c r="A3659" s="43">
        <v>42831</v>
      </c>
      <c r="D3659">
        <v>1</v>
      </c>
    </row>
    <row r="3660" spans="1:5" x14ac:dyDescent="0.2">
      <c r="A3660" s="43">
        <v>42832</v>
      </c>
      <c r="D3660">
        <v>1</v>
      </c>
    </row>
    <row r="3661" spans="1:5" x14ac:dyDescent="0.2">
      <c r="A3661" s="43">
        <v>42833</v>
      </c>
      <c r="D3661">
        <v>1</v>
      </c>
    </row>
    <row r="3662" spans="1:5" x14ac:dyDescent="0.2">
      <c r="A3662" s="43">
        <v>42834</v>
      </c>
      <c r="D3662">
        <v>1</v>
      </c>
    </row>
    <row r="3663" spans="1:5" x14ac:dyDescent="0.2">
      <c r="A3663" s="43">
        <v>42835</v>
      </c>
      <c r="D3663">
        <v>1</v>
      </c>
    </row>
    <row r="3664" spans="1:5" x14ac:dyDescent="0.2">
      <c r="A3664" s="43">
        <v>42836</v>
      </c>
      <c r="D3664">
        <v>1</v>
      </c>
    </row>
    <row r="3665" spans="1:4" x14ac:dyDescent="0.2">
      <c r="A3665" s="43">
        <v>42837</v>
      </c>
      <c r="D3665">
        <v>1</v>
      </c>
    </row>
    <row r="3666" spans="1:4" x14ac:dyDescent="0.2">
      <c r="A3666" s="43">
        <v>42838</v>
      </c>
      <c r="D3666">
        <v>1</v>
      </c>
    </row>
    <row r="3667" spans="1:4" x14ac:dyDescent="0.2">
      <c r="A3667" s="43">
        <v>42839</v>
      </c>
      <c r="D3667">
        <v>1</v>
      </c>
    </row>
    <row r="3668" spans="1:4" x14ac:dyDescent="0.2">
      <c r="A3668" s="43">
        <v>42840</v>
      </c>
      <c r="D3668">
        <v>1</v>
      </c>
    </row>
    <row r="3669" spans="1:4" x14ac:dyDescent="0.2">
      <c r="A3669" s="43">
        <v>42841</v>
      </c>
      <c r="D3669">
        <v>1</v>
      </c>
    </row>
    <row r="3670" spans="1:4" x14ac:dyDescent="0.2">
      <c r="A3670" s="43">
        <v>42842</v>
      </c>
      <c r="D3670">
        <v>1</v>
      </c>
    </row>
    <row r="3671" spans="1:4" x14ac:dyDescent="0.2">
      <c r="A3671" s="43">
        <v>42843</v>
      </c>
      <c r="D3671">
        <v>1</v>
      </c>
    </row>
    <row r="3672" spans="1:4" x14ac:dyDescent="0.2">
      <c r="A3672" s="43">
        <v>42844</v>
      </c>
      <c r="D3672">
        <v>1</v>
      </c>
    </row>
    <row r="3673" spans="1:4" x14ac:dyDescent="0.2">
      <c r="A3673" s="43">
        <v>42845</v>
      </c>
      <c r="D3673">
        <v>1</v>
      </c>
    </row>
    <row r="3674" spans="1:4" x14ac:dyDescent="0.2">
      <c r="A3674" s="43">
        <v>42846</v>
      </c>
      <c r="D3674">
        <v>1</v>
      </c>
    </row>
    <row r="3675" spans="1:4" x14ac:dyDescent="0.2">
      <c r="A3675" s="43">
        <v>42847</v>
      </c>
      <c r="D3675">
        <v>1</v>
      </c>
    </row>
    <row r="3676" spans="1:4" x14ac:dyDescent="0.2">
      <c r="A3676" s="43">
        <v>42848</v>
      </c>
      <c r="D3676">
        <v>1</v>
      </c>
    </row>
    <row r="3677" spans="1:4" x14ac:dyDescent="0.2">
      <c r="A3677" s="43">
        <v>42849</v>
      </c>
      <c r="D3677">
        <v>1</v>
      </c>
    </row>
    <row r="3678" spans="1:4" x14ac:dyDescent="0.2">
      <c r="A3678" s="43">
        <v>42850</v>
      </c>
      <c r="D3678">
        <v>1</v>
      </c>
    </row>
    <row r="3679" spans="1:4" x14ac:dyDescent="0.2">
      <c r="A3679" s="43">
        <v>42851</v>
      </c>
      <c r="D3679">
        <v>1</v>
      </c>
    </row>
    <row r="3680" spans="1:4" x14ac:dyDescent="0.2">
      <c r="A3680" s="43">
        <v>42852</v>
      </c>
      <c r="D3680">
        <v>1</v>
      </c>
    </row>
    <row r="3681" spans="1:5" x14ac:dyDescent="0.2">
      <c r="A3681" s="43">
        <v>42853</v>
      </c>
      <c r="D3681">
        <v>1</v>
      </c>
    </row>
    <row r="3682" spans="1:5" x14ac:dyDescent="0.2">
      <c r="A3682" s="43">
        <v>42854</v>
      </c>
      <c r="D3682">
        <v>1</v>
      </c>
    </row>
    <row r="3683" spans="1:5" x14ac:dyDescent="0.2">
      <c r="A3683" s="43">
        <v>42855</v>
      </c>
      <c r="D3683">
        <v>1</v>
      </c>
    </row>
    <row r="3684" spans="1:5" x14ac:dyDescent="0.2">
      <c r="A3684" s="43">
        <v>42856</v>
      </c>
      <c r="B3684">
        <v>105.703</v>
      </c>
      <c r="C3684">
        <v>107.699</v>
      </c>
      <c r="D3684">
        <v>1</v>
      </c>
      <c r="E3684">
        <v>251.488</v>
      </c>
    </row>
    <row r="3685" spans="1:5" x14ac:dyDescent="0.2">
      <c r="A3685" s="43">
        <v>42857</v>
      </c>
      <c r="D3685">
        <v>1</v>
      </c>
    </row>
    <row r="3686" spans="1:5" x14ac:dyDescent="0.2">
      <c r="A3686" s="43">
        <v>42858</v>
      </c>
      <c r="D3686">
        <v>1</v>
      </c>
    </row>
    <row r="3687" spans="1:5" x14ac:dyDescent="0.2">
      <c r="A3687" s="43">
        <v>42859</v>
      </c>
      <c r="D3687">
        <v>1</v>
      </c>
    </row>
    <row r="3688" spans="1:5" x14ac:dyDescent="0.2">
      <c r="A3688" s="43">
        <v>42860</v>
      </c>
      <c r="D3688">
        <v>1</v>
      </c>
    </row>
    <row r="3689" spans="1:5" x14ac:dyDescent="0.2">
      <c r="A3689" s="43">
        <v>42861</v>
      </c>
      <c r="D3689">
        <v>1</v>
      </c>
    </row>
    <row r="3690" spans="1:5" x14ac:dyDescent="0.2">
      <c r="A3690" s="43">
        <v>42862</v>
      </c>
      <c r="D3690">
        <v>1</v>
      </c>
    </row>
    <row r="3691" spans="1:5" x14ac:dyDescent="0.2">
      <c r="A3691" s="43">
        <v>42863</v>
      </c>
      <c r="D3691">
        <v>1</v>
      </c>
    </row>
    <row r="3692" spans="1:5" x14ac:dyDescent="0.2">
      <c r="A3692" s="43">
        <v>42864</v>
      </c>
      <c r="D3692">
        <v>1</v>
      </c>
    </row>
    <row r="3693" spans="1:5" x14ac:dyDescent="0.2">
      <c r="A3693" s="43">
        <v>42865</v>
      </c>
      <c r="D3693">
        <v>1</v>
      </c>
    </row>
    <row r="3694" spans="1:5" x14ac:dyDescent="0.2">
      <c r="A3694" s="43">
        <v>42866</v>
      </c>
      <c r="D3694">
        <v>1</v>
      </c>
    </row>
    <row r="3695" spans="1:5" x14ac:dyDescent="0.2">
      <c r="A3695" s="43">
        <v>42867</v>
      </c>
      <c r="D3695">
        <v>1</v>
      </c>
    </row>
    <row r="3696" spans="1:5" x14ac:dyDescent="0.2">
      <c r="A3696" s="43">
        <v>42868</v>
      </c>
      <c r="D3696">
        <v>1</v>
      </c>
    </row>
    <row r="3697" spans="1:4" x14ac:dyDescent="0.2">
      <c r="A3697" s="43">
        <v>42869</v>
      </c>
      <c r="D3697">
        <v>1</v>
      </c>
    </row>
    <row r="3698" spans="1:4" x14ac:dyDescent="0.2">
      <c r="A3698" s="43">
        <v>42870</v>
      </c>
      <c r="D3698">
        <v>1</v>
      </c>
    </row>
    <row r="3699" spans="1:4" x14ac:dyDescent="0.2">
      <c r="A3699" s="43">
        <v>42871</v>
      </c>
      <c r="D3699">
        <v>1</v>
      </c>
    </row>
    <row r="3700" spans="1:4" x14ac:dyDescent="0.2">
      <c r="A3700" s="43">
        <v>42872</v>
      </c>
      <c r="D3700">
        <v>1</v>
      </c>
    </row>
    <row r="3701" spans="1:4" x14ac:dyDescent="0.2">
      <c r="A3701" s="43">
        <v>42873</v>
      </c>
      <c r="D3701">
        <v>1</v>
      </c>
    </row>
    <row r="3702" spans="1:4" x14ac:dyDescent="0.2">
      <c r="A3702" s="43">
        <v>42874</v>
      </c>
      <c r="D3702">
        <v>1</v>
      </c>
    </row>
    <row r="3703" spans="1:4" x14ac:dyDescent="0.2">
      <c r="A3703" s="43">
        <v>42875</v>
      </c>
      <c r="D3703">
        <v>1</v>
      </c>
    </row>
    <row r="3704" spans="1:4" x14ac:dyDescent="0.2">
      <c r="A3704" s="43">
        <v>42876</v>
      </c>
      <c r="D3704">
        <v>1</v>
      </c>
    </row>
    <row r="3705" spans="1:4" x14ac:dyDescent="0.2">
      <c r="A3705" s="43">
        <v>42877</v>
      </c>
      <c r="D3705">
        <v>1</v>
      </c>
    </row>
    <row r="3706" spans="1:4" x14ac:dyDescent="0.2">
      <c r="A3706" s="43">
        <v>42878</v>
      </c>
      <c r="D3706">
        <v>1</v>
      </c>
    </row>
    <row r="3707" spans="1:4" x14ac:dyDescent="0.2">
      <c r="A3707" s="43">
        <v>42879</v>
      </c>
      <c r="D3707">
        <v>1</v>
      </c>
    </row>
    <row r="3708" spans="1:4" x14ac:dyDescent="0.2">
      <c r="A3708" s="43">
        <v>42880</v>
      </c>
      <c r="D3708">
        <v>1</v>
      </c>
    </row>
    <row r="3709" spans="1:4" x14ac:dyDescent="0.2">
      <c r="A3709" s="43">
        <v>42881</v>
      </c>
      <c r="D3709">
        <v>1</v>
      </c>
    </row>
    <row r="3710" spans="1:4" x14ac:dyDescent="0.2">
      <c r="A3710" s="43">
        <v>42882</v>
      </c>
      <c r="D3710">
        <v>1</v>
      </c>
    </row>
    <row r="3711" spans="1:4" x14ac:dyDescent="0.2">
      <c r="A3711" s="43">
        <v>42883</v>
      </c>
      <c r="D3711">
        <v>1</v>
      </c>
    </row>
    <row r="3712" spans="1:4" x14ac:dyDescent="0.2">
      <c r="A3712" s="43">
        <v>42884</v>
      </c>
      <c r="D3712">
        <v>1</v>
      </c>
    </row>
    <row r="3713" spans="1:5" x14ac:dyDescent="0.2">
      <c r="A3713" s="43">
        <v>42885</v>
      </c>
      <c r="D3713">
        <v>1</v>
      </c>
    </row>
    <row r="3714" spans="1:5" x14ac:dyDescent="0.2">
      <c r="A3714" s="43">
        <v>42886</v>
      </c>
      <c r="D3714">
        <v>1</v>
      </c>
    </row>
    <row r="3715" spans="1:5" x14ac:dyDescent="0.2">
      <c r="A3715" s="43">
        <v>42887</v>
      </c>
      <c r="B3715">
        <v>105.818</v>
      </c>
      <c r="C3715">
        <v>107.876</v>
      </c>
      <c r="D3715">
        <v>1</v>
      </c>
      <c r="E3715">
        <v>251.822</v>
      </c>
    </row>
    <row r="3716" spans="1:5" x14ac:dyDescent="0.2">
      <c r="A3716" s="43">
        <v>42888</v>
      </c>
      <c r="D3716">
        <v>1</v>
      </c>
    </row>
    <row r="3717" spans="1:5" x14ac:dyDescent="0.2">
      <c r="A3717" s="43">
        <v>42889</v>
      </c>
      <c r="D3717">
        <v>1</v>
      </c>
    </row>
    <row r="3718" spans="1:5" x14ac:dyDescent="0.2">
      <c r="A3718" s="43">
        <v>42890</v>
      </c>
      <c r="D3718">
        <v>1</v>
      </c>
    </row>
    <row r="3719" spans="1:5" x14ac:dyDescent="0.2">
      <c r="A3719" s="43">
        <v>42891</v>
      </c>
      <c r="D3719">
        <v>1</v>
      </c>
    </row>
    <row r="3720" spans="1:5" x14ac:dyDescent="0.2">
      <c r="A3720" s="43">
        <v>42892</v>
      </c>
      <c r="D3720">
        <v>1</v>
      </c>
    </row>
    <row r="3721" spans="1:5" x14ac:dyDescent="0.2">
      <c r="A3721" s="43">
        <v>42893</v>
      </c>
      <c r="D3721">
        <v>1</v>
      </c>
    </row>
    <row r="3722" spans="1:5" x14ac:dyDescent="0.2">
      <c r="A3722" s="43">
        <v>42894</v>
      </c>
      <c r="D3722">
        <v>1</v>
      </c>
    </row>
    <row r="3723" spans="1:5" x14ac:dyDescent="0.2">
      <c r="A3723" s="43">
        <v>42895</v>
      </c>
      <c r="D3723">
        <v>1</v>
      </c>
    </row>
    <row r="3724" spans="1:5" x14ac:dyDescent="0.2">
      <c r="A3724" s="43">
        <v>42896</v>
      </c>
      <c r="D3724">
        <v>1</v>
      </c>
    </row>
    <row r="3725" spans="1:5" x14ac:dyDescent="0.2">
      <c r="A3725" s="43">
        <v>42897</v>
      </c>
      <c r="D3725">
        <v>1</v>
      </c>
    </row>
    <row r="3726" spans="1:5" x14ac:dyDescent="0.2">
      <c r="A3726" s="43">
        <v>42898</v>
      </c>
      <c r="D3726">
        <v>1</v>
      </c>
    </row>
    <row r="3727" spans="1:5" x14ac:dyDescent="0.2">
      <c r="A3727" s="43">
        <v>42899</v>
      </c>
      <c r="D3727">
        <v>1</v>
      </c>
    </row>
    <row r="3728" spans="1:5" x14ac:dyDescent="0.2">
      <c r="A3728" s="43">
        <v>42900</v>
      </c>
      <c r="D3728">
        <v>1</v>
      </c>
    </row>
    <row r="3729" spans="1:4" x14ac:dyDescent="0.2">
      <c r="A3729" s="43">
        <v>42901</v>
      </c>
      <c r="D3729">
        <v>1.25</v>
      </c>
    </row>
    <row r="3730" spans="1:4" x14ac:dyDescent="0.2">
      <c r="A3730" s="43">
        <v>42902</v>
      </c>
      <c r="D3730">
        <v>1.25</v>
      </c>
    </row>
    <row r="3731" spans="1:4" x14ac:dyDescent="0.2">
      <c r="A3731" s="43">
        <v>42903</v>
      </c>
      <c r="D3731">
        <v>1.25</v>
      </c>
    </row>
    <row r="3732" spans="1:4" x14ac:dyDescent="0.2">
      <c r="A3732" s="43">
        <v>42904</v>
      </c>
      <c r="D3732">
        <v>1.25</v>
      </c>
    </row>
    <row r="3733" spans="1:4" x14ac:dyDescent="0.2">
      <c r="A3733" s="43">
        <v>42905</v>
      </c>
      <c r="D3733">
        <v>1.25</v>
      </c>
    </row>
    <row r="3734" spans="1:4" x14ac:dyDescent="0.2">
      <c r="A3734" s="43">
        <v>42906</v>
      </c>
      <c r="D3734">
        <v>1.25</v>
      </c>
    </row>
    <row r="3735" spans="1:4" x14ac:dyDescent="0.2">
      <c r="A3735" s="43">
        <v>42907</v>
      </c>
      <c r="D3735">
        <v>1.25</v>
      </c>
    </row>
    <row r="3736" spans="1:4" x14ac:dyDescent="0.2">
      <c r="A3736" s="43">
        <v>42908</v>
      </c>
      <c r="D3736">
        <v>1.25</v>
      </c>
    </row>
    <row r="3737" spans="1:4" x14ac:dyDescent="0.2">
      <c r="A3737" s="43">
        <v>42909</v>
      </c>
      <c r="D3737">
        <v>1.25</v>
      </c>
    </row>
    <row r="3738" spans="1:4" x14ac:dyDescent="0.2">
      <c r="A3738" s="43">
        <v>42910</v>
      </c>
      <c r="D3738">
        <v>1.25</v>
      </c>
    </row>
    <row r="3739" spans="1:4" x14ac:dyDescent="0.2">
      <c r="A3739" s="43">
        <v>42911</v>
      </c>
      <c r="D3739">
        <v>1.25</v>
      </c>
    </row>
    <row r="3740" spans="1:4" x14ac:dyDescent="0.2">
      <c r="A3740" s="43">
        <v>42912</v>
      </c>
      <c r="D3740">
        <v>1.25</v>
      </c>
    </row>
    <row r="3741" spans="1:4" x14ac:dyDescent="0.2">
      <c r="A3741" s="43">
        <v>42913</v>
      </c>
      <c r="D3741">
        <v>1.25</v>
      </c>
    </row>
    <row r="3742" spans="1:4" x14ac:dyDescent="0.2">
      <c r="A3742" s="43">
        <v>42914</v>
      </c>
      <c r="D3742">
        <v>1.25</v>
      </c>
    </row>
    <row r="3743" spans="1:4" x14ac:dyDescent="0.2">
      <c r="A3743" s="43">
        <v>42915</v>
      </c>
      <c r="D3743">
        <v>1.25</v>
      </c>
    </row>
    <row r="3744" spans="1:4" x14ac:dyDescent="0.2">
      <c r="A3744" s="43">
        <v>42916</v>
      </c>
      <c r="D3744">
        <v>1.25</v>
      </c>
    </row>
    <row r="3745" spans="1:5" x14ac:dyDescent="0.2">
      <c r="A3745" s="43">
        <v>42917</v>
      </c>
      <c r="B3745">
        <v>105.84399999999999</v>
      </c>
      <c r="C3745">
        <v>107.944</v>
      </c>
      <c r="D3745">
        <v>1.25</v>
      </c>
      <c r="E3745">
        <v>252.047</v>
      </c>
    </row>
    <row r="3746" spans="1:5" x14ac:dyDescent="0.2">
      <c r="A3746" s="43">
        <v>42918</v>
      </c>
      <c r="D3746">
        <v>1.25</v>
      </c>
    </row>
    <row r="3747" spans="1:5" x14ac:dyDescent="0.2">
      <c r="A3747" s="43">
        <v>42919</v>
      </c>
      <c r="D3747">
        <v>1.25</v>
      </c>
    </row>
    <row r="3748" spans="1:5" x14ac:dyDescent="0.2">
      <c r="A3748" s="43">
        <v>42920</v>
      </c>
      <c r="D3748">
        <v>1.25</v>
      </c>
    </row>
    <row r="3749" spans="1:5" x14ac:dyDescent="0.2">
      <c r="A3749" s="43">
        <v>42921</v>
      </c>
      <c r="D3749">
        <v>1.25</v>
      </c>
    </row>
    <row r="3750" spans="1:5" x14ac:dyDescent="0.2">
      <c r="A3750" s="43">
        <v>42922</v>
      </c>
      <c r="D3750">
        <v>1.25</v>
      </c>
    </row>
    <row r="3751" spans="1:5" x14ac:dyDescent="0.2">
      <c r="A3751" s="43">
        <v>42923</v>
      </c>
      <c r="D3751">
        <v>1.25</v>
      </c>
    </row>
    <row r="3752" spans="1:5" x14ac:dyDescent="0.2">
      <c r="A3752" s="43">
        <v>42924</v>
      </c>
      <c r="D3752">
        <v>1.25</v>
      </c>
    </row>
    <row r="3753" spans="1:5" x14ac:dyDescent="0.2">
      <c r="A3753" s="43">
        <v>42925</v>
      </c>
      <c r="D3753">
        <v>1.25</v>
      </c>
    </row>
    <row r="3754" spans="1:5" x14ac:dyDescent="0.2">
      <c r="A3754" s="43">
        <v>42926</v>
      </c>
      <c r="D3754">
        <v>1.25</v>
      </c>
    </row>
    <row r="3755" spans="1:5" x14ac:dyDescent="0.2">
      <c r="A3755" s="43">
        <v>42927</v>
      </c>
      <c r="D3755">
        <v>1.25</v>
      </c>
    </row>
    <row r="3756" spans="1:5" x14ac:dyDescent="0.2">
      <c r="A3756" s="43">
        <v>42928</v>
      </c>
      <c r="D3756">
        <v>1.25</v>
      </c>
    </row>
    <row r="3757" spans="1:5" x14ac:dyDescent="0.2">
      <c r="A3757" s="43">
        <v>42929</v>
      </c>
      <c r="D3757">
        <v>1.25</v>
      </c>
    </row>
    <row r="3758" spans="1:5" x14ac:dyDescent="0.2">
      <c r="A3758" s="43">
        <v>42930</v>
      </c>
      <c r="D3758">
        <v>1.25</v>
      </c>
    </row>
    <row r="3759" spans="1:5" x14ac:dyDescent="0.2">
      <c r="A3759" s="43">
        <v>42931</v>
      </c>
      <c r="D3759">
        <v>1.25</v>
      </c>
    </row>
    <row r="3760" spans="1:5" x14ac:dyDescent="0.2">
      <c r="A3760" s="43">
        <v>42932</v>
      </c>
      <c r="D3760">
        <v>1.25</v>
      </c>
    </row>
    <row r="3761" spans="1:5" x14ac:dyDescent="0.2">
      <c r="A3761" s="43">
        <v>42933</v>
      </c>
      <c r="D3761">
        <v>1.25</v>
      </c>
    </row>
    <row r="3762" spans="1:5" x14ac:dyDescent="0.2">
      <c r="A3762" s="43">
        <v>42934</v>
      </c>
      <c r="D3762">
        <v>1.25</v>
      </c>
    </row>
    <row r="3763" spans="1:5" x14ac:dyDescent="0.2">
      <c r="A3763" s="43">
        <v>42935</v>
      </c>
      <c r="D3763">
        <v>1.25</v>
      </c>
    </row>
    <row r="3764" spans="1:5" x14ac:dyDescent="0.2">
      <c r="A3764" s="43">
        <v>42936</v>
      </c>
      <c r="D3764">
        <v>1.25</v>
      </c>
    </row>
    <row r="3765" spans="1:5" x14ac:dyDescent="0.2">
      <c r="A3765" s="43">
        <v>42937</v>
      </c>
      <c r="D3765">
        <v>1.25</v>
      </c>
    </row>
    <row r="3766" spans="1:5" x14ac:dyDescent="0.2">
      <c r="A3766" s="43">
        <v>42938</v>
      </c>
      <c r="D3766">
        <v>1.25</v>
      </c>
    </row>
    <row r="3767" spans="1:5" x14ac:dyDescent="0.2">
      <c r="A3767" s="43">
        <v>42939</v>
      </c>
      <c r="D3767">
        <v>1.25</v>
      </c>
    </row>
    <row r="3768" spans="1:5" x14ac:dyDescent="0.2">
      <c r="A3768" s="43">
        <v>42940</v>
      </c>
      <c r="D3768">
        <v>1.25</v>
      </c>
    </row>
    <row r="3769" spans="1:5" x14ac:dyDescent="0.2">
      <c r="A3769" s="43">
        <v>42941</v>
      </c>
      <c r="D3769">
        <v>1.25</v>
      </c>
    </row>
    <row r="3770" spans="1:5" x14ac:dyDescent="0.2">
      <c r="A3770" s="43">
        <v>42942</v>
      </c>
      <c r="D3770">
        <v>1.25</v>
      </c>
    </row>
    <row r="3771" spans="1:5" x14ac:dyDescent="0.2">
      <c r="A3771" s="43">
        <v>42943</v>
      </c>
      <c r="D3771">
        <v>1.25</v>
      </c>
    </row>
    <row r="3772" spans="1:5" x14ac:dyDescent="0.2">
      <c r="A3772" s="43">
        <v>42944</v>
      </c>
      <c r="D3772">
        <v>1.25</v>
      </c>
    </row>
    <row r="3773" spans="1:5" x14ac:dyDescent="0.2">
      <c r="A3773" s="43">
        <v>42945</v>
      </c>
      <c r="D3773">
        <v>1.25</v>
      </c>
    </row>
    <row r="3774" spans="1:5" x14ac:dyDescent="0.2">
      <c r="A3774" s="43">
        <v>42946</v>
      </c>
      <c r="D3774">
        <v>1.25</v>
      </c>
    </row>
    <row r="3775" spans="1:5" x14ac:dyDescent="0.2">
      <c r="A3775" s="43">
        <v>42947</v>
      </c>
      <c r="D3775">
        <v>1.25</v>
      </c>
    </row>
    <row r="3776" spans="1:5" x14ac:dyDescent="0.2">
      <c r="A3776" s="43">
        <v>42948</v>
      </c>
      <c r="B3776">
        <v>106.074</v>
      </c>
      <c r="C3776">
        <v>108.05800000000001</v>
      </c>
      <c r="D3776">
        <v>1.25</v>
      </c>
      <c r="E3776">
        <v>252.59700000000001</v>
      </c>
    </row>
    <row r="3777" spans="1:4" x14ac:dyDescent="0.2">
      <c r="A3777" s="43">
        <v>42949</v>
      </c>
      <c r="D3777">
        <v>1.25</v>
      </c>
    </row>
    <row r="3778" spans="1:4" x14ac:dyDescent="0.2">
      <c r="A3778" s="43">
        <v>42950</v>
      </c>
      <c r="D3778">
        <v>1.25</v>
      </c>
    </row>
    <row r="3779" spans="1:4" x14ac:dyDescent="0.2">
      <c r="A3779" s="43">
        <v>42951</v>
      </c>
      <c r="D3779">
        <v>1.25</v>
      </c>
    </row>
    <row r="3780" spans="1:4" x14ac:dyDescent="0.2">
      <c r="A3780" s="43">
        <v>42952</v>
      </c>
      <c r="D3780">
        <v>1.25</v>
      </c>
    </row>
    <row r="3781" spans="1:4" x14ac:dyDescent="0.2">
      <c r="A3781" s="43">
        <v>42953</v>
      </c>
      <c r="D3781">
        <v>1.25</v>
      </c>
    </row>
    <row r="3782" spans="1:4" x14ac:dyDescent="0.2">
      <c r="A3782" s="43">
        <v>42954</v>
      </c>
      <c r="D3782">
        <v>1.25</v>
      </c>
    </row>
    <row r="3783" spans="1:4" x14ac:dyDescent="0.2">
      <c r="A3783" s="43">
        <v>42955</v>
      </c>
      <c r="D3783">
        <v>1.25</v>
      </c>
    </row>
    <row r="3784" spans="1:4" x14ac:dyDescent="0.2">
      <c r="A3784" s="43">
        <v>42956</v>
      </c>
      <c r="D3784">
        <v>1.25</v>
      </c>
    </row>
    <row r="3785" spans="1:4" x14ac:dyDescent="0.2">
      <c r="A3785" s="43">
        <v>42957</v>
      </c>
      <c r="D3785">
        <v>1.25</v>
      </c>
    </row>
    <row r="3786" spans="1:4" x14ac:dyDescent="0.2">
      <c r="A3786" s="43">
        <v>42958</v>
      </c>
      <c r="D3786">
        <v>1.25</v>
      </c>
    </row>
    <row r="3787" spans="1:4" x14ac:dyDescent="0.2">
      <c r="A3787" s="43">
        <v>42959</v>
      </c>
      <c r="D3787">
        <v>1.25</v>
      </c>
    </row>
    <row r="3788" spans="1:4" x14ac:dyDescent="0.2">
      <c r="A3788" s="43">
        <v>42960</v>
      </c>
      <c r="D3788">
        <v>1.25</v>
      </c>
    </row>
    <row r="3789" spans="1:4" x14ac:dyDescent="0.2">
      <c r="A3789" s="43">
        <v>42961</v>
      </c>
      <c r="D3789">
        <v>1.25</v>
      </c>
    </row>
    <row r="3790" spans="1:4" x14ac:dyDescent="0.2">
      <c r="A3790" s="43">
        <v>42962</v>
      </c>
      <c r="D3790">
        <v>1.25</v>
      </c>
    </row>
    <row r="3791" spans="1:4" x14ac:dyDescent="0.2">
      <c r="A3791" s="43">
        <v>42963</v>
      </c>
      <c r="D3791">
        <v>1.25</v>
      </c>
    </row>
    <row r="3792" spans="1:4" x14ac:dyDescent="0.2">
      <c r="A3792" s="43">
        <v>42964</v>
      </c>
      <c r="D3792">
        <v>1.25</v>
      </c>
    </row>
    <row r="3793" spans="1:5" x14ac:dyDescent="0.2">
      <c r="A3793" s="43">
        <v>42965</v>
      </c>
      <c r="D3793">
        <v>1.25</v>
      </c>
    </row>
    <row r="3794" spans="1:5" x14ac:dyDescent="0.2">
      <c r="A3794" s="43">
        <v>42966</v>
      </c>
      <c r="D3794">
        <v>1.25</v>
      </c>
    </row>
    <row r="3795" spans="1:5" x14ac:dyDescent="0.2">
      <c r="A3795" s="43">
        <v>42967</v>
      </c>
      <c r="D3795">
        <v>1.25</v>
      </c>
    </row>
    <row r="3796" spans="1:5" x14ac:dyDescent="0.2">
      <c r="A3796" s="43">
        <v>42968</v>
      </c>
      <c r="D3796">
        <v>1.25</v>
      </c>
    </row>
    <row r="3797" spans="1:5" x14ac:dyDescent="0.2">
      <c r="A3797" s="43">
        <v>42969</v>
      </c>
      <c r="D3797">
        <v>1.25</v>
      </c>
    </row>
    <row r="3798" spans="1:5" x14ac:dyDescent="0.2">
      <c r="A3798" s="43">
        <v>42970</v>
      </c>
      <c r="D3798">
        <v>1.25</v>
      </c>
    </row>
    <row r="3799" spans="1:5" x14ac:dyDescent="0.2">
      <c r="A3799" s="43">
        <v>42971</v>
      </c>
      <c r="D3799">
        <v>1.25</v>
      </c>
    </row>
    <row r="3800" spans="1:5" x14ac:dyDescent="0.2">
      <c r="A3800" s="43">
        <v>42972</v>
      </c>
      <c r="D3800">
        <v>1.25</v>
      </c>
    </row>
    <row r="3801" spans="1:5" x14ac:dyDescent="0.2">
      <c r="A3801" s="43">
        <v>42973</v>
      </c>
      <c r="D3801">
        <v>1.25</v>
      </c>
    </row>
    <row r="3802" spans="1:5" x14ac:dyDescent="0.2">
      <c r="A3802" s="43">
        <v>42974</v>
      </c>
      <c r="D3802">
        <v>1.25</v>
      </c>
    </row>
    <row r="3803" spans="1:5" x14ac:dyDescent="0.2">
      <c r="A3803" s="43">
        <v>42975</v>
      </c>
      <c r="D3803">
        <v>1.25</v>
      </c>
    </row>
    <row r="3804" spans="1:5" x14ac:dyDescent="0.2">
      <c r="A3804" s="43">
        <v>42976</v>
      </c>
      <c r="D3804">
        <v>1.25</v>
      </c>
    </row>
    <row r="3805" spans="1:5" x14ac:dyDescent="0.2">
      <c r="A3805" s="43">
        <v>42977</v>
      </c>
      <c r="D3805">
        <v>1.25</v>
      </c>
    </row>
    <row r="3806" spans="1:5" x14ac:dyDescent="0.2">
      <c r="A3806" s="43">
        <v>42978</v>
      </c>
      <c r="D3806">
        <v>1.25</v>
      </c>
    </row>
    <row r="3807" spans="1:5" x14ac:dyDescent="0.2">
      <c r="A3807" s="43">
        <v>42979</v>
      </c>
      <c r="B3807">
        <v>106.52</v>
      </c>
      <c r="C3807">
        <v>108.267</v>
      </c>
      <c r="D3807">
        <v>1.25</v>
      </c>
      <c r="E3807">
        <v>253.03899999999999</v>
      </c>
    </row>
    <row r="3808" spans="1:5" x14ac:dyDescent="0.2">
      <c r="A3808" s="43">
        <v>42980</v>
      </c>
      <c r="D3808">
        <v>1.25</v>
      </c>
    </row>
    <row r="3809" spans="1:4" x14ac:dyDescent="0.2">
      <c r="A3809" s="43">
        <v>42981</v>
      </c>
      <c r="D3809">
        <v>1.25</v>
      </c>
    </row>
    <row r="3810" spans="1:4" x14ac:dyDescent="0.2">
      <c r="A3810" s="43">
        <v>42982</v>
      </c>
      <c r="D3810">
        <v>1.25</v>
      </c>
    </row>
    <row r="3811" spans="1:4" x14ac:dyDescent="0.2">
      <c r="A3811" s="43">
        <v>42983</v>
      </c>
      <c r="D3811">
        <v>1.25</v>
      </c>
    </row>
    <row r="3812" spans="1:4" x14ac:dyDescent="0.2">
      <c r="A3812" s="43">
        <v>42984</v>
      </c>
      <c r="D3812">
        <v>1.25</v>
      </c>
    </row>
    <row r="3813" spans="1:4" x14ac:dyDescent="0.2">
      <c r="A3813" s="43">
        <v>42985</v>
      </c>
      <c r="D3813">
        <v>1.25</v>
      </c>
    </row>
    <row r="3814" spans="1:4" x14ac:dyDescent="0.2">
      <c r="A3814" s="43">
        <v>42986</v>
      </c>
      <c r="D3814">
        <v>1.25</v>
      </c>
    </row>
    <row r="3815" spans="1:4" x14ac:dyDescent="0.2">
      <c r="A3815" s="43">
        <v>42987</v>
      </c>
      <c r="D3815">
        <v>1.25</v>
      </c>
    </row>
    <row r="3816" spans="1:4" x14ac:dyDescent="0.2">
      <c r="A3816" s="43">
        <v>42988</v>
      </c>
      <c r="D3816">
        <v>1.25</v>
      </c>
    </row>
    <row r="3817" spans="1:4" x14ac:dyDescent="0.2">
      <c r="A3817" s="43">
        <v>42989</v>
      </c>
      <c r="D3817">
        <v>1.25</v>
      </c>
    </row>
    <row r="3818" spans="1:4" x14ac:dyDescent="0.2">
      <c r="A3818" s="43">
        <v>42990</v>
      </c>
      <c r="D3818">
        <v>1.25</v>
      </c>
    </row>
    <row r="3819" spans="1:4" x14ac:dyDescent="0.2">
      <c r="A3819" s="43">
        <v>42991</v>
      </c>
      <c r="D3819">
        <v>1.25</v>
      </c>
    </row>
    <row r="3820" spans="1:4" x14ac:dyDescent="0.2">
      <c r="A3820" s="43">
        <v>42992</v>
      </c>
      <c r="D3820">
        <v>1.25</v>
      </c>
    </row>
    <row r="3821" spans="1:4" x14ac:dyDescent="0.2">
      <c r="A3821" s="43">
        <v>42993</v>
      </c>
      <c r="D3821">
        <v>1.25</v>
      </c>
    </row>
    <row r="3822" spans="1:4" x14ac:dyDescent="0.2">
      <c r="A3822" s="43">
        <v>42994</v>
      </c>
      <c r="D3822">
        <v>1.25</v>
      </c>
    </row>
    <row r="3823" spans="1:4" x14ac:dyDescent="0.2">
      <c r="A3823" s="43">
        <v>42995</v>
      </c>
      <c r="D3823">
        <v>1.25</v>
      </c>
    </row>
    <row r="3824" spans="1:4" x14ac:dyDescent="0.2">
      <c r="A3824" s="43">
        <v>42996</v>
      </c>
      <c r="D3824">
        <v>1.25</v>
      </c>
    </row>
    <row r="3825" spans="1:5" x14ac:dyDescent="0.2">
      <c r="A3825" s="43">
        <v>42997</v>
      </c>
      <c r="D3825">
        <v>1.25</v>
      </c>
    </row>
    <row r="3826" spans="1:5" x14ac:dyDescent="0.2">
      <c r="A3826" s="43">
        <v>42998</v>
      </c>
      <c r="D3826">
        <v>1.25</v>
      </c>
    </row>
    <row r="3827" spans="1:5" x14ac:dyDescent="0.2">
      <c r="A3827" s="43">
        <v>42999</v>
      </c>
      <c r="D3827">
        <v>1.25</v>
      </c>
    </row>
    <row r="3828" spans="1:5" x14ac:dyDescent="0.2">
      <c r="A3828" s="43">
        <v>43000</v>
      </c>
      <c r="D3828">
        <v>1.25</v>
      </c>
    </row>
    <row r="3829" spans="1:5" x14ac:dyDescent="0.2">
      <c r="A3829" s="43">
        <v>43001</v>
      </c>
      <c r="D3829">
        <v>1.25</v>
      </c>
    </row>
    <row r="3830" spans="1:5" x14ac:dyDescent="0.2">
      <c r="A3830" s="43">
        <v>43002</v>
      </c>
      <c r="D3830">
        <v>1.25</v>
      </c>
    </row>
    <row r="3831" spans="1:5" x14ac:dyDescent="0.2">
      <c r="A3831" s="43">
        <v>43003</v>
      </c>
      <c r="D3831">
        <v>1.25</v>
      </c>
    </row>
    <row r="3832" spans="1:5" x14ac:dyDescent="0.2">
      <c r="A3832" s="43">
        <v>43004</v>
      </c>
      <c r="D3832">
        <v>1.25</v>
      </c>
    </row>
    <row r="3833" spans="1:5" x14ac:dyDescent="0.2">
      <c r="A3833" s="43">
        <v>43005</v>
      </c>
      <c r="D3833">
        <v>1.25</v>
      </c>
    </row>
    <row r="3834" spans="1:5" x14ac:dyDescent="0.2">
      <c r="A3834" s="43">
        <v>43006</v>
      </c>
      <c r="D3834">
        <v>1.25</v>
      </c>
    </row>
    <row r="3835" spans="1:5" x14ac:dyDescent="0.2">
      <c r="A3835" s="43">
        <v>43007</v>
      </c>
      <c r="D3835">
        <v>1.25</v>
      </c>
    </row>
    <row r="3836" spans="1:5" x14ac:dyDescent="0.2">
      <c r="A3836" s="43">
        <v>43008</v>
      </c>
      <c r="D3836">
        <v>1.25</v>
      </c>
    </row>
    <row r="3837" spans="1:5" x14ac:dyDescent="0.2">
      <c r="A3837" s="43">
        <v>43009</v>
      </c>
      <c r="B3837">
        <v>106.69199999999999</v>
      </c>
      <c r="C3837">
        <v>108.54600000000001</v>
      </c>
      <c r="D3837">
        <v>1.25</v>
      </c>
      <c r="E3837">
        <v>253.535</v>
      </c>
    </row>
    <row r="3838" spans="1:5" x14ac:dyDescent="0.2">
      <c r="A3838" s="43">
        <v>43010</v>
      </c>
      <c r="D3838">
        <v>1.25</v>
      </c>
    </row>
    <row r="3839" spans="1:5" x14ac:dyDescent="0.2">
      <c r="A3839" s="43">
        <v>43011</v>
      </c>
      <c r="D3839">
        <v>1.25</v>
      </c>
    </row>
    <row r="3840" spans="1:5" x14ac:dyDescent="0.2">
      <c r="A3840" s="43">
        <v>43012</v>
      </c>
      <c r="D3840">
        <v>1.25</v>
      </c>
    </row>
    <row r="3841" spans="1:4" x14ac:dyDescent="0.2">
      <c r="A3841" s="43">
        <v>43013</v>
      </c>
      <c r="D3841">
        <v>1.25</v>
      </c>
    </row>
    <row r="3842" spans="1:4" x14ac:dyDescent="0.2">
      <c r="A3842" s="43">
        <v>43014</v>
      </c>
      <c r="D3842">
        <v>1.25</v>
      </c>
    </row>
    <row r="3843" spans="1:4" x14ac:dyDescent="0.2">
      <c r="A3843" s="43">
        <v>43015</v>
      </c>
      <c r="D3843">
        <v>1.25</v>
      </c>
    </row>
    <row r="3844" spans="1:4" x14ac:dyDescent="0.2">
      <c r="A3844" s="43">
        <v>43016</v>
      </c>
      <c r="D3844">
        <v>1.25</v>
      </c>
    </row>
    <row r="3845" spans="1:4" x14ac:dyDescent="0.2">
      <c r="A3845" s="43">
        <v>43017</v>
      </c>
      <c r="D3845">
        <v>1.25</v>
      </c>
    </row>
    <row r="3846" spans="1:4" x14ac:dyDescent="0.2">
      <c r="A3846" s="43">
        <v>43018</v>
      </c>
      <c r="D3846">
        <v>1.25</v>
      </c>
    </row>
    <row r="3847" spans="1:4" x14ac:dyDescent="0.2">
      <c r="A3847" s="43">
        <v>43019</v>
      </c>
      <c r="D3847">
        <v>1.25</v>
      </c>
    </row>
    <row r="3848" spans="1:4" x14ac:dyDescent="0.2">
      <c r="A3848" s="43">
        <v>43020</v>
      </c>
      <c r="D3848">
        <v>1.25</v>
      </c>
    </row>
    <row r="3849" spans="1:4" x14ac:dyDescent="0.2">
      <c r="A3849" s="43">
        <v>43021</v>
      </c>
      <c r="D3849">
        <v>1.25</v>
      </c>
    </row>
    <row r="3850" spans="1:4" x14ac:dyDescent="0.2">
      <c r="A3850" s="43">
        <v>43022</v>
      </c>
      <c r="D3850">
        <v>1.25</v>
      </c>
    </row>
    <row r="3851" spans="1:4" x14ac:dyDescent="0.2">
      <c r="A3851" s="43">
        <v>43023</v>
      </c>
      <c r="D3851">
        <v>1.25</v>
      </c>
    </row>
    <row r="3852" spans="1:4" x14ac:dyDescent="0.2">
      <c r="A3852" s="43">
        <v>43024</v>
      </c>
      <c r="D3852">
        <v>1.25</v>
      </c>
    </row>
    <row r="3853" spans="1:4" x14ac:dyDescent="0.2">
      <c r="A3853" s="43">
        <v>43025</v>
      </c>
      <c r="D3853">
        <v>1.25</v>
      </c>
    </row>
    <row r="3854" spans="1:4" x14ac:dyDescent="0.2">
      <c r="A3854" s="43">
        <v>43026</v>
      </c>
      <c r="D3854">
        <v>1.25</v>
      </c>
    </row>
    <row r="3855" spans="1:4" x14ac:dyDescent="0.2">
      <c r="A3855" s="43">
        <v>43027</v>
      </c>
      <c r="D3855">
        <v>1.25</v>
      </c>
    </row>
    <row r="3856" spans="1:4" x14ac:dyDescent="0.2">
      <c r="A3856" s="43">
        <v>43028</v>
      </c>
      <c r="D3856">
        <v>1.25</v>
      </c>
    </row>
    <row r="3857" spans="1:5" x14ac:dyDescent="0.2">
      <c r="A3857" s="43">
        <v>43029</v>
      </c>
      <c r="D3857">
        <v>1.25</v>
      </c>
    </row>
    <row r="3858" spans="1:5" x14ac:dyDescent="0.2">
      <c r="A3858" s="43">
        <v>43030</v>
      </c>
      <c r="D3858">
        <v>1.25</v>
      </c>
    </row>
    <row r="3859" spans="1:5" x14ac:dyDescent="0.2">
      <c r="A3859" s="43">
        <v>43031</v>
      </c>
      <c r="D3859">
        <v>1.25</v>
      </c>
    </row>
    <row r="3860" spans="1:5" x14ac:dyDescent="0.2">
      <c r="A3860" s="43">
        <v>43032</v>
      </c>
      <c r="D3860">
        <v>1.25</v>
      </c>
    </row>
    <row r="3861" spans="1:5" x14ac:dyDescent="0.2">
      <c r="A3861" s="43">
        <v>43033</v>
      </c>
      <c r="D3861">
        <v>1.25</v>
      </c>
    </row>
    <row r="3862" spans="1:5" x14ac:dyDescent="0.2">
      <c r="A3862" s="43">
        <v>43034</v>
      </c>
      <c r="D3862">
        <v>1.25</v>
      </c>
    </row>
    <row r="3863" spans="1:5" x14ac:dyDescent="0.2">
      <c r="A3863" s="43">
        <v>43035</v>
      </c>
      <c r="D3863">
        <v>1.25</v>
      </c>
    </row>
    <row r="3864" spans="1:5" x14ac:dyDescent="0.2">
      <c r="A3864" s="43">
        <v>43036</v>
      </c>
      <c r="D3864">
        <v>1.25</v>
      </c>
    </row>
    <row r="3865" spans="1:5" x14ac:dyDescent="0.2">
      <c r="A3865" s="43">
        <v>43037</v>
      </c>
      <c r="D3865">
        <v>1.25</v>
      </c>
    </row>
    <row r="3866" spans="1:5" x14ac:dyDescent="0.2">
      <c r="A3866" s="43">
        <v>43038</v>
      </c>
      <c r="D3866">
        <v>1.25</v>
      </c>
    </row>
    <row r="3867" spans="1:5" x14ac:dyDescent="0.2">
      <c r="A3867" s="43">
        <v>43039</v>
      </c>
      <c r="D3867">
        <v>1.25</v>
      </c>
    </row>
    <row r="3868" spans="1:5" x14ac:dyDescent="0.2">
      <c r="A3868" s="43">
        <v>43040</v>
      </c>
      <c r="B3868">
        <v>106.88</v>
      </c>
      <c r="C3868">
        <v>108.601</v>
      </c>
      <c r="D3868">
        <v>1.25</v>
      </c>
      <c r="E3868">
        <v>253.744</v>
      </c>
    </row>
    <row r="3869" spans="1:5" x14ac:dyDescent="0.2">
      <c r="A3869" s="43">
        <v>43041</v>
      </c>
      <c r="D3869">
        <v>1.25</v>
      </c>
    </row>
    <row r="3870" spans="1:5" x14ac:dyDescent="0.2">
      <c r="A3870" s="43">
        <v>43042</v>
      </c>
      <c r="D3870">
        <v>1.25</v>
      </c>
    </row>
    <row r="3871" spans="1:5" x14ac:dyDescent="0.2">
      <c r="A3871" s="43">
        <v>43043</v>
      </c>
      <c r="D3871">
        <v>1.25</v>
      </c>
    </row>
    <row r="3872" spans="1:5" x14ac:dyDescent="0.2">
      <c r="A3872" s="43">
        <v>43044</v>
      </c>
      <c r="D3872">
        <v>1.25</v>
      </c>
    </row>
    <row r="3873" spans="1:4" x14ac:dyDescent="0.2">
      <c r="A3873" s="43">
        <v>43045</v>
      </c>
      <c r="D3873">
        <v>1.25</v>
      </c>
    </row>
    <row r="3874" spans="1:4" x14ac:dyDescent="0.2">
      <c r="A3874" s="43">
        <v>43046</v>
      </c>
      <c r="D3874">
        <v>1.25</v>
      </c>
    </row>
    <row r="3875" spans="1:4" x14ac:dyDescent="0.2">
      <c r="A3875" s="43">
        <v>43047</v>
      </c>
      <c r="D3875">
        <v>1.25</v>
      </c>
    </row>
    <row r="3876" spans="1:4" x14ac:dyDescent="0.2">
      <c r="A3876" s="43">
        <v>43048</v>
      </c>
      <c r="D3876">
        <v>1.25</v>
      </c>
    </row>
    <row r="3877" spans="1:4" x14ac:dyDescent="0.2">
      <c r="A3877" s="43">
        <v>43049</v>
      </c>
      <c r="D3877">
        <v>1.25</v>
      </c>
    </row>
    <row r="3878" spans="1:4" x14ac:dyDescent="0.2">
      <c r="A3878" s="43">
        <v>43050</v>
      </c>
      <c r="D3878">
        <v>1.25</v>
      </c>
    </row>
    <row r="3879" spans="1:4" x14ac:dyDescent="0.2">
      <c r="A3879" s="43">
        <v>43051</v>
      </c>
      <c r="D3879">
        <v>1.25</v>
      </c>
    </row>
    <row r="3880" spans="1:4" x14ac:dyDescent="0.2">
      <c r="A3880" s="43">
        <v>43052</v>
      </c>
      <c r="D3880">
        <v>1.25</v>
      </c>
    </row>
    <row r="3881" spans="1:4" x14ac:dyDescent="0.2">
      <c r="A3881" s="43">
        <v>43053</v>
      </c>
      <c r="D3881">
        <v>1.25</v>
      </c>
    </row>
    <row r="3882" spans="1:4" x14ac:dyDescent="0.2">
      <c r="A3882" s="43">
        <v>43054</v>
      </c>
      <c r="D3882">
        <v>1.25</v>
      </c>
    </row>
    <row r="3883" spans="1:4" x14ac:dyDescent="0.2">
      <c r="A3883" s="43">
        <v>43055</v>
      </c>
      <c r="D3883">
        <v>1.25</v>
      </c>
    </row>
    <row r="3884" spans="1:4" x14ac:dyDescent="0.2">
      <c r="A3884" s="43">
        <v>43056</v>
      </c>
      <c r="D3884">
        <v>1.25</v>
      </c>
    </row>
    <row r="3885" spans="1:4" x14ac:dyDescent="0.2">
      <c r="A3885" s="43">
        <v>43057</v>
      </c>
      <c r="D3885">
        <v>1.25</v>
      </c>
    </row>
    <row r="3886" spans="1:4" x14ac:dyDescent="0.2">
      <c r="A3886" s="43">
        <v>43058</v>
      </c>
      <c r="D3886">
        <v>1.25</v>
      </c>
    </row>
    <row r="3887" spans="1:4" x14ac:dyDescent="0.2">
      <c r="A3887" s="43">
        <v>43059</v>
      </c>
      <c r="D3887">
        <v>1.25</v>
      </c>
    </row>
    <row r="3888" spans="1:4" x14ac:dyDescent="0.2">
      <c r="A3888" s="43">
        <v>43060</v>
      </c>
      <c r="D3888">
        <v>1.25</v>
      </c>
    </row>
    <row r="3889" spans="1:5" x14ac:dyDescent="0.2">
      <c r="A3889" s="43">
        <v>43061</v>
      </c>
      <c r="D3889">
        <v>1.25</v>
      </c>
    </row>
    <row r="3890" spans="1:5" x14ac:dyDescent="0.2">
      <c r="A3890" s="43">
        <v>43062</v>
      </c>
      <c r="D3890">
        <v>1.25</v>
      </c>
    </row>
    <row r="3891" spans="1:5" x14ac:dyDescent="0.2">
      <c r="A3891" s="43">
        <v>43063</v>
      </c>
      <c r="D3891">
        <v>1.25</v>
      </c>
    </row>
    <row r="3892" spans="1:5" x14ac:dyDescent="0.2">
      <c r="A3892" s="43">
        <v>43064</v>
      </c>
      <c r="D3892">
        <v>1.25</v>
      </c>
    </row>
    <row r="3893" spans="1:5" x14ac:dyDescent="0.2">
      <c r="A3893" s="43">
        <v>43065</v>
      </c>
      <c r="D3893">
        <v>1.25</v>
      </c>
    </row>
    <row r="3894" spans="1:5" x14ac:dyDescent="0.2">
      <c r="A3894" s="43">
        <v>43066</v>
      </c>
      <c r="D3894">
        <v>1.25</v>
      </c>
    </row>
    <row r="3895" spans="1:5" x14ac:dyDescent="0.2">
      <c r="A3895" s="43">
        <v>43067</v>
      </c>
      <c r="D3895">
        <v>1.25</v>
      </c>
    </row>
    <row r="3896" spans="1:5" x14ac:dyDescent="0.2">
      <c r="A3896" s="43">
        <v>43068</v>
      </c>
      <c r="D3896">
        <v>1.25</v>
      </c>
    </row>
    <row r="3897" spans="1:5" x14ac:dyDescent="0.2">
      <c r="A3897" s="43">
        <v>43069</v>
      </c>
      <c r="D3897">
        <v>1.25</v>
      </c>
    </row>
    <row r="3898" spans="1:5" x14ac:dyDescent="0.2">
      <c r="A3898" s="43">
        <v>43070</v>
      </c>
      <c r="B3898">
        <v>106.995</v>
      </c>
      <c r="C3898">
        <v>108.76900000000001</v>
      </c>
      <c r="D3898">
        <v>1.25</v>
      </c>
      <c r="E3898">
        <v>254.30799999999999</v>
      </c>
    </row>
    <row r="3899" spans="1:5" x14ac:dyDescent="0.2">
      <c r="A3899" s="43">
        <v>43071</v>
      </c>
      <c r="D3899">
        <v>1.25</v>
      </c>
    </row>
    <row r="3900" spans="1:5" x14ac:dyDescent="0.2">
      <c r="A3900" s="43">
        <v>43072</v>
      </c>
      <c r="D3900">
        <v>1.25</v>
      </c>
    </row>
    <row r="3901" spans="1:5" x14ac:dyDescent="0.2">
      <c r="A3901" s="43">
        <v>43073</v>
      </c>
      <c r="D3901">
        <v>1.25</v>
      </c>
    </row>
    <row r="3902" spans="1:5" x14ac:dyDescent="0.2">
      <c r="A3902" s="43">
        <v>43074</v>
      </c>
      <c r="D3902">
        <v>1.25</v>
      </c>
    </row>
    <row r="3903" spans="1:5" x14ac:dyDescent="0.2">
      <c r="A3903" s="43">
        <v>43075</v>
      </c>
      <c r="D3903">
        <v>1.25</v>
      </c>
    </row>
    <row r="3904" spans="1:5" x14ac:dyDescent="0.2">
      <c r="A3904" s="43">
        <v>43076</v>
      </c>
      <c r="D3904">
        <v>1.25</v>
      </c>
    </row>
    <row r="3905" spans="1:4" x14ac:dyDescent="0.2">
      <c r="A3905" s="43">
        <v>43077</v>
      </c>
      <c r="D3905">
        <v>1.25</v>
      </c>
    </row>
    <row r="3906" spans="1:4" x14ac:dyDescent="0.2">
      <c r="A3906" s="43">
        <v>43078</v>
      </c>
      <c r="D3906">
        <v>1.25</v>
      </c>
    </row>
    <row r="3907" spans="1:4" x14ac:dyDescent="0.2">
      <c r="A3907" s="43">
        <v>43079</v>
      </c>
      <c r="D3907">
        <v>1.25</v>
      </c>
    </row>
    <row r="3908" spans="1:4" x14ac:dyDescent="0.2">
      <c r="A3908" s="43">
        <v>43080</v>
      </c>
      <c r="D3908">
        <v>1.25</v>
      </c>
    </row>
    <row r="3909" spans="1:4" x14ac:dyDescent="0.2">
      <c r="A3909" s="43">
        <v>43081</v>
      </c>
      <c r="D3909">
        <v>1.25</v>
      </c>
    </row>
    <row r="3910" spans="1:4" x14ac:dyDescent="0.2">
      <c r="A3910" s="43">
        <v>43082</v>
      </c>
      <c r="D3910">
        <v>1.25</v>
      </c>
    </row>
    <row r="3911" spans="1:4" x14ac:dyDescent="0.2">
      <c r="A3911" s="43">
        <v>43083</v>
      </c>
      <c r="D3911">
        <v>1.5</v>
      </c>
    </row>
    <row r="3912" spans="1:4" x14ac:dyDescent="0.2">
      <c r="A3912" s="43">
        <v>43084</v>
      </c>
      <c r="D3912">
        <v>1.5</v>
      </c>
    </row>
    <row r="3913" spans="1:4" x14ac:dyDescent="0.2">
      <c r="A3913" s="43">
        <v>43085</v>
      </c>
      <c r="D3913">
        <v>1.5</v>
      </c>
    </row>
    <row r="3914" spans="1:4" x14ac:dyDescent="0.2">
      <c r="A3914" s="43">
        <v>43086</v>
      </c>
      <c r="D3914">
        <v>1.5</v>
      </c>
    </row>
    <row r="3915" spans="1:4" x14ac:dyDescent="0.2">
      <c r="A3915" s="43">
        <v>43087</v>
      </c>
      <c r="D3915">
        <v>1.5</v>
      </c>
    </row>
    <row r="3916" spans="1:4" x14ac:dyDescent="0.2">
      <c r="A3916" s="43">
        <v>43088</v>
      </c>
      <c r="D3916">
        <v>1.5</v>
      </c>
    </row>
    <row r="3917" spans="1:4" x14ac:dyDescent="0.2">
      <c r="A3917" s="43">
        <v>43089</v>
      </c>
      <c r="D3917">
        <v>1.5</v>
      </c>
    </row>
    <row r="3918" spans="1:4" x14ac:dyDescent="0.2">
      <c r="A3918" s="43">
        <v>43090</v>
      </c>
      <c r="D3918">
        <v>1.5</v>
      </c>
    </row>
    <row r="3919" spans="1:4" x14ac:dyDescent="0.2">
      <c r="A3919" s="43">
        <v>43091</v>
      </c>
      <c r="D3919">
        <v>1.5</v>
      </c>
    </row>
    <row r="3920" spans="1:4" x14ac:dyDescent="0.2">
      <c r="A3920" s="43">
        <v>43092</v>
      </c>
      <c r="D3920">
        <v>1.5</v>
      </c>
    </row>
    <row r="3921" spans="1:5" x14ac:dyDescent="0.2">
      <c r="A3921" s="43">
        <v>43093</v>
      </c>
      <c r="D3921">
        <v>1.5</v>
      </c>
    </row>
    <row r="3922" spans="1:5" x14ac:dyDescent="0.2">
      <c r="A3922" s="43">
        <v>43094</v>
      </c>
      <c r="D3922">
        <v>1.5</v>
      </c>
    </row>
    <row r="3923" spans="1:5" x14ac:dyDescent="0.2">
      <c r="A3923" s="43">
        <v>43095</v>
      </c>
      <c r="D3923">
        <v>1.5</v>
      </c>
    </row>
    <row r="3924" spans="1:5" x14ac:dyDescent="0.2">
      <c r="A3924" s="43">
        <v>43096</v>
      </c>
      <c r="D3924">
        <v>1.5</v>
      </c>
    </row>
    <row r="3925" spans="1:5" x14ac:dyDescent="0.2">
      <c r="A3925" s="43">
        <v>43097</v>
      </c>
      <c r="D3925">
        <v>1.5</v>
      </c>
    </row>
    <row r="3926" spans="1:5" x14ac:dyDescent="0.2">
      <c r="A3926" s="43">
        <v>43098</v>
      </c>
      <c r="D3926">
        <v>1.5</v>
      </c>
    </row>
    <row r="3927" spans="1:5" x14ac:dyDescent="0.2">
      <c r="A3927" s="43">
        <v>43099</v>
      </c>
      <c r="D3927">
        <v>1.5</v>
      </c>
    </row>
    <row r="3928" spans="1:5" x14ac:dyDescent="0.2">
      <c r="A3928" s="43">
        <v>43100</v>
      </c>
      <c r="D3928">
        <v>1.5</v>
      </c>
    </row>
    <row r="3929" spans="1:5" x14ac:dyDescent="0.2">
      <c r="A3929" s="43">
        <v>43101</v>
      </c>
      <c r="B3929">
        <v>107.354</v>
      </c>
      <c r="C3929">
        <v>109.06</v>
      </c>
      <c r="D3929">
        <v>1.5</v>
      </c>
      <c r="E3929">
        <v>255.00700000000001</v>
      </c>
    </row>
    <row r="3930" spans="1:5" x14ac:dyDescent="0.2">
      <c r="A3930" s="43">
        <v>43102</v>
      </c>
      <c r="D3930">
        <v>1.5</v>
      </c>
    </row>
    <row r="3931" spans="1:5" x14ac:dyDescent="0.2">
      <c r="A3931" s="43">
        <v>43103</v>
      </c>
      <c r="D3931">
        <v>1.5</v>
      </c>
    </row>
    <row r="3932" spans="1:5" x14ac:dyDescent="0.2">
      <c r="A3932" s="43">
        <v>43104</v>
      </c>
      <c r="D3932">
        <v>1.5</v>
      </c>
    </row>
    <row r="3933" spans="1:5" x14ac:dyDescent="0.2">
      <c r="A3933" s="43">
        <v>43105</v>
      </c>
      <c r="D3933">
        <v>1.5</v>
      </c>
    </row>
    <row r="3934" spans="1:5" x14ac:dyDescent="0.2">
      <c r="A3934" s="43">
        <v>43106</v>
      </c>
      <c r="D3934">
        <v>1.5</v>
      </c>
    </row>
    <row r="3935" spans="1:5" x14ac:dyDescent="0.2">
      <c r="A3935" s="43">
        <v>43107</v>
      </c>
      <c r="D3935">
        <v>1.5</v>
      </c>
    </row>
    <row r="3936" spans="1:5" x14ac:dyDescent="0.2">
      <c r="A3936" s="43">
        <v>43108</v>
      </c>
      <c r="D3936">
        <v>1.5</v>
      </c>
    </row>
    <row r="3937" spans="1:4" x14ac:dyDescent="0.2">
      <c r="A3937" s="43">
        <v>43109</v>
      </c>
      <c r="D3937">
        <v>1.5</v>
      </c>
    </row>
    <row r="3938" spans="1:4" x14ac:dyDescent="0.2">
      <c r="A3938" s="43">
        <v>43110</v>
      </c>
      <c r="D3938">
        <v>1.5</v>
      </c>
    </row>
    <row r="3939" spans="1:4" x14ac:dyDescent="0.2">
      <c r="A3939" s="43">
        <v>43111</v>
      </c>
      <c r="D3939">
        <v>1.5</v>
      </c>
    </row>
    <row r="3940" spans="1:4" x14ac:dyDescent="0.2">
      <c r="A3940" s="43">
        <v>43112</v>
      </c>
      <c r="D3940">
        <v>1.5</v>
      </c>
    </row>
    <row r="3941" spans="1:4" x14ac:dyDescent="0.2">
      <c r="A3941" s="43">
        <v>43113</v>
      </c>
      <c r="D3941">
        <v>1.5</v>
      </c>
    </row>
    <row r="3942" spans="1:4" x14ac:dyDescent="0.2">
      <c r="A3942" s="43">
        <v>43114</v>
      </c>
      <c r="D3942">
        <v>1.5</v>
      </c>
    </row>
    <row r="3943" spans="1:4" x14ac:dyDescent="0.2">
      <c r="A3943" s="43">
        <v>43115</v>
      </c>
      <c r="D3943">
        <v>1.5</v>
      </c>
    </row>
    <row r="3944" spans="1:4" x14ac:dyDescent="0.2">
      <c r="A3944" s="43">
        <v>43116</v>
      </c>
      <c r="D3944">
        <v>1.5</v>
      </c>
    </row>
    <row r="3945" spans="1:4" x14ac:dyDescent="0.2">
      <c r="A3945" s="43">
        <v>43117</v>
      </c>
      <c r="D3945">
        <v>1.5</v>
      </c>
    </row>
    <row r="3946" spans="1:4" x14ac:dyDescent="0.2">
      <c r="A3946" s="43">
        <v>43118</v>
      </c>
      <c r="D3946">
        <v>1.5</v>
      </c>
    </row>
    <row r="3947" spans="1:4" x14ac:dyDescent="0.2">
      <c r="A3947" s="43">
        <v>43119</v>
      </c>
      <c r="D3947">
        <v>1.5</v>
      </c>
    </row>
    <row r="3948" spans="1:4" x14ac:dyDescent="0.2">
      <c r="A3948" s="43">
        <v>43120</v>
      </c>
      <c r="D3948">
        <v>1.5</v>
      </c>
    </row>
    <row r="3949" spans="1:4" x14ac:dyDescent="0.2">
      <c r="A3949" s="43">
        <v>43121</v>
      </c>
      <c r="D3949">
        <v>1.5</v>
      </c>
    </row>
    <row r="3950" spans="1:4" x14ac:dyDescent="0.2">
      <c r="A3950" s="43">
        <v>43122</v>
      </c>
      <c r="D3950">
        <v>1.5</v>
      </c>
    </row>
    <row r="3951" spans="1:4" x14ac:dyDescent="0.2">
      <c r="A3951" s="43">
        <v>43123</v>
      </c>
      <c r="D3951">
        <v>1.5</v>
      </c>
    </row>
    <row r="3952" spans="1:4" x14ac:dyDescent="0.2">
      <c r="A3952" s="43">
        <v>43124</v>
      </c>
      <c r="D3952">
        <v>1.5</v>
      </c>
    </row>
    <row r="3953" spans="1:5" x14ac:dyDescent="0.2">
      <c r="A3953" s="43">
        <v>43125</v>
      </c>
      <c r="D3953">
        <v>1.5</v>
      </c>
    </row>
    <row r="3954" spans="1:5" x14ac:dyDescent="0.2">
      <c r="A3954" s="43">
        <v>43126</v>
      </c>
      <c r="D3954">
        <v>1.5</v>
      </c>
    </row>
    <row r="3955" spans="1:5" x14ac:dyDescent="0.2">
      <c r="A3955" s="43">
        <v>43127</v>
      </c>
      <c r="D3955">
        <v>1.5</v>
      </c>
    </row>
    <row r="3956" spans="1:5" x14ac:dyDescent="0.2">
      <c r="A3956" s="43">
        <v>43128</v>
      </c>
      <c r="D3956">
        <v>1.5</v>
      </c>
    </row>
    <row r="3957" spans="1:5" x14ac:dyDescent="0.2">
      <c r="A3957" s="43">
        <v>43129</v>
      </c>
      <c r="D3957">
        <v>1.5</v>
      </c>
    </row>
    <row r="3958" spans="1:5" x14ac:dyDescent="0.2">
      <c r="A3958" s="43">
        <v>43130</v>
      </c>
      <c r="D3958">
        <v>1.5</v>
      </c>
    </row>
    <row r="3959" spans="1:5" x14ac:dyDescent="0.2">
      <c r="A3959" s="43">
        <v>43131</v>
      </c>
      <c r="D3959">
        <v>1.5</v>
      </c>
    </row>
    <row r="3960" spans="1:5" x14ac:dyDescent="0.2">
      <c r="A3960" s="43">
        <v>43132</v>
      </c>
      <c r="B3960">
        <v>107.574</v>
      </c>
      <c r="C3960">
        <v>109.273</v>
      </c>
      <c r="D3960">
        <v>1.5</v>
      </c>
      <c r="E3960">
        <v>255.47200000000001</v>
      </c>
    </row>
    <row r="3961" spans="1:5" x14ac:dyDescent="0.2">
      <c r="A3961" s="43">
        <v>43133</v>
      </c>
      <c r="D3961">
        <v>1.5</v>
      </c>
    </row>
    <row r="3962" spans="1:5" x14ac:dyDescent="0.2">
      <c r="A3962" s="43">
        <v>43134</v>
      </c>
      <c r="D3962">
        <v>1.5</v>
      </c>
    </row>
    <row r="3963" spans="1:5" x14ac:dyDescent="0.2">
      <c r="A3963" s="43">
        <v>43135</v>
      </c>
      <c r="D3963">
        <v>1.5</v>
      </c>
    </row>
    <row r="3964" spans="1:5" x14ac:dyDescent="0.2">
      <c r="A3964" s="43">
        <v>43136</v>
      </c>
      <c r="D3964">
        <v>1.5</v>
      </c>
    </row>
    <row r="3965" spans="1:5" x14ac:dyDescent="0.2">
      <c r="A3965" s="43">
        <v>43137</v>
      </c>
      <c r="D3965">
        <v>1.5</v>
      </c>
    </row>
    <row r="3966" spans="1:5" x14ac:dyDescent="0.2">
      <c r="A3966" s="43">
        <v>43138</v>
      </c>
      <c r="D3966">
        <v>1.5</v>
      </c>
    </row>
    <row r="3967" spans="1:5" x14ac:dyDescent="0.2">
      <c r="A3967" s="43">
        <v>43139</v>
      </c>
      <c r="D3967">
        <v>1.5</v>
      </c>
    </row>
    <row r="3968" spans="1:5" x14ac:dyDescent="0.2">
      <c r="A3968" s="43">
        <v>43140</v>
      </c>
      <c r="D3968">
        <v>1.5</v>
      </c>
    </row>
    <row r="3969" spans="1:4" x14ac:dyDescent="0.2">
      <c r="A3969" s="43">
        <v>43141</v>
      </c>
      <c r="D3969">
        <v>1.5</v>
      </c>
    </row>
    <row r="3970" spans="1:4" x14ac:dyDescent="0.2">
      <c r="A3970" s="43">
        <v>43142</v>
      </c>
      <c r="D3970">
        <v>1.5</v>
      </c>
    </row>
    <row r="3971" spans="1:4" x14ac:dyDescent="0.2">
      <c r="A3971" s="43">
        <v>43143</v>
      </c>
      <c r="D3971">
        <v>1.5</v>
      </c>
    </row>
    <row r="3972" spans="1:4" x14ac:dyDescent="0.2">
      <c r="A3972" s="43">
        <v>43144</v>
      </c>
      <c r="D3972">
        <v>1.5</v>
      </c>
    </row>
    <row r="3973" spans="1:4" x14ac:dyDescent="0.2">
      <c r="A3973" s="43">
        <v>43145</v>
      </c>
      <c r="D3973">
        <v>1.5</v>
      </c>
    </row>
    <row r="3974" spans="1:4" x14ac:dyDescent="0.2">
      <c r="A3974" s="43">
        <v>43146</v>
      </c>
      <c r="D3974">
        <v>1.5</v>
      </c>
    </row>
    <row r="3975" spans="1:4" x14ac:dyDescent="0.2">
      <c r="A3975" s="43">
        <v>43147</v>
      </c>
      <c r="D3975">
        <v>1.5</v>
      </c>
    </row>
    <row r="3976" spans="1:4" x14ac:dyDescent="0.2">
      <c r="A3976" s="43">
        <v>43148</v>
      </c>
      <c r="D3976">
        <v>1.5</v>
      </c>
    </row>
    <row r="3977" spans="1:4" x14ac:dyDescent="0.2">
      <c r="A3977" s="43">
        <v>43149</v>
      </c>
      <c r="D3977">
        <v>1.5</v>
      </c>
    </row>
    <row r="3978" spans="1:4" x14ac:dyDescent="0.2">
      <c r="A3978" s="43">
        <v>43150</v>
      </c>
      <c r="D3978">
        <v>1.5</v>
      </c>
    </row>
    <row r="3979" spans="1:4" x14ac:dyDescent="0.2">
      <c r="A3979" s="43">
        <v>43151</v>
      </c>
      <c r="D3979">
        <v>1.5</v>
      </c>
    </row>
    <row r="3980" spans="1:4" x14ac:dyDescent="0.2">
      <c r="A3980" s="43">
        <v>43152</v>
      </c>
      <c r="D3980">
        <v>1.5</v>
      </c>
    </row>
    <row r="3981" spans="1:4" x14ac:dyDescent="0.2">
      <c r="A3981" s="43">
        <v>43153</v>
      </c>
      <c r="D3981">
        <v>1.5</v>
      </c>
    </row>
    <row r="3982" spans="1:4" x14ac:dyDescent="0.2">
      <c r="A3982" s="43">
        <v>43154</v>
      </c>
      <c r="D3982">
        <v>1.5</v>
      </c>
    </row>
    <row r="3983" spans="1:4" x14ac:dyDescent="0.2">
      <c r="A3983" s="43">
        <v>43155</v>
      </c>
      <c r="D3983">
        <v>1.5</v>
      </c>
    </row>
    <row r="3984" spans="1:4" x14ac:dyDescent="0.2">
      <c r="A3984" s="43">
        <v>43156</v>
      </c>
      <c r="D3984">
        <v>1.5</v>
      </c>
    </row>
    <row r="3985" spans="1:5" x14ac:dyDescent="0.2">
      <c r="A3985" s="43">
        <v>43157</v>
      </c>
      <c r="D3985">
        <v>1.5</v>
      </c>
    </row>
    <row r="3986" spans="1:5" x14ac:dyDescent="0.2">
      <c r="A3986" s="43">
        <v>43158</v>
      </c>
      <c r="D3986">
        <v>1.5</v>
      </c>
    </row>
    <row r="3987" spans="1:5" x14ac:dyDescent="0.2">
      <c r="A3987" s="43">
        <v>43159</v>
      </c>
      <c r="D3987">
        <v>1.5</v>
      </c>
    </row>
    <row r="3988" spans="1:5" x14ac:dyDescent="0.2">
      <c r="A3988" s="43">
        <v>43160</v>
      </c>
      <c r="B3988">
        <v>107.744</v>
      </c>
      <c r="C3988">
        <v>109.542</v>
      </c>
      <c r="D3988">
        <v>1.5</v>
      </c>
      <c r="E3988">
        <v>256.11700000000002</v>
      </c>
    </row>
    <row r="3989" spans="1:5" x14ac:dyDescent="0.2">
      <c r="A3989" s="43">
        <v>43161</v>
      </c>
      <c r="D3989">
        <v>1.5</v>
      </c>
    </row>
    <row r="3990" spans="1:5" x14ac:dyDescent="0.2">
      <c r="A3990" s="43">
        <v>43162</v>
      </c>
      <c r="D3990">
        <v>1.5</v>
      </c>
    </row>
    <row r="3991" spans="1:5" x14ac:dyDescent="0.2">
      <c r="A3991" s="43">
        <v>43163</v>
      </c>
      <c r="D3991">
        <v>1.5</v>
      </c>
    </row>
    <row r="3992" spans="1:5" x14ac:dyDescent="0.2">
      <c r="A3992" s="43">
        <v>43164</v>
      </c>
      <c r="D3992">
        <v>1.5</v>
      </c>
    </row>
    <row r="3993" spans="1:5" x14ac:dyDescent="0.2">
      <c r="A3993" s="43">
        <v>43165</v>
      </c>
      <c r="D3993">
        <v>1.5</v>
      </c>
    </row>
    <row r="3994" spans="1:5" x14ac:dyDescent="0.2">
      <c r="A3994" s="43">
        <v>43166</v>
      </c>
      <c r="D3994">
        <v>1.5</v>
      </c>
    </row>
    <row r="3995" spans="1:5" x14ac:dyDescent="0.2">
      <c r="A3995" s="43">
        <v>43167</v>
      </c>
      <c r="D3995">
        <v>1.5</v>
      </c>
    </row>
    <row r="3996" spans="1:5" x14ac:dyDescent="0.2">
      <c r="A3996" s="43">
        <v>43168</v>
      </c>
      <c r="D3996">
        <v>1.5</v>
      </c>
    </row>
    <row r="3997" spans="1:5" x14ac:dyDescent="0.2">
      <c r="A3997" s="43">
        <v>43169</v>
      </c>
      <c r="D3997">
        <v>1.5</v>
      </c>
    </row>
    <row r="3998" spans="1:5" x14ac:dyDescent="0.2">
      <c r="A3998" s="43">
        <v>43170</v>
      </c>
      <c r="D3998">
        <v>1.5</v>
      </c>
    </row>
    <row r="3999" spans="1:5" x14ac:dyDescent="0.2">
      <c r="A3999" s="43">
        <v>43171</v>
      </c>
      <c r="D3999">
        <v>1.5</v>
      </c>
    </row>
    <row r="4000" spans="1:5" x14ac:dyDescent="0.2">
      <c r="A4000" s="43">
        <v>43172</v>
      </c>
      <c r="D4000">
        <v>1.5</v>
      </c>
    </row>
    <row r="4001" spans="1:4" x14ac:dyDescent="0.2">
      <c r="A4001" s="43">
        <v>43173</v>
      </c>
      <c r="D4001">
        <v>1.5</v>
      </c>
    </row>
    <row r="4002" spans="1:4" x14ac:dyDescent="0.2">
      <c r="A4002" s="43">
        <v>43174</v>
      </c>
      <c r="D4002">
        <v>1.5</v>
      </c>
    </row>
    <row r="4003" spans="1:4" x14ac:dyDescent="0.2">
      <c r="A4003" s="43">
        <v>43175</v>
      </c>
      <c r="D4003">
        <v>1.5</v>
      </c>
    </row>
    <row r="4004" spans="1:4" x14ac:dyDescent="0.2">
      <c r="A4004" s="43">
        <v>43176</v>
      </c>
      <c r="D4004">
        <v>1.5</v>
      </c>
    </row>
    <row r="4005" spans="1:4" x14ac:dyDescent="0.2">
      <c r="A4005" s="43">
        <v>43177</v>
      </c>
      <c r="D4005">
        <v>1.5</v>
      </c>
    </row>
    <row r="4006" spans="1:4" x14ac:dyDescent="0.2">
      <c r="A4006" s="43">
        <v>43178</v>
      </c>
      <c r="D4006">
        <v>1.5</v>
      </c>
    </row>
    <row r="4007" spans="1:4" x14ac:dyDescent="0.2">
      <c r="A4007" s="43">
        <v>43179</v>
      </c>
      <c r="D4007">
        <v>1.5</v>
      </c>
    </row>
    <row r="4008" spans="1:4" x14ac:dyDescent="0.2">
      <c r="A4008" s="43">
        <v>43180</v>
      </c>
      <c r="D4008">
        <v>1.5</v>
      </c>
    </row>
    <row r="4009" spans="1:4" x14ac:dyDescent="0.2">
      <c r="A4009" s="43">
        <v>43181</v>
      </c>
      <c r="D4009">
        <v>1.75</v>
      </c>
    </row>
    <row r="4010" spans="1:4" x14ac:dyDescent="0.2">
      <c r="A4010" s="43">
        <v>43182</v>
      </c>
      <c r="D4010">
        <v>1.75</v>
      </c>
    </row>
    <row r="4011" spans="1:4" x14ac:dyDescent="0.2">
      <c r="A4011" s="43">
        <v>43183</v>
      </c>
      <c r="D4011">
        <v>1.75</v>
      </c>
    </row>
    <row r="4012" spans="1:4" x14ac:dyDescent="0.2">
      <c r="A4012" s="43">
        <v>43184</v>
      </c>
      <c r="D4012">
        <v>1.75</v>
      </c>
    </row>
    <row r="4013" spans="1:4" x14ac:dyDescent="0.2">
      <c r="A4013" s="43">
        <v>43185</v>
      </c>
      <c r="D4013">
        <v>1.75</v>
      </c>
    </row>
    <row r="4014" spans="1:4" x14ac:dyDescent="0.2">
      <c r="A4014" s="43">
        <v>43186</v>
      </c>
      <c r="D4014">
        <v>1.75</v>
      </c>
    </row>
    <row r="4015" spans="1:4" x14ac:dyDescent="0.2">
      <c r="A4015" s="43">
        <v>43187</v>
      </c>
      <c r="D4015">
        <v>1.75</v>
      </c>
    </row>
    <row r="4016" spans="1:4" x14ac:dyDescent="0.2">
      <c r="A4016" s="43">
        <v>43188</v>
      </c>
      <c r="D4016">
        <v>1.75</v>
      </c>
    </row>
    <row r="4017" spans="1:5" x14ac:dyDescent="0.2">
      <c r="A4017" s="43">
        <v>43189</v>
      </c>
      <c r="D4017">
        <v>1.75</v>
      </c>
    </row>
    <row r="4018" spans="1:5" x14ac:dyDescent="0.2">
      <c r="A4018" s="43">
        <v>43190</v>
      </c>
      <c r="D4018">
        <v>1.75</v>
      </c>
    </row>
    <row r="4019" spans="1:5" x14ac:dyDescent="0.2">
      <c r="A4019" s="43">
        <v>43191</v>
      </c>
      <c r="B4019">
        <v>108.008</v>
      </c>
      <c r="C4019">
        <v>109.752</v>
      </c>
      <c r="D4019">
        <v>1.75</v>
      </c>
      <c r="E4019">
        <v>256.65600000000001</v>
      </c>
    </row>
    <row r="4020" spans="1:5" x14ac:dyDescent="0.2">
      <c r="A4020" s="43">
        <v>43192</v>
      </c>
      <c r="D4020">
        <v>1.75</v>
      </c>
    </row>
    <row r="4021" spans="1:5" x14ac:dyDescent="0.2">
      <c r="A4021" s="43">
        <v>43193</v>
      </c>
      <c r="D4021">
        <v>1.75</v>
      </c>
    </row>
    <row r="4022" spans="1:5" x14ac:dyDescent="0.2">
      <c r="A4022" s="43">
        <v>43194</v>
      </c>
      <c r="D4022">
        <v>1.75</v>
      </c>
    </row>
    <row r="4023" spans="1:5" x14ac:dyDescent="0.2">
      <c r="A4023" s="43">
        <v>43195</v>
      </c>
      <c r="D4023">
        <v>1.75</v>
      </c>
    </row>
    <row r="4024" spans="1:5" x14ac:dyDescent="0.2">
      <c r="A4024" s="43">
        <v>43196</v>
      </c>
      <c r="D4024">
        <v>1.75</v>
      </c>
    </row>
    <row r="4025" spans="1:5" x14ac:dyDescent="0.2">
      <c r="A4025" s="43">
        <v>43197</v>
      </c>
      <c r="D4025">
        <v>1.75</v>
      </c>
    </row>
    <row r="4026" spans="1:5" x14ac:dyDescent="0.2">
      <c r="A4026" s="43">
        <v>43198</v>
      </c>
      <c r="D4026">
        <v>1.75</v>
      </c>
    </row>
    <row r="4027" spans="1:5" x14ac:dyDescent="0.2">
      <c r="A4027" s="43">
        <v>43199</v>
      </c>
      <c r="D4027">
        <v>1.75</v>
      </c>
    </row>
    <row r="4028" spans="1:5" x14ac:dyDescent="0.2">
      <c r="A4028" s="43">
        <v>43200</v>
      </c>
      <c r="D4028">
        <v>1.75</v>
      </c>
    </row>
    <row r="4029" spans="1:5" x14ac:dyDescent="0.2">
      <c r="A4029" s="43">
        <v>43201</v>
      </c>
      <c r="D4029">
        <v>1.75</v>
      </c>
    </row>
    <row r="4030" spans="1:5" x14ac:dyDescent="0.2">
      <c r="A4030" s="43">
        <v>43202</v>
      </c>
      <c r="D4030">
        <v>1.75</v>
      </c>
    </row>
    <row r="4031" spans="1:5" x14ac:dyDescent="0.2">
      <c r="A4031" s="43">
        <v>43203</v>
      </c>
      <c r="D4031">
        <v>1.75</v>
      </c>
    </row>
    <row r="4032" spans="1:5" x14ac:dyDescent="0.2">
      <c r="A4032" s="43">
        <v>43204</v>
      </c>
      <c r="D4032">
        <v>1.75</v>
      </c>
    </row>
    <row r="4033" spans="1:4" x14ac:dyDescent="0.2">
      <c r="A4033" s="43">
        <v>43205</v>
      </c>
      <c r="D4033">
        <v>1.75</v>
      </c>
    </row>
    <row r="4034" spans="1:4" x14ac:dyDescent="0.2">
      <c r="A4034" s="43">
        <v>43206</v>
      </c>
      <c r="D4034">
        <v>1.75</v>
      </c>
    </row>
    <row r="4035" spans="1:4" x14ac:dyDescent="0.2">
      <c r="A4035" s="43">
        <v>43207</v>
      </c>
      <c r="D4035">
        <v>1.75</v>
      </c>
    </row>
    <row r="4036" spans="1:4" x14ac:dyDescent="0.2">
      <c r="A4036" s="43">
        <v>43208</v>
      </c>
      <c r="D4036">
        <v>1.75</v>
      </c>
    </row>
    <row r="4037" spans="1:4" x14ac:dyDescent="0.2">
      <c r="A4037" s="43">
        <v>43209</v>
      </c>
      <c r="D4037">
        <v>1.75</v>
      </c>
    </row>
    <row r="4038" spans="1:4" x14ac:dyDescent="0.2">
      <c r="A4038" s="43">
        <v>43210</v>
      </c>
      <c r="D4038">
        <v>1.75</v>
      </c>
    </row>
    <row r="4039" spans="1:4" x14ac:dyDescent="0.2">
      <c r="A4039" s="43">
        <v>43211</v>
      </c>
      <c r="D4039">
        <v>1.75</v>
      </c>
    </row>
    <row r="4040" spans="1:4" x14ac:dyDescent="0.2">
      <c r="A4040" s="43">
        <v>43212</v>
      </c>
      <c r="D4040">
        <v>1.75</v>
      </c>
    </row>
    <row r="4041" spans="1:4" x14ac:dyDescent="0.2">
      <c r="A4041" s="43">
        <v>43213</v>
      </c>
      <c r="D4041">
        <v>1.75</v>
      </c>
    </row>
    <row r="4042" spans="1:4" x14ac:dyDescent="0.2">
      <c r="A4042" s="43">
        <v>43214</v>
      </c>
      <c r="D4042">
        <v>1.75</v>
      </c>
    </row>
    <row r="4043" spans="1:4" x14ac:dyDescent="0.2">
      <c r="A4043" s="43">
        <v>43215</v>
      </c>
      <c r="D4043">
        <v>1.75</v>
      </c>
    </row>
    <row r="4044" spans="1:4" x14ac:dyDescent="0.2">
      <c r="A4044" s="43">
        <v>43216</v>
      </c>
      <c r="D4044">
        <v>1.75</v>
      </c>
    </row>
    <row r="4045" spans="1:4" x14ac:dyDescent="0.2">
      <c r="A4045" s="43">
        <v>43217</v>
      </c>
      <c r="D4045">
        <v>1.75</v>
      </c>
    </row>
    <row r="4046" spans="1:4" x14ac:dyDescent="0.2">
      <c r="A4046" s="43">
        <v>43218</v>
      </c>
      <c r="D4046">
        <v>1.75</v>
      </c>
    </row>
    <row r="4047" spans="1:4" x14ac:dyDescent="0.2">
      <c r="A4047" s="43">
        <v>43219</v>
      </c>
      <c r="D4047">
        <v>1.75</v>
      </c>
    </row>
    <row r="4048" spans="1:4" x14ac:dyDescent="0.2">
      <c r="A4048" s="43">
        <v>43220</v>
      </c>
      <c r="D4048">
        <v>1.75</v>
      </c>
    </row>
    <row r="4049" spans="1:5" x14ac:dyDescent="0.2">
      <c r="A4049" s="43">
        <v>43221</v>
      </c>
      <c r="B4049">
        <v>108.203</v>
      </c>
      <c r="C4049">
        <v>109.96899999999999</v>
      </c>
      <c r="D4049">
        <v>1.75</v>
      </c>
      <c r="E4049">
        <v>257.15699999999998</v>
      </c>
    </row>
    <row r="4050" spans="1:5" x14ac:dyDescent="0.2">
      <c r="A4050" s="43">
        <v>43222</v>
      </c>
      <c r="D4050">
        <v>1.75</v>
      </c>
    </row>
    <row r="4051" spans="1:5" x14ac:dyDescent="0.2">
      <c r="A4051" s="43">
        <v>43223</v>
      </c>
      <c r="D4051">
        <v>1.75</v>
      </c>
    </row>
    <row r="4052" spans="1:5" x14ac:dyDescent="0.2">
      <c r="A4052" s="43">
        <v>43224</v>
      </c>
      <c r="D4052">
        <v>1.75</v>
      </c>
    </row>
    <row r="4053" spans="1:5" x14ac:dyDescent="0.2">
      <c r="A4053" s="43">
        <v>43225</v>
      </c>
      <c r="D4053">
        <v>1.75</v>
      </c>
    </row>
    <row r="4054" spans="1:5" x14ac:dyDescent="0.2">
      <c r="A4054" s="43">
        <v>43226</v>
      </c>
      <c r="D4054">
        <v>1.75</v>
      </c>
    </row>
    <row r="4055" spans="1:5" x14ac:dyDescent="0.2">
      <c r="A4055" s="43">
        <v>43227</v>
      </c>
      <c r="D4055">
        <v>1.75</v>
      </c>
    </row>
    <row r="4056" spans="1:5" x14ac:dyDescent="0.2">
      <c r="A4056" s="43">
        <v>43228</v>
      </c>
      <c r="D4056">
        <v>1.75</v>
      </c>
    </row>
    <row r="4057" spans="1:5" x14ac:dyDescent="0.2">
      <c r="A4057" s="43">
        <v>43229</v>
      </c>
      <c r="D4057">
        <v>1.75</v>
      </c>
    </row>
    <row r="4058" spans="1:5" x14ac:dyDescent="0.2">
      <c r="A4058" s="43">
        <v>43230</v>
      </c>
      <c r="D4058">
        <v>1.75</v>
      </c>
    </row>
    <row r="4059" spans="1:5" x14ac:dyDescent="0.2">
      <c r="A4059" s="43">
        <v>43231</v>
      </c>
      <c r="D4059">
        <v>1.75</v>
      </c>
    </row>
    <row r="4060" spans="1:5" x14ac:dyDescent="0.2">
      <c r="A4060" s="43">
        <v>43232</v>
      </c>
      <c r="D4060">
        <v>1.75</v>
      </c>
    </row>
    <row r="4061" spans="1:5" x14ac:dyDescent="0.2">
      <c r="A4061" s="43">
        <v>43233</v>
      </c>
      <c r="D4061">
        <v>1.75</v>
      </c>
    </row>
    <row r="4062" spans="1:5" x14ac:dyDescent="0.2">
      <c r="A4062" s="43">
        <v>43234</v>
      </c>
      <c r="D4062">
        <v>1.75</v>
      </c>
    </row>
    <row r="4063" spans="1:5" x14ac:dyDescent="0.2">
      <c r="A4063" s="43">
        <v>43235</v>
      </c>
      <c r="D4063">
        <v>1.75</v>
      </c>
    </row>
    <row r="4064" spans="1:5" x14ac:dyDescent="0.2">
      <c r="A4064" s="43">
        <v>43236</v>
      </c>
      <c r="D4064">
        <v>1.75</v>
      </c>
    </row>
    <row r="4065" spans="1:5" x14ac:dyDescent="0.2">
      <c r="A4065" s="43">
        <v>43237</v>
      </c>
      <c r="D4065">
        <v>1.75</v>
      </c>
    </row>
    <row r="4066" spans="1:5" x14ac:dyDescent="0.2">
      <c r="A4066" s="43">
        <v>43238</v>
      </c>
      <c r="D4066">
        <v>1.75</v>
      </c>
    </row>
    <row r="4067" spans="1:5" x14ac:dyDescent="0.2">
      <c r="A4067" s="43">
        <v>43239</v>
      </c>
      <c r="D4067">
        <v>1.75</v>
      </c>
    </row>
    <row r="4068" spans="1:5" x14ac:dyDescent="0.2">
      <c r="A4068" s="43">
        <v>43240</v>
      </c>
      <c r="D4068">
        <v>1.75</v>
      </c>
    </row>
    <row r="4069" spans="1:5" x14ac:dyDescent="0.2">
      <c r="A4069" s="43">
        <v>43241</v>
      </c>
      <c r="D4069">
        <v>1.75</v>
      </c>
    </row>
    <row r="4070" spans="1:5" x14ac:dyDescent="0.2">
      <c r="A4070" s="43">
        <v>43242</v>
      </c>
      <c r="D4070">
        <v>1.75</v>
      </c>
    </row>
    <row r="4071" spans="1:5" x14ac:dyDescent="0.2">
      <c r="A4071" s="43">
        <v>43243</v>
      </c>
      <c r="D4071">
        <v>1.75</v>
      </c>
    </row>
    <row r="4072" spans="1:5" x14ac:dyDescent="0.2">
      <c r="A4072" s="43">
        <v>43244</v>
      </c>
      <c r="D4072">
        <v>1.75</v>
      </c>
    </row>
    <row r="4073" spans="1:5" x14ac:dyDescent="0.2">
      <c r="A4073" s="43">
        <v>43245</v>
      </c>
      <c r="D4073">
        <v>1.75</v>
      </c>
    </row>
    <row r="4074" spans="1:5" x14ac:dyDescent="0.2">
      <c r="A4074" s="43">
        <v>43246</v>
      </c>
      <c r="D4074">
        <v>1.75</v>
      </c>
    </row>
    <row r="4075" spans="1:5" x14ac:dyDescent="0.2">
      <c r="A4075" s="43">
        <v>43247</v>
      </c>
      <c r="D4075">
        <v>1.75</v>
      </c>
    </row>
    <row r="4076" spans="1:5" x14ac:dyDescent="0.2">
      <c r="A4076" s="43">
        <v>43248</v>
      </c>
      <c r="D4076">
        <v>1.75</v>
      </c>
    </row>
    <row r="4077" spans="1:5" x14ac:dyDescent="0.2">
      <c r="A4077" s="43">
        <v>43249</v>
      </c>
      <c r="D4077">
        <v>1.75</v>
      </c>
    </row>
    <row r="4078" spans="1:5" x14ac:dyDescent="0.2">
      <c r="A4078" s="43">
        <v>43250</v>
      </c>
      <c r="D4078">
        <v>1.75</v>
      </c>
    </row>
    <row r="4079" spans="1:5" x14ac:dyDescent="0.2">
      <c r="A4079" s="43">
        <v>43251</v>
      </c>
      <c r="D4079">
        <v>1.75</v>
      </c>
    </row>
    <row r="4080" spans="1:5" x14ac:dyDescent="0.2">
      <c r="A4080" s="43">
        <v>43252</v>
      </c>
      <c r="B4080">
        <v>108.34099999999999</v>
      </c>
      <c r="C4080">
        <v>110.10599999999999</v>
      </c>
      <c r="D4080">
        <v>1.75</v>
      </c>
      <c r="E4080">
        <v>257.53399999999999</v>
      </c>
    </row>
    <row r="4081" spans="1:4" x14ac:dyDescent="0.2">
      <c r="A4081" s="43">
        <v>43253</v>
      </c>
      <c r="D4081">
        <v>1.75</v>
      </c>
    </row>
    <row r="4082" spans="1:4" x14ac:dyDescent="0.2">
      <c r="A4082" s="43">
        <v>43254</v>
      </c>
      <c r="D4082">
        <v>1.75</v>
      </c>
    </row>
    <row r="4083" spans="1:4" x14ac:dyDescent="0.2">
      <c r="A4083" s="43">
        <v>43255</v>
      </c>
      <c r="D4083">
        <v>1.75</v>
      </c>
    </row>
    <row r="4084" spans="1:4" x14ac:dyDescent="0.2">
      <c r="A4084" s="43">
        <v>43256</v>
      </c>
      <c r="D4084">
        <v>1.75</v>
      </c>
    </row>
    <row r="4085" spans="1:4" x14ac:dyDescent="0.2">
      <c r="A4085" s="43">
        <v>43257</v>
      </c>
      <c r="D4085">
        <v>1.75</v>
      </c>
    </row>
    <row r="4086" spans="1:4" x14ac:dyDescent="0.2">
      <c r="A4086" s="43">
        <v>43258</v>
      </c>
      <c r="D4086">
        <v>1.75</v>
      </c>
    </row>
    <row r="4087" spans="1:4" x14ac:dyDescent="0.2">
      <c r="A4087" s="43">
        <v>43259</v>
      </c>
      <c r="D4087">
        <v>1.75</v>
      </c>
    </row>
    <row r="4088" spans="1:4" x14ac:dyDescent="0.2">
      <c r="A4088" s="43">
        <v>43260</v>
      </c>
      <c r="D4088">
        <v>1.75</v>
      </c>
    </row>
    <row r="4089" spans="1:4" x14ac:dyDescent="0.2">
      <c r="A4089" s="43">
        <v>43261</v>
      </c>
      <c r="D4089">
        <v>1.75</v>
      </c>
    </row>
    <row r="4090" spans="1:4" x14ac:dyDescent="0.2">
      <c r="A4090" s="43">
        <v>43262</v>
      </c>
      <c r="D4090">
        <v>1.75</v>
      </c>
    </row>
    <row r="4091" spans="1:4" x14ac:dyDescent="0.2">
      <c r="A4091" s="43">
        <v>43263</v>
      </c>
      <c r="D4091">
        <v>1.75</v>
      </c>
    </row>
    <row r="4092" spans="1:4" x14ac:dyDescent="0.2">
      <c r="A4092" s="43">
        <v>43264</v>
      </c>
      <c r="D4092">
        <v>1.75</v>
      </c>
    </row>
    <row r="4093" spans="1:4" x14ac:dyDescent="0.2">
      <c r="A4093" s="43">
        <v>43265</v>
      </c>
      <c r="D4093">
        <v>2</v>
      </c>
    </row>
    <row r="4094" spans="1:4" x14ac:dyDescent="0.2">
      <c r="A4094" s="43">
        <v>43266</v>
      </c>
      <c r="D4094">
        <v>2</v>
      </c>
    </row>
    <row r="4095" spans="1:4" x14ac:dyDescent="0.2">
      <c r="A4095" s="43">
        <v>43267</v>
      </c>
      <c r="D4095">
        <v>2</v>
      </c>
    </row>
    <row r="4096" spans="1:4" x14ac:dyDescent="0.2">
      <c r="A4096" s="43">
        <v>43268</v>
      </c>
      <c r="D4096">
        <v>2</v>
      </c>
    </row>
    <row r="4097" spans="1:5" x14ac:dyDescent="0.2">
      <c r="A4097" s="43">
        <v>43269</v>
      </c>
      <c r="D4097">
        <v>2</v>
      </c>
    </row>
    <row r="4098" spans="1:5" x14ac:dyDescent="0.2">
      <c r="A4098" s="43">
        <v>43270</v>
      </c>
      <c r="D4098">
        <v>2</v>
      </c>
    </row>
    <row r="4099" spans="1:5" x14ac:dyDescent="0.2">
      <c r="A4099" s="43">
        <v>43271</v>
      </c>
      <c r="D4099">
        <v>2</v>
      </c>
    </row>
    <row r="4100" spans="1:5" x14ac:dyDescent="0.2">
      <c r="A4100" s="43">
        <v>43272</v>
      </c>
      <c r="D4100">
        <v>2</v>
      </c>
    </row>
    <row r="4101" spans="1:5" x14ac:dyDescent="0.2">
      <c r="A4101" s="43">
        <v>43273</v>
      </c>
      <c r="D4101">
        <v>2</v>
      </c>
    </row>
    <row r="4102" spans="1:5" x14ac:dyDescent="0.2">
      <c r="A4102" s="43">
        <v>43274</v>
      </c>
      <c r="D4102">
        <v>2</v>
      </c>
    </row>
    <row r="4103" spans="1:5" x14ac:dyDescent="0.2">
      <c r="A4103" s="43">
        <v>43275</v>
      </c>
      <c r="D4103">
        <v>2</v>
      </c>
    </row>
    <row r="4104" spans="1:5" x14ac:dyDescent="0.2">
      <c r="A4104" s="43">
        <v>43276</v>
      </c>
      <c r="D4104">
        <v>2</v>
      </c>
    </row>
    <row r="4105" spans="1:5" x14ac:dyDescent="0.2">
      <c r="A4105" s="43">
        <v>43277</v>
      </c>
      <c r="D4105">
        <v>2</v>
      </c>
    </row>
    <row r="4106" spans="1:5" x14ac:dyDescent="0.2">
      <c r="A4106" s="43">
        <v>43278</v>
      </c>
      <c r="D4106">
        <v>2</v>
      </c>
    </row>
    <row r="4107" spans="1:5" x14ac:dyDescent="0.2">
      <c r="A4107" s="43">
        <v>43279</v>
      </c>
      <c r="D4107">
        <v>2</v>
      </c>
    </row>
    <row r="4108" spans="1:5" x14ac:dyDescent="0.2">
      <c r="A4108" s="43">
        <v>43280</v>
      </c>
      <c r="D4108">
        <v>2</v>
      </c>
    </row>
    <row r="4109" spans="1:5" x14ac:dyDescent="0.2">
      <c r="A4109" s="43">
        <v>43281</v>
      </c>
      <c r="D4109">
        <v>2</v>
      </c>
    </row>
    <row r="4110" spans="1:5" x14ac:dyDescent="0.2">
      <c r="A4110" s="43">
        <v>43282</v>
      </c>
      <c r="B4110">
        <v>108.42700000000001</v>
      </c>
      <c r="C4110">
        <v>110.238</v>
      </c>
      <c r="D4110">
        <v>2</v>
      </c>
      <c r="E4110">
        <v>257.93</v>
      </c>
    </row>
    <row r="4111" spans="1:5" x14ac:dyDescent="0.2">
      <c r="A4111" s="43">
        <v>43283</v>
      </c>
      <c r="D4111">
        <v>2</v>
      </c>
    </row>
    <row r="4112" spans="1:5" x14ac:dyDescent="0.2">
      <c r="A4112" s="43">
        <v>43284</v>
      </c>
      <c r="D4112">
        <v>2</v>
      </c>
    </row>
    <row r="4113" spans="1:4" x14ac:dyDescent="0.2">
      <c r="A4113" s="43">
        <v>43285</v>
      </c>
      <c r="D4113">
        <v>2</v>
      </c>
    </row>
    <row r="4114" spans="1:4" x14ac:dyDescent="0.2">
      <c r="A4114" s="43">
        <v>43286</v>
      </c>
      <c r="D4114">
        <v>2</v>
      </c>
    </row>
    <row r="4115" spans="1:4" x14ac:dyDescent="0.2">
      <c r="A4115" s="43">
        <v>43287</v>
      </c>
      <c r="D4115">
        <v>2</v>
      </c>
    </row>
    <row r="4116" spans="1:4" x14ac:dyDescent="0.2">
      <c r="A4116" s="43">
        <v>43288</v>
      </c>
      <c r="D4116">
        <v>2</v>
      </c>
    </row>
    <row r="4117" spans="1:4" x14ac:dyDescent="0.2">
      <c r="A4117" s="43">
        <v>43289</v>
      </c>
      <c r="D4117">
        <v>2</v>
      </c>
    </row>
    <row r="4118" spans="1:4" x14ac:dyDescent="0.2">
      <c r="A4118" s="43">
        <v>43290</v>
      </c>
      <c r="D4118">
        <v>2</v>
      </c>
    </row>
    <row r="4119" spans="1:4" x14ac:dyDescent="0.2">
      <c r="A4119" s="43">
        <v>43291</v>
      </c>
      <c r="D4119">
        <v>2</v>
      </c>
    </row>
    <row r="4120" spans="1:4" x14ac:dyDescent="0.2">
      <c r="A4120" s="43">
        <v>43292</v>
      </c>
      <c r="D4120">
        <v>2</v>
      </c>
    </row>
    <row r="4121" spans="1:4" x14ac:dyDescent="0.2">
      <c r="A4121" s="43">
        <v>43293</v>
      </c>
      <c r="D4121">
        <v>2</v>
      </c>
    </row>
    <row r="4122" spans="1:4" x14ac:dyDescent="0.2">
      <c r="A4122" s="43">
        <v>43294</v>
      </c>
      <c r="D4122">
        <v>2</v>
      </c>
    </row>
    <row r="4123" spans="1:4" x14ac:dyDescent="0.2">
      <c r="A4123" s="43">
        <v>43295</v>
      </c>
      <c r="D4123">
        <v>2</v>
      </c>
    </row>
    <row r="4124" spans="1:4" x14ac:dyDescent="0.2">
      <c r="A4124" s="43">
        <v>43296</v>
      </c>
      <c r="D4124">
        <v>2</v>
      </c>
    </row>
    <row r="4125" spans="1:4" x14ac:dyDescent="0.2">
      <c r="A4125" s="43">
        <v>43297</v>
      </c>
      <c r="D4125">
        <v>2</v>
      </c>
    </row>
    <row r="4126" spans="1:4" x14ac:dyDescent="0.2">
      <c r="A4126" s="43">
        <v>43298</v>
      </c>
      <c r="D4126">
        <v>2</v>
      </c>
    </row>
    <row r="4127" spans="1:4" x14ac:dyDescent="0.2">
      <c r="A4127" s="43">
        <v>43299</v>
      </c>
      <c r="D4127">
        <v>2</v>
      </c>
    </row>
    <row r="4128" spans="1:4" x14ac:dyDescent="0.2">
      <c r="A4128" s="43">
        <v>43300</v>
      </c>
      <c r="D4128">
        <v>2</v>
      </c>
    </row>
    <row r="4129" spans="1:5" x14ac:dyDescent="0.2">
      <c r="A4129" s="43">
        <v>43301</v>
      </c>
      <c r="D4129">
        <v>2</v>
      </c>
    </row>
    <row r="4130" spans="1:5" x14ac:dyDescent="0.2">
      <c r="A4130" s="43">
        <v>43302</v>
      </c>
      <c r="D4130">
        <v>2</v>
      </c>
    </row>
    <row r="4131" spans="1:5" x14ac:dyDescent="0.2">
      <c r="A4131" s="43">
        <v>43303</v>
      </c>
      <c r="D4131">
        <v>2</v>
      </c>
    </row>
    <row r="4132" spans="1:5" x14ac:dyDescent="0.2">
      <c r="A4132" s="43">
        <v>43304</v>
      </c>
      <c r="D4132">
        <v>2</v>
      </c>
    </row>
    <row r="4133" spans="1:5" x14ac:dyDescent="0.2">
      <c r="A4133" s="43">
        <v>43305</v>
      </c>
      <c r="D4133">
        <v>2</v>
      </c>
    </row>
    <row r="4134" spans="1:5" x14ac:dyDescent="0.2">
      <c r="A4134" s="43">
        <v>43306</v>
      </c>
      <c r="D4134">
        <v>2</v>
      </c>
    </row>
    <row r="4135" spans="1:5" x14ac:dyDescent="0.2">
      <c r="A4135" s="43">
        <v>43307</v>
      </c>
      <c r="D4135">
        <v>2</v>
      </c>
    </row>
    <row r="4136" spans="1:5" x14ac:dyDescent="0.2">
      <c r="A4136" s="43">
        <v>43308</v>
      </c>
      <c r="D4136">
        <v>2</v>
      </c>
    </row>
    <row r="4137" spans="1:5" x14ac:dyDescent="0.2">
      <c r="A4137" s="43">
        <v>43309</v>
      </c>
      <c r="D4137">
        <v>2</v>
      </c>
    </row>
    <row r="4138" spans="1:5" x14ac:dyDescent="0.2">
      <c r="A4138" s="43">
        <v>43310</v>
      </c>
      <c r="D4138">
        <v>2</v>
      </c>
    </row>
    <row r="4139" spans="1:5" x14ac:dyDescent="0.2">
      <c r="A4139" s="43">
        <v>43311</v>
      </c>
      <c r="D4139">
        <v>2</v>
      </c>
    </row>
    <row r="4140" spans="1:5" x14ac:dyDescent="0.2">
      <c r="A4140" s="43">
        <v>43312</v>
      </c>
      <c r="D4140">
        <v>2</v>
      </c>
    </row>
    <row r="4141" spans="1:5" x14ac:dyDescent="0.2">
      <c r="A4141" s="43">
        <v>43313</v>
      </c>
      <c r="B4141">
        <v>108.491</v>
      </c>
      <c r="C4141">
        <v>110.247</v>
      </c>
      <c r="D4141">
        <v>2</v>
      </c>
      <c r="E4141">
        <v>258.08</v>
      </c>
    </row>
    <row r="4142" spans="1:5" x14ac:dyDescent="0.2">
      <c r="A4142" s="43">
        <v>43314</v>
      </c>
      <c r="D4142">
        <v>2</v>
      </c>
    </row>
    <row r="4143" spans="1:5" x14ac:dyDescent="0.2">
      <c r="A4143" s="43">
        <v>43315</v>
      </c>
      <c r="D4143">
        <v>2</v>
      </c>
    </row>
    <row r="4144" spans="1:5" x14ac:dyDescent="0.2">
      <c r="A4144" s="43">
        <v>43316</v>
      </c>
      <c r="D4144">
        <v>2</v>
      </c>
    </row>
    <row r="4145" spans="1:4" x14ac:dyDescent="0.2">
      <c r="A4145" s="43">
        <v>43317</v>
      </c>
      <c r="D4145">
        <v>2</v>
      </c>
    </row>
    <row r="4146" spans="1:4" x14ac:dyDescent="0.2">
      <c r="A4146" s="43">
        <v>43318</v>
      </c>
      <c r="D4146">
        <v>2</v>
      </c>
    </row>
    <row r="4147" spans="1:4" x14ac:dyDescent="0.2">
      <c r="A4147" s="43">
        <v>43319</v>
      </c>
      <c r="D4147">
        <v>2</v>
      </c>
    </row>
    <row r="4148" spans="1:4" x14ac:dyDescent="0.2">
      <c r="A4148" s="43">
        <v>43320</v>
      </c>
      <c r="D4148">
        <v>2</v>
      </c>
    </row>
    <row r="4149" spans="1:4" x14ac:dyDescent="0.2">
      <c r="A4149" s="43">
        <v>43321</v>
      </c>
      <c r="D4149">
        <v>2</v>
      </c>
    </row>
    <row r="4150" spans="1:4" x14ac:dyDescent="0.2">
      <c r="A4150" s="43">
        <v>43322</v>
      </c>
      <c r="D4150">
        <v>2</v>
      </c>
    </row>
    <row r="4151" spans="1:4" x14ac:dyDescent="0.2">
      <c r="A4151" s="43">
        <v>43323</v>
      </c>
      <c r="D4151">
        <v>2</v>
      </c>
    </row>
    <row r="4152" spans="1:4" x14ac:dyDescent="0.2">
      <c r="A4152" s="43">
        <v>43324</v>
      </c>
      <c r="D4152">
        <v>2</v>
      </c>
    </row>
    <row r="4153" spans="1:4" x14ac:dyDescent="0.2">
      <c r="A4153" s="43">
        <v>43325</v>
      </c>
      <c r="D4153">
        <v>2</v>
      </c>
    </row>
    <row r="4154" spans="1:4" x14ac:dyDescent="0.2">
      <c r="A4154" s="43">
        <v>43326</v>
      </c>
      <c r="D4154">
        <v>2</v>
      </c>
    </row>
    <row r="4155" spans="1:4" x14ac:dyDescent="0.2">
      <c r="A4155" s="43">
        <v>43327</v>
      </c>
      <c r="D4155">
        <v>2</v>
      </c>
    </row>
    <row r="4156" spans="1:4" x14ac:dyDescent="0.2">
      <c r="A4156" s="43">
        <v>43328</v>
      </c>
      <c r="D4156">
        <v>2</v>
      </c>
    </row>
    <row r="4157" spans="1:4" x14ac:dyDescent="0.2">
      <c r="A4157" s="43">
        <v>43329</v>
      </c>
      <c r="D4157">
        <v>2</v>
      </c>
    </row>
    <row r="4158" spans="1:4" x14ac:dyDescent="0.2">
      <c r="A4158" s="43">
        <v>43330</v>
      </c>
      <c r="D4158">
        <v>2</v>
      </c>
    </row>
    <row r="4159" spans="1:4" x14ac:dyDescent="0.2">
      <c r="A4159" s="43">
        <v>43331</v>
      </c>
      <c r="D4159">
        <v>2</v>
      </c>
    </row>
    <row r="4160" spans="1:4" x14ac:dyDescent="0.2">
      <c r="A4160" s="43">
        <v>43332</v>
      </c>
      <c r="D4160">
        <v>2</v>
      </c>
    </row>
    <row r="4161" spans="1:5" x14ac:dyDescent="0.2">
      <c r="A4161" s="43">
        <v>43333</v>
      </c>
      <c r="D4161">
        <v>2</v>
      </c>
    </row>
    <row r="4162" spans="1:5" x14ac:dyDescent="0.2">
      <c r="A4162" s="43">
        <v>43334</v>
      </c>
      <c r="D4162">
        <v>2</v>
      </c>
    </row>
    <row r="4163" spans="1:5" x14ac:dyDescent="0.2">
      <c r="A4163" s="43">
        <v>43335</v>
      </c>
      <c r="D4163">
        <v>2</v>
      </c>
    </row>
    <row r="4164" spans="1:5" x14ac:dyDescent="0.2">
      <c r="A4164" s="43">
        <v>43336</v>
      </c>
      <c r="D4164">
        <v>2</v>
      </c>
    </row>
    <row r="4165" spans="1:5" x14ac:dyDescent="0.2">
      <c r="A4165" s="43">
        <v>43337</v>
      </c>
      <c r="D4165">
        <v>2</v>
      </c>
    </row>
    <row r="4166" spans="1:5" x14ac:dyDescent="0.2">
      <c r="A4166" s="43">
        <v>43338</v>
      </c>
      <c r="D4166">
        <v>2</v>
      </c>
    </row>
    <row r="4167" spans="1:5" x14ac:dyDescent="0.2">
      <c r="A4167" s="43">
        <v>43339</v>
      </c>
      <c r="D4167">
        <v>2</v>
      </c>
    </row>
    <row r="4168" spans="1:5" x14ac:dyDescent="0.2">
      <c r="A4168" s="43">
        <v>43340</v>
      </c>
      <c r="D4168">
        <v>2</v>
      </c>
    </row>
    <row r="4169" spans="1:5" x14ac:dyDescent="0.2">
      <c r="A4169" s="43">
        <v>43341</v>
      </c>
      <c r="D4169">
        <v>2</v>
      </c>
    </row>
    <row r="4170" spans="1:5" x14ac:dyDescent="0.2">
      <c r="A4170" s="43">
        <v>43342</v>
      </c>
      <c r="D4170">
        <v>2</v>
      </c>
    </row>
    <row r="4171" spans="1:5" x14ac:dyDescent="0.2">
      <c r="A4171" s="43">
        <v>43343</v>
      </c>
      <c r="D4171">
        <v>2</v>
      </c>
    </row>
    <row r="4172" spans="1:5" x14ac:dyDescent="0.2">
      <c r="A4172" s="43">
        <v>43344</v>
      </c>
      <c r="B4172">
        <v>108.72</v>
      </c>
      <c r="C4172">
        <v>110.47499999999999</v>
      </c>
      <c r="D4172">
        <v>2</v>
      </c>
      <c r="E4172">
        <v>258.53399999999999</v>
      </c>
    </row>
    <row r="4173" spans="1:5" x14ac:dyDescent="0.2">
      <c r="A4173" s="43">
        <v>43345</v>
      </c>
      <c r="D4173">
        <v>2</v>
      </c>
    </row>
    <row r="4174" spans="1:5" x14ac:dyDescent="0.2">
      <c r="A4174" s="43">
        <v>43346</v>
      </c>
      <c r="D4174">
        <v>2</v>
      </c>
    </row>
    <row r="4175" spans="1:5" x14ac:dyDescent="0.2">
      <c r="A4175" s="43">
        <v>43347</v>
      </c>
      <c r="D4175">
        <v>2</v>
      </c>
    </row>
    <row r="4176" spans="1:5" x14ac:dyDescent="0.2">
      <c r="A4176" s="43">
        <v>43348</v>
      </c>
      <c r="D4176">
        <v>2</v>
      </c>
    </row>
    <row r="4177" spans="1:4" x14ac:dyDescent="0.2">
      <c r="A4177" s="43">
        <v>43349</v>
      </c>
      <c r="D4177">
        <v>2</v>
      </c>
    </row>
    <row r="4178" spans="1:4" x14ac:dyDescent="0.2">
      <c r="A4178" s="43">
        <v>43350</v>
      </c>
      <c r="D4178">
        <v>2</v>
      </c>
    </row>
    <row r="4179" spans="1:4" x14ac:dyDescent="0.2">
      <c r="A4179" s="43">
        <v>43351</v>
      </c>
      <c r="D4179">
        <v>2</v>
      </c>
    </row>
    <row r="4180" spans="1:4" x14ac:dyDescent="0.2">
      <c r="A4180" s="43">
        <v>43352</v>
      </c>
      <c r="D4180">
        <v>2</v>
      </c>
    </row>
    <row r="4181" spans="1:4" x14ac:dyDescent="0.2">
      <c r="A4181" s="43">
        <v>43353</v>
      </c>
      <c r="D4181">
        <v>2</v>
      </c>
    </row>
    <row r="4182" spans="1:4" x14ac:dyDescent="0.2">
      <c r="A4182" s="43">
        <v>43354</v>
      </c>
      <c r="D4182">
        <v>2</v>
      </c>
    </row>
    <row r="4183" spans="1:4" x14ac:dyDescent="0.2">
      <c r="A4183" s="43">
        <v>43355</v>
      </c>
      <c r="D4183">
        <v>2</v>
      </c>
    </row>
    <row r="4184" spans="1:4" x14ac:dyDescent="0.2">
      <c r="A4184" s="43">
        <v>43356</v>
      </c>
      <c r="D4184">
        <v>2</v>
      </c>
    </row>
    <row r="4185" spans="1:4" x14ac:dyDescent="0.2">
      <c r="A4185" s="43">
        <v>43357</v>
      </c>
      <c r="D4185">
        <v>2</v>
      </c>
    </row>
    <row r="4186" spans="1:4" x14ac:dyDescent="0.2">
      <c r="A4186" s="43">
        <v>43358</v>
      </c>
      <c r="D4186">
        <v>2</v>
      </c>
    </row>
    <row r="4187" spans="1:4" x14ac:dyDescent="0.2">
      <c r="A4187" s="43">
        <v>43359</v>
      </c>
      <c r="D4187">
        <v>2</v>
      </c>
    </row>
    <row r="4188" spans="1:4" x14ac:dyDescent="0.2">
      <c r="A4188" s="43">
        <v>43360</v>
      </c>
      <c r="D4188">
        <v>2</v>
      </c>
    </row>
    <row r="4189" spans="1:4" x14ac:dyDescent="0.2">
      <c r="A4189" s="43">
        <v>43361</v>
      </c>
      <c r="D4189">
        <v>2</v>
      </c>
    </row>
    <row r="4190" spans="1:4" x14ac:dyDescent="0.2">
      <c r="A4190" s="43">
        <v>43362</v>
      </c>
      <c r="D4190">
        <v>2</v>
      </c>
    </row>
    <row r="4191" spans="1:4" x14ac:dyDescent="0.2">
      <c r="A4191" s="43">
        <v>43363</v>
      </c>
      <c r="D4191">
        <v>2</v>
      </c>
    </row>
    <row r="4192" spans="1:4" x14ac:dyDescent="0.2">
      <c r="A4192" s="43">
        <v>43364</v>
      </c>
      <c r="D4192">
        <v>2</v>
      </c>
    </row>
    <row r="4193" spans="1:5" x14ac:dyDescent="0.2">
      <c r="A4193" s="43">
        <v>43365</v>
      </c>
      <c r="D4193">
        <v>2</v>
      </c>
    </row>
    <row r="4194" spans="1:5" x14ac:dyDescent="0.2">
      <c r="A4194" s="43">
        <v>43366</v>
      </c>
      <c r="D4194">
        <v>2</v>
      </c>
    </row>
    <row r="4195" spans="1:5" x14ac:dyDescent="0.2">
      <c r="A4195" s="43">
        <v>43367</v>
      </c>
      <c r="D4195">
        <v>2</v>
      </c>
    </row>
    <row r="4196" spans="1:5" x14ac:dyDescent="0.2">
      <c r="A4196" s="43">
        <v>43368</v>
      </c>
      <c r="D4196">
        <v>2</v>
      </c>
    </row>
    <row r="4197" spans="1:5" x14ac:dyDescent="0.2">
      <c r="A4197" s="43">
        <v>43369</v>
      </c>
      <c r="D4197">
        <v>2</v>
      </c>
    </row>
    <row r="4198" spans="1:5" x14ac:dyDescent="0.2">
      <c r="A4198" s="43">
        <v>43370</v>
      </c>
      <c r="D4198">
        <v>2.25</v>
      </c>
    </row>
    <row r="4199" spans="1:5" x14ac:dyDescent="0.2">
      <c r="A4199" s="43">
        <v>43371</v>
      </c>
      <c r="D4199">
        <v>2.25</v>
      </c>
    </row>
    <row r="4200" spans="1:5" x14ac:dyDescent="0.2">
      <c r="A4200" s="43">
        <v>43372</v>
      </c>
      <c r="D4200">
        <v>2.25</v>
      </c>
    </row>
    <row r="4201" spans="1:5" x14ac:dyDescent="0.2">
      <c r="A4201" s="43">
        <v>43373</v>
      </c>
      <c r="D4201">
        <v>2.25</v>
      </c>
    </row>
    <row r="4202" spans="1:5" x14ac:dyDescent="0.2">
      <c r="A4202" s="43">
        <v>43374</v>
      </c>
      <c r="B4202">
        <v>108.947</v>
      </c>
      <c r="C4202">
        <v>110.64100000000001</v>
      </c>
      <c r="D4202">
        <v>2.25</v>
      </c>
      <c r="E4202">
        <v>258.98899999999998</v>
      </c>
    </row>
    <row r="4203" spans="1:5" x14ac:dyDescent="0.2">
      <c r="A4203" s="43">
        <v>43375</v>
      </c>
      <c r="D4203">
        <v>2.25</v>
      </c>
    </row>
    <row r="4204" spans="1:5" x14ac:dyDescent="0.2">
      <c r="A4204" s="43">
        <v>43376</v>
      </c>
      <c r="D4204">
        <v>2.25</v>
      </c>
    </row>
    <row r="4205" spans="1:5" x14ac:dyDescent="0.2">
      <c r="A4205" s="43">
        <v>43377</v>
      </c>
      <c r="D4205">
        <v>2.25</v>
      </c>
    </row>
    <row r="4206" spans="1:5" x14ac:dyDescent="0.2">
      <c r="A4206" s="43">
        <v>43378</v>
      </c>
      <c r="D4206">
        <v>2.25</v>
      </c>
    </row>
    <row r="4207" spans="1:5" x14ac:dyDescent="0.2">
      <c r="A4207" s="43">
        <v>43379</v>
      </c>
      <c r="D4207">
        <v>2.25</v>
      </c>
    </row>
    <row r="4208" spans="1:5" x14ac:dyDescent="0.2">
      <c r="A4208" s="43">
        <v>43380</v>
      </c>
      <c r="D4208">
        <v>2.25</v>
      </c>
    </row>
    <row r="4209" spans="1:4" x14ac:dyDescent="0.2">
      <c r="A4209" s="43">
        <v>43381</v>
      </c>
      <c r="D4209">
        <v>2.25</v>
      </c>
    </row>
    <row r="4210" spans="1:4" x14ac:dyDescent="0.2">
      <c r="A4210" s="43">
        <v>43382</v>
      </c>
      <c r="D4210">
        <v>2.25</v>
      </c>
    </row>
    <row r="4211" spans="1:4" x14ac:dyDescent="0.2">
      <c r="A4211" s="43">
        <v>43383</v>
      </c>
      <c r="D4211">
        <v>2.25</v>
      </c>
    </row>
    <row r="4212" spans="1:4" x14ac:dyDescent="0.2">
      <c r="A4212" s="43">
        <v>43384</v>
      </c>
      <c r="D4212">
        <v>2.25</v>
      </c>
    </row>
    <row r="4213" spans="1:4" x14ac:dyDescent="0.2">
      <c r="A4213" s="43">
        <v>43385</v>
      </c>
      <c r="D4213">
        <v>2.25</v>
      </c>
    </row>
    <row r="4214" spans="1:4" x14ac:dyDescent="0.2">
      <c r="A4214" s="43">
        <v>43386</v>
      </c>
      <c r="D4214">
        <v>2.25</v>
      </c>
    </row>
    <row r="4215" spans="1:4" x14ac:dyDescent="0.2">
      <c r="A4215" s="43">
        <v>43387</v>
      </c>
      <c r="D4215">
        <v>2.25</v>
      </c>
    </row>
    <row r="4216" spans="1:4" x14ac:dyDescent="0.2">
      <c r="A4216" s="43">
        <v>43388</v>
      </c>
      <c r="D4216">
        <v>2.25</v>
      </c>
    </row>
    <row r="4217" spans="1:4" x14ac:dyDescent="0.2">
      <c r="A4217" s="43">
        <v>43389</v>
      </c>
      <c r="D4217">
        <v>2.25</v>
      </c>
    </row>
    <row r="4218" spans="1:4" x14ac:dyDescent="0.2">
      <c r="A4218" s="43">
        <v>43390</v>
      </c>
      <c r="D4218">
        <v>2.25</v>
      </c>
    </row>
    <row r="4219" spans="1:4" x14ac:dyDescent="0.2">
      <c r="A4219" s="43">
        <v>43391</v>
      </c>
      <c r="D4219">
        <v>2.25</v>
      </c>
    </row>
    <row r="4220" spans="1:4" x14ac:dyDescent="0.2">
      <c r="A4220" s="43">
        <v>43392</v>
      </c>
      <c r="D4220">
        <v>2.25</v>
      </c>
    </row>
    <row r="4221" spans="1:4" x14ac:dyDescent="0.2">
      <c r="A4221" s="43">
        <v>43393</v>
      </c>
      <c r="D4221">
        <v>2.25</v>
      </c>
    </row>
    <row r="4222" spans="1:4" x14ac:dyDescent="0.2">
      <c r="A4222" s="43">
        <v>43394</v>
      </c>
      <c r="D4222">
        <v>2.25</v>
      </c>
    </row>
    <row r="4223" spans="1:4" x14ac:dyDescent="0.2">
      <c r="A4223" s="43">
        <v>43395</v>
      </c>
      <c r="D4223">
        <v>2.25</v>
      </c>
    </row>
    <row r="4224" spans="1:4" x14ac:dyDescent="0.2">
      <c r="A4224" s="43">
        <v>43396</v>
      </c>
      <c r="D4224">
        <v>2.25</v>
      </c>
    </row>
    <row r="4225" spans="1:5" x14ac:dyDescent="0.2">
      <c r="A4225" s="43">
        <v>43397</v>
      </c>
      <c r="D4225">
        <v>2.25</v>
      </c>
    </row>
    <row r="4226" spans="1:5" x14ac:dyDescent="0.2">
      <c r="A4226" s="43">
        <v>43398</v>
      </c>
      <c r="D4226">
        <v>2.25</v>
      </c>
    </row>
    <row r="4227" spans="1:5" x14ac:dyDescent="0.2">
      <c r="A4227" s="43">
        <v>43399</v>
      </c>
      <c r="D4227">
        <v>2.25</v>
      </c>
    </row>
    <row r="4228" spans="1:5" x14ac:dyDescent="0.2">
      <c r="A4228" s="43">
        <v>43400</v>
      </c>
      <c r="D4228">
        <v>2.25</v>
      </c>
    </row>
    <row r="4229" spans="1:5" x14ac:dyDescent="0.2">
      <c r="A4229" s="43">
        <v>43401</v>
      </c>
      <c r="D4229">
        <v>2.25</v>
      </c>
    </row>
    <row r="4230" spans="1:5" x14ac:dyDescent="0.2">
      <c r="A4230" s="43">
        <v>43402</v>
      </c>
      <c r="D4230">
        <v>2.25</v>
      </c>
    </row>
    <row r="4231" spans="1:5" x14ac:dyDescent="0.2">
      <c r="A4231" s="43">
        <v>43403</v>
      </c>
      <c r="D4231">
        <v>2.25</v>
      </c>
    </row>
    <row r="4232" spans="1:5" x14ac:dyDescent="0.2">
      <c r="A4232" s="43">
        <v>43404</v>
      </c>
      <c r="D4232">
        <v>2.25</v>
      </c>
    </row>
    <row r="4233" spans="1:5" x14ac:dyDescent="0.2">
      <c r="A4233" s="43">
        <v>43405</v>
      </c>
      <c r="B4233">
        <v>109.023</v>
      </c>
      <c r="C4233">
        <v>110.83799999999999</v>
      </c>
      <c r="D4233">
        <v>2.25</v>
      </c>
      <c r="E4233">
        <v>259.41500000000002</v>
      </c>
    </row>
    <row r="4234" spans="1:5" x14ac:dyDescent="0.2">
      <c r="A4234" s="43">
        <v>43406</v>
      </c>
      <c r="D4234">
        <v>2.25</v>
      </c>
    </row>
    <row r="4235" spans="1:5" x14ac:dyDescent="0.2">
      <c r="A4235" s="43">
        <v>43407</v>
      </c>
      <c r="D4235">
        <v>2.25</v>
      </c>
    </row>
    <row r="4236" spans="1:5" x14ac:dyDescent="0.2">
      <c r="A4236" s="43">
        <v>43408</v>
      </c>
      <c r="D4236">
        <v>2.25</v>
      </c>
    </row>
    <row r="4237" spans="1:5" x14ac:dyDescent="0.2">
      <c r="A4237" s="43">
        <v>43409</v>
      </c>
      <c r="D4237">
        <v>2.25</v>
      </c>
    </row>
    <row r="4238" spans="1:5" x14ac:dyDescent="0.2">
      <c r="A4238" s="43">
        <v>43410</v>
      </c>
      <c r="D4238">
        <v>2.25</v>
      </c>
    </row>
    <row r="4239" spans="1:5" x14ac:dyDescent="0.2">
      <c r="A4239" s="43">
        <v>43411</v>
      </c>
      <c r="D4239">
        <v>2.25</v>
      </c>
    </row>
    <row r="4240" spans="1:5" x14ac:dyDescent="0.2">
      <c r="A4240" s="43">
        <v>43412</v>
      </c>
      <c r="D4240">
        <v>2.25</v>
      </c>
    </row>
    <row r="4241" spans="1:4" x14ac:dyDescent="0.2">
      <c r="A4241" s="43">
        <v>43413</v>
      </c>
      <c r="D4241">
        <v>2.25</v>
      </c>
    </row>
    <row r="4242" spans="1:4" x14ac:dyDescent="0.2">
      <c r="A4242" s="43">
        <v>43414</v>
      </c>
      <c r="D4242">
        <v>2.25</v>
      </c>
    </row>
    <row r="4243" spans="1:4" x14ac:dyDescent="0.2">
      <c r="A4243" s="43">
        <v>43415</v>
      </c>
      <c r="D4243">
        <v>2.25</v>
      </c>
    </row>
    <row r="4244" spans="1:4" x14ac:dyDescent="0.2">
      <c r="A4244" s="43">
        <v>43416</v>
      </c>
      <c r="D4244">
        <v>2.25</v>
      </c>
    </row>
    <row r="4245" spans="1:4" x14ac:dyDescent="0.2">
      <c r="A4245" s="43">
        <v>43417</v>
      </c>
      <c r="D4245">
        <v>2.25</v>
      </c>
    </row>
    <row r="4246" spans="1:4" x14ac:dyDescent="0.2">
      <c r="A4246" s="43">
        <v>43418</v>
      </c>
      <c r="D4246">
        <v>2.25</v>
      </c>
    </row>
    <row r="4247" spans="1:4" x14ac:dyDescent="0.2">
      <c r="A4247" s="43">
        <v>43419</v>
      </c>
      <c r="D4247">
        <v>2.25</v>
      </c>
    </row>
    <row r="4248" spans="1:4" x14ac:dyDescent="0.2">
      <c r="A4248" s="43">
        <v>43420</v>
      </c>
      <c r="D4248">
        <v>2.25</v>
      </c>
    </row>
    <row r="4249" spans="1:4" x14ac:dyDescent="0.2">
      <c r="A4249" s="43">
        <v>43421</v>
      </c>
      <c r="D4249">
        <v>2.25</v>
      </c>
    </row>
    <row r="4250" spans="1:4" x14ac:dyDescent="0.2">
      <c r="A4250" s="43">
        <v>43422</v>
      </c>
      <c r="D4250">
        <v>2.25</v>
      </c>
    </row>
    <row r="4251" spans="1:4" x14ac:dyDescent="0.2">
      <c r="A4251" s="43">
        <v>43423</v>
      </c>
      <c r="D4251">
        <v>2.25</v>
      </c>
    </row>
    <row r="4252" spans="1:4" x14ac:dyDescent="0.2">
      <c r="A4252" s="43">
        <v>43424</v>
      </c>
      <c r="D4252">
        <v>2.25</v>
      </c>
    </row>
    <row r="4253" spans="1:4" x14ac:dyDescent="0.2">
      <c r="A4253" s="43">
        <v>43425</v>
      </c>
      <c r="D4253">
        <v>2.25</v>
      </c>
    </row>
    <row r="4254" spans="1:4" x14ac:dyDescent="0.2">
      <c r="A4254" s="43">
        <v>43426</v>
      </c>
      <c r="D4254">
        <v>2.25</v>
      </c>
    </row>
    <row r="4255" spans="1:4" x14ac:dyDescent="0.2">
      <c r="A4255" s="43">
        <v>43427</v>
      </c>
      <c r="D4255">
        <v>2.25</v>
      </c>
    </row>
    <row r="4256" spans="1:4" x14ac:dyDescent="0.2">
      <c r="A4256" s="43">
        <v>43428</v>
      </c>
      <c r="D4256">
        <v>2.25</v>
      </c>
    </row>
    <row r="4257" spans="1:5" x14ac:dyDescent="0.2">
      <c r="A4257" s="43">
        <v>43429</v>
      </c>
      <c r="D4257">
        <v>2.25</v>
      </c>
    </row>
    <row r="4258" spans="1:5" x14ac:dyDescent="0.2">
      <c r="A4258" s="43">
        <v>43430</v>
      </c>
      <c r="D4258">
        <v>2.25</v>
      </c>
    </row>
    <row r="4259" spans="1:5" x14ac:dyDescent="0.2">
      <c r="A4259" s="43">
        <v>43431</v>
      </c>
      <c r="D4259">
        <v>2.25</v>
      </c>
    </row>
    <row r="4260" spans="1:5" x14ac:dyDescent="0.2">
      <c r="A4260" s="43">
        <v>43432</v>
      </c>
      <c r="D4260">
        <v>2.25</v>
      </c>
    </row>
    <row r="4261" spans="1:5" x14ac:dyDescent="0.2">
      <c r="A4261" s="43">
        <v>43433</v>
      </c>
      <c r="D4261">
        <v>2.25</v>
      </c>
    </row>
    <row r="4262" spans="1:5" x14ac:dyDescent="0.2">
      <c r="A4262" s="43">
        <v>43434</v>
      </c>
      <c r="D4262">
        <v>2.25</v>
      </c>
    </row>
    <row r="4263" spans="1:5" x14ac:dyDescent="0.2">
      <c r="A4263" s="43">
        <v>43435</v>
      </c>
      <c r="B4263">
        <v>108.99</v>
      </c>
      <c r="C4263">
        <v>111.006</v>
      </c>
      <c r="D4263">
        <v>2.25</v>
      </c>
      <c r="E4263">
        <v>259.87299999999999</v>
      </c>
    </row>
    <row r="4264" spans="1:5" x14ac:dyDescent="0.2">
      <c r="A4264" s="43">
        <v>43436</v>
      </c>
      <c r="D4264">
        <v>2.25</v>
      </c>
    </row>
    <row r="4265" spans="1:5" x14ac:dyDescent="0.2">
      <c r="A4265" s="43">
        <v>43437</v>
      </c>
      <c r="D4265">
        <v>2.25</v>
      </c>
    </row>
    <row r="4266" spans="1:5" x14ac:dyDescent="0.2">
      <c r="A4266" s="43">
        <v>43438</v>
      </c>
      <c r="D4266">
        <v>2.25</v>
      </c>
    </row>
    <row r="4267" spans="1:5" x14ac:dyDescent="0.2">
      <c r="A4267" s="43">
        <v>43439</v>
      </c>
      <c r="D4267">
        <v>2.25</v>
      </c>
    </row>
    <row r="4268" spans="1:5" x14ac:dyDescent="0.2">
      <c r="A4268" s="43">
        <v>43440</v>
      </c>
      <c r="D4268">
        <v>2.25</v>
      </c>
    </row>
    <row r="4269" spans="1:5" x14ac:dyDescent="0.2">
      <c r="A4269" s="43">
        <v>43441</v>
      </c>
      <c r="D4269">
        <v>2.25</v>
      </c>
    </row>
    <row r="4270" spans="1:5" x14ac:dyDescent="0.2">
      <c r="A4270" s="43">
        <v>43442</v>
      </c>
      <c r="D4270">
        <v>2.25</v>
      </c>
    </row>
    <row r="4271" spans="1:5" x14ac:dyDescent="0.2">
      <c r="A4271" s="43">
        <v>43443</v>
      </c>
      <c r="D4271">
        <v>2.25</v>
      </c>
    </row>
    <row r="4272" spans="1:5" x14ac:dyDescent="0.2">
      <c r="A4272" s="43">
        <v>43444</v>
      </c>
      <c r="D4272">
        <v>2.25</v>
      </c>
    </row>
    <row r="4273" spans="1:4" x14ac:dyDescent="0.2">
      <c r="A4273" s="43">
        <v>43445</v>
      </c>
      <c r="D4273">
        <v>2.25</v>
      </c>
    </row>
    <row r="4274" spans="1:4" x14ac:dyDescent="0.2">
      <c r="A4274" s="43">
        <v>43446</v>
      </c>
      <c r="D4274">
        <v>2.25</v>
      </c>
    </row>
    <row r="4275" spans="1:4" x14ac:dyDescent="0.2">
      <c r="A4275" s="43">
        <v>43447</v>
      </c>
      <c r="D4275">
        <v>2.25</v>
      </c>
    </row>
    <row r="4276" spans="1:4" x14ac:dyDescent="0.2">
      <c r="A4276" s="43">
        <v>43448</v>
      </c>
      <c r="D4276">
        <v>2.25</v>
      </c>
    </row>
    <row r="4277" spans="1:4" x14ac:dyDescent="0.2">
      <c r="A4277" s="43">
        <v>43449</v>
      </c>
      <c r="D4277">
        <v>2.25</v>
      </c>
    </row>
    <row r="4278" spans="1:4" x14ac:dyDescent="0.2">
      <c r="A4278" s="43">
        <v>43450</v>
      </c>
      <c r="D4278">
        <v>2.25</v>
      </c>
    </row>
    <row r="4279" spans="1:4" x14ac:dyDescent="0.2">
      <c r="A4279" s="43">
        <v>43451</v>
      </c>
      <c r="D4279">
        <v>2.25</v>
      </c>
    </row>
    <row r="4280" spans="1:4" x14ac:dyDescent="0.2">
      <c r="A4280" s="43">
        <v>43452</v>
      </c>
      <c r="D4280">
        <v>2.25</v>
      </c>
    </row>
    <row r="4281" spans="1:4" x14ac:dyDescent="0.2">
      <c r="A4281" s="43">
        <v>43453</v>
      </c>
      <c r="D4281">
        <v>2.25</v>
      </c>
    </row>
    <row r="4282" spans="1:4" x14ac:dyDescent="0.2">
      <c r="A4282" s="43">
        <v>43454</v>
      </c>
      <c r="D4282">
        <v>2.5</v>
      </c>
    </row>
    <row r="4283" spans="1:4" x14ac:dyDescent="0.2">
      <c r="A4283" s="43">
        <v>43455</v>
      </c>
      <c r="D4283">
        <v>2.5</v>
      </c>
    </row>
    <row r="4284" spans="1:4" x14ac:dyDescent="0.2">
      <c r="A4284" s="43">
        <v>43456</v>
      </c>
      <c r="D4284">
        <v>2.5</v>
      </c>
    </row>
    <row r="4285" spans="1:4" x14ac:dyDescent="0.2">
      <c r="A4285" s="43">
        <v>43457</v>
      </c>
      <c r="D4285">
        <v>2.5</v>
      </c>
    </row>
    <row r="4286" spans="1:4" x14ac:dyDescent="0.2">
      <c r="A4286" s="43">
        <v>43458</v>
      </c>
      <c r="D4286">
        <v>2.5</v>
      </c>
    </row>
    <row r="4287" spans="1:4" x14ac:dyDescent="0.2">
      <c r="A4287" s="43">
        <v>43459</v>
      </c>
      <c r="D4287">
        <v>2.5</v>
      </c>
    </row>
    <row r="4288" spans="1:4" x14ac:dyDescent="0.2">
      <c r="A4288" s="43">
        <v>43460</v>
      </c>
      <c r="D4288">
        <v>2.5</v>
      </c>
    </row>
    <row r="4289" spans="1:5" x14ac:dyDescent="0.2">
      <c r="A4289" s="43">
        <v>43461</v>
      </c>
      <c r="D4289">
        <v>2.5</v>
      </c>
    </row>
    <row r="4290" spans="1:5" x14ac:dyDescent="0.2">
      <c r="A4290" s="43">
        <v>43462</v>
      </c>
      <c r="D4290">
        <v>2.5</v>
      </c>
    </row>
    <row r="4291" spans="1:5" x14ac:dyDescent="0.2">
      <c r="A4291" s="43">
        <v>43463</v>
      </c>
      <c r="D4291">
        <v>2.5</v>
      </c>
    </row>
    <row r="4292" spans="1:5" x14ac:dyDescent="0.2">
      <c r="A4292" s="43">
        <v>43464</v>
      </c>
      <c r="D4292">
        <v>2.5</v>
      </c>
    </row>
    <row r="4293" spans="1:5" x14ac:dyDescent="0.2">
      <c r="A4293" s="43">
        <v>43465</v>
      </c>
      <c r="D4293">
        <v>2.5</v>
      </c>
    </row>
    <row r="4294" spans="1:5" x14ac:dyDescent="0.2">
      <c r="A4294" s="43">
        <v>43466</v>
      </c>
      <c r="B4294">
        <v>108.93</v>
      </c>
      <c r="C4294">
        <v>111.06</v>
      </c>
      <c r="D4294">
        <v>2.5</v>
      </c>
      <c r="E4294">
        <v>260.41899999999998</v>
      </c>
    </row>
    <row r="4295" spans="1:5" x14ac:dyDescent="0.2">
      <c r="A4295" s="43">
        <v>43467</v>
      </c>
      <c r="D4295">
        <v>2.5</v>
      </c>
    </row>
    <row r="4296" spans="1:5" x14ac:dyDescent="0.2">
      <c r="A4296" s="43">
        <v>43468</v>
      </c>
      <c r="D4296">
        <v>2.5</v>
      </c>
    </row>
    <row r="4297" spans="1:5" x14ac:dyDescent="0.2">
      <c r="A4297" s="43">
        <v>43469</v>
      </c>
      <c r="D4297">
        <v>2.5</v>
      </c>
    </row>
    <row r="4298" spans="1:5" x14ac:dyDescent="0.2">
      <c r="A4298" s="43">
        <v>43470</v>
      </c>
      <c r="D4298">
        <v>2.5</v>
      </c>
    </row>
    <row r="4299" spans="1:5" x14ac:dyDescent="0.2">
      <c r="A4299" s="43">
        <v>43471</v>
      </c>
      <c r="D4299">
        <v>2.5</v>
      </c>
    </row>
    <row r="4300" spans="1:5" x14ac:dyDescent="0.2">
      <c r="A4300" s="43">
        <v>43472</v>
      </c>
      <c r="D4300">
        <v>2.5</v>
      </c>
    </row>
    <row r="4301" spans="1:5" x14ac:dyDescent="0.2">
      <c r="A4301" s="43">
        <v>43473</v>
      </c>
      <c r="D4301">
        <v>2.5</v>
      </c>
    </row>
    <row r="4302" spans="1:5" x14ac:dyDescent="0.2">
      <c r="A4302" s="43">
        <v>43474</v>
      </c>
      <c r="D4302">
        <v>2.5</v>
      </c>
    </row>
    <row r="4303" spans="1:5" x14ac:dyDescent="0.2">
      <c r="A4303" s="43">
        <v>43475</v>
      </c>
      <c r="D4303">
        <v>2.5</v>
      </c>
    </row>
    <row r="4304" spans="1:5" x14ac:dyDescent="0.2">
      <c r="A4304" s="43">
        <v>43476</v>
      </c>
      <c r="D4304">
        <v>2.5</v>
      </c>
    </row>
    <row r="4305" spans="1:4" x14ac:dyDescent="0.2">
      <c r="A4305" s="43">
        <v>43477</v>
      </c>
      <c r="D4305">
        <v>2.5</v>
      </c>
    </row>
    <row r="4306" spans="1:4" x14ac:dyDescent="0.2">
      <c r="A4306" s="43">
        <v>43478</v>
      </c>
      <c r="D4306">
        <v>2.5</v>
      </c>
    </row>
    <row r="4307" spans="1:4" x14ac:dyDescent="0.2">
      <c r="A4307" s="43">
        <v>43479</v>
      </c>
      <c r="D4307">
        <v>2.5</v>
      </c>
    </row>
    <row r="4308" spans="1:4" x14ac:dyDescent="0.2">
      <c r="A4308" s="43">
        <v>43480</v>
      </c>
      <c r="D4308">
        <v>2.5</v>
      </c>
    </row>
    <row r="4309" spans="1:4" x14ac:dyDescent="0.2">
      <c r="A4309" s="43">
        <v>43481</v>
      </c>
      <c r="D4309">
        <v>2.5</v>
      </c>
    </row>
    <row r="4310" spans="1:4" x14ac:dyDescent="0.2">
      <c r="A4310" s="43">
        <v>43482</v>
      </c>
      <c r="D4310">
        <v>2.5</v>
      </c>
    </row>
    <row r="4311" spans="1:4" x14ac:dyDescent="0.2">
      <c r="A4311" s="43">
        <v>43483</v>
      </c>
      <c r="D4311">
        <v>2.5</v>
      </c>
    </row>
    <row r="4312" spans="1:4" x14ac:dyDescent="0.2">
      <c r="A4312" s="43">
        <v>43484</v>
      </c>
      <c r="D4312">
        <v>2.5</v>
      </c>
    </row>
    <row r="4313" spans="1:4" x14ac:dyDescent="0.2">
      <c r="A4313" s="43">
        <v>43485</v>
      </c>
      <c r="D4313">
        <v>2.5</v>
      </c>
    </row>
    <row r="4314" spans="1:4" x14ac:dyDescent="0.2">
      <c r="A4314" s="43">
        <v>43486</v>
      </c>
      <c r="D4314">
        <v>2.5</v>
      </c>
    </row>
    <row r="4315" spans="1:4" x14ac:dyDescent="0.2">
      <c r="A4315" s="43">
        <v>43487</v>
      </c>
      <c r="D4315">
        <v>2.5</v>
      </c>
    </row>
    <row r="4316" spans="1:4" x14ac:dyDescent="0.2">
      <c r="A4316" s="43">
        <v>43488</v>
      </c>
      <c r="D4316">
        <v>2.5</v>
      </c>
    </row>
    <row r="4317" spans="1:4" x14ac:dyDescent="0.2">
      <c r="A4317" s="43">
        <v>43489</v>
      </c>
      <c r="D4317">
        <v>2.5</v>
      </c>
    </row>
    <row r="4318" spans="1:4" x14ac:dyDescent="0.2">
      <c r="A4318" s="43">
        <v>43490</v>
      </c>
      <c r="D4318">
        <v>2.5</v>
      </c>
    </row>
    <row r="4319" spans="1:4" x14ac:dyDescent="0.2">
      <c r="A4319" s="43">
        <v>43491</v>
      </c>
      <c r="D4319">
        <v>2.5</v>
      </c>
    </row>
    <row r="4320" spans="1:4" x14ac:dyDescent="0.2">
      <c r="A4320" s="43">
        <v>43492</v>
      </c>
      <c r="D4320">
        <v>2.5</v>
      </c>
    </row>
    <row r="4321" spans="1:5" x14ac:dyDescent="0.2">
      <c r="A4321" s="43">
        <v>43493</v>
      </c>
      <c r="D4321">
        <v>2.5</v>
      </c>
    </row>
    <row r="4322" spans="1:5" x14ac:dyDescent="0.2">
      <c r="A4322" s="43">
        <v>43494</v>
      </c>
      <c r="D4322">
        <v>2.5</v>
      </c>
    </row>
    <row r="4323" spans="1:5" x14ac:dyDescent="0.2">
      <c r="A4323" s="43">
        <v>43495</v>
      </c>
      <c r="D4323">
        <v>2.5</v>
      </c>
    </row>
    <row r="4324" spans="1:5" x14ac:dyDescent="0.2">
      <c r="A4324" s="43">
        <v>43496</v>
      </c>
      <c r="D4324">
        <v>2.5</v>
      </c>
    </row>
    <row r="4325" spans="1:5" x14ac:dyDescent="0.2">
      <c r="A4325" s="43">
        <v>43497</v>
      </c>
      <c r="B4325">
        <v>109.036</v>
      </c>
      <c r="C4325">
        <v>111.096</v>
      </c>
      <c r="D4325">
        <v>2.5</v>
      </c>
      <c r="E4325">
        <v>260.72199999999998</v>
      </c>
    </row>
    <row r="4326" spans="1:5" x14ac:dyDescent="0.2">
      <c r="A4326" s="43">
        <v>43498</v>
      </c>
      <c r="D4326">
        <v>2.5</v>
      </c>
    </row>
    <row r="4327" spans="1:5" x14ac:dyDescent="0.2">
      <c r="A4327" s="43">
        <v>43499</v>
      </c>
      <c r="D4327">
        <v>2.5</v>
      </c>
    </row>
    <row r="4328" spans="1:5" x14ac:dyDescent="0.2">
      <c r="A4328" s="43">
        <v>43500</v>
      </c>
      <c r="D4328">
        <v>2.5</v>
      </c>
    </row>
    <row r="4329" spans="1:5" x14ac:dyDescent="0.2">
      <c r="A4329" s="43">
        <v>43501</v>
      </c>
      <c r="D4329">
        <v>2.5</v>
      </c>
    </row>
    <row r="4330" spans="1:5" x14ac:dyDescent="0.2">
      <c r="A4330" s="43">
        <v>43502</v>
      </c>
      <c r="D4330">
        <v>2.5</v>
      </c>
    </row>
    <row r="4331" spans="1:5" x14ac:dyDescent="0.2">
      <c r="A4331" s="43">
        <v>43503</v>
      </c>
      <c r="D4331">
        <v>2.5</v>
      </c>
    </row>
    <row r="4332" spans="1:5" x14ac:dyDescent="0.2">
      <c r="A4332" s="43">
        <v>43504</v>
      </c>
      <c r="D4332">
        <v>2.5</v>
      </c>
    </row>
    <row r="4333" spans="1:5" x14ac:dyDescent="0.2">
      <c r="A4333" s="43">
        <v>43505</v>
      </c>
      <c r="D4333">
        <v>2.5</v>
      </c>
    </row>
    <row r="4334" spans="1:5" x14ac:dyDescent="0.2">
      <c r="A4334" s="43">
        <v>43506</v>
      </c>
      <c r="D4334">
        <v>2.5</v>
      </c>
    </row>
    <row r="4335" spans="1:5" x14ac:dyDescent="0.2">
      <c r="A4335" s="43">
        <v>43507</v>
      </c>
      <c r="D4335">
        <v>2.5</v>
      </c>
    </row>
    <row r="4336" spans="1:5" x14ac:dyDescent="0.2">
      <c r="A4336" s="43">
        <v>43508</v>
      </c>
      <c r="D4336">
        <v>2.5</v>
      </c>
    </row>
    <row r="4337" spans="1:4" x14ac:dyDescent="0.2">
      <c r="A4337" s="43">
        <v>43509</v>
      </c>
      <c r="D4337">
        <v>2.5</v>
      </c>
    </row>
    <row r="4338" spans="1:4" x14ac:dyDescent="0.2">
      <c r="A4338" s="43">
        <v>43510</v>
      </c>
      <c r="D4338">
        <v>2.5</v>
      </c>
    </row>
    <row r="4339" spans="1:4" x14ac:dyDescent="0.2">
      <c r="A4339" s="43">
        <v>43511</v>
      </c>
      <c r="D4339">
        <v>2.5</v>
      </c>
    </row>
    <row r="4340" spans="1:4" x14ac:dyDescent="0.2">
      <c r="A4340" s="43">
        <v>43512</v>
      </c>
      <c r="D4340">
        <v>2.5</v>
      </c>
    </row>
    <row r="4341" spans="1:4" x14ac:dyDescent="0.2">
      <c r="A4341" s="43">
        <v>43513</v>
      </c>
      <c r="D4341">
        <v>2.5</v>
      </c>
    </row>
    <row r="4342" spans="1:4" x14ac:dyDescent="0.2">
      <c r="A4342" s="43">
        <v>43514</v>
      </c>
      <c r="D4342">
        <v>2.5</v>
      </c>
    </row>
    <row r="4343" spans="1:4" x14ac:dyDescent="0.2">
      <c r="A4343" s="43">
        <v>43515</v>
      </c>
      <c r="D4343">
        <v>2.5</v>
      </c>
    </row>
    <row r="4344" spans="1:4" x14ac:dyDescent="0.2">
      <c r="A4344" s="43">
        <v>43516</v>
      </c>
      <c r="D4344">
        <v>2.5</v>
      </c>
    </row>
    <row r="4345" spans="1:4" x14ac:dyDescent="0.2">
      <c r="A4345" s="43">
        <v>43517</v>
      </c>
      <c r="D4345">
        <v>2.5</v>
      </c>
    </row>
    <row r="4346" spans="1:4" x14ac:dyDescent="0.2">
      <c r="A4346" s="43">
        <v>43518</v>
      </c>
      <c r="D4346">
        <v>2.5</v>
      </c>
    </row>
    <row r="4347" spans="1:4" x14ac:dyDescent="0.2">
      <c r="A4347" s="43">
        <v>43519</v>
      </c>
      <c r="D4347">
        <v>2.5</v>
      </c>
    </row>
    <row r="4348" spans="1:4" x14ac:dyDescent="0.2">
      <c r="A4348" s="43">
        <v>43520</v>
      </c>
      <c r="D4348">
        <v>2.5</v>
      </c>
    </row>
    <row r="4349" spans="1:4" x14ac:dyDescent="0.2">
      <c r="A4349" s="43">
        <v>43521</v>
      </c>
      <c r="D4349">
        <v>2.5</v>
      </c>
    </row>
    <row r="4350" spans="1:4" x14ac:dyDescent="0.2">
      <c r="A4350" s="43">
        <v>43522</v>
      </c>
      <c r="D4350">
        <v>2.5</v>
      </c>
    </row>
    <row r="4351" spans="1:4" x14ac:dyDescent="0.2">
      <c r="A4351" s="43">
        <v>43523</v>
      </c>
      <c r="D4351">
        <v>2.5</v>
      </c>
    </row>
    <row r="4352" spans="1:4" x14ac:dyDescent="0.2">
      <c r="A4352" s="43">
        <v>43524</v>
      </c>
      <c r="D4352">
        <v>2.5</v>
      </c>
    </row>
    <row r="4353" spans="1:5" x14ac:dyDescent="0.2">
      <c r="A4353" s="43">
        <v>43525</v>
      </c>
      <c r="B4353">
        <v>109.333</v>
      </c>
      <c r="C4353">
        <v>111.254</v>
      </c>
      <c r="D4353">
        <v>2.5</v>
      </c>
      <c r="E4353">
        <v>261.339</v>
      </c>
    </row>
    <row r="4354" spans="1:5" x14ac:dyDescent="0.2">
      <c r="A4354" s="43">
        <v>43526</v>
      </c>
      <c r="D4354">
        <v>2.5</v>
      </c>
    </row>
    <row r="4355" spans="1:5" x14ac:dyDescent="0.2">
      <c r="A4355" s="43">
        <v>43527</v>
      </c>
      <c r="D4355">
        <v>2.5</v>
      </c>
    </row>
    <row r="4356" spans="1:5" x14ac:dyDescent="0.2">
      <c r="A4356" s="43">
        <v>43528</v>
      </c>
      <c r="D4356">
        <v>2.5</v>
      </c>
    </row>
    <row r="4357" spans="1:5" x14ac:dyDescent="0.2">
      <c r="A4357" s="43">
        <v>43529</v>
      </c>
      <c r="D4357">
        <v>2.5</v>
      </c>
    </row>
    <row r="4358" spans="1:5" x14ac:dyDescent="0.2">
      <c r="A4358" s="43">
        <v>43530</v>
      </c>
      <c r="D4358">
        <v>2.5</v>
      </c>
    </row>
    <row r="4359" spans="1:5" x14ac:dyDescent="0.2">
      <c r="A4359" s="43">
        <v>43531</v>
      </c>
      <c r="D4359">
        <v>2.5</v>
      </c>
    </row>
    <row r="4360" spans="1:5" x14ac:dyDescent="0.2">
      <c r="A4360" s="43">
        <v>43532</v>
      </c>
      <c r="D4360">
        <v>2.5</v>
      </c>
    </row>
    <row r="4361" spans="1:5" x14ac:dyDescent="0.2">
      <c r="A4361" s="43">
        <v>43533</v>
      </c>
      <c r="D4361">
        <v>2.5</v>
      </c>
    </row>
    <row r="4362" spans="1:5" x14ac:dyDescent="0.2">
      <c r="A4362" s="43">
        <v>43534</v>
      </c>
      <c r="D4362">
        <v>2.5</v>
      </c>
    </row>
    <row r="4363" spans="1:5" x14ac:dyDescent="0.2">
      <c r="A4363" s="43">
        <v>43535</v>
      </c>
      <c r="D4363">
        <v>2.5</v>
      </c>
    </row>
    <row r="4364" spans="1:5" x14ac:dyDescent="0.2">
      <c r="A4364" s="43">
        <v>43536</v>
      </c>
      <c r="D4364">
        <v>2.5</v>
      </c>
    </row>
    <row r="4365" spans="1:5" x14ac:dyDescent="0.2">
      <c r="A4365" s="43">
        <v>43537</v>
      </c>
      <c r="D4365">
        <v>2.5</v>
      </c>
    </row>
    <row r="4366" spans="1:5" x14ac:dyDescent="0.2">
      <c r="A4366" s="43">
        <v>43538</v>
      </c>
      <c r="D4366">
        <v>2.5</v>
      </c>
    </row>
    <row r="4367" spans="1:5" x14ac:dyDescent="0.2">
      <c r="A4367" s="43">
        <v>43539</v>
      </c>
      <c r="D4367">
        <v>2.5</v>
      </c>
    </row>
    <row r="4368" spans="1:5" x14ac:dyDescent="0.2">
      <c r="A4368" s="43">
        <v>43540</v>
      </c>
      <c r="D4368">
        <v>2.5</v>
      </c>
    </row>
    <row r="4369" spans="1:5" x14ac:dyDescent="0.2">
      <c r="A4369" s="43">
        <v>43541</v>
      </c>
      <c r="D4369">
        <v>2.5</v>
      </c>
    </row>
    <row r="4370" spans="1:5" x14ac:dyDescent="0.2">
      <c r="A4370" s="43">
        <v>43542</v>
      </c>
      <c r="D4370">
        <v>2.5</v>
      </c>
    </row>
    <row r="4371" spans="1:5" x14ac:dyDescent="0.2">
      <c r="A4371" s="43">
        <v>43543</v>
      </c>
      <c r="D4371">
        <v>2.5</v>
      </c>
    </row>
    <row r="4372" spans="1:5" x14ac:dyDescent="0.2">
      <c r="A4372" s="43">
        <v>43544</v>
      </c>
      <c r="D4372">
        <v>2.5</v>
      </c>
    </row>
    <row r="4373" spans="1:5" x14ac:dyDescent="0.2">
      <c r="A4373" s="43">
        <v>43545</v>
      </c>
      <c r="D4373">
        <v>2.5</v>
      </c>
    </row>
    <row r="4374" spans="1:5" x14ac:dyDescent="0.2">
      <c r="A4374" s="43">
        <v>43546</v>
      </c>
      <c r="D4374">
        <v>2.5</v>
      </c>
    </row>
    <row r="4375" spans="1:5" x14ac:dyDescent="0.2">
      <c r="A4375" s="43">
        <v>43547</v>
      </c>
      <c r="D4375">
        <v>2.5</v>
      </c>
    </row>
    <row r="4376" spans="1:5" x14ac:dyDescent="0.2">
      <c r="A4376" s="43">
        <v>43548</v>
      </c>
      <c r="D4376">
        <v>2.5</v>
      </c>
    </row>
    <row r="4377" spans="1:5" x14ac:dyDescent="0.2">
      <c r="A4377" s="43">
        <v>43549</v>
      </c>
      <c r="D4377">
        <v>2.5</v>
      </c>
    </row>
    <row r="4378" spans="1:5" x14ac:dyDescent="0.2">
      <c r="A4378" s="43">
        <v>43550</v>
      </c>
      <c r="D4378">
        <v>2.5</v>
      </c>
    </row>
    <row r="4379" spans="1:5" x14ac:dyDescent="0.2">
      <c r="A4379" s="43">
        <v>43551</v>
      </c>
      <c r="D4379">
        <v>2.5</v>
      </c>
    </row>
    <row r="4380" spans="1:5" x14ac:dyDescent="0.2">
      <c r="A4380" s="43">
        <v>43552</v>
      </c>
      <c r="D4380">
        <v>2.5</v>
      </c>
    </row>
    <row r="4381" spans="1:5" x14ac:dyDescent="0.2">
      <c r="A4381" s="43">
        <v>43553</v>
      </c>
      <c r="D4381">
        <v>2.5</v>
      </c>
    </row>
    <row r="4382" spans="1:5" x14ac:dyDescent="0.2">
      <c r="A4382" s="43">
        <v>43554</v>
      </c>
      <c r="D4382">
        <v>2.5</v>
      </c>
    </row>
    <row r="4383" spans="1:5" x14ac:dyDescent="0.2">
      <c r="A4383" s="43">
        <v>43555</v>
      </c>
      <c r="D4383">
        <v>2.5</v>
      </c>
    </row>
    <row r="4384" spans="1:5" x14ac:dyDescent="0.2">
      <c r="A4384" s="43">
        <v>43556</v>
      </c>
      <c r="B4384">
        <v>109.759</v>
      </c>
      <c r="C4384">
        <v>111.607</v>
      </c>
      <c r="D4384">
        <v>2.5</v>
      </c>
      <c r="E4384">
        <v>262.05</v>
      </c>
    </row>
    <row r="4385" spans="1:4" x14ac:dyDescent="0.2">
      <c r="A4385" s="43">
        <v>43557</v>
      </c>
      <c r="D4385">
        <v>2.5</v>
      </c>
    </row>
    <row r="4386" spans="1:4" x14ac:dyDescent="0.2">
      <c r="A4386" s="43">
        <v>43558</v>
      </c>
      <c r="D4386">
        <v>2.5</v>
      </c>
    </row>
    <row r="4387" spans="1:4" x14ac:dyDescent="0.2">
      <c r="A4387" s="43">
        <v>43559</v>
      </c>
      <c r="D4387">
        <v>2.5</v>
      </c>
    </row>
    <row r="4388" spans="1:4" x14ac:dyDescent="0.2">
      <c r="A4388" s="43">
        <v>43560</v>
      </c>
      <c r="D4388">
        <v>2.5</v>
      </c>
    </row>
    <row r="4389" spans="1:4" x14ac:dyDescent="0.2">
      <c r="A4389" s="43">
        <v>43561</v>
      </c>
      <c r="D4389">
        <v>2.5</v>
      </c>
    </row>
    <row r="4390" spans="1:4" x14ac:dyDescent="0.2">
      <c r="A4390" s="43">
        <v>43562</v>
      </c>
      <c r="D4390">
        <v>2.5</v>
      </c>
    </row>
    <row r="4391" spans="1:4" x14ac:dyDescent="0.2">
      <c r="A4391" s="43">
        <v>43563</v>
      </c>
      <c r="D4391">
        <v>2.5</v>
      </c>
    </row>
    <row r="4392" spans="1:4" x14ac:dyDescent="0.2">
      <c r="A4392" s="43">
        <v>43564</v>
      </c>
      <c r="D4392">
        <v>2.5</v>
      </c>
    </row>
    <row r="4393" spans="1:4" x14ac:dyDescent="0.2">
      <c r="A4393" s="43">
        <v>43565</v>
      </c>
      <c r="D4393">
        <v>2.5</v>
      </c>
    </row>
    <row r="4394" spans="1:4" x14ac:dyDescent="0.2">
      <c r="A4394" s="43">
        <v>43566</v>
      </c>
      <c r="D4394">
        <v>2.5</v>
      </c>
    </row>
    <row r="4395" spans="1:4" x14ac:dyDescent="0.2">
      <c r="A4395" s="43">
        <v>43567</v>
      </c>
      <c r="D4395">
        <v>2.5</v>
      </c>
    </row>
    <row r="4396" spans="1:4" x14ac:dyDescent="0.2">
      <c r="A4396" s="43">
        <v>43568</v>
      </c>
      <c r="D4396">
        <v>2.5</v>
      </c>
    </row>
    <row r="4397" spans="1:4" x14ac:dyDescent="0.2">
      <c r="A4397" s="43">
        <v>43569</v>
      </c>
      <c r="D4397">
        <v>2.5</v>
      </c>
    </row>
    <row r="4398" spans="1:4" x14ac:dyDescent="0.2">
      <c r="A4398" s="43">
        <v>43570</v>
      </c>
      <c r="D4398">
        <v>2.5</v>
      </c>
    </row>
    <row r="4399" spans="1:4" x14ac:dyDescent="0.2">
      <c r="A4399" s="43">
        <v>43571</v>
      </c>
      <c r="D4399">
        <v>2.5</v>
      </c>
    </row>
    <row r="4400" spans="1:4" x14ac:dyDescent="0.2">
      <c r="A4400" s="43">
        <v>43572</v>
      </c>
      <c r="D4400">
        <v>2.5</v>
      </c>
    </row>
    <row r="4401" spans="1:5" x14ac:dyDescent="0.2">
      <c r="A4401" s="43">
        <v>43573</v>
      </c>
      <c r="D4401">
        <v>2.5</v>
      </c>
    </row>
    <row r="4402" spans="1:5" x14ac:dyDescent="0.2">
      <c r="A4402" s="43">
        <v>43574</v>
      </c>
      <c r="D4402">
        <v>2.5</v>
      </c>
    </row>
    <row r="4403" spans="1:5" x14ac:dyDescent="0.2">
      <c r="A4403" s="43">
        <v>43575</v>
      </c>
      <c r="D4403">
        <v>2.5</v>
      </c>
    </row>
    <row r="4404" spans="1:5" x14ac:dyDescent="0.2">
      <c r="A4404" s="43">
        <v>43576</v>
      </c>
      <c r="D4404">
        <v>2.5</v>
      </c>
    </row>
    <row r="4405" spans="1:5" x14ac:dyDescent="0.2">
      <c r="A4405" s="43">
        <v>43577</v>
      </c>
      <c r="D4405">
        <v>2.5</v>
      </c>
    </row>
    <row r="4406" spans="1:5" x14ac:dyDescent="0.2">
      <c r="A4406" s="43">
        <v>43578</v>
      </c>
      <c r="D4406">
        <v>2.5</v>
      </c>
    </row>
    <row r="4407" spans="1:5" x14ac:dyDescent="0.2">
      <c r="A4407" s="43">
        <v>43579</v>
      </c>
      <c r="D4407">
        <v>2.5</v>
      </c>
    </row>
    <row r="4408" spans="1:5" x14ac:dyDescent="0.2">
      <c r="A4408" s="43">
        <v>43580</v>
      </c>
      <c r="D4408">
        <v>2.5</v>
      </c>
    </row>
    <row r="4409" spans="1:5" x14ac:dyDescent="0.2">
      <c r="A4409" s="43">
        <v>43581</v>
      </c>
      <c r="D4409">
        <v>2.5</v>
      </c>
    </row>
    <row r="4410" spans="1:5" x14ac:dyDescent="0.2">
      <c r="A4410" s="43">
        <v>43582</v>
      </c>
      <c r="D4410">
        <v>2.5</v>
      </c>
    </row>
    <row r="4411" spans="1:5" x14ac:dyDescent="0.2">
      <c r="A4411" s="43">
        <v>43583</v>
      </c>
      <c r="D4411">
        <v>2.5</v>
      </c>
    </row>
    <row r="4412" spans="1:5" x14ac:dyDescent="0.2">
      <c r="A4412" s="43">
        <v>43584</v>
      </c>
      <c r="D4412">
        <v>2.5</v>
      </c>
    </row>
    <row r="4413" spans="1:5" x14ac:dyDescent="0.2">
      <c r="A4413" s="43">
        <v>43585</v>
      </c>
      <c r="D4413">
        <v>2.5</v>
      </c>
    </row>
    <row r="4414" spans="1:5" x14ac:dyDescent="0.2">
      <c r="A4414" s="43">
        <v>43586</v>
      </c>
      <c r="B4414">
        <v>109.827</v>
      </c>
      <c r="C4414">
        <v>111.744</v>
      </c>
      <c r="D4414">
        <v>2.5</v>
      </c>
      <c r="E4414">
        <v>262.38400000000001</v>
      </c>
    </row>
    <row r="4415" spans="1:5" x14ac:dyDescent="0.2">
      <c r="A4415" s="43">
        <v>43587</v>
      </c>
      <c r="D4415">
        <v>2.5</v>
      </c>
    </row>
    <row r="4416" spans="1:5" x14ac:dyDescent="0.2">
      <c r="A4416" s="43">
        <v>43588</v>
      </c>
      <c r="D4416">
        <v>2.5</v>
      </c>
    </row>
    <row r="4417" spans="1:4" x14ac:dyDescent="0.2">
      <c r="A4417" s="43">
        <v>43589</v>
      </c>
      <c r="D4417">
        <v>2.5</v>
      </c>
    </row>
    <row r="4418" spans="1:4" x14ac:dyDescent="0.2">
      <c r="A4418" s="43">
        <v>43590</v>
      </c>
      <c r="D4418">
        <v>2.5</v>
      </c>
    </row>
    <row r="4419" spans="1:4" x14ac:dyDescent="0.2">
      <c r="A4419" s="43">
        <v>43591</v>
      </c>
      <c r="D4419">
        <v>2.5</v>
      </c>
    </row>
    <row r="4420" spans="1:4" x14ac:dyDescent="0.2">
      <c r="A4420" s="43">
        <v>43592</v>
      </c>
      <c r="D4420">
        <v>2.5</v>
      </c>
    </row>
    <row r="4421" spans="1:4" x14ac:dyDescent="0.2">
      <c r="A4421" s="43">
        <v>43593</v>
      </c>
      <c r="D4421">
        <v>2.5</v>
      </c>
    </row>
    <row r="4422" spans="1:4" x14ac:dyDescent="0.2">
      <c r="A4422" s="43">
        <v>43594</v>
      </c>
      <c r="D4422">
        <v>2.5</v>
      </c>
    </row>
    <row r="4423" spans="1:4" x14ac:dyDescent="0.2">
      <c r="A4423" s="43">
        <v>43595</v>
      </c>
      <c r="D4423">
        <v>2.5</v>
      </c>
    </row>
    <row r="4424" spans="1:4" x14ac:dyDescent="0.2">
      <c r="A4424" s="43">
        <v>43596</v>
      </c>
      <c r="D4424">
        <v>2.5</v>
      </c>
    </row>
    <row r="4425" spans="1:4" x14ac:dyDescent="0.2">
      <c r="A4425" s="43">
        <v>43597</v>
      </c>
      <c r="D4425">
        <v>2.5</v>
      </c>
    </row>
    <row r="4426" spans="1:4" x14ac:dyDescent="0.2">
      <c r="A4426" s="43">
        <v>43598</v>
      </c>
      <c r="D4426">
        <v>2.5</v>
      </c>
    </row>
    <row r="4427" spans="1:4" x14ac:dyDescent="0.2">
      <c r="A4427" s="43">
        <v>43599</v>
      </c>
      <c r="D4427">
        <v>2.5</v>
      </c>
    </row>
    <row r="4428" spans="1:4" x14ac:dyDescent="0.2">
      <c r="A4428" s="43">
        <v>43600</v>
      </c>
      <c r="D4428">
        <v>2.5</v>
      </c>
    </row>
    <row r="4429" spans="1:4" x14ac:dyDescent="0.2">
      <c r="A4429" s="43">
        <v>43601</v>
      </c>
      <c r="D4429">
        <v>2.5</v>
      </c>
    </row>
    <row r="4430" spans="1:4" x14ac:dyDescent="0.2">
      <c r="A4430" s="43">
        <v>43602</v>
      </c>
      <c r="D4430">
        <v>2.5</v>
      </c>
    </row>
    <row r="4431" spans="1:4" x14ac:dyDescent="0.2">
      <c r="A4431" s="43">
        <v>43603</v>
      </c>
      <c r="D4431">
        <v>2.5</v>
      </c>
    </row>
    <row r="4432" spans="1:4" x14ac:dyDescent="0.2">
      <c r="A4432" s="43">
        <v>43604</v>
      </c>
      <c r="D4432">
        <v>2.5</v>
      </c>
    </row>
    <row r="4433" spans="1:5" x14ac:dyDescent="0.2">
      <c r="A4433" s="43">
        <v>43605</v>
      </c>
      <c r="D4433">
        <v>2.5</v>
      </c>
    </row>
    <row r="4434" spans="1:5" x14ac:dyDescent="0.2">
      <c r="A4434" s="43">
        <v>43606</v>
      </c>
      <c r="D4434">
        <v>2.5</v>
      </c>
    </row>
    <row r="4435" spans="1:5" x14ac:dyDescent="0.2">
      <c r="A4435" s="43">
        <v>43607</v>
      </c>
      <c r="D4435">
        <v>2.5</v>
      </c>
    </row>
    <row r="4436" spans="1:5" x14ac:dyDescent="0.2">
      <c r="A4436" s="43">
        <v>43608</v>
      </c>
      <c r="D4436">
        <v>2.5</v>
      </c>
    </row>
    <row r="4437" spans="1:5" x14ac:dyDescent="0.2">
      <c r="A4437" s="43">
        <v>43609</v>
      </c>
      <c r="D4437">
        <v>2.5</v>
      </c>
    </row>
    <row r="4438" spans="1:5" x14ac:dyDescent="0.2">
      <c r="A4438" s="43">
        <v>43610</v>
      </c>
      <c r="D4438">
        <v>2.5</v>
      </c>
    </row>
    <row r="4439" spans="1:5" x14ac:dyDescent="0.2">
      <c r="A4439" s="43">
        <v>43611</v>
      </c>
      <c r="D4439">
        <v>2.5</v>
      </c>
    </row>
    <row r="4440" spans="1:5" x14ac:dyDescent="0.2">
      <c r="A4440" s="43">
        <v>43612</v>
      </c>
      <c r="D4440">
        <v>2.5</v>
      </c>
    </row>
    <row r="4441" spans="1:5" x14ac:dyDescent="0.2">
      <c r="A4441" s="43">
        <v>43613</v>
      </c>
      <c r="D4441">
        <v>2.5</v>
      </c>
    </row>
    <row r="4442" spans="1:5" x14ac:dyDescent="0.2">
      <c r="A4442" s="43">
        <v>43614</v>
      </c>
      <c r="D4442">
        <v>2.5</v>
      </c>
    </row>
    <row r="4443" spans="1:5" x14ac:dyDescent="0.2">
      <c r="A4443" s="43">
        <v>43615</v>
      </c>
      <c r="D4443">
        <v>2.5</v>
      </c>
    </row>
    <row r="4444" spans="1:5" x14ac:dyDescent="0.2">
      <c r="A4444" s="43">
        <v>43616</v>
      </c>
      <c r="D4444">
        <v>2.5</v>
      </c>
    </row>
    <row r="4445" spans="1:5" x14ac:dyDescent="0.2">
      <c r="A4445" s="43">
        <v>43617</v>
      </c>
      <c r="B4445">
        <v>109.92</v>
      </c>
      <c r="C4445">
        <v>111.997</v>
      </c>
      <c r="D4445">
        <v>2.5</v>
      </c>
      <c r="E4445">
        <v>263.11700000000002</v>
      </c>
    </row>
    <row r="4446" spans="1:5" x14ac:dyDescent="0.2">
      <c r="A4446" s="43">
        <v>43618</v>
      </c>
      <c r="D4446">
        <v>2.5</v>
      </c>
    </row>
    <row r="4447" spans="1:5" x14ac:dyDescent="0.2">
      <c r="A4447" s="43">
        <v>43619</v>
      </c>
      <c r="D4447">
        <v>2.5</v>
      </c>
    </row>
    <row r="4448" spans="1:5" x14ac:dyDescent="0.2">
      <c r="A4448" s="43">
        <v>43620</v>
      </c>
      <c r="D4448">
        <v>2.5</v>
      </c>
    </row>
    <row r="4449" spans="1:4" x14ac:dyDescent="0.2">
      <c r="A4449" s="43">
        <v>43621</v>
      </c>
      <c r="D4449">
        <v>2.5</v>
      </c>
    </row>
    <row r="4450" spans="1:4" x14ac:dyDescent="0.2">
      <c r="A4450" s="43">
        <v>43622</v>
      </c>
      <c r="D4450">
        <v>2.5</v>
      </c>
    </row>
    <row r="4451" spans="1:4" x14ac:dyDescent="0.2">
      <c r="A4451" s="43">
        <v>43623</v>
      </c>
      <c r="D4451">
        <v>2.5</v>
      </c>
    </row>
    <row r="4452" spans="1:4" x14ac:dyDescent="0.2">
      <c r="A4452" s="43">
        <v>43624</v>
      </c>
      <c r="D4452">
        <v>2.5</v>
      </c>
    </row>
    <row r="4453" spans="1:4" x14ac:dyDescent="0.2">
      <c r="A4453" s="43">
        <v>43625</v>
      </c>
      <c r="D4453">
        <v>2.5</v>
      </c>
    </row>
    <row r="4454" spans="1:4" x14ac:dyDescent="0.2">
      <c r="A4454" s="43">
        <v>43626</v>
      </c>
      <c r="D4454">
        <v>2.5</v>
      </c>
    </row>
    <row r="4455" spans="1:4" x14ac:dyDescent="0.2">
      <c r="A4455" s="43">
        <v>43627</v>
      </c>
      <c r="D4455">
        <v>2.5</v>
      </c>
    </row>
    <row r="4456" spans="1:4" x14ac:dyDescent="0.2">
      <c r="A4456" s="43">
        <v>43628</v>
      </c>
      <c r="D4456">
        <v>2.5</v>
      </c>
    </row>
    <row r="4457" spans="1:4" x14ac:dyDescent="0.2">
      <c r="A4457" s="43">
        <v>43629</v>
      </c>
      <c r="D4457">
        <v>2.5</v>
      </c>
    </row>
    <row r="4458" spans="1:4" x14ac:dyDescent="0.2">
      <c r="A4458" s="43">
        <v>43630</v>
      </c>
      <c r="D4458">
        <v>2.5</v>
      </c>
    </row>
    <row r="4459" spans="1:4" x14ac:dyDescent="0.2">
      <c r="A4459" s="43">
        <v>43631</v>
      </c>
      <c r="D4459">
        <v>2.5</v>
      </c>
    </row>
    <row r="4460" spans="1:4" x14ac:dyDescent="0.2">
      <c r="A4460" s="43">
        <v>43632</v>
      </c>
      <c r="D4460">
        <v>2.5</v>
      </c>
    </row>
    <row r="4461" spans="1:4" x14ac:dyDescent="0.2">
      <c r="A4461" s="43">
        <v>43633</v>
      </c>
      <c r="D4461">
        <v>2.5</v>
      </c>
    </row>
    <row r="4462" spans="1:4" x14ac:dyDescent="0.2">
      <c r="A4462" s="43">
        <v>43634</v>
      </c>
      <c r="D4462">
        <v>2.5</v>
      </c>
    </row>
    <row r="4463" spans="1:4" x14ac:dyDescent="0.2">
      <c r="A4463" s="43">
        <v>43635</v>
      </c>
      <c r="D4463">
        <v>2.5</v>
      </c>
    </row>
    <row r="4464" spans="1:4" x14ac:dyDescent="0.2">
      <c r="A4464" s="43">
        <v>43636</v>
      </c>
      <c r="D4464">
        <v>2.5</v>
      </c>
    </row>
    <row r="4465" spans="1:5" x14ac:dyDescent="0.2">
      <c r="A4465" s="43">
        <v>43637</v>
      </c>
      <c r="D4465">
        <v>2.5</v>
      </c>
    </row>
    <row r="4466" spans="1:5" x14ac:dyDescent="0.2">
      <c r="A4466" s="43">
        <v>43638</v>
      </c>
      <c r="D4466">
        <v>2.5</v>
      </c>
    </row>
    <row r="4467" spans="1:5" x14ac:dyDescent="0.2">
      <c r="A4467" s="43">
        <v>43639</v>
      </c>
      <c r="D4467">
        <v>2.5</v>
      </c>
    </row>
    <row r="4468" spans="1:5" x14ac:dyDescent="0.2">
      <c r="A4468" s="43">
        <v>43640</v>
      </c>
      <c r="D4468">
        <v>2.5</v>
      </c>
    </row>
    <row r="4469" spans="1:5" x14ac:dyDescent="0.2">
      <c r="A4469" s="43">
        <v>43641</v>
      </c>
      <c r="D4469">
        <v>2.5</v>
      </c>
    </row>
    <row r="4470" spans="1:5" x14ac:dyDescent="0.2">
      <c r="A4470" s="43">
        <v>43642</v>
      </c>
      <c r="D4470">
        <v>2.5</v>
      </c>
    </row>
    <row r="4471" spans="1:5" x14ac:dyDescent="0.2">
      <c r="A4471" s="43">
        <v>43643</v>
      </c>
      <c r="D4471">
        <v>2.5</v>
      </c>
    </row>
    <row r="4472" spans="1:5" x14ac:dyDescent="0.2">
      <c r="A4472" s="43">
        <v>43644</v>
      </c>
      <c r="D4472">
        <v>2.5</v>
      </c>
    </row>
    <row r="4473" spans="1:5" x14ac:dyDescent="0.2">
      <c r="A4473" s="43">
        <v>43645</v>
      </c>
      <c r="D4473">
        <v>2.5</v>
      </c>
    </row>
    <row r="4474" spans="1:5" x14ac:dyDescent="0.2">
      <c r="A4474" s="43">
        <v>43646</v>
      </c>
      <c r="D4474">
        <v>2.5</v>
      </c>
    </row>
    <row r="4475" spans="1:5" x14ac:dyDescent="0.2">
      <c r="A4475" s="43">
        <v>43647</v>
      </c>
      <c r="B4475">
        <v>110.074</v>
      </c>
      <c r="C4475">
        <v>112.15</v>
      </c>
      <c r="D4475">
        <v>2.5</v>
      </c>
      <c r="E4475">
        <v>263.61599999999999</v>
      </c>
    </row>
    <row r="4476" spans="1:5" x14ac:dyDescent="0.2">
      <c r="A4476" s="43">
        <v>43648</v>
      </c>
      <c r="D4476">
        <v>2.5</v>
      </c>
    </row>
    <row r="4477" spans="1:5" x14ac:dyDescent="0.2">
      <c r="A4477" s="43">
        <v>43649</v>
      </c>
      <c r="D4477">
        <v>2.5</v>
      </c>
    </row>
    <row r="4478" spans="1:5" x14ac:dyDescent="0.2">
      <c r="A4478" s="43">
        <v>43650</v>
      </c>
      <c r="D4478">
        <v>2.5</v>
      </c>
    </row>
    <row r="4479" spans="1:5" x14ac:dyDescent="0.2">
      <c r="A4479" s="43">
        <v>43651</v>
      </c>
      <c r="D4479">
        <v>2.5</v>
      </c>
    </row>
    <row r="4480" spans="1:5" x14ac:dyDescent="0.2">
      <c r="A4480" s="43">
        <v>43652</v>
      </c>
      <c r="D4480">
        <v>2.5</v>
      </c>
    </row>
    <row r="4481" spans="1:4" x14ac:dyDescent="0.2">
      <c r="A4481" s="43">
        <v>43653</v>
      </c>
      <c r="D4481">
        <v>2.5</v>
      </c>
    </row>
    <row r="4482" spans="1:4" x14ac:dyDescent="0.2">
      <c r="A4482" s="43">
        <v>43654</v>
      </c>
      <c r="D4482">
        <v>2.5</v>
      </c>
    </row>
    <row r="4483" spans="1:4" x14ac:dyDescent="0.2">
      <c r="A4483" s="43">
        <v>43655</v>
      </c>
      <c r="D4483">
        <v>2.5</v>
      </c>
    </row>
    <row r="4484" spans="1:4" x14ac:dyDescent="0.2">
      <c r="A4484" s="43">
        <v>43656</v>
      </c>
      <c r="D4484">
        <v>2.5</v>
      </c>
    </row>
    <row r="4485" spans="1:4" x14ac:dyDescent="0.2">
      <c r="A4485" s="43">
        <v>43657</v>
      </c>
      <c r="D4485">
        <v>2.5</v>
      </c>
    </row>
    <row r="4486" spans="1:4" x14ac:dyDescent="0.2">
      <c r="A4486" s="43">
        <v>43658</v>
      </c>
      <c r="D4486">
        <v>2.5</v>
      </c>
    </row>
    <row r="4487" spans="1:4" x14ac:dyDescent="0.2">
      <c r="A4487" s="43">
        <v>43659</v>
      </c>
      <c r="D4487">
        <v>2.5</v>
      </c>
    </row>
    <row r="4488" spans="1:4" x14ac:dyDescent="0.2">
      <c r="A4488" s="43">
        <v>43660</v>
      </c>
      <c r="D4488">
        <v>2.5</v>
      </c>
    </row>
    <row r="4489" spans="1:4" x14ac:dyDescent="0.2">
      <c r="A4489" s="43">
        <v>43661</v>
      </c>
      <c r="D4489">
        <v>2.5</v>
      </c>
    </row>
    <row r="4490" spans="1:4" x14ac:dyDescent="0.2">
      <c r="A4490" s="43">
        <v>43662</v>
      </c>
      <c r="D4490">
        <v>2.5</v>
      </c>
    </row>
    <row r="4491" spans="1:4" x14ac:dyDescent="0.2">
      <c r="A4491" s="43">
        <v>43663</v>
      </c>
      <c r="D4491">
        <v>2.5</v>
      </c>
    </row>
    <row r="4492" spans="1:4" x14ac:dyDescent="0.2">
      <c r="A4492" s="43">
        <v>43664</v>
      </c>
      <c r="D4492">
        <v>2.5</v>
      </c>
    </row>
    <row r="4493" spans="1:4" x14ac:dyDescent="0.2">
      <c r="A4493" s="43">
        <v>43665</v>
      </c>
      <c r="D4493">
        <v>2.5</v>
      </c>
    </row>
    <row r="4494" spans="1:4" x14ac:dyDescent="0.2">
      <c r="A4494" s="43">
        <v>43666</v>
      </c>
      <c r="D4494">
        <v>2.5</v>
      </c>
    </row>
    <row r="4495" spans="1:4" x14ac:dyDescent="0.2">
      <c r="A4495" s="43">
        <v>43667</v>
      </c>
      <c r="D4495">
        <v>2.5</v>
      </c>
    </row>
    <row r="4496" spans="1:4" x14ac:dyDescent="0.2">
      <c r="A4496" s="43">
        <v>43668</v>
      </c>
      <c r="D4496">
        <v>2.5</v>
      </c>
    </row>
    <row r="4497" spans="1:5" x14ac:dyDescent="0.2">
      <c r="A4497" s="43">
        <v>43669</v>
      </c>
      <c r="D4497">
        <v>2.5</v>
      </c>
    </row>
    <row r="4498" spans="1:5" x14ac:dyDescent="0.2">
      <c r="A4498" s="43">
        <v>43670</v>
      </c>
      <c r="D4498">
        <v>2.5</v>
      </c>
    </row>
    <row r="4499" spans="1:5" x14ac:dyDescent="0.2">
      <c r="A4499" s="43">
        <v>43671</v>
      </c>
      <c r="D4499">
        <v>2.5</v>
      </c>
    </row>
    <row r="4500" spans="1:5" x14ac:dyDescent="0.2">
      <c r="A4500" s="43">
        <v>43672</v>
      </c>
      <c r="D4500">
        <v>2.5</v>
      </c>
    </row>
    <row r="4501" spans="1:5" x14ac:dyDescent="0.2">
      <c r="A4501" s="43">
        <v>43673</v>
      </c>
      <c r="D4501">
        <v>2.5</v>
      </c>
    </row>
    <row r="4502" spans="1:5" x14ac:dyDescent="0.2">
      <c r="A4502" s="43">
        <v>43674</v>
      </c>
      <c r="D4502">
        <v>2.5</v>
      </c>
    </row>
    <row r="4503" spans="1:5" x14ac:dyDescent="0.2">
      <c r="A4503" s="43">
        <v>43675</v>
      </c>
      <c r="D4503">
        <v>2.5</v>
      </c>
    </row>
    <row r="4504" spans="1:5" x14ac:dyDescent="0.2">
      <c r="A4504" s="43">
        <v>43676</v>
      </c>
      <c r="D4504">
        <v>2.5</v>
      </c>
    </row>
    <row r="4505" spans="1:5" x14ac:dyDescent="0.2">
      <c r="A4505" s="43">
        <v>43677</v>
      </c>
      <c r="D4505">
        <v>2.5</v>
      </c>
    </row>
    <row r="4506" spans="1:5" x14ac:dyDescent="0.2">
      <c r="A4506" s="43">
        <v>43678</v>
      </c>
      <c r="B4506">
        <v>110.133</v>
      </c>
      <c r="C4506">
        <v>112.289</v>
      </c>
      <c r="D4506">
        <v>2.25</v>
      </c>
      <c r="E4506">
        <v>264.15100000000001</v>
      </c>
    </row>
    <row r="4507" spans="1:5" x14ac:dyDescent="0.2">
      <c r="A4507" s="43">
        <v>43679</v>
      </c>
      <c r="D4507">
        <v>2.25</v>
      </c>
    </row>
    <row r="4508" spans="1:5" x14ac:dyDescent="0.2">
      <c r="A4508" s="43">
        <v>43680</v>
      </c>
      <c r="D4508">
        <v>2.25</v>
      </c>
    </row>
    <row r="4509" spans="1:5" x14ac:dyDescent="0.2">
      <c r="A4509" s="43">
        <v>43681</v>
      </c>
      <c r="D4509">
        <v>2.25</v>
      </c>
    </row>
    <row r="4510" spans="1:5" x14ac:dyDescent="0.2">
      <c r="A4510" s="43">
        <v>43682</v>
      </c>
      <c r="D4510">
        <v>2.25</v>
      </c>
    </row>
    <row r="4511" spans="1:5" x14ac:dyDescent="0.2">
      <c r="A4511" s="43">
        <v>43683</v>
      </c>
      <c r="D4511">
        <v>2.25</v>
      </c>
    </row>
    <row r="4512" spans="1:5" x14ac:dyDescent="0.2">
      <c r="A4512" s="43">
        <v>43684</v>
      </c>
      <c r="D4512">
        <v>2.25</v>
      </c>
    </row>
    <row r="4513" spans="1:4" x14ac:dyDescent="0.2">
      <c r="A4513" s="43">
        <v>43685</v>
      </c>
      <c r="D4513">
        <v>2.25</v>
      </c>
    </row>
    <row r="4514" spans="1:4" x14ac:dyDescent="0.2">
      <c r="A4514" s="43">
        <v>43686</v>
      </c>
      <c r="D4514">
        <v>2.25</v>
      </c>
    </row>
    <row r="4515" spans="1:4" x14ac:dyDescent="0.2">
      <c r="A4515" s="43">
        <v>43687</v>
      </c>
      <c r="D4515">
        <v>2.25</v>
      </c>
    </row>
    <row r="4516" spans="1:4" x14ac:dyDescent="0.2">
      <c r="A4516" s="43">
        <v>43688</v>
      </c>
      <c r="D4516">
        <v>2.25</v>
      </c>
    </row>
    <row r="4517" spans="1:4" x14ac:dyDescent="0.2">
      <c r="A4517" s="43">
        <v>43689</v>
      </c>
      <c r="D4517">
        <v>2.25</v>
      </c>
    </row>
    <row r="4518" spans="1:4" x14ac:dyDescent="0.2">
      <c r="A4518" s="43">
        <v>43690</v>
      </c>
      <c r="D4518">
        <v>2.25</v>
      </c>
    </row>
    <row r="4519" spans="1:4" x14ac:dyDescent="0.2">
      <c r="A4519" s="43">
        <v>43691</v>
      </c>
      <c r="D4519">
        <v>2.25</v>
      </c>
    </row>
    <row r="4520" spans="1:4" x14ac:dyDescent="0.2">
      <c r="A4520" s="43">
        <v>43692</v>
      </c>
      <c r="D4520">
        <v>2.25</v>
      </c>
    </row>
    <row r="4521" spans="1:4" x14ac:dyDescent="0.2">
      <c r="A4521" s="43">
        <v>43693</v>
      </c>
      <c r="D4521">
        <v>2.25</v>
      </c>
    </row>
    <row r="4522" spans="1:4" x14ac:dyDescent="0.2">
      <c r="A4522" s="43">
        <v>43694</v>
      </c>
      <c r="D4522">
        <v>2.25</v>
      </c>
    </row>
    <row r="4523" spans="1:4" x14ac:dyDescent="0.2">
      <c r="A4523" s="43">
        <v>43695</v>
      </c>
      <c r="D4523">
        <v>2.25</v>
      </c>
    </row>
    <row r="4524" spans="1:4" x14ac:dyDescent="0.2">
      <c r="A4524" s="43">
        <v>43696</v>
      </c>
      <c r="D4524">
        <v>2.25</v>
      </c>
    </row>
    <row r="4525" spans="1:4" x14ac:dyDescent="0.2">
      <c r="A4525" s="43">
        <v>43697</v>
      </c>
      <c r="D4525">
        <v>2.25</v>
      </c>
    </row>
    <row r="4526" spans="1:4" x14ac:dyDescent="0.2">
      <c r="A4526" s="43">
        <v>43698</v>
      </c>
      <c r="D4526">
        <v>2.25</v>
      </c>
    </row>
    <row r="4527" spans="1:4" x14ac:dyDescent="0.2">
      <c r="A4527" s="43">
        <v>43699</v>
      </c>
      <c r="D4527">
        <v>2.25</v>
      </c>
    </row>
    <row r="4528" spans="1:4" x14ac:dyDescent="0.2">
      <c r="A4528" s="43">
        <v>43700</v>
      </c>
      <c r="D4528">
        <v>2.25</v>
      </c>
    </row>
    <row r="4529" spans="1:5" x14ac:dyDescent="0.2">
      <c r="A4529" s="43">
        <v>43701</v>
      </c>
      <c r="D4529">
        <v>2.25</v>
      </c>
    </row>
    <row r="4530" spans="1:5" x14ac:dyDescent="0.2">
      <c r="A4530" s="43">
        <v>43702</v>
      </c>
      <c r="D4530">
        <v>2.25</v>
      </c>
    </row>
    <row r="4531" spans="1:5" x14ac:dyDescent="0.2">
      <c r="A4531" s="43">
        <v>43703</v>
      </c>
      <c r="D4531">
        <v>2.25</v>
      </c>
    </row>
    <row r="4532" spans="1:5" x14ac:dyDescent="0.2">
      <c r="A4532" s="43">
        <v>43704</v>
      </c>
      <c r="D4532">
        <v>2.25</v>
      </c>
    </row>
    <row r="4533" spans="1:5" x14ac:dyDescent="0.2">
      <c r="A4533" s="43">
        <v>43705</v>
      </c>
      <c r="D4533">
        <v>2.25</v>
      </c>
    </row>
    <row r="4534" spans="1:5" x14ac:dyDescent="0.2">
      <c r="A4534" s="43">
        <v>43706</v>
      </c>
      <c r="D4534">
        <v>2.25</v>
      </c>
    </row>
    <row r="4535" spans="1:5" x14ac:dyDescent="0.2">
      <c r="A4535" s="43">
        <v>43707</v>
      </c>
      <c r="D4535">
        <v>2.25</v>
      </c>
    </row>
    <row r="4536" spans="1:5" x14ac:dyDescent="0.2">
      <c r="A4536" s="43">
        <v>43708</v>
      </c>
      <c r="D4536">
        <v>2.25</v>
      </c>
    </row>
    <row r="4537" spans="1:5" x14ac:dyDescent="0.2">
      <c r="A4537" s="43">
        <v>43709</v>
      </c>
      <c r="B4537">
        <v>110.215</v>
      </c>
      <c r="C4537">
        <v>112.367</v>
      </c>
      <c r="D4537">
        <v>2.25</v>
      </c>
      <c r="E4537">
        <v>264.60300000000001</v>
      </c>
    </row>
    <row r="4538" spans="1:5" x14ac:dyDescent="0.2">
      <c r="A4538" s="43">
        <v>43710</v>
      </c>
      <c r="D4538">
        <v>2.25</v>
      </c>
    </row>
    <row r="4539" spans="1:5" x14ac:dyDescent="0.2">
      <c r="A4539" s="43">
        <v>43711</v>
      </c>
      <c r="D4539">
        <v>2.25</v>
      </c>
    </row>
    <row r="4540" spans="1:5" x14ac:dyDescent="0.2">
      <c r="A4540" s="43">
        <v>43712</v>
      </c>
      <c r="D4540">
        <v>2.25</v>
      </c>
    </row>
    <row r="4541" spans="1:5" x14ac:dyDescent="0.2">
      <c r="A4541" s="43">
        <v>43713</v>
      </c>
      <c r="D4541">
        <v>2.25</v>
      </c>
    </row>
    <row r="4542" spans="1:5" x14ac:dyDescent="0.2">
      <c r="A4542" s="43">
        <v>43714</v>
      </c>
      <c r="D4542">
        <v>2.25</v>
      </c>
    </row>
    <row r="4543" spans="1:5" x14ac:dyDescent="0.2">
      <c r="A4543" s="43">
        <v>43715</v>
      </c>
      <c r="D4543">
        <v>2.25</v>
      </c>
    </row>
    <row r="4544" spans="1:5" x14ac:dyDescent="0.2">
      <c r="A4544" s="43">
        <v>43716</v>
      </c>
      <c r="D4544">
        <v>2.25</v>
      </c>
    </row>
    <row r="4545" spans="1:4" x14ac:dyDescent="0.2">
      <c r="A4545" s="43">
        <v>43717</v>
      </c>
      <c r="D4545">
        <v>2.25</v>
      </c>
    </row>
    <row r="4546" spans="1:4" x14ac:dyDescent="0.2">
      <c r="A4546" s="43">
        <v>43718</v>
      </c>
      <c r="D4546">
        <v>2.25</v>
      </c>
    </row>
    <row r="4547" spans="1:4" x14ac:dyDescent="0.2">
      <c r="A4547" s="43">
        <v>43719</v>
      </c>
      <c r="D4547">
        <v>2.25</v>
      </c>
    </row>
    <row r="4548" spans="1:4" x14ac:dyDescent="0.2">
      <c r="A4548" s="43">
        <v>43720</v>
      </c>
      <c r="D4548">
        <v>2.25</v>
      </c>
    </row>
    <row r="4549" spans="1:4" x14ac:dyDescent="0.2">
      <c r="A4549" s="43">
        <v>43721</v>
      </c>
      <c r="D4549">
        <v>2.25</v>
      </c>
    </row>
    <row r="4550" spans="1:4" x14ac:dyDescent="0.2">
      <c r="A4550" s="43">
        <v>43722</v>
      </c>
      <c r="D4550">
        <v>2.25</v>
      </c>
    </row>
    <row r="4551" spans="1:4" x14ac:dyDescent="0.2">
      <c r="A4551" s="43">
        <v>43723</v>
      </c>
      <c r="D4551">
        <v>2.25</v>
      </c>
    </row>
    <row r="4552" spans="1:4" x14ac:dyDescent="0.2">
      <c r="A4552" s="43">
        <v>43724</v>
      </c>
      <c r="D4552">
        <v>2.25</v>
      </c>
    </row>
    <row r="4553" spans="1:4" x14ac:dyDescent="0.2">
      <c r="A4553" s="43">
        <v>43725</v>
      </c>
      <c r="D4553">
        <v>2.25</v>
      </c>
    </row>
    <row r="4554" spans="1:4" x14ac:dyDescent="0.2">
      <c r="A4554" s="43">
        <v>43726</v>
      </c>
      <c r="D4554">
        <v>2.25</v>
      </c>
    </row>
    <row r="4555" spans="1:4" x14ac:dyDescent="0.2">
      <c r="A4555" s="43">
        <v>43727</v>
      </c>
      <c r="D4555">
        <v>2</v>
      </c>
    </row>
    <row r="4556" spans="1:4" x14ac:dyDescent="0.2">
      <c r="A4556" s="43">
        <v>43728</v>
      </c>
      <c r="D4556">
        <v>2</v>
      </c>
    </row>
    <row r="4557" spans="1:4" x14ac:dyDescent="0.2">
      <c r="A4557" s="43">
        <v>43729</v>
      </c>
      <c r="D4557">
        <v>2</v>
      </c>
    </row>
    <row r="4558" spans="1:4" x14ac:dyDescent="0.2">
      <c r="A4558" s="43">
        <v>43730</v>
      </c>
      <c r="D4558">
        <v>2</v>
      </c>
    </row>
    <row r="4559" spans="1:4" x14ac:dyDescent="0.2">
      <c r="A4559" s="43">
        <v>43731</v>
      </c>
      <c r="D4559">
        <v>2</v>
      </c>
    </row>
    <row r="4560" spans="1:4" x14ac:dyDescent="0.2">
      <c r="A4560" s="43">
        <v>43732</v>
      </c>
      <c r="D4560">
        <v>2</v>
      </c>
    </row>
    <row r="4561" spans="1:5" x14ac:dyDescent="0.2">
      <c r="A4561" s="43">
        <v>43733</v>
      </c>
      <c r="D4561">
        <v>2</v>
      </c>
    </row>
    <row r="4562" spans="1:5" x14ac:dyDescent="0.2">
      <c r="A4562" s="43">
        <v>43734</v>
      </c>
      <c r="D4562">
        <v>2</v>
      </c>
    </row>
    <row r="4563" spans="1:5" x14ac:dyDescent="0.2">
      <c r="A4563" s="43">
        <v>43735</v>
      </c>
      <c r="D4563">
        <v>2</v>
      </c>
    </row>
    <row r="4564" spans="1:5" x14ac:dyDescent="0.2">
      <c r="A4564" s="43">
        <v>43736</v>
      </c>
      <c r="D4564">
        <v>2</v>
      </c>
    </row>
    <row r="4565" spans="1:5" x14ac:dyDescent="0.2">
      <c r="A4565" s="43">
        <v>43737</v>
      </c>
      <c r="D4565">
        <v>2</v>
      </c>
    </row>
    <row r="4566" spans="1:5" x14ac:dyDescent="0.2">
      <c r="A4566" s="43">
        <v>43738</v>
      </c>
      <c r="D4566">
        <v>2</v>
      </c>
    </row>
    <row r="4567" spans="1:5" x14ac:dyDescent="0.2">
      <c r="A4567" s="43">
        <v>43739</v>
      </c>
      <c r="B4567">
        <v>110.479</v>
      </c>
      <c r="C4567">
        <v>112.54</v>
      </c>
      <c r="D4567">
        <v>2</v>
      </c>
      <c r="E4567">
        <v>265.02600000000001</v>
      </c>
    </row>
    <row r="4568" spans="1:5" x14ac:dyDescent="0.2">
      <c r="A4568" s="43">
        <v>43740</v>
      </c>
      <c r="D4568">
        <v>2</v>
      </c>
    </row>
    <row r="4569" spans="1:5" x14ac:dyDescent="0.2">
      <c r="A4569" s="43">
        <v>43741</v>
      </c>
      <c r="D4569">
        <v>2</v>
      </c>
    </row>
    <row r="4570" spans="1:5" x14ac:dyDescent="0.2">
      <c r="A4570" s="43">
        <v>43742</v>
      </c>
      <c r="D4570">
        <v>2</v>
      </c>
    </row>
    <row r="4571" spans="1:5" x14ac:dyDescent="0.2">
      <c r="A4571" s="43">
        <v>43743</v>
      </c>
      <c r="D4571">
        <v>2</v>
      </c>
    </row>
    <row r="4572" spans="1:5" x14ac:dyDescent="0.2">
      <c r="A4572" s="43">
        <v>43744</v>
      </c>
      <c r="D4572">
        <v>2</v>
      </c>
    </row>
    <row r="4573" spans="1:5" x14ac:dyDescent="0.2">
      <c r="A4573" s="43">
        <v>43745</v>
      </c>
      <c r="D4573">
        <v>2</v>
      </c>
    </row>
    <row r="4574" spans="1:5" x14ac:dyDescent="0.2">
      <c r="A4574" s="43">
        <v>43746</v>
      </c>
      <c r="D4574">
        <v>2</v>
      </c>
    </row>
    <row r="4575" spans="1:5" x14ac:dyDescent="0.2">
      <c r="A4575" s="43">
        <v>43747</v>
      </c>
      <c r="D4575">
        <v>2</v>
      </c>
    </row>
    <row r="4576" spans="1:5" x14ac:dyDescent="0.2">
      <c r="A4576" s="43">
        <v>43748</v>
      </c>
      <c r="D4576">
        <v>2</v>
      </c>
    </row>
    <row r="4577" spans="1:4" x14ac:dyDescent="0.2">
      <c r="A4577" s="43">
        <v>43749</v>
      </c>
      <c r="D4577">
        <v>2</v>
      </c>
    </row>
    <row r="4578" spans="1:4" x14ac:dyDescent="0.2">
      <c r="A4578" s="43">
        <v>43750</v>
      </c>
      <c r="D4578">
        <v>2</v>
      </c>
    </row>
    <row r="4579" spans="1:4" x14ac:dyDescent="0.2">
      <c r="A4579" s="43">
        <v>43751</v>
      </c>
      <c r="D4579">
        <v>2</v>
      </c>
    </row>
    <row r="4580" spans="1:4" x14ac:dyDescent="0.2">
      <c r="A4580" s="43">
        <v>43752</v>
      </c>
      <c r="D4580">
        <v>2</v>
      </c>
    </row>
    <row r="4581" spans="1:4" x14ac:dyDescent="0.2">
      <c r="A4581" s="43">
        <v>43753</v>
      </c>
      <c r="D4581">
        <v>2</v>
      </c>
    </row>
    <row r="4582" spans="1:4" x14ac:dyDescent="0.2">
      <c r="A4582" s="43">
        <v>43754</v>
      </c>
      <c r="D4582">
        <v>2</v>
      </c>
    </row>
    <row r="4583" spans="1:4" x14ac:dyDescent="0.2">
      <c r="A4583" s="43">
        <v>43755</v>
      </c>
      <c r="D4583">
        <v>2</v>
      </c>
    </row>
    <row r="4584" spans="1:4" x14ac:dyDescent="0.2">
      <c r="A4584" s="43">
        <v>43756</v>
      </c>
      <c r="D4584">
        <v>2</v>
      </c>
    </row>
    <row r="4585" spans="1:4" x14ac:dyDescent="0.2">
      <c r="A4585" s="43">
        <v>43757</v>
      </c>
      <c r="D4585">
        <v>2</v>
      </c>
    </row>
    <row r="4586" spans="1:4" x14ac:dyDescent="0.2">
      <c r="A4586" s="43">
        <v>43758</v>
      </c>
      <c r="D4586">
        <v>2</v>
      </c>
    </row>
    <row r="4587" spans="1:4" x14ac:dyDescent="0.2">
      <c r="A4587" s="43">
        <v>43759</v>
      </c>
      <c r="D4587">
        <v>2</v>
      </c>
    </row>
    <row r="4588" spans="1:4" x14ac:dyDescent="0.2">
      <c r="A4588" s="43">
        <v>43760</v>
      </c>
      <c r="D4588">
        <v>2</v>
      </c>
    </row>
    <row r="4589" spans="1:4" x14ac:dyDescent="0.2">
      <c r="A4589" s="43">
        <v>43761</v>
      </c>
      <c r="D4589">
        <v>2</v>
      </c>
    </row>
    <row r="4590" spans="1:4" x14ac:dyDescent="0.2">
      <c r="A4590" s="43">
        <v>43762</v>
      </c>
      <c r="D4590">
        <v>2</v>
      </c>
    </row>
    <row r="4591" spans="1:4" x14ac:dyDescent="0.2">
      <c r="A4591" s="43">
        <v>43763</v>
      </c>
      <c r="D4591">
        <v>2</v>
      </c>
    </row>
    <row r="4592" spans="1:4" x14ac:dyDescent="0.2">
      <c r="A4592" s="43">
        <v>43764</v>
      </c>
      <c r="D4592">
        <v>2</v>
      </c>
    </row>
    <row r="4593" spans="1:5" x14ac:dyDescent="0.2">
      <c r="A4593" s="43">
        <v>43765</v>
      </c>
      <c r="D4593">
        <v>2</v>
      </c>
    </row>
    <row r="4594" spans="1:5" x14ac:dyDescent="0.2">
      <c r="A4594" s="43">
        <v>43766</v>
      </c>
      <c r="D4594">
        <v>2</v>
      </c>
    </row>
    <row r="4595" spans="1:5" x14ac:dyDescent="0.2">
      <c r="A4595" s="43">
        <v>43767</v>
      </c>
      <c r="D4595">
        <v>2</v>
      </c>
    </row>
    <row r="4596" spans="1:5" x14ac:dyDescent="0.2">
      <c r="A4596" s="43">
        <v>43768</v>
      </c>
      <c r="D4596">
        <v>2</v>
      </c>
    </row>
    <row r="4597" spans="1:5" x14ac:dyDescent="0.2">
      <c r="A4597" s="43">
        <v>43769</v>
      </c>
      <c r="D4597">
        <v>1.75</v>
      </c>
    </row>
    <row r="4598" spans="1:5" x14ac:dyDescent="0.2">
      <c r="A4598" s="43">
        <v>43770</v>
      </c>
      <c r="B4598">
        <v>110.568</v>
      </c>
      <c r="C4598">
        <v>112.57599999999999</v>
      </c>
      <c r="D4598">
        <v>1.75</v>
      </c>
      <c r="E4598">
        <v>265.42700000000002</v>
      </c>
    </row>
    <row r="4599" spans="1:5" x14ac:dyDescent="0.2">
      <c r="A4599" s="43">
        <v>43771</v>
      </c>
      <c r="D4599">
        <v>1.75</v>
      </c>
    </row>
    <row r="4600" spans="1:5" x14ac:dyDescent="0.2">
      <c r="A4600" s="43">
        <v>43772</v>
      </c>
      <c r="D4600">
        <v>1.75</v>
      </c>
    </row>
    <row r="4601" spans="1:5" x14ac:dyDescent="0.2">
      <c r="A4601" s="43">
        <v>43773</v>
      </c>
      <c r="D4601">
        <v>1.75</v>
      </c>
    </row>
    <row r="4602" spans="1:5" x14ac:dyDescent="0.2">
      <c r="A4602" s="43">
        <v>43774</v>
      </c>
      <c r="D4602">
        <v>1.75</v>
      </c>
    </row>
    <row r="4603" spans="1:5" x14ac:dyDescent="0.2">
      <c r="A4603" s="43">
        <v>43775</v>
      </c>
      <c r="D4603">
        <v>1.75</v>
      </c>
    </row>
    <row r="4604" spans="1:5" x14ac:dyDescent="0.2">
      <c r="A4604" s="43">
        <v>43776</v>
      </c>
      <c r="D4604">
        <v>1.75</v>
      </c>
    </row>
    <row r="4605" spans="1:5" x14ac:dyDescent="0.2">
      <c r="A4605" s="43">
        <v>43777</v>
      </c>
      <c r="D4605">
        <v>1.75</v>
      </c>
    </row>
    <row r="4606" spans="1:5" x14ac:dyDescent="0.2">
      <c r="A4606" s="43">
        <v>43778</v>
      </c>
      <c r="D4606">
        <v>1.75</v>
      </c>
    </row>
    <row r="4607" spans="1:5" x14ac:dyDescent="0.2">
      <c r="A4607" s="43">
        <v>43779</v>
      </c>
      <c r="D4607">
        <v>1.75</v>
      </c>
    </row>
    <row r="4608" spans="1:5" x14ac:dyDescent="0.2">
      <c r="A4608" s="43">
        <v>43780</v>
      </c>
      <c r="D4608">
        <v>1.75</v>
      </c>
    </row>
    <row r="4609" spans="1:4" x14ac:dyDescent="0.2">
      <c r="A4609" s="43">
        <v>43781</v>
      </c>
      <c r="D4609">
        <v>1.75</v>
      </c>
    </row>
    <row r="4610" spans="1:4" x14ac:dyDescent="0.2">
      <c r="A4610" s="43">
        <v>43782</v>
      </c>
      <c r="D4610">
        <v>1.75</v>
      </c>
    </row>
    <row r="4611" spans="1:4" x14ac:dyDescent="0.2">
      <c r="A4611" s="43">
        <v>43783</v>
      </c>
      <c r="D4611">
        <v>1.75</v>
      </c>
    </row>
    <row r="4612" spans="1:4" x14ac:dyDescent="0.2">
      <c r="A4612" s="43">
        <v>43784</v>
      </c>
      <c r="D4612">
        <v>1.75</v>
      </c>
    </row>
    <row r="4613" spans="1:4" x14ac:dyDescent="0.2">
      <c r="A4613" s="43">
        <v>43785</v>
      </c>
      <c r="D4613">
        <v>1.75</v>
      </c>
    </row>
    <row r="4614" spans="1:4" x14ac:dyDescent="0.2">
      <c r="A4614" s="43">
        <v>43786</v>
      </c>
      <c r="D4614">
        <v>1.75</v>
      </c>
    </row>
    <row r="4615" spans="1:4" x14ac:dyDescent="0.2">
      <c r="A4615" s="43">
        <v>43787</v>
      </c>
      <c r="D4615">
        <v>1.75</v>
      </c>
    </row>
    <row r="4616" spans="1:4" x14ac:dyDescent="0.2">
      <c r="A4616" s="43">
        <v>43788</v>
      </c>
      <c r="D4616">
        <v>1.75</v>
      </c>
    </row>
    <row r="4617" spans="1:4" x14ac:dyDescent="0.2">
      <c r="A4617" s="43">
        <v>43789</v>
      </c>
      <c r="D4617">
        <v>1.75</v>
      </c>
    </row>
    <row r="4618" spans="1:4" x14ac:dyDescent="0.2">
      <c r="A4618" s="43">
        <v>43790</v>
      </c>
      <c r="D4618">
        <v>1.75</v>
      </c>
    </row>
    <row r="4619" spans="1:4" x14ac:dyDescent="0.2">
      <c r="A4619" s="43">
        <v>43791</v>
      </c>
      <c r="D4619">
        <v>1.75</v>
      </c>
    </row>
    <row r="4620" spans="1:4" x14ac:dyDescent="0.2">
      <c r="A4620" s="43">
        <v>43792</v>
      </c>
      <c r="D4620">
        <v>1.75</v>
      </c>
    </row>
    <row r="4621" spans="1:4" x14ac:dyDescent="0.2">
      <c r="A4621" s="43">
        <v>43793</v>
      </c>
      <c r="D4621">
        <v>1.75</v>
      </c>
    </row>
    <row r="4622" spans="1:4" x14ac:dyDescent="0.2">
      <c r="A4622" s="43">
        <v>43794</v>
      </c>
      <c r="D4622">
        <v>1.75</v>
      </c>
    </row>
    <row r="4623" spans="1:4" x14ac:dyDescent="0.2">
      <c r="A4623" s="43">
        <v>43795</v>
      </c>
      <c r="D4623">
        <v>1.75</v>
      </c>
    </row>
    <row r="4624" spans="1:4" x14ac:dyDescent="0.2">
      <c r="A4624" s="43">
        <v>43796</v>
      </c>
      <c r="D4624">
        <v>1.75</v>
      </c>
    </row>
    <row r="4625" spans="1:5" x14ac:dyDescent="0.2">
      <c r="A4625" s="43">
        <v>43797</v>
      </c>
      <c r="D4625">
        <v>1.75</v>
      </c>
    </row>
    <row r="4626" spans="1:5" x14ac:dyDescent="0.2">
      <c r="A4626" s="43">
        <v>43798</v>
      </c>
      <c r="D4626">
        <v>1.75</v>
      </c>
    </row>
    <row r="4627" spans="1:5" x14ac:dyDescent="0.2">
      <c r="A4627" s="43">
        <v>43799</v>
      </c>
      <c r="D4627">
        <v>1.75</v>
      </c>
    </row>
    <row r="4628" spans="1:5" x14ac:dyDescent="0.2">
      <c r="A4628" s="43">
        <v>43800</v>
      </c>
      <c r="B4628">
        <v>110.789</v>
      </c>
      <c r="C4628">
        <v>112.824</v>
      </c>
      <c r="D4628">
        <v>1.75</v>
      </c>
      <c r="E4628">
        <v>265.65100000000001</v>
      </c>
    </row>
    <row r="4629" spans="1:5" x14ac:dyDescent="0.2">
      <c r="A4629" s="43">
        <v>43801</v>
      </c>
      <c r="D4629">
        <v>1.75</v>
      </c>
    </row>
    <row r="4630" spans="1:5" x14ac:dyDescent="0.2">
      <c r="A4630" s="43">
        <v>43802</v>
      </c>
      <c r="D4630">
        <v>1.75</v>
      </c>
    </row>
    <row r="4631" spans="1:5" x14ac:dyDescent="0.2">
      <c r="A4631" s="43">
        <v>43803</v>
      </c>
      <c r="D4631">
        <v>1.75</v>
      </c>
    </row>
    <row r="4632" spans="1:5" x14ac:dyDescent="0.2">
      <c r="A4632" s="43">
        <v>43804</v>
      </c>
      <c r="D4632">
        <v>1.75</v>
      </c>
    </row>
    <row r="4633" spans="1:5" x14ac:dyDescent="0.2">
      <c r="A4633" s="43">
        <v>43805</v>
      </c>
      <c r="D4633">
        <v>1.75</v>
      </c>
    </row>
    <row r="4634" spans="1:5" x14ac:dyDescent="0.2">
      <c r="A4634" s="43">
        <v>43806</v>
      </c>
      <c r="D4634">
        <v>1.75</v>
      </c>
    </row>
    <row r="4635" spans="1:5" x14ac:dyDescent="0.2">
      <c r="A4635" s="43">
        <v>43807</v>
      </c>
      <c r="D4635">
        <v>1.75</v>
      </c>
    </row>
    <row r="4636" spans="1:5" x14ac:dyDescent="0.2">
      <c r="A4636" s="43">
        <v>43808</v>
      </c>
      <c r="D4636">
        <v>1.75</v>
      </c>
    </row>
    <row r="4637" spans="1:5" x14ac:dyDescent="0.2">
      <c r="A4637" s="43">
        <v>43809</v>
      </c>
      <c r="D4637">
        <v>1.75</v>
      </c>
    </row>
    <row r="4638" spans="1:5" x14ac:dyDescent="0.2">
      <c r="A4638" s="43">
        <v>43810</v>
      </c>
      <c r="D4638">
        <v>1.75</v>
      </c>
    </row>
    <row r="4639" spans="1:5" x14ac:dyDescent="0.2">
      <c r="A4639" s="43">
        <v>43811</v>
      </c>
      <c r="D4639">
        <v>1.75</v>
      </c>
    </row>
    <row r="4640" spans="1:5" x14ac:dyDescent="0.2">
      <c r="A4640" s="43">
        <v>43812</v>
      </c>
      <c r="D4640">
        <v>1.75</v>
      </c>
    </row>
    <row r="4641" spans="1:4" x14ac:dyDescent="0.2">
      <c r="A4641" s="43">
        <v>43813</v>
      </c>
      <c r="D4641">
        <v>1.75</v>
      </c>
    </row>
    <row r="4642" spans="1:4" x14ac:dyDescent="0.2">
      <c r="A4642" s="43">
        <v>43814</v>
      </c>
      <c r="D4642">
        <v>1.75</v>
      </c>
    </row>
    <row r="4643" spans="1:4" x14ac:dyDescent="0.2">
      <c r="A4643" s="43">
        <v>43815</v>
      </c>
      <c r="D4643">
        <v>1.75</v>
      </c>
    </row>
    <row r="4644" spans="1:4" x14ac:dyDescent="0.2">
      <c r="A4644" s="43">
        <v>43816</v>
      </c>
      <c r="D4644">
        <v>1.75</v>
      </c>
    </row>
    <row r="4645" spans="1:4" x14ac:dyDescent="0.2">
      <c r="A4645" s="43">
        <v>43817</v>
      </c>
      <c r="D4645">
        <v>1.75</v>
      </c>
    </row>
    <row r="4646" spans="1:4" x14ac:dyDescent="0.2">
      <c r="A4646" s="43">
        <v>43818</v>
      </c>
      <c r="D4646">
        <v>1.75</v>
      </c>
    </row>
    <row r="4647" spans="1:4" x14ac:dyDescent="0.2">
      <c r="A4647" s="43">
        <v>43819</v>
      </c>
      <c r="D4647">
        <v>1.75</v>
      </c>
    </row>
    <row r="4648" spans="1:4" x14ac:dyDescent="0.2">
      <c r="A4648" s="43">
        <v>43820</v>
      </c>
      <c r="D4648">
        <v>1.75</v>
      </c>
    </row>
    <row r="4649" spans="1:4" x14ac:dyDescent="0.2">
      <c r="A4649" s="43">
        <v>43821</v>
      </c>
      <c r="D4649">
        <v>1.75</v>
      </c>
    </row>
    <row r="4650" spans="1:4" x14ac:dyDescent="0.2">
      <c r="A4650" s="43">
        <v>43822</v>
      </c>
      <c r="D4650">
        <v>1.75</v>
      </c>
    </row>
    <row r="4651" spans="1:4" x14ac:dyDescent="0.2">
      <c r="A4651" s="43">
        <v>43823</v>
      </c>
      <c r="D4651">
        <v>1.75</v>
      </c>
    </row>
    <row r="4652" spans="1:4" x14ac:dyDescent="0.2">
      <c r="A4652" s="43">
        <v>43824</v>
      </c>
      <c r="D4652">
        <v>1.75</v>
      </c>
    </row>
    <row r="4653" spans="1:4" x14ac:dyDescent="0.2">
      <c r="A4653" s="43">
        <v>43825</v>
      </c>
      <c r="D4653">
        <v>1.75</v>
      </c>
    </row>
    <row r="4654" spans="1:4" x14ac:dyDescent="0.2">
      <c r="A4654" s="43">
        <v>43826</v>
      </c>
      <c r="D4654">
        <v>1.75</v>
      </c>
    </row>
    <row r="4655" spans="1:4" x14ac:dyDescent="0.2">
      <c r="A4655" s="43">
        <v>43827</v>
      </c>
      <c r="D4655">
        <v>1.75</v>
      </c>
    </row>
    <row r="4656" spans="1:4" x14ac:dyDescent="0.2">
      <c r="A4656" s="43">
        <v>43828</v>
      </c>
      <c r="D4656">
        <v>1.75</v>
      </c>
    </row>
    <row r="4657" spans="1:5" x14ac:dyDescent="0.2">
      <c r="A4657" s="43">
        <v>43829</v>
      </c>
      <c r="D4657">
        <v>1.75</v>
      </c>
    </row>
    <row r="4658" spans="1:5" x14ac:dyDescent="0.2">
      <c r="A4658" s="43">
        <v>43830</v>
      </c>
      <c r="D4658">
        <v>1.75</v>
      </c>
    </row>
    <row r="4659" spans="1:5" x14ac:dyDescent="0.2">
      <c r="A4659" s="43">
        <v>43831</v>
      </c>
      <c r="B4659">
        <v>111.002</v>
      </c>
      <c r="C4659">
        <v>113.04</v>
      </c>
      <c r="D4659">
        <v>1.75</v>
      </c>
      <c r="E4659">
        <v>266.30599999999998</v>
      </c>
    </row>
    <row r="4660" spans="1:5" x14ac:dyDescent="0.2">
      <c r="A4660" s="43">
        <v>43832</v>
      </c>
      <c r="D4660">
        <v>1.75</v>
      </c>
    </row>
    <row r="4661" spans="1:5" x14ac:dyDescent="0.2">
      <c r="A4661" s="43">
        <v>43833</v>
      </c>
      <c r="D4661">
        <v>1.75</v>
      </c>
    </row>
    <row r="4662" spans="1:5" x14ac:dyDescent="0.2">
      <c r="A4662" s="43">
        <v>43834</v>
      </c>
      <c r="D4662">
        <v>1.75</v>
      </c>
    </row>
    <row r="4663" spans="1:5" x14ac:dyDescent="0.2">
      <c r="A4663" s="43">
        <v>43835</v>
      </c>
      <c r="D4663">
        <v>1.75</v>
      </c>
    </row>
    <row r="4664" spans="1:5" x14ac:dyDescent="0.2">
      <c r="A4664" s="43">
        <v>43836</v>
      </c>
      <c r="D4664">
        <v>1.75</v>
      </c>
    </row>
    <row r="4665" spans="1:5" x14ac:dyDescent="0.2">
      <c r="A4665" s="43">
        <v>43837</v>
      </c>
      <c r="D4665">
        <v>1.75</v>
      </c>
    </row>
    <row r="4666" spans="1:5" x14ac:dyDescent="0.2">
      <c r="A4666" s="43">
        <v>43838</v>
      </c>
      <c r="D4666">
        <v>1.75</v>
      </c>
    </row>
    <row r="4667" spans="1:5" x14ac:dyDescent="0.2">
      <c r="A4667" s="43">
        <v>43839</v>
      </c>
      <c r="D4667">
        <v>1.75</v>
      </c>
    </row>
    <row r="4668" spans="1:5" x14ac:dyDescent="0.2">
      <c r="A4668" s="43">
        <v>43840</v>
      </c>
      <c r="D4668">
        <v>1.75</v>
      </c>
    </row>
    <row r="4669" spans="1:5" x14ac:dyDescent="0.2">
      <c r="A4669" s="43">
        <v>43841</v>
      </c>
      <c r="D4669">
        <v>1.75</v>
      </c>
    </row>
    <row r="4670" spans="1:5" x14ac:dyDescent="0.2">
      <c r="A4670" s="43">
        <v>43842</v>
      </c>
      <c r="D4670">
        <v>1.75</v>
      </c>
    </row>
    <row r="4671" spans="1:5" x14ac:dyDescent="0.2">
      <c r="A4671" s="43">
        <v>43843</v>
      </c>
      <c r="D4671">
        <v>1.75</v>
      </c>
    </row>
    <row r="4672" spans="1:5" x14ac:dyDescent="0.2">
      <c r="A4672" s="43">
        <v>43844</v>
      </c>
      <c r="D4672">
        <v>1.75</v>
      </c>
    </row>
    <row r="4673" spans="1:4" x14ac:dyDescent="0.2">
      <c r="A4673" s="43">
        <v>43845</v>
      </c>
      <c r="D4673">
        <v>1.75</v>
      </c>
    </row>
    <row r="4674" spans="1:4" x14ac:dyDescent="0.2">
      <c r="A4674" s="43">
        <v>43846</v>
      </c>
      <c r="D4674">
        <v>1.75</v>
      </c>
    </row>
    <row r="4675" spans="1:4" x14ac:dyDescent="0.2">
      <c r="A4675" s="43">
        <v>43847</v>
      </c>
      <c r="D4675">
        <v>1.75</v>
      </c>
    </row>
    <row r="4676" spans="1:4" x14ac:dyDescent="0.2">
      <c r="A4676" s="43">
        <v>43848</v>
      </c>
      <c r="D4676">
        <v>1.75</v>
      </c>
    </row>
    <row r="4677" spans="1:4" x14ac:dyDescent="0.2">
      <c r="A4677" s="43">
        <v>43849</v>
      </c>
      <c r="D4677">
        <v>1.75</v>
      </c>
    </row>
    <row r="4678" spans="1:4" x14ac:dyDescent="0.2">
      <c r="A4678" s="43">
        <v>43850</v>
      </c>
      <c r="D4678">
        <v>1.75</v>
      </c>
    </row>
    <row r="4679" spans="1:4" x14ac:dyDescent="0.2">
      <c r="A4679" s="43">
        <v>43851</v>
      </c>
      <c r="D4679">
        <v>1.75</v>
      </c>
    </row>
    <row r="4680" spans="1:4" x14ac:dyDescent="0.2">
      <c r="A4680" s="43">
        <v>43852</v>
      </c>
      <c r="D4680">
        <v>1.75</v>
      </c>
    </row>
    <row r="4681" spans="1:4" x14ac:dyDescent="0.2">
      <c r="A4681" s="43">
        <v>43853</v>
      </c>
      <c r="D4681">
        <v>1.75</v>
      </c>
    </row>
    <row r="4682" spans="1:4" x14ac:dyDescent="0.2">
      <c r="A4682" s="43">
        <v>43854</v>
      </c>
      <c r="D4682">
        <v>1.75</v>
      </c>
    </row>
    <row r="4683" spans="1:4" x14ac:dyDescent="0.2">
      <c r="A4683" s="43">
        <v>43855</v>
      </c>
      <c r="D4683">
        <v>1.75</v>
      </c>
    </row>
    <row r="4684" spans="1:4" x14ac:dyDescent="0.2">
      <c r="A4684" s="43">
        <v>43856</v>
      </c>
      <c r="D4684">
        <v>1.75</v>
      </c>
    </row>
    <row r="4685" spans="1:4" x14ac:dyDescent="0.2">
      <c r="A4685" s="43">
        <v>43857</v>
      </c>
      <c r="D4685">
        <v>1.75</v>
      </c>
    </row>
    <row r="4686" spans="1:4" x14ac:dyDescent="0.2">
      <c r="A4686" s="43">
        <v>43858</v>
      </c>
      <c r="D4686">
        <v>1.75</v>
      </c>
    </row>
    <row r="4687" spans="1:4" x14ac:dyDescent="0.2">
      <c r="A4687" s="43">
        <v>43859</v>
      </c>
      <c r="D4687">
        <v>1.75</v>
      </c>
    </row>
    <row r="4688" spans="1:4" x14ac:dyDescent="0.2">
      <c r="A4688" s="43">
        <v>43860</v>
      </c>
      <c r="D4688">
        <v>1.75</v>
      </c>
    </row>
    <row r="4689" spans="1:5" x14ac:dyDescent="0.2">
      <c r="A4689" s="43">
        <v>43861</v>
      </c>
      <c r="D4689">
        <v>1.75</v>
      </c>
    </row>
    <row r="4690" spans="1:5" x14ac:dyDescent="0.2">
      <c r="A4690" s="43">
        <v>43862</v>
      </c>
      <c r="B4690">
        <v>111.071</v>
      </c>
      <c r="C4690">
        <v>113.215</v>
      </c>
      <c r="D4690">
        <v>1.75</v>
      </c>
      <c r="E4690">
        <v>266.87599999999998</v>
      </c>
    </row>
    <row r="4691" spans="1:5" x14ac:dyDescent="0.2">
      <c r="A4691" s="43">
        <v>43863</v>
      </c>
      <c r="D4691">
        <v>1.75</v>
      </c>
    </row>
    <row r="4692" spans="1:5" x14ac:dyDescent="0.2">
      <c r="A4692" s="43">
        <v>43864</v>
      </c>
      <c r="D4692">
        <v>1.75</v>
      </c>
    </row>
    <row r="4693" spans="1:5" x14ac:dyDescent="0.2">
      <c r="A4693" s="43">
        <v>43865</v>
      </c>
      <c r="D4693">
        <v>1.75</v>
      </c>
    </row>
    <row r="4694" spans="1:5" x14ac:dyDescent="0.2">
      <c r="A4694" s="43">
        <v>43866</v>
      </c>
      <c r="D4694">
        <v>1.75</v>
      </c>
    </row>
    <row r="4695" spans="1:5" x14ac:dyDescent="0.2">
      <c r="A4695" s="43">
        <v>43867</v>
      </c>
      <c r="D4695">
        <v>1.75</v>
      </c>
    </row>
    <row r="4696" spans="1:5" x14ac:dyDescent="0.2">
      <c r="A4696" s="43">
        <v>43868</v>
      </c>
      <c r="D4696">
        <v>1.75</v>
      </c>
    </row>
    <row r="4697" spans="1:5" x14ac:dyDescent="0.2">
      <c r="A4697" s="43">
        <v>43869</v>
      </c>
      <c r="D4697">
        <v>1.75</v>
      </c>
    </row>
    <row r="4698" spans="1:5" x14ac:dyDescent="0.2">
      <c r="A4698" s="43">
        <v>43870</v>
      </c>
      <c r="D4698">
        <v>1.75</v>
      </c>
    </row>
    <row r="4699" spans="1:5" x14ac:dyDescent="0.2">
      <c r="A4699" s="43">
        <v>43871</v>
      </c>
      <c r="D4699">
        <v>1.75</v>
      </c>
    </row>
    <row r="4700" spans="1:5" x14ac:dyDescent="0.2">
      <c r="A4700" s="43">
        <v>43872</v>
      </c>
      <c r="D4700">
        <v>1.75</v>
      </c>
    </row>
    <row r="4701" spans="1:5" x14ac:dyDescent="0.2">
      <c r="A4701" s="43">
        <v>43873</v>
      </c>
      <c r="D4701">
        <v>1.75</v>
      </c>
    </row>
    <row r="4702" spans="1:5" x14ac:dyDescent="0.2">
      <c r="A4702" s="43">
        <v>43874</v>
      </c>
      <c r="D4702">
        <v>1.75</v>
      </c>
    </row>
    <row r="4703" spans="1:5" x14ac:dyDescent="0.2">
      <c r="A4703" s="43">
        <v>43875</v>
      </c>
      <c r="D4703">
        <v>1.75</v>
      </c>
    </row>
    <row r="4704" spans="1:5" x14ac:dyDescent="0.2">
      <c r="A4704" s="43">
        <v>43876</v>
      </c>
      <c r="D4704">
        <v>1.75</v>
      </c>
    </row>
    <row r="4705" spans="1:5" x14ac:dyDescent="0.2">
      <c r="A4705" s="43">
        <v>43877</v>
      </c>
      <c r="D4705">
        <v>1.75</v>
      </c>
    </row>
    <row r="4706" spans="1:5" x14ac:dyDescent="0.2">
      <c r="A4706" s="43">
        <v>43878</v>
      </c>
      <c r="D4706">
        <v>1.75</v>
      </c>
    </row>
    <row r="4707" spans="1:5" x14ac:dyDescent="0.2">
      <c r="A4707" s="43">
        <v>43879</v>
      </c>
      <c r="D4707">
        <v>1.75</v>
      </c>
    </row>
    <row r="4708" spans="1:5" x14ac:dyDescent="0.2">
      <c r="A4708" s="43">
        <v>43880</v>
      </c>
      <c r="D4708">
        <v>1.75</v>
      </c>
    </row>
    <row r="4709" spans="1:5" x14ac:dyDescent="0.2">
      <c r="A4709" s="43">
        <v>43881</v>
      </c>
      <c r="D4709">
        <v>1.75</v>
      </c>
    </row>
    <row r="4710" spans="1:5" x14ac:dyDescent="0.2">
      <c r="A4710" s="43">
        <v>43882</v>
      </c>
      <c r="D4710">
        <v>1.75</v>
      </c>
    </row>
    <row r="4711" spans="1:5" x14ac:dyDescent="0.2">
      <c r="A4711" s="43">
        <v>43883</v>
      </c>
      <c r="D4711">
        <v>1.75</v>
      </c>
    </row>
    <row r="4712" spans="1:5" x14ac:dyDescent="0.2">
      <c r="A4712" s="43">
        <v>43884</v>
      </c>
      <c r="D4712">
        <v>1.75</v>
      </c>
    </row>
    <row r="4713" spans="1:5" x14ac:dyDescent="0.2">
      <c r="A4713" s="43">
        <v>43885</v>
      </c>
      <c r="D4713">
        <v>1.75</v>
      </c>
    </row>
    <row r="4714" spans="1:5" x14ac:dyDescent="0.2">
      <c r="A4714" s="43">
        <v>43886</v>
      </c>
      <c r="D4714">
        <v>1.75</v>
      </c>
    </row>
    <row r="4715" spans="1:5" x14ac:dyDescent="0.2">
      <c r="A4715" s="43">
        <v>43887</v>
      </c>
      <c r="D4715">
        <v>1.75</v>
      </c>
    </row>
    <row r="4716" spans="1:5" x14ac:dyDescent="0.2">
      <c r="A4716" s="43">
        <v>43888</v>
      </c>
      <c r="D4716">
        <v>1.75</v>
      </c>
    </row>
    <row r="4717" spans="1:5" x14ac:dyDescent="0.2">
      <c r="A4717" s="43">
        <v>43889</v>
      </c>
      <c r="D4717">
        <v>1.75</v>
      </c>
    </row>
    <row r="4718" spans="1:5" x14ac:dyDescent="0.2">
      <c r="A4718" s="43">
        <v>43890</v>
      </c>
      <c r="D4718">
        <v>1.75</v>
      </c>
    </row>
    <row r="4719" spans="1:5" x14ac:dyDescent="0.2">
      <c r="A4719" s="43">
        <v>43891</v>
      </c>
      <c r="B4719">
        <v>110.80200000000001</v>
      </c>
      <c r="C4719">
        <v>113.15</v>
      </c>
      <c r="D4719">
        <v>1.75</v>
      </c>
      <c r="E4719">
        <v>266.82</v>
      </c>
    </row>
    <row r="4720" spans="1:5" x14ac:dyDescent="0.2">
      <c r="A4720" s="43">
        <v>43892</v>
      </c>
      <c r="D4720">
        <v>1.75</v>
      </c>
    </row>
    <row r="4721" spans="1:4" x14ac:dyDescent="0.2">
      <c r="A4721" s="43">
        <v>43893</v>
      </c>
      <c r="D4721">
        <v>1.25</v>
      </c>
    </row>
    <row r="4722" spans="1:4" x14ac:dyDescent="0.2">
      <c r="A4722" s="43">
        <v>43894</v>
      </c>
      <c r="D4722">
        <v>1.25</v>
      </c>
    </row>
    <row r="4723" spans="1:4" x14ac:dyDescent="0.2">
      <c r="A4723" s="43">
        <v>43895</v>
      </c>
      <c r="D4723">
        <v>1.25</v>
      </c>
    </row>
    <row r="4724" spans="1:4" x14ac:dyDescent="0.2">
      <c r="A4724" s="43">
        <v>43896</v>
      </c>
      <c r="D4724">
        <v>1.25</v>
      </c>
    </row>
    <row r="4725" spans="1:4" x14ac:dyDescent="0.2">
      <c r="A4725" s="43">
        <v>43897</v>
      </c>
      <c r="D4725">
        <v>1.25</v>
      </c>
    </row>
    <row r="4726" spans="1:4" x14ac:dyDescent="0.2">
      <c r="A4726" s="43">
        <v>43898</v>
      </c>
      <c r="D4726">
        <v>1.25</v>
      </c>
    </row>
    <row r="4727" spans="1:4" x14ac:dyDescent="0.2">
      <c r="A4727" s="43">
        <v>43899</v>
      </c>
      <c r="D4727">
        <v>1.25</v>
      </c>
    </row>
    <row r="4728" spans="1:4" x14ac:dyDescent="0.2">
      <c r="A4728" s="43">
        <v>43900</v>
      </c>
      <c r="D4728">
        <v>1.25</v>
      </c>
    </row>
    <row r="4729" spans="1:4" x14ac:dyDescent="0.2">
      <c r="A4729" s="43">
        <v>43901</v>
      </c>
      <c r="D4729">
        <v>1.25</v>
      </c>
    </row>
    <row r="4730" spans="1:4" x14ac:dyDescent="0.2">
      <c r="A4730" s="43">
        <v>43902</v>
      </c>
      <c r="D4730">
        <v>1.25</v>
      </c>
    </row>
    <row r="4731" spans="1:4" x14ac:dyDescent="0.2">
      <c r="A4731" s="43">
        <v>43903</v>
      </c>
      <c r="D4731">
        <v>1.25</v>
      </c>
    </row>
    <row r="4732" spans="1:4" x14ac:dyDescent="0.2">
      <c r="A4732" s="43">
        <v>43904</v>
      </c>
      <c r="D4732">
        <v>1.25</v>
      </c>
    </row>
    <row r="4733" spans="1:4" x14ac:dyDescent="0.2">
      <c r="A4733" s="43">
        <v>43905</v>
      </c>
      <c r="D4733">
        <v>0.25</v>
      </c>
    </row>
    <row r="4734" spans="1:4" x14ac:dyDescent="0.2">
      <c r="A4734" s="43">
        <v>43906</v>
      </c>
      <c r="D4734">
        <v>0.25</v>
      </c>
    </row>
    <row r="4735" spans="1:4" x14ac:dyDescent="0.2">
      <c r="A4735" s="43">
        <v>43907</v>
      </c>
      <c r="D4735">
        <v>0.25</v>
      </c>
    </row>
    <row r="4736" spans="1:4" x14ac:dyDescent="0.2">
      <c r="A4736" s="43">
        <v>43908</v>
      </c>
      <c r="D4736">
        <v>0.25</v>
      </c>
    </row>
    <row r="4737" spans="1:5" x14ac:dyDescent="0.2">
      <c r="A4737" s="43">
        <v>43909</v>
      </c>
      <c r="D4737">
        <v>0.25</v>
      </c>
    </row>
    <row r="4738" spans="1:5" x14ac:dyDescent="0.2">
      <c r="A4738" s="43">
        <v>43910</v>
      </c>
      <c r="D4738">
        <v>0.25</v>
      </c>
    </row>
    <row r="4739" spans="1:5" x14ac:dyDescent="0.2">
      <c r="A4739" s="43">
        <v>43911</v>
      </c>
      <c r="D4739">
        <v>0.25</v>
      </c>
    </row>
    <row r="4740" spans="1:5" x14ac:dyDescent="0.2">
      <c r="A4740" s="43">
        <v>43912</v>
      </c>
      <c r="D4740">
        <v>0.25</v>
      </c>
    </row>
    <row r="4741" spans="1:5" x14ac:dyDescent="0.2">
      <c r="A4741" s="43">
        <v>43913</v>
      </c>
      <c r="D4741">
        <v>0.25</v>
      </c>
    </row>
    <row r="4742" spans="1:5" x14ac:dyDescent="0.2">
      <c r="A4742" s="43">
        <v>43914</v>
      </c>
      <c r="D4742">
        <v>0.25</v>
      </c>
    </row>
    <row r="4743" spans="1:5" x14ac:dyDescent="0.2">
      <c r="A4743" s="43">
        <v>43915</v>
      </c>
      <c r="D4743">
        <v>0.25</v>
      </c>
    </row>
    <row r="4744" spans="1:5" x14ac:dyDescent="0.2">
      <c r="A4744" s="43">
        <v>43916</v>
      </c>
      <c r="D4744">
        <v>0.25</v>
      </c>
    </row>
    <row r="4745" spans="1:5" x14ac:dyDescent="0.2">
      <c r="A4745" s="43">
        <v>43917</v>
      </c>
      <c r="D4745">
        <v>0.25</v>
      </c>
    </row>
    <row r="4746" spans="1:5" x14ac:dyDescent="0.2">
      <c r="A4746" s="43">
        <v>43918</v>
      </c>
      <c r="D4746">
        <v>0.25</v>
      </c>
    </row>
    <row r="4747" spans="1:5" x14ac:dyDescent="0.2">
      <c r="A4747" s="43">
        <v>43919</v>
      </c>
      <c r="D4747">
        <v>0.25</v>
      </c>
    </row>
    <row r="4748" spans="1:5" x14ac:dyDescent="0.2">
      <c r="A4748" s="43">
        <v>43920</v>
      </c>
      <c r="D4748">
        <v>0.25</v>
      </c>
    </row>
    <row r="4749" spans="1:5" x14ac:dyDescent="0.2">
      <c r="A4749" s="43">
        <v>43921</v>
      </c>
      <c r="D4749">
        <v>0.25</v>
      </c>
    </row>
    <row r="4750" spans="1:5" x14ac:dyDescent="0.2">
      <c r="A4750" s="43">
        <v>43922</v>
      </c>
      <c r="B4750">
        <v>110.21299999999999</v>
      </c>
      <c r="C4750">
        <v>112.628</v>
      </c>
      <c r="D4750">
        <v>0.25</v>
      </c>
      <c r="E4750">
        <v>265.83600000000001</v>
      </c>
    </row>
    <row r="4751" spans="1:5" x14ac:dyDescent="0.2">
      <c r="A4751" s="43">
        <v>43923</v>
      </c>
      <c r="D4751">
        <v>0.25</v>
      </c>
    </row>
    <row r="4752" spans="1:5" x14ac:dyDescent="0.2">
      <c r="A4752" s="43">
        <v>43924</v>
      </c>
      <c r="D4752">
        <v>0.25</v>
      </c>
    </row>
    <row r="4753" spans="1:4" x14ac:dyDescent="0.2">
      <c r="A4753" s="43">
        <v>43925</v>
      </c>
      <c r="D4753">
        <v>0.25</v>
      </c>
    </row>
    <row r="4754" spans="1:4" x14ac:dyDescent="0.2">
      <c r="A4754" s="43">
        <v>43926</v>
      </c>
      <c r="D4754">
        <v>0.25</v>
      </c>
    </row>
    <row r="4755" spans="1:4" x14ac:dyDescent="0.2">
      <c r="A4755" s="43">
        <v>43927</v>
      </c>
      <c r="D4755">
        <v>0.25</v>
      </c>
    </row>
    <row r="4756" spans="1:4" x14ac:dyDescent="0.2">
      <c r="A4756" s="43">
        <v>43928</v>
      </c>
      <c r="D4756">
        <v>0.25</v>
      </c>
    </row>
    <row r="4757" spans="1:4" x14ac:dyDescent="0.2">
      <c r="A4757" s="43">
        <v>43929</v>
      </c>
      <c r="D4757">
        <v>0.25</v>
      </c>
    </row>
    <row r="4758" spans="1:4" x14ac:dyDescent="0.2">
      <c r="A4758" s="43">
        <v>43930</v>
      </c>
      <c r="D4758">
        <v>0.25</v>
      </c>
    </row>
    <row r="4759" spans="1:4" x14ac:dyDescent="0.2">
      <c r="A4759" s="43">
        <v>43931</v>
      </c>
      <c r="D4759">
        <v>0.25</v>
      </c>
    </row>
    <row r="4760" spans="1:4" x14ac:dyDescent="0.2">
      <c r="A4760" s="43">
        <v>43932</v>
      </c>
      <c r="D4760">
        <v>0.25</v>
      </c>
    </row>
    <row r="4761" spans="1:4" x14ac:dyDescent="0.2">
      <c r="A4761" s="43">
        <v>43933</v>
      </c>
      <c r="D4761">
        <v>0.25</v>
      </c>
    </row>
    <row r="4762" spans="1:4" x14ac:dyDescent="0.2">
      <c r="A4762" s="43">
        <v>43934</v>
      </c>
      <c r="D4762">
        <v>0.25</v>
      </c>
    </row>
    <row r="4763" spans="1:4" x14ac:dyDescent="0.2">
      <c r="A4763" s="43">
        <v>43935</v>
      </c>
      <c r="D4763">
        <v>0.25</v>
      </c>
    </row>
    <row r="4764" spans="1:4" x14ac:dyDescent="0.2">
      <c r="A4764" s="43">
        <v>43936</v>
      </c>
      <c r="D4764">
        <v>0.25</v>
      </c>
    </row>
    <row r="4765" spans="1:4" x14ac:dyDescent="0.2">
      <c r="A4765" s="43">
        <v>43937</v>
      </c>
      <c r="D4765">
        <v>0.25</v>
      </c>
    </row>
    <row r="4766" spans="1:4" x14ac:dyDescent="0.2">
      <c r="A4766" s="43">
        <v>43938</v>
      </c>
      <c r="D4766">
        <v>0.25</v>
      </c>
    </row>
    <row r="4767" spans="1:4" x14ac:dyDescent="0.2">
      <c r="A4767" s="43">
        <v>43939</v>
      </c>
      <c r="D4767">
        <v>0.25</v>
      </c>
    </row>
    <row r="4768" spans="1:4" x14ac:dyDescent="0.2">
      <c r="A4768" s="43">
        <v>43940</v>
      </c>
      <c r="D4768">
        <v>0.25</v>
      </c>
    </row>
    <row r="4769" spans="1:5" x14ac:dyDescent="0.2">
      <c r="A4769" s="43">
        <v>43941</v>
      </c>
      <c r="D4769">
        <v>0.25</v>
      </c>
    </row>
    <row r="4770" spans="1:5" x14ac:dyDescent="0.2">
      <c r="A4770" s="43">
        <v>43942</v>
      </c>
      <c r="D4770">
        <v>0.25</v>
      </c>
    </row>
    <row r="4771" spans="1:5" x14ac:dyDescent="0.2">
      <c r="A4771" s="43">
        <v>43943</v>
      </c>
      <c r="D4771">
        <v>0.25</v>
      </c>
    </row>
    <row r="4772" spans="1:5" x14ac:dyDescent="0.2">
      <c r="A4772" s="43">
        <v>43944</v>
      </c>
      <c r="D4772">
        <v>0.25</v>
      </c>
    </row>
    <row r="4773" spans="1:5" x14ac:dyDescent="0.2">
      <c r="A4773" s="43">
        <v>43945</v>
      </c>
      <c r="D4773">
        <v>0.25</v>
      </c>
    </row>
    <row r="4774" spans="1:5" x14ac:dyDescent="0.2">
      <c r="A4774" s="43">
        <v>43946</v>
      </c>
      <c r="D4774">
        <v>0.25</v>
      </c>
    </row>
    <row r="4775" spans="1:5" x14ac:dyDescent="0.2">
      <c r="A4775" s="43">
        <v>43947</v>
      </c>
      <c r="D4775">
        <v>0.25</v>
      </c>
    </row>
    <row r="4776" spans="1:5" x14ac:dyDescent="0.2">
      <c r="A4776" s="43">
        <v>43948</v>
      </c>
      <c r="D4776">
        <v>0.25</v>
      </c>
    </row>
    <row r="4777" spans="1:5" x14ac:dyDescent="0.2">
      <c r="A4777" s="43">
        <v>43949</v>
      </c>
      <c r="D4777">
        <v>0.25</v>
      </c>
    </row>
    <row r="4778" spans="1:5" x14ac:dyDescent="0.2">
      <c r="A4778" s="43">
        <v>43950</v>
      </c>
      <c r="D4778">
        <v>0.25</v>
      </c>
    </row>
    <row r="4779" spans="1:5" x14ac:dyDescent="0.2">
      <c r="A4779" s="43">
        <v>43951</v>
      </c>
      <c r="D4779">
        <v>0.25</v>
      </c>
    </row>
    <row r="4780" spans="1:5" x14ac:dyDescent="0.2">
      <c r="A4780" s="43">
        <v>43952</v>
      </c>
      <c r="B4780">
        <v>110.38500000000001</v>
      </c>
      <c r="C4780">
        <v>112.864</v>
      </c>
      <c r="D4780">
        <v>0.25</v>
      </c>
      <c r="E4780">
        <v>265.637</v>
      </c>
    </row>
    <row r="4781" spans="1:5" x14ac:dyDescent="0.2">
      <c r="A4781" s="43">
        <v>43953</v>
      </c>
      <c r="D4781">
        <v>0.25</v>
      </c>
    </row>
    <row r="4782" spans="1:5" x14ac:dyDescent="0.2">
      <c r="A4782" s="43">
        <v>43954</v>
      </c>
      <c r="D4782">
        <v>0.25</v>
      </c>
    </row>
    <row r="4783" spans="1:5" x14ac:dyDescent="0.2">
      <c r="A4783" s="43">
        <v>43955</v>
      </c>
      <c r="D4783">
        <v>0.25</v>
      </c>
    </row>
    <row r="4784" spans="1:5" x14ac:dyDescent="0.2">
      <c r="A4784" s="43">
        <v>43956</v>
      </c>
      <c r="D4784">
        <v>0.25</v>
      </c>
    </row>
    <row r="4785" spans="1:4" x14ac:dyDescent="0.2">
      <c r="A4785" s="43">
        <v>43957</v>
      </c>
      <c r="D4785">
        <v>0.25</v>
      </c>
    </row>
    <row r="4786" spans="1:4" x14ac:dyDescent="0.2">
      <c r="A4786" s="43">
        <v>43958</v>
      </c>
      <c r="D4786">
        <v>0.25</v>
      </c>
    </row>
    <row r="4787" spans="1:4" x14ac:dyDescent="0.2">
      <c r="A4787" s="43">
        <v>43959</v>
      </c>
      <c r="D4787">
        <v>0.25</v>
      </c>
    </row>
    <row r="4788" spans="1:4" x14ac:dyDescent="0.2">
      <c r="A4788" s="43">
        <v>43960</v>
      </c>
      <c r="D4788">
        <v>0.25</v>
      </c>
    </row>
    <row r="4789" spans="1:4" x14ac:dyDescent="0.2">
      <c r="A4789" s="43">
        <v>43961</v>
      </c>
      <c r="D4789">
        <v>0.25</v>
      </c>
    </row>
    <row r="4790" spans="1:4" x14ac:dyDescent="0.2">
      <c r="A4790" s="43">
        <v>43962</v>
      </c>
      <c r="D4790">
        <v>0.25</v>
      </c>
    </row>
    <row r="4791" spans="1:4" x14ac:dyDescent="0.2">
      <c r="A4791" s="43">
        <v>43963</v>
      </c>
      <c r="D4791">
        <v>0.25</v>
      </c>
    </row>
    <row r="4792" spans="1:4" x14ac:dyDescent="0.2">
      <c r="A4792" s="43">
        <v>43964</v>
      </c>
      <c r="D4792">
        <v>0.25</v>
      </c>
    </row>
    <row r="4793" spans="1:4" x14ac:dyDescent="0.2">
      <c r="A4793" s="43">
        <v>43965</v>
      </c>
      <c r="D4793">
        <v>0.25</v>
      </c>
    </row>
    <row r="4794" spans="1:4" x14ac:dyDescent="0.2">
      <c r="A4794" s="43">
        <v>43966</v>
      </c>
      <c r="D4794">
        <v>0.25</v>
      </c>
    </row>
    <row r="4795" spans="1:4" x14ac:dyDescent="0.2">
      <c r="A4795" s="43">
        <v>43967</v>
      </c>
      <c r="D4795">
        <v>0.25</v>
      </c>
    </row>
    <row r="4796" spans="1:4" x14ac:dyDescent="0.2">
      <c r="A4796" s="43">
        <v>43968</v>
      </c>
      <c r="D4796">
        <v>0.25</v>
      </c>
    </row>
    <row r="4797" spans="1:4" x14ac:dyDescent="0.2">
      <c r="A4797" s="43">
        <v>43969</v>
      </c>
      <c r="D4797">
        <v>0.25</v>
      </c>
    </row>
    <row r="4798" spans="1:4" x14ac:dyDescent="0.2">
      <c r="A4798" s="43">
        <v>43970</v>
      </c>
      <c r="D4798">
        <v>0.25</v>
      </c>
    </row>
    <row r="4799" spans="1:4" x14ac:dyDescent="0.2">
      <c r="A4799" s="43">
        <v>43971</v>
      </c>
      <c r="D4799">
        <v>0.25</v>
      </c>
    </row>
    <row r="4800" spans="1:4" x14ac:dyDescent="0.2">
      <c r="A4800" s="43">
        <v>43972</v>
      </c>
      <c r="D4800">
        <v>0.25</v>
      </c>
    </row>
    <row r="4801" spans="1:5" x14ac:dyDescent="0.2">
      <c r="A4801" s="43">
        <v>43973</v>
      </c>
      <c r="D4801">
        <v>0.25</v>
      </c>
    </row>
    <row r="4802" spans="1:5" x14ac:dyDescent="0.2">
      <c r="A4802" s="43">
        <v>43974</v>
      </c>
      <c r="D4802">
        <v>0.25</v>
      </c>
    </row>
    <row r="4803" spans="1:5" x14ac:dyDescent="0.2">
      <c r="A4803" s="43">
        <v>43975</v>
      </c>
      <c r="D4803">
        <v>0.25</v>
      </c>
    </row>
    <row r="4804" spans="1:5" x14ac:dyDescent="0.2">
      <c r="A4804" s="43">
        <v>43976</v>
      </c>
      <c r="D4804">
        <v>0.25</v>
      </c>
    </row>
    <row r="4805" spans="1:5" x14ac:dyDescent="0.2">
      <c r="A4805" s="43">
        <v>43977</v>
      </c>
      <c r="D4805">
        <v>0.25</v>
      </c>
    </row>
    <row r="4806" spans="1:5" x14ac:dyDescent="0.2">
      <c r="A4806" s="43">
        <v>43978</v>
      </c>
      <c r="D4806">
        <v>0.25</v>
      </c>
    </row>
    <row r="4807" spans="1:5" x14ac:dyDescent="0.2">
      <c r="A4807" s="43">
        <v>43979</v>
      </c>
      <c r="D4807">
        <v>0.25</v>
      </c>
    </row>
    <row r="4808" spans="1:5" x14ac:dyDescent="0.2">
      <c r="A4808" s="43">
        <v>43980</v>
      </c>
      <c r="D4808">
        <v>0.25</v>
      </c>
    </row>
    <row r="4809" spans="1:5" x14ac:dyDescent="0.2">
      <c r="A4809" s="43">
        <v>43981</v>
      </c>
      <c r="D4809">
        <v>0.25</v>
      </c>
    </row>
    <row r="4810" spans="1:5" x14ac:dyDescent="0.2">
      <c r="A4810" s="43">
        <v>43982</v>
      </c>
      <c r="D4810">
        <v>0.25</v>
      </c>
    </row>
    <row r="4811" spans="1:5" x14ac:dyDescent="0.2">
      <c r="A4811" s="43">
        <v>43983</v>
      </c>
      <c r="B4811">
        <v>110.91800000000001</v>
      </c>
      <c r="C4811">
        <v>113.265</v>
      </c>
      <c r="D4811">
        <v>0.25</v>
      </c>
      <c r="E4811">
        <v>266.28199999999998</v>
      </c>
    </row>
    <row r="4812" spans="1:5" x14ac:dyDescent="0.2">
      <c r="A4812" s="43">
        <v>43984</v>
      </c>
      <c r="D4812">
        <v>0.25</v>
      </c>
    </row>
    <row r="4813" spans="1:5" x14ac:dyDescent="0.2">
      <c r="A4813" s="43">
        <v>43985</v>
      </c>
      <c r="D4813">
        <v>0.25</v>
      </c>
    </row>
    <row r="4814" spans="1:5" x14ac:dyDescent="0.2">
      <c r="A4814" s="43">
        <v>43986</v>
      </c>
      <c r="D4814">
        <v>0.25</v>
      </c>
    </row>
    <row r="4815" spans="1:5" x14ac:dyDescent="0.2">
      <c r="A4815" s="43">
        <v>43987</v>
      </c>
      <c r="D4815">
        <v>0.25</v>
      </c>
    </row>
    <row r="4816" spans="1:5" x14ac:dyDescent="0.2">
      <c r="A4816" s="43">
        <v>43988</v>
      </c>
      <c r="D4816">
        <v>0.25</v>
      </c>
    </row>
    <row r="4817" spans="1:4" x14ac:dyDescent="0.2">
      <c r="A4817" s="43">
        <v>43989</v>
      </c>
      <c r="D4817">
        <v>0.25</v>
      </c>
    </row>
    <row r="4818" spans="1:4" x14ac:dyDescent="0.2">
      <c r="A4818" s="43">
        <v>43990</v>
      </c>
      <c r="D4818">
        <v>0.25</v>
      </c>
    </row>
    <row r="4819" spans="1:4" x14ac:dyDescent="0.2">
      <c r="A4819" s="43">
        <v>43991</v>
      </c>
      <c r="D4819">
        <v>0.25</v>
      </c>
    </row>
    <row r="4820" spans="1:4" x14ac:dyDescent="0.2">
      <c r="A4820" s="43">
        <v>43992</v>
      </c>
      <c r="D4820">
        <v>0.25</v>
      </c>
    </row>
    <row r="4821" spans="1:4" x14ac:dyDescent="0.2">
      <c r="A4821" s="43">
        <v>43993</v>
      </c>
      <c r="D4821">
        <v>0.25</v>
      </c>
    </row>
    <row r="4822" spans="1:4" x14ac:dyDescent="0.2">
      <c r="A4822" s="43">
        <v>43994</v>
      </c>
      <c r="D4822">
        <v>0.25</v>
      </c>
    </row>
    <row r="4823" spans="1:4" x14ac:dyDescent="0.2">
      <c r="A4823" s="43">
        <v>43995</v>
      </c>
      <c r="D4823">
        <v>0.25</v>
      </c>
    </row>
    <row r="4824" spans="1:4" x14ac:dyDescent="0.2">
      <c r="A4824" s="43">
        <v>43996</v>
      </c>
      <c r="D4824">
        <v>0.25</v>
      </c>
    </row>
    <row r="4825" spans="1:4" x14ac:dyDescent="0.2">
      <c r="A4825" s="43">
        <v>43997</v>
      </c>
      <c r="D4825">
        <v>0.25</v>
      </c>
    </row>
    <row r="4826" spans="1:4" x14ac:dyDescent="0.2">
      <c r="A4826" s="43">
        <v>43998</v>
      </c>
      <c r="D4826">
        <v>0.25</v>
      </c>
    </row>
    <row r="4827" spans="1:4" x14ac:dyDescent="0.2">
      <c r="A4827" s="43">
        <v>43999</v>
      </c>
      <c r="D4827">
        <v>0.25</v>
      </c>
    </row>
    <row r="4828" spans="1:4" x14ac:dyDescent="0.2">
      <c r="A4828" s="43">
        <v>44000</v>
      </c>
      <c r="D4828">
        <v>0.25</v>
      </c>
    </row>
    <row r="4829" spans="1:4" x14ac:dyDescent="0.2">
      <c r="A4829" s="43">
        <v>44001</v>
      </c>
      <c r="D4829">
        <v>0.25</v>
      </c>
    </row>
    <row r="4830" spans="1:4" x14ac:dyDescent="0.2">
      <c r="A4830" s="43">
        <v>44002</v>
      </c>
      <c r="D4830">
        <v>0.25</v>
      </c>
    </row>
    <row r="4831" spans="1:4" x14ac:dyDescent="0.2">
      <c r="A4831" s="43">
        <v>44003</v>
      </c>
      <c r="D4831">
        <v>0.25</v>
      </c>
    </row>
    <row r="4832" spans="1:4" x14ac:dyDescent="0.2">
      <c r="A4832" s="43">
        <v>44004</v>
      </c>
      <c r="D4832">
        <v>0.25</v>
      </c>
    </row>
    <row r="4833" spans="1:5" x14ac:dyDescent="0.2">
      <c r="A4833" s="43">
        <v>44005</v>
      </c>
      <c r="D4833">
        <v>0.25</v>
      </c>
    </row>
    <row r="4834" spans="1:5" x14ac:dyDescent="0.2">
      <c r="A4834" s="43">
        <v>44006</v>
      </c>
      <c r="D4834">
        <v>0.25</v>
      </c>
    </row>
    <row r="4835" spans="1:5" x14ac:dyDescent="0.2">
      <c r="A4835" s="43">
        <v>44007</v>
      </c>
      <c r="D4835">
        <v>0.25</v>
      </c>
    </row>
    <row r="4836" spans="1:5" x14ac:dyDescent="0.2">
      <c r="A4836" s="43">
        <v>44008</v>
      </c>
      <c r="D4836">
        <v>0.25</v>
      </c>
    </row>
    <row r="4837" spans="1:5" x14ac:dyDescent="0.2">
      <c r="A4837" s="43">
        <v>44009</v>
      </c>
      <c r="D4837">
        <v>0.25</v>
      </c>
    </row>
    <row r="4838" spans="1:5" x14ac:dyDescent="0.2">
      <c r="A4838" s="43">
        <v>44010</v>
      </c>
      <c r="D4838">
        <v>0.25</v>
      </c>
    </row>
    <row r="4839" spans="1:5" x14ac:dyDescent="0.2">
      <c r="A4839" s="43">
        <v>44011</v>
      </c>
      <c r="D4839">
        <v>0.25</v>
      </c>
    </row>
    <row r="4840" spans="1:5" x14ac:dyDescent="0.2">
      <c r="A4840" s="43">
        <v>44012</v>
      </c>
      <c r="D4840">
        <v>0.25</v>
      </c>
    </row>
    <row r="4841" spans="1:5" x14ac:dyDescent="0.2">
      <c r="A4841" s="43">
        <v>44013</v>
      </c>
      <c r="B4841">
        <v>111.221</v>
      </c>
      <c r="C4841">
        <v>113.61</v>
      </c>
      <c r="D4841">
        <v>0.25</v>
      </c>
      <c r="E4841">
        <v>267.72199999999998</v>
      </c>
    </row>
    <row r="4842" spans="1:5" x14ac:dyDescent="0.2">
      <c r="A4842" s="43">
        <v>44014</v>
      </c>
      <c r="D4842">
        <v>0.25</v>
      </c>
    </row>
    <row r="4843" spans="1:5" x14ac:dyDescent="0.2">
      <c r="A4843" s="43">
        <v>44015</v>
      </c>
      <c r="D4843">
        <v>0.25</v>
      </c>
    </row>
    <row r="4844" spans="1:5" x14ac:dyDescent="0.2">
      <c r="A4844" s="43">
        <v>44016</v>
      </c>
      <c r="D4844">
        <v>0.25</v>
      </c>
    </row>
    <row r="4845" spans="1:5" x14ac:dyDescent="0.2">
      <c r="A4845" s="43">
        <v>44017</v>
      </c>
      <c r="D4845">
        <v>0.25</v>
      </c>
    </row>
    <row r="4846" spans="1:5" x14ac:dyDescent="0.2">
      <c r="A4846" s="43">
        <v>44018</v>
      </c>
      <c r="D4846">
        <v>0.25</v>
      </c>
    </row>
    <row r="4847" spans="1:5" x14ac:dyDescent="0.2">
      <c r="A4847" s="43">
        <v>44019</v>
      </c>
      <c r="D4847">
        <v>0.25</v>
      </c>
    </row>
    <row r="4848" spans="1:5" x14ac:dyDescent="0.2">
      <c r="A4848" s="43">
        <v>44020</v>
      </c>
      <c r="D4848">
        <v>0.25</v>
      </c>
    </row>
    <row r="4849" spans="1:4" x14ac:dyDescent="0.2">
      <c r="A4849" s="43">
        <v>44021</v>
      </c>
      <c r="D4849">
        <v>0.25</v>
      </c>
    </row>
    <row r="4850" spans="1:4" x14ac:dyDescent="0.2">
      <c r="A4850" s="43">
        <v>44022</v>
      </c>
      <c r="D4850">
        <v>0.25</v>
      </c>
    </row>
    <row r="4851" spans="1:4" x14ac:dyDescent="0.2">
      <c r="A4851" s="43">
        <v>44023</v>
      </c>
      <c r="D4851">
        <v>0.25</v>
      </c>
    </row>
    <row r="4852" spans="1:4" x14ac:dyDescent="0.2">
      <c r="A4852" s="43">
        <v>44024</v>
      </c>
      <c r="D4852">
        <v>0.25</v>
      </c>
    </row>
    <row r="4853" spans="1:4" x14ac:dyDescent="0.2">
      <c r="A4853" s="43">
        <v>44025</v>
      </c>
      <c r="D4853">
        <v>0.25</v>
      </c>
    </row>
    <row r="4854" spans="1:4" x14ac:dyDescent="0.2">
      <c r="A4854" s="43">
        <v>44026</v>
      </c>
      <c r="D4854">
        <v>0.25</v>
      </c>
    </row>
    <row r="4855" spans="1:4" x14ac:dyDescent="0.2">
      <c r="A4855" s="43">
        <v>44027</v>
      </c>
      <c r="D4855">
        <v>0.25</v>
      </c>
    </row>
    <row r="4856" spans="1:4" x14ac:dyDescent="0.2">
      <c r="A4856" s="43">
        <v>44028</v>
      </c>
      <c r="D4856">
        <v>0.25</v>
      </c>
    </row>
    <row r="4857" spans="1:4" x14ac:dyDescent="0.2">
      <c r="A4857" s="43">
        <v>44029</v>
      </c>
      <c r="D4857">
        <v>0.25</v>
      </c>
    </row>
    <row r="4858" spans="1:4" x14ac:dyDescent="0.2">
      <c r="A4858" s="43">
        <v>44030</v>
      </c>
      <c r="D4858">
        <v>0.25</v>
      </c>
    </row>
    <row r="4859" spans="1:4" x14ac:dyDescent="0.2">
      <c r="A4859" s="43">
        <v>44031</v>
      </c>
      <c r="D4859">
        <v>0.25</v>
      </c>
    </row>
    <row r="4860" spans="1:4" x14ac:dyDescent="0.2">
      <c r="A4860" s="43">
        <v>44032</v>
      </c>
      <c r="D4860">
        <v>0.25</v>
      </c>
    </row>
    <row r="4861" spans="1:4" x14ac:dyDescent="0.2">
      <c r="A4861" s="43">
        <v>44033</v>
      </c>
      <c r="D4861">
        <v>0.25</v>
      </c>
    </row>
    <row r="4862" spans="1:4" x14ac:dyDescent="0.2">
      <c r="A4862" s="43">
        <v>44034</v>
      </c>
      <c r="D4862">
        <v>0.25</v>
      </c>
    </row>
    <row r="4863" spans="1:4" x14ac:dyDescent="0.2">
      <c r="A4863" s="43">
        <v>44035</v>
      </c>
      <c r="D4863">
        <v>0.25</v>
      </c>
    </row>
    <row r="4864" spans="1:4" x14ac:dyDescent="0.2">
      <c r="A4864" s="43">
        <v>44036</v>
      </c>
      <c r="D4864">
        <v>0.25</v>
      </c>
    </row>
    <row r="4865" spans="1:5" x14ac:dyDescent="0.2">
      <c r="A4865" s="43">
        <v>44037</v>
      </c>
      <c r="D4865">
        <v>0.25</v>
      </c>
    </row>
    <row r="4866" spans="1:5" x14ac:dyDescent="0.2">
      <c r="A4866" s="43">
        <v>44038</v>
      </c>
      <c r="D4866">
        <v>0.25</v>
      </c>
    </row>
    <row r="4867" spans="1:5" x14ac:dyDescent="0.2">
      <c r="A4867" s="43">
        <v>44039</v>
      </c>
      <c r="D4867">
        <v>0.25</v>
      </c>
    </row>
    <row r="4868" spans="1:5" x14ac:dyDescent="0.2">
      <c r="A4868" s="43">
        <v>44040</v>
      </c>
      <c r="D4868">
        <v>0.25</v>
      </c>
    </row>
    <row r="4869" spans="1:5" x14ac:dyDescent="0.2">
      <c r="A4869" s="43">
        <v>44041</v>
      </c>
      <c r="D4869">
        <v>0.25</v>
      </c>
    </row>
    <row r="4870" spans="1:5" x14ac:dyDescent="0.2">
      <c r="A4870" s="43">
        <v>44042</v>
      </c>
      <c r="D4870">
        <v>0.25</v>
      </c>
    </row>
    <row r="4871" spans="1:5" x14ac:dyDescent="0.2">
      <c r="A4871" s="43">
        <v>44043</v>
      </c>
      <c r="D4871">
        <v>0.25</v>
      </c>
    </row>
    <row r="4872" spans="1:5" x14ac:dyDescent="0.2">
      <c r="A4872" s="43">
        <v>44044</v>
      </c>
      <c r="B4872">
        <v>111.563</v>
      </c>
      <c r="C4872">
        <v>113.971</v>
      </c>
      <c r="D4872">
        <v>0.25</v>
      </c>
      <c r="E4872">
        <v>268.654</v>
      </c>
    </row>
    <row r="4873" spans="1:5" x14ac:dyDescent="0.2">
      <c r="A4873" s="43">
        <v>44045</v>
      </c>
      <c r="D4873">
        <v>0.25</v>
      </c>
    </row>
    <row r="4874" spans="1:5" x14ac:dyDescent="0.2">
      <c r="A4874" s="43">
        <v>44046</v>
      </c>
      <c r="D4874">
        <v>0.25</v>
      </c>
    </row>
    <row r="4875" spans="1:5" x14ac:dyDescent="0.2">
      <c r="A4875" s="43">
        <v>44047</v>
      </c>
      <c r="D4875">
        <v>0.25</v>
      </c>
    </row>
    <row r="4876" spans="1:5" x14ac:dyDescent="0.2">
      <c r="A4876" s="43">
        <v>44048</v>
      </c>
      <c r="D4876">
        <v>0.25</v>
      </c>
    </row>
    <row r="4877" spans="1:5" x14ac:dyDescent="0.2">
      <c r="A4877" s="43">
        <v>44049</v>
      </c>
      <c r="D4877">
        <v>0.25</v>
      </c>
    </row>
    <row r="4878" spans="1:5" x14ac:dyDescent="0.2">
      <c r="A4878" s="43">
        <v>44050</v>
      </c>
      <c r="D4878">
        <v>0.25</v>
      </c>
    </row>
    <row r="4879" spans="1:5" x14ac:dyDescent="0.2">
      <c r="A4879" s="43">
        <v>44051</v>
      </c>
      <c r="D4879">
        <v>0.25</v>
      </c>
    </row>
    <row r="4880" spans="1:5" x14ac:dyDescent="0.2">
      <c r="A4880" s="43">
        <v>44052</v>
      </c>
      <c r="D4880">
        <v>0.25</v>
      </c>
    </row>
    <row r="4881" spans="1:4" x14ac:dyDescent="0.2">
      <c r="A4881" s="43">
        <v>44053</v>
      </c>
      <c r="D4881">
        <v>0.25</v>
      </c>
    </row>
    <row r="4882" spans="1:4" x14ac:dyDescent="0.2">
      <c r="A4882" s="43">
        <v>44054</v>
      </c>
      <c r="D4882">
        <v>0.25</v>
      </c>
    </row>
    <row r="4883" spans="1:4" x14ac:dyDescent="0.2">
      <c r="A4883" s="43">
        <v>44055</v>
      </c>
      <c r="D4883">
        <v>0.25</v>
      </c>
    </row>
    <row r="4884" spans="1:4" x14ac:dyDescent="0.2">
      <c r="A4884" s="43">
        <v>44056</v>
      </c>
      <c r="D4884">
        <v>0.25</v>
      </c>
    </row>
    <row r="4885" spans="1:4" x14ac:dyDescent="0.2">
      <c r="A4885" s="43">
        <v>44057</v>
      </c>
      <c r="D4885">
        <v>0.25</v>
      </c>
    </row>
    <row r="4886" spans="1:4" x14ac:dyDescent="0.2">
      <c r="A4886" s="43">
        <v>44058</v>
      </c>
      <c r="D4886">
        <v>0.25</v>
      </c>
    </row>
    <row r="4887" spans="1:4" x14ac:dyDescent="0.2">
      <c r="A4887" s="43">
        <v>44059</v>
      </c>
      <c r="D4887">
        <v>0.25</v>
      </c>
    </row>
    <row r="4888" spans="1:4" x14ac:dyDescent="0.2">
      <c r="A4888" s="43">
        <v>44060</v>
      </c>
      <c r="D4888">
        <v>0.25</v>
      </c>
    </row>
    <row r="4889" spans="1:4" x14ac:dyDescent="0.2">
      <c r="A4889" s="43">
        <v>44061</v>
      </c>
      <c r="D4889">
        <v>0.25</v>
      </c>
    </row>
    <row r="4890" spans="1:4" x14ac:dyDescent="0.2">
      <c r="A4890" s="43">
        <v>44062</v>
      </c>
      <c r="D4890">
        <v>0.25</v>
      </c>
    </row>
    <row r="4891" spans="1:4" x14ac:dyDescent="0.2">
      <c r="A4891" s="43">
        <v>44063</v>
      </c>
      <c r="D4891">
        <v>0.25</v>
      </c>
    </row>
    <row r="4892" spans="1:4" x14ac:dyDescent="0.2">
      <c r="A4892" s="43">
        <v>44064</v>
      </c>
      <c r="D4892">
        <v>0.25</v>
      </c>
    </row>
    <row r="4893" spans="1:4" x14ac:dyDescent="0.2">
      <c r="A4893" s="43">
        <v>44065</v>
      </c>
      <c r="D4893">
        <v>0.25</v>
      </c>
    </row>
    <row r="4894" spans="1:4" x14ac:dyDescent="0.2">
      <c r="A4894" s="43">
        <v>44066</v>
      </c>
      <c r="D4894">
        <v>0.25</v>
      </c>
    </row>
    <row r="4895" spans="1:4" x14ac:dyDescent="0.2">
      <c r="A4895" s="43">
        <v>44067</v>
      </c>
      <c r="D4895">
        <v>0.25</v>
      </c>
    </row>
    <row r="4896" spans="1:4" x14ac:dyDescent="0.2">
      <c r="A4896" s="43">
        <v>44068</v>
      </c>
      <c r="D4896">
        <v>0.25</v>
      </c>
    </row>
    <row r="4897" spans="1:5" x14ac:dyDescent="0.2">
      <c r="A4897" s="43">
        <v>44069</v>
      </c>
      <c r="D4897">
        <v>0.25</v>
      </c>
    </row>
    <row r="4898" spans="1:5" x14ac:dyDescent="0.2">
      <c r="A4898" s="43">
        <v>44070</v>
      </c>
      <c r="D4898">
        <v>0.25</v>
      </c>
    </row>
    <row r="4899" spans="1:5" x14ac:dyDescent="0.2">
      <c r="A4899" s="43">
        <v>44071</v>
      </c>
      <c r="D4899">
        <v>0.25</v>
      </c>
    </row>
    <row r="4900" spans="1:5" x14ac:dyDescent="0.2">
      <c r="A4900" s="43">
        <v>44072</v>
      </c>
      <c r="D4900">
        <v>0.25</v>
      </c>
    </row>
    <row r="4901" spans="1:5" x14ac:dyDescent="0.2">
      <c r="A4901" s="43">
        <v>44073</v>
      </c>
      <c r="D4901">
        <v>0.25</v>
      </c>
    </row>
    <row r="4902" spans="1:5" x14ac:dyDescent="0.2">
      <c r="A4902" s="43">
        <v>44074</v>
      </c>
      <c r="D4902">
        <v>0.25</v>
      </c>
    </row>
    <row r="4903" spans="1:5" x14ac:dyDescent="0.2">
      <c r="A4903" s="43">
        <v>44075</v>
      </c>
      <c r="B4903">
        <v>111.736</v>
      </c>
      <c r="C4903">
        <v>114.131</v>
      </c>
      <c r="D4903">
        <v>0.25</v>
      </c>
      <c r="E4903">
        <v>269.15499999999997</v>
      </c>
    </row>
    <row r="4904" spans="1:5" x14ac:dyDescent="0.2">
      <c r="A4904" s="43">
        <v>44076</v>
      </c>
      <c r="D4904">
        <v>0.25</v>
      </c>
    </row>
    <row r="4905" spans="1:5" x14ac:dyDescent="0.2">
      <c r="A4905" s="43">
        <v>44077</v>
      </c>
      <c r="D4905">
        <v>0.25</v>
      </c>
    </row>
    <row r="4906" spans="1:5" x14ac:dyDescent="0.2">
      <c r="A4906" s="43">
        <v>44078</v>
      </c>
      <c r="D4906">
        <v>0.25</v>
      </c>
    </row>
    <row r="4907" spans="1:5" x14ac:dyDescent="0.2">
      <c r="A4907" s="43">
        <v>44079</v>
      </c>
      <c r="D4907">
        <v>0.25</v>
      </c>
    </row>
    <row r="4908" spans="1:5" x14ac:dyDescent="0.2">
      <c r="A4908" s="43">
        <v>44080</v>
      </c>
      <c r="D4908">
        <v>0.25</v>
      </c>
    </row>
    <row r="4909" spans="1:5" x14ac:dyDescent="0.2">
      <c r="A4909" s="43">
        <v>44081</v>
      </c>
      <c r="D4909">
        <v>0.25</v>
      </c>
    </row>
    <row r="4910" spans="1:5" x14ac:dyDescent="0.2">
      <c r="A4910" s="43">
        <v>44082</v>
      </c>
      <c r="D4910">
        <v>0.25</v>
      </c>
    </row>
    <row r="4911" spans="1:5" x14ac:dyDescent="0.2">
      <c r="A4911" s="43">
        <v>44083</v>
      </c>
      <c r="D4911">
        <v>0.25</v>
      </c>
    </row>
    <row r="4912" spans="1:5" x14ac:dyDescent="0.2">
      <c r="A4912" s="43">
        <v>44084</v>
      </c>
      <c r="D4912">
        <v>0.25</v>
      </c>
    </row>
    <row r="4913" spans="1:4" x14ac:dyDescent="0.2">
      <c r="A4913" s="43">
        <v>44085</v>
      </c>
      <c r="D4913">
        <v>0.25</v>
      </c>
    </row>
    <row r="4914" spans="1:4" x14ac:dyDescent="0.2">
      <c r="A4914" s="43">
        <v>44086</v>
      </c>
      <c r="D4914">
        <v>0.25</v>
      </c>
    </row>
    <row r="4915" spans="1:4" x14ac:dyDescent="0.2">
      <c r="A4915" s="43">
        <v>44087</v>
      </c>
      <c r="D4915">
        <v>0.25</v>
      </c>
    </row>
    <row r="4916" spans="1:4" x14ac:dyDescent="0.2">
      <c r="A4916" s="43">
        <v>44088</v>
      </c>
      <c r="D4916">
        <v>0.25</v>
      </c>
    </row>
    <row r="4917" spans="1:4" x14ac:dyDescent="0.2">
      <c r="A4917" s="43">
        <v>44089</v>
      </c>
      <c r="D4917">
        <v>0.25</v>
      </c>
    </row>
    <row r="4918" spans="1:4" x14ac:dyDescent="0.2">
      <c r="A4918" s="43">
        <v>44090</v>
      </c>
      <c r="D4918">
        <v>0.25</v>
      </c>
    </row>
    <row r="4919" spans="1:4" x14ac:dyDescent="0.2">
      <c r="A4919" s="43">
        <v>44091</v>
      </c>
      <c r="D4919">
        <v>0.25</v>
      </c>
    </row>
    <row r="4920" spans="1:4" x14ac:dyDescent="0.2">
      <c r="A4920" s="43">
        <v>44092</v>
      </c>
      <c r="D4920">
        <v>0.25</v>
      </c>
    </row>
    <row r="4921" spans="1:4" x14ac:dyDescent="0.2">
      <c r="A4921" s="43">
        <v>44093</v>
      </c>
      <c r="D4921">
        <v>0.25</v>
      </c>
    </row>
    <row r="4922" spans="1:4" x14ac:dyDescent="0.2">
      <c r="A4922" s="43">
        <v>44094</v>
      </c>
      <c r="D4922">
        <v>0.25</v>
      </c>
    </row>
    <row r="4923" spans="1:4" x14ac:dyDescent="0.2">
      <c r="A4923" s="43">
        <v>44095</v>
      </c>
      <c r="D4923">
        <v>0.25</v>
      </c>
    </row>
    <row r="4924" spans="1:4" x14ac:dyDescent="0.2">
      <c r="A4924" s="43">
        <v>44096</v>
      </c>
      <c r="D4924">
        <v>0.25</v>
      </c>
    </row>
    <row r="4925" spans="1:4" x14ac:dyDescent="0.2">
      <c r="A4925" s="43">
        <v>44097</v>
      </c>
      <c r="D4925">
        <v>0.25</v>
      </c>
    </row>
    <row r="4926" spans="1:4" x14ac:dyDescent="0.2">
      <c r="A4926" s="43">
        <v>44098</v>
      </c>
      <c r="D4926">
        <v>0.25</v>
      </c>
    </row>
    <row r="4927" spans="1:4" x14ac:dyDescent="0.2">
      <c r="A4927" s="43">
        <v>44099</v>
      </c>
      <c r="D4927">
        <v>0.25</v>
      </c>
    </row>
    <row r="4928" spans="1:4" x14ac:dyDescent="0.2">
      <c r="A4928" s="43">
        <v>44100</v>
      </c>
      <c r="D4928">
        <v>0.25</v>
      </c>
    </row>
    <row r="4929" spans="1:5" x14ac:dyDescent="0.2">
      <c r="A4929" s="43">
        <v>44101</v>
      </c>
      <c r="D4929">
        <v>0.25</v>
      </c>
    </row>
    <row r="4930" spans="1:5" x14ac:dyDescent="0.2">
      <c r="A4930" s="43">
        <v>44102</v>
      </c>
      <c r="D4930">
        <v>0.25</v>
      </c>
    </row>
    <row r="4931" spans="1:5" x14ac:dyDescent="0.2">
      <c r="A4931" s="43">
        <v>44103</v>
      </c>
      <c r="D4931">
        <v>0.25</v>
      </c>
    </row>
    <row r="4932" spans="1:5" x14ac:dyDescent="0.2">
      <c r="A4932" s="43">
        <v>44104</v>
      </c>
      <c r="D4932">
        <v>0.25</v>
      </c>
    </row>
    <row r="4933" spans="1:5" x14ac:dyDescent="0.2">
      <c r="A4933" s="43">
        <v>44105</v>
      </c>
      <c r="B4933">
        <v>111.77500000000001</v>
      </c>
      <c r="C4933">
        <v>114.137</v>
      </c>
      <c r="D4933">
        <v>0.25</v>
      </c>
      <c r="E4933">
        <v>269.35000000000002</v>
      </c>
    </row>
    <row r="4934" spans="1:5" x14ac:dyDescent="0.2">
      <c r="A4934" s="43">
        <v>44106</v>
      </c>
      <c r="D4934">
        <v>0.25</v>
      </c>
    </row>
    <row r="4935" spans="1:5" x14ac:dyDescent="0.2">
      <c r="A4935" s="43">
        <v>44107</v>
      </c>
      <c r="D4935">
        <v>0.25</v>
      </c>
    </row>
    <row r="4936" spans="1:5" x14ac:dyDescent="0.2">
      <c r="A4936" s="43">
        <v>44108</v>
      </c>
      <c r="D4936">
        <v>0.25</v>
      </c>
    </row>
    <row r="4937" spans="1:5" x14ac:dyDescent="0.2">
      <c r="A4937" s="43">
        <v>44109</v>
      </c>
      <c r="D4937">
        <v>0.25</v>
      </c>
    </row>
    <row r="4938" spans="1:5" x14ac:dyDescent="0.2">
      <c r="A4938" s="43">
        <v>44110</v>
      </c>
      <c r="D4938">
        <v>0.25</v>
      </c>
    </row>
    <row r="4939" spans="1:5" x14ac:dyDescent="0.2">
      <c r="A4939" s="43">
        <v>44111</v>
      </c>
      <c r="D4939">
        <v>0.25</v>
      </c>
    </row>
    <row r="4940" spans="1:5" x14ac:dyDescent="0.2">
      <c r="A4940" s="43">
        <v>44112</v>
      </c>
      <c r="D4940">
        <v>0.25</v>
      </c>
    </row>
    <row r="4941" spans="1:5" x14ac:dyDescent="0.2">
      <c r="A4941" s="43">
        <v>44113</v>
      </c>
      <c r="D4941">
        <v>0.25</v>
      </c>
    </row>
    <row r="4942" spans="1:5" x14ac:dyDescent="0.2">
      <c r="A4942" s="43">
        <v>44114</v>
      </c>
      <c r="D4942">
        <v>0.25</v>
      </c>
    </row>
    <row r="4943" spans="1:5" x14ac:dyDescent="0.2">
      <c r="A4943" s="43">
        <v>44115</v>
      </c>
      <c r="D4943">
        <v>0.25</v>
      </c>
    </row>
    <row r="4944" spans="1:5" x14ac:dyDescent="0.2">
      <c r="A4944" s="43">
        <v>44116</v>
      </c>
      <c r="D4944">
        <v>0.25</v>
      </c>
    </row>
    <row r="4945" spans="1:4" x14ac:dyDescent="0.2">
      <c r="A4945" s="43">
        <v>44117</v>
      </c>
      <c r="D4945">
        <v>0.25</v>
      </c>
    </row>
    <row r="4946" spans="1:4" x14ac:dyDescent="0.2">
      <c r="A4946" s="43">
        <v>44118</v>
      </c>
      <c r="D4946">
        <v>0.25</v>
      </c>
    </row>
    <row r="4947" spans="1:4" x14ac:dyDescent="0.2">
      <c r="A4947" s="43">
        <v>44119</v>
      </c>
      <c r="D4947">
        <v>0.25</v>
      </c>
    </row>
    <row r="4948" spans="1:4" x14ac:dyDescent="0.2">
      <c r="A4948" s="43">
        <v>44120</v>
      </c>
      <c r="D4948">
        <v>0.25</v>
      </c>
    </row>
    <row r="4949" spans="1:4" x14ac:dyDescent="0.2">
      <c r="A4949" s="43">
        <v>44121</v>
      </c>
      <c r="D4949">
        <v>0.25</v>
      </c>
    </row>
    <row r="4950" spans="1:4" x14ac:dyDescent="0.2">
      <c r="A4950" s="43">
        <v>44122</v>
      </c>
      <c r="D4950">
        <v>0.25</v>
      </c>
    </row>
    <row r="4951" spans="1:4" x14ac:dyDescent="0.2">
      <c r="A4951" s="43">
        <v>44123</v>
      </c>
      <c r="D4951">
        <v>0.25</v>
      </c>
    </row>
    <row r="4952" spans="1:4" x14ac:dyDescent="0.2">
      <c r="A4952" s="43">
        <v>44124</v>
      </c>
      <c r="D4952">
        <v>0.25</v>
      </c>
    </row>
    <row r="4953" spans="1:4" x14ac:dyDescent="0.2">
      <c r="A4953" s="43">
        <v>44125</v>
      </c>
      <c r="D4953">
        <v>0.25</v>
      </c>
    </row>
    <row r="4954" spans="1:4" x14ac:dyDescent="0.2">
      <c r="A4954" s="43">
        <v>44126</v>
      </c>
      <c r="D4954">
        <v>0.25</v>
      </c>
    </row>
    <row r="4955" spans="1:4" x14ac:dyDescent="0.2">
      <c r="A4955" s="43">
        <v>44127</v>
      </c>
      <c r="D4955">
        <v>0.25</v>
      </c>
    </row>
    <row r="4956" spans="1:4" x14ac:dyDescent="0.2">
      <c r="A4956" s="43">
        <v>44128</v>
      </c>
      <c r="D4956">
        <v>0.25</v>
      </c>
    </row>
    <row r="4957" spans="1:4" x14ac:dyDescent="0.2">
      <c r="A4957" s="43">
        <v>44129</v>
      </c>
      <c r="D4957">
        <v>0.25</v>
      </c>
    </row>
    <row r="4958" spans="1:4" x14ac:dyDescent="0.2">
      <c r="A4958" s="43">
        <v>44130</v>
      </c>
      <c r="D4958">
        <v>0.25</v>
      </c>
    </row>
    <row r="4959" spans="1:4" x14ac:dyDescent="0.2">
      <c r="A4959" s="43">
        <v>44131</v>
      </c>
      <c r="D4959">
        <v>0.25</v>
      </c>
    </row>
    <row r="4960" spans="1:4" x14ac:dyDescent="0.2">
      <c r="A4960" s="43">
        <v>44132</v>
      </c>
      <c r="D4960">
        <v>0.25</v>
      </c>
    </row>
    <row r="4961" spans="1:5" x14ac:dyDescent="0.2">
      <c r="A4961" s="43">
        <v>44133</v>
      </c>
      <c r="D4961">
        <v>0.25</v>
      </c>
    </row>
    <row r="4962" spans="1:5" x14ac:dyDescent="0.2">
      <c r="A4962" s="43">
        <v>44134</v>
      </c>
      <c r="D4962">
        <v>0.25</v>
      </c>
    </row>
    <row r="4963" spans="1:5" x14ac:dyDescent="0.2">
      <c r="A4963" s="43">
        <v>44135</v>
      </c>
      <c r="D4963">
        <v>0.25</v>
      </c>
    </row>
    <row r="4964" spans="1:5" x14ac:dyDescent="0.2">
      <c r="A4964" s="43">
        <v>44136</v>
      </c>
      <c r="B4964">
        <v>111.79</v>
      </c>
      <c r="C4964">
        <v>114.134</v>
      </c>
      <c r="D4964">
        <v>0.25</v>
      </c>
      <c r="E4964">
        <v>269.81900000000002</v>
      </c>
    </row>
    <row r="4965" spans="1:5" x14ac:dyDescent="0.2">
      <c r="A4965" s="43">
        <v>44137</v>
      </c>
      <c r="D4965">
        <v>0.25</v>
      </c>
    </row>
    <row r="4966" spans="1:5" x14ac:dyDescent="0.2">
      <c r="A4966" s="43">
        <v>44138</v>
      </c>
      <c r="D4966">
        <v>0.25</v>
      </c>
    </row>
    <row r="4967" spans="1:5" x14ac:dyDescent="0.2">
      <c r="A4967" s="43">
        <v>44139</v>
      </c>
      <c r="D4967">
        <v>0.25</v>
      </c>
    </row>
    <row r="4968" spans="1:5" x14ac:dyDescent="0.2">
      <c r="A4968" s="43">
        <v>44140</v>
      </c>
      <c r="D4968">
        <v>0.25</v>
      </c>
    </row>
    <row r="4969" spans="1:5" x14ac:dyDescent="0.2">
      <c r="A4969" s="43">
        <v>44141</v>
      </c>
      <c r="D4969">
        <v>0.25</v>
      </c>
    </row>
    <row r="4970" spans="1:5" x14ac:dyDescent="0.2">
      <c r="A4970" s="43">
        <v>44142</v>
      </c>
      <c r="D4970">
        <v>0.25</v>
      </c>
    </row>
    <row r="4971" spans="1:5" x14ac:dyDescent="0.2">
      <c r="A4971" s="43">
        <v>44143</v>
      </c>
      <c r="D4971">
        <v>0.25</v>
      </c>
    </row>
    <row r="4972" spans="1:5" x14ac:dyDescent="0.2">
      <c r="A4972" s="43">
        <v>44144</v>
      </c>
      <c r="D4972">
        <v>0.25</v>
      </c>
    </row>
    <row r="4973" spans="1:5" x14ac:dyDescent="0.2">
      <c r="A4973" s="43">
        <v>44145</v>
      </c>
      <c r="D4973">
        <v>0.25</v>
      </c>
    </row>
    <row r="4974" spans="1:5" x14ac:dyDescent="0.2">
      <c r="A4974" s="43">
        <v>44146</v>
      </c>
      <c r="D4974">
        <v>0.25</v>
      </c>
    </row>
    <row r="4975" spans="1:5" x14ac:dyDescent="0.2">
      <c r="A4975" s="43">
        <v>44147</v>
      </c>
      <c r="D4975">
        <v>0.25</v>
      </c>
    </row>
    <row r="4976" spans="1:5" x14ac:dyDescent="0.2">
      <c r="A4976" s="43">
        <v>44148</v>
      </c>
      <c r="D4976">
        <v>0.25</v>
      </c>
    </row>
    <row r="4977" spans="1:4" x14ac:dyDescent="0.2">
      <c r="A4977" s="43">
        <v>44149</v>
      </c>
      <c r="D4977">
        <v>0.25</v>
      </c>
    </row>
    <row r="4978" spans="1:4" x14ac:dyDescent="0.2">
      <c r="A4978" s="43">
        <v>44150</v>
      </c>
      <c r="D4978">
        <v>0.25</v>
      </c>
    </row>
    <row r="4979" spans="1:4" x14ac:dyDescent="0.2">
      <c r="A4979" s="43">
        <v>44151</v>
      </c>
      <c r="D4979">
        <v>0.25</v>
      </c>
    </row>
    <row r="4980" spans="1:4" x14ac:dyDescent="0.2">
      <c r="A4980" s="43">
        <v>44152</v>
      </c>
      <c r="D4980">
        <v>0.25</v>
      </c>
    </row>
    <row r="4981" spans="1:4" x14ac:dyDescent="0.2">
      <c r="A4981" s="43">
        <v>44153</v>
      </c>
      <c r="D4981">
        <v>0.25</v>
      </c>
    </row>
    <row r="4982" spans="1:4" x14ac:dyDescent="0.2">
      <c r="A4982" s="43">
        <v>44154</v>
      </c>
      <c r="D4982">
        <v>0.25</v>
      </c>
    </row>
    <row r="4983" spans="1:4" x14ac:dyDescent="0.2">
      <c r="A4983" s="43">
        <v>44155</v>
      </c>
      <c r="D4983">
        <v>0.25</v>
      </c>
    </row>
    <row r="4984" spans="1:4" x14ac:dyDescent="0.2">
      <c r="A4984" s="43">
        <v>44156</v>
      </c>
      <c r="D4984">
        <v>0.25</v>
      </c>
    </row>
    <row r="4985" spans="1:4" x14ac:dyDescent="0.2">
      <c r="A4985" s="43">
        <v>44157</v>
      </c>
      <c r="D4985">
        <v>0.25</v>
      </c>
    </row>
    <row r="4986" spans="1:4" x14ac:dyDescent="0.2">
      <c r="A4986" s="43">
        <v>44158</v>
      </c>
      <c r="D4986">
        <v>0.25</v>
      </c>
    </row>
    <row r="4987" spans="1:4" x14ac:dyDescent="0.2">
      <c r="A4987" s="43">
        <v>44159</v>
      </c>
      <c r="D4987">
        <v>0.25</v>
      </c>
    </row>
    <row r="4988" spans="1:4" x14ac:dyDescent="0.2">
      <c r="A4988" s="43">
        <v>44160</v>
      </c>
      <c r="D4988">
        <v>0.25</v>
      </c>
    </row>
    <row r="4989" spans="1:4" x14ac:dyDescent="0.2">
      <c r="A4989" s="43">
        <v>44161</v>
      </c>
      <c r="D4989">
        <v>0.25</v>
      </c>
    </row>
    <row r="4990" spans="1:4" x14ac:dyDescent="0.2">
      <c r="A4990" s="43">
        <v>44162</v>
      </c>
      <c r="D4990">
        <v>0.25</v>
      </c>
    </row>
    <row r="4991" spans="1:4" x14ac:dyDescent="0.2">
      <c r="A4991" s="43">
        <v>44163</v>
      </c>
      <c r="D4991">
        <v>0.25</v>
      </c>
    </row>
    <row r="4992" spans="1:4" x14ac:dyDescent="0.2">
      <c r="A4992" s="43">
        <v>44164</v>
      </c>
      <c r="D4992">
        <v>0.25</v>
      </c>
    </row>
    <row r="4993" spans="1:5" x14ac:dyDescent="0.2">
      <c r="A4993" s="43">
        <v>44165</v>
      </c>
      <c r="D4993">
        <v>0.25</v>
      </c>
    </row>
    <row r="4994" spans="1:5" x14ac:dyDescent="0.2">
      <c r="A4994" s="43">
        <v>44166</v>
      </c>
      <c r="B4994">
        <v>112.22</v>
      </c>
      <c r="C4994">
        <v>114.494</v>
      </c>
      <c r="D4994">
        <v>0.25</v>
      </c>
      <c r="E4994">
        <v>269.94</v>
      </c>
    </row>
    <row r="4995" spans="1:5" x14ac:dyDescent="0.2">
      <c r="A4995" s="43">
        <v>44167</v>
      </c>
      <c r="D4995">
        <v>0.25</v>
      </c>
    </row>
    <row r="4996" spans="1:5" x14ac:dyDescent="0.2">
      <c r="A4996" s="43">
        <v>44168</v>
      </c>
      <c r="D4996">
        <v>0.25</v>
      </c>
    </row>
    <row r="4997" spans="1:5" x14ac:dyDescent="0.2">
      <c r="A4997" s="43">
        <v>44169</v>
      </c>
      <c r="D4997">
        <v>0.25</v>
      </c>
    </row>
    <row r="4998" spans="1:5" x14ac:dyDescent="0.2">
      <c r="A4998" s="43">
        <v>44170</v>
      </c>
      <c r="D4998">
        <v>0.25</v>
      </c>
    </row>
    <row r="4999" spans="1:5" x14ac:dyDescent="0.2">
      <c r="A4999" s="43">
        <v>44171</v>
      </c>
      <c r="D4999">
        <v>0.25</v>
      </c>
    </row>
    <row r="5000" spans="1:5" x14ac:dyDescent="0.2">
      <c r="A5000" s="43">
        <v>44172</v>
      </c>
      <c r="D5000">
        <v>0.25</v>
      </c>
    </row>
    <row r="5001" spans="1:5" x14ac:dyDescent="0.2">
      <c r="A5001" s="43">
        <v>44173</v>
      </c>
      <c r="D5001">
        <v>0.25</v>
      </c>
    </row>
    <row r="5002" spans="1:5" x14ac:dyDescent="0.2">
      <c r="A5002" s="43">
        <v>44174</v>
      </c>
      <c r="D5002">
        <v>0.25</v>
      </c>
    </row>
    <row r="5003" spans="1:5" x14ac:dyDescent="0.2">
      <c r="A5003" s="43">
        <v>44175</v>
      </c>
      <c r="D5003">
        <v>0.25</v>
      </c>
    </row>
    <row r="5004" spans="1:5" x14ac:dyDescent="0.2">
      <c r="A5004" s="43">
        <v>44176</v>
      </c>
      <c r="D5004">
        <v>0.25</v>
      </c>
    </row>
    <row r="5005" spans="1:5" x14ac:dyDescent="0.2">
      <c r="A5005" s="43">
        <v>44177</v>
      </c>
      <c r="D5005">
        <v>0.25</v>
      </c>
    </row>
    <row r="5006" spans="1:5" x14ac:dyDescent="0.2">
      <c r="A5006" s="43">
        <v>44178</v>
      </c>
      <c r="D5006">
        <v>0.25</v>
      </c>
    </row>
    <row r="5007" spans="1:5" x14ac:dyDescent="0.2">
      <c r="A5007" s="43">
        <v>44179</v>
      </c>
      <c r="D5007">
        <v>0.25</v>
      </c>
    </row>
    <row r="5008" spans="1:5" x14ac:dyDescent="0.2">
      <c r="A5008" s="43">
        <v>44180</v>
      </c>
      <c r="D5008">
        <v>0.25</v>
      </c>
    </row>
    <row r="5009" spans="1:4" x14ac:dyDescent="0.2">
      <c r="A5009" s="43">
        <v>44181</v>
      </c>
      <c r="D5009">
        <v>0.25</v>
      </c>
    </row>
    <row r="5010" spans="1:4" x14ac:dyDescent="0.2">
      <c r="A5010" s="43">
        <v>44182</v>
      </c>
      <c r="D5010">
        <v>0.25</v>
      </c>
    </row>
    <row r="5011" spans="1:4" x14ac:dyDescent="0.2">
      <c r="A5011" s="43">
        <v>44183</v>
      </c>
      <c r="D5011">
        <v>0.25</v>
      </c>
    </row>
    <row r="5012" spans="1:4" x14ac:dyDescent="0.2">
      <c r="A5012" s="43">
        <v>44184</v>
      </c>
      <c r="D5012">
        <v>0.25</v>
      </c>
    </row>
    <row r="5013" spans="1:4" x14ac:dyDescent="0.2">
      <c r="A5013" s="43">
        <v>44185</v>
      </c>
      <c r="D5013">
        <v>0.25</v>
      </c>
    </row>
    <row r="5014" spans="1:4" x14ac:dyDescent="0.2">
      <c r="A5014" s="43">
        <v>44186</v>
      </c>
      <c r="D5014">
        <v>0.25</v>
      </c>
    </row>
    <row r="5015" spans="1:4" x14ac:dyDescent="0.2">
      <c r="A5015" s="43">
        <v>44187</v>
      </c>
      <c r="D5015">
        <v>0.25</v>
      </c>
    </row>
    <row r="5016" spans="1:4" x14ac:dyDescent="0.2">
      <c r="A5016" s="43">
        <v>44188</v>
      </c>
      <c r="D5016">
        <v>0.25</v>
      </c>
    </row>
    <row r="5017" spans="1:4" x14ac:dyDescent="0.2">
      <c r="A5017" s="43">
        <v>44189</v>
      </c>
      <c r="D5017">
        <v>0.25</v>
      </c>
    </row>
    <row r="5018" spans="1:4" x14ac:dyDescent="0.2">
      <c r="A5018" s="43">
        <v>44190</v>
      </c>
      <c r="D5018">
        <v>0.25</v>
      </c>
    </row>
    <row r="5019" spans="1:4" x14ac:dyDescent="0.2">
      <c r="A5019" s="43">
        <v>44191</v>
      </c>
      <c r="D5019">
        <v>0.25</v>
      </c>
    </row>
    <row r="5020" spans="1:4" x14ac:dyDescent="0.2">
      <c r="A5020" s="43">
        <v>44192</v>
      </c>
      <c r="D5020">
        <v>0.25</v>
      </c>
    </row>
    <row r="5021" spans="1:4" x14ac:dyDescent="0.2">
      <c r="A5021" s="43">
        <v>44193</v>
      </c>
      <c r="D5021">
        <v>0.25</v>
      </c>
    </row>
    <row r="5022" spans="1:4" x14ac:dyDescent="0.2">
      <c r="A5022" s="43">
        <v>44194</v>
      </c>
      <c r="D5022">
        <v>0.25</v>
      </c>
    </row>
    <row r="5023" spans="1:4" x14ac:dyDescent="0.2">
      <c r="A5023" s="43">
        <v>44195</v>
      </c>
      <c r="D5023">
        <v>0.25</v>
      </c>
    </row>
    <row r="5024" spans="1:4" x14ac:dyDescent="0.2">
      <c r="A5024" s="43">
        <v>44196</v>
      </c>
      <c r="D5024">
        <v>0.25</v>
      </c>
    </row>
    <row r="5025" spans="1:5" x14ac:dyDescent="0.2">
      <c r="A5025" s="43">
        <v>44197</v>
      </c>
      <c r="B5025">
        <v>112.57</v>
      </c>
      <c r="C5025">
        <v>114.746</v>
      </c>
      <c r="D5025">
        <v>0.25</v>
      </c>
      <c r="E5025">
        <v>270.02499999999998</v>
      </c>
    </row>
    <row r="5026" spans="1:5" x14ac:dyDescent="0.2">
      <c r="A5026" s="43">
        <v>44198</v>
      </c>
      <c r="D5026">
        <v>0.25</v>
      </c>
    </row>
    <row r="5027" spans="1:5" x14ac:dyDescent="0.2">
      <c r="A5027" s="43">
        <v>44199</v>
      </c>
      <c r="D5027">
        <v>0.25</v>
      </c>
    </row>
    <row r="5028" spans="1:5" x14ac:dyDescent="0.2">
      <c r="A5028" s="43">
        <v>44200</v>
      </c>
      <c r="D5028">
        <v>0.25</v>
      </c>
    </row>
    <row r="5029" spans="1:5" x14ac:dyDescent="0.2">
      <c r="A5029" s="43">
        <v>44201</v>
      </c>
      <c r="D5029">
        <v>0.25</v>
      </c>
    </row>
    <row r="5030" spans="1:5" x14ac:dyDescent="0.2">
      <c r="A5030" s="43">
        <v>44202</v>
      </c>
      <c r="D5030">
        <v>0.25</v>
      </c>
    </row>
    <row r="5031" spans="1:5" x14ac:dyDescent="0.2">
      <c r="A5031" s="43">
        <v>44203</v>
      </c>
      <c r="D5031">
        <v>0.25</v>
      </c>
    </row>
    <row r="5032" spans="1:5" x14ac:dyDescent="0.2">
      <c r="A5032" s="43">
        <v>44204</v>
      </c>
      <c r="D5032">
        <v>0.25</v>
      </c>
    </row>
    <row r="5033" spans="1:5" x14ac:dyDescent="0.2">
      <c r="A5033" s="43">
        <v>44205</v>
      </c>
      <c r="D5033">
        <v>0.25</v>
      </c>
    </row>
    <row r="5034" spans="1:5" x14ac:dyDescent="0.2">
      <c r="A5034" s="43">
        <v>44206</v>
      </c>
      <c r="D5034">
        <v>0.25</v>
      </c>
    </row>
    <row r="5035" spans="1:5" x14ac:dyDescent="0.2">
      <c r="A5035" s="43">
        <v>44207</v>
      </c>
      <c r="D5035">
        <v>0.25</v>
      </c>
    </row>
    <row r="5036" spans="1:5" x14ac:dyDescent="0.2">
      <c r="A5036" s="43">
        <v>44208</v>
      </c>
      <c r="D5036">
        <v>0.25</v>
      </c>
    </row>
    <row r="5037" spans="1:5" x14ac:dyDescent="0.2">
      <c r="A5037" s="43">
        <v>44209</v>
      </c>
      <c r="D5037">
        <v>0.25</v>
      </c>
    </row>
    <row r="5038" spans="1:5" x14ac:dyDescent="0.2">
      <c r="A5038" s="43">
        <v>44210</v>
      </c>
      <c r="D5038">
        <v>0.25</v>
      </c>
    </row>
    <row r="5039" spans="1:5" x14ac:dyDescent="0.2">
      <c r="A5039" s="43">
        <v>44211</v>
      </c>
      <c r="D5039">
        <v>0.25</v>
      </c>
    </row>
    <row r="5040" spans="1:5" x14ac:dyDescent="0.2">
      <c r="A5040" s="43">
        <v>44212</v>
      </c>
      <c r="D5040">
        <v>0.25</v>
      </c>
    </row>
    <row r="5041" spans="1:5" x14ac:dyDescent="0.2">
      <c r="A5041" s="43">
        <v>44213</v>
      </c>
      <c r="D5041">
        <v>0.25</v>
      </c>
    </row>
    <row r="5042" spans="1:5" x14ac:dyDescent="0.2">
      <c r="A5042" s="43">
        <v>44214</v>
      </c>
      <c r="D5042">
        <v>0.25</v>
      </c>
    </row>
    <row r="5043" spans="1:5" x14ac:dyDescent="0.2">
      <c r="A5043" s="43">
        <v>44215</v>
      </c>
      <c r="D5043">
        <v>0.25</v>
      </c>
    </row>
    <row r="5044" spans="1:5" x14ac:dyDescent="0.2">
      <c r="A5044" s="43">
        <v>44216</v>
      </c>
      <c r="D5044">
        <v>0.25</v>
      </c>
    </row>
    <row r="5045" spans="1:5" x14ac:dyDescent="0.2">
      <c r="A5045" s="43">
        <v>44217</v>
      </c>
      <c r="D5045">
        <v>0.25</v>
      </c>
    </row>
    <row r="5046" spans="1:5" x14ac:dyDescent="0.2">
      <c r="A5046" s="43">
        <v>44218</v>
      </c>
      <c r="D5046">
        <v>0.25</v>
      </c>
    </row>
    <row r="5047" spans="1:5" x14ac:dyDescent="0.2">
      <c r="A5047" s="43">
        <v>44219</v>
      </c>
      <c r="D5047">
        <v>0.25</v>
      </c>
    </row>
    <row r="5048" spans="1:5" x14ac:dyDescent="0.2">
      <c r="A5048" s="43">
        <v>44220</v>
      </c>
      <c r="D5048">
        <v>0.25</v>
      </c>
    </row>
    <row r="5049" spans="1:5" x14ac:dyDescent="0.2">
      <c r="A5049" s="43">
        <v>44221</v>
      </c>
      <c r="D5049">
        <v>0.25</v>
      </c>
    </row>
    <row r="5050" spans="1:5" x14ac:dyDescent="0.2">
      <c r="A5050" s="43">
        <v>44222</v>
      </c>
      <c r="D5050">
        <v>0.25</v>
      </c>
    </row>
    <row r="5051" spans="1:5" x14ac:dyDescent="0.2">
      <c r="A5051" s="43">
        <v>44223</v>
      </c>
      <c r="D5051">
        <v>0.25</v>
      </c>
    </row>
    <row r="5052" spans="1:5" x14ac:dyDescent="0.2">
      <c r="A5052" s="43">
        <v>44224</v>
      </c>
      <c r="D5052">
        <v>0.25</v>
      </c>
    </row>
    <row r="5053" spans="1:5" x14ac:dyDescent="0.2">
      <c r="A5053" s="43">
        <v>44225</v>
      </c>
      <c r="D5053">
        <v>0.25</v>
      </c>
    </row>
    <row r="5054" spans="1:5" x14ac:dyDescent="0.2">
      <c r="A5054" s="43">
        <v>44226</v>
      </c>
      <c r="D5054">
        <v>0.25</v>
      </c>
    </row>
    <row r="5055" spans="1:5" x14ac:dyDescent="0.2">
      <c r="A5055" s="43">
        <v>44227</v>
      </c>
      <c r="D5055">
        <v>0.25</v>
      </c>
    </row>
    <row r="5056" spans="1:5" x14ac:dyDescent="0.2">
      <c r="A5056" s="43">
        <v>44228</v>
      </c>
      <c r="B5056">
        <v>112.878</v>
      </c>
      <c r="C5056">
        <v>114.899</v>
      </c>
      <c r="D5056">
        <v>0.25</v>
      </c>
      <c r="E5056">
        <v>270.29899999999998</v>
      </c>
    </row>
    <row r="5057" spans="1:4" x14ac:dyDescent="0.2">
      <c r="A5057" s="43">
        <v>44229</v>
      </c>
      <c r="D5057">
        <v>0.25</v>
      </c>
    </row>
    <row r="5058" spans="1:4" x14ac:dyDescent="0.2">
      <c r="A5058" s="43">
        <v>44230</v>
      </c>
      <c r="D5058">
        <v>0.25</v>
      </c>
    </row>
    <row r="5059" spans="1:4" x14ac:dyDescent="0.2">
      <c r="A5059" s="43">
        <v>44231</v>
      </c>
      <c r="D5059">
        <v>0.25</v>
      </c>
    </row>
    <row r="5060" spans="1:4" x14ac:dyDescent="0.2">
      <c r="A5060" s="43">
        <v>44232</v>
      </c>
      <c r="D5060">
        <v>0.25</v>
      </c>
    </row>
    <row r="5061" spans="1:4" x14ac:dyDescent="0.2">
      <c r="A5061" s="43">
        <v>44233</v>
      </c>
      <c r="D5061">
        <v>0.25</v>
      </c>
    </row>
    <row r="5062" spans="1:4" x14ac:dyDescent="0.2">
      <c r="A5062" s="43">
        <v>44234</v>
      </c>
      <c r="D5062">
        <v>0.25</v>
      </c>
    </row>
    <row r="5063" spans="1:4" x14ac:dyDescent="0.2">
      <c r="A5063" s="43">
        <v>44235</v>
      </c>
      <c r="D5063">
        <v>0.25</v>
      </c>
    </row>
    <row r="5064" spans="1:4" x14ac:dyDescent="0.2">
      <c r="A5064" s="43">
        <v>44236</v>
      </c>
      <c r="D5064">
        <v>0.25</v>
      </c>
    </row>
    <row r="5065" spans="1:4" x14ac:dyDescent="0.2">
      <c r="A5065" s="43">
        <v>44237</v>
      </c>
      <c r="D5065">
        <v>0.25</v>
      </c>
    </row>
    <row r="5066" spans="1:4" x14ac:dyDescent="0.2">
      <c r="A5066" s="43">
        <v>44238</v>
      </c>
      <c r="D5066">
        <v>0.25</v>
      </c>
    </row>
    <row r="5067" spans="1:4" x14ac:dyDescent="0.2">
      <c r="A5067" s="43">
        <v>44239</v>
      </c>
      <c r="D5067">
        <v>0.25</v>
      </c>
    </row>
    <row r="5068" spans="1:4" x14ac:dyDescent="0.2">
      <c r="A5068" s="43">
        <v>44240</v>
      </c>
      <c r="D5068">
        <v>0.25</v>
      </c>
    </row>
    <row r="5069" spans="1:4" x14ac:dyDescent="0.2">
      <c r="A5069" s="43">
        <v>44241</v>
      </c>
      <c r="D5069">
        <v>0.25</v>
      </c>
    </row>
    <row r="5070" spans="1:4" x14ac:dyDescent="0.2">
      <c r="A5070" s="43">
        <v>44242</v>
      </c>
      <c r="D5070">
        <v>0.25</v>
      </c>
    </row>
    <row r="5071" spans="1:4" x14ac:dyDescent="0.2">
      <c r="A5071" s="43">
        <v>44243</v>
      </c>
      <c r="D5071">
        <v>0.25</v>
      </c>
    </row>
    <row r="5072" spans="1:4" x14ac:dyDescent="0.2">
      <c r="A5072" s="43">
        <v>44244</v>
      </c>
      <c r="D5072">
        <v>0.25</v>
      </c>
    </row>
    <row r="5073" spans="1:5" x14ac:dyDescent="0.2">
      <c r="A5073" s="43">
        <v>44245</v>
      </c>
      <c r="D5073">
        <v>0.25</v>
      </c>
    </row>
    <row r="5074" spans="1:5" x14ac:dyDescent="0.2">
      <c r="A5074" s="43">
        <v>44246</v>
      </c>
      <c r="D5074">
        <v>0.25</v>
      </c>
    </row>
    <row r="5075" spans="1:5" x14ac:dyDescent="0.2">
      <c r="A5075" s="43">
        <v>44247</v>
      </c>
      <c r="D5075">
        <v>0.25</v>
      </c>
    </row>
    <row r="5076" spans="1:5" x14ac:dyDescent="0.2">
      <c r="A5076" s="43">
        <v>44248</v>
      </c>
      <c r="D5076">
        <v>0.25</v>
      </c>
    </row>
    <row r="5077" spans="1:5" x14ac:dyDescent="0.2">
      <c r="A5077" s="43">
        <v>44249</v>
      </c>
      <c r="D5077">
        <v>0.25</v>
      </c>
    </row>
    <row r="5078" spans="1:5" x14ac:dyDescent="0.2">
      <c r="A5078" s="43">
        <v>44250</v>
      </c>
      <c r="D5078">
        <v>0.25</v>
      </c>
    </row>
    <row r="5079" spans="1:5" x14ac:dyDescent="0.2">
      <c r="A5079" s="43">
        <v>44251</v>
      </c>
      <c r="D5079">
        <v>0.25</v>
      </c>
    </row>
    <row r="5080" spans="1:5" x14ac:dyDescent="0.2">
      <c r="A5080" s="43">
        <v>44252</v>
      </c>
      <c r="D5080">
        <v>0.25</v>
      </c>
    </row>
    <row r="5081" spans="1:5" x14ac:dyDescent="0.2">
      <c r="A5081" s="43">
        <v>44253</v>
      </c>
      <c r="D5081">
        <v>0.25</v>
      </c>
    </row>
    <row r="5082" spans="1:5" x14ac:dyDescent="0.2">
      <c r="A5082" s="43">
        <v>44254</v>
      </c>
      <c r="D5082">
        <v>0.25</v>
      </c>
    </row>
    <row r="5083" spans="1:5" x14ac:dyDescent="0.2">
      <c r="A5083" s="43">
        <v>44255</v>
      </c>
      <c r="D5083">
        <v>0.25</v>
      </c>
    </row>
    <row r="5084" spans="1:5" x14ac:dyDescent="0.2">
      <c r="A5084" s="43">
        <v>44256</v>
      </c>
      <c r="B5084">
        <v>113.518</v>
      </c>
      <c r="C5084">
        <v>115.383</v>
      </c>
      <c r="D5084">
        <v>0.25</v>
      </c>
      <c r="E5084">
        <v>271.214</v>
      </c>
    </row>
    <row r="5085" spans="1:5" x14ac:dyDescent="0.2">
      <c r="A5085" s="43">
        <v>44257</v>
      </c>
      <c r="D5085">
        <v>0.25</v>
      </c>
    </row>
    <row r="5086" spans="1:5" x14ac:dyDescent="0.2">
      <c r="A5086" s="43">
        <v>44258</v>
      </c>
      <c r="D5086">
        <v>0.25</v>
      </c>
    </row>
    <row r="5087" spans="1:5" x14ac:dyDescent="0.2">
      <c r="A5087" s="43">
        <v>44259</v>
      </c>
      <c r="D5087">
        <v>0.25</v>
      </c>
    </row>
    <row r="5088" spans="1:5" x14ac:dyDescent="0.2">
      <c r="A5088" s="43">
        <v>44260</v>
      </c>
      <c r="D5088">
        <v>0.25</v>
      </c>
    </row>
    <row r="5089" spans="1:4" x14ac:dyDescent="0.2">
      <c r="A5089" s="43">
        <v>44261</v>
      </c>
      <c r="D5089">
        <v>0.25</v>
      </c>
    </row>
    <row r="5090" spans="1:4" x14ac:dyDescent="0.2">
      <c r="A5090" s="43">
        <v>44262</v>
      </c>
      <c r="D5090">
        <v>0.25</v>
      </c>
    </row>
    <row r="5091" spans="1:4" x14ac:dyDescent="0.2">
      <c r="A5091" s="43">
        <v>44263</v>
      </c>
      <c r="D5091">
        <v>0.25</v>
      </c>
    </row>
    <row r="5092" spans="1:4" x14ac:dyDescent="0.2">
      <c r="A5092" s="43">
        <v>44264</v>
      </c>
      <c r="D5092">
        <v>0.25</v>
      </c>
    </row>
    <row r="5093" spans="1:4" x14ac:dyDescent="0.2">
      <c r="A5093" s="43">
        <v>44265</v>
      </c>
      <c r="D5093">
        <v>0.25</v>
      </c>
    </row>
    <row r="5094" spans="1:4" x14ac:dyDescent="0.2">
      <c r="A5094" s="43">
        <v>44266</v>
      </c>
      <c r="D5094">
        <v>0.25</v>
      </c>
    </row>
    <row r="5095" spans="1:4" x14ac:dyDescent="0.2">
      <c r="A5095" s="43">
        <v>44267</v>
      </c>
      <c r="D5095">
        <v>0.25</v>
      </c>
    </row>
    <row r="5096" spans="1:4" x14ac:dyDescent="0.2">
      <c r="A5096" s="43">
        <v>44268</v>
      </c>
      <c r="D5096">
        <v>0.25</v>
      </c>
    </row>
    <row r="5097" spans="1:4" x14ac:dyDescent="0.2">
      <c r="A5097" s="43">
        <v>44269</v>
      </c>
      <c r="D5097">
        <v>0.25</v>
      </c>
    </row>
    <row r="5098" spans="1:4" x14ac:dyDescent="0.2">
      <c r="A5098" s="43">
        <v>44270</v>
      </c>
      <c r="D5098">
        <v>0.25</v>
      </c>
    </row>
    <row r="5099" spans="1:4" x14ac:dyDescent="0.2">
      <c r="A5099" s="43">
        <v>44271</v>
      </c>
      <c r="D5099">
        <v>0.25</v>
      </c>
    </row>
    <row r="5100" spans="1:4" x14ac:dyDescent="0.2">
      <c r="A5100" s="43">
        <v>44272</v>
      </c>
      <c r="D5100">
        <v>0.25</v>
      </c>
    </row>
    <row r="5101" spans="1:4" x14ac:dyDescent="0.2">
      <c r="A5101" s="43">
        <v>44273</v>
      </c>
      <c r="D5101">
        <v>0.25</v>
      </c>
    </row>
    <row r="5102" spans="1:4" x14ac:dyDescent="0.2">
      <c r="A5102" s="43">
        <v>44274</v>
      </c>
      <c r="D5102">
        <v>0.25</v>
      </c>
    </row>
    <row r="5103" spans="1:4" x14ac:dyDescent="0.2">
      <c r="A5103" s="43">
        <v>44275</v>
      </c>
      <c r="D5103">
        <v>0.25</v>
      </c>
    </row>
    <row r="5104" spans="1:4" x14ac:dyDescent="0.2">
      <c r="A5104" s="43">
        <v>44276</v>
      </c>
      <c r="D5104">
        <v>0.25</v>
      </c>
    </row>
    <row r="5105" spans="1:5" x14ac:dyDescent="0.2">
      <c r="A5105" s="43">
        <v>44277</v>
      </c>
      <c r="D5105">
        <v>0.25</v>
      </c>
    </row>
    <row r="5106" spans="1:5" x14ac:dyDescent="0.2">
      <c r="A5106" s="43">
        <v>44278</v>
      </c>
      <c r="D5106">
        <v>0.25</v>
      </c>
    </row>
    <row r="5107" spans="1:5" x14ac:dyDescent="0.2">
      <c r="A5107" s="43">
        <v>44279</v>
      </c>
      <c r="D5107">
        <v>0.25</v>
      </c>
    </row>
    <row r="5108" spans="1:5" x14ac:dyDescent="0.2">
      <c r="A5108" s="43">
        <v>44280</v>
      </c>
      <c r="D5108">
        <v>0.25</v>
      </c>
    </row>
    <row r="5109" spans="1:5" x14ac:dyDescent="0.2">
      <c r="A5109" s="43">
        <v>44281</v>
      </c>
      <c r="D5109">
        <v>0.25</v>
      </c>
    </row>
    <row r="5110" spans="1:5" x14ac:dyDescent="0.2">
      <c r="A5110" s="43">
        <v>44282</v>
      </c>
      <c r="D5110">
        <v>0.25</v>
      </c>
    </row>
    <row r="5111" spans="1:5" x14ac:dyDescent="0.2">
      <c r="A5111" s="43">
        <v>44283</v>
      </c>
      <c r="D5111">
        <v>0.25</v>
      </c>
    </row>
    <row r="5112" spans="1:5" x14ac:dyDescent="0.2">
      <c r="A5112" s="43">
        <v>44284</v>
      </c>
      <c r="D5112">
        <v>0.25</v>
      </c>
    </row>
    <row r="5113" spans="1:5" x14ac:dyDescent="0.2">
      <c r="A5113" s="43">
        <v>44285</v>
      </c>
      <c r="D5113">
        <v>0.25</v>
      </c>
    </row>
    <row r="5114" spans="1:5" x14ac:dyDescent="0.2">
      <c r="A5114" s="43">
        <v>44286</v>
      </c>
      <c r="D5114">
        <v>0.25</v>
      </c>
    </row>
    <row r="5115" spans="1:5" x14ac:dyDescent="0.2">
      <c r="A5115" s="43">
        <v>44287</v>
      </c>
      <c r="B5115">
        <v>114.161</v>
      </c>
      <c r="C5115">
        <v>116.1</v>
      </c>
      <c r="D5115">
        <v>0.25</v>
      </c>
      <c r="E5115">
        <v>273.7</v>
      </c>
    </row>
    <row r="5116" spans="1:5" x14ac:dyDescent="0.2">
      <c r="A5116" s="43">
        <v>44288</v>
      </c>
      <c r="D5116">
        <v>0.25</v>
      </c>
    </row>
    <row r="5117" spans="1:5" x14ac:dyDescent="0.2">
      <c r="A5117" s="43">
        <v>44289</v>
      </c>
      <c r="D5117">
        <v>0.25</v>
      </c>
    </row>
    <row r="5118" spans="1:5" x14ac:dyDescent="0.2">
      <c r="A5118" s="43">
        <v>44290</v>
      </c>
      <c r="D5118">
        <v>0.25</v>
      </c>
    </row>
    <row r="5119" spans="1:5" x14ac:dyDescent="0.2">
      <c r="A5119" s="43">
        <v>44291</v>
      </c>
      <c r="D5119">
        <v>0.25</v>
      </c>
    </row>
    <row r="5120" spans="1:5" x14ac:dyDescent="0.2">
      <c r="A5120" s="43">
        <v>44292</v>
      </c>
      <c r="D5120">
        <v>0.25</v>
      </c>
    </row>
    <row r="5121" spans="1:4" x14ac:dyDescent="0.2">
      <c r="A5121" s="43">
        <v>44293</v>
      </c>
      <c r="D5121">
        <v>0.25</v>
      </c>
    </row>
    <row r="5122" spans="1:4" x14ac:dyDescent="0.2">
      <c r="A5122" s="43">
        <v>44294</v>
      </c>
      <c r="D5122">
        <v>0.25</v>
      </c>
    </row>
    <row r="5123" spans="1:4" x14ac:dyDescent="0.2">
      <c r="A5123" s="43">
        <v>44295</v>
      </c>
      <c r="D5123">
        <v>0.25</v>
      </c>
    </row>
    <row r="5124" spans="1:4" x14ac:dyDescent="0.2">
      <c r="A5124" s="43">
        <v>44296</v>
      </c>
      <c r="D5124">
        <v>0.25</v>
      </c>
    </row>
    <row r="5125" spans="1:4" x14ac:dyDescent="0.2">
      <c r="A5125" s="43">
        <v>44297</v>
      </c>
      <c r="D5125">
        <v>0.25</v>
      </c>
    </row>
    <row r="5126" spans="1:4" x14ac:dyDescent="0.2">
      <c r="A5126" s="43">
        <v>44298</v>
      </c>
      <c r="D5126">
        <v>0.25</v>
      </c>
    </row>
    <row r="5127" spans="1:4" x14ac:dyDescent="0.2">
      <c r="A5127" s="43">
        <v>44299</v>
      </c>
      <c r="D5127">
        <v>0.25</v>
      </c>
    </row>
    <row r="5128" spans="1:4" x14ac:dyDescent="0.2">
      <c r="A5128" s="43">
        <v>44300</v>
      </c>
      <c r="D5128">
        <v>0.25</v>
      </c>
    </row>
    <row r="5129" spans="1:4" x14ac:dyDescent="0.2">
      <c r="A5129" s="43">
        <v>44301</v>
      </c>
      <c r="D5129">
        <v>0.25</v>
      </c>
    </row>
    <row r="5130" spans="1:4" x14ac:dyDescent="0.2">
      <c r="A5130" s="43">
        <v>44302</v>
      </c>
      <c r="D5130">
        <v>0.25</v>
      </c>
    </row>
    <row r="5131" spans="1:4" x14ac:dyDescent="0.2">
      <c r="A5131" s="43">
        <v>44303</v>
      </c>
      <c r="D5131">
        <v>0.25</v>
      </c>
    </row>
    <row r="5132" spans="1:4" x14ac:dyDescent="0.2">
      <c r="A5132" s="43">
        <v>44304</v>
      </c>
      <c r="D5132">
        <v>0.25</v>
      </c>
    </row>
    <row r="5133" spans="1:4" x14ac:dyDescent="0.2">
      <c r="A5133" s="43">
        <v>44305</v>
      </c>
      <c r="D5133">
        <v>0.25</v>
      </c>
    </row>
    <row r="5134" spans="1:4" x14ac:dyDescent="0.2">
      <c r="A5134" s="43">
        <v>44306</v>
      </c>
      <c r="D5134">
        <v>0.25</v>
      </c>
    </row>
    <row r="5135" spans="1:4" x14ac:dyDescent="0.2">
      <c r="A5135" s="43">
        <v>44307</v>
      </c>
      <c r="D5135">
        <v>0.25</v>
      </c>
    </row>
    <row r="5136" spans="1:4" x14ac:dyDescent="0.2">
      <c r="A5136" s="43">
        <v>44308</v>
      </c>
      <c r="D5136">
        <v>0.25</v>
      </c>
    </row>
    <row r="5137" spans="1:5" x14ac:dyDescent="0.2">
      <c r="A5137" s="43">
        <v>44309</v>
      </c>
      <c r="D5137">
        <v>0.25</v>
      </c>
    </row>
    <row r="5138" spans="1:5" x14ac:dyDescent="0.2">
      <c r="A5138" s="43">
        <v>44310</v>
      </c>
      <c r="D5138">
        <v>0.25</v>
      </c>
    </row>
    <row r="5139" spans="1:5" x14ac:dyDescent="0.2">
      <c r="A5139" s="43">
        <v>44311</v>
      </c>
      <c r="D5139">
        <v>0.25</v>
      </c>
    </row>
    <row r="5140" spans="1:5" x14ac:dyDescent="0.2">
      <c r="A5140" s="43">
        <v>44312</v>
      </c>
      <c r="D5140">
        <v>0.25</v>
      </c>
    </row>
    <row r="5141" spans="1:5" x14ac:dyDescent="0.2">
      <c r="A5141" s="43">
        <v>44313</v>
      </c>
      <c r="D5141">
        <v>0.25</v>
      </c>
    </row>
    <row r="5142" spans="1:5" x14ac:dyDescent="0.2">
      <c r="A5142" s="43">
        <v>44314</v>
      </c>
      <c r="D5142">
        <v>0.25</v>
      </c>
    </row>
    <row r="5143" spans="1:5" x14ac:dyDescent="0.2">
      <c r="A5143" s="43">
        <v>44315</v>
      </c>
      <c r="D5143">
        <v>0.25</v>
      </c>
    </row>
    <row r="5144" spans="1:5" x14ac:dyDescent="0.2">
      <c r="A5144" s="43">
        <v>44316</v>
      </c>
      <c r="D5144">
        <v>0.25</v>
      </c>
    </row>
    <row r="5145" spans="1:5" x14ac:dyDescent="0.2">
      <c r="A5145" s="43">
        <v>44317</v>
      </c>
      <c r="B5145">
        <v>114.767</v>
      </c>
      <c r="C5145">
        <v>116.76600000000001</v>
      </c>
      <c r="D5145">
        <v>0.25</v>
      </c>
      <c r="E5145">
        <v>275.71800000000002</v>
      </c>
    </row>
    <row r="5146" spans="1:5" x14ac:dyDescent="0.2">
      <c r="A5146" s="43">
        <v>44318</v>
      </c>
      <c r="D5146">
        <v>0.25</v>
      </c>
    </row>
    <row r="5147" spans="1:5" x14ac:dyDescent="0.2">
      <c r="A5147" s="43">
        <v>44319</v>
      </c>
      <c r="D5147">
        <v>0.25</v>
      </c>
    </row>
    <row r="5148" spans="1:5" x14ac:dyDescent="0.2">
      <c r="A5148" s="43">
        <v>44320</v>
      </c>
      <c r="D5148">
        <v>0.25</v>
      </c>
    </row>
    <row r="5149" spans="1:5" x14ac:dyDescent="0.2">
      <c r="A5149" s="43">
        <v>44321</v>
      </c>
      <c r="D5149">
        <v>0.25</v>
      </c>
    </row>
    <row r="5150" spans="1:5" x14ac:dyDescent="0.2">
      <c r="A5150" s="43">
        <v>44322</v>
      </c>
      <c r="D5150">
        <v>0.25</v>
      </c>
    </row>
    <row r="5151" spans="1:5" x14ac:dyDescent="0.2">
      <c r="A5151" s="43">
        <v>44323</v>
      </c>
      <c r="D5151">
        <v>0.25</v>
      </c>
    </row>
    <row r="5152" spans="1:5" x14ac:dyDescent="0.2">
      <c r="A5152" s="43">
        <v>44324</v>
      </c>
      <c r="D5152">
        <v>0.25</v>
      </c>
    </row>
    <row r="5153" spans="1:4" x14ac:dyDescent="0.2">
      <c r="A5153" s="43">
        <v>44325</v>
      </c>
      <c r="D5153">
        <v>0.25</v>
      </c>
    </row>
    <row r="5154" spans="1:4" x14ac:dyDescent="0.2">
      <c r="A5154" s="43">
        <v>44326</v>
      </c>
      <c r="D5154">
        <v>0.25</v>
      </c>
    </row>
    <row r="5155" spans="1:4" x14ac:dyDescent="0.2">
      <c r="A5155" s="43">
        <v>44327</v>
      </c>
      <c r="D5155">
        <v>0.25</v>
      </c>
    </row>
    <row r="5156" spans="1:4" x14ac:dyDescent="0.2">
      <c r="A5156" s="43">
        <v>44328</v>
      </c>
      <c r="D5156">
        <v>0.25</v>
      </c>
    </row>
    <row r="5157" spans="1:4" x14ac:dyDescent="0.2">
      <c r="A5157" s="43">
        <v>44329</v>
      </c>
      <c r="D5157">
        <v>0.25</v>
      </c>
    </row>
    <row r="5158" spans="1:4" x14ac:dyDescent="0.2">
      <c r="A5158" s="43">
        <v>44330</v>
      </c>
      <c r="D5158">
        <v>0.25</v>
      </c>
    </row>
    <row r="5159" spans="1:4" x14ac:dyDescent="0.2">
      <c r="A5159" s="43">
        <v>44331</v>
      </c>
      <c r="D5159">
        <v>0.25</v>
      </c>
    </row>
    <row r="5160" spans="1:4" x14ac:dyDescent="0.2">
      <c r="A5160" s="43">
        <v>44332</v>
      </c>
      <c r="D5160">
        <v>0.25</v>
      </c>
    </row>
    <row r="5161" spans="1:4" x14ac:dyDescent="0.2">
      <c r="A5161" s="43">
        <v>44333</v>
      </c>
      <c r="D5161">
        <v>0.25</v>
      </c>
    </row>
    <row r="5162" spans="1:4" x14ac:dyDescent="0.2">
      <c r="A5162" s="43">
        <v>44334</v>
      </c>
      <c r="D5162">
        <v>0.25</v>
      </c>
    </row>
    <row r="5163" spans="1:4" x14ac:dyDescent="0.2">
      <c r="A5163" s="43">
        <v>44335</v>
      </c>
      <c r="D5163">
        <v>0.25</v>
      </c>
    </row>
    <row r="5164" spans="1:4" x14ac:dyDescent="0.2">
      <c r="A5164" s="43">
        <v>44336</v>
      </c>
      <c r="D5164">
        <v>0.25</v>
      </c>
    </row>
    <row r="5165" spans="1:4" x14ac:dyDescent="0.2">
      <c r="A5165" s="43">
        <v>44337</v>
      </c>
      <c r="D5165">
        <v>0.25</v>
      </c>
    </row>
    <row r="5166" spans="1:4" x14ac:dyDescent="0.2">
      <c r="A5166" s="43">
        <v>44338</v>
      </c>
      <c r="D5166">
        <v>0.25</v>
      </c>
    </row>
    <row r="5167" spans="1:4" x14ac:dyDescent="0.2">
      <c r="A5167" s="43">
        <v>44339</v>
      </c>
      <c r="D5167">
        <v>0.25</v>
      </c>
    </row>
    <row r="5168" spans="1:4" x14ac:dyDescent="0.2">
      <c r="A5168" s="43">
        <v>44340</v>
      </c>
      <c r="D5168">
        <v>0.25</v>
      </c>
    </row>
    <row r="5169" spans="1:5" x14ac:dyDescent="0.2">
      <c r="A5169" s="43">
        <v>44341</v>
      </c>
      <c r="D5169">
        <v>0.25</v>
      </c>
    </row>
    <row r="5170" spans="1:5" x14ac:dyDescent="0.2">
      <c r="A5170" s="43">
        <v>44342</v>
      </c>
      <c r="D5170">
        <v>0.25</v>
      </c>
    </row>
    <row r="5171" spans="1:5" x14ac:dyDescent="0.2">
      <c r="A5171" s="43">
        <v>44343</v>
      </c>
      <c r="D5171">
        <v>0.25</v>
      </c>
    </row>
    <row r="5172" spans="1:5" x14ac:dyDescent="0.2">
      <c r="A5172" s="43">
        <v>44344</v>
      </c>
      <c r="D5172">
        <v>0.25</v>
      </c>
    </row>
    <row r="5173" spans="1:5" x14ac:dyDescent="0.2">
      <c r="A5173" s="43">
        <v>44345</v>
      </c>
      <c r="D5173">
        <v>0.25</v>
      </c>
    </row>
    <row r="5174" spans="1:5" x14ac:dyDescent="0.2">
      <c r="A5174" s="43">
        <v>44346</v>
      </c>
      <c r="D5174">
        <v>0.25</v>
      </c>
    </row>
    <row r="5175" spans="1:5" x14ac:dyDescent="0.2">
      <c r="A5175" s="43">
        <v>44347</v>
      </c>
      <c r="D5175">
        <v>0.25</v>
      </c>
    </row>
    <row r="5176" spans="1:5" x14ac:dyDescent="0.2">
      <c r="A5176" s="43">
        <v>44348</v>
      </c>
      <c r="B5176">
        <v>115.38800000000001</v>
      </c>
      <c r="C5176">
        <v>117.327</v>
      </c>
      <c r="D5176">
        <v>0.25</v>
      </c>
      <c r="E5176">
        <v>278.14</v>
      </c>
    </row>
    <row r="5177" spans="1:5" x14ac:dyDescent="0.2">
      <c r="A5177" s="43">
        <v>44349</v>
      </c>
      <c r="D5177">
        <v>0.25</v>
      </c>
    </row>
    <row r="5178" spans="1:5" x14ac:dyDescent="0.2">
      <c r="A5178" s="43">
        <v>44350</v>
      </c>
      <c r="D5178">
        <v>0.25</v>
      </c>
    </row>
    <row r="5179" spans="1:5" x14ac:dyDescent="0.2">
      <c r="A5179" s="43">
        <v>44351</v>
      </c>
      <c r="D5179">
        <v>0.25</v>
      </c>
    </row>
    <row r="5180" spans="1:5" x14ac:dyDescent="0.2">
      <c r="A5180" s="43">
        <v>44352</v>
      </c>
      <c r="D5180">
        <v>0.25</v>
      </c>
    </row>
    <row r="5181" spans="1:5" x14ac:dyDescent="0.2">
      <c r="A5181" s="43">
        <v>44353</v>
      </c>
      <c r="D5181">
        <v>0.25</v>
      </c>
    </row>
    <row r="5182" spans="1:5" x14ac:dyDescent="0.2">
      <c r="A5182" s="43">
        <v>44354</v>
      </c>
      <c r="D5182">
        <v>0.25</v>
      </c>
    </row>
    <row r="5183" spans="1:5" x14ac:dyDescent="0.2">
      <c r="A5183" s="43">
        <v>44355</v>
      </c>
      <c r="D5183">
        <v>0.25</v>
      </c>
    </row>
    <row r="5184" spans="1:5" x14ac:dyDescent="0.2">
      <c r="A5184" s="43">
        <v>44356</v>
      </c>
      <c r="D5184">
        <v>0.25</v>
      </c>
    </row>
    <row r="5185" spans="1:4" x14ac:dyDescent="0.2">
      <c r="A5185" s="43">
        <v>44357</v>
      </c>
      <c r="D5185">
        <v>0.25</v>
      </c>
    </row>
    <row r="5186" spans="1:4" x14ac:dyDescent="0.2">
      <c r="A5186" s="43">
        <v>44358</v>
      </c>
      <c r="D5186">
        <v>0.25</v>
      </c>
    </row>
    <row r="5187" spans="1:4" x14ac:dyDescent="0.2">
      <c r="A5187" s="43">
        <v>44359</v>
      </c>
      <c r="D5187">
        <v>0.25</v>
      </c>
    </row>
    <row r="5188" spans="1:4" x14ac:dyDescent="0.2">
      <c r="A5188" s="43">
        <v>44360</v>
      </c>
      <c r="D5188">
        <v>0.25</v>
      </c>
    </row>
    <row r="5189" spans="1:4" x14ac:dyDescent="0.2">
      <c r="A5189" s="43">
        <v>44361</v>
      </c>
      <c r="D5189">
        <v>0.25</v>
      </c>
    </row>
    <row r="5190" spans="1:4" x14ac:dyDescent="0.2">
      <c r="A5190" s="43">
        <v>44362</v>
      </c>
      <c r="D5190">
        <v>0.25</v>
      </c>
    </row>
    <row r="5191" spans="1:4" x14ac:dyDescent="0.2">
      <c r="A5191" s="43">
        <v>44363</v>
      </c>
      <c r="D5191">
        <v>0.25</v>
      </c>
    </row>
    <row r="5192" spans="1:4" x14ac:dyDescent="0.2">
      <c r="A5192" s="43">
        <v>44364</v>
      </c>
      <c r="D5192">
        <v>0.25</v>
      </c>
    </row>
    <row r="5193" spans="1:4" x14ac:dyDescent="0.2">
      <c r="A5193" s="43">
        <v>44365</v>
      </c>
      <c r="D5193">
        <v>0.25</v>
      </c>
    </row>
    <row r="5194" spans="1:4" x14ac:dyDescent="0.2">
      <c r="A5194" s="43">
        <v>44366</v>
      </c>
      <c r="D5194">
        <v>0.25</v>
      </c>
    </row>
    <row r="5195" spans="1:4" x14ac:dyDescent="0.2">
      <c r="A5195" s="43">
        <v>44367</v>
      </c>
      <c r="D5195">
        <v>0.25</v>
      </c>
    </row>
    <row r="5196" spans="1:4" x14ac:dyDescent="0.2">
      <c r="A5196" s="43">
        <v>44368</v>
      </c>
      <c r="D5196">
        <v>0.25</v>
      </c>
    </row>
    <row r="5197" spans="1:4" x14ac:dyDescent="0.2">
      <c r="A5197" s="43">
        <v>44369</v>
      </c>
      <c r="D5197">
        <v>0.25</v>
      </c>
    </row>
    <row r="5198" spans="1:4" x14ac:dyDescent="0.2">
      <c r="A5198" s="43">
        <v>44370</v>
      </c>
      <c r="D5198">
        <v>0.25</v>
      </c>
    </row>
    <row r="5199" spans="1:4" x14ac:dyDescent="0.2">
      <c r="A5199" s="43">
        <v>44371</v>
      </c>
      <c r="D5199">
        <v>0.25</v>
      </c>
    </row>
    <row r="5200" spans="1:4" x14ac:dyDescent="0.2">
      <c r="A5200" s="43">
        <v>44372</v>
      </c>
      <c r="D5200">
        <v>0.25</v>
      </c>
    </row>
    <row r="5201" spans="1:5" x14ac:dyDescent="0.2">
      <c r="A5201" s="43">
        <v>44373</v>
      </c>
      <c r="D5201">
        <v>0.25</v>
      </c>
    </row>
    <row r="5202" spans="1:5" x14ac:dyDescent="0.2">
      <c r="A5202" s="43">
        <v>44374</v>
      </c>
      <c r="D5202">
        <v>0.25</v>
      </c>
    </row>
    <row r="5203" spans="1:5" x14ac:dyDescent="0.2">
      <c r="A5203" s="43">
        <v>44375</v>
      </c>
      <c r="D5203">
        <v>0.25</v>
      </c>
    </row>
    <row r="5204" spans="1:5" x14ac:dyDescent="0.2">
      <c r="A5204" s="43">
        <v>44376</v>
      </c>
      <c r="D5204">
        <v>0.25</v>
      </c>
    </row>
    <row r="5205" spans="1:5" x14ac:dyDescent="0.2">
      <c r="A5205" s="43">
        <v>44377</v>
      </c>
      <c r="D5205">
        <v>0.25</v>
      </c>
    </row>
    <row r="5206" spans="1:5" x14ac:dyDescent="0.2">
      <c r="A5206" s="43">
        <v>44378</v>
      </c>
      <c r="B5206">
        <v>115.84699999999999</v>
      </c>
      <c r="C5206">
        <v>117.70399999999999</v>
      </c>
      <c r="D5206">
        <v>0.25</v>
      </c>
      <c r="E5206">
        <v>279.05399999999997</v>
      </c>
    </row>
    <row r="5207" spans="1:5" x14ac:dyDescent="0.2">
      <c r="A5207" s="43">
        <v>44379</v>
      </c>
      <c r="D5207">
        <v>0.25</v>
      </c>
    </row>
    <row r="5208" spans="1:5" x14ac:dyDescent="0.2">
      <c r="A5208" s="43">
        <v>44380</v>
      </c>
      <c r="D5208">
        <v>0.25</v>
      </c>
    </row>
    <row r="5209" spans="1:5" x14ac:dyDescent="0.2">
      <c r="A5209" s="43">
        <v>44381</v>
      </c>
      <c r="D5209">
        <v>0.25</v>
      </c>
    </row>
    <row r="5210" spans="1:5" x14ac:dyDescent="0.2">
      <c r="A5210" s="43">
        <v>44382</v>
      </c>
      <c r="D5210">
        <v>0.25</v>
      </c>
    </row>
    <row r="5211" spans="1:5" x14ac:dyDescent="0.2">
      <c r="A5211" s="43">
        <v>44383</v>
      </c>
      <c r="D5211">
        <v>0.25</v>
      </c>
    </row>
    <row r="5212" spans="1:5" x14ac:dyDescent="0.2">
      <c r="A5212" s="43">
        <v>44384</v>
      </c>
      <c r="D5212">
        <v>0.25</v>
      </c>
    </row>
    <row r="5213" spans="1:5" x14ac:dyDescent="0.2">
      <c r="A5213" s="43">
        <v>44385</v>
      </c>
      <c r="D5213">
        <v>0.25</v>
      </c>
    </row>
    <row r="5214" spans="1:5" x14ac:dyDescent="0.2">
      <c r="A5214" s="43">
        <v>44386</v>
      </c>
      <c r="D5214">
        <v>0.25</v>
      </c>
    </row>
    <row r="5215" spans="1:5" x14ac:dyDescent="0.2">
      <c r="A5215" s="43">
        <v>44387</v>
      </c>
      <c r="D5215">
        <v>0.25</v>
      </c>
    </row>
    <row r="5216" spans="1:5" x14ac:dyDescent="0.2">
      <c r="A5216" s="43">
        <v>44388</v>
      </c>
      <c r="D5216">
        <v>0.25</v>
      </c>
    </row>
    <row r="5217" spans="1:4" x14ac:dyDescent="0.2">
      <c r="A5217" s="43">
        <v>44389</v>
      </c>
      <c r="D5217">
        <v>0.25</v>
      </c>
    </row>
    <row r="5218" spans="1:4" x14ac:dyDescent="0.2">
      <c r="A5218" s="43">
        <v>44390</v>
      </c>
      <c r="D5218">
        <v>0.25</v>
      </c>
    </row>
    <row r="5219" spans="1:4" x14ac:dyDescent="0.2">
      <c r="A5219" s="43">
        <v>44391</v>
      </c>
      <c r="D5219">
        <v>0.25</v>
      </c>
    </row>
    <row r="5220" spans="1:4" x14ac:dyDescent="0.2">
      <c r="A5220" s="43">
        <v>44392</v>
      </c>
      <c r="D5220">
        <v>0.25</v>
      </c>
    </row>
    <row r="5221" spans="1:4" x14ac:dyDescent="0.2">
      <c r="A5221" s="43">
        <v>44393</v>
      </c>
      <c r="D5221">
        <v>0.25</v>
      </c>
    </row>
    <row r="5222" spans="1:4" x14ac:dyDescent="0.2">
      <c r="A5222" s="43">
        <v>44394</v>
      </c>
      <c r="D5222">
        <v>0.25</v>
      </c>
    </row>
    <row r="5223" spans="1:4" x14ac:dyDescent="0.2">
      <c r="A5223" s="43">
        <v>44395</v>
      </c>
      <c r="D5223">
        <v>0.25</v>
      </c>
    </row>
    <row r="5224" spans="1:4" x14ac:dyDescent="0.2">
      <c r="A5224" s="43">
        <v>44396</v>
      </c>
      <c r="D5224">
        <v>0.25</v>
      </c>
    </row>
    <row r="5225" spans="1:4" x14ac:dyDescent="0.2">
      <c r="A5225" s="43">
        <v>44397</v>
      </c>
      <c r="D5225">
        <v>0.25</v>
      </c>
    </row>
    <row r="5226" spans="1:4" x14ac:dyDescent="0.2">
      <c r="A5226" s="43">
        <v>44398</v>
      </c>
      <c r="D5226">
        <v>0.25</v>
      </c>
    </row>
    <row r="5227" spans="1:4" x14ac:dyDescent="0.2">
      <c r="A5227" s="43">
        <v>44399</v>
      </c>
      <c r="D5227">
        <v>0.25</v>
      </c>
    </row>
    <row r="5228" spans="1:4" x14ac:dyDescent="0.2">
      <c r="A5228" s="43">
        <v>44400</v>
      </c>
      <c r="D5228">
        <v>0.25</v>
      </c>
    </row>
    <row r="5229" spans="1:4" x14ac:dyDescent="0.2">
      <c r="A5229" s="43">
        <v>44401</v>
      </c>
      <c r="D5229">
        <v>0.25</v>
      </c>
    </row>
    <row r="5230" spans="1:4" x14ac:dyDescent="0.2">
      <c r="A5230" s="43">
        <v>44402</v>
      </c>
      <c r="D5230">
        <v>0.25</v>
      </c>
    </row>
    <row r="5231" spans="1:4" x14ac:dyDescent="0.2">
      <c r="A5231" s="43">
        <v>44403</v>
      </c>
      <c r="D5231">
        <v>0.25</v>
      </c>
    </row>
    <row r="5232" spans="1:4" x14ac:dyDescent="0.2">
      <c r="A5232" s="43">
        <v>44404</v>
      </c>
      <c r="D5232">
        <v>0.25</v>
      </c>
    </row>
    <row r="5233" spans="1:5" x14ac:dyDescent="0.2">
      <c r="A5233" s="43">
        <v>44405</v>
      </c>
      <c r="D5233">
        <v>0.25</v>
      </c>
    </row>
    <row r="5234" spans="1:5" x14ac:dyDescent="0.2">
      <c r="A5234" s="43">
        <v>44406</v>
      </c>
      <c r="D5234">
        <v>0.25</v>
      </c>
    </row>
    <row r="5235" spans="1:5" x14ac:dyDescent="0.2">
      <c r="A5235" s="43">
        <v>44407</v>
      </c>
      <c r="D5235">
        <v>0.25</v>
      </c>
    </row>
    <row r="5236" spans="1:5" x14ac:dyDescent="0.2">
      <c r="A5236" s="43">
        <v>44408</v>
      </c>
      <c r="D5236">
        <v>0.25</v>
      </c>
    </row>
    <row r="5237" spans="1:5" x14ac:dyDescent="0.2">
      <c r="A5237" s="43">
        <v>44409</v>
      </c>
      <c r="B5237">
        <v>116.29</v>
      </c>
      <c r="C5237">
        <v>118.07299999999999</v>
      </c>
      <c r="D5237">
        <v>0.25</v>
      </c>
      <c r="E5237">
        <v>279.33800000000002</v>
      </c>
    </row>
    <row r="5238" spans="1:5" x14ac:dyDescent="0.2">
      <c r="A5238" s="43">
        <v>44410</v>
      </c>
      <c r="D5238">
        <v>0.25</v>
      </c>
    </row>
    <row r="5239" spans="1:5" x14ac:dyDescent="0.2">
      <c r="A5239" s="43">
        <v>44411</v>
      </c>
      <c r="D5239">
        <v>0.25</v>
      </c>
    </row>
    <row r="5240" spans="1:5" x14ac:dyDescent="0.2">
      <c r="A5240" s="43">
        <v>44412</v>
      </c>
      <c r="D5240">
        <v>0.25</v>
      </c>
    </row>
    <row r="5241" spans="1:5" x14ac:dyDescent="0.2">
      <c r="A5241" s="43">
        <v>44413</v>
      </c>
      <c r="D5241">
        <v>0.25</v>
      </c>
    </row>
    <row r="5242" spans="1:5" x14ac:dyDescent="0.2">
      <c r="A5242" s="43">
        <v>44414</v>
      </c>
      <c r="D5242">
        <v>0.25</v>
      </c>
    </row>
    <row r="5243" spans="1:5" x14ac:dyDescent="0.2">
      <c r="A5243" s="43">
        <v>44415</v>
      </c>
      <c r="D5243">
        <v>0.25</v>
      </c>
    </row>
    <row r="5244" spans="1:5" x14ac:dyDescent="0.2">
      <c r="A5244" s="43">
        <v>44416</v>
      </c>
      <c r="D5244">
        <v>0.25</v>
      </c>
    </row>
    <row r="5245" spans="1:5" x14ac:dyDescent="0.2">
      <c r="A5245" s="43">
        <v>44417</v>
      </c>
      <c r="D5245">
        <v>0.25</v>
      </c>
    </row>
    <row r="5246" spans="1:5" x14ac:dyDescent="0.2">
      <c r="A5246" s="43">
        <v>44418</v>
      </c>
      <c r="D5246">
        <v>0.25</v>
      </c>
    </row>
    <row r="5247" spans="1:5" x14ac:dyDescent="0.2">
      <c r="A5247" s="43">
        <v>44419</v>
      </c>
      <c r="D5247">
        <v>0.25</v>
      </c>
    </row>
    <row r="5248" spans="1:5" x14ac:dyDescent="0.2">
      <c r="A5248" s="43">
        <v>44420</v>
      </c>
      <c r="D5248">
        <v>0.25</v>
      </c>
    </row>
    <row r="5249" spans="1:4" x14ac:dyDescent="0.2">
      <c r="A5249" s="43">
        <v>44421</v>
      </c>
      <c r="D5249">
        <v>0.25</v>
      </c>
    </row>
    <row r="5250" spans="1:4" x14ac:dyDescent="0.2">
      <c r="A5250" s="43">
        <v>44422</v>
      </c>
      <c r="D5250">
        <v>0.25</v>
      </c>
    </row>
    <row r="5251" spans="1:4" x14ac:dyDescent="0.2">
      <c r="A5251" s="43">
        <v>44423</v>
      </c>
      <c r="D5251">
        <v>0.25</v>
      </c>
    </row>
    <row r="5252" spans="1:4" x14ac:dyDescent="0.2">
      <c r="A5252" s="43">
        <v>44424</v>
      </c>
      <c r="D5252">
        <v>0.25</v>
      </c>
    </row>
    <row r="5253" spans="1:4" x14ac:dyDescent="0.2">
      <c r="A5253" s="43">
        <v>44425</v>
      </c>
      <c r="D5253">
        <v>0.25</v>
      </c>
    </row>
    <row r="5254" spans="1:4" x14ac:dyDescent="0.2">
      <c r="A5254" s="43">
        <v>44426</v>
      </c>
      <c r="D5254">
        <v>0.25</v>
      </c>
    </row>
    <row r="5255" spans="1:4" x14ac:dyDescent="0.2">
      <c r="A5255" s="43">
        <v>44427</v>
      </c>
      <c r="D5255">
        <v>0.25</v>
      </c>
    </row>
    <row r="5256" spans="1:4" x14ac:dyDescent="0.2">
      <c r="A5256" s="43">
        <v>44428</v>
      </c>
      <c r="D5256">
        <v>0.25</v>
      </c>
    </row>
    <row r="5257" spans="1:4" x14ac:dyDescent="0.2">
      <c r="A5257" s="43">
        <v>44429</v>
      </c>
      <c r="D5257">
        <v>0.25</v>
      </c>
    </row>
    <row r="5258" spans="1:4" x14ac:dyDescent="0.2">
      <c r="A5258" s="43">
        <v>44430</v>
      </c>
      <c r="D5258">
        <v>0.25</v>
      </c>
    </row>
    <row r="5259" spans="1:4" x14ac:dyDescent="0.2">
      <c r="A5259" s="43">
        <v>44431</v>
      </c>
      <c r="D5259">
        <v>0.25</v>
      </c>
    </row>
    <row r="5260" spans="1:4" x14ac:dyDescent="0.2">
      <c r="A5260" s="43">
        <v>44432</v>
      </c>
      <c r="D5260">
        <v>0.25</v>
      </c>
    </row>
    <row r="5261" spans="1:4" x14ac:dyDescent="0.2">
      <c r="A5261" s="43">
        <v>44433</v>
      </c>
      <c r="D5261">
        <v>0.25</v>
      </c>
    </row>
    <row r="5262" spans="1:4" x14ac:dyDescent="0.2">
      <c r="A5262" s="43">
        <v>44434</v>
      </c>
      <c r="D5262">
        <v>0.25</v>
      </c>
    </row>
    <row r="5263" spans="1:4" x14ac:dyDescent="0.2">
      <c r="A5263" s="43">
        <v>44435</v>
      </c>
      <c r="D5263">
        <v>0.25</v>
      </c>
    </row>
    <row r="5264" spans="1:4" x14ac:dyDescent="0.2">
      <c r="A5264" s="43">
        <v>44436</v>
      </c>
      <c r="D5264">
        <v>0.25</v>
      </c>
    </row>
    <row r="5265" spans="1:5" x14ac:dyDescent="0.2">
      <c r="A5265" s="43">
        <v>44437</v>
      </c>
      <c r="D5265">
        <v>0.25</v>
      </c>
    </row>
    <row r="5266" spans="1:5" x14ac:dyDescent="0.2">
      <c r="A5266" s="43">
        <v>44438</v>
      </c>
      <c r="D5266">
        <v>0.25</v>
      </c>
    </row>
    <row r="5267" spans="1:5" x14ac:dyDescent="0.2">
      <c r="A5267" s="43">
        <v>44439</v>
      </c>
      <c r="D5267">
        <v>0.25</v>
      </c>
    </row>
    <row r="5268" spans="1:5" x14ac:dyDescent="0.2">
      <c r="A5268" s="43">
        <v>44440</v>
      </c>
      <c r="B5268">
        <v>116.693</v>
      </c>
      <c r="C5268">
        <v>118.357</v>
      </c>
      <c r="D5268">
        <v>0.25</v>
      </c>
      <c r="E5268">
        <v>280.017</v>
      </c>
    </row>
    <row r="5269" spans="1:5" x14ac:dyDescent="0.2">
      <c r="A5269" s="43">
        <v>44441</v>
      </c>
      <c r="D5269">
        <v>0.25</v>
      </c>
    </row>
    <row r="5270" spans="1:5" x14ac:dyDescent="0.2">
      <c r="A5270" s="43">
        <v>44442</v>
      </c>
      <c r="D5270">
        <v>0.25</v>
      </c>
    </row>
    <row r="5271" spans="1:5" x14ac:dyDescent="0.2">
      <c r="A5271" s="43">
        <v>44443</v>
      </c>
      <c r="D5271">
        <v>0.25</v>
      </c>
    </row>
    <row r="5272" spans="1:5" x14ac:dyDescent="0.2">
      <c r="A5272" s="43">
        <v>44444</v>
      </c>
      <c r="D5272">
        <v>0.25</v>
      </c>
    </row>
    <row r="5273" spans="1:5" x14ac:dyDescent="0.2">
      <c r="A5273" s="43">
        <v>44445</v>
      </c>
      <c r="D5273">
        <v>0.25</v>
      </c>
    </row>
    <row r="5274" spans="1:5" x14ac:dyDescent="0.2">
      <c r="A5274" s="43">
        <v>44446</v>
      </c>
      <c r="D5274">
        <v>0.25</v>
      </c>
    </row>
    <row r="5275" spans="1:5" x14ac:dyDescent="0.2">
      <c r="A5275" s="43">
        <v>44447</v>
      </c>
      <c r="D5275">
        <v>0.25</v>
      </c>
    </row>
    <row r="5276" spans="1:5" x14ac:dyDescent="0.2">
      <c r="A5276" s="43">
        <v>44448</v>
      </c>
      <c r="D5276">
        <v>0.25</v>
      </c>
    </row>
    <row r="5277" spans="1:5" x14ac:dyDescent="0.2">
      <c r="A5277" s="43">
        <v>44449</v>
      </c>
      <c r="D5277">
        <v>0.25</v>
      </c>
    </row>
    <row r="5278" spans="1:5" x14ac:dyDescent="0.2">
      <c r="A5278" s="43">
        <v>44450</v>
      </c>
      <c r="D5278">
        <v>0.25</v>
      </c>
    </row>
    <row r="5279" spans="1:5" x14ac:dyDescent="0.2">
      <c r="A5279" s="43">
        <v>44451</v>
      </c>
      <c r="D5279">
        <v>0.25</v>
      </c>
    </row>
    <row r="5280" spans="1:5" x14ac:dyDescent="0.2">
      <c r="A5280" s="43">
        <v>44452</v>
      </c>
      <c r="D5280">
        <v>0.25</v>
      </c>
    </row>
    <row r="5281" spans="1:4" x14ac:dyDescent="0.2">
      <c r="A5281" s="43">
        <v>44453</v>
      </c>
      <c r="D5281">
        <v>0.25</v>
      </c>
    </row>
    <row r="5282" spans="1:4" x14ac:dyDescent="0.2">
      <c r="A5282" s="43">
        <v>44454</v>
      </c>
      <c r="D5282">
        <v>0.25</v>
      </c>
    </row>
    <row r="5283" spans="1:4" x14ac:dyDescent="0.2">
      <c r="A5283" s="43">
        <v>44455</v>
      </c>
      <c r="D5283">
        <v>0.25</v>
      </c>
    </row>
    <row r="5284" spans="1:4" x14ac:dyDescent="0.2">
      <c r="A5284" s="43">
        <v>44456</v>
      </c>
      <c r="D5284">
        <v>0.25</v>
      </c>
    </row>
    <row r="5285" spans="1:4" x14ac:dyDescent="0.2">
      <c r="A5285" s="43">
        <v>44457</v>
      </c>
      <c r="D5285">
        <v>0.25</v>
      </c>
    </row>
    <row r="5286" spans="1:4" x14ac:dyDescent="0.2">
      <c r="A5286" s="43">
        <v>44458</v>
      </c>
      <c r="D5286">
        <v>0.25</v>
      </c>
    </row>
    <row r="5287" spans="1:4" x14ac:dyDescent="0.2">
      <c r="A5287" s="43">
        <v>44459</v>
      </c>
      <c r="D5287">
        <v>0.25</v>
      </c>
    </row>
    <row r="5288" spans="1:4" x14ac:dyDescent="0.2">
      <c r="A5288" s="43">
        <v>44460</v>
      </c>
      <c r="D5288">
        <v>0.25</v>
      </c>
    </row>
    <row r="5289" spans="1:4" x14ac:dyDescent="0.2">
      <c r="A5289" s="43">
        <v>44461</v>
      </c>
      <c r="D5289">
        <v>0.25</v>
      </c>
    </row>
    <row r="5290" spans="1:4" x14ac:dyDescent="0.2">
      <c r="A5290" s="43">
        <v>44462</v>
      </c>
      <c r="D5290">
        <v>0.25</v>
      </c>
    </row>
    <row r="5291" spans="1:4" x14ac:dyDescent="0.2">
      <c r="A5291" s="43">
        <v>44463</v>
      </c>
      <c r="D5291">
        <v>0.25</v>
      </c>
    </row>
    <row r="5292" spans="1:4" x14ac:dyDescent="0.2">
      <c r="A5292" s="43">
        <v>44464</v>
      </c>
      <c r="D5292">
        <v>0.25</v>
      </c>
    </row>
    <row r="5293" spans="1:4" x14ac:dyDescent="0.2">
      <c r="A5293" s="43">
        <v>44465</v>
      </c>
      <c r="D5293">
        <v>0.25</v>
      </c>
    </row>
    <row r="5294" spans="1:4" x14ac:dyDescent="0.2">
      <c r="A5294" s="43">
        <v>44466</v>
      </c>
      <c r="D5294">
        <v>0.25</v>
      </c>
    </row>
    <row r="5295" spans="1:4" x14ac:dyDescent="0.2">
      <c r="A5295" s="43">
        <v>44467</v>
      </c>
      <c r="D5295">
        <v>0.25</v>
      </c>
    </row>
    <row r="5296" spans="1:4" x14ac:dyDescent="0.2">
      <c r="A5296" s="43">
        <v>44468</v>
      </c>
      <c r="D5296">
        <v>0.25</v>
      </c>
    </row>
    <row r="5297" spans="1:5" x14ac:dyDescent="0.2">
      <c r="A5297" s="43">
        <v>44469</v>
      </c>
      <c r="D5297">
        <v>0.25</v>
      </c>
    </row>
    <row r="5298" spans="1:5" x14ac:dyDescent="0.2">
      <c r="A5298" s="43">
        <v>44470</v>
      </c>
      <c r="B5298">
        <v>117.485</v>
      </c>
      <c r="C5298">
        <v>118.92100000000001</v>
      </c>
      <c r="D5298">
        <v>0.25</v>
      </c>
      <c r="E5298">
        <v>281.69499999999999</v>
      </c>
    </row>
    <row r="5299" spans="1:5" x14ac:dyDescent="0.2">
      <c r="A5299" s="43">
        <v>44471</v>
      </c>
      <c r="D5299">
        <v>0.25</v>
      </c>
    </row>
    <row r="5300" spans="1:5" x14ac:dyDescent="0.2">
      <c r="A5300" s="43">
        <v>44472</v>
      </c>
      <c r="D5300">
        <v>0.25</v>
      </c>
    </row>
    <row r="5301" spans="1:5" x14ac:dyDescent="0.2">
      <c r="A5301" s="43">
        <v>44473</v>
      </c>
      <c r="D5301">
        <v>0.25</v>
      </c>
    </row>
    <row r="5302" spans="1:5" x14ac:dyDescent="0.2">
      <c r="A5302" s="43">
        <v>44474</v>
      </c>
      <c r="D5302">
        <v>0.25</v>
      </c>
    </row>
    <row r="5303" spans="1:5" x14ac:dyDescent="0.2">
      <c r="A5303" s="43">
        <v>44475</v>
      </c>
      <c r="D5303">
        <v>0.25</v>
      </c>
    </row>
    <row r="5304" spans="1:5" x14ac:dyDescent="0.2">
      <c r="A5304" s="43">
        <v>44476</v>
      </c>
      <c r="D5304">
        <v>0.25</v>
      </c>
    </row>
    <row r="5305" spans="1:5" x14ac:dyDescent="0.2">
      <c r="A5305" s="43">
        <v>44477</v>
      </c>
      <c r="D5305">
        <v>0.25</v>
      </c>
    </row>
    <row r="5306" spans="1:5" x14ac:dyDescent="0.2">
      <c r="A5306" s="43">
        <v>44478</v>
      </c>
      <c r="D5306">
        <v>0.25</v>
      </c>
    </row>
    <row r="5307" spans="1:5" x14ac:dyDescent="0.2">
      <c r="A5307" s="43">
        <v>44479</v>
      </c>
      <c r="D5307">
        <v>0.25</v>
      </c>
    </row>
    <row r="5308" spans="1:5" x14ac:dyDescent="0.2">
      <c r="A5308" s="43">
        <v>44480</v>
      </c>
      <c r="D5308">
        <v>0.25</v>
      </c>
    </row>
    <row r="5309" spans="1:5" x14ac:dyDescent="0.2">
      <c r="A5309" s="43">
        <v>44481</v>
      </c>
      <c r="D5309">
        <v>0.25</v>
      </c>
    </row>
    <row r="5310" spans="1:5" x14ac:dyDescent="0.2">
      <c r="A5310" s="43">
        <v>44482</v>
      </c>
      <c r="D5310">
        <v>0.25</v>
      </c>
    </row>
    <row r="5311" spans="1:5" x14ac:dyDescent="0.2">
      <c r="A5311" s="43">
        <v>44483</v>
      </c>
      <c r="D5311">
        <v>0.25</v>
      </c>
    </row>
    <row r="5312" spans="1:5" x14ac:dyDescent="0.2">
      <c r="A5312" s="43">
        <v>44484</v>
      </c>
      <c r="D5312">
        <v>0.25</v>
      </c>
    </row>
    <row r="5313" spans="1:4" x14ac:dyDescent="0.2">
      <c r="A5313" s="43">
        <v>44485</v>
      </c>
      <c r="D5313">
        <v>0.25</v>
      </c>
    </row>
    <row r="5314" spans="1:4" x14ac:dyDescent="0.2">
      <c r="A5314" s="43">
        <v>44486</v>
      </c>
      <c r="D5314">
        <v>0.25</v>
      </c>
    </row>
    <row r="5315" spans="1:4" x14ac:dyDescent="0.2">
      <c r="A5315" s="43">
        <v>44487</v>
      </c>
      <c r="D5315">
        <v>0.25</v>
      </c>
    </row>
    <row r="5316" spans="1:4" x14ac:dyDescent="0.2">
      <c r="A5316" s="43">
        <v>44488</v>
      </c>
      <c r="D5316">
        <v>0.25</v>
      </c>
    </row>
    <row r="5317" spans="1:4" x14ac:dyDescent="0.2">
      <c r="A5317" s="43">
        <v>44489</v>
      </c>
      <c r="D5317">
        <v>0.25</v>
      </c>
    </row>
    <row r="5318" spans="1:4" x14ac:dyDescent="0.2">
      <c r="A5318" s="43">
        <v>44490</v>
      </c>
      <c r="D5318">
        <v>0.25</v>
      </c>
    </row>
    <row r="5319" spans="1:4" x14ac:dyDescent="0.2">
      <c r="A5319" s="43">
        <v>44491</v>
      </c>
      <c r="D5319">
        <v>0.25</v>
      </c>
    </row>
    <row r="5320" spans="1:4" x14ac:dyDescent="0.2">
      <c r="A5320" s="43">
        <v>44492</v>
      </c>
      <c r="D5320">
        <v>0.25</v>
      </c>
    </row>
    <row r="5321" spans="1:4" x14ac:dyDescent="0.2">
      <c r="A5321" s="43">
        <v>44493</v>
      </c>
      <c r="D5321">
        <v>0.25</v>
      </c>
    </row>
    <row r="5322" spans="1:4" x14ac:dyDescent="0.2">
      <c r="A5322" s="43">
        <v>44494</v>
      </c>
      <c r="D5322">
        <v>0.25</v>
      </c>
    </row>
    <row r="5323" spans="1:4" x14ac:dyDescent="0.2">
      <c r="A5323" s="43">
        <v>44495</v>
      </c>
      <c r="D5323">
        <v>0.25</v>
      </c>
    </row>
    <row r="5324" spans="1:4" x14ac:dyDescent="0.2">
      <c r="A5324" s="43">
        <v>44496</v>
      </c>
      <c r="D5324">
        <v>0.25</v>
      </c>
    </row>
    <row r="5325" spans="1:4" x14ac:dyDescent="0.2">
      <c r="A5325" s="43">
        <v>44497</v>
      </c>
      <c r="D5325">
        <v>0.25</v>
      </c>
    </row>
    <row r="5326" spans="1:4" x14ac:dyDescent="0.2">
      <c r="A5326" s="43">
        <v>44498</v>
      </c>
      <c r="D5326">
        <v>0.25</v>
      </c>
    </row>
    <row r="5327" spans="1:4" x14ac:dyDescent="0.2">
      <c r="A5327" s="43">
        <v>44499</v>
      </c>
      <c r="D5327">
        <v>0.25</v>
      </c>
    </row>
    <row r="5328" spans="1:4" x14ac:dyDescent="0.2">
      <c r="A5328" s="43">
        <v>44500</v>
      </c>
      <c r="D5328">
        <v>0.25</v>
      </c>
    </row>
    <row r="5329" spans="1:5" x14ac:dyDescent="0.2">
      <c r="A5329" s="43">
        <v>44501</v>
      </c>
      <c r="B5329">
        <v>118.20099999999999</v>
      </c>
      <c r="C5329">
        <v>119.47</v>
      </c>
      <c r="D5329">
        <v>0.25</v>
      </c>
      <c r="E5329">
        <v>283.20100000000002</v>
      </c>
    </row>
    <row r="5330" spans="1:5" x14ac:dyDescent="0.2">
      <c r="A5330" s="43">
        <v>44502</v>
      </c>
      <c r="D5330">
        <v>0.25</v>
      </c>
    </row>
    <row r="5331" spans="1:5" x14ac:dyDescent="0.2">
      <c r="A5331" s="43">
        <v>44503</v>
      </c>
      <c r="D5331">
        <v>0.25</v>
      </c>
    </row>
    <row r="5332" spans="1:5" x14ac:dyDescent="0.2">
      <c r="A5332" s="43">
        <v>44504</v>
      </c>
      <c r="D5332">
        <v>0.25</v>
      </c>
    </row>
    <row r="5333" spans="1:5" x14ac:dyDescent="0.2">
      <c r="A5333" s="43">
        <v>44505</v>
      </c>
      <c r="D5333">
        <v>0.25</v>
      </c>
    </row>
    <row r="5334" spans="1:5" x14ac:dyDescent="0.2">
      <c r="A5334" s="43">
        <v>44506</v>
      </c>
      <c r="D5334">
        <v>0.25</v>
      </c>
    </row>
    <row r="5335" spans="1:5" x14ac:dyDescent="0.2">
      <c r="A5335" s="43">
        <v>44507</v>
      </c>
      <c r="D5335">
        <v>0.25</v>
      </c>
    </row>
    <row r="5336" spans="1:5" x14ac:dyDescent="0.2">
      <c r="A5336" s="43">
        <v>44508</v>
      </c>
      <c r="D5336">
        <v>0.25</v>
      </c>
    </row>
    <row r="5337" spans="1:5" x14ac:dyDescent="0.2">
      <c r="A5337" s="43">
        <v>44509</v>
      </c>
      <c r="D5337">
        <v>0.25</v>
      </c>
    </row>
    <row r="5338" spans="1:5" x14ac:dyDescent="0.2">
      <c r="A5338" s="43">
        <v>44510</v>
      </c>
      <c r="D5338">
        <v>0.25</v>
      </c>
    </row>
    <row r="5339" spans="1:5" x14ac:dyDescent="0.2">
      <c r="A5339" s="43">
        <v>44511</v>
      </c>
      <c r="D5339">
        <v>0.25</v>
      </c>
    </row>
    <row r="5340" spans="1:5" x14ac:dyDescent="0.2">
      <c r="A5340" s="43">
        <v>44512</v>
      </c>
      <c r="D5340">
        <v>0.25</v>
      </c>
    </row>
    <row r="5341" spans="1:5" x14ac:dyDescent="0.2">
      <c r="A5341" s="43">
        <v>44513</v>
      </c>
      <c r="D5341">
        <v>0.25</v>
      </c>
    </row>
    <row r="5342" spans="1:5" x14ac:dyDescent="0.2">
      <c r="A5342" s="43">
        <v>44514</v>
      </c>
      <c r="D5342">
        <v>0.25</v>
      </c>
    </row>
    <row r="5343" spans="1:5" x14ac:dyDescent="0.2">
      <c r="A5343" s="43">
        <v>44515</v>
      </c>
      <c r="D5343">
        <v>0.25</v>
      </c>
    </row>
    <row r="5344" spans="1:5" x14ac:dyDescent="0.2">
      <c r="A5344" s="43">
        <v>44516</v>
      </c>
      <c r="D5344">
        <v>0.25</v>
      </c>
    </row>
    <row r="5345" spans="1:5" x14ac:dyDescent="0.2">
      <c r="A5345" s="43">
        <v>44517</v>
      </c>
      <c r="D5345">
        <v>0.25</v>
      </c>
    </row>
    <row r="5346" spans="1:5" x14ac:dyDescent="0.2">
      <c r="A5346" s="43">
        <v>44518</v>
      </c>
      <c r="D5346">
        <v>0.25</v>
      </c>
    </row>
    <row r="5347" spans="1:5" x14ac:dyDescent="0.2">
      <c r="A5347" s="43">
        <v>44519</v>
      </c>
      <c r="D5347">
        <v>0.25</v>
      </c>
    </row>
    <row r="5348" spans="1:5" x14ac:dyDescent="0.2">
      <c r="A5348" s="43">
        <v>44520</v>
      </c>
      <c r="D5348">
        <v>0.25</v>
      </c>
    </row>
    <row r="5349" spans="1:5" x14ac:dyDescent="0.2">
      <c r="A5349" s="43">
        <v>44521</v>
      </c>
      <c r="D5349">
        <v>0.25</v>
      </c>
    </row>
    <row r="5350" spans="1:5" x14ac:dyDescent="0.2">
      <c r="A5350" s="43">
        <v>44522</v>
      </c>
      <c r="D5350">
        <v>0.25</v>
      </c>
    </row>
    <row r="5351" spans="1:5" x14ac:dyDescent="0.2">
      <c r="A5351" s="43">
        <v>44523</v>
      </c>
      <c r="D5351">
        <v>0.25</v>
      </c>
    </row>
    <row r="5352" spans="1:5" x14ac:dyDescent="0.2">
      <c r="A5352" s="43">
        <v>44524</v>
      </c>
      <c r="D5352">
        <v>0.25</v>
      </c>
    </row>
    <row r="5353" spans="1:5" x14ac:dyDescent="0.2">
      <c r="A5353" s="43">
        <v>44525</v>
      </c>
      <c r="D5353">
        <v>0.25</v>
      </c>
    </row>
    <row r="5354" spans="1:5" x14ac:dyDescent="0.2">
      <c r="A5354" s="43">
        <v>44526</v>
      </c>
      <c r="D5354">
        <v>0.25</v>
      </c>
    </row>
    <row r="5355" spans="1:5" x14ac:dyDescent="0.2">
      <c r="A5355" s="43">
        <v>44527</v>
      </c>
      <c r="D5355">
        <v>0.25</v>
      </c>
    </row>
    <row r="5356" spans="1:5" x14ac:dyDescent="0.2">
      <c r="A5356" s="43">
        <v>44528</v>
      </c>
      <c r="D5356">
        <v>0.25</v>
      </c>
    </row>
    <row r="5357" spans="1:5" x14ac:dyDescent="0.2">
      <c r="A5357" s="43">
        <v>44529</v>
      </c>
      <c r="D5357">
        <v>0.25</v>
      </c>
    </row>
    <row r="5358" spans="1:5" x14ac:dyDescent="0.2">
      <c r="A5358" s="43">
        <v>44530</v>
      </c>
      <c r="D5358">
        <v>0.25</v>
      </c>
    </row>
    <row r="5359" spans="1:5" x14ac:dyDescent="0.2">
      <c r="A5359" s="43">
        <v>44531</v>
      </c>
      <c r="D5359">
        <v>0.25</v>
      </c>
      <c r="E5359">
        <v>284.75900000000001</v>
      </c>
    </row>
    <row r="5360" spans="1:5" x14ac:dyDescent="0.2">
      <c r="A5360" s="43">
        <v>44532</v>
      </c>
      <c r="D5360">
        <v>0.25</v>
      </c>
    </row>
    <row r="5361" spans="1:4" x14ac:dyDescent="0.2">
      <c r="A5361" s="43">
        <v>44533</v>
      </c>
      <c r="D5361">
        <v>0.25</v>
      </c>
    </row>
    <row r="5362" spans="1:4" x14ac:dyDescent="0.2">
      <c r="A5362" s="43">
        <v>44534</v>
      </c>
      <c r="D5362">
        <v>0.25</v>
      </c>
    </row>
    <row r="5363" spans="1:4" x14ac:dyDescent="0.2">
      <c r="A5363" s="43">
        <v>44535</v>
      </c>
      <c r="D5363">
        <v>0.25</v>
      </c>
    </row>
    <row r="5364" spans="1:4" x14ac:dyDescent="0.2">
      <c r="A5364" s="43">
        <v>44536</v>
      </c>
      <c r="D5364">
        <v>0.25</v>
      </c>
    </row>
    <row r="5365" spans="1:4" x14ac:dyDescent="0.2">
      <c r="A5365" s="43">
        <v>44537</v>
      </c>
      <c r="D5365">
        <v>0.25</v>
      </c>
    </row>
    <row r="5366" spans="1:4" x14ac:dyDescent="0.2">
      <c r="A5366" s="43">
        <v>44538</v>
      </c>
      <c r="D5366">
        <v>0.25</v>
      </c>
    </row>
    <row r="5367" spans="1:4" x14ac:dyDescent="0.2">
      <c r="A5367" s="43">
        <v>44539</v>
      </c>
      <c r="D5367">
        <v>0.25</v>
      </c>
    </row>
    <row r="5368" spans="1:4" x14ac:dyDescent="0.2">
      <c r="A5368" s="43">
        <v>44540</v>
      </c>
      <c r="D5368">
        <v>0.25</v>
      </c>
    </row>
    <row r="5369" spans="1:4" x14ac:dyDescent="0.2">
      <c r="A5369" s="43">
        <v>44541</v>
      </c>
      <c r="D5369">
        <v>0.25</v>
      </c>
    </row>
    <row r="5370" spans="1:4" x14ac:dyDescent="0.2">
      <c r="A5370" s="43">
        <v>44542</v>
      </c>
      <c r="D5370">
        <v>0.25</v>
      </c>
    </row>
    <row r="5371" spans="1:4" x14ac:dyDescent="0.2">
      <c r="A5371" s="43">
        <v>44543</v>
      </c>
      <c r="D5371">
        <v>0.25</v>
      </c>
    </row>
    <row r="5372" spans="1:4" x14ac:dyDescent="0.2">
      <c r="A5372" s="43">
        <v>44544</v>
      </c>
      <c r="D5372">
        <v>0.25</v>
      </c>
    </row>
    <row r="5373" spans="1:4" x14ac:dyDescent="0.2">
      <c r="A5373" s="43">
        <v>44545</v>
      </c>
      <c r="D5373">
        <v>0.25</v>
      </c>
    </row>
    <row r="5374" spans="1:4" x14ac:dyDescent="0.2">
      <c r="A5374" s="43">
        <v>44546</v>
      </c>
      <c r="D5374">
        <v>0.25</v>
      </c>
    </row>
    <row r="5375" spans="1:4" x14ac:dyDescent="0.2">
      <c r="A5375" s="43">
        <v>44547</v>
      </c>
      <c r="D5375">
        <v>0.25</v>
      </c>
    </row>
    <row r="5376" spans="1:4" x14ac:dyDescent="0.2">
      <c r="A5376" s="43">
        <v>44548</v>
      </c>
      <c r="D5376">
        <v>0.25</v>
      </c>
    </row>
    <row r="5377" spans="1:4" x14ac:dyDescent="0.2">
      <c r="A5377" s="43">
        <v>44549</v>
      </c>
      <c r="D5377">
        <v>0.25</v>
      </c>
    </row>
    <row r="5378" spans="1:4" x14ac:dyDescent="0.2">
      <c r="A5378" s="43">
        <v>44550</v>
      </c>
      <c r="D5378">
        <v>0.25</v>
      </c>
    </row>
    <row r="5379" spans="1:4" x14ac:dyDescent="0.2">
      <c r="A5379" s="43">
        <v>44551</v>
      </c>
      <c r="D5379">
        <v>0.25</v>
      </c>
    </row>
    <row r="5380" spans="1:4" x14ac:dyDescent="0.2">
      <c r="A5380" s="43">
        <v>44552</v>
      </c>
      <c r="D5380">
        <v>0.25</v>
      </c>
    </row>
    <row r="5381" spans="1:4" x14ac:dyDescent="0.2">
      <c r="A5381" s="43">
        <v>44553</v>
      </c>
      <c r="D5381">
        <v>0.25</v>
      </c>
    </row>
    <row r="5382" spans="1:4" x14ac:dyDescent="0.2">
      <c r="A5382" s="43">
        <v>44554</v>
      </c>
      <c r="D5382">
        <v>0.25</v>
      </c>
    </row>
    <row r="5383" spans="1:4" x14ac:dyDescent="0.2">
      <c r="A5383" s="43">
        <v>44555</v>
      </c>
      <c r="D5383">
        <v>0.25</v>
      </c>
    </row>
    <row r="5384" spans="1:4" x14ac:dyDescent="0.2">
      <c r="A5384" s="43">
        <v>44556</v>
      </c>
      <c r="D5384">
        <v>0.25</v>
      </c>
    </row>
    <row r="5385" spans="1:4" x14ac:dyDescent="0.2">
      <c r="A5385" s="43">
        <v>44557</v>
      </c>
      <c r="D5385">
        <v>0.25</v>
      </c>
    </row>
    <row r="5386" spans="1:4" x14ac:dyDescent="0.2">
      <c r="A5386" s="43">
        <v>44558</v>
      </c>
      <c r="D5386">
        <v>0.25</v>
      </c>
    </row>
    <row r="5387" spans="1:4" x14ac:dyDescent="0.2">
      <c r="A5387" s="43">
        <v>44559</v>
      </c>
      <c r="D5387">
        <v>0.25</v>
      </c>
    </row>
    <row r="5388" spans="1:4" x14ac:dyDescent="0.2">
      <c r="A5388" s="43">
        <v>44560</v>
      </c>
      <c r="D5388">
        <v>0.25</v>
      </c>
    </row>
    <row r="5389" spans="1:4" x14ac:dyDescent="0.2">
      <c r="A5389" s="43">
        <v>44561</v>
      </c>
      <c r="D5389">
        <v>0.25</v>
      </c>
    </row>
    <row r="5390" spans="1:4" x14ac:dyDescent="0.2">
      <c r="A5390" s="43">
        <v>44562</v>
      </c>
      <c r="D5390">
        <v>0.25</v>
      </c>
    </row>
    <row r="5391" spans="1:4" x14ac:dyDescent="0.2">
      <c r="A5391" s="43">
        <v>44563</v>
      </c>
      <c r="D5391">
        <v>0.25</v>
      </c>
    </row>
    <row r="5392" spans="1:4" x14ac:dyDescent="0.2">
      <c r="A5392" s="43">
        <v>44564</v>
      </c>
      <c r="D5392">
        <v>0.25</v>
      </c>
    </row>
    <row r="5393" spans="1:4" x14ac:dyDescent="0.2">
      <c r="A5393" s="43">
        <v>44565</v>
      </c>
      <c r="D5393">
        <v>0.25</v>
      </c>
    </row>
    <row r="5394" spans="1:4" x14ac:dyDescent="0.2">
      <c r="A5394" s="43">
        <v>44566</v>
      </c>
      <c r="D5394">
        <v>0.25</v>
      </c>
    </row>
    <row r="5395" spans="1:4" x14ac:dyDescent="0.2">
      <c r="A5395" s="43">
        <v>44567</v>
      </c>
      <c r="D5395">
        <v>0.25</v>
      </c>
    </row>
    <row r="5396" spans="1:4" x14ac:dyDescent="0.2">
      <c r="A5396" s="43">
        <v>44568</v>
      </c>
      <c r="D5396">
        <v>0.25</v>
      </c>
    </row>
    <row r="5397" spans="1:4" x14ac:dyDescent="0.2">
      <c r="A5397" s="43">
        <v>44569</v>
      </c>
      <c r="D5397">
        <v>0.25</v>
      </c>
    </row>
    <row r="5398" spans="1:4" x14ac:dyDescent="0.2">
      <c r="A5398" s="43">
        <v>44570</v>
      </c>
      <c r="D5398">
        <v>0.25</v>
      </c>
    </row>
    <row r="5399" spans="1:4" x14ac:dyDescent="0.2">
      <c r="A5399" s="43">
        <v>44571</v>
      </c>
      <c r="D5399">
        <v>0.25</v>
      </c>
    </row>
    <row r="5400" spans="1:4" x14ac:dyDescent="0.2">
      <c r="A5400" s="43">
        <v>44572</v>
      </c>
      <c r="D5400">
        <v>0.25</v>
      </c>
    </row>
    <row r="5401" spans="1:4" x14ac:dyDescent="0.2">
      <c r="A5401" s="43">
        <v>44573</v>
      </c>
      <c r="D5401">
        <v>0.25</v>
      </c>
    </row>
    <row r="5402" spans="1:4" x14ac:dyDescent="0.2">
      <c r="A5402" s="43">
        <v>44574</v>
      </c>
      <c r="D5402">
        <v>0.25</v>
      </c>
    </row>
    <row r="5403" spans="1:4" x14ac:dyDescent="0.2">
      <c r="A5403" s="43">
        <v>44575</v>
      </c>
      <c r="D5403">
        <v>0.25</v>
      </c>
    </row>
    <row r="5404" spans="1:4" x14ac:dyDescent="0.2">
      <c r="A5404" s="43">
        <v>44576</v>
      </c>
      <c r="D5404">
        <v>0.25</v>
      </c>
    </row>
    <row r="5405" spans="1:4" x14ac:dyDescent="0.2">
      <c r="A5405" s="43">
        <v>44577</v>
      </c>
      <c r="D5405">
        <v>0.25</v>
      </c>
    </row>
    <row r="5406" spans="1:4" x14ac:dyDescent="0.2">
      <c r="A5406" s="43">
        <v>44578</v>
      </c>
      <c r="D5406">
        <v>0.25</v>
      </c>
    </row>
    <row r="5407" spans="1:4" x14ac:dyDescent="0.2">
      <c r="A5407" s="43">
        <v>44579</v>
      </c>
      <c r="D5407">
        <v>0.25</v>
      </c>
    </row>
    <row r="5408" spans="1:4" x14ac:dyDescent="0.2">
      <c r="A5408" s="43">
        <v>44580</v>
      </c>
      <c r="D5408">
        <v>0.25</v>
      </c>
    </row>
    <row r="5409" spans="1:4" x14ac:dyDescent="0.2">
      <c r="A5409" s="43">
        <v>44581</v>
      </c>
      <c r="D5409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WVL1203"/>
  <sheetViews>
    <sheetView zoomScale="160" zoomScaleNormal="160" workbookViewId="0">
      <pane ySplit="4" topLeftCell="A716" activePane="bottomLeft" state="frozen"/>
      <selection pane="bottomLeft" activeCell="B745" sqref="B745"/>
    </sheetView>
  </sheetViews>
  <sheetFormatPr baseColWidth="10" defaultColWidth="8.83203125" defaultRowHeight="15" x14ac:dyDescent="0.2"/>
  <cols>
    <col min="1" max="1" width="10.83203125" style="3" customWidth="1"/>
    <col min="2" max="2" width="18.1640625" style="44" customWidth="1"/>
    <col min="3" max="3" width="15" style="1" customWidth="1"/>
    <col min="4" max="4" width="13" style="2" customWidth="1"/>
    <col min="5" max="66" width="9.1640625" style="42" customWidth="1"/>
    <col min="253" max="253" width="10.83203125" style="34" customWidth="1"/>
    <col min="254" max="254" width="18.1640625" style="34" customWidth="1"/>
    <col min="255" max="255" width="15" style="34" customWidth="1"/>
    <col min="256" max="259" width="13" style="34" customWidth="1"/>
    <col min="260" max="260" width="17.6640625" style="34" customWidth="1"/>
    <col min="509" max="509" width="10.83203125" style="34" customWidth="1"/>
    <col min="510" max="510" width="18.1640625" style="34" customWidth="1"/>
    <col min="511" max="511" width="15" style="34" customWidth="1"/>
    <col min="512" max="515" width="13" style="34" customWidth="1"/>
    <col min="516" max="516" width="17.6640625" style="34" customWidth="1"/>
    <col min="765" max="765" width="10.83203125" style="34" customWidth="1"/>
    <col min="766" max="766" width="18.1640625" style="34" customWidth="1"/>
    <col min="767" max="767" width="15" style="34" customWidth="1"/>
    <col min="768" max="771" width="13" style="34" customWidth="1"/>
    <col min="772" max="772" width="17.6640625" style="34" customWidth="1"/>
    <col min="1021" max="1021" width="10.83203125" style="34" customWidth="1"/>
    <col min="1022" max="1022" width="18.1640625" style="34" customWidth="1"/>
    <col min="1023" max="1023" width="15" style="34" customWidth="1"/>
    <col min="1024" max="1027" width="13" style="34" customWidth="1"/>
    <col min="1028" max="1028" width="17.6640625" style="34" customWidth="1"/>
    <col min="1277" max="1277" width="10.83203125" style="34" customWidth="1"/>
    <col min="1278" max="1278" width="18.1640625" style="34" customWidth="1"/>
    <col min="1279" max="1279" width="15" style="34" customWidth="1"/>
    <col min="1280" max="1283" width="13" style="34" customWidth="1"/>
    <col min="1284" max="1284" width="17.6640625" style="34" customWidth="1"/>
    <col min="1533" max="1533" width="10.83203125" style="34" customWidth="1"/>
    <col min="1534" max="1534" width="18.1640625" style="34" customWidth="1"/>
    <col min="1535" max="1535" width="15" style="34" customWidth="1"/>
    <col min="1536" max="1539" width="13" style="34" customWidth="1"/>
    <col min="1540" max="1540" width="17.6640625" style="34" customWidth="1"/>
    <col min="1789" max="1789" width="10.83203125" style="34" customWidth="1"/>
    <col min="1790" max="1790" width="18.1640625" style="34" customWidth="1"/>
    <col min="1791" max="1791" width="15" style="34" customWidth="1"/>
    <col min="1792" max="1795" width="13" style="34" customWidth="1"/>
    <col min="1796" max="1796" width="17.6640625" style="34" customWidth="1"/>
    <col min="2045" max="2045" width="10.83203125" style="34" customWidth="1"/>
    <col min="2046" max="2046" width="18.1640625" style="34" customWidth="1"/>
    <col min="2047" max="2047" width="15" style="34" customWidth="1"/>
    <col min="2048" max="2051" width="13" style="34" customWidth="1"/>
    <col min="2052" max="2052" width="17.6640625" style="34" customWidth="1"/>
    <col min="2301" max="2301" width="10.83203125" style="34" customWidth="1"/>
    <col min="2302" max="2302" width="18.1640625" style="34" customWidth="1"/>
    <col min="2303" max="2303" width="15" style="34" customWidth="1"/>
    <col min="2304" max="2307" width="13" style="34" customWidth="1"/>
    <col min="2308" max="2308" width="17.6640625" style="34" customWidth="1"/>
    <col min="2557" max="2557" width="10.83203125" style="34" customWidth="1"/>
    <col min="2558" max="2558" width="18.1640625" style="34" customWidth="1"/>
    <col min="2559" max="2559" width="15" style="34" customWidth="1"/>
    <col min="2560" max="2563" width="13" style="34" customWidth="1"/>
    <col min="2564" max="2564" width="17.6640625" style="34" customWidth="1"/>
    <col min="2813" max="2813" width="10.83203125" style="34" customWidth="1"/>
    <col min="2814" max="2814" width="18.1640625" style="34" customWidth="1"/>
    <col min="2815" max="2815" width="15" style="34" customWidth="1"/>
    <col min="2816" max="2819" width="13" style="34" customWidth="1"/>
    <col min="2820" max="2820" width="17.6640625" style="34" customWidth="1"/>
    <col min="3069" max="3069" width="10.83203125" style="34" customWidth="1"/>
    <col min="3070" max="3070" width="18.1640625" style="34" customWidth="1"/>
    <col min="3071" max="3071" width="15" style="34" customWidth="1"/>
    <col min="3072" max="3075" width="13" style="34" customWidth="1"/>
    <col min="3076" max="3076" width="17.6640625" style="34" customWidth="1"/>
    <col min="3325" max="3325" width="10.83203125" style="34" customWidth="1"/>
    <col min="3326" max="3326" width="18.1640625" style="34" customWidth="1"/>
    <col min="3327" max="3327" width="15" style="34" customWidth="1"/>
    <col min="3328" max="3331" width="13" style="34" customWidth="1"/>
    <col min="3332" max="3332" width="17.6640625" style="34" customWidth="1"/>
    <col min="3581" max="3581" width="10.83203125" style="34" customWidth="1"/>
    <col min="3582" max="3582" width="18.1640625" style="34" customWidth="1"/>
    <col min="3583" max="3583" width="15" style="34" customWidth="1"/>
    <col min="3584" max="3587" width="13" style="34" customWidth="1"/>
    <col min="3588" max="3588" width="17.6640625" style="34" customWidth="1"/>
    <col min="3837" max="3837" width="10.83203125" style="34" customWidth="1"/>
    <col min="3838" max="3838" width="18.1640625" style="34" customWidth="1"/>
    <col min="3839" max="3839" width="15" style="34" customWidth="1"/>
    <col min="3840" max="3843" width="13" style="34" customWidth="1"/>
    <col min="3844" max="3844" width="17.6640625" style="34" customWidth="1"/>
    <col min="4093" max="4093" width="10.83203125" style="34" customWidth="1"/>
    <col min="4094" max="4094" width="18.1640625" style="34" customWidth="1"/>
    <col min="4095" max="4095" width="15" style="34" customWidth="1"/>
    <col min="4096" max="4099" width="13" style="34" customWidth="1"/>
    <col min="4100" max="4100" width="17.6640625" style="34" customWidth="1"/>
    <col min="4349" max="4349" width="10.83203125" style="34" customWidth="1"/>
    <col min="4350" max="4350" width="18.1640625" style="34" customWidth="1"/>
    <col min="4351" max="4351" width="15" style="34" customWidth="1"/>
    <col min="4352" max="4355" width="13" style="34" customWidth="1"/>
    <col min="4356" max="4356" width="17.6640625" style="34" customWidth="1"/>
    <col min="4605" max="4605" width="10.83203125" style="34" customWidth="1"/>
    <col min="4606" max="4606" width="18.1640625" style="34" customWidth="1"/>
    <col min="4607" max="4607" width="15" style="34" customWidth="1"/>
    <col min="4608" max="4611" width="13" style="34" customWidth="1"/>
    <col min="4612" max="4612" width="17.6640625" style="34" customWidth="1"/>
    <col min="4861" max="4861" width="10.83203125" style="34" customWidth="1"/>
    <col min="4862" max="4862" width="18.1640625" style="34" customWidth="1"/>
    <col min="4863" max="4863" width="15" style="34" customWidth="1"/>
    <col min="4864" max="4867" width="13" style="34" customWidth="1"/>
    <col min="4868" max="4868" width="17.6640625" style="34" customWidth="1"/>
    <col min="5117" max="5117" width="10.83203125" style="34" customWidth="1"/>
    <col min="5118" max="5118" width="18.1640625" style="34" customWidth="1"/>
    <col min="5119" max="5119" width="15" style="34" customWidth="1"/>
    <col min="5120" max="5123" width="13" style="34" customWidth="1"/>
    <col min="5124" max="5124" width="17.6640625" style="34" customWidth="1"/>
    <col min="5373" max="5373" width="10.83203125" style="34" customWidth="1"/>
    <col min="5374" max="5374" width="18.1640625" style="34" customWidth="1"/>
    <col min="5375" max="5375" width="15" style="34" customWidth="1"/>
    <col min="5376" max="5379" width="13" style="34" customWidth="1"/>
    <col min="5380" max="5380" width="17.6640625" style="34" customWidth="1"/>
    <col min="5629" max="5629" width="10.83203125" style="34" customWidth="1"/>
    <col min="5630" max="5630" width="18.1640625" style="34" customWidth="1"/>
    <col min="5631" max="5631" width="15" style="34" customWidth="1"/>
    <col min="5632" max="5635" width="13" style="34" customWidth="1"/>
    <col min="5636" max="5636" width="17.6640625" style="34" customWidth="1"/>
    <col min="5885" max="5885" width="10.83203125" style="34" customWidth="1"/>
    <col min="5886" max="5886" width="18.1640625" style="34" customWidth="1"/>
    <col min="5887" max="5887" width="15" style="34" customWidth="1"/>
    <col min="5888" max="5891" width="13" style="34" customWidth="1"/>
    <col min="5892" max="5892" width="17.6640625" style="34" customWidth="1"/>
    <col min="6141" max="6141" width="10.83203125" style="34" customWidth="1"/>
    <col min="6142" max="6142" width="18.1640625" style="34" customWidth="1"/>
    <col min="6143" max="6143" width="15" style="34" customWidth="1"/>
    <col min="6144" max="6147" width="13" style="34" customWidth="1"/>
    <col min="6148" max="6148" width="17.6640625" style="34" customWidth="1"/>
    <col min="6397" max="6397" width="10.83203125" style="34" customWidth="1"/>
    <col min="6398" max="6398" width="18.1640625" style="34" customWidth="1"/>
    <col min="6399" max="6399" width="15" style="34" customWidth="1"/>
    <col min="6400" max="6403" width="13" style="34" customWidth="1"/>
    <col min="6404" max="6404" width="17.6640625" style="34" customWidth="1"/>
    <col min="6653" max="6653" width="10.83203125" style="34" customWidth="1"/>
    <col min="6654" max="6654" width="18.1640625" style="34" customWidth="1"/>
    <col min="6655" max="6655" width="15" style="34" customWidth="1"/>
    <col min="6656" max="6659" width="13" style="34" customWidth="1"/>
    <col min="6660" max="6660" width="17.6640625" style="34" customWidth="1"/>
    <col min="6909" max="6909" width="10.83203125" style="34" customWidth="1"/>
    <col min="6910" max="6910" width="18.1640625" style="34" customWidth="1"/>
    <col min="6911" max="6911" width="15" style="34" customWidth="1"/>
    <col min="6912" max="6915" width="13" style="34" customWidth="1"/>
    <col min="6916" max="6916" width="17.6640625" style="34" customWidth="1"/>
    <col min="7165" max="7165" width="10.83203125" style="34" customWidth="1"/>
    <col min="7166" max="7166" width="18.1640625" style="34" customWidth="1"/>
    <col min="7167" max="7167" width="15" style="34" customWidth="1"/>
    <col min="7168" max="7171" width="13" style="34" customWidth="1"/>
    <col min="7172" max="7172" width="17.6640625" style="34" customWidth="1"/>
    <col min="7421" max="7421" width="10.83203125" style="34" customWidth="1"/>
    <col min="7422" max="7422" width="18.1640625" style="34" customWidth="1"/>
    <col min="7423" max="7423" width="15" style="34" customWidth="1"/>
    <col min="7424" max="7427" width="13" style="34" customWidth="1"/>
    <col min="7428" max="7428" width="17.6640625" style="34" customWidth="1"/>
    <col min="7677" max="7677" width="10.83203125" style="34" customWidth="1"/>
    <col min="7678" max="7678" width="18.1640625" style="34" customWidth="1"/>
    <col min="7679" max="7679" width="15" style="34" customWidth="1"/>
    <col min="7680" max="7683" width="13" style="34" customWidth="1"/>
    <col min="7684" max="7684" width="17.6640625" style="34" customWidth="1"/>
    <col min="7933" max="7933" width="10.83203125" style="34" customWidth="1"/>
    <col min="7934" max="7934" width="18.1640625" style="34" customWidth="1"/>
    <col min="7935" max="7935" width="15" style="34" customWidth="1"/>
    <col min="7936" max="7939" width="13" style="34" customWidth="1"/>
    <col min="7940" max="7940" width="17.6640625" style="34" customWidth="1"/>
    <col min="8189" max="8189" width="10.83203125" style="34" customWidth="1"/>
    <col min="8190" max="8190" width="18.1640625" style="34" customWidth="1"/>
    <col min="8191" max="8191" width="15" style="34" customWidth="1"/>
    <col min="8192" max="8195" width="13" style="34" customWidth="1"/>
    <col min="8196" max="8196" width="17.6640625" style="34" customWidth="1"/>
    <col min="8445" max="8445" width="10.83203125" style="34" customWidth="1"/>
    <col min="8446" max="8446" width="18.1640625" style="34" customWidth="1"/>
    <col min="8447" max="8447" width="15" style="34" customWidth="1"/>
    <col min="8448" max="8451" width="13" style="34" customWidth="1"/>
    <col min="8452" max="8452" width="17.6640625" style="34" customWidth="1"/>
    <col min="8701" max="8701" width="10.83203125" style="34" customWidth="1"/>
    <col min="8702" max="8702" width="18.1640625" style="34" customWidth="1"/>
    <col min="8703" max="8703" width="15" style="34" customWidth="1"/>
    <col min="8704" max="8707" width="13" style="34" customWidth="1"/>
    <col min="8708" max="8708" width="17.6640625" style="34" customWidth="1"/>
    <col min="8957" max="8957" width="10.83203125" style="34" customWidth="1"/>
    <col min="8958" max="8958" width="18.1640625" style="34" customWidth="1"/>
    <col min="8959" max="8959" width="15" style="34" customWidth="1"/>
    <col min="8960" max="8963" width="13" style="34" customWidth="1"/>
    <col min="8964" max="8964" width="17.6640625" style="34" customWidth="1"/>
    <col min="9213" max="9213" width="10.83203125" style="34" customWidth="1"/>
    <col min="9214" max="9214" width="18.1640625" style="34" customWidth="1"/>
    <col min="9215" max="9215" width="15" style="34" customWidth="1"/>
    <col min="9216" max="9219" width="13" style="34" customWidth="1"/>
    <col min="9220" max="9220" width="17.6640625" style="34" customWidth="1"/>
    <col min="9469" max="9469" width="10.83203125" style="34" customWidth="1"/>
    <col min="9470" max="9470" width="18.1640625" style="34" customWidth="1"/>
    <col min="9471" max="9471" width="15" style="34" customWidth="1"/>
    <col min="9472" max="9475" width="13" style="34" customWidth="1"/>
    <col min="9476" max="9476" width="17.6640625" style="34" customWidth="1"/>
    <col min="9725" max="9725" width="10.83203125" style="34" customWidth="1"/>
    <col min="9726" max="9726" width="18.1640625" style="34" customWidth="1"/>
    <col min="9727" max="9727" width="15" style="34" customWidth="1"/>
    <col min="9728" max="9731" width="13" style="34" customWidth="1"/>
    <col min="9732" max="9732" width="17.6640625" style="34" customWidth="1"/>
    <col min="9981" max="9981" width="10.83203125" style="34" customWidth="1"/>
    <col min="9982" max="9982" width="18.1640625" style="34" customWidth="1"/>
    <col min="9983" max="9983" width="15" style="34" customWidth="1"/>
    <col min="9984" max="9987" width="13" style="34" customWidth="1"/>
    <col min="9988" max="9988" width="17.6640625" style="34" customWidth="1"/>
    <col min="10237" max="10237" width="10.83203125" style="34" customWidth="1"/>
    <col min="10238" max="10238" width="18.1640625" style="34" customWidth="1"/>
    <col min="10239" max="10239" width="15" style="34" customWidth="1"/>
    <col min="10240" max="10243" width="13" style="34" customWidth="1"/>
    <col min="10244" max="10244" width="17.6640625" style="34" customWidth="1"/>
    <col min="10493" max="10493" width="10.83203125" style="34" customWidth="1"/>
    <col min="10494" max="10494" width="18.1640625" style="34" customWidth="1"/>
    <col min="10495" max="10495" width="15" style="34" customWidth="1"/>
    <col min="10496" max="10499" width="13" style="34" customWidth="1"/>
    <col min="10500" max="10500" width="17.6640625" style="34" customWidth="1"/>
    <col min="10749" max="10749" width="10.83203125" style="34" customWidth="1"/>
    <col min="10750" max="10750" width="18.1640625" style="34" customWidth="1"/>
    <col min="10751" max="10751" width="15" style="34" customWidth="1"/>
    <col min="10752" max="10755" width="13" style="34" customWidth="1"/>
    <col min="10756" max="10756" width="17.6640625" style="34" customWidth="1"/>
    <col min="11005" max="11005" width="10.83203125" style="34" customWidth="1"/>
    <col min="11006" max="11006" width="18.1640625" style="34" customWidth="1"/>
    <col min="11007" max="11007" width="15" style="34" customWidth="1"/>
    <col min="11008" max="11011" width="13" style="34" customWidth="1"/>
    <col min="11012" max="11012" width="17.6640625" style="34" customWidth="1"/>
    <col min="11261" max="11261" width="10.83203125" style="34" customWidth="1"/>
    <col min="11262" max="11262" width="18.1640625" style="34" customWidth="1"/>
    <col min="11263" max="11263" width="15" style="34" customWidth="1"/>
    <col min="11264" max="11267" width="13" style="34" customWidth="1"/>
    <col min="11268" max="11268" width="17.6640625" style="34" customWidth="1"/>
    <col min="11517" max="11517" width="10.83203125" style="34" customWidth="1"/>
    <col min="11518" max="11518" width="18.1640625" style="34" customWidth="1"/>
    <col min="11519" max="11519" width="15" style="34" customWidth="1"/>
    <col min="11520" max="11523" width="13" style="34" customWidth="1"/>
    <col min="11524" max="11524" width="17.6640625" style="34" customWidth="1"/>
    <col min="11773" max="11773" width="10.83203125" style="34" customWidth="1"/>
    <col min="11774" max="11774" width="18.1640625" style="34" customWidth="1"/>
    <col min="11775" max="11775" width="15" style="34" customWidth="1"/>
    <col min="11776" max="11779" width="13" style="34" customWidth="1"/>
    <col min="11780" max="11780" width="17.6640625" style="34" customWidth="1"/>
    <col min="12029" max="12029" width="10.83203125" style="34" customWidth="1"/>
    <col min="12030" max="12030" width="18.1640625" style="34" customWidth="1"/>
    <col min="12031" max="12031" width="15" style="34" customWidth="1"/>
    <col min="12032" max="12035" width="13" style="34" customWidth="1"/>
    <col min="12036" max="12036" width="17.6640625" style="34" customWidth="1"/>
    <col min="12285" max="12285" width="10.83203125" style="34" customWidth="1"/>
    <col min="12286" max="12286" width="18.1640625" style="34" customWidth="1"/>
    <col min="12287" max="12287" width="15" style="34" customWidth="1"/>
    <col min="12288" max="12291" width="13" style="34" customWidth="1"/>
    <col min="12292" max="12292" width="17.6640625" style="34" customWidth="1"/>
    <col min="12541" max="12541" width="10.83203125" style="34" customWidth="1"/>
    <col min="12542" max="12542" width="18.1640625" style="34" customWidth="1"/>
    <col min="12543" max="12543" width="15" style="34" customWidth="1"/>
    <col min="12544" max="12547" width="13" style="34" customWidth="1"/>
    <col min="12548" max="12548" width="17.6640625" style="34" customWidth="1"/>
    <col min="12797" max="12797" width="10.83203125" style="34" customWidth="1"/>
    <col min="12798" max="12798" width="18.1640625" style="34" customWidth="1"/>
    <col min="12799" max="12799" width="15" style="34" customWidth="1"/>
    <col min="12800" max="12803" width="13" style="34" customWidth="1"/>
    <col min="12804" max="12804" width="17.6640625" style="34" customWidth="1"/>
    <col min="13053" max="13053" width="10.83203125" style="34" customWidth="1"/>
    <col min="13054" max="13054" width="18.1640625" style="34" customWidth="1"/>
    <col min="13055" max="13055" width="15" style="34" customWidth="1"/>
    <col min="13056" max="13059" width="13" style="34" customWidth="1"/>
    <col min="13060" max="13060" width="17.6640625" style="34" customWidth="1"/>
    <col min="13309" max="13309" width="10.83203125" style="34" customWidth="1"/>
    <col min="13310" max="13310" width="18.1640625" style="34" customWidth="1"/>
    <col min="13311" max="13311" width="15" style="34" customWidth="1"/>
    <col min="13312" max="13315" width="13" style="34" customWidth="1"/>
    <col min="13316" max="13316" width="17.6640625" style="34" customWidth="1"/>
    <col min="13565" max="13565" width="10.83203125" style="34" customWidth="1"/>
    <col min="13566" max="13566" width="18.1640625" style="34" customWidth="1"/>
    <col min="13567" max="13567" width="15" style="34" customWidth="1"/>
    <col min="13568" max="13571" width="13" style="34" customWidth="1"/>
    <col min="13572" max="13572" width="17.6640625" style="34" customWidth="1"/>
    <col min="13821" max="13821" width="10.83203125" style="34" customWidth="1"/>
    <col min="13822" max="13822" width="18.1640625" style="34" customWidth="1"/>
    <col min="13823" max="13823" width="15" style="34" customWidth="1"/>
    <col min="13824" max="13827" width="13" style="34" customWidth="1"/>
    <col min="13828" max="13828" width="17.6640625" style="34" customWidth="1"/>
    <col min="14077" max="14077" width="10.83203125" style="34" customWidth="1"/>
    <col min="14078" max="14078" width="18.1640625" style="34" customWidth="1"/>
    <col min="14079" max="14079" width="15" style="34" customWidth="1"/>
    <col min="14080" max="14083" width="13" style="34" customWidth="1"/>
    <col min="14084" max="14084" width="17.6640625" style="34" customWidth="1"/>
    <col min="14333" max="14333" width="10.83203125" style="34" customWidth="1"/>
    <col min="14334" max="14334" width="18.1640625" style="34" customWidth="1"/>
    <col min="14335" max="14335" width="15" style="34" customWidth="1"/>
    <col min="14336" max="14339" width="13" style="34" customWidth="1"/>
    <col min="14340" max="14340" width="17.6640625" style="34" customWidth="1"/>
    <col min="14589" max="14589" width="10.83203125" style="34" customWidth="1"/>
    <col min="14590" max="14590" width="18.1640625" style="34" customWidth="1"/>
    <col min="14591" max="14591" width="15" style="34" customWidth="1"/>
    <col min="14592" max="14595" width="13" style="34" customWidth="1"/>
    <col min="14596" max="14596" width="17.6640625" style="34" customWidth="1"/>
    <col min="14845" max="14845" width="10.83203125" style="34" customWidth="1"/>
    <col min="14846" max="14846" width="18.1640625" style="34" customWidth="1"/>
    <col min="14847" max="14847" width="15" style="34" customWidth="1"/>
    <col min="14848" max="14851" width="13" style="34" customWidth="1"/>
    <col min="14852" max="14852" width="17.6640625" style="34" customWidth="1"/>
    <col min="15101" max="15101" width="10.83203125" style="34" customWidth="1"/>
    <col min="15102" max="15102" width="18.1640625" style="34" customWidth="1"/>
    <col min="15103" max="15103" width="15" style="34" customWidth="1"/>
    <col min="15104" max="15107" width="13" style="34" customWidth="1"/>
    <col min="15108" max="15108" width="17.6640625" style="34" customWidth="1"/>
    <col min="15357" max="15357" width="10.83203125" style="34" customWidth="1"/>
    <col min="15358" max="15358" width="18.1640625" style="34" customWidth="1"/>
    <col min="15359" max="15359" width="15" style="34" customWidth="1"/>
    <col min="15360" max="15363" width="13" style="34" customWidth="1"/>
    <col min="15364" max="15364" width="17.6640625" style="34" customWidth="1"/>
    <col min="15613" max="15613" width="10.83203125" style="34" customWidth="1"/>
    <col min="15614" max="15614" width="18.1640625" style="34" customWidth="1"/>
    <col min="15615" max="15615" width="15" style="34" customWidth="1"/>
    <col min="15616" max="15619" width="13" style="34" customWidth="1"/>
    <col min="15620" max="15620" width="17.6640625" style="34" customWidth="1"/>
    <col min="15869" max="15869" width="10.83203125" style="34" customWidth="1"/>
    <col min="15870" max="15870" width="18.1640625" style="34" customWidth="1"/>
    <col min="15871" max="15871" width="15" style="34" customWidth="1"/>
    <col min="15872" max="15875" width="13" style="34" customWidth="1"/>
    <col min="15876" max="15876" width="17.6640625" style="34" customWidth="1"/>
    <col min="16125" max="16125" width="10.83203125" style="34" customWidth="1"/>
    <col min="16126" max="16126" width="18.1640625" style="34" customWidth="1"/>
    <col min="16127" max="16127" width="15" style="34" customWidth="1"/>
    <col min="16128" max="16131" width="13" style="34" customWidth="1"/>
    <col min="16132" max="16132" width="17.6640625" style="34" customWidth="1"/>
  </cols>
  <sheetData>
    <row r="1" spans="1:8" s="42" customFormat="1" x14ac:dyDescent="0.2">
      <c r="A1" s="45" t="s">
        <v>1</v>
      </c>
      <c r="B1" s="46"/>
      <c r="C1" s="4"/>
      <c r="D1" s="5"/>
    </row>
    <row r="2" spans="1:8" s="42" customFormat="1" x14ac:dyDescent="0.2">
      <c r="A2" s="10" t="s">
        <v>5</v>
      </c>
      <c r="B2" s="47"/>
      <c r="C2" s="4"/>
      <c r="D2" s="5"/>
      <c r="H2" s="48"/>
    </row>
    <row r="3" spans="1:8" s="42" customFormat="1" ht="16" customHeight="1" thickBot="1" x14ac:dyDescent="0.25">
      <c r="A3" s="6"/>
      <c r="B3" s="46"/>
      <c r="C3" s="4"/>
      <c r="D3" s="5"/>
    </row>
    <row r="4" spans="1:8" ht="23.25" customHeight="1" x14ac:dyDescent="0.2">
      <c r="A4" s="23" t="s">
        <v>6</v>
      </c>
      <c r="B4" s="49" t="s">
        <v>7</v>
      </c>
      <c r="C4" s="24" t="s">
        <v>8</v>
      </c>
      <c r="D4" s="25" t="s">
        <v>9</v>
      </c>
    </row>
    <row r="5" spans="1:8" x14ac:dyDescent="0.2">
      <c r="A5" s="36">
        <v>21551</v>
      </c>
      <c r="B5" s="37">
        <f>VLOOKUP(Table5345679103[[#This Row],[Date]],Database!A:E,MATCH($A$1,Database!$A$1:$E$1,),)</f>
        <v>16.042000000000002</v>
      </c>
      <c r="C5" s="7"/>
      <c r="D5" s="7"/>
    </row>
    <row r="6" spans="1:8" x14ac:dyDescent="0.2">
      <c r="A6" s="36">
        <v>21582</v>
      </c>
      <c r="B6" s="37">
        <f>VLOOKUP(Table5345679103[[#This Row],[Date]],Database!A:E,MATCH($A$1,Database!$A$1:$E$1,),)</f>
        <v>16.056999999999999</v>
      </c>
      <c r="C6" s="8">
        <f t="shared" ref="C6:C69" si="0">(B6-B5)/B5</f>
        <v>9.350455055477506E-4</v>
      </c>
      <c r="D6" s="7"/>
    </row>
    <row r="7" spans="1:8" x14ac:dyDescent="0.2">
      <c r="A7" s="36">
        <v>21610</v>
      </c>
      <c r="B7" s="37">
        <f>VLOOKUP(Table5345679103[[#This Row],[Date]],Database!A:E,MATCH($A$1,Database!$A$1:$E$1,),)</f>
        <v>16.068000000000001</v>
      </c>
      <c r="C7" s="8">
        <f t="shared" si="0"/>
        <v>6.8505947561828403E-4</v>
      </c>
      <c r="D7" s="7"/>
    </row>
    <row r="8" spans="1:8" x14ac:dyDescent="0.2">
      <c r="A8" s="36">
        <v>21641</v>
      </c>
      <c r="B8" s="37">
        <f>VLOOKUP(Table5345679103[[#This Row],[Date]],Database!A:E,MATCH($A$1,Database!$A$1:$E$1,),)</f>
        <v>16.100000000000001</v>
      </c>
      <c r="C8" s="8">
        <f t="shared" si="0"/>
        <v>1.9915359721184981E-3</v>
      </c>
      <c r="D8" s="7"/>
    </row>
    <row r="9" spans="1:8" x14ac:dyDescent="0.2">
      <c r="A9" s="36">
        <v>21671</v>
      </c>
      <c r="B9" s="37">
        <f>VLOOKUP(Table5345679103[[#This Row],[Date]],Database!A:E,MATCH($A$1,Database!$A$1:$E$1,),)</f>
        <v>16.109000000000002</v>
      </c>
      <c r="C9" s="8">
        <f t="shared" si="0"/>
        <v>5.5900621118014533E-4</v>
      </c>
      <c r="D9" s="7"/>
    </row>
    <row r="10" spans="1:8" x14ac:dyDescent="0.2">
      <c r="A10" s="36">
        <v>21702</v>
      </c>
      <c r="B10" s="37">
        <f>VLOOKUP(Table5345679103[[#This Row],[Date]],Database!A:E,MATCH($A$1,Database!$A$1:$E$1,),)</f>
        <v>16.155000000000001</v>
      </c>
      <c r="C10" s="8">
        <f t="shared" si="0"/>
        <v>2.8555465888633292E-3</v>
      </c>
      <c r="D10" s="7"/>
    </row>
    <row r="11" spans="1:8" x14ac:dyDescent="0.2">
      <c r="A11" s="36">
        <v>21732</v>
      </c>
      <c r="B11" s="37">
        <f>VLOOKUP(Table5345679103[[#This Row],[Date]],Database!A:E,MATCH($A$1,Database!$A$1:$E$1,),)</f>
        <v>16.189</v>
      </c>
      <c r="C11" s="8">
        <f t="shared" si="0"/>
        <v>2.1046115753635976E-3</v>
      </c>
      <c r="D11" s="7"/>
    </row>
    <row r="12" spans="1:8" x14ac:dyDescent="0.2">
      <c r="A12" s="36">
        <v>21763</v>
      </c>
      <c r="B12" s="37">
        <f>VLOOKUP(Table5345679103[[#This Row],[Date]],Database!A:E,MATCH($A$1,Database!$A$1:$E$1,),)</f>
        <v>16.212</v>
      </c>
      <c r="C12" s="8">
        <f t="shared" si="0"/>
        <v>1.4207177713261899E-3</v>
      </c>
      <c r="D12" s="7"/>
    </row>
    <row r="13" spans="1:8" x14ac:dyDescent="0.2">
      <c r="A13" s="36">
        <v>21794</v>
      </c>
      <c r="B13" s="37">
        <f>VLOOKUP(Table5345679103[[#This Row],[Date]],Database!A:E,MATCH($A$1,Database!$A$1:$E$1,),)</f>
        <v>16.254999999999999</v>
      </c>
      <c r="C13" s="8">
        <f t="shared" si="0"/>
        <v>2.6523562792992389E-3</v>
      </c>
      <c r="D13" s="7"/>
    </row>
    <row r="14" spans="1:8" x14ac:dyDescent="0.2">
      <c r="A14" s="36">
        <v>21824</v>
      </c>
      <c r="B14" s="37">
        <f>VLOOKUP(Table5345679103[[#This Row],[Date]],Database!A:E,MATCH($A$1,Database!$A$1:$E$1,),)</f>
        <v>16.294</v>
      </c>
      <c r="C14" s="8">
        <f t="shared" si="0"/>
        <v>2.3992617656106723E-3</v>
      </c>
      <c r="D14" s="7"/>
    </row>
    <row r="15" spans="1:8" x14ac:dyDescent="0.2">
      <c r="A15" s="36">
        <v>21855</v>
      </c>
      <c r="B15" s="37">
        <f>VLOOKUP(Table5345679103[[#This Row],[Date]],Database!A:E,MATCH($A$1,Database!$A$1:$E$1,),)</f>
        <v>16.303999999999998</v>
      </c>
      <c r="C15" s="8">
        <f t="shared" si="0"/>
        <v>6.1372284276408555E-4</v>
      </c>
      <c r="D15" s="7"/>
    </row>
    <row r="16" spans="1:8" x14ac:dyDescent="0.2">
      <c r="A16" s="36">
        <v>21885</v>
      </c>
      <c r="B16" s="37">
        <f>VLOOKUP(Table5345679103[[#This Row],[Date]],Database!A:E,MATCH($A$1,Database!$A$1:$E$1,),)</f>
        <v>16.323</v>
      </c>
      <c r="C16" s="8">
        <f t="shared" si="0"/>
        <v>1.1653581943082622E-3</v>
      </c>
      <c r="D16" s="7"/>
    </row>
    <row r="17" spans="1:4" x14ac:dyDescent="0.2">
      <c r="A17" s="36">
        <v>21916</v>
      </c>
      <c r="B17" s="37">
        <f>VLOOKUP(Table5345679103[[#This Row],[Date]],Database!A:E,MATCH($A$1,Database!$A$1:$E$1,),)</f>
        <v>16.314</v>
      </c>
      <c r="C17" s="8">
        <f t="shared" si="0"/>
        <v>-5.5136923359678613E-4</v>
      </c>
      <c r="D17" s="7">
        <f>(Table5345679103[[#This Row],[Value]]-B5)/B5</f>
        <v>1.6955491833935819E-2</v>
      </c>
    </row>
    <row r="18" spans="1:4" x14ac:dyDescent="0.2">
      <c r="A18" s="36">
        <v>21947</v>
      </c>
      <c r="B18" s="37">
        <f>VLOOKUP(Table5345679103[[#This Row],[Date]],Database!A:E,MATCH($A$1,Database!$A$1:$E$1,),)</f>
        <v>16.331</v>
      </c>
      <c r="C18" s="8">
        <f t="shared" si="0"/>
        <v>1.0420497732008987E-3</v>
      </c>
      <c r="D18" s="7">
        <f>(Table5345679103[[#This Row],[Value]]-B6)/B6</f>
        <v>1.706420875630572E-2</v>
      </c>
    </row>
    <row r="19" spans="1:4" x14ac:dyDescent="0.2">
      <c r="A19" s="36">
        <v>21976</v>
      </c>
      <c r="B19" s="37">
        <f>VLOOKUP(Table5345679103[[#This Row],[Date]],Database!A:E,MATCH($A$1,Database!$A$1:$E$1,),)</f>
        <v>16.34</v>
      </c>
      <c r="C19" s="8">
        <f t="shared" si="0"/>
        <v>5.5109913661137357E-4</v>
      </c>
      <c r="D19" s="7">
        <f>(Table5345679103[[#This Row],[Value]]-B7)/B7</f>
        <v>1.6928055763007124E-2</v>
      </c>
    </row>
    <row r="20" spans="1:4" x14ac:dyDescent="0.2">
      <c r="A20" s="36">
        <v>22007</v>
      </c>
      <c r="B20" s="37">
        <f>VLOOKUP(Table5345679103[[#This Row],[Date]],Database!A:E,MATCH($A$1,Database!$A$1:$E$1,),)</f>
        <v>16.399999999999999</v>
      </c>
      <c r="C20" s="8">
        <f t="shared" si="0"/>
        <v>3.6719706242349277E-3</v>
      </c>
      <c r="D20" s="7">
        <f>(Table5345679103[[#This Row],[Value]]-B8)/B8</f>
        <v>1.8633540372670631E-2</v>
      </c>
    </row>
    <row r="21" spans="1:4" x14ac:dyDescent="0.2">
      <c r="A21" s="36">
        <v>22037</v>
      </c>
      <c r="B21" s="37">
        <f>VLOOKUP(Table5345679103[[#This Row],[Date]],Database!A:E,MATCH($A$1,Database!$A$1:$E$1,),)</f>
        <v>16.417000000000002</v>
      </c>
      <c r="C21" s="8">
        <f t="shared" si="0"/>
        <v>1.0365853658538423E-3</v>
      </c>
      <c r="D21" s="7">
        <f>(Table5345679103[[#This Row],[Value]]-B9)/B9</f>
        <v>1.9119746725432974E-2</v>
      </c>
    </row>
    <row r="22" spans="1:4" x14ac:dyDescent="0.2">
      <c r="A22" s="36">
        <v>22068</v>
      </c>
      <c r="B22" s="37">
        <f>VLOOKUP(Table5345679103[[#This Row],[Date]],Database!A:E,MATCH($A$1,Database!$A$1:$E$1,),)</f>
        <v>16.423999999999999</v>
      </c>
      <c r="C22" s="8">
        <f t="shared" si="0"/>
        <v>4.2638728147639007E-4</v>
      </c>
      <c r="D22" s="7">
        <f>(Table5345679103[[#This Row],[Value]]-B10)/B10</f>
        <v>1.6651191581553596E-2</v>
      </c>
    </row>
    <row r="23" spans="1:4" x14ac:dyDescent="0.2">
      <c r="A23" s="36">
        <v>22098</v>
      </c>
      <c r="B23" s="37">
        <f>VLOOKUP(Table5345679103[[#This Row],[Date]],Database!A:E,MATCH($A$1,Database!$A$1:$E$1,),)</f>
        <v>16.452999999999999</v>
      </c>
      <c r="C23" s="8">
        <f t="shared" si="0"/>
        <v>1.765708718947876E-3</v>
      </c>
      <c r="D23" s="7">
        <f>(Table5345679103[[#This Row],[Value]]-B11)/B11</f>
        <v>1.6307369201309492E-2</v>
      </c>
    </row>
    <row r="24" spans="1:4" x14ac:dyDescent="0.2">
      <c r="A24" s="36">
        <v>22129</v>
      </c>
      <c r="B24" s="37">
        <f>VLOOKUP(Table5345679103[[#This Row],[Date]],Database!A:E,MATCH($A$1,Database!$A$1:$E$1,),)</f>
        <v>16.481000000000002</v>
      </c>
      <c r="C24" s="8">
        <f t="shared" si="0"/>
        <v>1.7018172977573845E-3</v>
      </c>
      <c r="D24" s="7">
        <f>(Table5345679103[[#This Row],[Value]]-B12)/B12</f>
        <v>1.6592647421663085E-2</v>
      </c>
    </row>
    <row r="25" spans="1:4" x14ac:dyDescent="0.2">
      <c r="A25" s="36">
        <v>22160</v>
      </c>
      <c r="B25" s="37">
        <f>VLOOKUP(Table5345679103[[#This Row],[Date]],Database!A:E,MATCH($A$1,Database!$A$1:$E$1,),)</f>
        <v>16.491</v>
      </c>
      <c r="C25" s="8">
        <f t="shared" si="0"/>
        <v>6.0675929858613001E-4</v>
      </c>
      <c r="D25" s="7">
        <f>(Table5345679103[[#This Row],[Value]]-B13)/B13</f>
        <v>1.4518609658566635E-2</v>
      </c>
    </row>
    <row r="26" spans="1:4" x14ac:dyDescent="0.2">
      <c r="A26" s="36">
        <v>22190</v>
      </c>
      <c r="B26" s="37">
        <f>VLOOKUP(Table5345679103[[#This Row],[Date]],Database!A:E,MATCH($A$1,Database!$A$1:$E$1,),)</f>
        <v>16.510000000000002</v>
      </c>
      <c r="C26" s="8">
        <f t="shared" si="0"/>
        <v>1.1521435934753444E-3</v>
      </c>
      <c r="D26" s="7">
        <f>(Table5345679103[[#This Row],[Value]]-B14)/B14</f>
        <v>1.3256413403706951E-2</v>
      </c>
    </row>
    <row r="27" spans="1:4" x14ac:dyDescent="0.2">
      <c r="A27" s="36">
        <v>22221</v>
      </c>
      <c r="B27" s="37">
        <f>VLOOKUP(Table5345679103[[#This Row],[Date]],Database!A:E,MATCH($A$1,Database!$A$1:$E$1,),)</f>
        <v>16.565000000000001</v>
      </c>
      <c r="C27" s="8">
        <f t="shared" si="0"/>
        <v>3.3313143549363847E-3</v>
      </c>
      <c r="D27" s="7">
        <f>(Table5345679103[[#This Row],[Value]]-B15)/B15</f>
        <v>1.6008341511285745E-2</v>
      </c>
    </row>
    <row r="28" spans="1:4" x14ac:dyDescent="0.2">
      <c r="A28" s="36">
        <v>22251</v>
      </c>
      <c r="B28" s="37">
        <f>VLOOKUP(Table5345679103[[#This Row],[Date]],Database!A:E,MATCH($A$1,Database!$A$1:$E$1,),)</f>
        <v>16.568999999999999</v>
      </c>
      <c r="C28" s="8">
        <f t="shared" si="0"/>
        <v>2.4147298520964581E-4</v>
      </c>
      <c r="D28" s="7">
        <f>(Table5345679103[[#This Row],[Value]]-B16)/B16</f>
        <v>1.5070759051644836E-2</v>
      </c>
    </row>
    <row r="29" spans="1:4" x14ac:dyDescent="0.2">
      <c r="A29" s="36">
        <v>22282</v>
      </c>
      <c r="B29" s="37">
        <f>VLOOKUP(Table5345679103[[#This Row],[Date]],Database!A:E,MATCH($A$1,Database!$A$1:$E$1,),)</f>
        <v>16.571000000000002</v>
      </c>
      <c r="C29" s="8">
        <f t="shared" si="0"/>
        <v>1.2070734504209333E-4</v>
      </c>
      <c r="D29" s="7">
        <f>(Table5345679103[[#This Row],[Value]]-B17)/B17</f>
        <v>1.5753340688978879E-2</v>
      </c>
    </row>
    <row r="30" spans="1:4" x14ac:dyDescent="0.2">
      <c r="A30" s="36">
        <v>22313</v>
      </c>
      <c r="B30" s="37">
        <f>VLOOKUP(Table5345679103[[#This Row],[Date]],Database!A:E,MATCH($A$1,Database!$A$1:$E$1,),)</f>
        <v>16.587</v>
      </c>
      <c r="C30" s="8">
        <f t="shared" si="0"/>
        <v>9.655422122984875E-4</v>
      </c>
      <c r="D30" s="7">
        <f>(Table5345679103[[#This Row],[Value]]-B18)/B18</f>
        <v>1.5675708774722935E-2</v>
      </c>
    </row>
    <row r="31" spans="1:4" x14ac:dyDescent="0.2">
      <c r="A31" s="36">
        <v>22341</v>
      </c>
      <c r="B31" s="37">
        <f>VLOOKUP(Table5345679103[[#This Row],[Date]],Database!A:E,MATCH($A$1,Database!$A$1:$E$1,),)</f>
        <v>16.577999999999999</v>
      </c>
      <c r="C31" s="8">
        <f t="shared" si="0"/>
        <v>-5.4259359739557134E-4</v>
      </c>
      <c r="D31" s="7">
        <f>(Table5345679103[[#This Row],[Value]]-B19)/B19</f>
        <v>1.4565483476132164E-2</v>
      </c>
    </row>
    <row r="32" spans="1:4" x14ac:dyDescent="0.2">
      <c r="A32" s="36">
        <v>22372</v>
      </c>
      <c r="B32" s="37">
        <f>VLOOKUP(Table5345679103[[#This Row],[Date]],Database!A:E,MATCH($A$1,Database!$A$1:$E$1,),)</f>
        <v>16.568000000000001</v>
      </c>
      <c r="C32" s="8">
        <f t="shared" si="0"/>
        <v>-6.0320907226432685E-4</v>
      </c>
      <c r="D32" s="7">
        <f>(Table5345679103[[#This Row],[Value]]-B20)/B20</f>
        <v>1.0243902439024562E-2</v>
      </c>
    </row>
    <row r="33" spans="1:4" x14ac:dyDescent="0.2">
      <c r="A33" s="36">
        <v>22402</v>
      </c>
      <c r="B33" s="37">
        <f>VLOOKUP(Table5345679103[[#This Row],[Date]],Database!A:E,MATCH($A$1,Database!$A$1:$E$1,),)</f>
        <v>16.577000000000002</v>
      </c>
      <c r="C33" s="8">
        <f t="shared" si="0"/>
        <v>5.4321583775955703E-4</v>
      </c>
      <c r="D33" s="7">
        <f>(Table5345679103[[#This Row],[Value]]-B21)/B21</f>
        <v>9.7459950051775671E-3</v>
      </c>
    </row>
    <row r="34" spans="1:4" x14ac:dyDescent="0.2">
      <c r="A34" s="36">
        <v>22433</v>
      </c>
      <c r="B34" s="37">
        <f>VLOOKUP(Table5345679103[[#This Row],[Date]],Database!A:E,MATCH($A$1,Database!$A$1:$E$1,),)</f>
        <v>16.585000000000001</v>
      </c>
      <c r="C34" s="8">
        <f t="shared" si="0"/>
        <v>4.825963684622741E-4</v>
      </c>
      <c r="D34" s="7">
        <f>(Table5345679103[[#This Row],[Value]]-B22)/B22</f>
        <v>9.8027277155383202E-3</v>
      </c>
    </row>
    <row r="35" spans="1:4" x14ac:dyDescent="0.2">
      <c r="A35" s="36">
        <v>22463</v>
      </c>
      <c r="B35" s="37">
        <f>VLOOKUP(Table5345679103[[#This Row],[Date]],Database!A:E,MATCH($A$1,Database!$A$1:$E$1,),)</f>
        <v>16.620999999999999</v>
      </c>
      <c r="C35" s="8">
        <f t="shared" si="0"/>
        <v>2.1706361169730364E-3</v>
      </c>
      <c r="D35" s="7">
        <f>(Table5345679103[[#This Row],[Value]]-B23)/B23</f>
        <v>1.0210903786543444E-2</v>
      </c>
    </row>
    <row r="36" spans="1:4" x14ac:dyDescent="0.2">
      <c r="A36" s="36">
        <v>22494</v>
      </c>
      <c r="B36" s="37">
        <f>VLOOKUP(Table5345679103[[#This Row],[Date]],Database!A:E,MATCH($A$1,Database!$A$1:$E$1,),)</f>
        <v>16.635000000000002</v>
      </c>
      <c r="C36" s="8">
        <f t="shared" si="0"/>
        <v>8.4230792371114255E-4</v>
      </c>
      <c r="D36" s="7">
        <f>(Table5345679103[[#This Row],[Value]]-B24)/B24</f>
        <v>9.3440931982282562E-3</v>
      </c>
    </row>
    <row r="37" spans="1:4" x14ac:dyDescent="0.2">
      <c r="A37" s="36">
        <v>22525</v>
      </c>
      <c r="B37" s="37">
        <f>VLOOKUP(Table5345679103[[#This Row],[Date]],Database!A:E,MATCH($A$1,Database!$A$1:$E$1,),)</f>
        <v>16.654</v>
      </c>
      <c r="C37" s="8">
        <f t="shared" si="0"/>
        <v>1.1421701232340457E-3</v>
      </c>
      <c r="D37" s="7">
        <f>(Table5345679103[[#This Row],[Value]]-B25)/B25</f>
        <v>9.8841792492875055E-3</v>
      </c>
    </row>
    <row r="38" spans="1:4" x14ac:dyDescent="0.2">
      <c r="A38" s="36">
        <v>22555</v>
      </c>
      <c r="B38" s="37">
        <f>VLOOKUP(Table5345679103[[#This Row],[Date]],Database!A:E,MATCH($A$1,Database!$A$1:$E$1,),)</f>
        <v>16.652000000000001</v>
      </c>
      <c r="C38" s="8">
        <f t="shared" si="0"/>
        <v>-1.2009126936465063E-4</v>
      </c>
      <c r="D38" s="7">
        <f>(Table5345679103[[#This Row],[Value]]-B26)/B26</f>
        <v>8.6008479709266776E-3</v>
      </c>
    </row>
    <row r="39" spans="1:4" x14ac:dyDescent="0.2">
      <c r="A39" s="36">
        <v>22586</v>
      </c>
      <c r="B39" s="37">
        <f>VLOOKUP(Table5345679103[[#This Row],[Date]],Database!A:E,MATCH($A$1,Database!$A$1:$E$1,),)</f>
        <v>16.652999999999999</v>
      </c>
      <c r="C39" s="8">
        <f t="shared" si="0"/>
        <v>6.0052846504784373E-5</v>
      </c>
      <c r="D39" s="7">
        <f>(Table5345679103[[#This Row],[Value]]-B27)/B27</f>
        <v>5.3124056746149959E-3</v>
      </c>
    </row>
    <row r="40" spans="1:4" x14ac:dyDescent="0.2">
      <c r="A40" s="36">
        <v>22616</v>
      </c>
      <c r="B40" s="37">
        <f>VLOOKUP(Table5345679103[[#This Row],[Date]],Database!A:E,MATCH($A$1,Database!$A$1:$E$1,),)</f>
        <v>16.658000000000001</v>
      </c>
      <c r="C40" s="8">
        <f t="shared" si="0"/>
        <v>3.0024620188569978E-4</v>
      </c>
      <c r="D40" s="7">
        <f>(Table5345679103[[#This Row],[Value]]-B28)/B28</f>
        <v>5.3714768543667206E-3</v>
      </c>
    </row>
    <row r="41" spans="1:4" x14ac:dyDescent="0.2">
      <c r="A41" s="36">
        <v>22647</v>
      </c>
      <c r="B41" s="37">
        <f>VLOOKUP(Table5345679103[[#This Row],[Date]],Database!A:E,MATCH($A$1,Database!$A$1:$E$1,),)</f>
        <v>16.689</v>
      </c>
      <c r="C41" s="8">
        <f t="shared" si="0"/>
        <v>1.8609677032055951E-3</v>
      </c>
      <c r="D41" s="7">
        <f>(Table5345679103[[#This Row],[Value]]-B29)/B29</f>
        <v>7.1208738157020422E-3</v>
      </c>
    </row>
    <row r="42" spans="1:4" x14ac:dyDescent="0.2">
      <c r="A42" s="36">
        <v>22678</v>
      </c>
      <c r="B42" s="37">
        <f>VLOOKUP(Table5345679103[[#This Row],[Date]],Database!A:E,MATCH($A$1,Database!$A$1:$E$1,),)</f>
        <v>16.734000000000002</v>
      </c>
      <c r="C42" s="8">
        <f t="shared" si="0"/>
        <v>2.6963868416323149E-3</v>
      </c>
      <c r="D42" s="7">
        <f>(Table5345679103[[#This Row],[Value]]-B30)/B30</f>
        <v>8.8623620907941174E-3</v>
      </c>
    </row>
    <row r="43" spans="1:4" x14ac:dyDescent="0.2">
      <c r="A43" s="36">
        <v>22706</v>
      </c>
      <c r="B43" s="37">
        <f>VLOOKUP(Table5345679103[[#This Row],[Date]],Database!A:E,MATCH($A$1,Database!$A$1:$E$1,),)</f>
        <v>16.756</v>
      </c>
      <c r="C43" s="8">
        <f t="shared" si="0"/>
        <v>1.3146886578223056E-3</v>
      </c>
      <c r="D43" s="7">
        <f>(Table5345679103[[#This Row],[Value]]-B31)/B31</f>
        <v>1.0737121486307203E-2</v>
      </c>
    </row>
    <row r="44" spans="1:4" x14ac:dyDescent="0.2">
      <c r="A44" s="36">
        <v>22737</v>
      </c>
      <c r="B44" s="37">
        <f>VLOOKUP(Table5345679103[[#This Row],[Date]],Database!A:E,MATCH($A$1,Database!$A$1:$E$1,),)</f>
        <v>16.774999999999999</v>
      </c>
      <c r="C44" s="8">
        <f t="shared" si="0"/>
        <v>1.1339221771304816E-3</v>
      </c>
      <c r="D44" s="7">
        <f>(Table5345679103[[#This Row],[Value]]-B32)/B32</f>
        <v>1.2493964268469167E-2</v>
      </c>
    </row>
    <row r="45" spans="1:4" x14ac:dyDescent="0.2">
      <c r="A45" s="36">
        <v>22767</v>
      </c>
      <c r="B45" s="37">
        <f>VLOOKUP(Table5345679103[[#This Row],[Date]],Database!A:E,MATCH($A$1,Database!$A$1:$E$1,),)</f>
        <v>16.786000000000001</v>
      </c>
      <c r="C45" s="8">
        <f t="shared" si="0"/>
        <v>6.5573770491819889E-4</v>
      </c>
      <c r="D45" s="7">
        <f>(Table5345679103[[#This Row],[Value]]-B33)/B33</f>
        <v>1.2607830126078278E-2</v>
      </c>
    </row>
    <row r="46" spans="1:4" x14ac:dyDescent="0.2">
      <c r="A46" s="36">
        <v>22798</v>
      </c>
      <c r="B46" s="37">
        <f>VLOOKUP(Table5345679103[[#This Row],[Date]],Database!A:E,MATCH($A$1,Database!$A$1:$E$1,),)</f>
        <v>16.795999999999999</v>
      </c>
      <c r="C46" s="8">
        <f t="shared" si="0"/>
        <v>5.9573454068855057E-4</v>
      </c>
      <c r="D46" s="7">
        <f>(Table5345679103[[#This Row],[Value]]-B34)/B34</f>
        <v>1.2722339463370426E-2</v>
      </c>
    </row>
    <row r="47" spans="1:4" x14ac:dyDescent="0.2">
      <c r="A47" s="36">
        <v>22828</v>
      </c>
      <c r="B47" s="37">
        <f>VLOOKUP(Table5345679103[[#This Row],[Date]],Database!A:E,MATCH($A$1,Database!$A$1:$E$1,),)</f>
        <v>16.786999999999999</v>
      </c>
      <c r="C47" s="8">
        <f t="shared" si="0"/>
        <v>-5.3584186711123731E-4</v>
      </c>
      <c r="D47" s="7">
        <f>(Table5345679103[[#This Row],[Value]]-B35)/B35</f>
        <v>9.9873653811443589E-3</v>
      </c>
    </row>
    <row r="48" spans="1:4" x14ac:dyDescent="0.2">
      <c r="A48" s="36">
        <v>22859</v>
      </c>
      <c r="B48" s="37">
        <f>VLOOKUP(Table5345679103[[#This Row],[Date]],Database!A:E,MATCH($A$1,Database!$A$1:$E$1,),)</f>
        <v>16.811</v>
      </c>
      <c r="C48" s="8">
        <f t="shared" si="0"/>
        <v>1.4296777268124686E-3</v>
      </c>
      <c r="D48" s="7">
        <f>(Table5345679103[[#This Row],[Value]]-B36)/B36</f>
        <v>1.0580102194168823E-2</v>
      </c>
    </row>
    <row r="49" spans="1:4" x14ac:dyDescent="0.2">
      <c r="A49" s="36">
        <v>22890</v>
      </c>
      <c r="B49" s="37">
        <f>VLOOKUP(Table5345679103[[#This Row],[Date]],Database!A:E,MATCH($A$1,Database!$A$1:$E$1,),)</f>
        <v>16.893999999999998</v>
      </c>
      <c r="C49" s="8">
        <f t="shared" si="0"/>
        <v>4.9372434715363994E-3</v>
      </c>
      <c r="D49" s="7">
        <f>(Table5345679103[[#This Row],[Value]]-B37)/B37</f>
        <v>1.4410952323765968E-2</v>
      </c>
    </row>
    <row r="50" spans="1:4" x14ac:dyDescent="0.2">
      <c r="A50" s="36">
        <v>22920</v>
      </c>
      <c r="B50" s="37">
        <f>VLOOKUP(Table5345679103[[#This Row],[Date]],Database!A:E,MATCH($A$1,Database!$A$1:$E$1,),)</f>
        <v>16.876000000000001</v>
      </c>
      <c r="C50" s="8">
        <f t="shared" si="0"/>
        <v>-1.0654670297145217E-3</v>
      </c>
      <c r="D50" s="7">
        <f>(Table5345679103[[#This Row],[Value]]-B38)/B38</f>
        <v>1.3451837617103063E-2</v>
      </c>
    </row>
    <row r="51" spans="1:4" x14ac:dyDescent="0.2">
      <c r="A51" s="36">
        <v>22951</v>
      </c>
      <c r="B51" s="37">
        <f>VLOOKUP(Table5345679103[[#This Row],[Date]],Database!A:E,MATCH($A$1,Database!$A$1:$E$1,),)</f>
        <v>16.888999999999999</v>
      </c>
      <c r="C51" s="8">
        <f t="shared" si="0"/>
        <v>7.7032472149787411E-4</v>
      </c>
      <c r="D51" s="7">
        <f>(Table5345679103[[#This Row],[Value]]-B39)/B39</f>
        <v>1.4171620728997818E-2</v>
      </c>
    </row>
    <row r="52" spans="1:4" x14ac:dyDescent="0.2">
      <c r="A52" s="36">
        <v>22981</v>
      </c>
      <c r="B52" s="37">
        <f>VLOOKUP(Table5345679103[[#This Row],[Date]],Database!A:E,MATCH($A$1,Database!$A$1:$E$1,),)</f>
        <v>16.882000000000001</v>
      </c>
      <c r="C52" s="8">
        <f t="shared" si="0"/>
        <v>-4.1447095742778712E-4</v>
      </c>
      <c r="D52" s="7">
        <f>(Table5345679103[[#This Row],[Value]]-B40)/B40</f>
        <v>1.3446992436066766E-2</v>
      </c>
    </row>
    <row r="53" spans="1:4" x14ac:dyDescent="0.2">
      <c r="A53" s="36">
        <v>23012</v>
      </c>
      <c r="B53" s="37">
        <f>VLOOKUP(Table5345679103[[#This Row],[Date]],Database!A:E,MATCH($A$1,Database!$A$1:$E$1,),)</f>
        <v>16.922999999999998</v>
      </c>
      <c r="C53" s="8">
        <f t="shared" si="0"/>
        <v>2.4286222011608112E-3</v>
      </c>
      <c r="D53" s="7">
        <f>(Table5345679103[[#This Row],[Value]]-B41)/B41</f>
        <v>1.40212115764874E-2</v>
      </c>
    </row>
    <row r="54" spans="1:4" x14ac:dyDescent="0.2">
      <c r="A54" s="36">
        <v>23043</v>
      </c>
      <c r="B54" s="37">
        <f>VLOOKUP(Table5345679103[[#This Row],[Date]],Database!A:E,MATCH($A$1,Database!$A$1:$E$1,),)</f>
        <v>16.940999999999999</v>
      </c>
      <c r="C54" s="8">
        <f t="shared" si="0"/>
        <v>1.063641198369124E-3</v>
      </c>
      <c r="D54" s="7">
        <f>(Table5345679103[[#This Row],[Value]]-B42)/B42</f>
        <v>1.2370025098601479E-2</v>
      </c>
    </row>
    <row r="55" spans="1:4" x14ac:dyDescent="0.2">
      <c r="A55" s="36">
        <v>23071</v>
      </c>
      <c r="B55" s="37">
        <f>VLOOKUP(Table5345679103[[#This Row],[Date]],Database!A:E,MATCH($A$1,Database!$A$1:$E$1,),)</f>
        <v>16.928000000000001</v>
      </c>
      <c r="C55" s="8">
        <f t="shared" si="0"/>
        <v>-7.6736910453917273E-4</v>
      </c>
      <c r="D55" s="7">
        <f>(Table5345679103[[#This Row],[Value]]-B43)/B43</f>
        <v>1.0264979708761076E-2</v>
      </c>
    </row>
    <row r="56" spans="1:4" x14ac:dyDescent="0.2">
      <c r="A56" s="36">
        <v>23102</v>
      </c>
      <c r="B56" s="37">
        <f>VLOOKUP(Table5345679103[[#This Row],[Date]],Database!A:E,MATCH($A$1,Database!$A$1:$E$1,),)</f>
        <v>16.927</v>
      </c>
      <c r="C56" s="8">
        <f t="shared" si="0"/>
        <v>-5.9073724007633633E-5</v>
      </c>
      <c r="D56" s="7">
        <f>(Table5345679103[[#This Row],[Value]]-B44)/B44</f>
        <v>9.0611028315946973E-3</v>
      </c>
    </row>
    <row r="57" spans="1:4" x14ac:dyDescent="0.2">
      <c r="A57" s="36">
        <v>23132</v>
      </c>
      <c r="B57" s="37">
        <f>VLOOKUP(Table5345679103[[#This Row],[Date]],Database!A:E,MATCH($A$1,Database!$A$1:$E$1,),)</f>
        <v>16.954000000000001</v>
      </c>
      <c r="C57" s="8">
        <f t="shared" si="0"/>
        <v>1.5950847758020336E-3</v>
      </c>
      <c r="D57" s="7">
        <f>(Table5345679103[[#This Row],[Value]]-B45)/B45</f>
        <v>1.0008340283569596E-2</v>
      </c>
    </row>
    <row r="58" spans="1:4" x14ac:dyDescent="0.2">
      <c r="A58" s="36">
        <v>23163</v>
      </c>
      <c r="B58" s="37">
        <f>VLOOKUP(Table5345679103[[#This Row],[Date]],Database!A:E,MATCH($A$1,Database!$A$1:$E$1,),)</f>
        <v>16.991</v>
      </c>
      <c r="C58" s="8">
        <f t="shared" si="0"/>
        <v>2.1823758405095572E-3</v>
      </c>
      <c r="D58" s="7">
        <f>(Table5345679103[[#This Row],[Value]]-B46)/B46</f>
        <v>1.1609907120743052E-2</v>
      </c>
    </row>
    <row r="59" spans="1:4" x14ac:dyDescent="0.2">
      <c r="A59" s="36">
        <v>23193</v>
      </c>
      <c r="B59" s="37">
        <f>VLOOKUP(Table5345679103[[#This Row],[Date]],Database!A:E,MATCH($A$1,Database!$A$1:$E$1,),)</f>
        <v>17.024999999999999</v>
      </c>
      <c r="C59" s="8">
        <f t="shared" si="0"/>
        <v>2.0010593843799024E-3</v>
      </c>
      <c r="D59" s="7">
        <f>(Table5345679103[[#This Row],[Value]]-B47)/B47</f>
        <v>1.4177637457556416E-2</v>
      </c>
    </row>
    <row r="60" spans="1:4" x14ac:dyDescent="0.2">
      <c r="A60" s="36">
        <v>23224</v>
      </c>
      <c r="B60" s="37">
        <f>VLOOKUP(Table5345679103[[#This Row],[Date]],Database!A:E,MATCH($A$1,Database!$A$1:$E$1,),)</f>
        <v>17.047999999999998</v>
      </c>
      <c r="C60" s="8">
        <f t="shared" si="0"/>
        <v>1.3509544787077643E-3</v>
      </c>
      <c r="D60" s="7">
        <f>(Table5345679103[[#This Row],[Value]]-B48)/B48</f>
        <v>1.409791208137519E-2</v>
      </c>
    </row>
    <row r="61" spans="1:4" x14ac:dyDescent="0.2">
      <c r="A61" s="36">
        <v>23255</v>
      </c>
      <c r="B61" s="37">
        <f>VLOOKUP(Table5345679103[[#This Row],[Date]],Database!A:E,MATCH($A$1,Database!$A$1:$E$1,),)</f>
        <v>17.044</v>
      </c>
      <c r="C61" s="8">
        <f t="shared" si="0"/>
        <v>-2.346316283433707E-4</v>
      </c>
      <c r="D61" s="7">
        <f>(Table5345679103[[#This Row],[Value]]-B49)/B49</f>
        <v>8.8788919142892241E-3</v>
      </c>
    </row>
    <row r="62" spans="1:4" x14ac:dyDescent="0.2">
      <c r="A62" s="36">
        <v>23285</v>
      </c>
      <c r="B62" s="37">
        <f>VLOOKUP(Table5345679103[[#This Row],[Date]],Database!A:E,MATCH($A$1,Database!$A$1:$E$1,),)</f>
        <v>17.077999999999999</v>
      </c>
      <c r="C62" s="8">
        <f t="shared" si="0"/>
        <v>1.9948368927481179E-3</v>
      </c>
      <c r="D62" s="7">
        <f>(Table5345679103[[#This Row],[Value]]-B50)/B50</f>
        <v>1.1969661057122433E-2</v>
      </c>
    </row>
    <row r="63" spans="1:4" x14ac:dyDescent="0.2">
      <c r="A63" s="36">
        <v>23316</v>
      </c>
      <c r="B63" s="37">
        <f>VLOOKUP(Table5345679103[[#This Row],[Date]],Database!A:E,MATCH($A$1,Database!$A$1:$E$1,),)</f>
        <v>17.102</v>
      </c>
      <c r="C63" s="8">
        <f t="shared" si="0"/>
        <v>1.4053167818246228E-3</v>
      </c>
      <c r="D63" s="7">
        <f>(Table5345679103[[#This Row],[Value]]-B51)/B51</f>
        <v>1.2611759133163656E-2</v>
      </c>
    </row>
    <row r="64" spans="1:4" x14ac:dyDescent="0.2">
      <c r="A64" s="36">
        <v>23346</v>
      </c>
      <c r="B64" s="37">
        <f>VLOOKUP(Table5345679103[[#This Row],[Date]],Database!A:E,MATCH($A$1,Database!$A$1:$E$1,),)</f>
        <v>17.126999999999999</v>
      </c>
      <c r="C64" s="8">
        <f t="shared" si="0"/>
        <v>1.4618173313061969E-3</v>
      </c>
      <c r="D64" s="7">
        <f>(Table5345679103[[#This Row],[Value]]-B52)/B52</f>
        <v>1.4512498519132652E-2</v>
      </c>
    </row>
    <row r="65" spans="1:4" x14ac:dyDescent="0.2">
      <c r="A65" s="36">
        <v>23377</v>
      </c>
      <c r="B65" s="37">
        <f>VLOOKUP(Table5345679103[[#This Row],[Date]],Database!A:E,MATCH($A$1,Database!$A$1:$E$1,),)</f>
        <v>17.163</v>
      </c>
      <c r="C65" s="8">
        <f t="shared" si="0"/>
        <v>2.1019442984761701E-3</v>
      </c>
      <c r="D65" s="7">
        <f>(Table5345679103[[#This Row],[Value]]-B53)/B53</f>
        <v>1.4181882644921233E-2</v>
      </c>
    </row>
    <row r="66" spans="1:4" x14ac:dyDescent="0.2">
      <c r="A66" s="36">
        <v>23408</v>
      </c>
      <c r="B66" s="37">
        <f>VLOOKUP(Table5345679103[[#This Row],[Date]],Database!A:E,MATCH($A$1,Database!$A$1:$E$1,),)</f>
        <v>17.187999999999999</v>
      </c>
      <c r="C66" s="8">
        <f t="shared" si="0"/>
        <v>1.4566218027150602E-3</v>
      </c>
      <c r="D66" s="7">
        <f>(Table5345679103[[#This Row],[Value]]-B54)/B54</f>
        <v>1.458001298624638E-2</v>
      </c>
    </row>
    <row r="67" spans="1:4" x14ac:dyDescent="0.2">
      <c r="A67" s="36">
        <v>23437</v>
      </c>
      <c r="B67" s="37">
        <f>VLOOKUP(Table5345679103[[#This Row],[Date]],Database!A:E,MATCH($A$1,Database!$A$1:$E$1,),)</f>
        <v>17.198</v>
      </c>
      <c r="C67" s="8">
        <f t="shared" si="0"/>
        <v>5.8180125669080539E-4</v>
      </c>
      <c r="D67" s="7">
        <f>(Table5345679103[[#This Row],[Value]]-B55)/B55</f>
        <v>1.5949905482041563E-2</v>
      </c>
    </row>
    <row r="68" spans="1:4" x14ac:dyDescent="0.2">
      <c r="A68" s="36">
        <v>23468</v>
      </c>
      <c r="B68" s="37">
        <f>VLOOKUP(Table5345679103[[#This Row],[Date]],Database!A:E,MATCH($A$1,Database!$A$1:$E$1,),)</f>
        <v>17.210999999999999</v>
      </c>
      <c r="C68" s="8">
        <f t="shared" si="0"/>
        <v>7.559018490521063E-4</v>
      </c>
      <c r="D68" s="7">
        <f>(Table5345679103[[#This Row],[Value]]-B56)/B56</f>
        <v>1.677792875287995E-2</v>
      </c>
    </row>
    <row r="69" spans="1:4" x14ac:dyDescent="0.2">
      <c r="A69" s="36">
        <v>23498</v>
      </c>
      <c r="B69" s="37">
        <f>VLOOKUP(Table5345679103[[#This Row],[Date]],Database!A:E,MATCH($A$1,Database!$A$1:$E$1,),)</f>
        <v>17.213000000000001</v>
      </c>
      <c r="C69" s="8">
        <f t="shared" si="0"/>
        <v>1.162047527745305E-4</v>
      </c>
      <c r="D69" s="7">
        <f>(Table5345679103[[#This Row],[Value]]-B57)/B57</f>
        <v>1.5276630883567319E-2</v>
      </c>
    </row>
    <row r="70" spans="1:4" x14ac:dyDescent="0.2">
      <c r="A70" s="36">
        <v>23529</v>
      </c>
      <c r="B70" s="37">
        <f>VLOOKUP(Table5345679103[[#This Row],[Date]],Database!A:E,MATCH($A$1,Database!$A$1:$E$1,),)</f>
        <v>17.236999999999998</v>
      </c>
      <c r="C70" s="8">
        <f t="shared" ref="C70:C133" si="1">(B70-B69)/B69</f>
        <v>1.3942950095856247E-3</v>
      </c>
      <c r="D70" s="7">
        <f>(Table5345679103[[#This Row],[Value]]-B58)/B58</f>
        <v>1.4478253192866733E-2</v>
      </c>
    </row>
    <row r="71" spans="1:4" x14ac:dyDescent="0.2">
      <c r="A71" s="36">
        <v>23559</v>
      </c>
      <c r="B71" s="37">
        <f>VLOOKUP(Table5345679103[[#This Row],[Date]],Database!A:E,MATCH($A$1,Database!$A$1:$E$1,),)</f>
        <v>17.259</v>
      </c>
      <c r="C71" s="8">
        <f t="shared" si="1"/>
        <v>1.2763241863434484E-3</v>
      </c>
      <c r="D71" s="7">
        <f>(Table5345679103[[#This Row],[Value]]-B59)/B59</f>
        <v>1.374449339207059E-2</v>
      </c>
    </row>
    <row r="72" spans="1:4" x14ac:dyDescent="0.2">
      <c r="A72" s="36">
        <v>23590</v>
      </c>
      <c r="B72" s="37">
        <f>VLOOKUP(Table5345679103[[#This Row],[Date]],Database!A:E,MATCH($A$1,Database!$A$1:$E$1,),)</f>
        <v>17.273</v>
      </c>
      <c r="C72" s="8">
        <f t="shared" si="1"/>
        <v>8.111709832550754E-4</v>
      </c>
      <c r="D72" s="7">
        <f>(Table5345679103[[#This Row],[Value]]-B60)/B60</f>
        <v>1.3198029094322E-2</v>
      </c>
    </row>
    <row r="73" spans="1:4" x14ac:dyDescent="0.2">
      <c r="A73" s="36">
        <v>23621</v>
      </c>
      <c r="B73" s="37">
        <f>VLOOKUP(Table5345679103[[#This Row],[Date]],Database!A:E,MATCH($A$1,Database!$A$1:$E$1,),)</f>
        <v>17.298999999999999</v>
      </c>
      <c r="C73" s="8">
        <f t="shared" si="1"/>
        <v>1.5052393909569734E-3</v>
      </c>
      <c r="D73" s="7">
        <f>(Table5345679103[[#This Row],[Value]]-B61)/B61</f>
        <v>1.49612766956113E-2</v>
      </c>
    </row>
    <row r="74" spans="1:4" x14ac:dyDescent="0.2">
      <c r="A74" s="36">
        <v>23651</v>
      </c>
      <c r="B74" s="37">
        <f>VLOOKUP(Table5345679103[[#This Row],[Date]],Database!A:E,MATCH($A$1,Database!$A$1:$E$1,),)</f>
        <v>17.309999999999999</v>
      </c>
      <c r="C74" s="8">
        <f t="shared" si="1"/>
        <v>6.3587490606388996E-4</v>
      </c>
      <c r="D74" s="7">
        <f>(Table5345679103[[#This Row],[Value]]-B62)/B62</f>
        <v>1.35847288909708E-2</v>
      </c>
    </row>
    <row r="75" spans="1:4" x14ac:dyDescent="0.2">
      <c r="A75" s="36">
        <v>23682</v>
      </c>
      <c r="B75" s="37">
        <f>VLOOKUP(Table5345679103[[#This Row],[Date]],Database!A:E,MATCH($A$1,Database!$A$1:$E$1,),)</f>
        <v>17.334</v>
      </c>
      <c r="C75" s="8">
        <f t="shared" si="1"/>
        <v>1.3864818024263959E-3</v>
      </c>
      <c r="D75" s="7">
        <f>(Table5345679103[[#This Row],[Value]]-B63)/B63</f>
        <v>1.3565664834522238E-2</v>
      </c>
    </row>
    <row r="76" spans="1:4" x14ac:dyDescent="0.2">
      <c r="A76" s="36">
        <v>23712</v>
      </c>
      <c r="B76" s="37">
        <f>VLOOKUP(Table5345679103[[#This Row],[Date]],Database!A:E,MATCH($A$1,Database!$A$1:$E$1,),)</f>
        <v>17.359000000000002</v>
      </c>
      <c r="C76" s="8">
        <f t="shared" si="1"/>
        <v>1.4422522210685434E-3</v>
      </c>
      <c r="D76" s="7">
        <f>(Table5345679103[[#This Row],[Value]]-B64)/B64</f>
        <v>1.3545863256846084E-2</v>
      </c>
    </row>
    <row r="77" spans="1:4" x14ac:dyDescent="0.2">
      <c r="A77" s="36">
        <v>23743</v>
      </c>
      <c r="B77" s="37">
        <f>VLOOKUP(Table5345679103[[#This Row],[Date]],Database!A:E,MATCH($A$1,Database!$A$1:$E$1,),)</f>
        <v>17.378</v>
      </c>
      <c r="C77" s="8">
        <f t="shared" si="1"/>
        <v>1.0945330952242842E-3</v>
      </c>
      <c r="D77" s="7">
        <f>(Table5345679103[[#This Row],[Value]]-B65)/B65</f>
        <v>1.2526947503350221E-2</v>
      </c>
    </row>
    <row r="78" spans="1:4" x14ac:dyDescent="0.2">
      <c r="A78" s="36">
        <v>23774</v>
      </c>
      <c r="B78" s="37">
        <f>VLOOKUP(Table5345679103[[#This Row],[Date]],Database!A:E,MATCH($A$1,Database!$A$1:$E$1,),)</f>
        <v>17.385000000000002</v>
      </c>
      <c r="C78" s="8">
        <f t="shared" si="1"/>
        <v>4.0280814823348196E-4</v>
      </c>
      <c r="D78" s="7">
        <f>(Table5345679103[[#This Row],[Value]]-B66)/B66</f>
        <v>1.1461484756807234E-2</v>
      </c>
    </row>
    <row r="79" spans="1:4" x14ac:dyDescent="0.2">
      <c r="A79" s="36">
        <v>23802</v>
      </c>
      <c r="B79" s="37">
        <f>VLOOKUP(Table5345679103[[#This Row],[Date]],Database!A:E,MATCH($A$1,Database!$A$1:$E$1,),)</f>
        <v>17.408000000000001</v>
      </c>
      <c r="C79" s="8">
        <f t="shared" si="1"/>
        <v>1.3229795800977673E-3</v>
      </c>
      <c r="D79" s="7">
        <f>(Table5345679103[[#This Row],[Value]]-B67)/B67</f>
        <v>1.2210722176997375E-2</v>
      </c>
    </row>
    <row r="80" spans="1:4" x14ac:dyDescent="0.2">
      <c r="A80" s="36">
        <v>23833</v>
      </c>
      <c r="B80" s="37">
        <f>VLOOKUP(Table5345679103[[#This Row],[Date]],Database!A:E,MATCH($A$1,Database!$A$1:$E$1,),)</f>
        <v>17.434999999999999</v>
      </c>
      <c r="C80" s="8">
        <f t="shared" si="1"/>
        <v>1.5510110294116193E-3</v>
      </c>
      <c r="D80" s="7">
        <f>(Table5345679103[[#This Row],[Value]]-B68)/B68</f>
        <v>1.3014932310731522E-2</v>
      </c>
    </row>
    <row r="81" spans="1:4" x14ac:dyDescent="0.2">
      <c r="A81" s="36">
        <v>23863</v>
      </c>
      <c r="B81" s="37">
        <f>VLOOKUP(Table5345679103[[#This Row],[Date]],Database!A:E,MATCH($A$1,Database!$A$1:$E$1,),)</f>
        <v>17.474</v>
      </c>
      <c r="C81" s="8">
        <f t="shared" si="1"/>
        <v>2.2368798394035837E-3</v>
      </c>
      <c r="D81" s="7">
        <f>(Table5345679103[[#This Row],[Value]]-B69)/B69</f>
        <v>1.5162958229245292E-2</v>
      </c>
    </row>
    <row r="82" spans="1:4" x14ac:dyDescent="0.2">
      <c r="A82" s="36">
        <v>23894</v>
      </c>
      <c r="B82" s="37">
        <f>VLOOKUP(Table5345679103[[#This Row],[Date]],Database!A:E,MATCH($A$1,Database!$A$1:$E$1,),)</f>
        <v>17.524999999999999</v>
      </c>
      <c r="C82" s="8">
        <f t="shared" si="1"/>
        <v>2.9186219526152212E-3</v>
      </c>
      <c r="D82" s="7">
        <f>(Table5345679103[[#This Row],[Value]]-B70)/B70</f>
        <v>1.6708243893949079E-2</v>
      </c>
    </row>
    <row r="83" spans="1:4" x14ac:dyDescent="0.2">
      <c r="A83" s="36">
        <v>23924</v>
      </c>
      <c r="B83" s="37">
        <f>VLOOKUP(Table5345679103[[#This Row],[Date]],Database!A:E,MATCH($A$1,Database!$A$1:$E$1,),)</f>
        <v>17.538</v>
      </c>
      <c r="C83" s="8">
        <f t="shared" si="1"/>
        <v>7.4179743223975342E-4</v>
      </c>
      <c r="D83" s="7">
        <f>(Table5345679103[[#This Row],[Value]]-B71)/B71</f>
        <v>1.6165478880584037E-2</v>
      </c>
    </row>
    <row r="84" spans="1:4" x14ac:dyDescent="0.2">
      <c r="A84" s="36">
        <v>23955</v>
      </c>
      <c r="B84" s="37">
        <f>VLOOKUP(Table5345679103[[#This Row],[Date]],Database!A:E,MATCH($A$1,Database!$A$1:$E$1,),)</f>
        <v>17.542000000000002</v>
      </c>
      <c r="C84" s="8">
        <f t="shared" si="1"/>
        <v>2.2807617744334221E-4</v>
      </c>
      <c r="D84" s="7">
        <f>(Table5345679103[[#This Row],[Value]]-B72)/B72</f>
        <v>1.5573438314131993E-2</v>
      </c>
    </row>
    <row r="85" spans="1:4" x14ac:dyDescent="0.2">
      <c r="A85" s="36">
        <v>23986</v>
      </c>
      <c r="B85" s="37">
        <f>VLOOKUP(Table5345679103[[#This Row],[Date]],Database!A:E,MATCH($A$1,Database!$A$1:$E$1,),)</f>
        <v>17.55</v>
      </c>
      <c r="C85" s="8">
        <f t="shared" si="1"/>
        <v>4.5604834112410891E-4</v>
      </c>
      <c r="D85" s="7">
        <f>(Table5345679103[[#This Row],[Value]]-B73)/B73</f>
        <v>1.450950922018621E-2</v>
      </c>
    </row>
    <row r="86" spans="1:4" x14ac:dyDescent="0.2">
      <c r="A86" s="36">
        <v>24016</v>
      </c>
      <c r="B86" s="37">
        <f>VLOOKUP(Table5345679103[[#This Row],[Date]],Database!A:E,MATCH($A$1,Database!$A$1:$E$1,),)</f>
        <v>17.556000000000001</v>
      </c>
      <c r="C86" s="8">
        <f t="shared" si="1"/>
        <v>3.4188034188035484E-4</v>
      </c>
      <c r="D86" s="7">
        <f>(Table5345679103[[#This Row],[Value]]-B74)/B74</f>
        <v>1.4211438474870147E-2</v>
      </c>
    </row>
    <row r="87" spans="1:4" x14ac:dyDescent="0.2">
      <c r="A87" s="36">
        <v>24047</v>
      </c>
      <c r="B87" s="37">
        <f>VLOOKUP(Table5345679103[[#This Row],[Date]],Database!A:E,MATCH($A$1,Database!$A$1:$E$1,),)</f>
        <v>17.585000000000001</v>
      </c>
      <c r="C87" s="8">
        <f t="shared" si="1"/>
        <v>1.6518569150148048E-3</v>
      </c>
      <c r="D87" s="7">
        <f>(Table5345679103[[#This Row],[Value]]-B75)/B75</f>
        <v>1.4480212299527012E-2</v>
      </c>
    </row>
    <row r="88" spans="1:4" x14ac:dyDescent="0.2">
      <c r="A88" s="36">
        <v>24077</v>
      </c>
      <c r="B88" s="37">
        <f>VLOOKUP(Table5345679103[[#This Row],[Date]],Database!A:E,MATCH($A$1,Database!$A$1:$E$1,),)</f>
        <v>17.649000000000001</v>
      </c>
      <c r="C88" s="8">
        <f t="shared" si="1"/>
        <v>3.6394654535115184E-3</v>
      </c>
      <c r="D88" s="7">
        <f>(Table5345679103[[#This Row],[Value]]-B76)/B76</f>
        <v>1.6706031453424686E-2</v>
      </c>
    </row>
    <row r="89" spans="1:4" x14ac:dyDescent="0.2">
      <c r="A89" s="36">
        <v>24108</v>
      </c>
      <c r="B89" s="37">
        <f>VLOOKUP(Table5345679103[[#This Row],[Date]],Database!A:E,MATCH($A$1,Database!$A$1:$E$1,),)</f>
        <v>17.670000000000002</v>
      </c>
      <c r="C89" s="8">
        <f t="shared" si="1"/>
        <v>1.1898691143974614E-3</v>
      </c>
      <c r="D89" s="7">
        <f>(Table5345679103[[#This Row],[Value]]-B77)/B77</f>
        <v>1.6802854183450431E-2</v>
      </c>
    </row>
    <row r="90" spans="1:4" x14ac:dyDescent="0.2">
      <c r="A90" s="36">
        <v>24139</v>
      </c>
      <c r="B90" s="37">
        <f>VLOOKUP(Table5345679103[[#This Row],[Date]],Database!A:E,MATCH($A$1,Database!$A$1:$E$1,),)</f>
        <v>17.742999999999999</v>
      </c>
      <c r="C90" s="8">
        <f t="shared" si="1"/>
        <v>4.1312959818900303E-3</v>
      </c>
      <c r="D90" s="7">
        <f>(Table5345679103[[#This Row],[Value]]-B78)/B78</f>
        <v>2.0592464768478397E-2</v>
      </c>
    </row>
    <row r="91" spans="1:4" x14ac:dyDescent="0.2">
      <c r="A91" s="36">
        <v>24167</v>
      </c>
      <c r="B91" s="37">
        <f>VLOOKUP(Table5345679103[[#This Row],[Date]],Database!A:E,MATCH($A$1,Database!$A$1:$E$1,),)</f>
        <v>17.786000000000001</v>
      </c>
      <c r="C91" s="8">
        <f t="shared" si="1"/>
        <v>2.4234909541792716E-3</v>
      </c>
      <c r="D91" s="7">
        <f>(Table5345679103[[#This Row],[Value]]-B79)/B79</f>
        <v>2.1714154411764712E-2</v>
      </c>
    </row>
    <row r="92" spans="1:4" x14ac:dyDescent="0.2">
      <c r="A92" s="36">
        <v>24198</v>
      </c>
      <c r="B92" s="37">
        <f>VLOOKUP(Table5345679103[[#This Row],[Date]],Database!A:E,MATCH($A$1,Database!$A$1:$E$1,),)</f>
        <v>17.847999999999999</v>
      </c>
      <c r="C92" s="8">
        <f t="shared" si="1"/>
        <v>3.485887776903048E-3</v>
      </c>
      <c r="D92" s="7">
        <f>(Table5345679103[[#This Row],[Value]]-B80)/B80</f>
        <v>2.3687983940349887E-2</v>
      </c>
    </row>
    <row r="93" spans="1:4" x14ac:dyDescent="0.2">
      <c r="A93" s="36">
        <v>24228</v>
      </c>
      <c r="B93" s="37">
        <f>VLOOKUP(Table5345679103[[#This Row],[Date]],Database!A:E,MATCH($A$1,Database!$A$1:$E$1,),)</f>
        <v>17.87</v>
      </c>
      <c r="C93" s="8">
        <f t="shared" si="1"/>
        <v>1.2326311071269621E-3</v>
      </c>
      <c r="D93" s="7">
        <f>(Table5345679103[[#This Row],[Value]]-B81)/B81</f>
        <v>2.2662241043836604E-2</v>
      </c>
    </row>
    <row r="94" spans="1:4" x14ac:dyDescent="0.2">
      <c r="A94" s="36">
        <v>24259</v>
      </c>
      <c r="B94" s="37">
        <f>VLOOKUP(Table5345679103[[#This Row],[Date]],Database!A:E,MATCH($A$1,Database!$A$1:$E$1,),)</f>
        <v>17.914999999999999</v>
      </c>
      <c r="C94" s="8">
        <f t="shared" si="1"/>
        <v>2.5181869054279882E-3</v>
      </c>
      <c r="D94" s="7">
        <f>(Table5345679103[[#This Row],[Value]]-B82)/B82</f>
        <v>2.2253922967189765E-2</v>
      </c>
    </row>
    <row r="95" spans="1:4" x14ac:dyDescent="0.2">
      <c r="A95" s="36">
        <v>24289</v>
      </c>
      <c r="B95" s="37">
        <f>VLOOKUP(Table5345679103[[#This Row],[Date]],Database!A:E,MATCH($A$1,Database!$A$1:$E$1,),)</f>
        <v>17.949000000000002</v>
      </c>
      <c r="C95" s="8">
        <f t="shared" si="1"/>
        <v>1.897850962880406E-3</v>
      </c>
      <c r="D95" s="7">
        <f>(Table5345679103[[#This Row],[Value]]-B83)/B83</f>
        <v>2.3434827232295664E-2</v>
      </c>
    </row>
    <row r="96" spans="1:4" x14ac:dyDescent="0.2">
      <c r="A96" s="36">
        <v>24320</v>
      </c>
      <c r="B96" s="37">
        <f>VLOOKUP(Table5345679103[[#This Row],[Date]],Database!A:E,MATCH($A$1,Database!$A$1:$E$1,),)</f>
        <v>18.018000000000001</v>
      </c>
      <c r="C96" s="8">
        <f t="shared" si="1"/>
        <v>3.8442253050308683E-3</v>
      </c>
      <c r="D96" s="7">
        <f>(Table5345679103[[#This Row],[Value]]-B84)/B84</f>
        <v>2.7134876296887416E-2</v>
      </c>
    </row>
    <row r="97" spans="1:4" x14ac:dyDescent="0.2">
      <c r="A97" s="36">
        <v>24351</v>
      </c>
      <c r="B97" s="37">
        <f>VLOOKUP(Table5345679103[[#This Row],[Date]],Database!A:E,MATCH($A$1,Database!$A$1:$E$1,),)</f>
        <v>18.074999999999999</v>
      </c>
      <c r="C97" s="8">
        <f t="shared" si="1"/>
        <v>3.1635031635030863E-3</v>
      </c>
      <c r="D97" s="7">
        <f>(Table5345679103[[#This Row],[Value]]-B85)/B85</f>
        <v>2.9914529914529833E-2</v>
      </c>
    </row>
    <row r="98" spans="1:4" x14ac:dyDescent="0.2">
      <c r="A98" s="36">
        <v>24381</v>
      </c>
      <c r="B98" s="37">
        <f>VLOOKUP(Table5345679103[[#This Row],[Date]],Database!A:E,MATCH($A$1,Database!$A$1:$E$1,),)</f>
        <v>18.123000000000001</v>
      </c>
      <c r="C98" s="8">
        <f t="shared" si="1"/>
        <v>2.6556016597511379E-3</v>
      </c>
      <c r="D98" s="7">
        <f>(Table5345679103[[#This Row],[Value]]-B86)/B86</f>
        <v>3.2296650717703358E-2</v>
      </c>
    </row>
    <row r="99" spans="1:4" x14ac:dyDescent="0.2">
      <c r="A99" s="36">
        <v>24412</v>
      </c>
      <c r="B99" s="37">
        <f>VLOOKUP(Table5345679103[[#This Row],[Date]],Database!A:E,MATCH($A$1,Database!$A$1:$E$1,),)</f>
        <v>18.149999999999999</v>
      </c>
      <c r="C99" s="8">
        <f t="shared" si="1"/>
        <v>1.4898195662968311E-3</v>
      </c>
      <c r="D99" s="7">
        <f>(Table5345679103[[#This Row],[Value]]-B87)/B87</f>
        <v>3.2129655956781217E-2</v>
      </c>
    </row>
    <row r="100" spans="1:4" x14ac:dyDescent="0.2">
      <c r="A100" s="36">
        <v>24442</v>
      </c>
      <c r="B100" s="37">
        <f>VLOOKUP(Table5345679103[[#This Row],[Date]],Database!A:E,MATCH($A$1,Database!$A$1:$E$1,),)</f>
        <v>18.187000000000001</v>
      </c>
      <c r="C100" s="8">
        <f t="shared" si="1"/>
        <v>2.0385674931130905E-3</v>
      </c>
      <c r="D100" s="7">
        <f>(Table5345679103[[#This Row],[Value]]-B88)/B88</f>
        <v>3.048331350218144E-2</v>
      </c>
    </row>
    <row r="101" spans="1:4" x14ac:dyDescent="0.2">
      <c r="A101" s="36">
        <v>24473</v>
      </c>
      <c r="B101" s="37">
        <f>VLOOKUP(Table5345679103[[#This Row],[Date]],Database!A:E,MATCH($A$1,Database!$A$1:$E$1,),)</f>
        <v>18.187999999999999</v>
      </c>
      <c r="C101" s="8">
        <f t="shared" si="1"/>
        <v>5.4984329465974014E-5</v>
      </c>
      <c r="D101" s="7">
        <f>(Table5345679103[[#This Row],[Value]]-B89)/B89</f>
        <v>2.9315223542727621E-2</v>
      </c>
    </row>
    <row r="102" spans="1:4" x14ac:dyDescent="0.2">
      <c r="A102" s="36">
        <v>24504</v>
      </c>
      <c r="B102" s="37">
        <f>VLOOKUP(Table5345679103[[#This Row],[Date]],Database!A:E,MATCH($A$1,Database!$A$1:$E$1,),)</f>
        <v>18.209</v>
      </c>
      <c r="C102" s="8">
        <f t="shared" si="1"/>
        <v>1.1546074334726631E-3</v>
      </c>
      <c r="D102" s="7">
        <f>(Table5345679103[[#This Row],[Value]]-B90)/B90</f>
        <v>2.6263878712731843E-2</v>
      </c>
    </row>
    <row r="103" spans="1:4" x14ac:dyDescent="0.2">
      <c r="A103" s="36">
        <v>24532</v>
      </c>
      <c r="B103" s="37">
        <f>VLOOKUP(Table5345679103[[#This Row],[Date]],Database!A:E,MATCH($A$1,Database!$A$1:$E$1,),)</f>
        <v>18.22</v>
      </c>
      <c r="C103" s="8">
        <f t="shared" si="1"/>
        <v>6.0409687517157631E-4</v>
      </c>
      <c r="D103" s="7">
        <f>(Table5345679103[[#This Row],[Value]]-B91)/B91</f>
        <v>2.4401214438322133E-2</v>
      </c>
    </row>
    <row r="104" spans="1:4" x14ac:dyDescent="0.2">
      <c r="A104" s="36">
        <v>24563</v>
      </c>
      <c r="B104" s="37">
        <f>VLOOKUP(Table5345679103[[#This Row],[Date]],Database!A:E,MATCH($A$1,Database!$A$1:$E$1,),)</f>
        <v>18.248999999999999</v>
      </c>
      <c r="C104" s="8">
        <f t="shared" si="1"/>
        <v>1.5916575192096551E-3</v>
      </c>
      <c r="D104" s="7">
        <f>(Table5345679103[[#This Row],[Value]]-B92)/B92</f>
        <v>2.2467503361721191E-2</v>
      </c>
    </row>
    <row r="105" spans="1:4" x14ac:dyDescent="0.2">
      <c r="A105" s="36">
        <v>24593</v>
      </c>
      <c r="B105" s="37">
        <f>VLOOKUP(Table5345679103[[#This Row],[Date]],Database!A:E,MATCH($A$1,Database!$A$1:$E$1,),)</f>
        <v>18.285</v>
      </c>
      <c r="C105" s="8">
        <f t="shared" si="1"/>
        <v>1.972710833470402E-3</v>
      </c>
      <c r="D105" s="7">
        <f>(Table5345679103[[#This Row],[Value]]-B93)/B93</f>
        <v>2.322327923894791E-2</v>
      </c>
    </row>
    <row r="106" spans="1:4" x14ac:dyDescent="0.2">
      <c r="A106" s="36">
        <v>24624</v>
      </c>
      <c r="B106" s="37">
        <f>VLOOKUP(Table5345679103[[#This Row],[Date]],Database!A:E,MATCH($A$1,Database!$A$1:$E$1,),)</f>
        <v>18.343</v>
      </c>
      <c r="C106" s="8">
        <f t="shared" si="1"/>
        <v>3.1719989062072643E-3</v>
      </c>
      <c r="D106" s="7">
        <f>(Table5345679103[[#This Row],[Value]]-B94)/B94</f>
        <v>2.3890594473904597E-2</v>
      </c>
    </row>
    <row r="107" spans="1:4" x14ac:dyDescent="0.2">
      <c r="A107" s="36">
        <v>24654</v>
      </c>
      <c r="B107" s="37">
        <f>VLOOKUP(Table5345679103[[#This Row],[Date]],Database!A:E,MATCH($A$1,Database!$A$1:$E$1,),)</f>
        <v>18.405000000000001</v>
      </c>
      <c r="C107" s="8">
        <f t="shared" si="1"/>
        <v>3.3800359810282486E-3</v>
      </c>
      <c r="D107" s="7">
        <f>(Table5345679103[[#This Row],[Value]]-B95)/B95</f>
        <v>2.5405315059334754E-2</v>
      </c>
    </row>
    <row r="108" spans="1:4" x14ac:dyDescent="0.2">
      <c r="A108" s="36">
        <v>24685</v>
      </c>
      <c r="B108" s="37">
        <f>VLOOKUP(Table5345679103[[#This Row],[Date]],Database!A:E,MATCH($A$1,Database!$A$1:$E$1,),)</f>
        <v>18.463000000000001</v>
      </c>
      <c r="C108" s="8">
        <f t="shared" si="1"/>
        <v>3.1513175767454403E-3</v>
      </c>
      <c r="D108" s="7">
        <f>(Table5345679103[[#This Row],[Value]]-B96)/B96</f>
        <v>2.4697524697524714E-2</v>
      </c>
    </row>
    <row r="109" spans="1:4" x14ac:dyDescent="0.2">
      <c r="A109" s="36">
        <v>24716</v>
      </c>
      <c r="B109" s="37">
        <f>VLOOKUP(Table5345679103[[#This Row],[Date]],Database!A:E,MATCH($A$1,Database!$A$1:$E$1,),)</f>
        <v>18.518999999999998</v>
      </c>
      <c r="C109" s="8">
        <f t="shared" si="1"/>
        <v>3.033093213453793E-3</v>
      </c>
      <c r="D109" s="7">
        <f>(Table5345679103[[#This Row],[Value]]-B97)/B97</f>
        <v>2.4564315352697045E-2</v>
      </c>
    </row>
    <row r="110" spans="1:4" x14ac:dyDescent="0.2">
      <c r="A110" s="36">
        <v>24746</v>
      </c>
      <c r="B110" s="37">
        <f>VLOOKUP(Table5345679103[[#This Row],[Date]],Database!A:E,MATCH($A$1,Database!$A$1:$E$1,),)</f>
        <v>18.57</v>
      </c>
      <c r="C110" s="8">
        <f t="shared" si="1"/>
        <v>2.7539283978617601E-3</v>
      </c>
      <c r="D110" s="7">
        <f>(Table5345679103[[#This Row],[Value]]-B98)/B98</f>
        <v>2.4664790597583135E-2</v>
      </c>
    </row>
    <row r="111" spans="1:4" x14ac:dyDescent="0.2">
      <c r="A111" s="36">
        <v>24777</v>
      </c>
      <c r="B111" s="37">
        <f>VLOOKUP(Table5345679103[[#This Row],[Date]],Database!A:E,MATCH($A$1,Database!$A$1:$E$1,),)</f>
        <v>18.632000000000001</v>
      </c>
      <c r="C111" s="8">
        <f t="shared" si="1"/>
        <v>3.338718362951059E-3</v>
      </c>
      <c r="D111" s="7">
        <f>(Table5345679103[[#This Row],[Value]]-B99)/B99</f>
        <v>2.6556473829201264E-2</v>
      </c>
    </row>
    <row r="112" spans="1:4" x14ac:dyDescent="0.2">
      <c r="A112" s="36">
        <v>24807</v>
      </c>
      <c r="B112" s="37">
        <f>VLOOKUP(Table5345679103[[#This Row],[Date]],Database!A:E,MATCH($A$1,Database!$A$1:$E$1,),)</f>
        <v>18.661000000000001</v>
      </c>
      <c r="C112" s="8">
        <f t="shared" si="1"/>
        <v>1.556462000858733E-3</v>
      </c>
      <c r="D112" s="7">
        <f>(Table5345679103[[#This Row],[Value]]-B100)/B100</f>
        <v>2.6062572166932432E-2</v>
      </c>
    </row>
    <row r="113" spans="1:4" x14ac:dyDescent="0.2">
      <c r="A113" s="36">
        <v>24838</v>
      </c>
      <c r="B113" s="37">
        <f>VLOOKUP(Table5345679103[[#This Row],[Date]],Database!A:E,MATCH($A$1,Database!$A$1:$E$1,),)</f>
        <v>18.748000000000001</v>
      </c>
      <c r="C113" s="8">
        <f t="shared" si="1"/>
        <v>4.6621295750495549E-3</v>
      </c>
      <c r="D113" s="7">
        <f>(Table5345679103[[#This Row],[Value]]-B101)/B101</f>
        <v>3.0789531559269976E-2</v>
      </c>
    </row>
    <row r="114" spans="1:4" x14ac:dyDescent="0.2">
      <c r="A114" s="36">
        <v>24869</v>
      </c>
      <c r="B114" s="37">
        <f>VLOOKUP(Table5345679103[[#This Row],[Date]],Database!A:E,MATCH($A$1,Database!$A$1:$E$1,),)</f>
        <v>18.824000000000002</v>
      </c>
      <c r="C114" s="8">
        <f t="shared" si="1"/>
        <v>4.0537657350117615E-3</v>
      </c>
      <c r="D114" s="7">
        <f>(Table5345679103[[#This Row],[Value]]-B102)/B102</f>
        <v>3.3774507111867864E-2</v>
      </c>
    </row>
    <row r="115" spans="1:4" x14ac:dyDescent="0.2">
      <c r="A115" s="36">
        <v>24898</v>
      </c>
      <c r="B115" s="37">
        <f>VLOOKUP(Table5345679103[[#This Row],[Date]],Database!A:E,MATCH($A$1,Database!$A$1:$E$1,),)</f>
        <v>18.885999999999999</v>
      </c>
      <c r="C115" s="8">
        <f t="shared" si="1"/>
        <v>3.2936676583084153E-3</v>
      </c>
      <c r="D115" s="7">
        <f>(Table5345679103[[#This Row],[Value]]-B103)/B103</f>
        <v>3.6553238199780486E-2</v>
      </c>
    </row>
    <row r="116" spans="1:4" x14ac:dyDescent="0.2">
      <c r="A116" s="36">
        <v>24929</v>
      </c>
      <c r="B116" s="37">
        <f>VLOOKUP(Table5345679103[[#This Row],[Date]],Database!A:E,MATCH($A$1,Database!$A$1:$E$1,),)</f>
        <v>18.945</v>
      </c>
      <c r="C116" s="8">
        <f t="shared" si="1"/>
        <v>3.1240072011014005E-3</v>
      </c>
      <c r="D116" s="7">
        <f>(Table5345679103[[#This Row],[Value]]-B104)/B104</f>
        <v>3.8139076113759746E-2</v>
      </c>
    </row>
    <row r="117" spans="1:4" x14ac:dyDescent="0.2">
      <c r="A117" s="36">
        <v>24959</v>
      </c>
      <c r="B117" s="37">
        <f>VLOOKUP(Table5345679103[[#This Row],[Date]],Database!A:E,MATCH($A$1,Database!$A$1:$E$1,),)</f>
        <v>19.015000000000001</v>
      </c>
      <c r="C117" s="8">
        <f t="shared" si="1"/>
        <v>3.6949063077329259E-3</v>
      </c>
      <c r="D117" s="7">
        <f>(Table5345679103[[#This Row],[Value]]-B105)/B105</f>
        <v>3.9923434509160534E-2</v>
      </c>
    </row>
    <row r="118" spans="1:4" x14ac:dyDescent="0.2">
      <c r="A118" s="36">
        <v>24990</v>
      </c>
      <c r="B118" s="37">
        <f>VLOOKUP(Table5345679103[[#This Row],[Date]],Database!A:E,MATCH($A$1,Database!$A$1:$E$1,),)</f>
        <v>19.074999999999999</v>
      </c>
      <c r="C118" s="8">
        <f t="shared" si="1"/>
        <v>3.1554036287141057E-3</v>
      </c>
      <c r="D118" s="7">
        <f>(Table5345679103[[#This Row],[Value]]-B106)/B106</f>
        <v>3.9906231259881117E-2</v>
      </c>
    </row>
    <row r="119" spans="1:4" x14ac:dyDescent="0.2">
      <c r="A119" s="36">
        <v>25020</v>
      </c>
      <c r="B119" s="37">
        <f>VLOOKUP(Table5345679103[[#This Row],[Date]],Database!A:E,MATCH($A$1,Database!$A$1:$E$1,),)</f>
        <v>19.134</v>
      </c>
      <c r="C119" s="8">
        <f t="shared" si="1"/>
        <v>3.0930537352556252E-3</v>
      </c>
      <c r="D119" s="7">
        <f>(Table5345679103[[#This Row],[Value]]-B107)/B107</f>
        <v>3.9608801955990175E-2</v>
      </c>
    </row>
    <row r="120" spans="1:4" x14ac:dyDescent="0.2">
      <c r="A120" s="36">
        <v>25051</v>
      </c>
      <c r="B120" s="37">
        <f>VLOOKUP(Table5345679103[[#This Row],[Date]],Database!A:E,MATCH($A$1,Database!$A$1:$E$1,),)</f>
        <v>19.212</v>
      </c>
      <c r="C120" s="8">
        <f t="shared" si="1"/>
        <v>4.0765130134838195E-3</v>
      </c>
      <c r="D120" s="7">
        <f>(Table5345679103[[#This Row],[Value]]-B108)/B108</f>
        <v>4.056762172994631E-2</v>
      </c>
    </row>
    <row r="121" spans="1:4" x14ac:dyDescent="0.2">
      <c r="A121" s="36">
        <v>25082</v>
      </c>
      <c r="B121" s="37">
        <f>VLOOKUP(Table5345679103[[#This Row],[Date]],Database!A:E,MATCH($A$1,Database!$A$1:$E$1,),)</f>
        <v>19.279</v>
      </c>
      <c r="C121" s="8">
        <f t="shared" si="1"/>
        <v>3.4874037060170816E-3</v>
      </c>
      <c r="D121" s="7">
        <f>(Table5345679103[[#This Row],[Value]]-B109)/B109</f>
        <v>4.1038932987742409E-2</v>
      </c>
    </row>
    <row r="122" spans="1:4" x14ac:dyDescent="0.2">
      <c r="A122" s="36">
        <v>25112</v>
      </c>
      <c r="B122" s="37">
        <f>VLOOKUP(Table5345679103[[#This Row],[Date]],Database!A:E,MATCH($A$1,Database!$A$1:$E$1,),)</f>
        <v>19.364000000000001</v>
      </c>
      <c r="C122" s="8">
        <f t="shared" si="1"/>
        <v>4.4089423725297396E-3</v>
      </c>
      <c r="D122" s="7">
        <f>(Table5345679103[[#This Row],[Value]]-B110)/B110</f>
        <v>4.2757135164243426E-2</v>
      </c>
    </row>
    <row r="123" spans="1:4" x14ac:dyDescent="0.2">
      <c r="A123" s="36">
        <v>25143</v>
      </c>
      <c r="B123" s="37">
        <f>VLOOKUP(Table5345679103[[#This Row],[Date]],Database!A:E,MATCH($A$1,Database!$A$1:$E$1,),)</f>
        <v>19.43</v>
      </c>
      <c r="C123" s="8">
        <f t="shared" si="1"/>
        <v>3.4083866969633831E-3</v>
      </c>
      <c r="D123" s="7">
        <f>(Table5345679103[[#This Row],[Value]]-B111)/B111</f>
        <v>4.2829540575354132E-2</v>
      </c>
    </row>
    <row r="124" spans="1:4" x14ac:dyDescent="0.2">
      <c r="A124" s="36">
        <v>25173</v>
      </c>
      <c r="B124" s="37">
        <f>VLOOKUP(Table5345679103[[#This Row],[Date]],Database!A:E,MATCH($A$1,Database!$A$1:$E$1,),)</f>
        <v>19.47</v>
      </c>
      <c r="C124" s="8">
        <f t="shared" si="1"/>
        <v>2.0586721564590398E-3</v>
      </c>
      <c r="D124" s="7">
        <f>(Table5345679103[[#This Row],[Value]]-B112)/B112</f>
        <v>4.3352446278334358E-2</v>
      </c>
    </row>
    <row r="125" spans="1:4" x14ac:dyDescent="0.2">
      <c r="A125" s="36">
        <v>25204</v>
      </c>
      <c r="B125" s="37">
        <f>VLOOKUP(Table5345679103[[#This Row],[Date]],Database!A:E,MATCH($A$1,Database!$A$1:$E$1,),)</f>
        <v>19.545999999999999</v>
      </c>
      <c r="C125" s="8">
        <f t="shared" si="1"/>
        <v>3.9034411915768114E-3</v>
      </c>
      <c r="D125" s="7">
        <f>(Table5345679103[[#This Row],[Value]]-B113)/B113</f>
        <v>4.2564540217623119E-2</v>
      </c>
    </row>
    <row r="126" spans="1:4" x14ac:dyDescent="0.2">
      <c r="A126" s="36">
        <v>25235</v>
      </c>
      <c r="B126" s="37">
        <f>VLOOKUP(Table5345679103[[#This Row],[Date]],Database!A:E,MATCH($A$1,Database!$A$1:$E$1,),)</f>
        <v>19.594999999999999</v>
      </c>
      <c r="C126" s="8">
        <f t="shared" si="1"/>
        <v>2.5069067839966997E-3</v>
      </c>
      <c r="D126" s="7">
        <f>(Table5345679103[[#This Row],[Value]]-B114)/B114</f>
        <v>4.095835104122382E-2</v>
      </c>
    </row>
    <row r="127" spans="1:4" x14ac:dyDescent="0.2">
      <c r="A127" s="36">
        <v>25263</v>
      </c>
      <c r="B127" s="37">
        <f>VLOOKUP(Table5345679103[[#This Row],[Date]],Database!A:E,MATCH($A$1,Database!$A$1:$E$1,),)</f>
        <v>19.687000000000001</v>
      </c>
      <c r="C127" s="8">
        <f t="shared" si="1"/>
        <v>4.6950752743047872E-3</v>
      </c>
      <c r="D127" s="7">
        <f>(Table5345679103[[#This Row],[Value]]-B115)/B115</f>
        <v>4.2412368950545482E-2</v>
      </c>
    </row>
    <row r="128" spans="1:4" x14ac:dyDescent="0.2">
      <c r="A128" s="36">
        <v>25294</v>
      </c>
      <c r="B128" s="37">
        <f>VLOOKUP(Table5345679103[[#This Row],[Date]],Database!A:E,MATCH($A$1,Database!$A$1:$E$1,),)</f>
        <v>19.774000000000001</v>
      </c>
      <c r="C128" s="8">
        <f t="shared" si="1"/>
        <v>4.4191598516787594E-3</v>
      </c>
      <c r="D128" s="7">
        <f>(Table5345679103[[#This Row],[Value]]-B116)/B116</f>
        <v>4.3758247558722652E-2</v>
      </c>
    </row>
    <row r="129" spans="1:4" x14ac:dyDescent="0.2">
      <c r="A129" s="36">
        <v>25324</v>
      </c>
      <c r="B129" s="37">
        <f>VLOOKUP(Table5345679103[[#This Row],[Date]],Database!A:E,MATCH($A$1,Database!$A$1:$E$1,),)</f>
        <v>19.853999999999999</v>
      </c>
      <c r="C129" s="8">
        <f t="shared" si="1"/>
        <v>4.0457165975522546E-3</v>
      </c>
      <c r="D129" s="7">
        <f>(Table5345679103[[#This Row],[Value]]-B117)/B117</f>
        <v>4.4123060741519782E-2</v>
      </c>
    </row>
    <row r="130" spans="1:4" x14ac:dyDescent="0.2">
      <c r="A130" s="36">
        <v>25355</v>
      </c>
      <c r="B130" s="37">
        <f>VLOOKUP(Table5345679103[[#This Row],[Date]],Database!A:E,MATCH($A$1,Database!$A$1:$E$1,),)</f>
        <v>19.95</v>
      </c>
      <c r="C130" s="8">
        <f t="shared" si="1"/>
        <v>4.8352976730129992E-3</v>
      </c>
      <c r="D130" s="7">
        <f>(Table5345679103[[#This Row],[Value]]-B118)/B118</f>
        <v>4.5871559633027525E-2</v>
      </c>
    </row>
    <row r="131" spans="1:4" x14ac:dyDescent="0.2">
      <c r="A131" s="36">
        <v>25385</v>
      </c>
      <c r="B131" s="37">
        <f>VLOOKUP(Table5345679103[[#This Row],[Date]],Database!A:E,MATCH($A$1,Database!$A$1:$E$1,),)</f>
        <v>20.036999999999999</v>
      </c>
      <c r="C131" s="8">
        <f t="shared" si="1"/>
        <v>4.3609022556390853E-3</v>
      </c>
      <c r="D131" s="7">
        <f>(Table5345679103[[#This Row],[Value]]-B119)/B119</f>
        <v>4.7193477579178356E-2</v>
      </c>
    </row>
    <row r="132" spans="1:4" x14ac:dyDescent="0.2">
      <c r="A132" s="36">
        <v>25416</v>
      </c>
      <c r="B132" s="37">
        <f>VLOOKUP(Table5345679103[[#This Row],[Date]],Database!A:E,MATCH($A$1,Database!$A$1:$E$1,),)</f>
        <v>20.093</v>
      </c>
      <c r="C132" s="8">
        <f t="shared" si="1"/>
        <v>2.7948295653042344E-3</v>
      </c>
      <c r="D132" s="7">
        <f>(Table5345679103[[#This Row],[Value]]-B120)/B120</f>
        <v>4.5856756194045403E-2</v>
      </c>
    </row>
    <row r="133" spans="1:4" x14ac:dyDescent="0.2">
      <c r="A133" s="36">
        <v>25447</v>
      </c>
      <c r="B133" s="37">
        <f>VLOOKUP(Table5345679103[[#This Row],[Date]],Database!A:E,MATCH($A$1,Database!$A$1:$E$1,),)</f>
        <v>20.175999999999998</v>
      </c>
      <c r="C133" s="8">
        <f t="shared" si="1"/>
        <v>4.1307918180460068E-3</v>
      </c>
      <c r="D133" s="7">
        <f>(Table5345679103[[#This Row],[Value]]-B121)/B121</f>
        <v>4.6527309507754473E-2</v>
      </c>
    </row>
    <row r="134" spans="1:4" x14ac:dyDescent="0.2">
      <c r="A134" s="36">
        <v>25477</v>
      </c>
      <c r="B134" s="37">
        <f>VLOOKUP(Table5345679103[[#This Row],[Date]],Database!A:E,MATCH($A$1,Database!$A$1:$E$1,),)</f>
        <v>20.245000000000001</v>
      </c>
      <c r="C134" s="8">
        <f t="shared" ref="C134:C197" si="2">(B134-B133)/B133</f>
        <v>3.4199048374307403E-3</v>
      </c>
      <c r="D134" s="7">
        <f>(Table5345679103[[#This Row],[Value]]-B122)/B122</f>
        <v>4.5496798182193772E-2</v>
      </c>
    </row>
    <row r="135" spans="1:4" x14ac:dyDescent="0.2">
      <c r="A135" s="36">
        <v>25508</v>
      </c>
      <c r="B135" s="37">
        <f>VLOOKUP(Table5345679103[[#This Row],[Date]],Database!A:E,MATCH($A$1,Database!$A$1:$E$1,),)</f>
        <v>20.332000000000001</v>
      </c>
      <c r="C135" s="8">
        <f t="shared" si="2"/>
        <v>4.2973573721906515E-3</v>
      </c>
      <c r="D135" s="7">
        <f>(Table5345679103[[#This Row],[Value]]-B123)/B123</f>
        <v>4.6423057128152395E-2</v>
      </c>
    </row>
    <row r="136" spans="1:4" x14ac:dyDescent="0.2">
      <c r="A136" s="36">
        <v>25538</v>
      </c>
      <c r="B136" s="37">
        <f>VLOOKUP(Table5345679103[[#This Row],[Date]],Database!A:E,MATCH($A$1,Database!$A$1:$E$1,),)</f>
        <v>20.425999999999998</v>
      </c>
      <c r="C136" s="8">
        <f t="shared" si="2"/>
        <v>4.6232539838676782E-3</v>
      </c>
      <c r="D136" s="7">
        <f>(Table5345679103[[#This Row],[Value]]-B124)/B124</f>
        <v>4.9101181304571112E-2</v>
      </c>
    </row>
    <row r="137" spans="1:4" x14ac:dyDescent="0.2">
      <c r="A137" s="36">
        <v>25569</v>
      </c>
      <c r="B137" s="37">
        <f>VLOOKUP(Table5345679103[[#This Row],[Date]],Database!A:E,MATCH($A$1,Database!$A$1:$E$1,),)</f>
        <v>20.498999999999999</v>
      </c>
      <c r="C137" s="8">
        <f t="shared" si="2"/>
        <v>3.5738764319984532E-3</v>
      </c>
      <c r="D137" s="7">
        <f>(Table5345679103[[#This Row],[Value]]-B125)/B125</f>
        <v>4.8756778880589352E-2</v>
      </c>
    </row>
    <row r="138" spans="1:4" x14ac:dyDescent="0.2">
      <c r="A138" s="36">
        <v>25600</v>
      </c>
      <c r="B138" s="37">
        <f>VLOOKUP(Table5345679103[[#This Row],[Date]],Database!A:E,MATCH($A$1,Database!$A$1:$E$1,),)</f>
        <v>20.58</v>
      </c>
      <c r="C138" s="8">
        <f t="shared" si="2"/>
        <v>3.9514122640128555E-3</v>
      </c>
      <c r="D138" s="7">
        <f>(Table5345679103[[#This Row],[Value]]-B126)/B126</f>
        <v>5.0267925491196706E-2</v>
      </c>
    </row>
    <row r="139" spans="1:4" x14ac:dyDescent="0.2">
      <c r="A139" s="36">
        <v>25628</v>
      </c>
      <c r="B139" s="37">
        <f>VLOOKUP(Table5345679103[[#This Row],[Date]],Database!A:E,MATCH($A$1,Database!$A$1:$E$1,),)</f>
        <v>20.631</v>
      </c>
      <c r="C139" s="8">
        <f t="shared" si="2"/>
        <v>2.478134110787266E-3</v>
      </c>
      <c r="D139" s="7">
        <f>(Table5345679103[[#This Row],[Value]]-B127)/B127</f>
        <v>4.7950424137755826E-2</v>
      </c>
    </row>
    <row r="140" spans="1:4" x14ac:dyDescent="0.2">
      <c r="A140" s="36">
        <v>25659</v>
      </c>
      <c r="B140" s="37">
        <f>VLOOKUP(Table5345679103[[#This Row],[Date]],Database!A:E,MATCH($A$1,Database!$A$1:$E$1,),)</f>
        <v>20.736000000000001</v>
      </c>
      <c r="C140" s="8">
        <f t="shared" si="2"/>
        <v>5.0894285298822371E-3</v>
      </c>
      <c r="D140" s="7">
        <f>(Table5345679103[[#This Row],[Value]]-B128)/B128</f>
        <v>4.864974208556689E-2</v>
      </c>
    </row>
    <row r="141" spans="1:4" x14ac:dyDescent="0.2">
      <c r="A141" s="36">
        <v>25689</v>
      </c>
      <c r="B141" s="37">
        <f>VLOOKUP(Table5345679103[[#This Row],[Date]],Database!A:E,MATCH($A$1,Database!$A$1:$E$1,),)</f>
        <v>20.802</v>
      </c>
      <c r="C141" s="8">
        <f t="shared" si="2"/>
        <v>3.1828703703703195E-3</v>
      </c>
      <c r="D141" s="7">
        <f>(Table5345679103[[#This Row],[Value]]-B129)/B129</f>
        <v>4.7748564521003345E-2</v>
      </c>
    </row>
    <row r="142" spans="1:4" x14ac:dyDescent="0.2">
      <c r="A142" s="36">
        <v>25720</v>
      </c>
      <c r="B142" s="37">
        <f>VLOOKUP(Table5345679103[[#This Row],[Date]],Database!A:E,MATCH($A$1,Database!$A$1:$E$1,),)</f>
        <v>20.856000000000002</v>
      </c>
      <c r="C142" s="8">
        <f t="shared" si="2"/>
        <v>2.5959042399770235E-3</v>
      </c>
      <c r="D142" s="7">
        <f>(Table5345679103[[#This Row],[Value]]-B130)/B130</f>
        <v>4.5413533834586586E-2</v>
      </c>
    </row>
    <row r="143" spans="1:4" x14ac:dyDescent="0.2">
      <c r="A143" s="36">
        <v>25750</v>
      </c>
      <c r="B143" s="37">
        <f>VLOOKUP(Table5345679103[[#This Row],[Date]],Database!A:E,MATCH($A$1,Database!$A$1:$E$1,),)</f>
        <v>20.931999999999999</v>
      </c>
      <c r="C143" s="8">
        <f t="shared" si="2"/>
        <v>3.6440352896047637E-3</v>
      </c>
      <c r="D143" s="7">
        <f>(Table5345679103[[#This Row],[Value]]-B131)/B131</f>
        <v>4.4667365374057973E-2</v>
      </c>
    </row>
    <row r="144" spans="1:4" x14ac:dyDescent="0.2">
      <c r="A144" s="36">
        <v>25781</v>
      </c>
      <c r="B144" s="37">
        <f>VLOOKUP(Table5345679103[[#This Row],[Date]],Database!A:E,MATCH($A$1,Database!$A$1:$E$1,),)</f>
        <v>20.986999999999998</v>
      </c>
      <c r="C144" s="8">
        <f t="shared" si="2"/>
        <v>2.6275558952799406E-3</v>
      </c>
      <c r="D144" s="7">
        <f>(Table5345679103[[#This Row],[Value]]-B132)/B132</f>
        <v>4.4493107052207152E-2</v>
      </c>
    </row>
    <row r="145" spans="1:4" x14ac:dyDescent="0.2">
      <c r="A145" s="36">
        <v>25812</v>
      </c>
      <c r="B145" s="37">
        <f>VLOOKUP(Table5345679103[[#This Row],[Date]],Database!A:E,MATCH($A$1,Database!$A$1:$E$1,),)</f>
        <v>21.081</v>
      </c>
      <c r="C145" s="8">
        <f t="shared" si="2"/>
        <v>4.478963167675285E-3</v>
      </c>
      <c r="D145" s="7">
        <f>(Table5345679103[[#This Row],[Value]]-B133)/B133</f>
        <v>4.4855273592387057E-2</v>
      </c>
    </row>
    <row r="146" spans="1:4" x14ac:dyDescent="0.2">
      <c r="A146" s="36">
        <v>25842</v>
      </c>
      <c r="B146" s="37">
        <f>VLOOKUP(Table5345679103[[#This Row],[Date]],Database!A:E,MATCH($A$1,Database!$A$1:$E$1,),)</f>
        <v>21.184999999999999</v>
      </c>
      <c r="C146" s="8">
        <f t="shared" si="2"/>
        <v>4.9333523077652484E-3</v>
      </c>
      <c r="D146" s="7">
        <f>(Table5345679103[[#This Row],[Value]]-B134)/B134</f>
        <v>4.6431217584588673E-2</v>
      </c>
    </row>
    <row r="147" spans="1:4" x14ac:dyDescent="0.2">
      <c r="A147" s="36">
        <v>25873</v>
      </c>
      <c r="B147" s="37">
        <f>VLOOKUP(Table5345679103[[#This Row],[Date]],Database!A:E,MATCH($A$1,Database!$A$1:$E$1,),)</f>
        <v>21.268999999999998</v>
      </c>
      <c r="C147" s="8">
        <f t="shared" si="2"/>
        <v>3.9650696247344646E-3</v>
      </c>
      <c r="D147" s="7">
        <f>(Table5345679103[[#This Row],[Value]]-B135)/B135</f>
        <v>4.6084989179618216E-2</v>
      </c>
    </row>
    <row r="148" spans="1:4" x14ac:dyDescent="0.2">
      <c r="A148" s="36">
        <v>25903</v>
      </c>
      <c r="B148" s="37">
        <f>VLOOKUP(Table5345679103[[#This Row],[Date]],Database!A:E,MATCH($A$1,Database!$A$1:$E$1,),)</f>
        <v>21.363</v>
      </c>
      <c r="C148" s="8">
        <f t="shared" si="2"/>
        <v>4.4195777892708258E-3</v>
      </c>
      <c r="D148" s="7">
        <f>(Table5345679103[[#This Row],[Value]]-B136)/B136</f>
        <v>4.5872907079212828E-2</v>
      </c>
    </row>
    <row r="149" spans="1:4" x14ac:dyDescent="0.2">
      <c r="A149" s="36">
        <v>25934</v>
      </c>
      <c r="B149" s="37">
        <f>VLOOKUP(Table5345679103[[#This Row],[Date]],Database!A:E,MATCH($A$1,Database!$A$1:$E$1,),)</f>
        <v>21.408000000000001</v>
      </c>
      <c r="C149" s="8">
        <f t="shared" si="2"/>
        <v>2.1064457239152604E-3</v>
      </c>
      <c r="D149" s="7">
        <f>(Table5345679103[[#This Row],[Value]]-B137)/B137</f>
        <v>4.4343626518366874E-2</v>
      </c>
    </row>
    <row r="150" spans="1:4" x14ac:dyDescent="0.2">
      <c r="A150" s="36">
        <v>25965</v>
      </c>
      <c r="B150" s="37">
        <f>VLOOKUP(Table5345679103[[#This Row],[Date]],Database!A:E,MATCH($A$1,Database!$A$1:$E$1,),)</f>
        <v>21.471</v>
      </c>
      <c r="C150" s="8">
        <f t="shared" si="2"/>
        <v>2.9428251121075689E-3</v>
      </c>
      <c r="D150" s="7">
        <f>(Table5345679103[[#This Row],[Value]]-B138)/B138</f>
        <v>4.329446064139951E-2</v>
      </c>
    </row>
    <row r="151" spans="1:4" x14ac:dyDescent="0.2">
      <c r="A151" s="36">
        <v>25993</v>
      </c>
      <c r="B151" s="37">
        <f>VLOOKUP(Table5345679103[[#This Row],[Date]],Database!A:E,MATCH($A$1,Database!$A$1:$E$1,),)</f>
        <v>21.542000000000002</v>
      </c>
      <c r="C151" s="8">
        <f t="shared" si="2"/>
        <v>3.3067858972568353E-3</v>
      </c>
      <c r="D151" s="7">
        <f>(Table5345679103[[#This Row],[Value]]-B139)/B139</f>
        <v>4.4156851340216248E-2</v>
      </c>
    </row>
    <row r="152" spans="1:4" x14ac:dyDescent="0.2">
      <c r="A152" s="36">
        <v>26024</v>
      </c>
      <c r="B152" s="37">
        <f>VLOOKUP(Table5345679103[[#This Row],[Date]],Database!A:E,MATCH($A$1,Database!$A$1:$E$1,),)</f>
        <v>21.626000000000001</v>
      </c>
      <c r="C152" s="8">
        <f t="shared" si="2"/>
        <v>3.8993593909571822E-3</v>
      </c>
      <c r="D152" s="7">
        <f>(Table5345679103[[#This Row],[Value]]-B140)/B140</f>
        <v>4.2920524691358049E-2</v>
      </c>
    </row>
    <row r="153" spans="1:4" x14ac:dyDescent="0.2">
      <c r="A153" s="36">
        <v>26054</v>
      </c>
      <c r="B153" s="37">
        <f>VLOOKUP(Table5345679103[[#This Row],[Date]],Database!A:E,MATCH($A$1,Database!$A$1:$E$1,),)</f>
        <v>21.716999999999999</v>
      </c>
      <c r="C153" s="8">
        <f t="shared" si="2"/>
        <v>4.2078979006749985E-3</v>
      </c>
      <c r="D153" s="7">
        <f>(Table5345679103[[#This Row],[Value]]-B141)/B141</f>
        <v>4.398615517738675E-2</v>
      </c>
    </row>
    <row r="154" spans="1:4" x14ac:dyDescent="0.2">
      <c r="A154" s="36">
        <v>26085</v>
      </c>
      <c r="B154" s="37">
        <f>VLOOKUP(Table5345679103[[#This Row],[Date]],Database!A:E,MATCH($A$1,Database!$A$1:$E$1,),)</f>
        <v>21.812999999999999</v>
      </c>
      <c r="C154" s="8">
        <f t="shared" si="2"/>
        <v>4.420500069070318E-3</v>
      </c>
      <c r="D154" s="7">
        <f>(Table5345679103[[#This Row],[Value]]-B142)/B142</f>
        <v>4.5886075949366951E-2</v>
      </c>
    </row>
    <row r="155" spans="1:4" x14ac:dyDescent="0.2">
      <c r="A155" s="36">
        <v>26115</v>
      </c>
      <c r="B155" s="37">
        <f>VLOOKUP(Table5345679103[[#This Row],[Date]],Database!A:E,MATCH($A$1,Database!$A$1:$E$1,),)</f>
        <v>21.879000000000001</v>
      </c>
      <c r="C155" s="8">
        <f t="shared" si="2"/>
        <v>3.0257186081695552E-3</v>
      </c>
      <c r="D155" s="7">
        <f>(Table5345679103[[#This Row],[Value]]-B143)/B143</f>
        <v>4.5241735142365888E-2</v>
      </c>
    </row>
    <row r="156" spans="1:4" x14ac:dyDescent="0.2">
      <c r="A156" s="36">
        <v>26146</v>
      </c>
      <c r="B156" s="37">
        <f>VLOOKUP(Table5345679103[[#This Row],[Date]],Database!A:E,MATCH($A$1,Database!$A$1:$E$1,),)</f>
        <v>21.942</v>
      </c>
      <c r="C156" s="8">
        <f t="shared" si="2"/>
        <v>2.8794734677087086E-3</v>
      </c>
      <c r="D156" s="7">
        <f>(Table5345679103[[#This Row],[Value]]-B144)/B144</f>
        <v>4.5504359841806924E-2</v>
      </c>
    </row>
    <row r="157" spans="1:4" x14ac:dyDescent="0.2">
      <c r="A157" s="36">
        <v>26177</v>
      </c>
      <c r="B157" s="37">
        <f>VLOOKUP(Table5345679103[[#This Row],[Date]],Database!A:E,MATCH($A$1,Database!$A$1:$E$1,),)</f>
        <v>21.975000000000001</v>
      </c>
      <c r="C157" s="8">
        <f t="shared" si="2"/>
        <v>1.503964998632816E-3</v>
      </c>
      <c r="D157" s="7">
        <f>(Table5345679103[[#This Row],[Value]]-B145)/B145</f>
        <v>4.240785541482861E-2</v>
      </c>
    </row>
    <row r="158" spans="1:4" x14ac:dyDescent="0.2">
      <c r="A158" s="36">
        <v>26207</v>
      </c>
      <c r="B158" s="37">
        <f>VLOOKUP(Table5345679103[[#This Row],[Date]],Database!A:E,MATCH($A$1,Database!$A$1:$E$1,),)</f>
        <v>22.009</v>
      </c>
      <c r="C158" s="8">
        <f t="shared" si="2"/>
        <v>1.5472127417519416E-3</v>
      </c>
      <c r="D158" s="7">
        <f>(Table5345679103[[#This Row],[Value]]-B146)/B146</f>
        <v>3.8895444890252616E-2</v>
      </c>
    </row>
    <row r="159" spans="1:4" x14ac:dyDescent="0.2">
      <c r="A159" s="36">
        <v>26238</v>
      </c>
      <c r="B159" s="37">
        <f>VLOOKUP(Table5345679103[[#This Row],[Date]],Database!A:E,MATCH($A$1,Database!$A$1:$E$1,),)</f>
        <v>22.053999999999998</v>
      </c>
      <c r="C159" s="8">
        <f t="shared" si="2"/>
        <v>2.0446181107727818E-3</v>
      </c>
      <c r="D159" s="7">
        <f>(Table5345679103[[#This Row],[Value]]-B147)/B147</f>
        <v>3.6908176218910162E-2</v>
      </c>
    </row>
    <row r="160" spans="1:4" x14ac:dyDescent="0.2">
      <c r="A160" s="36">
        <v>26268</v>
      </c>
      <c r="B160" s="37">
        <f>VLOOKUP(Table5345679103[[#This Row],[Date]],Database!A:E,MATCH($A$1,Database!$A$1:$E$1,),)</f>
        <v>22.140999999999998</v>
      </c>
      <c r="C160" s="8">
        <f t="shared" si="2"/>
        <v>3.9448626099573662E-3</v>
      </c>
      <c r="D160" s="7">
        <f>(Table5345679103[[#This Row],[Value]]-B148)/B148</f>
        <v>3.6418106071244613E-2</v>
      </c>
    </row>
    <row r="161" spans="1:4" x14ac:dyDescent="0.2">
      <c r="A161" s="36">
        <v>26299</v>
      </c>
      <c r="B161" s="37">
        <f>VLOOKUP(Table5345679103[[#This Row],[Date]],Database!A:E,MATCH($A$1,Database!$A$1:$E$1,),)</f>
        <v>22.231999999999999</v>
      </c>
      <c r="C161" s="8">
        <f t="shared" si="2"/>
        <v>4.1100221308884464E-3</v>
      </c>
      <c r="D161" s="7">
        <f>(Table5345679103[[#This Row],[Value]]-B149)/B149</f>
        <v>3.8490284005978981E-2</v>
      </c>
    </row>
    <row r="162" spans="1:4" x14ac:dyDescent="0.2">
      <c r="A162" s="36">
        <v>26330</v>
      </c>
      <c r="B162" s="37">
        <f>VLOOKUP(Table5345679103[[#This Row],[Date]],Database!A:E,MATCH($A$1,Database!$A$1:$E$1,),)</f>
        <v>22.318999999999999</v>
      </c>
      <c r="C162" s="8">
        <f t="shared" si="2"/>
        <v>3.9132781576106399E-3</v>
      </c>
      <c r="D162" s="7">
        <f>(Table5345679103[[#This Row],[Value]]-B150)/B150</f>
        <v>3.9495132970052582E-2</v>
      </c>
    </row>
    <row r="163" spans="1:4" x14ac:dyDescent="0.2">
      <c r="A163" s="36">
        <v>26359</v>
      </c>
      <c r="B163" s="37">
        <f>VLOOKUP(Table5345679103[[#This Row],[Date]],Database!A:E,MATCH($A$1,Database!$A$1:$E$1,),)</f>
        <v>22.350999999999999</v>
      </c>
      <c r="C163" s="8">
        <f t="shared" si="2"/>
        <v>1.4337559926520019E-3</v>
      </c>
      <c r="D163" s="7">
        <f>(Table5345679103[[#This Row],[Value]]-B151)/B151</f>
        <v>3.7554544610528151E-2</v>
      </c>
    </row>
    <row r="164" spans="1:4" x14ac:dyDescent="0.2">
      <c r="A164" s="36">
        <v>26390</v>
      </c>
      <c r="B164" s="37">
        <f>VLOOKUP(Table5345679103[[#This Row],[Date]],Database!A:E,MATCH($A$1,Database!$A$1:$E$1,),)</f>
        <v>22.385999999999999</v>
      </c>
      <c r="C164" s="8">
        <f t="shared" si="2"/>
        <v>1.5659254619480177E-3</v>
      </c>
      <c r="D164" s="7">
        <f>(Table5345679103[[#This Row],[Value]]-B152)/B152</f>
        <v>3.5142883566077775E-2</v>
      </c>
    </row>
    <row r="165" spans="1:4" x14ac:dyDescent="0.2">
      <c r="A165" s="36">
        <v>26420</v>
      </c>
      <c r="B165" s="37">
        <f>VLOOKUP(Table5345679103[[#This Row],[Date]],Database!A:E,MATCH($A$1,Database!$A$1:$E$1,),)</f>
        <v>22.434000000000001</v>
      </c>
      <c r="C165" s="8">
        <f t="shared" si="2"/>
        <v>2.1441972661485672E-3</v>
      </c>
      <c r="D165" s="7">
        <f>(Table5345679103[[#This Row],[Value]]-B153)/B153</f>
        <v>3.3015609890869012E-2</v>
      </c>
    </row>
    <row r="166" spans="1:4" x14ac:dyDescent="0.2">
      <c r="A166" s="36">
        <v>26451</v>
      </c>
      <c r="B166" s="37">
        <f>VLOOKUP(Table5345679103[[#This Row],[Date]],Database!A:E,MATCH($A$1,Database!$A$1:$E$1,),)</f>
        <v>22.469000000000001</v>
      </c>
      <c r="C166" s="8">
        <f t="shared" si="2"/>
        <v>1.5601319425871507E-3</v>
      </c>
      <c r="D166" s="7">
        <f>(Table5345679103[[#This Row],[Value]]-B154)/B154</f>
        <v>3.0073809196350911E-2</v>
      </c>
    </row>
    <row r="167" spans="1:4" x14ac:dyDescent="0.2">
      <c r="A167" s="36">
        <v>26481</v>
      </c>
      <c r="B167" s="37">
        <f>VLOOKUP(Table5345679103[[#This Row],[Date]],Database!A:E,MATCH($A$1,Database!$A$1:$E$1,),)</f>
        <v>22.548999999999999</v>
      </c>
      <c r="C167" s="8">
        <f t="shared" si="2"/>
        <v>3.5604610797097462E-3</v>
      </c>
      <c r="D167" s="7">
        <f>(Table5345679103[[#This Row],[Value]]-B155)/B155</f>
        <v>3.0622971799442303E-2</v>
      </c>
    </row>
    <row r="168" spans="1:4" x14ac:dyDescent="0.2">
      <c r="A168" s="36">
        <v>26512</v>
      </c>
      <c r="B168" s="37">
        <f>VLOOKUP(Table5345679103[[#This Row],[Date]],Database!A:E,MATCH($A$1,Database!$A$1:$E$1,),)</f>
        <v>22.614999999999998</v>
      </c>
      <c r="C168" s="8">
        <f t="shared" si="2"/>
        <v>2.926959066920881E-3</v>
      </c>
      <c r="D168" s="7">
        <f>(Table5345679103[[#This Row],[Value]]-B156)/B156</f>
        <v>3.0671771032722554E-2</v>
      </c>
    </row>
    <row r="169" spans="1:4" x14ac:dyDescent="0.2">
      <c r="A169" s="36">
        <v>26543</v>
      </c>
      <c r="B169" s="37">
        <f>VLOOKUP(Table5345679103[[#This Row],[Date]],Database!A:E,MATCH($A$1,Database!$A$1:$E$1,),)</f>
        <v>22.716000000000001</v>
      </c>
      <c r="C169" s="8">
        <f t="shared" si="2"/>
        <v>4.4660623479992325E-3</v>
      </c>
      <c r="D169" s="7">
        <f>(Table5345679103[[#This Row],[Value]]-B157)/B157</f>
        <v>3.3720136518771315E-2</v>
      </c>
    </row>
    <row r="170" spans="1:4" x14ac:dyDescent="0.2">
      <c r="A170" s="36">
        <v>26573</v>
      </c>
      <c r="B170" s="37">
        <f>VLOOKUP(Table5345679103[[#This Row],[Date]],Database!A:E,MATCH($A$1,Database!$A$1:$E$1,),)</f>
        <v>22.741</v>
      </c>
      <c r="C170" s="8">
        <f t="shared" si="2"/>
        <v>1.1005458707518303E-3</v>
      </c>
      <c r="D170" s="7">
        <f>(Table5345679103[[#This Row],[Value]]-B158)/B158</f>
        <v>3.3259121268571917E-2</v>
      </c>
    </row>
    <row r="171" spans="1:4" x14ac:dyDescent="0.2">
      <c r="A171" s="36">
        <v>26604</v>
      </c>
      <c r="B171" s="37">
        <f>VLOOKUP(Table5345679103[[#This Row],[Date]],Database!A:E,MATCH($A$1,Database!$A$1:$E$1,),)</f>
        <v>22.809000000000001</v>
      </c>
      <c r="C171" s="8">
        <f t="shared" si="2"/>
        <v>2.9901939228706475E-3</v>
      </c>
      <c r="D171" s="7">
        <f>(Table5345679103[[#This Row],[Value]]-B159)/B159</f>
        <v>3.4234152534687701E-2</v>
      </c>
    </row>
    <row r="172" spans="1:4" x14ac:dyDescent="0.2">
      <c r="A172" s="36">
        <v>26634</v>
      </c>
      <c r="B172" s="37">
        <f>VLOOKUP(Table5345679103[[#This Row],[Date]],Database!A:E,MATCH($A$1,Database!$A$1:$E$1,),)</f>
        <v>22.882000000000001</v>
      </c>
      <c r="C172" s="8">
        <f t="shared" si="2"/>
        <v>3.2004910342408872E-3</v>
      </c>
      <c r="D172" s="7">
        <f>(Table5345679103[[#This Row],[Value]]-B160)/B160</f>
        <v>3.3467323065805667E-2</v>
      </c>
    </row>
    <row r="173" spans="1:4" x14ac:dyDescent="0.2">
      <c r="A173" s="36">
        <v>26665</v>
      </c>
      <c r="B173" s="37">
        <f>VLOOKUP(Table5345679103[[#This Row],[Date]],Database!A:E,MATCH($A$1,Database!$A$1:$E$1,),)</f>
        <v>22.951000000000001</v>
      </c>
      <c r="C173" s="8">
        <f t="shared" si="2"/>
        <v>3.0154706756402002E-3</v>
      </c>
      <c r="D173" s="7">
        <f>(Table5345679103[[#This Row],[Value]]-B161)/B161</f>
        <v>3.2340770061173141E-2</v>
      </c>
    </row>
    <row r="174" spans="1:4" x14ac:dyDescent="0.2">
      <c r="A174" s="36">
        <v>26696</v>
      </c>
      <c r="B174" s="37">
        <f>VLOOKUP(Table5345679103[[#This Row],[Date]],Database!A:E,MATCH($A$1,Database!$A$1:$E$1,),)</f>
        <v>23.071999999999999</v>
      </c>
      <c r="C174" s="8">
        <f t="shared" si="2"/>
        <v>5.2721014334886785E-3</v>
      </c>
      <c r="D174" s="7">
        <f>(Table5345679103[[#This Row],[Value]]-B162)/B162</f>
        <v>3.3738070702092393E-2</v>
      </c>
    </row>
    <row r="175" spans="1:4" x14ac:dyDescent="0.2">
      <c r="A175" s="36">
        <v>26724</v>
      </c>
      <c r="B175" s="37">
        <f>VLOOKUP(Table5345679103[[#This Row],[Date]],Database!A:E,MATCH($A$1,Database!$A$1:$E$1,),)</f>
        <v>23.234999999999999</v>
      </c>
      <c r="C175" s="8">
        <f t="shared" si="2"/>
        <v>7.0648404993065303E-3</v>
      </c>
      <c r="D175" s="7">
        <f>(Table5345679103[[#This Row],[Value]]-B163)/B163</f>
        <v>3.9550803096058358E-2</v>
      </c>
    </row>
    <row r="176" spans="1:4" x14ac:dyDescent="0.2">
      <c r="A176" s="36">
        <v>26755</v>
      </c>
      <c r="B176" s="37">
        <f>VLOOKUP(Table5345679103[[#This Row],[Date]],Database!A:E,MATCH($A$1,Database!$A$1:$E$1,),)</f>
        <v>23.408000000000001</v>
      </c>
      <c r="C176" s="8">
        <f t="shared" si="2"/>
        <v>7.4456638691629794E-3</v>
      </c>
      <c r="D176" s="7">
        <f>(Table5345679103[[#This Row],[Value]]-B164)/B164</f>
        <v>4.5653533458411596E-2</v>
      </c>
    </row>
    <row r="177" spans="1:4" x14ac:dyDescent="0.2">
      <c r="A177" s="36">
        <v>26785</v>
      </c>
      <c r="B177" s="37">
        <f>VLOOKUP(Table5345679103[[#This Row],[Date]],Database!A:E,MATCH($A$1,Database!$A$1:$E$1,),)</f>
        <v>23.523</v>
      </c>
      <c r="C177" s="8">
        <f t="shared" si="2"/>
        <v>4.9128503075870824E-3</v>
      </c>
      <c r="D177" s="7">
        <f>(Table5345679103[[#This Row],[Value]]-B165)/B165</f>
        <v>4.8542391013639948E-2</v>
      </c>
    </row>
    <row r="178" spans="1:4" x14ac:dyDescent="0.2">
      <c r="A178" s="36">
        <v>26816</v>
      </c>
      <c r="B178" s="37">
        <f>VLOOKUP(Table5345679103[[#This Row],[Date]],Database!A:E,MATCH($A$1,Database!$A$1:$E$1,),)</f>
        <v>23.658000000000001</v>
      </c>
      <c r="C178" s="8">
        <f t="shared" si="2"/>
        <v>5.7390638949114297E-3</v>
      </c>
      <c r="D178" s="7">
        <f>(Table5345679103[[#This Row],[Value]]-B166)/B166</f>
        <v>5.2917352797187234E-2</v>
      </c>
    </row>
    <row r="179" spans="1:4" x14ac:dyDescent="0.2">
      <c r="A179" s="36">
        <v>26846</v>
      </c>
      <c r="B179" s="37">
        <f>VLOOKUP(Table5345679103[[#This Row],[Date]],Database!A:E,MATCH($A$1,Database!$A$1:$E$1,),)</f>
        <v>23.744</v>
      </c>
      <c r="C179" s="8">
        <f t="shared" si="2"/>
        <v>3.6351339927296693E-3</v>
      </c>
      <c r="D179" s="7">
        <f>(Table5345679103[[#This Row],[Value]]-B167)/B167</f>
        <v>5.299569825712893E-2</v>
      </c>
    </row>
    <row r="180" spans="1:4" x14ac:dyDescent="0.2">
      <c r="A180" s="36">
        <v>26877</v>
      </c>
      <c r="B180" s="37">
        <f>VLOOKUP(Table5345679103[[#This Row],[Date]],Database!A:E,MATCH($A$1,Database!$A$1:$E$1,),)</f>
        <v>24.016999999999999</v>
      </c>
      <c r="C180" s="8">
        <f t="shared" si="2"/>
        <v>1.1497641509433949E-2</v>
      </c>
      <c r="D180" s="7">
        <f>(Table5345679103[[#This Row],[Value]]-B168)/B168</f>
        <v>6.1994251602918465E-2</v>
      </c>
    </row>
    <row r="181" spans="1:4" x14ac:dyDescent="0.2">
      <c r="A181" s="36">
        <v>26908</v>
      </c>
      <c r="B181" s="37">
        <f>VLOOKUP(Table5345679103[[#This Row],[Date]],Database!A:E,MATCH($A$1,Database!$A$1:$E$1,),)</f>
        <v>24.113</v>
      </c>
      <c r="C181" s="8">
        <f t="shared" si="2"/>
        <v>3.9971686721905356E-3</v>
      </c>
      <c r="D181" s="7">
        <f>(Table5345679103[[#This Row],[Value]]-B169)/B169</f>
        <v>6.149850325761571E-2</v>
      </c>
    </row>
    <row r="182" spans="1:4" x14ac:dyDescent="0.2">
      <c r="A182" s="36">
        <v>26938</v>
      </c>
      <c r="B182" s="37">
        <f>VLOOKUP(Table5345679103[[#This Row],[Date]],Database!A:E,MATCH($A$1,Database!$A$1:$E$1,),)</f>
        <v>24.248999999999999</v>
      </c>
      <c r="C182" s="8">
        <f t="shared" si="2"/>
        <v>5.6401111433666169E-3</v>
      </c>
      <c r="D182" s="7">
        <f>(Table5345679103[[#This Row],[Value]]-B170)/B170</f>
        <v>6.6311947583659436E-2</v>
      </c>
    </row>
    <row r="183" spans="1:4" x14ac:dyDescent="0.2">
      <c r="A183" s="36">
        <v>26969</v>
      </c>
      <c r="B183" s="37">
        <f>VLOOKUP(Table5345679103[[#This Row],[Date]],Database!A:E,MATCH($A$1,Database!$A$1:$E$1,),)</f>
        <v>24.448</v>
      </c>
      <c r="C183" s="8">
        <f t="shared" si="2"/>
        <v>8.2065239803703911E-3</v>
      </c>
      <c r="D183" s="7">
        <f>(Table5345679103[[#This Row],[Value]]-B171)/B171</f>
        <v>7.1857600070147715E-2</v>
      </c>
    </row>
    <row r="184" spans="1:4" x14ac:dyDescent="0.2">
      <c r="A184" s="36">
        <v>26999</v>
      </c>
      <c r="B184" s="37">
        <f>VLOOKUP(Table5345679103[[#This Row],[Date]],Database!A:E,MATCH($A$1,Database!$A$1:$E$1,),)</f>
        <v>24.649000000000001</v>
      </c>
      <c r="C184" s="8">
        <f t="shared" si="2"/>
        <v>8.2215314136125858E-3</v>
      </c>
      <c r="D184" s="7">
        <f>(Table5345679103[[#This Row],[Value]]-B172)/B172</f>
        <v>7.7222270780526153E-2</v>
      </c>
    </row>
    <row r="185" spans="1:4" x14ac:dyDescent="0.2">
      <c r="A185" s="36">
        <v>27030</v>
      </c>
      <c r="B185" s="37">
        <f>VLOOKUP(Table5345679103[[#This Row],[Date]],Database!A:E,MATCH($A$1,Database!$A$1:$E$1,),)</f>
        <v>24.885000000000002</v>
      </c>
      <c r="C185" s="8">
        <f t="shared" si="2"/>
        <v>9.5744249259605112E-3</v>
      </c>
      <c r="D185" s="7">
        <f>(Table5345679103[[#This Row],[Value]]-B173)/B173</f>
        <v>8.4266480763365473E-2</v>
      </c>
    </row>
    <row r="186" spans="1:4" x14ac:dyDescent="0.2">
      <c r="A186" s="36">
        <v>27061</v>
      </c>
      <c r="B186" s="37">
        <f>VLOOKUP(Table5345679103[[#This Row],[Date]],Database!A:E,MATCH($A$1,Database!$A$1:$E$1,),)</f>
        <v>25.175000000000001</v>
      </c>
      <c r="C186" s="8">
        <f t="shared" si="2"/>
        <v>1.1653606590315417E-2</v>
      </c>
      <c r="D186" s="7">
        <f>(Table5345679103[[#This Row],[Value]]-B174)/B174</f>
        <v>9.1149445214979266E-2</v>
      </c>
    </row>
    <row r="187" spans="1:4" x14ac:dyDescent="0.2">
      <c r="A187" s="36">
        <v>27089</v>
      </c>
      <c r="B187" s="37">
        <f>VLOOKUP(Table5345679103[[#This Row],[Date]],Database!A:E,MATCH($A$1,Database!$A$1:$E$1,),)</f>
        <v>25.466999999999999</v>
      </c>
      <c r="C187" s="8">
        <f t="shared" si="2"/>
        <v>1.159880834160866E-2</v>
      </c>
      <c r="D187" s="7">
        <f>(Table5345679103[[#This Row],[Value]]-B175)/B175</f>
        <v>9.6061975468043875E-2</v>
      </c>
    </row>
    <row r="188" spans="1:4" x14ac:dyDescent="0.2">
      <c r="A188" s="36">
        <v>27120</v>
      </c>
      <c r="B188" s="37">
        <f>VLOOKUP(Table5345679103[[#This Row],[Date]],Database!A:E,MATCH($A$1,Database!$A$1:$E$1,),)</f>
        <v>25.646999999999998</v>
      </c>
      <c r="C188" s="8">
        <f t="shared" si="2"/>
        <v>7.0679703145246683E-3</v>
      </c>
      <c r="D188" s="7">
        <f>(Table5345679103[[#This Row],[Value]]-B176)/B176</f>
        <v>9.565105946684882E-2</v>
      </c>
    </row>
    <row r="189" spans="1:4" x14ac:dyDescent="0.2">
      <c r="A189" s="36">
        <v>27150</v>
      </c>
      <c r="B189" s="37">
        <f>VLOOKUP(Table5345679103[[#This Row],[Date]],Database!A:E,MATCH($A$1,Database!$A$1:$E$1,),)</f>
        <v>25.9</v>
      </c>
      <c r="C189" s="8">
        <f t="shared" si="2"/>
        <v>9.8647015245447861E-3</v>
      </c>
      <c r="D189" s="7">
        <f>(Table5345679103[[#This Row],[Value]]-B177)/B177</f>
        <v>0.1010500361348467</v>
      </c>
    </row>
    <row r="190" spans="1:4" x14ac:dyDescent="0.2">
      <c r="A190" s="36">
        <v>27181</v>
      </c>
      <c r="B190" s="37">
        <f>VLOOKUP(Table5345679103[[#This Row],[Date]],Database!A:E,MATCH($A$1,Database!$A$1:$E$1,),)</f>
        <v>26.119</v>
      </c>
      <c r="C190" s="8">
        <f t="shared" si="2"/>
        <v>8.4555984555985016E-3</v>
      </c>
      <c r="D190" s="7">
        <f>(Table5345679103[[#This Row],[Value]]-B178)/B178</f>
        <v>0.10402400879195191</v>
      </c>
    </row>
    <row r="191" spans="1:4" x14ac:dyDescent="0.2">
      <c r="A191" s="36">
        <v>27211</v>
      </c>
      <c r="B191" s="37">
        <f>VLOOKUP(Table5345679103[[#This Row],[Date]],Database!A:E,MATCH($A$1,Database!$A$1:$E$1,),)</f>
        <v>26.312000000000001</v>
      </c>
      <c r="C191" s="8">
        <f t="shared" si="2"/>
        <v>7.3892568628202227E-3</v>
      </c>
      <c r="D191" s="7">
        <f>(Table5345679103[[#This Row],[Value]]-B179)/B179</f>
        <v>0.10815363881401623</v>
      </c>
    </row>
    <row r="192" spans="1:4" x14ac:dyDescent="0.2">
      <c r="A192" s="36">
        <v>27242</v>
      </c>
      <c r="B192" s="37">
        <f>VLOOKUP(Table5345679103[[#This Row],[Date]],Database!A:E,MATCH($A$1,Database!$A$1:$E$1,),)</f>
        <v>26.587</v>
      </c>
      <c r="C192" s="8">
        <f t="shared" si="2"/>
        <v>1.0451505016722354E-2</v>
      </c>
      <c r="D192" s="7">
        <f>(Table5345679103[[#This Row],[Value]]-B180)/B180</f>
        <v>0.10700753632843404</v>
      </c>
    </row>
    <row r="193" spans="1:4" x14ac:dyDescent="0.2">
      <c r="A193" s="36">
        <v>27273</v>
      </c>
      <c r="B193" s="37">
        <f>VLOOKUP(Table5345679103[[#This Row],[Date]],Database!A:E,MATCH($A$1,Database!$A$1:$E$1,),)</f>
        <v>26.863</v>
      </c>
      <c r="C193" s="8">
        <f t="shared" si="2"/>
        <v>1.0381013277165525E-2</v>
      </c>
      <c r="D193" s="7">
        <f>(Table5345679103[[#This Row],[Value]]-B181)/B181</f>
        <v>0.11404636503131091</v>
      </c>
    </row>
    <row r="194" spans="1:4" x14ac:dyDescent="0.2">
      <c r="A194" s="36">
        <v>27303</v>
      </c>
      <c r="B194" s="37">
        <f>VLOOKUP(Table5345679103[[#This Row],[Date]],Database!A:E,MATCH($A$1,Database!$A$1:$E$1,),)</f>
        <v>27.056000000000001</v>
      </c>
      <c r="C194" s="8">
        <f t="shared" si="2"/>
        <v>7.1846033577784088E-3</v>
      </c>
      <c r="D194" s="7">
        <f>(Table5345679103[[#This Row],[Value]]-B182)/B182</f>
        <v>0.11575735081859055</v>
      </c>
    </row>
    <row r="195" spans="1:4" x14ac:dyDescent="0.2">
      <c r="A195" s="36">
        <v>27334</v>
      </c>
      <c r="B195" s="37">
        <f>VLOOKUP(Table5345679103[[#This Row],[Date]],Database!A:E,MATCH($A$1,Database!$A$1:$E$1,),)</f>
        <v>27.259</v>
      </c>
      <c r="C195" s="8">
        <f t="shared" si="2"/>
        <v>7.5029568302779201E-3</v>
      </c>
      <c r="D195" s="7">
        <f>(Table5345679103[[#This Row],[Value]]-B183)/B183</f>
        <v>0.11497873036649214</v>
      </c>
    </row>
    <row r="196" spans="1:4" x14ac:dyDescent="0.2">
      <c r="A196" s="36">
        <v>27364</v>
      </c>
      <c r="B196" s="37">
        <f>VLOOKUP(Table5345679103[[#This Row],[Date]],Database!A:E,MATCH($A$1,Database!$A$1:$E$1,),)</f>
        <v>27.474</v>
      </c>
      <c r="C196" s="8">
        <f t="shared" si="2"/>
        <v>7.8873032759822388E-3</v>
      </c>
      <c r="D196" s="7">
        <f>(Table5345679103[[#This Row],[Value]]-B184)/B184</f>
        <v>0.11460911193151849</v>
      </c>
    </row>
    <row r="197" spans="1:4" x14ac:dyDescent="0.2">
      <c r="A197" s="36">
        <v>27395</v>
      </c>
      <c r="B197" s="37">
        <f>VLOOKUP(Table5345679103[[#This Row],[Date]],Database!A:E,MATCH($A$1,Database!$A$1:$E$1,),)</f>
        <v>27.645</v>
      </c>
      <c r="C197" s="8">
        <f t="shared" si="2"/>
        <v>6.2240663900414708E-3</v>
      </c>
      <c r="D197" s="7">
        <f>(Table5345679103[[#This Row],[Value]]-B185)/B185</f>
        <v>0.11091018685955387</v>
      </c>
    </row>
    <row r="198" spans="1:4" x14ac:dyDescent="0.2">
      <c r="A198" s="36">
        <v>27426</v>
      </c>
      <c r="B198" s="37">
        <f>VLOOKUP(Table5345679103[[#This Row],[Date]],Database!A:E,MATCH($A$1,Database!$A$1:$E$1,),)</f>
        <v>27.795000000000002</v>
      </c>
      <c r="C198" s="8">
        <f t="shared" ref="C198:C261" si="3">(B198-B197)/B197</f>
        <v>5.4259359739555844E-3</v>
      </c>
      <c r="D198" s="7">
        <f>(Table5345679103[[#This Row],[Value]]-B186)/B186</f>
        <v>0.1040714995034757</v>
      </c>
    </row>
    <row r="199" spans="1:4" x14ac:dyDescent="0.2">
      <c r="A199" s="36">
        <v>27454</v>
      </c>
      <c r="B199" s="37">
        <f>VLOOKUP(Table5345679103[[#This Row],[Date]],Database!A:E,MATCH($A$1,Database!$A$1:$E$1,),)</f>
        <v>27.888999999999999</v>
      </c>
      <c r="C199" s="8">
        <f t="shared" si="3"/>
        <v>3.3819032200035127E-3</v>
      </c>
      <c r="D199" s="7">
        <f>(Table5345679103[[#This Row],[Value]]-B187)/B187</f>
        <v>9.5103467232104319E-2</v>
      </c>
    </row>
    <row r="200" spans="1:4" x14ac:dyDescent="0.2">
      <c r="A200" s="36">
        <v>27485</v>
      </c>
      <c r="B200" s="37">
        <f>VLOOKUP(Table5345679103[[#This Row],[Date]],Database!A:E,MATCH($A$1,Database!$A$1:$E$1,),)</f>
        <v>27.984000000000002</v>
      </c>
      <c r="C200" s="8">
        <f t="shared" si="3"/>
        <v>3.4063609308330315E-3</v>
      </c>
      <c r="D200" s="7">
        <f>(Table5345679103[[#This Row],[Value]]-B188)/B188</f>
        <v>9.1121768627909827E-2</v>
      </c>
    </row>
    <row r="201" spans="1:4" x14ac:dyDescent="0.2">
      <c r="A201" s="36">
        <v>27515</v>
      </c>
      <c r="B201" s="37">
        <f>VLOOKUP(Table5345679103[[#This Row],[Date]],Database!A:E,MATCH($A$1,Database!$A$1:$E$1,),)</f>
        <v>28.094999999999999</v>
      </c>
      <c r="C201" s="8">
        <f t="shared" si="3"/>
        <v>3.9665523156088159E-3</v>
      </c>
      <c r="D201" s="7">
        <f>(Table5345679103[[#This Row],[Value]]-B189)/B189</f>
        <v>8.4749034749034766E-2</v>
      </c>
    </row>
    <row r="202" spans="1:4" x14ac:dyDescent="0.2">
      <c r="A202" s="36">
        <v>27546</v>
      </c>
      <c r="B202" s="37">
        <f>VLOOKUP(Table5345679103[[#This Row],[Date]],Database!A:E,MATCH($A$1,Database!$A$1:$E$1,),)</f>
        <v>28.271000000000001</v>
      </c>
      <c r="C202" s="8">
        <f t="shared" si="3"/>
        <v>6.264459868304038E-3</v>
      </c>
      <c r="D202" s="7">
        <f>(Table5345679103[[#This Row],[Value]]-B190)/B190</f>
        <v>8.2392128335694356E-2</v>
      </c>
    </row>
    <row r="203" spans="1:4" x14ac:dyDescent="0.2">
      <c r="A203" s="36">
        <v>27576</v>
      </c>
      <c r="B203" s="37">
        <f>VLOOKUP(Table5345679103[[#This Row],[Date]],Database!A:E,MATCH($A$1,Database!$A$1:$E$1,),)</f>
        <v>28.513999999999999</v>
      </c>
      <c r="C203" s="8">
        <f t="shared" si="3"/>
        <v>8.5953804251706189E-3</v>
      </c>
      <c r="D203" s="7">
        <f>(Table5345679103[[#This Row],[Value]]-B191)/B191</f>
        <v>8.3688051079355355E-2</v>
      </c>
    </row>
    <row r="204" spans="1:4" x14ac:dyDescent="0.2">
      <c r="A204" s="36">
        <v>27607</v>
      </c>
      <c r="B204" s="37">
        <f>VLOOKUP(Table5345679103[[#This Row],[Date]],Database!A:E,MATCH($A$1,Database!$A$1:$E$1,),)</f>
        <v>28.637</v>
      </c>
      <c r="C204" s="8">
        <f t="shared" si="3"/>
        <v>4.3136704776601358E-3</v>
      </c>
      <c r="D204" s="7">
        <f>(Table5345679103[[#This Row],[Value]]-B192)/B192</f>
        <v>7.7105352239816474E-2</v>
      </c>
    </row>
    <row r="205" spans="1:4" x14ac:dyDescent="0.2">
      <c r="A205" s="36">
        <v>27638</v>
      </c>
      <c r="B205" s="37">
        <f>VLOOKUP(Table5345679103[[#This Row],[Date]],Database!A:E,MATCH($A$1,Database!$A$1:$E$1,),)</f>
        <v>28.779</v>
      </c>
      <c r="C205" s="8">
        <f t="shared" si="3"/>
        <v>4.9586199671753138E-3</v>
      </c>
      <c r="D205" s="7">
        <f>(Table5345679103[[#This Row],[Value]]-B193)/B193</f>
        <v>7.1324870639913648E-2</v>
      </c>
    </row>
    <row r="206" spans="1:4" x14ac:dyDescent="0.2">
      <c r="A206" s="36">
        <v>27668</v>
      </c>
      <c r="B206" s="37">
        <f>VLOOKUP(Table5345679103[[#This Row],[Date]],Database!A:E,MATCH($A$1,Database!$A$1:$E$1,),)</f>
        <v>28.946000000000002</v>
      </c>
      <c r="C206" s="8">
        <f t="shared" si="3"/>
        <v>5.8028423503249452E-3</v>
      </c>
      <c r="D206" s="7">
        <f>(Table5345679103[[#This Row],[Value]]-B194)/B194</f>
        <v>6.9855115316380861E-2</v>
      </c>
    </row>
    <row r="207" spans="1:4" x14ac:dyDescent="0.2">
      <c r="A207" s="36">
        <v>27699</v>
      </c>
      <c r="B207" s="37">
        <f>VLOOKUP(Table5345679103[[#This Row],[Date]],Database!A:E,MATCH($A$1,Database!$A$1:$E$1,),)</f>
        <v>29.132000000000001</v>
      </c>
      <c r="C207" s="8">
        <f t="shared" si="3"/>
        <v>6.4257583085745845E-3</v>
      </c>
      <c r="D207" s="7">
        <f>(Table5345679103[[#This Row],[Value]]-B195)/B195</f>
        <v>6.8711251329836062E-2</v>
      </c>
    </row>
    <row r="208" spans="1:4" x14ac:dyDescent="0.2">
      <c r="A208" s="36">
        <v>27729</v>
      </c>
      <c r="B208" s="37">
        <f>VLOOKUP(Table5345679103[[#This Row],[Date]],Database!A:E,MATCH($A$1,Database!$A$1:$E$1,),)</f>
        <v>29.292999999999999</v>
      </c>
      <c r="C208" s="8">
        <f t="shared" si="3"/>
        <v>5.5265687216805503E-3</v>
      </c>
      <c r="D208" s="7">
        <f>(Table5345679103[[#This Row],[Value]]-B196)/B196</f>
        <v>6.6208051248453054E-2</v>
      </c>
    </row>
    <row r="209" spans="1:4" x14ac:dyDescent="0.2">
      <c r="A209" s="36">
        <v>27760</v>
      </c>
      <c r="B209" s="37">
        <f>VLOOKUP(Table5345679103[[#This Row],[Date]],Database!A:E,MATCH($A$1,Database!$A$1:$E$1,),)</f>
        <v>29.405000000000001</v>
      </c>
      <c r="C209" s="8">
        <f t="shared" si="3"/>
        <v>3.8234390468713303E-3</v>
      </c>
      <c r="D209" s="7">
        <f>(Table5345679103[[#This Row],[Value]]-B197)/B197</f>
        <v>6.3664315427744672E-2</v>
      </c>
    </row>
    <row r="210" spans="1:4" x14ac:dyDescent="0.2">
      <c r="A210" s="36">
        <v>27791</v>
      </c>
      <c r="B210" s="37">
        <f>VLOOKUP(Table5345679103[[#This Row],[Date]],Database!A:E,MATCH($A$1,Database!$A$1:$E$1,),)</f>
        <v>29.442</v>
      </c>
      <c r="C210" s="8">
        <f t="shared" si="3"/>
        <v>1.2582894065634768E-3</v>
      </c>
      <c r="D210" s="7">
        <f>(Table5345679103[[#This Row],[Value]]-B198)/B198</f>
        <v>5.9255261737722553E-2</v>
      </c>
    </row>
    <row r="211" spans="1:4" x14ac:dyDescent="0.2">
      <c r="A211" s="36">
        <v>27820</v>
      </c>
      <c r="B211" s="37">
        <f>VLOOKUP(Table5345679103[[#This Row],[Date]],Database!A:E,MATCH($A$1,Database!$A$1:$E$1,),)</f>
        <v>29.486000000000001</v>
      </c>
      <c r="C211" s="8">
        <f t="shared" si="3"/>
        <v>1.4944636913253339E-3</v>
      </c>
      <c r="D211" s="7">
        <f>(Table5345679103[[#This Row],[Value]]-B199)/B199</f>
        <v>5.7262720068844399E-2</v>
      </c>
    </row>
    <row r="212" spans="1:4" x14ac:dyDescent="0.2">
      <c r="A212" s="36">
        <v>27851</v>
      </c>
      <c r="B212" s="37">
        <f>VLOOKUP(Table5345679103[[#This Row],[Date]],Database!A:E,MATCH($A$1,Database!$A$1:$E$1,),)</f>
        <v>29.553000000000001</v>
      </c>
      <c r="C212" s="8">
        <f t="shared" si="3"/>
        <v>2.2722648036356294E-3</v>
      </c>
      <c r="D212" s="7">
        <f>(Table5345679103[[#This Row],[Value]]-B200)/B200</f>
        <v>5.606775300171523E-2</v>
      </c>
    </row>
    <row r="213" spans="1:4" x14ac:dyDescent="0.2">
      <c r="A213" s="36">
        <v>27881</v>
      </c>
      <c r="B213" s="37">
        <f>VLOOKUP(Table5345679103[[#This Row],[Date]],Database!A:E,MATCH($A$1,Database!$A$1:$E$1,),)</f>
        <v>29.695</v>
      </c>
      <c r="C213" s="8">
        <f t="shared" si="3"/>
        <v>4.8049267417859254E-3</v>
      </c>
      <c r="D213" s="7">
        <f>(Table5345679103[[#This Row],[Value]]-B201)/B201</f>
        <v>5.6949635166399767E-2</v>
      </c>
    </row>
    <row r="214" spans="1:4" x14ac:dyDescent="0.2">
      <c r="A214" s="36">
        <v>27912</v>
      </c>
      <c r="B214" s="37">
        <f>VLOOKUP(Table5345679103[[#This Row],[Date]],Database!A:E,MATCH($A$1,Database!$A$1:$E$1,),)</f>
        <v>29.824000000000002</v>
      </c>
      <c r="C214" s="8">
        <f t="shared" si="3"/>
        <v>4.3441656844587081E-3</v>
      </c>
      <c r="D214" s="7">
        <f>(Table5345679103[[#This Row],[Value]]-B202)/B202</f>
        <v>5.4932616462099002E-2</v>
      </c>
    </row>
    <row r="215" spans="1:4" x14ac:dyDescent="0.2">
      <c r="A215" s="36">
        <v>27942</v>
      </c>
      <c r="B215" s="37">
        <f>VLOOKUP(Table5345679103[[#This Row],[Date]],Database!A:E,MATCH($A$1,Database!$A$1:$E$1,),)</f>
        <v>29.975000000000001</v>
      </c>
      <c r="C215" s="8">
        <f t="shared" si="3"/>
        <v>5.0630364806866883E-3</v>
      </c>
      <c r="D215" s="7">
        <f>(Table5345679103[[#This Row],[Value]]-B203)/B203</f>
        <v>5.1237988356596834E-2</v>
      </c>
    </row>
    <row r="216" spans="1:4" x14ac:dyDescent="0.2">
      <c r="A216" s="36">
        <v>27973</v>
      </c>
      <c r="B216" s="37">
        <f>VLOOKUP(Table5345679103[[#This Row],[Date]],Database!A:E,MATCH($A$1,Database!$A$1:$E$1,),)</f>
        <v>30.14</v>
      </c>
      <c r="C216" s="8">
        <f t="shared" si="3"/>
        <v>5.5045871559632744E-3</v>
      </c>
      <c r="D216" s="7">
        <f>(Table5345679103[[#This Row],[Value]]-B204)/B204</f>
        <v>5.2484547962426235E-2</v>
      </c>
    </row>
    <row r="217" spans="1:4" x14ac:dyDescent="0.2">
      <c r="A217" s="36">
        <v>28004</v>
      </c>
      <c r="B217" s="37">
        <f>VLOOKUP(Table5345679103[[#This Row],[Date]],Database!A:E,MATCH($A$1,Database!$A$1:$E$1,),)</f>
        <v>30.31</v>
      </c>
      <c r="C217" s="8">
        <f t="shared" si="3"/>
        <v>5.6403450564033895E-3</v>
      </c>
      <c r="D217" s="7">
        <f>(Table5345679103[[#This Row],[Value]]-B205)/B205</f>
        <v>5.3198512804475441E-2</v>
      </c>
    </row>
    <row r="218" spans="1:4" x14ac:dyDescent="0.2">
      <c r="A218" s="36">
        <v>28034</v>
      </c>
      <c r="B218" s="37">
        <f>VLOOKUP(Table5345679103[[#This Row],[Date]],Database!A:E,MATCH($A$1,Database!$A$1:$E$1,),)</f>
        <v>30.469000000000001</v>
      </c>
      <c r="C218" s="8">
        <f t="shared" si="3"/>
        <v>5.2457934675025561E-3</v>
      </c>
      <c r="D218" s="7">
        <f>(Table5345679103[[#This Row],[Value]]-B206)/B206</f>
        <v>5.2615214537414481E-2</v>
      </c>
    </row>
    <row r="219" spans="1:4" x14ac:dyDescent="0.2">
      <c r="A219" s="36">
        <v>28065</v>
      </c>
      <c r="B219" s="37">
        <f>VLOOKUP(Table5345679103[[#This Row],[Date]],Database!A:E,MATCH($A$1,Database!$A$1:$E$1,),)</f>
        <v>30.606999999999999</v>
      </c>
      <c r="C219" s="8">
        <f t="shared" si="3"/>
        <v>4.5291936066164992E-3</v>
      </c>
      <c r="D219" s="7">
        <f>(Table5345679103[[#This Row],[Value]]-B207)/B207</f>
        <v>5.0631607853906281E-2</v>
      </c>
    </row>
    <row r="220" spans="1:4" x14ac:dyDescent="0.2">
      <c r="A220" s="36">
        <v>28095</v>
      </c>
      <c r="B220" s="37">
        <f>VLOOKUP(Table5345679103[[#This Row],[Date]],Database!A:E,MATCH($A$1,Database!$A$1:$E$1,),)</f>
        <v>30.777999999999999</v>
      </c>
      <c r="C220" s="8">
        <f t="shared" si="3"/>
        <v>5.5869572320057298E-3</v>
      </c>
      <c r="D220" s="7">
        <f>(Table5345679103[[#This Row],[Value]]-B208)/B208</f>
        <v>5.069470521967704E-2</v>
      </c>
    </row>
    <row r="221" spans="1:4" x14ac:dyDescent="0.2">
      <c r="A221" s="36">
        <v>28126</v>
      </c>
      <c r="B221" s="37">
        <f>VLOOKUP(Table5345679103[[#This Row],[Date]],Database!A:E,MATCH($A$1,Database!$A$1:$E$1,),)</f>
        <v>30.957000000000001</v>
      </c>
      <c r="C221" s="8">
        <f t="shared" si="3"/>
        <v>5.8158424848918722E-3</v>
      </c>
      <c r="D221" s="7">
        <f>(Table5345679103[[#This Row],[Value]]-B209)/B209</f>
        <v>5.2780139432069363E-2</v>
      </c>
    </row>
    <row r="222" spans="1:4" x14ac:dyDescent="0.2">
      <c r="A222" s="36">
        <v>28157</v>
      </c>
      <c r="B222" s="37">
        <f>VLOOKUP(Table5345679103[[#This Row],[Date]],Database!A:E,MATCH($A$1,Database!$A$1:$E$1,),)</f>
        <v>31.199000000000002</v>
      </c>
      <c r="C222" s="8">
        <f t="shared" si="3"/>
        <v>7.8172949575217518E-3</v>
      </c>
      <c r="D222" s="7">
        <f>(Table5345679103[[#This Row],[Value]]-B210)/B210</f>
        <v>5.9676652401331479E-2</v>
      </c>
    </row>
    <row r="223" spans="1:4" x14ac:dyDescent="0.2">
      <c r="A223" s="36">
        <v>28185</v>
      </c>
      <c r="B223" s="37">
        <f>VLOOKUP(Table5345679103[[#This Row],[Date]],Database!A:E,MATCH($A$1,Database!$A$1:$E$1,),)</f>
        <v>31.356000000000002</v>
      </c>
      <c r="C223" s="8">
        <f t="shared" si="3"/>
        <v>5.0322125709157351E-3</v>
      </c>
      <c r="D223" s="7">
        <f>(Table5345679103[[#This Row],[Value]]-B211)/B211</f>
        <v>6.3419928101471915E-2</v>
      </c>
    </row>
    <row r="224" spans="1:4" x14ac:dyDescent="0.2">
      <c r="A224" s="36">
        <v>28216</v>
      </c>
      <c r="B224" s="37">
        <f>VLOOKUP(Table5345679103[[#This Row],[Date]],Database!A:E,MATCH($A$1,Database!$A$1:$E$1,),)</f>
        <v>31.538</v>
      </c>
      <c r="C224" s="8">
        <f t="shared" si="3"/>
        <v>5.8043117744609836E-3</v>
      </c>
      <c r="D224" s="7">
        <f>(Table5345679103[[#This Row],[Value]]-B212)/B212</f>
        <v>6.7167461848204893E-2</v>
      </c>
    </row>
    <row r="225" spans="1:4" x14ac:dyDescent="0.2">
      <c r="A225" s="36">
        <v>28246</v>
      </c>
      <c r="B225" s="37">
        <f>VLOOKUP(Table5345679103[[#This Row],[Date]],Database!A:E,MATCH($A$1,Database!$A$1:$E$1,),)</f>
        <v>31.698</v>
      </c>
      <c r="C225" s="8">
        <f t="shared" si="3"/>
        <v>5.0732449743167022E-3</v>
      </c>
      <c r="D225" s="7">
        <f>(Table5345679103[[#This Row],[Value]]-B213)/B213</f>
        <v>6.7452433069540324E-2</v>
      </c>
    </row>
    <row r="226" spans="1:4" x14ac:dyDescent="0.2">
      <c r="A226" s="36">
        <v>28277</v>
      </c>
      <c r="B226" s="37">
        <f>VLOOKUP(Table5345679103[[#This Row],[Date]],Database!A:E,MATCH($A$1,Database!$A$1:$E$1,),)</f>
        <v>31.875</v>
      </c>
      <c r="C226" s="8">
        <f t="shared" si="3"/>
        <v>5.5839485141018236E-3</v>
      </c>
      <c r="D226" s="7">
        <f>(Table5345679103[[#This Row],[Value]]-B214)/B214</f>
        <v>6.8770118025751018E-2</v>
      </c>
    </row>
    <row r="227" spans="1:4" x14ac:dyDescent="0.2">
      <c r="A227" s="36">
        <v>28307</v>
      </c>
      <c r="B227" s="37">
        <f>VLOOKUP(Table5345679103[[#This Row],[Date]],Database!A:E,MATCH($A$1,Database!$A$1:$E$1,),)</f>
        <v>32.040999999999997</v>
      </c>
      <c r="C227" s="8">
        <f t="shared" si="3"/>
        <v>5.2078431372548023E-3</v>
      </c>
      <c r="D227" s="7">
        <f>(Table5345679103[[#This Row],[Value]]-B215)/B215</f>
        <v>6.8924103419516103E-2</v>
      </c>
    </row>
    <row r="228" spans="1:4" x14ac:dyDescent="0.2">
      <c r="A228" s="36">
        <v>28338</v>
      </c>
      <c r="B228" s="37">
        <f>VLOOKUP(Table5345679103[[#This Row],[Date]],Database!A:E,MATCH($A$1,Database!$A$1:$E$1,),)</f>
        <v>32.19</v>
      </c>
      <c r="C228" s="8">
        <f t="shared" si="3"/>
        <v>4.650291813613836E-3</v>
      </c>
      <c r="D228" s="7">
        <f>(Table5345679103[[#This Row],[Value]]-B216)/B216</f>
        <v>6.8015925680159156E-2</v>
      </c>
    </row>
    <row r="229" spans="1:4" x14ac:dyDescent="0.2">
      <c r="A229" s="36">
        <v>28369</v>
      </c>
      <c r="B229" s="37">
        <f>VLOOKUP(Table5345679103[[#This Row],[Date]],Database!A:E,MATCH($A$1,Database!$A$1:$E$1,),)</f>
        <v>32.311</v>
      </c>
      <c r="C229" s="8">
        <f t="shared" si="3"/>
        <v>3.7589313451383108E-3</v>
      </c>
      <c r="D229" s="7">
        <f>(Table5345679103[[#This Row],[Value]]-B217)/B217</f>
        <v>6.60178159023425E-2</v>
      </c>
    </row>
    <row r="230" spans="1:4" x14ac:dyDescent="0.2">
      <c r="A230" s="36">
        <v>28399</v>
      </c>
      <c r="B230" s="37">
        <f>VLOOKUP(Table5345679103[[#This Row],[Date]],Database!A:E,MATCH($A$1,Database!$A$1:$E$1,),)</f>
        <v>32.460999999999999</v>
      </c>
      <c r="C230" s="8">
        <f t="shared" si="3"/>
        <v>4.6423818513818384E-3</v>
      </c>
      <c r="D230" s="7">
        <f>(Table5345679103[[#This Row],[Value]]-B218)/B218</f>
        <v>6.5377925104204176E-2</v>
      </c>
    </row>
    <row r="231" spans="1:4" x14ac:dyDescent="0.2">
      <c r="A231" s="36">
        <v>28430</v>
      </c>
      <c r="B231" s="37">
        <f>VLOOKUP(Table5345679103[[#This Row],[Date]],Database!A:E,MATCH($A$1,Database!$A$1:$E$1,),)</f>
        <v>32.648000000000003</v>
      </c>
      <c r="C231" s="8">
        <f t="shared" si="3"/>
        <v>5.7607590647239682E-3</v>
      </c>
      <c r="D231" s="7">
        <f>(Table5345679103[[#This Row],[Value]]-B219)/B219</f>
        <v>6.668409187440795E-2</v>
      </c>
    </row>
    <row r="232" spans="1:4" x14ac:dyDescent="0.2">
      <c r="A232" s="36">
        <v>28460</v>
      </c>
      <c r="B232" s="37">
        <f>VLOOKUP(Table5345679103[[#This Row],[Date]],Database!A:E,MATCH($A$1,Database!$A$1:$E$1,),)</f>
        <v>32.805999999999997</v>
      </c>
      <c r="C232" s="8">
        <f t="shared" si="3"/>
        <v>4.8395001225188103E-3</v>
      </c>
      <c r="D232" s="7">
        <f>(Table5345679103[[#This Row],[Value]]-B220)/B220</f>
        <v>6.5891221002014388E-2</v>
      </c>
    </row>
    <row r="233" spans="1:4" x14ac:dyDescent="0.2">
      <c r="A233" s="36">
        <v>28491</v>
      </c>
      <c r="B233" s="37">
        <f>VLOOKUP(Table5345679103[[#This Row],[Date]],Database!A:E,MATCH($A$1,Database!$A$1:$E$1,),)</f>
        <v>33</v>
      </c>
      <c r="C233" s="8">
        <f t="shared" si="3"/>
        <v>5.9135523989514915E-3</v>
      </c>
      <c r="D233" s="7">
        <f>(Table5345679103[[#This Row],[Value]]-B221)/B221</f>
        <v>6.5994766934780472E-2</v>
      </c>
    </row>
    <row r="234" spans="1:4" x14ac:dyDescent="0.2">
      <c r="A234" s="36">
        <v>28522</v>
      </c>
      <c r="B234" s="37">
        <f>VLOOKUP(Table5345679103[[#This Row],[Date]],Database!A:E,MATCH($A$1,Database!$A$1:$E$1,),)</f>
        <v>33.152999999999999</v>
      </c>
      <c r="C234" s="8">
        <f t="shared" si="3"/>
        <v>4.6363636363635965E-3</v>
      </c>
      <c r="D234" s="7">
        <f>(Table5345679103[[#This Row],[Value]]-B222)/B222</f>
        <v>6.2630212506811014E-2</v>
      </c>
    </row>
    <row r="235" spans="1:4" x14ac:dyDescent="0.2">
      <c r="A235" s="36">
        <v>28550</v>
      </c>
      <c r="B235" s="37">
        <f>VLOOKUP(Table5345679103[[#This Row],[Date]],Database!A:E,MATCH($A$1,Database!$A$1:$E$1,),)</f>
        <v>33.368000000000002</v>
      </c>
      <c r="C235" s="8">
        <f t="shared" si="3"/>
        <v>6.485084306096082E-3</v>
      </c>
      <c r="D235" s="7">
        <f>(Table5345679103[[#This Row],[Value]]-B223)/B223</f>
        <v>6.4166347748437311E-2</v>
      </c>
    </row>
    <row r="236" spans="1:4" x14ac:dyDescent="0.2">
      <c r="A236" s="36">
        <v>28581</v>
      </c>
      <c r="B236" s="37">
        <f>VLOOKUP(Table5345679103[[#This Row],[Date]],Database!A:E,MATCH($A$1,Database!$A$1:$E$1,),)</f>
        <v>33.621000000000002</v>
      </c>
      <c r="C236" s="8">
        <f t="shared" si="3"/>
        <v>7.5821146008151555E-3</v>
      </c>
      <c r="D236" s="7">
        <f>(Table5345679103[[#This Row],[Value]]-B224)/B224</f>
        <v>6.6047308009385561E-2</v>
      </c>
    </row>
    <row r="237" spans="1:4" x14ac:dyDescent="0.2">
      <c r="A237" s="36">
        <v>28611</v>
      </c>
      <c r="B237" s="37">
        <f>VLOOKUP(Table5345679103[[#This Row],[Date]],Database!A:E,MATCH($A$1,Database!$A$1:$E$1,),)</f>
        <v>33.860999999999997</v>
      </c>
      <c r="C237" s="8">
        <f t="shared" si="3"/>
        <v>7.1383956455785035E-3</v>
      </c>
      <c r="D237" s="7">
        <f>(Table5345679103[[#This Row],[Value]]-B225)/B225</f>
        <v>6.8237743706227413E-2</v>
      </c>
    </row>
    <row r="238" spans="1:4" x14ac:dyDescent="0.2">
      <c r="A238" s="36">
        <v>28642</v>
      </c>
      <c r="B238" s="37">
        <f>VLOOKUP(Table5345679103[[#This Row],[Date]],Database!A:E,MATCH($A$1,Database!$A$1:$E$1,),)</f>
        <v>34.082000000000001</v>
      </c>
      <c r="C238" s="8">
        <f t="shared" si="3"/>
        <v>6.5266826142170538E-3</v>
      </c>
      <c r="D238" s="7">
        <f>(Table5345679103[[#This Row],[Value]]-B226)/B226</f>
        <v>6.923921568627453E-2</v>
      </c>
    </row>
    <row r="239" spans="1:4" x14ac:dyDescent="0.2">
      <c r="A239" s="36">
        <v>28672</v>
      </c>
      <c r="B239" s="37">
        <f>VLOOKUP(Table5345679103[[#This Row],[Date]],Database!A:E,MATCH($A$1,Database!$A$1:$E$1,),)</f>
        <v>34.268999999999998</v>
      </c>
      <c r="C239" s="8">
        <f t="shared" si="3"/>
        <v>5.4867672084970833E-3</v>
      </c>
      <c r="D239" s="7">
        <f>(Table5345679103[[#This Row],[Value]]-B227)/B227</f>
        <v>6.9535907119003829E-2</v>
      </c>
    </row>
    <row r="240" spans="1:4" x14ac:dyDescent="0.2">
      <c r="A240" s="36">
        <v>28703</v>
      </c>
      <c r="B240" s="37">
        <f>VLOOKUP(Table5345679103[[#This Row],[Date]],Database!A:E,MATCH($A$1,Database!$A$1:$E$1,),)</f>
        <v>34.442</v>
      </c>
      <c r="C240" s="8">
        <f t="shared" si="3"/>
        <v>5.0482943768420975E-3</v>
      </c>
      <c r="D240" s="7">
        <f>(Table5345679103[[#This Row],[Value]]-B228)/B228</f>
        <v>6.9959614787201072E-2</v>
      </c>
    </row>
    <row r="241" spans="1:4" x14ac:dyDescent="0.2">
      <c r="A241" s="36">
        <v>28734</v>
      </c>
      <c r="B241" s="37">
        <f>VLOOKUP(Table5345679103[[#This Row],[Date]],Database!A:E,MATCH($A$1,Database!$A$1:$E$1,),)</f>
        <v>34.637999999999998</v>
      </c>
      <c r="C241" s="8">
        <f t="shared" si="3"/>
        <v>5.6907264386504251E-3</v>
      </c>
      <c r="D241" s="7">
        <f>(Table5345679103[[#This Row],[Value]]-B229)/B229</f>
        <v>7.2018817121104209E-2</v>
      </c>
    </row>
    <row r="242" spans="1:4" x14ac:dyDescent="0.2">
      <c r="A242" s="36">
        <v>28764</v>
      </c>
      <c r="B242" s="37">
        <f>VLOOKUP(Table5345679103[[#This Row],[Date]],Database!A:E,MATCH($A$1,Database!$A$1:$E$1,),)</f>
        <v>34.912999999999997</v>
      </c>
      <c r="C242" s="8">
        <f t="shared" si="3"/>
        <v>7.9392574629019753E-3</v>
      </c>
      <c r="D242" s="7">
        <f>(Table5345679103[[#This Row],[Value]]-B230)/B230</f>
        <v>7.5536798003758301E-2</v>
      </c>
    </row>
    <row r="243" spans="1:4" x14ac:dyDescent="0.2">
      <c r="A243" s="36">
        <v>28795</v>
      </c>
      <c r="B243" s="37">
        <f>VLOOKUP(Table5345679103[[#This Row],[Date]],Database!A:E,MATCH($A$1,Database!$A$1:$E$1,),)</f>
        <v>35.112000000000002</v>
      </c>
      <c r="C243" s="8">
        <f t="shared" si="3"/>
        <v>5.6998825652337295E-3</v>
      </c>
      <c r="D243" s="7">
        <f>(Table5345679103[[#This Row],[Value]]-B231)/B231</f>
        <v>7.5471698113207503E-2</v>
      </c>
    </row>
    <row r="244" spans="1:4" x14ac:dyDescent="0.2">
      <c r="A244" s="36">
        <v>28825</v>
      </c>
      <c r="B244" s="37">
        <f>VLOOKUP(Table5345679103[[#This Row],[Date]],Database!A:E,MATCH($A$1,Database!$A$1:$E$1,),)</f>
        <v>35.276000000000003</v>
      </c>
      <c r="C244" s="8">
        <f t="shared" si="3"/>
        <v>4.6707678286626074E-3</v>
      </c>
      <c r="D244" s="7">
        <f>(Table5345679103[[#This Row],[Value]]-B232)/B232</f>
        <v>7.5291105285618679E-2</v>
      </c>
    </row>
    <row r="245" spans="1:4" x14ac:dyDescent="0.2">
      <c r="A245" s="36">
        <v>28856</v>
      </c>
      <c r="B245" s="37">
        <f>VLOOKUP(Table5345679103[[#This Row],[Date]],Database!A:E,MATCH($A$1,Database!$A$1:$E$1,),)</f>
        <v>35.542000000000002</v>
      </c>
      <c r="C245" s="8">
        <f t="shared" si="3"/>
        <v>7.5405374759042465E-3</v>
      </c>
      <c r="D245" s="7">
        <f>(Table5345679103[[#This Row],[Value]]-B233)/B233</f>
        <v>7.7030303030303074E-2</v>
      </c>
    </row>
    <row r="246" spans="1:4" x14ac:dyDescent="0.2">
      <c r="A246" s="36">
        <v>28887</v>
      </c>
      <c r="B246" s="37">
        <f>VLOOKUP(Table5345679103[[#This Row],[Date]],Database!A:E,MATCH($A$1,Database!$A$1:$E$1,),)</f>
        <v>35.731999999999999</v>
      </c>
      <c r="C246" s="8">
        <f t="shared" si="3"/>
        <v>5.3457880817060861E-3</v>
      </c>
      <c r="D246" s="7">
        <f>(Table5345679103[[#This Row],[Value]]-B234)/B234</f>
        <v>7.7790848490332729E-2</v>
      </c>
    </row>
    <row r="247" spans="1:4" x14ac:dyDescent="0.2">
      <c r="A247" s="36">
        <v>28915</v>
      </c>
      <c r="B247" s="37">
        <f>VLOOKUP(Table5345679103[[#This Row],[Date]],Database!A:E,MATCH($A$1,Database!$A$1:$E$1,),)</f>
        <v>36.011000000000003</v>
      </c>
      <c r="C247" s="8">
        <f t="shared" si="3"/>
        <v>7.8081271689243109E-3</v>
      </c>
      <c r="D247" s="7">
        <f>(Table5345679103[[#This Row],[Value]]-B235)/B235</f>
        <v>7.9207624070966209E-2</v>
      </c>
    </row>
    <row r="248" spans="1:4" x14ac:dyDescent="0.2">
      <c r="A248" s="36">
        <v>28946</v>
      </c>
      <c r="B248" s="37">
        <f>VLOOKUP(Table5345679103[[#This Row],[Date]],Database!A:E,MATCH($A$1,Database!$A$1:$E$1,),)</f>
        <v>36.386000000000003</v>
      </c>
      <c r="C248" s="8">
        <f t="shared" si="3"/>
        <v>1.0413484768542945E-2</v>
      </c>
      <c r="D248" s="7">
        <f>(Table5345679103[[#This Row],[Value]]-B236)/B236</f>
        <v>8.2240266500104117E-2</v>
      </c>
    </row>
    <row r="249" spans="1:4" x14ac:dyDescent="0.2">
      <c r="A249" s="36">
        <v>28976</v>
      </c>
      <c r="B249" s="37">
        <f>VLOOKUP(Table5345679103[[#This Row],[Date]],Database!A:E,MATCH($A$1,Database!$A$1:$E$1,),)</f>
        <v>36.762999999999998</v>
      </c>
      <c r="C249" s="8">
        <f t="shared" si="3"/>
        <v>1.0361127906337473E-2</v>
      </c>
      <c r="D249" s="7">
        <f>(Table5345679103[[#This Row],[Value]]-B237)/B237</f>
        <v>8.5703316499808072E-2</v>
      </c>
    </row>
    <row r="250" spans="1:4" x14ac:dyDescent="0.2">
      <c r="A250" s="36">
        <v>29007</v>
      </c>
      <c r="B250" s="37">
        <f>VLOOKUP(Table5345679103[[#This Row],[Date]],Database!A:E,MATCH($A$1,Database!$A$1:$E$1,),)</f>
        <v>37.066000000000003</v>
      </c>
      <c r="C250" s="8">
        <f t="shared" si="3"/>
        <v>8.241982427984778E-3</v>
      </c>
      <c r="D250" s="7">
        <f>(Table5345679103[[#This Row],[Value]]-B238)/B238</f>
        <v>8.7553547327034853E-2</v>
      </c>
    </row>
    <row r="251" spans="1:4" x14ac:dyDescent="0.2">
      <c r="A251" s="36">
        <v>29037</v>
      </c>
      <c r="B251" s="37">
        <f>VLOOKUP(Table5345679103[[#This Row],[Date]],Database!A:E,MATCH($A$1,Database!$A$1:$E$1,),)</f>
        <v>37.348999999999997</v>
      </c>
      <c r="C251" s="8">
        <f t="shared" si="3"/>
        <v>7.6350294070035643E-3</v>
      </c>
      <c r="D251" s="7">
        <f>(Table5345679103[[#This Row],[Value]]-B239)/B239</f>
        <v>8.9877148443199342E-2</v>
      </c>
    </row>
    <row r="252" spans="1:4" x14ac:dyDescent="0.2">
      <c r="A252" s="36">
        <v>29068</v>
      </c>
      <c r="B252" s="37">
        <f>VLOOKUP(Table5345679103[[#This Row],[Date]],Database!A:E,MATCH($A$1,Database!$A$1:$E$1,),)</f>
        <v>37.634999999999998</v>
      </c>
      <c r="C252" s="8">
        <f t="shared" si="3"/>
        <v>7.6575008701705903E-3</v>
      </c>
      <c r="D252" s="7">
        <f>(Table5345679103[[#This Row],[Value]]-B240)/B240</f>
        <v>9.2706579176586659E-2</v>
      </c>
    </row>
    <row r="253" spans="1:4" x14ac:dyDescent="0.2">
      <c r="A253" s="36">
        <v>29099</v>
      </c>
      <c r="B253" s="37">
        <f>VLOOKUP(Table5345679103[[#This Row],[Date]],Database!A:E,MATCH($A$1,Database!$A$1:$E$1,),)</f>
        <v>37.966999999999999</v>
      </c>
      <c r="C253" s="8">
        <f t="shared" si="3"/>
        <v>8.82157566095392E-3</v>
      </c>
      <c r="D253" s="7">
        <f>(Table5345679103[[#This Row],[Value]]-B241)/B241</f>
        <v>9.6108320341821138E-2</v>
      </c>
    </row>
    <row r="254" spans="1:4" x14ac:dyDescent="0.2">
      <c r="A254" s="36">
        <v>29129</v>
      </c>
      <c r="B254" s="37">
        <f>VLOOKUP(Table5345679103[[#This Row],[Date]],Database!A:E,MATCH($A$1,Database!$A$1:$E$1,),)</f>
        <v>38.276000000000003</v>
      </c>
      <c r="C254" s="8">
        <f t="shared" si="3"/>
        <v>8.1386467195197036E-3</v>
      </c>
      <c r="D254" s="7">
        <f>(Table5345679103[[#This Row],[Value]]-B242)/B242</f>
        <v>9.6325151089852123E-2</v>
      </c>
    </row>
    <row r="255" spans="1:4" x14ac:dyDescent="0.2">
      <c r="A255" s="36">
        <v>29160</v>
      </c>
      <c r="B255" s="37">
        <f>VLOOKUP(Table5345679103[[#This Row],[Date]],Database!A:E,MATCH($A$1,Database!$A$1:$E$1,),)</f>
        <v>38.542000000000002</v>
      </c>
      <c r="C255" s="8">
        <f t="shared" si="3"/>
        <v>6.949524506217949E-3</v>
      </c>
      <c r="D255" s="7">
        <f>(Table5345679103[[#This Row],[Value]]-B243)/B243</f>
        <v>9.7687400318979253E-2</v>
      </c>
    </row>
    <row r="256" spans="1:4" x14ac:dyDescent="0.2">
      <c r="A256" s="36">
        <v>29190</v>
      </c>
      <c r="B256" s="37">
        <f>VLOOKUP(Table5345679103[[#This Row],[Date]],Database!A:E,MATCH($A$1,Database!$A$1:$E$1,),)</f>
        <v>38.866</v>
      </c>
      <c r="C256" s="8">
        <f t="shared" si="3"/>
        <v>8.4064137823672367E-3</v>
      </c>
      <c r="D256" s="7">
        <f>(Table5345679103[[#This Row],[Value]]-B244)/B244</f>
        <v>0.10176890803946015</v>
      </c>
    </row>
    <row r="257" spans="1:4" x14ac:dyDescent="0.2">
      <c r="A257" s="36">
        <v>29221</v>
      </c>
      <c r="B257" s="37">
        <f>VLOOKUP(Table5345679103[[#This Row],[Date]],Database!A:E,MATCH($A$1,Database!$A$1:$E$1,),)</f>
        <v>39.273000000000003</v>
      </c>
      <c r="C257" s="8">
        <f t="shared" si="3"/>
        <v>1.0471877733751958E-2</v>
      </c>
      <c r="D257" s="7">
        <f>(Table5345679103[[#This Row],[Value]]-B245)/B245</f>
        <v>0.10497439648866135</v>
      </c>
    </row>
    <row r="258" spans="1:4" x14ac:dyDescent="0.2">
      <c r="A258" s="36">
        <v>29252</v>
      </c>
      <c r="B258" s="37">
        <f>VLOOKUP(Table5345679103[[#This Row],[Date]],Database!A:E,MATCH($A$1,Database!$A$1:$E$1,),)</f>
        <v>39.698999999999998</v>
      </c>
      <c r="C258" s="8">
        <f t="shared" si="3"/>
        <v>1.0847146894813097E-2</v>
      </c>
      <c r="D258" s="7">
        <f>(Table5345679103[[#This Row],[Value]]-B246)/B246</f>
        <v>0.11102093361692597</v>
      </c>
    </row>
    <row r="259" spans="1:4" x14ac:dyDescent="0.2">
      <c r="A259" s="36">
        <v>29281</v>
      </c>
      <c r="B259" s="37">
        <f>VLOOKUP(Table5345679103[[#This Row],[Date]],Database!A:E,MATCH($A$1,Database!$A$1:$E$1,),)</f>
        <v>40.186</v>
      </c>
      <c r="C259" s="8">
        <f t="shared" si="3"/>
        <v>1.2267311519181891E-2</v>
      </c>
      <c r="D259" s="7">
        <f>(Table5345679103[[#This Row],[Value]]-B247)/B247</f>
        <v>0.11593679708977804</v>
      </c>
    </row>
    <row r="260" spans="1:4" x14ac:dyDescent="0.2">
      <c r="A260" s="36">
        <v>29312</v>
      </c>
      <c r="B260" s="37">
        <f>VLOOKUP(Table5345679103[[#This Row],[Date]],Database!A:E,MATCH($A$1,Database!$A$1:$E$1,),)</f>
        <v>40.396000000000001</v>
      </c>
      <c r="C260" s="8">
        <f t="shared" si="3"/>
        <v>5.2257004927089247E-3</v>
      </c>
      <c r="D260" s="7">
        <f>(Table5345679103[[#This Row],[Value]]-B248)/B248</f>
        <v>0.11020722255812669</v>
      </c>
    </row>
    <row r="261" spans="1:4" x14ac:dyDescent="0.2">
      <c r="A261" s="36">
        <v>29342</v>
      </c>
      <c r="B261" s="37">
        <f>VLOOKUP(Table5345679103[[#This Row],[Date]],Database!A:E,MATCH($A$1,Database!$A$1:$E$1,),)</f>
        <v>40.71</v>
      </c>
      <c r="C261" s="8">
        <f t="shared" si="3"/>
        <v>7.7730468363204292E-3</v>
      </c>
      <c r="D261" s="7">
        <f>(Table5345679103[[#This Row],[Value]]-B249)/B249</f>
        <v>0.10736338166090914</v>
      </c>
    </row>
    <row r="262" spans="1:4" x14ac:dyDescent="0.2">
      <c r="A262" s="36">
        <v>29373</v>
      </c>
      <c r="B262" s="37">
        <f>VLOOKUP(Table5345679103[[#This Row],[Date]],Database!A:E,MATCH($A$1,Database!$A$1:$E$1,),)</f>
        <v>40.966999999999999</v>
      </c>
      <c r="C262" s="8">
        <f t="shared" ref="C262:C325" si="4">(B262-B261)/B261</f>
        <v>6.3129452223040505E-3</v>
      </c>
      <c r="D262" s="7">
        <f>(Table5345679103[[#This Row],[Value]]-B250)/B250</f>
        <v>0.10524469864565898</v>
      </c>
    </row>
    <row r="263" spans="1:4" x14ac:dyDescent="0.2">
      <c r="A263" s="36">
        <v>29403</v>
      </c>
      <c r="B263" s="37">
        <f>VLOOKUP(Table5345679103[[#This Row],[Date]],Database!A:E,MATCH($A$1,Database!$A$1:$E$1,),)</f>
        <v>41.284999999999997</v>
      </c>
      <c r="C263" s="8">
        <f t="shared" si="4"/>
        <v>7.7623453023164465E-3</v>
      </c>
      <c r="D263" s="7">
        <f>(Table5345679103[[#This Row],[Value]]-B251)/B251</f>
        <v>0.10538434763982972</v>
      </c>
    </row>
    <row r="264" spans="1:4" x14ac:dyDescent="0.2">
      <c r="A264" s="36">
        <v>29434</v>
      </c>
      <c r="B264" s="37">
        <f>VLOOKUP(Table5345679103[[#This Row],[Date]],Database!A:E,MATCH($A$1,Database!$A$1:$E$1,),)</f>
        <v>41.628999999999998</v>
      </c>
      <c r="C264" s="8">
        <f t="shared" si="4"/>
        <v>8.3323240886520825E-3</v>
      </c>
      <c r="D264" s="7">
        <f>(Table5345679103[[#This Row],[Value]]-B252)/B252</f>
        <v>0.10612461804171648</v>
      </c>
    </row>
    <row r="265" spans="1:4" x14ac:dyDescent="0.2">
      <c r="A265" s="36">
        <v>29465</v>
      </c>
      <c r="B265" s="37">
        <f>VLOOKUP(Table5345679103[[#This Row],[Date]],Database!A:E,MATCH($A$1,Database!$A$1:$E$1,),)</f>
        <v>42.014000000000003</v>
      </c>
      <c r="C265" s="8">
        <f t="shared" si="4"/>
        <v>9.2483605179083123E-3</v>
      </c>
      <c r="D265" s="7">
        <f>(Table5345679103[[#This Row],[Value]]-B253)/B253</f>
        <v>0.10659256722943621</v>
      </c>
    </row>
    <row r="266" spans="1:4" x14ac:dyDescent="0.2">
      <c r="A266" s="36">
        <v>29495</v>
      </c>
      <c r="B266" s="37">
        <f>VLOOKUP(Table5345679103[[#This Row],[Date]],Database!A:E,MATCH($A$1,Database!$A$1:$E$1,),)</f>
        <v>42.350999999999999</v>
      </c>
      <c r="C266" s="8">
        <f t="shared" si="4"/>
        <v>8.0211358118721411E-3</v>
      </c>
      <c r="D266" s="7">
        <f>(Table5345679103[[#This Row],[Value]]-B254)/B254</f>
        <v>0.10646358031142218</v>
      </c>
    </row>
    <row r="267" spans="1:4" x14ac:dyDescent="0.2">
      <c r="A267" s="36">
        <v>29526</v>
      </c>
      <c r="B267" s="37">
        <f>VLOOKUP(Table5345679103[[#This Row],[Date]],Database!A:E,MATCH($A$1,Database!$A$1:$E$1,),)</f>
        <v>42.695999999999998</v>
      </c>
      <c r="C267" s="8">
        <f t="shared" si="4"/>
        <v>8.1462067011404422E-3</v>
      </c>
      <c r="D267" s="7">
        <f>(Table5345679103[[#This Row],[Value]]-B255)/B255</f>
        <v>0.1077785273208447</v>
      </c>
    </row>
    <row r="268" spans="1:4" x14ac:dyDescent="0.2">
      <c r="A268" s="36">
        <v>29556</v>
      </c>
      <c r="B268" s="37">
        <f>VLOOKUP(Table5345679103[[#This Row],[Date]],Database!A:E,MATCH($A$1,Database!$A$1:$E$1,),)</f>
        <v>42.972999999999999</v>
      </c>
      <c r="C268" s="8">
        <f t="shared" si="4"/>
        <v>6.4877271875585776E-3</v>
      </c>
      <c r="D268" s="7">
        <f>(Table5345679103[[#This Row],[Value]]-B256)/B256</f>
        <v>0.10567076622240518</v>
      </c>
    </row>
    <row r="269" spans="1:4" x14ac:dyDescent="0.2">
      <c r="A269" s="36">
        <v>29587</v>
      </c>
      <c r="B269" s="37">
        <f>VLOOKUP(Table5345679103[[#This Row],[Date]],Database!A:E,MATCH($A$1,Database!$A$1:$E$1,),)</f>
        <v>43.386000000000003</v>
      </c>
      <c r="C269" s="8">
        <f t="shared" si="4"/>
        <v>9.6106857794429953E-3</v>
      </c>
      <c r="D269" s="7">
        <f>(Table5345679103[[#This Row],[Value]]-B257)/B257</f>
        <v>0.10472843938583758</v>
      </c>
    </row>
    <row r="270" spans="1:4" x14ac:dyDescent="0.2">
      <c r="A270" s="36">
        <v>29618</v>
      </c>
      <c r="B270" s="37">
        <f>VLOOKUP(Table5345679103[[#This Row],[Date]],Database!A:E,MATCH($A$1,Database!$A$1:$E$1,),)</f>
        <v>43.825000000000003</v>
      </c>
      <c r="C270" s="8">
        <f t="shared" si="4"/>
        <v>1.0118471396302956E-2</v>
      </c>
      <c r="D270" s="7">
        <f>(Table5345679103[[#This Row],[Value]]-B258)/B258</f>
        <v>0.10393208896949557</v>
      </c>
    </row>
    <row r="271" spans="1:4" x14ac:dyDescent="0.2">
      <c r="A271" s="36">
        <v>29646</v>
      </c>
      <c r="B271" s="37">
        <f>VLOOKUP(Table5345679103[[#This Row],[Date]],Database!A:E,MATCH($A$1,Database!$A$1:$E$1,),)</f>
        <v>44.13</v>
      </c>
      <c r="C271" s="8">
        <f t="shared" si="4"/>
        <v>6.9594980034226967E-3</v>
      </c>
      <c r="D271" s="7">
        <f>(Table5345679103[[#This Row],[Value]]-B259)/B259</f>
        <v>9.8143632110685372E-2</v>
      </c>
    </row>
    <row r="272" spans="1:4" x14ac:dyDescent="0.2">
      <c r="A272" s="36">
        <v>29677</v>
      </c>
      <c r="B272" s="37">
        <f>VLOOKUP(Table5345679103[[#This Row],[Date]],Database!A:E,MATCH($A$1,Database!$A$1:$E$1,),)</f>
        <v>44.323</v>
      </c>
      <c r="C272" s="8">
        <f t="shared" si="4"/>
        <v>4.3734421028778113E-3</v>
      </c>
      <c r="D272" s="7">
        <f>(Table5345679103[[#This Row],[Value]]-B260)/B260</f>
        <v>9.7212595306465976E-2</v>
      </c>
    </row>
    <row r="273" spans="1:4" x14ac:dyDescent="0.2">
      <c r="A273" s="36">
        <v>29707</v>
      </c>
      <c r="B273" s="37">
        <f>VLOOKUP(Table5345679103[[#This Row],[Date]],Database!A:E,MATCH($A$1,Database!$A$1:$E$1,),)</f>
        <v>44.521999999999998</v>
      </c>
      <c r="C273" s="8">
        <f t="shared" si="4"/>
        <v>4.4897682918574574E-3</v>
      </c>
      <c r="D273" s="7">
        <f>(Table5345679103[[#This Row],[Value]]-B261)/B261</f>
        <v>9.3637926799312154E-2</v>
      </c>
    </row>
    <row r="274" spans="1:4" x14ac:dyDescent="0.2">
      <c r="A274" s="36">
        <v>29738</v>
      </c>
      <c r="B274" s="37">
        <f>VLOOKUP(Table5345679103[[#This Row],[Date]],Database!A:E,MATCH($A$1,Database!$A$1:$E$1,),)</f>
        <v>44.698999999999998</v>
      </c>
      <c r="C274" s="8">
        <f t="shared" si="4"/>
        <v>3.9755626431876284E-3</v>
      </c>
      <c r="D274" s="7">
        <f>(Table5345679103[[#This Row],[Value]]-B262)/B262</f>
        <v>9.1097712793223803E-2</v>
      </c>
    </row>
    <row r="275" spans="1:4" x14ac:dyDescent="0.2">
      <c r="A275" s="36">
        <v>29768</v>
      </c>
      <c r="B275" s="37">
        <f>VLOOKUP(Table5345679103[[#This Row],[Date]],Database!A:E,MATCH($A$1,Database!$A$1:$E$1,),)</f>
        <v>44.969000000000001</v>
      </c>
      <c r="C275" s="8">
        <f t="shared" si="4"/>
        <v>6.0404035884472395E-3</v>
      </c>
      <c r="D275" s="7">
        <f>(Table5345679103[[#This Row],[Value]]-B263)/B263</f>
        <v>8.9233377740099429E-2</v>
      </c>
    </row>
    <row r="276" spans="1:4" x14ac:dyDescent="0.2">
      <c r="A276" s="36">
        <v>29799</v>
      </c>
      <c r="B276" s="37">
        <f>VLOOKUP(Table5345679103[[#This Row],[Date]],Database!A:E,MATCH($A$1,Database!$A$1:$E$1,),)</f>
        <v>45.25</v>
      </c>
      <c r="C276" s="8">
        <f t="shared" si="4"/>
        <v>6.2487491382952429E-3</v>
      </c>
      <c r="D276" s="7">
        <f>(Table5345679103[[#This Row],[Value]]-B264)/B264</f>
        <v>8.6982632299598892E-2</v>
      </c>
    </row>
    <row r="277" spans="1:4" x14ac:dyDescent="0.2">
      <c r="A277" s="36">
        <v>29830</v>
      </c>
      <c r="B277" s="37">
        <f>VLOOKUP(Table5345679103[[#This Row],[Date]],Database!A:E,MATCH($A$1,Database!$A$1:$E$1,),)</f>
        <v>45.524000000000001</v>
      </c>
      <c r="C277" s="8">
        <f t="shared" si="4"/>
        <v>6.0552486187845506E-3</v>
      </c>
      <c r="D277" s="7">
        <f>(Table5345679103[[#This Row],[Value]]-B265)/B265</f>
        <v>8.3543580711191459E-2</v>
      </c>
    </row>
    <row r="278" spans="1:4" x14ac:dyDescent="0.2">
      <c r="A278" s="36">
        <v>29860</v>
      </c>
      <c r="B278" s="37">
        <f>VLOOKUP(Table5345679103[[#This Row],[Date]],Database!A:E,MATCH($A$1,Database!$A$1:$E$1,),)</f>
        <v>45.73</v>
      </c>
      <c r="C278" s="8">
        <f t="shared" si="4"/>
        <v>4.5250856690975299E-3</v>
      </c>
      <c r="D278" s="7">
        <f>(Table5345679103[[#This Row],[Value]]-B266)/B266</f>
        <v>7.9785601284503266E-2</v>
      </c>
    </row>
    <row r="279" spans="1:4" x14ac:dyDescent="0.2">
      <c r="A279" s="36">
        <v>29891</v>
      </c>
      <c r="B279" s="37">
        <f>VLOOKUP(Table5345679103[[#This Row],[Date]],Database!A:E,MATCH($A$1,Database!$A$1:$E$1,),)</f>
        <v>45.975999999999999</v>
      </c>
      <c r="C279" s="8">
        <f t="shared" si="4"/>
        <v>5.3794008309644053E-3</v>
      </c>
      <c r="D279" s="7">
        <f>(Table5345679103[[#This Row],[Value]]-B267)/B267</f>
        <v>7.6822184747985786E-2</v>
      </c>
    </row>
    <row r="280" spans="1:4" x14ac:dyDescent="0.2">
      <c r="A280" s="36">
        <v>29921</v>
      </c>
      <c r="B280" s="37">
        <f>VLOOKUP(Table5345679103[[#This Row],[Date]],Database!A:E,MATCH($A$1,Database!$A$1:$E$1,),)</f>
        <v>46.118000000000002</v>
      </c>
      <c r="C280" s="8">
        <f t="shared" si="4"/>
        <v>3.0885679484949323E-3</v>
      </c>
      <c r="D280" s="7">
        <f>(Table5345679103[[#This Row],[Value]]-B268)/B268</f>
        <v>7.3185488562585888E-2</v>
      </c>
    </row>
    <row r="281" spans="1:4" x14ac:dyDescent="0.2">
      <c r="A281" s="36">
        <v>29952</v>
      </c>
      <c r="B281" s="37">
        <f>VLOOKUP(Table5345679103[[#This Row],[Date]],Database!A:E,MATCH($A$1,Database!$A$1:$E$1,),)</f>
        <v>46.392000000000003</v>
      </c>
      <c r="C281" s="8">
        <f t="shared" si="4"/>
        <v>5.941281061624548E-3</v>
      </c>
      <c r="D281" s="7">
        <f>(Table5345679103[[#This Row],[Value]]-B269)/B269</f>
        <v>6.9285022818420694E-2</v>
      </c>
    </row>
    <row r="282" spans="1:4" x14ac:dyDescent="0.2">
      <c r="A282" s="36">
        <v>29983</v>
      </c>
      <c r="B282" s="37">
        <f>VLOOKUP(Table5345679103[[#This Row],[Date]],Database!A:E,MATCH($A$1,Database!$A$1:$E$1,),)</f>
        <v>46.530999999999999</v>
      </c>
      <c r="C282" s="8">
        <f t="shared" si="4"/>
        <v>2.9962062424555048E-3</v>
      </c>
      <c r="D282" s="7">
        <f>(Table5345679103[[#This Row],[Value]]-B270)/B270</f>
        <v>6.1745579007415764E-2</v>
      </c>
    </row>
    <row r="283" spans="1:4" x14ac:dyDescent="0.2">
      <c r="A283" s="36">
        <v>30011</v>
      </c>
      <c r="B283" s="37">
        <f>VLOOKUP(Table5345679103[[#This Row],[Date]],Database!A:E,MATCH($A$1,Database!$A$1:$E$1,),)</f>
        <v>46.651000000000003</v>
      </c>
      <c r="C283" s="8">
        <f t="shared" si="4"/>
        <v>2.5789258773721725E-3</v>
      </c>
      <c r="D283" s="7">
        <f>(Table5345679103[[#This Row],[Value]]-B271)/B271</f>
        <v>5.7126671198731035E-2</v>
      </c>
    </row>
    <row r="284" spans="1:4" x14ac:dyDescent="0.2">
      <c r="A284" s="36">
        <v>30042</v>
      </c>
      <c r="B284" s="37">
        <f>VLOOKUP(Table5345679103[[#This Row],[Date]],Database!A:E,MATCH($A$1,Database!$A$1:$E$1,),)</f>
        <v>46.674999999999997</v>
      </c>
      <c r="C284" s="8">
        <f t="shared" si="4"/>
        <v>5.1445842532837026E-4</v>
      </c>
      <c r="D284" s="7">
        <f>(Table5345679103[[#This Row],[Value]]-B272)/B272</f>
        <v>5.3065000112808174E-2</v>
      </c>
    </row>
    <row r="285" spans="1:4" x14ac:dyDescent="0.2">
      <c r="A285" s="36">
        <v>30072</v>
      </c>
      <c r="B285" s="37">
        <f>VLOOKUP(Table5345679103[[#This Row],[Date]],Database!A:E,MATCH($A$1,Database!$A$1:$E$1,),)</f>
        <v>46.951000000000001</v>
      </c>
      <c r="C285" s="8">
        <f t="shared" si="4"/>
        <v>5.9132297803964297E-3</v>
      </c>
      <c r="D285" s="7">
        <f>(Table5345679103[[#This Row],[Value]]-B273)/B273</f>
        <v>5.4557297515834914E-2</v>
      </c>
    </row>
    <row r="286" spans="1:4" x14ac:dyDescent="0.2">
      <c r="A286" s="36">
        <v>30103</v>
      </c>
      <c r="B286" s="37">
        <f>VLOOKUP(Table5345679103[[#This Row],[Date]],Database!A:E,MATCH($A$1,Database!$A$1:$E$1,),)</f>
        <v>47.292000000000002</v>
      </c>
      <c r="C286" s="8">
        <f t="shared" si="4"/>
        <v>7.2628910992311359E-3</v>
      </c>
      <c r="D286" s="7">
        <f>(Table5345679103[[#This Row],[Value]]-B274)/B274</f>
        <v>5.8010246314235299E-2</v>
      </c>
    </row>
    <row r="287" spans="1:4" x14ac:dyDescent="0.2">
      <c r="A287" s="36">
        <v>30133</v>
      </c>
      <c r="B287" s="37">
        <f>VLOOKUP(Table5345679103[[#This Row],[Date]],Database!A:E,MATCH($A$1,Database!$A$1:$E$1,),)</f>
        <v>47.572000000000003</v>
      </c>
      <c r="C287" s="8">
        <f t="shared" si="4"/>
        <v>5.9206631142688223E-3</v>
      </c>
      <c r="D287" s="7">
        <f>(Table5345679103[[#This Row],[Value]]-B275)/B275</f>
        <v>5.7884320309546607E-2</v>
      </c>
    </row>
    <row r="288" spans="1:4" x14ac:dyDescent="0.2">
      <c r="A288" s="36">
        <v>30164</v>
      </c>
      <c r="B288" s="37">
        <f>VLOOKUP(Table5345679103[[#This Row],[Date]],Database!A:E,MATCH($A$1,Database!$A$1:$E$1,),)</f>
        <v>47.72</v>
      </c>
      <c r="C288" s="8">
        <f t="shared" si="4"/>
        <v>3.1110737408558842E-3</v>
      </c>
      <c r="D288" s="7">
        <f>(Table5345679103[[#This Row],[Value]]-B276)/B276</f>
        <v>5.4585635359115994E-2</v>
      </c>
    </row>
    <row r="289" spans="1:4" x14ac:dyDescent="0.2">
      <c r="A289" s="36">
        <v>30195</v>
      </c>
      <c r="B289" s="37">
        <f>VLOOKUP(Table5345679103[[#This Row],[Date]],Database!A:E,MATCH($A$1,Database!$A$1:$E$1,),)</f>
        <v>47.851999999999997</v>
      </c>
      <c r="C289" s="8">
        <f t="shared" si="4"/>
        <v>2.7661357921206602E-3</v>
      </c>
      <c r="D289" s="7">
        <f>(Table5345679103[[#This Row],[Value]]-B277)/B277</f>
        <v>5.1137861347860379E-2</v>
      </c>
    </row>
    <row r="290" spans="1:4" x14ac:dyDescent="0.2">
      <c r="A290" s="36">
        <v>30225</v>
      </c>
      <c r="B290" s="37">
        <f>VLOOKUP(Table5345679103[[#This Row],[Date]],Database!A:E,MATCH($A$1,Database!$A$1:$E$1,),)</f>
        <v>48.121000000000002</v>
      </c>
      <c r="C290" s="9">
        <f t="shared" si="4"/>
        <v>5.6214996238402879E-3</v>
      </c>
      <c r="D290" s="7">
        <f>(Table5345679103[[#This Row],[Value]]-B278)/B278</f>
        <v>5.2285151979007335E-2</v>
      </c>
    </row>
    <row r="291" spans="1:4" x14ac:dyDescent="0.2">
      <c r="A291" s="36">
        <v>30256</v>
      </c>
      <c r="B291" s="37">
        <f>VLOOKUP(Table5345679103[[#This Row],[Date]],Database!A:E,MATCH($A$1,Database!$A$1:$E$1,),)</f>
        <v>48.265000000000001</v>
      </c>
      <c r="C291" s="9">
        <f t="shared" si="4"/>
        <v>2.9924565158662192E-3</v>
      </c>
      <c r="D291" s="7">
        <f>(Table5345679103[[#This Row],[Value]]-B279)/B279</f>
        <v>4.9786845310596864E-2</v>
      </c>
    </row>
    <row r="292" spans="1:4" x14ac:dyDescent="0.2">
      <c r="A292" s="36">
        <v>30286</v>
      </c>
      <c r="B292" s="37">
        <f>VLOOKUP(Table5345679103[[#This Row],[Date]],Database!A:E,MATCH($A$1,Database!$A$1:$E$1,),)</f>
        <v>48.338000000000001</v>
      </c>
      <c r="C292" s="9">
        <f t="shared" si="4"/>
        <v>1.5124831658551827E-3</v>
      </c>
      <c r="D292" s="7">
        <f>(Table5345679103[[#This Row],[Value]]-B280)/B280</f>
        <v>4.8137386703673159E-2</v>
      </c>
    </row>
    <row r="293" spans="1:4" x14ac:dyDescent="0.2">
      <c r="A293" s="36">
        <v>30317</v>
      </c>
      <c r="B293" s="37">
        <f>VLOOKUP(Table5345679103[[#This Row],[Date]],Database!A:E,MATCH($A$1,Database!$A$1:$E$1,),)</f>
        <v>48.564</v>
      </c>
      <c r="C293" s="9">
        <f t="shared" si="4"/>
        <v>4.6754106500061874E-3</v>
      </c>
      <c r="D293" s="7">
        <f>(Table5345679103[[#This Row],[Value]]-B281)/B281</f>
        <v>4.6818416968442765E-2</v>
      </c>
    </row>
    <row r="294" spans="1:4" x14ac:dyDescent="0.2">
      <c r="A294" s="36">
        <v>30348</v>
      </c>
      <c r="B294" s="37">
        <f>VLOOKUP(Table5345679103[[#This Row],[Date]],Database!A:E,MATCH($A$1,Database!$A$1:$E$1,),)</f>
        <v>48.646000000000001</v>
      </c>
      <c r="C294" s="9">
        <f t="shared" si="4"/>
        <v>1.6884935343052618E-3</v>
      </c>
      <c r="D294" s="7">
        <f>(Table5345679103[[#This Row],[Value]]-B282)/B282</f>
        <v>4.5453568588682859E-2</v>
      </c>
    </row>
    <row r="295" spans="1:4" x14ac:dyDescent="0.2">
      <c r="A295" s="36">
        <v>30376</v>
      </c>
      <c r="B295" s="37">
        <f>VLOOKUP(Table5345679103[[#This Row],[Date]],Database!A:E,MATCH($A$1,Database!$A$1:$E$1,),)</f>
        <v>48.709000000000003</v>
      </c>
      <c r="C295" s="9">
        <f t="shared" si="4"/>
        <v>1.2950705093944493E-3</v>
      </c>
      <c r="D295" s="7">
        <f>(Table5345679103[[#This Row],[Value]]-B283)/B283</f>
        <v>4.411480997191914E-2</v>
      </c>
    </row>
    <row r="296" spans="1:4" x14ac:dyDescent="0.2">
      <c r="A296" s="36">
        <v>30407</v>
      </c>
      <c r="B296" s="37">
        <f>VLOOKUP(Table5345679103[[#This Row],[Date]],Database!A:E,MATCH($A$1,Database!$A$1:$E$1,),)</f>
        <v>48.930999999999997</v>
      </c>
      <c r="C296" s="9">
        <f t="shared" si="4"/>
        <v>4.5576792789832309E-3</v>
      </c>
      <c r="D296" s="7">
        <f>(Table5345679103[[#This Row],[Value]]-B284)/B284</f>
        <v>4.8334226031065887E-2</v>
      </c>
    </row>
    <row r="297" spans="1:4" x14ac:dyDescent="0.2">
      <c r="A297" s="36">
        <v>30437</v>
      </c>
      <c r="B297" s="37">
        <f>VLOOKUP(Table5345679103[[#This Row],[Date]],Database!A:E,MATCH($A$1,Database!$A$1:$E$1,),)</f>
        <v>49.07</v>
      </c>
      <c r="C297" s="9">
        <f t="shared" si="4"/>
        <v>2.8407349124277637E-3</v>
      </c>
      <c r="D297" s="7">
        <f>(Table5345679103[[#This Row],[Value]]-B285)/B285</f>
        <v>4.5132159059444947E-2</v>
      </c>
    </row>
    <row r="298" spans="1:4" x14ac:dyDescent="0.2">
      <c r="A298" s="36">
        <v>30468</v>
      </c>
      <c r="B298" s="37">
        <f>VLOOKUP(Table5345679103[[#This Row],[Date]],Database!A:E,MATCH($A$1,Database!$A$1:$E$1,),)</f>
        <v>49.253</v>
      </c>
      <c r="C298" s="9">
        <f t="shared" si="4"/>
        <v>3.729366211534539E-3</v>
      </c>
      <c r="D298" s="7">
        <f>(Table5345679103[[#This Row],[Value]]-B286)/B286</f>
        <v>4.1465787025289656E-2</v>
      </c>
    </row>
    <row r="299" spans="1:4" x14ac:dyDescent="0.2">
      <c r="A299" s="36">
        <v>30498</v>
      </c>
      <c r="B299" s="37">
        <f>VLOOKUP(Table5345679103[[#This Row],[Date]],Database!A:E,MATCH($A$1,Database!$A$1:$E$1,),)</f>
        <v>49.53</v>
      </c>
      <c r="C299" s="9">
        <f t="shared" si="4"/>
        <v>5.624022902158265E-3</v>
      </c>
      <c r="D299" s="7">
        <f>(Table5345679103[[#This Row],[Value]]-B287)/B287</f>
        <v>4.1158664760783621E-2</v>
      </c>
    </row>
    <row r="300" spans="1:4" x14ac:dyDescent="0.2">
      <c r="A300" s="36">
        <v>30529</v>
      </c>
      <c r="B300" s="37">
        <f>VLOOKUP(Table5345679103[[#This Row],[Date]],Database!A:E,MATCH($A$1,Database!$A$1:$E$1,),)</f>
        <v>49.743000000000002</v>
      </c>
      <c r="C300" s="9">
        <f t="shared" si="4"/>
        <v>4.3004239854633752E-3</v>
      </c>
      <c r="D300" s="7">
        <f>(Table5345679103[[#This Row],[Value]]-B288)/B288</f>
        <v>4.2393126571668133E-2</v>
      </c>
    </row>
    <row r="301" spans="1:4" x14ac:dyDescent="0.2">
      <c r="A301" s="36">
        <v>30560</v>
      </c>
      <c r="B301" s="37">
        <f>VLOOKUP(Table5345679103[[#This Row],[Date]],Database!A:E,MATCH($A$1,Database!$A$1:$E$1,),)</f>
        <v>49.915999999999997</v>
      </c>
      <c r="C301" s="9">
        <f t="shared" si="4"/>
        <v>3.4778762841001691E-3</v>
      </c>
      <c r="D301" s="7">
        <f>(Table5345679103[[#This Row],[Value]]-B289)/B289</f>
        <v>4.3132993396305282E-2</v>
      </c>
    </row>
    <row r="302" spans="1:4" x14ac:dyDescent="0.2">
      <c r="A302" s="36">
        <v>30590</v>
      </c>
      <c r="B302" s="37">
        <f>VLOOKUP(Table5345679103[[#This Row],[Date]],Database!A:E,MATCH($A$1,Database!$A$1:$E$1,),)</f>
        <v>50.002000000000002</v>
      </c>
      <c r="C302" s="9">
        <f t="shared" si="4"/>
        <v>1.7228944626974444E-3</v>
      </c>
      <c r="D302" s="7">
        <f>(Table5345679103[[#This Row],[Value]]-B290)/B290</f>
        <v>3.9088963238502944E-2</v>
      </c>
    </row>
    <row r="303" spans="1:4" x14ac:dyDescent="0.2">
      <c r="A303" s="36">
        <v>30621</v>
      </c>
      <c r="B303" s="37">
        <f>VLOOKUP(Table5345679103[[#This Row],[Date]],Database!A:E,MATCH($A$1,Database!$A$1:$E$1,),)</f>
        <v>50.072000000000003</v>
      </c>
      <c r="C303" s="9">
        <f t="shared" si="4"/>
        <v>1.3999440022399161E-3</v>
      </c>
      <c r="D303" s="7">
        <f>(Table5345679103[[#This Row],[Value]]-B291)/B291</f>
        <v>3.7439138091784979E-2</v>
      </c>
    </row>
    <row r="304" spans="1:4" x14ac:dyDescent="0.2">
      <c r="A304" s="36">
        <v>30651</v>
      </c>
      <c r="B304" s="37">
        <f>VLOOKUP(Table5345679103[[#This Row],[Date]],Database!A:E,MATCH($A$1,Database!$A$1:$E$1,),)</f>
        <v>50.1</v>
      </c>
      <c r="C304" s="9">
        <f t="shared" si="4"/>
        <v>5.5919475954622729E-4</v>
      </c>
      <c r="D304" s="7">
        <f>(Table5345679103[[#This Row],[Value]]-B292)/B292</f>
        <v>3.6451652943853705E-2</v>
      </c>
    </row>
    <row r="305" spans="1:4" x14ac:dyDescent="0.2">
      <c r="A305" s="36">
        <v>30682</v>
      </c>
      <c r="B305" s="37">
        <f>VLOOKUP(Table5345679103[[#This Row],[Date]],Database!A:E,MATCH($A$1,Database!$A$1:$E$1,),)</f>
        <v>50.317999999999998</v>
      </c>
      <c r="C305" s="9">
        <f t="shared" si="4"/>
        <v>4.3512974051895491E-3</v>
      </c>
      <c r="D305" s="7">
        <f>(Table5345679103[[#This Row],[Value]]-B293)/B293</f>
        <v>3.6117288526480475E-2</v>
      </c>
    </row>
    <row r="306" spans="1:4" x14ac:dyDescent="0.2">
      <c r="A306" s="36">
        <v>30713</v>
      </c>
      <c r="B306" s="37">
        <f>VLOOKUP(Table5345679103[[#This Row],[Date]],Database!A:E,MATCH($A$1,Database!$A$1:$E$1,),)</f>
        <v>50.655999999999999</v>
      </c>
      <c r="C306" s="9">
        <f t="shared" si="4"/>
        <v>6.7172781112127067E-3</v>
      </c>
      <c r="D306" s="7">
        <f>(Table5345679103[[#This Row],[Value]]-B294)/B294</f>
        <v>4.131891625210702E-2</v>
      </c>
    </row>
    <row r="307" spans="1:4" x14ac:dyDescent="0.2">
      <c r="A307" s="36">
        <v>30742</v>
      </c>
      <c r="B307" s="37">
        <f>VLOOKUP(Table5345679103[[#This Row],[Date]],Database!A:E,MATCH($A$1,Database!$A$1:$E$1,),)</f>
        <v>50.823</v>
      </c>
      <c r="C307" s="9">
        <f t="shared" si="4"/>
        <v>3.2967466835123497E-3</v>
      </c>
      <c r="D307" s="7">
        <f>(Table5345679103[[#This Row],[Value]]-B295)/B295</f>
        <v>4.3400603584553103E-2</v>
      </c>
    </row>
    <row r="308" spans="1:4" x14ac:dyDescent="0.2">
      <c r="A308" s="36">
        <v>30773</v>
      </c>
      <c r="B308" s="37">
        <f>VLOOKUP(Table5345679103[[#This Row],[Date]],Database!A:E,MATCH($A$1,Database!$A$1:$E$1,),)</f>
        <v>51.015999999999998</v>
      </c>
      <c r="C308" s="9">
        <f t="shared" si="4"/>
        <v>3.797493260925129E-3</v>
      </c>
      <c r="D308" s="7">
        <f>(Table5345679103[[#This Row],[Value]]-B296)/B296</f>
        <v>4.2611023686415582E-2</v>
      </c>
    </row>
    <row r="309" spans="1:4" x14ac:dyDescent="0.2">
      <c r="A309" s="36">
        <v>30803</v>
      </c>
      <c r="B309" s="37">
        <f>VLOOKUP(Table5345679103[[#This Row],[Date]],Database!A:E,MATCH($A$1,Database!$A$1:$E$1,),)</f>
        <v>51.08</v>
      </c>
      <c r="C309" s="9">
        <f t="shared" si="4"/>
        <v>1.254508389524856E-3</v>
      </c>
      <c r="D309" s="7">
        <f>(Table5345679103[[#This Row],[Value]]-B297)/B297</f>
        <v>4.0961891175871165E-2</v>
      </c>
    </row>
    <row r="310" spans="1:4" x14ac:dyDescent="0.2">
      <c r="A310" s="36">
        <v>30834</v>
      </c>
      <c r="B310" s="37">
        <f>VLOOKUP(Table5345679103[[#This Row],[Date]],Database!A:E,MATCH($A$1,Database!$A$1:$E$1,),)</f>
        <v>51.170999999999999</v>
      </c>
      <c r="C310" s="9">
        <f t="shared" si="4"/>
        <v>1.7815191855912506E-3</v>
      </c>
      <c r="D310" s="7">
        <f>(Table5345679103[[#This Row],[Value]]-B298)/B298</f>
        <v>3.894179034779606E-2</v>
      </c>
    </row>
    <row r="311" spans="1:4" x14ac:dyDescent="0.2">
      <c r="A311" s="36">
        <v>30864</v>
      </c>
      <c r="B311" s="37">
        <f>VLOOKUP(Table5345679103[[#This Row],[Date]],Database!A:E,MATCH($A$1,Database!$A$1:$E$1,),)</f>
        <v>51.353999999999999</v>
      </c>
      <c r="C311" s="9">
        <f t="shared" si="4"/>
        <v>3.5762443571554169E-3</v>
      </c>
      <c r="D311" s="7">
        <f>(Table5345679103[[#This Row],[Value]]-B299)/B299</f>
        <v>3.6826165960024186E-2</v>
      </c>
    </row>
    <row r="312" spans="1:4" x14ac:dyDescent="0.2">
      <c r="A312" s="36">
        <v>30895</v>
      </c>
      <c r="B312" s="37">
        <f>VLOOKUP(Table5345679103[[#This Row],[Date]],Database!A:E,MATCH($A$1,Database!$A$1:$E$1,),)</f>
        <v>51.512</v>
      </c>
      <c r="C312" s="9">
        <f t="shared" si="4"/>
        <v>3.076683413171345E-3</v>
      </c>
      <c r="D312" s="7">
        <f>(Table5345679103[[#This Row],[Value]]-B300)/B300</f>
        <v>3.5562792754759431E-2</v>
      </c>
    </row>
    <row r="313" spans="1:4" x14ac:dyDescent="0.2">
      <c r="A313" s="36">
        <v>30926</v>
      </c>
      <c r="B313" s="37">
        <f>VLOOKUP(Table5345679103[[#This Row],[Date]],Database!A:E,MATCH($A$1,Database!$A$1:$E$1,),)</f>
        <v>51.582000000000001</v>
      </c>
      <c r="C313" s="9">
        <f t="shared" si="4"/>
        <v>1.3589066625252424E-3</v>
      </c>
      <c r="D313" s="7">
        <f>(Table5345679103[[#This Row],[Value]]-B301)/B301</f>
        <v>3.3376071800625129E-2</v>
      </c>
    </row>
    <row r="314" spans="1:4" x14ac:dyDescent="0.2">
      <c r="A314" s="36">
        <v>30956</v>
      </c>
      <c r="B314" s="37">
        <f>VLOOKUP(Table5345679103[[#This Row],[Date]],Database!A:E,MATCH($A$1,Database!$A$1:$E$1,),)</f>
        <v>51.704000000000001</v>
      </c>
      <c r="C314" s="9">
        <f t="shared" si="4"/>
        <v>2.3651661432282558E-3</v>
      </c>
      <c r="D314" s="7">
        <f>(Table5345679103[[#This Row],[Value]]-B302)/B302</f>
        <v>3.4038638454461784E-2</v>
      </c>
    </row>
    <row r="315" spans="1:4" x14ac:dyDescent="0.2">
      <c r="A315" s="36">
        <v>30987</v>
      </c>
      <c r="B315" s="37">
        <f>VLOOKUP(Table5345679103[[#This Row],[Date]],Database!A:E,MATCH($A$1,Database!$A$1:$E$1,),)</f>
        <v>51.776000000000003</v>
      </c>
      <c r="C315" s="9">
        <f t="shared" si="4"/>
        <v>1.3925421630822128E-3</v>
      </c>
      <c r="D315" s="7">
        <f>(Table5345679103[[#This Row],[Value]]-B303)/B303</f>
        <v>3.4030995366672E-2</v>
      </c>
    </row>
    <row r="316" spans="1:4" x14ac:dyDescent="0.2">
      <c r="A316" s="36">
        <v>31017</v>
      </c>
      <c r="B316" s="37">
        <f>VLOOKUP(Table5345679103[[#This Row],[Date]],Database!A:E,MATCH($A$1,Database!$A$1:$E$1,),)</f>
        <v>51.921999999999997</v>
      </c>
      <c r="C316" s="9">
        <f t="shared" si="4"/>
        <v>2.8198393077872698E-3</v>
      </c>
      <c r="D316" s="7">
        <f>(Table5345679103[[#This Row],[Value]]-B304)/B304</f>
        <v>3.6367265469061785E-2</v>
      </c>
    </row>
    <row r="317" spans="1:4" x14ac:dyDescent="0.2">
      <c r="A317" s="36">
        <v>31048</v>
      </c>
      <c r="B317" s="37">
        <f>VLOOKUP(Table5345679103[[#This Row],[Date]],Database!A:E,MATCH($A$1,Database!$A$1:$E$1,),)</f>
        <v>52.182000000000002</v>
      </c>
      <c r="C317" s="9">
        <f t="shared" si="4"/>
        <v>5.0075112669004497E-3</v>
      </c>
      <c r="D317" s="7">
        <f>(Table5345679103[[#This Row],[Value]]-B305)/B305</f>
        <v>3.7044397631066504E-2</v>
      </c>
    </row>
    <row r="318" spans="1:4" x14ac:dyDescent="0.2">
      <c r="A318" s="36">
        <v>31079</v>
      </c>
      <c r="B318" s="37">
        <f>VLOOKUP(Table5345679103[[#This Row],[Date]],Database!A:E,MATCH($A$1,Database!$A$1:$E$1,),)</f>
        <v>52.423999999999999</v>
      </c>
      <c r="C318" s="9">
        <f t="shared" si="4"/>
        <v>4.6376145030853034E-3</v>
      </c>
      <c r="D318" s="7">
        <f>(Table5345679103[[#This Row],[Value]]-B306)/B306</f>
        <v>3.4902084649399888E-2</v>
      </c>
    </row>
    <row r="319" spans="1:4" x14ac:dyDescent="0.2">
      <c r="A319" s="36">
        <v>31107</v>
      </c>
      <c r="B319" s="37">
        <f>VLOOKUP(Table5345679103[[#This Row],[Date]],Database!A:E,MATCH($A$1,Database!$A$1:$E$1,),)</f>
        <v>52.628999999999998</v>
      </c>
      <c r="C319" s="9">
        <f t="shared" si="4"/>
        <v>3.9104227071569946E-3</v>
      </c>
      <c r="D319" s="7">
        <f>(Table5345679103[[#This Row],[Value]]-B307)/B307</f>
        <v>3.5535092379434453E-2</v>
      </c>
    </row>
    <row r="320" spans="1:4" x14ac:dyDescent="0.2">
      <c r="A320" s="36">
        <v>31138</v>
      </c>
      <c r="B320" s="37">
        <f>VLOOKUP(Table5345679103[[#This Row],[Date]],Database!A:E,MATCH($A$1,Database!$A$1:$E$1,),)</f>
        <v>52.706000000000003</v>
      </c>
      <c r="C320" s="9">
        <f t="shared" si="4"/>
        <v>1.4630716905129357E-3</v>
      </c>
      <c r="D320" s="7">
        <f>(Table5345679103[[#This Row],[Value]]-B308)/B308</f>
        <v>3.3126862160890794E-2</v>
      </c>
    </row>
    <row r="321" spans="1:4" x14ac:dyDescent="0.2">
      <c r="A321" s="36">
        <v>31168</v>
      </c>
      <c r="B321" s="37">
        <f>VLOOKUP(Table5345679103[[#This Row],[Date]],Database!A:E,MATCH($A$1,Database!$A$1:$E$1,),)</f>
        <v>52.831000000000003</v>
      </c>
      <c r="C321" s="9">
        <f t="shared" si="4"/>
        <v>2.3716464918605092E-3</v>
      </c>
      <c r="D321" s="7">
        <f>(Table5345679103[[#This Row],[Value]]-B309)/B309</f>
        <v>3.4279561472200563E-2</v>
      </c>
    </row>
    <row r="322" spans="1:4" x14ac:dyDescent="0.2">
      <c r="A322" s="36">
        <v>31199</v>
      </c>
      <c r="B322" s="37">
        <f>VLOOKUP(Table5345679103[[#This Row],[Date]],Database!A:E,MATCH($A$1,Database!$A$1:$E$1,),)</f>
        <v>52.973999999999997</v>
      </c>
      <c r="C322" s="9">
        <f t="shared" si="4"/>
        <v>2.7067441464290582E-3</v>
      </c>
      <c r="D322" s="7">
        <f>(Table5345679103[[#This Row],[Value]]-B310)/B310</f>
        <v>3.5234800961482036E-2</v>
      </c>
    </row>
    <row r="323" spans="1:4" x14ac:dyDescent="0.2">
      <c r="A323" s="36">
        <v>31229</v>
      </c>
      <c r="B323" s="37">
        <f>VLOOKUP(Table5345679103[[#This Row],[Date]],Database!A:E,MATCH($A$1,Database!$A$1:$E$1,),)</f>
        <v>53.103999999999999</v>
      </c>
      <c r="C323" s="9">
        <f t="shared" si="4"/>
        <v>2.4540340544418502E-3</v>
      </c>
      <c r="D323" s="7">
        <f>(Table5345679103[[#This Row],[Value]]-B311)/B311</f>
        <v>3.4077189702846906E-2</v>
      </c>
    </row>
    <row r="324" spans="1:4" x14ac:dyDescent="0.2">
      <c r="A324" s="36">
        <v>31260</v>
      </c>
      <c r="B324" s="37">
        <f>VLOOKUP(Table5345679103[[#This Row],[Date]],Database!A:E,MATCH($A$1,Database!$A$1:$E$1,),)</f>
        <v>53.28</v>
      </c>
      <c r="C324" s="9">
        <f t="shared" si="4"/>
        <v>3.3142512805062131E-3</v>
      </c>
      <c r="D324" s="7">
        <f>(Table5345679103[[#This Row],[Value]]-B312)/B312</f>
        <v>3.4322099704923135E-2</v>
      </c>
    </row>
    <row r="325" spans="1:4" x14ac:dyDescent="0.2">
      <c r="A325" s="36">
        <v>31291</v>
      </c>
      <c r="B325" s="37">
        <f>VLOOKUP(Table5345679103[[#This Row],[Date]],Database!A:E,MATCH($A$1,Database!$A$1:$E$1,),)</f>
        <v>53.37</v>
      </c>
      <c r="C325" s="9">
        <f t="shared" si="4"/>
        <v>1.6891891891891199E-3</v>
      </c>
      <c r="D325" s="7">
        <f>(Table5345679103[[#This Row],[Value]]-B313)/B313</f>
        <v>3.4663254623705876E-2</v>
      </c>
    </row>
    <row r="326" spans="1:4" x14ac:dyDescent="0.2">
      <c r="A326" s="36">
        <v>31321</v>
      </c>
      <c r="B326" s="37">
        <f>VLOOKUP(Table5345679103[[#This Row],[Date]],Database!A:E,MATCH($A$1,Database!$A$1:$E$1,),)</f>
        <v>53.459000000000003</v>
      </c>
      <c r="C326" s="9">
        <f t="shared" ref="C326:C389" si="5">(B326-B325)/B325</f>
        <v>1.6676035225783351E-3</v>
      </c>
      <c r="D326" s="7">
        <f>(Table5345679103[[#This Row],[Value]]-B314)/B314</f>
        <v>3.39432152251277E-2</v>
      </c>
    </row>
    <row r="327" spans="1:4" x14ac:dyDescent="0.2">
      <c r="A327" s="36">
        <v>31352</v>
      </c>
      <c r="B327" s="37">
        <f>VLOOKUP(Table5345679103[[#This Row],[Date]],Database!A:E,MATCH($A$1,Database!$A$1:$E$1,),)</f>
        <v>53.613999999999997</v>
      </c>
      <c r="C327" s="9">
        <f t="shared" si="5"/>
        <v>2.8994182457583199E-3</v>
      </c>
      <c r="D327" s="7">
        <f>(Table5345679103[[#This Row],[Value]]-B315)/B315</f>
        <v>3.5499072929542526E-2</v>
      </c>
    </row>
    <row r="328" spans="1:4" x14ac:dyDescent="0.2">
      <c r="A328" s="36">
        <v>31382</v>
      </c>
      <c r="B328" s="37">
        <f>VLOOKUP(Table5345679103[[#This Row],[Date]],Database!A:E,MATCH($A$1,Database!$A$1:$E$1,),)</f>
        <v>53.795000000000002</v>
      </c>
      <c r="C328" s="9">
        <f t="shared" si="5"/>
        <v>3.3759838848062911E-3</v>
      </c>
      <c r="D328" s="7">
        <f>(Table5345679103[[#This Row],[Value]]-B316)/B316</f>
        <v>3.6073340780401461E-2</v>
      </c>
    </row>
    <row r="329" spans="1:4" x14ac:dyDescent="0.2">
      <c r="A329" s="36">
        <v>31413</v>
      </c>
      <c r="B329" s="37">
        <f>VLOOKUP(Table5345679103[[#This Row],[Date]],Database!A:E,MATCH($A$1,Database!$A$1:$E$1,),)</f>
        <v>54.042000000000002</v>
      </c>
      <c r="C329" s="9">
        <f t="shared" si="5"/>
        <v>4.591504786690211E-3</v>
      </c>
      <c r="D329" s="7">
        <f>(Table5345679103[[#This Row],[Value]]-B317)/B317</f>
        <v>3.56444751063585E-2</v>
      </c>
    </row>
    <row r="330" spans="1:4" x14ac:dyDescent="0.2">
      <c r="A330" s="36">
        <v>31444</v>
      </c>
      <c r="B330" s="37">
        <f>VLOOKUP(Table5345679103[[#This Row],[Date]],Database!A:E,MATCH($A$1,Database!$A$1:$E$1,),)</f>
        <v>54.042000000000002</v>
      </c>
      <c r="C330" s="9">
        <f t="shared" si="5"/>
        <v>0</v>
      </c>
      <c r="D330" s="7">
        <f>(Table5345679103[[#This Row],[Value]]-B318)/B318</f>
        <v>3.0863726537463797E-2</v>
      </c>
    </row>
    <row r="331" spans="1:4" x14ac:dyDescent="0.2">
      <c r="A331" s="36">
        <v>31472</v>
      </c>
      <c r="B331" s="37">
        <f>VLOOKUP(Table5345679103[[#This Row],[Date]],Database!A:E,MATCH($A$1,Database!$A$1:$E$1,),)</f>
        <v>53.923999999999999</v>
      </c>
      <c r="C331" s="9">
        <f t="shared" si="5"/>
        <v>-2.1834869175826597E-3</v>
      </c>
      <c r="D331" s="7">
        <f>(Table5345679103[[#This Row],[Value]]-B319)/B319</f>
        <v>2.4606205704079533E-2</v>
      </c>
    </row>
    <row r="332" spans="1:4" x14ac:dyDescent="0.2">
      <c r="A332" s="36">
        <v>31503</v>
      </c>
      <c r="B332" s="37">
        <f>VLOOKUP(Table5345679103[[#This Row],[Date]],Database!A:E,MATCH($A$1,Database!$A$1:$E$1,),)</f>
        <v>53.813000000000002</v>
      </c>
      <c r="C332" s="9">
        <f t="shared" si="5"/>
        <v>-2.0584526370446758E-3</v>
      </c>
      <c r="D332" s="7">
        <f>(Table5345679103[[#This Row],[Value]]-B320)/B320</f>
        <v>2.1003301331916656E-2</v>
      </c>
    </row>
    <row r="333" spans="1:4" x14ac:dyDescent="0.2">
      <c r="A333" s="36">
        <v>31533</v>
      </c>
      <c r="B333" s="37">
        <f>VLOOKUP(Table5345679103[[#This Row],[Date]],Database!A:E,MATCH($A$1,Database!$A$1:$E$1,),)</f>
        <v>53.911999999999999</v>
      </c>
      <c r="C333" s="9">
        <f t="shared" si="5"/>
        <v>1.8397041607046E-3</v>
      </c>
      <c r="D333" s="7">
        <f>(Table5345679103[[#This Row],[Value]]-B321)/B321</f>
        <v>2.0461471484544982E-2</v>
      </c>
    </row>
    <row r="334" spans="1:4" x14ac:dyDescent="0.2">
      <c r="A334" s="36">
        <v>31564</v>
      </c>
      <c r="B334" s="37">
        <f>VLOOKUP(Table5345679103[[#This Row],[Date]],Database!A:E,MATCH($A$1,Database!$A$1:$E$1,),)</f>
        <v>54.112000000000002</v>
      </c>
      <c r="C334" s="9">
        <f t="shared" si="5"/>
        <v>3.7097492209527162E-3</v>
      </c>
      <c r="D334" s="7">
        <f>(Table5345679103[[#This Row],[Value]]-B322)/B322</f>
        <v>2.1482236568882949E-2</v>
      </c>
    </row>
    <row r="335" spans="1:4" x14ac:dyDescent="0.2">
      <c r="A335" s="36">
        <v>31594</v>
      </c>
      <c r="B335" s="37">
        <f>VLOOKUP(Table5345679103[[#This Row],[Date]],Database!A:E,MATCH($A$1,Database!$A$1:$E$1,),)</f>
        <v>54.125999999999998</v>
      </c>
      <c r="C335" s="9">
        <f t="shared" si="5"/>
        <v>2.5872264931985127E-4</v>
      </c>
      <c r="D335" s="7">
        <f>(Table5345679103[[#This Row],[Value]]-B323)/B323</f>
        <v>1.9245254594757427E-2</v>
      </c>
    </row>
    <row r="336" spans="1:4" x14ac:dyDescent="0.2">
      <c r="A336" s="36">
        <v>31625</v>
      </c>
      <c r="B336" s="37">
        <f>VLOOKUP(Table5345679103[[#This Row],[Date]],Database!A:E,MATCH($A$1,Database!$A$1:$E$1,),)</f>
        <v>54.194000000000003</v>
      </c>
      <c r="C336" s="9">
        <f t="shared" si="5"/>
        <v>1.2563278276614741E-3</v>
      </c>
      <c r="D336" s="7">
        <f>(Table5345679103[[#This Row],[Value]]-B324)/B324</f>
        <v>1.7154654654654683E-2</v>
      </c>
    </row>
    <row r="337" spans="1:4" x14ac:dyDescent="0.2">
      <c r="A337" s="36">
        <v>31656</v>
      </c>
      <c r="B337" s="37">
        <f>VLOOKUP(Table5345679103[[#This Row],[Date]],Database!A:E,MATCH($A$1,Database!$A$1:$E$1,),)</f>
        <v>54.371000000000002</v>
      </c>
      <c r="C337" s="9">
        <f t="shared" si="5"/>
        <v>3.266044211536325E-3</v>
      </c>
      <c r="D337" s="7">
        <f>(Table5345679103[[#This Row],[Value]]-B325)/B325</f>
        <v>1.8755855349447344E-2</v>
      </c>
    </row>
    <row r="338" spans="1:4" x14ac:dyDescent="0.2">
      <c r="A338" s="36">
        <v>31686</v>
      </c>
      <c r="B338" s="37">
        <f>VLOOKUP(Table5345679103[[#This Row],[Date]],Database!A:E,MATCH($A$1,Database!$A$1:$E$1,),)</f>
        <v>54.469000000000001</v>
      </c>
      <c r="C338" s="9">
        <f t="shared" si="5"/>
        <v>1.8024314432325867E-3</v>
      </c>
      <c r="D338" s="7">
        <f>(Table5345679103[[#This Row],[Value]]-B326)/B326</f>
        <v>1.8892983407845225E-2</v>
      </c>
    </row>
    <row r="339" spans="1:4" x14ac:dyDescent="0.2">
      <c r="A339" s="36">
        <v>31717</v>
      </c>
      <c r="B339" s="37">
        <f>VLOOKUP(Table5345679103[[#This Row],[Date]],Database!A:E,MATCH($A$1,Database!$A$1:$E$1,),)</f>
        <v>54.566000000000003</v>
      </c>
      <c r="C339" s="9">
        <f t="shared" si="5"/>
        <v>1.7808294626301439E-3</v>
      </c>
      <c r="D339" s="7">
        <f>(Table5345679103[[#This Row],[Value]]-B327)/B327</f>
        <v>1.7756556123400703E-2</v>
      </c>
    </row>
    <row r="340" spans="1:4" x14ac:dyDescent="0.2">
      <c r="A340" s="36">
        <v>31747</v>
      </c>
      <c r="B340" s="37">
        <f>VLOOKUP(Table5345679103[[#This Row],[Date]],Database!A:E,MATCH($A$1,Database!$A$1:$E$1,),)</f>
        <v>54.64</v>
      </c>
      <c r="C340" s="9">
        <f t="shared" si="5"/>
        <v>1.356155847963898E-3</v>
      </c>
      <c r="D340" s="7">
        <f>(Table5345679103[[#This Row],[Value]]-B328)/B328</f>
        <v>1.5707779533413863E-2</v>
      </c>
    </row>
    <row r="341" spans="1:4" x14ac:dyDescent="0.2">
      <c r="A341" s="36">
        <v>31778</v>
      </c>
      <c r="B341" s="37">
        <f>VLOOKUP(Table5345679103[[#This Row],[Date]],Database!A:E,MATCH($A$1,Database!$A$1:$E$1,),)</f>
        <v>54.895000000000003</v>
      </c>
      <c r="C341" s="9">
        <f t="shared" si="5"/>
        <v>4.6669106881406033E-3</v>
      </c>
      <c r="D341" s="7">
        <f>(Table5345679103[[#This Row],[Value]]-B329)/B329</f>
        <v>1.5784019836423552E-2</v>
      </c>
    </row>
    <row r="342" spans="1:4" x14ac:dyDescent="0.2">
      <c r="A342" s="36">
        <v>31809</v>
      </c>
      <c r="B342" s="37">
        <f>VLOOKUP(Table5345679103[[#This Row],[Date]],Database!A:E,MATCH($A$1,Database!$A$1:$E$1,),)</f>
        <v>55.088000000000001</v>
      </c>
      <c r="C342" s="9">
        <f t="shared" si="5"/>
        <v>3.5158028964386162E-3</v>
      </c>
      <c r="D342" s="7">
        <f>(Table5345679103[[#This Row],[Value]]-B330)/B330</f>
        <v>1.935531623552051E-2</v>
      </c>
    </row>
    <row r="343" spans="1:4" x14ac:dyDescent="0.2">
      <c r="A343" s="36">
        <v>31837</v>
      </c>
      <c r="B343" s="37">
        <f>VLOOKUP(Table5345679103[[#This Row],[Date]],Database!A:E,MATCH($A$1,Database!$A$1:$E$1,),)</f>
        <v>55.232999999999997</v>
      </c>
      <c r="C343" s="9">
        <f t="shared" si="5"/>
        <v>2.6321521928549959E-3</v>
      </c>
      <c r="D343" s="7">
        <f>(Table5345679103[[#This Row],[Value]]-B331)/B331</f>
        <v>2.4274905422446359E-2</v>
      </c>
    </row>
    <row r="344" spans="1:4" x14ac:dyDescent="0.2">
      <c r="A344" s="36">
        <v>31868</v>
      </c>
      <c r="B344" s="37">
        <f>VLOOKUP(Table5345679103[[#This Row],[Date]],Database!A:E,MATCH($A$1,Database!$A$1:$E$1,),)</f>
        <v>55.439</v>
      </c>
      <c r="C344" s="9">
        <f t="shared" si="5"/>
        <v>3.7296543732913854E-3</v>
      </c>
      <c r="D344" s="7">
        <f>(Table5345679103[[#This Row],[Value]]-B332)/B332</f>
        <v>3.0215747124300776E-2</v>
      </c>
    </row>
    <row r="345" spans="1:4" x14ac:dyDescent="0.2">
      <c r="A345" s="36">
        <v>31898</v>
      </c>
      <c r="B345" s="37">
        <f>VLOOKUP(Table5345679103[[#This Row],[Date]],Database!A:E,MATCH($A$1,Database!$A$1:$E$1,),)</f>
        <v>55.58</v>
      </c>
      <c r="C345" s="9">
        <f t="shared" si="5"/>
        <v>2.5433359187575218E-3</v>
      </c>
      <c r="D345" s="7">
        <f>(Table5345679103[[#This Row],[Value]]-B333)/B333</f>
        <v>3.0939308502745202E-2</v>
      </c>
    </row>
    <row r="346" spans="1:4" x14ac:dyDescent="0.2">
      <c r="A346" s="36">
        <v>31929</v>
      </c>
      <c r="B346" s="37">
        <f>VLOOKUP(Table5345679103[[#This Row],[Date]],Database!A:E,MATCH($A$1,Database!$A$1:$E$1,),)</f>
        <v>55.790999999999997</v>
      </c>
      <c r="C346" s="9">
        <f t="shared" si="5"/>
        <v>3.7963296149693868E-3</v>
      </c>
      <c r="D346" s="7">
        <f>(Table5345679103[[#This Row],[Value]]-B334)/B334</f>
        <v>3.1028237729154251E-2</v>
      </c>
    </row>
    <row r="347" spans="1:4" x14ac:dyDescent="0.2">
      <c r="A347" s="36">
        <v>31959</v>
      </c>
      <c r="B347" s="37">
        <f>VLOOKUP(Table5345679103[[#This Row],[Date]],Database!A:E,MATCH($A$1,Database!$A$1:$E$1,),)</f>
        <v>55.918999999999997</v>
      </c>
      <c r="C347" s="9">
        <f t="shared" si="5"/>
        <v>2.2942768546898268E-3</v>
      </c>
      <c r="D347" s="7">
        <f>(Table5345679103[[#This Row],[Value]]-B335)/B335</f>
        <v>3.3126408749953797E-2</v>
      </c>
    </row>
    <row r="348" spans="1:4" x14ac:dyDescent="0.2">
      <c r="A348" s="36">
        <v>31990</v>
      </c>
      <c r="B348" s="37">
        <f>VLOOKUP(Table5345679103[[#This Row],[Date]],Database!A:E,MATCH($A$1,Database!$A$1:$E$1,),)</f>
        <v>56.14</v>
      </c>
      <c r="C348" s="9">
        <f t="shared" si="5"/>
        <v>3.9521450669719356E-3</v>
      </c>
      <c r="D348" s="7">
        <f>(Table5345679103[[#This Row],[Value]]-B336)/B336</f>
        <v>3.5908034099715797E-2</v>
      </c>
    </row>
    <row r="349" spans="1:4" x14ac:dyDescent="0.2">
      <c r="A349" s="36">
        <v>32021</v>
      </c>
      <c r="B349" s="37">
        <f>VLOOKUP(Table5345679103[[#This Row],[Date]],Database!A:E,MATCH($A$1,Database!$A$1:$E$1,),)</f>
        <v>56.329000000000001</v>
      </c>
      <c r="C349" s="9">
        <f t="shared" si="5"/>
        <v>3.366583541147133E-3</v>
      </c>
      <c r="D349" s="7">
        <f>(Table5345679103[[#This Row],[Value]]-B337)/B337</f>
        <v>3.6011844549484071E-2</v>
      </c>
    </row>
    <row r="350" spans="1:4" x14ac:dyDescent="0.2">
      <c r="A350" s="36">
        <v>32051</v>
      </c>
      <c r="B350" s="37">
        <f>VLOOKUP(Table5345679103[[#This Row],[Date]],Database!A:E,MATCH($A$1,Database!$A$1:$E$1,),)</f>
        <v>56.508000000000003</v>
      </c>
      <c r="C350" s="9">
        <f t="shared" si="5"/>
        <v>3.1777592359175919E-3</v>
      </c>
      <c r="D350" s="7">
        <f>(Table5345679103[[#This Row],[Value]]-B338)/B338</f>
        <v>3.7434136848482652E-2</v>
      </c>
    </row>
    <row r="351" spans="1:4" x14ac:dyDescent="0.2">
      <c r="A351" s="36">
        <v>32082</v>
      </c>
      <c r="B351" s="37">
        <f>VLOOKUP(Table5345679103[[#This Row],[Date]],Database!A:E,MATCH($A$1,Database!$A$1:$E$1,),)</f>
        <v>56.616</v>
      </c>
      <c r="C351" s="9">
        <f t="shared" si="5"/>
        <v>1.9112338076024099E-3</v>
      </c>
      <c r="D351" s="7">
        <f>(Table5345679103[[#This Row],[Value]]-B339)/B339</f>
        <v>3.7569182274676483E-2</v>
      </c>
    </row>
    <row r="352" spans="1:4" x14ac:dyDescent="0.2">
      <c r="A352" s="36">
        <v>32112</v>
      </c>
      <c r="B352" s="37">
        <f>VLOOKUP(Table5345679103[[#This Row],[Date]],Database!A:E,MATCH($A$1,Database!$A$1:$E$1,),)</f>
        <v>56.72</v>
      </c>
      <c r="C352" s="9">
        <f t="shared" si="5"/>
        <v>1.8369365550374311E-3</v>
      </c>
      <c r="D352" s="7">
        <f>(Table5345679103[[#This Row],[Value]]-B340)/B340</f>
        <v>3.8067349926793524E-2</v>
      </c>
    </row>
    <row r="353" spans="1:4" x14ac:dyDescent="0.2">
      <c r="A353" s="36">
        <v>32143</v>
      </c>
      <c r="B353" s="37">
        <f>VLOOKUP(Table5345679103[[#This Row],[Date]],Database!A:E,MATCH($A$1,Database!$A$1:$E$1,),)</f>
        <v>56.941000000000003</v>
      </c>
      <c r="C353" s="9">
        <f t="shared" si="5"/>
        <v>3.8963328631876522E-3</v>
      </c>
      <c r="D353" s="7">
        <f>(Table5345679103[[#This Row],[Value]]-B341)/B341</f>
        <v>3.7271154021313403E-2</v>
      </c>
    </row>
    <row r="354" spans="1:4" x14ac:dyDescent="0.2">
      <c r="A354" s="36">
        <v>32174</v>
      </c>
      <c r="B354" s="37">
        <f>VLOOKUP(Table5345679103[[#This Row],[Date]],Database!A:E,MATCH($A$1,Database!$A$1:$E$1,),)</f>
        <v>57.024000000000001</v>
      </c>
      <c r="C354" s="9">
        <f t="shared" si="5"/>
        <v>1.4576491456068281E-3</v>
      </c>
      <c r="D354" s="7">
        <f>(Table5345679103[[#This Row],[Value]]-B342)/B342</f>
        <v>3.5143769968051117E-2</v>
      </c>
    </row>
    <row r="355" spans="1:4" x14ac:dyDescent="0.2">
      <c r="A355" s="36">
        <v>32203</v>
      </c>
      <c r="B355" s="37">
        <f>VLOOKUP(Table5345679103[[#This Row],[Date]],Database!A:E,MATCH($A$1,Database!$A$1:$E$1,),)</f>
        <v>57.220999999999997</v>
      </c>
      <c r="C355" s="9">
        <f t="shared" si="5"/>
        <v>3.4546857463523361E-3</v>
      </c>
      <c r="D355" s="7">
        <f>(Table5345679103[[#This Row],[Value]]-B343)/B343</f>
        <v>3.5992975214093018E-2</v>
      </c>
    </row>
    <row r="356" spans="1:4" x14ac:dyDescent="0.2">
      <c r="A356" s="36">
        <v>32234</v>
      </c>
      <c r="B356" s="37">
        <f>VLOOKUP(Table5345679103[[#This Row],[Date]],Database!A:E,MATCH($A$1,Database!$A$1:$E$1,),)</f>
        <v>57.499000000000002</v>
      </c>
      <c r="C356" s="9">
        <f t="shared" si="5"/>
        <v>4.858356197899474E-3</v>
      </c>
      <c r="D356" s="7">
        <f>(Table5345679103[[#This Row],[Value]]-B344)/B344</f>
        <v>3.7157957394613944E-2</v>
      </c>
    </row>
    <row r="357" spans="1:4" x14ac:dyDescent="0.2">
      <c r="A357" s="36">
        <v>32264</v>
      </c>
      <c r="B357" s="37">
        <f>VLOOKUP(Table5345679103[[#This Row],[Date]],Database!A:E,MATCH($A$1,Database!$A$1:$E$1,),)</f>
        <v>57.665999999999997</v>
      </c>
      <c r="C357" s="9">
        <f t="shared" si="5"/>
        <v>2.9043983373622929E-3</v>
      </c>
      <c r="D357" s="7">
        <f>(Table5345679103[[#This Row],[Value]]-B345)/B345</f>
        <v>3.7531486146095694E-2</v>
      </c>
    </row>
    <row r="358" spans="1:4" x14ac:dyDescent="0.2">
      <c r="A358" s="36">
        <v>32295</v>
      </c>
      <c r="B358" s="37">
        <f>VLOOKUP(Table5345679103[[#This Row],[Date]],Database!A:E,MATCH($A$1,Database!$A$1:$E$1,),)</f>
        <v>57.911999999999999</v>
      </c>
      <c r="C358" s="9">
        <f t="shared" si="5"/>
        <v>4.2659452710436347E-3</v>
      </c>
      <c r="D358" s="7">
        <f>(Table5345679103[[#This Row],[Value]]-B346)/B346</f>
        <v>3.8016884443727528E-2</v>
      </c>
    </row>
    <row r="359" spans="1:4" x14ac:dyDescent="0.2">
      <c r="A359" s="36">
        <v>32325</v>
      </c>
      <c r="B359" s="37">
        <f>VLOOKUP(Table5345679103[[#This Row],[Date]],Database!A:E,MATCH($A$1,Database!$A$1:$E$1,),)</f>
        <v>58.192999999999998</v>
      </c>
      <c r="C359" s="9">
        <f t="shared" si="5"/>
        <v>4.8521895289404407E-3</v>
      </c>
      <c r="D359" s="7">
        <f>(Table5345679103[[#This Row],[Value]]-B347)/B347</f>
        <v>4.0665963268298806E-2</v>
      </c>
    </row>
    <row r="360" spans="1:4" x14ac:dyDescent="0.2">
      <c r="A360" s="36">
        <v>32356</v>
      </c>
      <c r="B360" s="37">
        <f>VLOOKUP(Table5345679103[[#This Row],[Date]],Database!A:E,MATCH($A$1,Database!$A$1:$E$1,),)</f>
        <v>58.366</v>
      </c>
      <c r="C360" s="9">
        <f t="shared" si="5"/>
        <v>2.972866152286389E-3</v>
      </c>
      <c r="D360" s="7">
        <f>(Table5345679103[[#This Row],[Value]]-B348)/B348</f>
        <v>3.9650872817955096E-2</v>
      </c>
    </row>
    <row r="361" spans="1:4" x14ac:dyDescent="0.2">
      <c r="A361" s="36">
        <v>32387</v>
      </c>
      <c r="B361" s="37">
        <f>VLOOKUP(Table5345679103[[#This Row],[Date]],Database!A:E,MATCH($A$1,Database!$A$1:$E$1,),)</f>
        <v>58.65</v>
      </c>
      <c r="C361" s="9">
        <f t="shared" si="5"/>
        <v>4.8658465545008897E-3</v>
      </c>
      <c r="D361" s="7">
        <f>(Table5345679103[[#This Row],[Value]]-B349)/B349</f>
        <v>4.1204352997567827E-2</v>
      </c>
    </row>
    <row r="362" spans="1:4" x14ac:dyDescent="0.2">
      <c r="A362" s="36">
        <v>32417</v>
      </c>
      <c r="B362" s="37">
        <f>VLOOKUP(Table5345679103[[#This Row],[Date]],Database!A:E,MATCH($A$1,Database!$A$1:$E$1,),)</f>
        <v>58.841000000000001</v>
      </c>
      <c r="C362" s="9">
        <f t="shared" si="5"/>
        <v>3.2566069906223788E-3</v>
      </c>
      <c r="D362" s="7">
        <f>(Table5345679103[[#This Row],[Value]]-B350)/B350</f>
        <v>4.1286189566079108E-2</v>
      </c>
    </row>
    <row r="363" spans="1:4" x14ac:dyDescent="0.2">
      <c r="A363" s="36">
        <v>32448</v>
      </c>
      <c r="B363" s="37">
        <f>VLOOKUP(Table5345679103[[#This Row],[Date]],Database!A:E,MATCH($A$1,Database!$A$1:$E$1,),)</f>
        <v>58.978000000000002</v>
      </c>
      <c r="C363" s="9">
        <f t="shared" si="5"/>
        <v>2.3283084923777717E-3</v>
      </c>
      <c r="D363" s="7">
        <f>(Table5345679103[[#This Row],[Value]]-B351)/B351</f>
        <v>4.1719655221138935E-2</v>
      </c>
    </row>
    <row r="364" spans="1:4" x14ac:dyDescent="0.2">
      <c r="A364" s="36">
        <v>32478</v>
      </c>
      <c r="B364" s="37">
        <f>VLOOKUP(Table5345679103[[#This Row],[Date]],Database!A:E,MATCH($A$1,Database!$A$1:$E$1,),)</f>
        <v>59.161999999999999</v>
      </c>
      <c r="C364" s="9">
        <f t="shared" si="5"/>
        <v>3.1198073858048339E-3</v>
      </c>
      <c r="D364" s="7">
        <f>(Table5345679103[[#This Row],[Value]]-B352)/B352</f>
        <v>4.3053596614950639E-2</v>
      </c>
    </row>
    <row r="365" spans="1:4" x14ac:dyDescent="0.2">
      <c r="A365" s="36">
        <v>32509</v>
      </c>
      <c r="B365" s="37">
        <f>VLOOKUP(Table5345679103[[#This Row],[Date]],Database!A:E,MATCH($A$1,Database!$A$1:$E$1,),)</f>
        <v>59.465000000000003</v>
      </c>
      <c r="C365" s="9">
        <f t="shared" si="5"/>
        <v>5.1215307122816061E-3</v>
      </c>
      <c r="D365" s="7">
        <f>(Table5345679103[[#This Row],[Value]]-B353)/B353</f>
        <v>4.4326583656767546E-2</v>
      </c>
    </row>
    <row r="366" spans="1:4" x14ac:dyDescent="0.2">
      <c r="A366" s="36">
        <v>32540</v>
      </c>
      <c r="B366" s="37">
        <f>VLOOKUP(Table5345679103[[#This Row],[Date]],Database!A:E,MATCH($A$1,Database!$A$1:$E$1,),)</f>
        <v>59.662999999999997</v>
      </c>
      <c r="C366" s="9">
        <f t="shared" si="5"/>
        <v>3.3296897334565423E-3</v>
      </c>
      <c r="D366" s="7">
        <f>(Table5345679103[[#This Row],[Value]]-B354)/B354</f>
        <v>4.627875982042641E-2</v>
      </c>
    </row>
    <row r="367" spans="1:4" x14ac:dyDescent="0.2">
      <c r="A367" s="36">
        <v>32568</v>
      </c>
      <c r="B367" s="37">
        <f>VLOOKUP(Table5345679103[[#This Row],[Date]],Database!A:E,MATCH($A$1,Database!$A$1:$E$1,),)</f>
        <v>59.884999999999998</v>
      </c>
      <c r="C367" s="9">
        <f t="shared" si="5"/>
        <v>3.7208990496622918E-3</v>
      </c>
      <c r="D367" s="7">
        <f>(Table5345679103[[#This Row],[Value]]-B355)/B355</f>
        <v>4.6556334212963804E-2</v>
      </c>
    </row>
    <row r="368" spans="1:4" x14ac:dyDescent="0.2">
      <c r="A368" s="36">
        <v>32599</v>
      </c>
      <c r="B368" s="37">
        <f>VLOOKUP(Table5345679103[[#This Row],[Date]],Database!A:E,MATCH($A$1,Database!$A$1:$E$1,),)</f>
        <v>60.283999999999999</v>
      </c>
      <c r="C368" s="9">
        <f t="shared" si="5"/>
        <v>6.6627703097603894E-3</v>
      </c>
      <c r="D368" s="7">
        <f>(Table5345679103[[#This Row],[Value]]-B356)/B356</f>
        <v>4.8435624967390678E-2</v>
      </c>
    </row>
    <row r="369" spans="1:4" x14ac:dyDescent="0.2">
      <c r="A369" s="36">
        <v>32629</v>
      </c>
      <c r="B369" s="37">
        <f>VLOOKUP(Table5345679103[[#This Row],[Date]],Database!A:E,MATCH($A$1,Database!$A$1:$E$1,),)</f>
        <v>60.503999999999998</v>
      </c>
      <c r="C369" s="9">
        <f t="shared" si="5"/>
        <v>3.6493928737309877E-3</v>
      </c>
      <c r="D369" s="7">
        <f>(Table5345679103[[#This Row],[Value]]-B357)/B357</f>
        <v>4.9214441785454185E-2</v>
      </c>
    </row>
    <row r="370" spans="1:4" x14ac:dyDescent="0.2">
      <c r="A370" s="36">
        <v>32660</v>
      </c>
      <c r="B370" s="37">
        <f>VLOOKUP(Table5345679103[[#This Row],[Date]],Database!A:E,MATCH($A$1,Database!$A$1:$E$1,),)</f>
        <v>60.637</v>
      </c>
      <c r="C370" s="9">
        <f t="shared" si="5"/>
        <v>2.198201771783728E-3</v>
      </c>
      <c r="D370" s="7">
        <f>(Table5345679103[[#This Row],[Value]]-B358)/B358</f>
        <v>4.7054151125846135E-2</v>
      </c>
    </row>
    <row r="371" spans="1:4" x14ac:dyDescent="0.2">
      <c r="A371" s="36">
        <v>32690</v>
      </c>
      <c r="B371" s="37">
        <f>VLOOKUP(Table5345679103[[#This Row],[Date]],Database!A:E,MATCH($A$1,Database!$A$1:$E$1,),)</f>
        <v>60.781999999999996</v>
      </c>
      <c r="C371" s="9">
        <f t="shared" si="5"/>
        <v>2.3912792519418182E-3</v>
      </c>
      <c r="D371" s="7">
        <f>(Table5345679103[[#This Row],[Value]]-B359)/B359</f>
        <v>4.4489887099822982E-2</v>
      </c>
    </row>
    <row r="372" spans="1:4" x14ac:dyDescent="0.2">
      <c r="A372" s="36">
        <v>32721</v>
      </c>
      <c r="B372" s="37">
        <f>VLOOKUP(Table5345679103[[#This Row],[Date]],Database!A:E,MATCH($A$1,Database!$A$1:$E$1,),)</f>
        <v>60.789000000000001</v>
      </c>
      <c r="C372" s="9">
        <f t="shared" si="5"/>
        <v>1.1516567404832026E-4</v>
      </c>
      <c r="D372" s="7">
        <f>(Table5345679103[[#This Row],[Value]]-B360)/B360</f>
        <v>4.1513895075900385E-2</v>
      </c>
    </row>
    <row r="373" spans="1:4" x14ac:dyDescent="0.2">
      <c r="A373" s="36">
        <v>32752</v>
      </c>
      <c r="B373" s="37">
        <f>VLOOKUP(Table5345679103[[#This Row],[Date]],Database!A:E,MATCH($A$1,Database!$A$1:$E$1,),)</f>
        <v>60.923999999999999</v>
      </c>
      <c r="C373" s="9">
        <f t="shared" si="5"/>
        <v>2.2207965256871806E-3</v>
      </c>
      <c r="D373" s="7">
        <f>(Table5345679103[[#This Row],[Value]]-B361)/B361</f>
        <v>3.8772378516624059E-2</v>
      </c>
    </row>
    <row r="374" spans="1:4" x14ac:dyDescent="0.2">
      <c r="A374" s="36">
        <v>32782</v>
      </c>
      <c r="B374" s="37">
        <f>VLOOKUP(Table5345679103[[#This Row],[Date]],Database!A:E,MATCH($A$1,Database!$A$1:$E$1,),)</f>
        <v>61.161999999999999</v>
      </c>
      <c r="C374" s="9">
        <f t="shared" si="5"/>
        <v>3.906506467073724E-3</v>
      </c>
      <c r="D374" s="7">
        <f>(Table5345679103[[#This Row],[Value]]-B362)/B362</f>
        <v>3.9445284750429084E-2</v>
      </c>
    </row>
    <row r="375" spans="1:4" x14ac:dyDescent="0.2">
      <c r="A375" s="36">
        <v>32813</v>
      </c>
      <c r="B375" s="37">
        <f>VLOOKUP(Table5345679103[[#This Row],[Date]],Database!A:E,MATCH($A$1,Database!$A$1:$E$1,),)</f>
        <v>61.295999999999999</v>
      </c>
      <c r="C375" s="9">
        <f t="shared" si="5"/>
        <v>2.1909028481737081E-3</v>
      </c>
      <c r="D375" s="7">
        <f>(Table5345679103[[#This Row],[Value]]-B363)/B363</f>
        <v>3.9302790871172263E-2</v>
      </c>
    </row>
    <row r="376" spans="1:4" x14ac:dyDescent="0.2">
      <c r="A376" s="36">
        <v>32843</v>
      </c>
      <c r="B376" s="37">
        <f>VLOOKUP(Table5345679103[[#This Row],[Date]],Database!A:E,MATCH($A$1,Database!$A$1:$E$1,),)</f>
        <v>61.472999999999999</v>
      </c>
      <c r="C376" s="9">
        <f t="shared" si="5"/>
        <v>2.8876272513703931E-3</v>
      </c>
      <c r="D376" s="7">
        <f>(Table5345679103[[#This Row],[Value]]-B364)/B364</f>
        <v>3.9062235894662116E-2</v>
      </c>
    </row>
    <row r="377" spans="1:4" x14ac:dyDescent="0.2">
      <c r="A377" s="36">
        <v>32874</v>
      </c>
      <c r="B377" s="37">
        <f>VLOOKUP(Table5345679103[[#This Row],[Date]],Database!A:E,MATCH($A$1,Database!$A$1:$E$1,),)</f>
        <v>61.939</v>
      </c>
      <c r="C377" s="9">
        <f t="shared" si="5"/>
        <v>7.5805638247686156E-3</v>
      </c>
      <c r="D377" s="7">
        <f>(Table5345679103[[#This Row],[Value]]-B365)/B365</f>
        <v>4.1604305053392694E-2</v>
      </c>
    </row>
    <row r="378" spans="1:4" x14ac:dyDescent="0.2">
      <c r="A378" s="36">
        <v>32905</v>
      </c>
      <c r="B378" s="37">
        <f>VLOOKUP(Table5345679103[[#This Row],[Date]],Database!A:E,MATCH($A$1,Database!$A$1:$E$1,),)</f>
        <v>62.212000000000003</v>
      </c>
      <c r="C378" s="9">
        <f t="shared" si="5"/>
        <v>4.4075622790165038E-3</v>
      </c>
      <c r="D378" s="7">
        <f>(Table5345679103[[#This Row],[Value]]-B366)/B366</f>
        <v>4.2723295844996172E-2</v>
      </c>
    </row>
    <row r="379" spans="1:4" x14ac:dyDescent="0.2">
      <c r="A379" s="36">
        <v>32933</v>
      </c>
      <c r="B379" s="37">
        <f>VLOOKUP(Table5345679103[[#This Row],[Date]],Database!A:E,MATCH($A$1,Database!$A$1:$E$1,),)</f>
        <v>62.445999999999998</v>
      </c>
      <c r="C379" s="9">
        <f t="shared" si="5"/>
        <v>3.7613322188644418E-3</v>
      </c>
      <c r="D379" s="7">
        <f>(Table5345679103[[#This Row],[Value]]-B367)/B367</f>
        <v>4.2765300158637387E-2</v>
      </c>
    </row>
    <row r="380" spans="1:4" x14ac:dyDescent="0.2">
      <c r="A380" s="36">
        <v>32964</v>
      </c>
      <c r="B380" s="37">
        <f>VLOOKUP(Table5345679103[[#This Row],[Date]],Database!A:E,MATCH($A$1,Database!$A$1:$E$1,),)</f>
        <v>62.576999999999998</v>
      </c>
      <c r="C380" s="9">
        <f t="shared" si="5"/>
        <v>2.0978125100086513E-3</v>
      </c>
      <c r="D380" s="7">
        <f>(Table5345679103[[#This Row],[Value]]-B368)/B368</f>
        <v>3.8036626633932709E-2</v>
      </c>
    </row>
    <row r="381" spans="1:4" x14ac:dyDescent="0.2">
      <c r="A381" s="36">
        <v>32994</v>
      </c>
      <c r="B381" s="37">
        <f>VLOOKUP(Table5345679103[[#This Row],[Date]],Database!A:E,MATCH($A$1,Database!$A$1:$E$1,),)</f>
        <v>62.718000000000004</v>
      </c>
      <c r="C381" s="9">
        <f t="shared" si="5"/>
        <v>2.2532240279975924E-3</v>
      </c>
      <c r="D381" s="7">
        <f>(Table5345679103[[#This Row],[Value]]-B369)/B369</f>
        <v>3.6592621975406678E-2</v>
      </c>
    </row>
    <row r="382" spans="1:4" x14ac:dyDescent="0.2">
      <c r="A382" s="36">
        <v>33025</v>
      </c>
      <c r="B382" s="37">
        <f>VLOOKUP(Table5345679103[[#This Row],[Date]],Database!A:E,MATCH($A$1,Database!$A$1:$E$1,),)</f>
        <v>62.994999999999997</v>
      </c>
      <c r="C382" s="9">
        <f t="shared" si="5"/>
        <v>4.4165949169296514E-3</v>
      </c>
      <c r="D382" s="7">
        <f>(Table5345679103[[#This Row],[Value]]-B370)/B370</f>
        <v>3.8887148110889343E-2</v>
      </c>
    </row>
    <row r="383" spans="1:4" x14ac:dyDescent="0.2">
      <c r="A383" s="36">
        <v>33055</v>
      </c>
      <c r="B383" s="37">
        <f>VLOOKUP(Table5345679103[[#This Row],[Date]],Database!A:E,MATCH($A$1,Database!$A$1:$E$1,),)</f>
        <v>63.151000000000003</v>
      </c>
      <c r="C383" s="9">
        <f t="shared" si="5"/>
        <v>2.4763870148425417E-3</v>
      </c>
      <c r="D383" s="7">
        <f>(Table5345679103[[#This Row],[Value]]-B371)/B371</f>
        <v>3.8975354545753793E-2</v>
      </c>
    </row>
    <row r="384" spans="1:4" x14ac:dyDescent="0.2">
      <c r="A384" s="36">
        <v>33086</v>
      </c>
      <c r="B384" s="37">
        <f>VLOOKUP(Table5345679103[[#This Row],[Date]],Database!A:E,MATCH($A$1,Database!$A$1:$E$1,),)</f>
        <v>63.570999999999998</v>
      </c>
      <c r="C384" s="9">
        <f t="shared" si="5"/>
        <v>6.6507260375923511E-3</v>
      </c>
      <c r="D384" s="7">
        <f>(Table5345679103[[#This Row],[Value]]-B372)/B372</f>
        <v>4.5764858773791252E-2</v>
      </c>
    </row>
    <row r="385" spans="1:4" x14ac:dyDescent="0.2">
      <c r="A385" s="36">
        <v>33117</v>
      </c>
      <c r="B385" s="37">
        <f>VLOOKUP(Table5345679103[[#This Row],[Date]],Database!A:E,MATCH($A$1,Database!$A$1:$E$1,),)</f>
        <v>63.960999999999999</v>
      </c>
      <c r="C385" s="9">
        <f t="shared" si="5"/>
        <v>6.1348728193673305E-3</v>
      </c>
      <c r="D385" s="7">
        <f>(Table5345679103[[#This Row],[Value]]-B373)/B373</f>
        <v>4.9848992186987053E-2</v>
      </c>
    </row>
    <row r="386" spans="1:4" x14ac:dyDescent="0.2">
      <c r="A386" s="36">
        <v>33147</v>
      </c>
      <c r="B386" s="37">
        <f>VLOOKUP(Table5345679103[[#This Row],[Date]],Database!A:E,MATCH($A$1,Database!$A$1:$E$1,),)</f>
        <v>64.326999999999998</v>
      </c>
      <c r="C386" s="9">
        <f t="shared" si="5"/>
        <v>5.7222369881646572E-3</v>
      </c>
      <c r="D386" s="7">
        <f>(Table5345679103[[#This Row],[Value]]-B374)/B374</f>
        <v>5.174781727216244E-2</v>
      </c>
    </row>
    <row r="387" spans="1:4" x14ac:dyDescent="0.2">
      <c r="A387" s="36">
        <v>33178</v>
      </c>
      <c r="B387" s="37">
        <f>VLOOKUP(Table5345679103[[#This Row],[Date]],Database!A:E,MATCH($A$1,Database!$A$1:$E$1,),)</f>
        <v>64.409000000000006</v>
      </c>
      <c r="C387" s="9">
        <f t="shared" si="5"/>
        <v>1.2747368911966647E-3</v>
      </c>
      <c r="D387" s="7">
        <f>(Table5345679103[[#This Row],[Value]]-B375)/B375</f>
        <v>5.0786348211955212E-2</v>
      </c>
    </row>
    <row r="388" spans="1:4" x14ac:dyDescent="0.2">
      <c r="A388" s="36">
        <v>33208</v>
      </c>
      <c r="B388" s="37">
        <f>VLOOKUP(Table5345679103[[#This Row],[Date]],Database!A:E,MATCH($A$1,Database!$A$1:$E$1,),)</f>
        <v>64.468999999999994</v>
      </c>
      <c r="C388" s="9">
        <f t="shared" si="5"/>
        <v>9.3154683351686968E-4</v>
      </c>
      <c r="D388" s="7">
        <f>(Table5345679103[[#This Row],[Value]]-B376)/B376</f>
        <v>4.8736843817610905E-2</v>
      </c>
    </row>
    <row r="389" spans="1:4" x14ac:dyDescent="0.2">
      <c r="A389" s="36">
        <v>33239</v>
      </c>
      <c r="B389" s="37">
        <f>VLOOKUP(Table5345679103[[#This Row],[Date]],Database!A:E,MATCH($A$1,Database!$A$1:$E$1,),)</f>
        <v>64.713999999999999</v>
      </c>
      <c r="C389" s="9">
        <f t="shared" si="5"/>
        <v>3.8002761016923572E-3</v>
      </c>
      <c r="D389" s="7">
        <f>(Table5345679103[[#This Row],[Value]]-B377)/B377</f>
        <v>4.4802144044947423E-2</v>
      </c>
    </row>
    <row r="390" spans="1:4" x14ac:dyDescent="0.2">
      <c r="A390" s="36">
        <v>33270</v>
      </c>
      <c r="B390" s="37">
        <f>VLOOKUP(Table5345679103[[#This Row],[Date]],Database!A:E,MATCH($A$1,Database!$A$1:$E$1,),)</f>
        <v>64.747</v>
      </c>
      <c r="C390" s="9">
        <f t="shared" ref="C390:C453" si="6">(B390-B389)/B389</f>
        <v>5.0993602620764055E-4</v>
      </c>
      <c r="D390" s="7">
        <f>(Table5345679103[[#This Row],[Value]]-B378)/B378</f>
        <v>4.0747765704365661E-2</v>
      </c>
    </row>
    <row r="391" spans="1:4" x14ac:dyDescent="0.2">
      <c r="A391" s="36">
        <v>33298</v>
      </c>
      <c r="B391" s="37">
        <f>VLOOKUP(Table5345679103[[#This Row],[Date]],Database!A:E,MATCH($A$1,Database!$A$1:$E$1,),)</f>
        <v>64.760000000000005</v>
      </c>
      <c r="C391" s="9">
        <f t="shared" si="6"/>
        <v>2.0078150339019924E-4</v>
      </c>
      <c r="D391" s="7">
        <f>(Table5345679103[[#This Row],[Value]]-B379)/B379</f>
        <v>3.7056016398168135E-2</v>
      </c>
    </row>
    <row r="392" spans="1:4" x14ac:dyDescent="0.2">
      <c r="A392" s="36">
        <v>33329</v>
      </c>
      <c r="B392" s="37">
        <f>VLOOKUP(Table5345679103[[#This Row],[Date]],Database!A:E,MATCH($A$1,Database!$A$1:$E$1,),)</f>
        <v>64.878</v>
      </c>
      <c r="C392" s="9">
        <f t="shared" si="6"/>
        <v>1.822112415070954E-3</v>
      </c>
      <c r="D392" s="7">
        <f>(Table5345679103[[#This Row],[Value]]-B380)/B380</f>
        <v>3.6770698499448709E-2</v>
      </c>
    </row>
    <row r="393" spans="1:4" x14ac:dyDescent="0.2">
      <c r="A393" s="36">
        <v>33359</v>
      </c>
      <c r="B393" s="37">
        <f>VLOOKUP(Table5345679103[[#This Row],[Date]],Database!A:E,MATCH($A$1,Database!$A$1:$E$1,),)</f>
        <v>65.147000000000006</v>
      </c>
      <c r="C393" s="9">
        <f t="shared" si="6"/>
        <v>4.146243718980324E-3</v>
      </c>
      <c r="D393" s="7">
        <f>(Table5345679103[[#This Row],[Value]]-B381)/B381</f>
        <v>3.8728913549539237E-2</v>
      </c>
    </row>
    <row r="394" spans="1:4" x14ac:dyDescent="0.2">
      <c r="A394" s="36">
        <v>33390</v>
      </c>
      <c r="B394" s="37">
        <f>VLOOKUP(Table5345679103[[#This Row],[Date]],Database!A:E,MATCH($A$1,Database!$A$1:$E$1,),)</f>
        <v>65.257000000000005</v>
      </c>
      <c r="C394" s="9">
        <f t="shared" si="6"/>
        <v>1.6884891092452366E-3</v>
      </c>
      <c r="D394" s="7">
        <f>(Table5345679103[[#This Row],[Value]]-B382)/B382</f>
        <v>3.5907611715215615E-2</v>
      </c>
    </row>
    <row r="395" spans="1:4" x14ac:dyDescent="0.2">
      <c r="A395" s="36">
        <v>33420</v>
      </c>
      <c r="B395" s="37">
        <f>VLOOKUP(Table5345679103[[#This Row],[Date]],Database!A:E,MATCH($A$1,Database!$A$1:$E$1,),)</f>
        <v>65.36</v>
      </c>
      <c r="C395" s="9">
        <f t="shared" si="6"/>
        <v>1.5783747337449533E-3</v>
      </c>
      <c r="D395" s="7">
        <f>(Table5345679103[[#This Row],[Value]]-B383)/B383</f>
        <v>3.4979651945337302E-2</v>
      </c>
    </row>
    <row r="396" spans="1:4" x14ac:dyDescent="0.2">
      <c r="A396" s="36">
        <v>33451</v>
      </c>
      <c r="B396" s="37">
        <f>VLOOKUP(Table5345679103[[#This Row],[Date]],Database!A:E,MATCH($A$1,Database!$A$1:$E$1,),)</f>
        <v>65.510999999999996</v>
      </c>
      <c r="C396" s="9">
        <f t="shared" si="6"/>
        <v>2.3102815177478008E-3</v>
      </c>
      <c r="D396" s="7">
        <f>(Table5345679103[[#This Row],[Value]]-B384)/B384</f>
        <v>3.0517059665570744E-2</v>
      </c>
    </row>
    <row r="397" spans="1:4" x14ac:dyDescent="0.2">
      <c r="A397" s="36">
        <v>33482</v>
      </c>
      <c r="B397" s="37">
        <f>VLOOKUP(Table5345679103[[#This Row],[Date]],Database!A:E,MATCH($A$1,Database!$A$1:$E$1,),)</f>
        <v>65.736999999999995</v>
      </c>
      <c r="C397" s="9">
        <f t="shared" si="6"/>
        <v>3.4498023232739402E-3</v>
      </c>
      <c r="D397" s="7">
        <f>(Table5345679103[[#This Row],[Value]]-B385)/B385</f>
        <v>2.7766920467159617E-2</v>
      </c>
    </row>
    <row r="398" spans="1:4" x14ac:dyDescent="0.2">
      <c r="A398" s="36">
        <v>33512</v>
      </c>
      <c r="B398" s="37">
        <f>VLOOKUP(Table5345679103[[#This Row],[Date]],Database!A:E,MATCH($A$1,Database!$A$1:$E$1,),)</f>
        <v>65.86</v>
      </c>
      <c r="C398" s="9">
        <f t="shared" si="6"/>
        <v>1.871092383284979E-3</v>
      </c>
      <c r="D398" s="7">
        <f>(Table5345679103[[#This Row],[Value]]-B386)/B386</f>
        <v>2.3831361636637825E-2</v>
      </c>
    </row>
    <row r="399" spans="1:4" x14ac:dyDescent="0.2">
      <c r="A399" s="36">
        <v>33543</v>
      </c>
      <c r="B399" s="37">
        <f>VLOOKUP(Table5345679103[[#This Row],[Date]],Database!A:E,MATCH($A$1,Database!$A$1:$E$1,),)</f>
        <v>66.004999999999995</v>
      </c>
      <c r="C399" s="9">
        <f t="shared" si="6"/>
        <v>2.20163984208922E-3</v>
      </c>
      <c r="D399" s="7">
        <f>(Table5345679103[[#This Row],[Value]]-B387)/B387</f>
        <v>2.4779145771553497E-2</v>
      </c>
    </row>
    <row r="400" spans="1:4" x14ac:dyDescent="0.2">
      <c r="A400" s="36">
        <v>33573</v>
      </c>
      <c r="B400" s="37">
        <f>VLOOKUP(Table5345679103[[#This Row],[Date]],Database!A:E,MATCH($A$1,Database!$A$1:$E$1,),)</f>
        <v>66.17</v>
      </c>
      <c r="C400" s="9">
        <f t="shared" si="6"/>
        <v>2.4998106204076396E-3</v>
      </c>
      <c r="D400" s="7">
        <f>(Table5345679103[[#This Row],[Value]]-B388)/B388</f>
        <v>2.6384774077463709E-2</v>
      </c>
    </row>
    <row r="401" spans="1:4" x14ac:dyDescent="0.2">
      <c r="A401" s="36">
        <v>33604</v>
      </c>
      <c r="B401" s="37">
        <f>VLOOKUP(Table5345679103[[#This Row],[Date]],Database!A:E,MATCH($A$1,Database!$A$1:$E$1,),)</f>
        <v>66.260000000000005</v>
      </c>
      <c r="C401" s="9">
        <f t="shared" si="6"/>
        <v>1.3601329907813723E-3</v>
      </c>
      <c r="D401" s="7">
        <f>(Table5345679103[[#This Row],[Value]]-B389)/B389</f>
        <v>2.3889730197484416E-2</v>
      </c>
    </row>
    <row r="402" spans="1:4" x14ac:dyDescent="0.2">
      <c r="A402" s="36">
        <v>33635</v>
      </c>
      <c r="B402" s="37">
        <f>VLOOKUP(Table5345679103[[#This Row],[Date]],Database!A:E,MATCH($A$1,Database!$A$1:$E$1,),)</f>
        <v>66.427999999999997</v>
      </c>
      <c r="C402" s="9">
        <f t="shared" si="6"/>
        <v>2.5354663447025678E-3</v>
      </c>
      <c r="D402" s="7">
        <f>(Table5345679103[[#This Row],[Value]]-B390)/B390</f>
        <v>2.5962592861445279E-2</v>
      </c>
    </row>
    <row r="403" spans="1:4" x14ac:dyDescent="0.2">
      <c r="A403" s="36">
        <v>33664</v>
      </c>
      <c r="B403" s="37">
        <f>VLOOKUP(Table5345679103[[#This Row],[Date]],Database!A:E,MATCH($A$1,Database!$A$1:$E$1,),)</f>
        <v>66.588999999999999</v>
      </c>
      <c r="C403" s="9">
        <f t="shared" si="6"/>
        <v>2.4236767628108835E-3</v>
      </c>
      <c r="D403" s="7">
        <f>(Table5345679103[[#This Row],[Value]]-B391)/B391</f>
        <v>2.8242742433600886E-2</v>
      </c>
    </row>
    <row r="404" spans="1:4" x14ac:dyDescent="0.2">
      <c r="A404" s="36">
        <v>33695</v>
      </c>
      <c r="B404" s="37">
        <f>VLOOKUP(Table5345679103[[#This Row],[Date]],Database!A:E,MATCH($A$1,Database!$A$1:$E$1,),)</f>
        <v>66.769000000000005</v>
      </c>
      <c r="C404" s="9">
        <f t="shared" si="6"/>
        <v>2.7031491687817331E-3</v>
      </c>
      <c r="D404" s="7">
        <f>(Table5345679103[[#This Row],[Value]]-B392)/B392</f>
        <v>2.914701439625151E-2</v>
      </c>
    </row>
    <row r="405" spans="1:4" x14ac:dyDescent="0.2">
      <c r="A405" s="36">
        <v>33725</v>
      </c>
      <c r="B405" s="37">
        <f>VLOOKUP(Table5345679103[[#This Row],[Date]],Database!A:E,MATCH($A$1,Database!$A$1:$E$1,),)</f>
        <v>66.856999999999999</v>
      </c>
      <c r="C405" s="9">
        <f t="shared" si="6"/>
        <v>1.317976905450042E-3</v>
      </c>
      <c r="D405" s="7">
        <f>(Table5345679103[[#This Row],[Value]]-B393)/B393</f>
        <v>2.6248330698266899E-2</v>
      </c>
    </row>
    <row r="406" spans="1:4" x14ac:dyDescent="0.2">
      <c r="A406" s="36">
        <v>33756</v>
      </c>
      <c r="B406" s="37">
        <f>VLOOKUP(Table5345679103[[#This Row],[Date]],Database!A:E,MATCH($A$1,Database!$A$1:$E$1,),)</f>
        <v>66.975999999999999</v>
      </c>
      <c r="C406" s="9">
        <f t="shared" si="6"/>
        <v>1.7799183331588281E-3</v>
      </c>
      <c r="D406" s="7">
        <f>(Table5345679103[[#This Row],[Value]]-B394)/B394</f>
        <v>2.634200162434672E-2</v>
      </c>
    </row>
    <row r="407" spans="1:4" x14ac:dyDescent="0.2">
      <c r="A407" s="36">
        <v>33786</v>
      </c>
      <c r="B407" s="37">
        <f>VLOOKUP(Table5345679103[[#This Row],[Date]],Database!A:E,MATCH($A$1,Database!$A$1:$E$1,),)</f>
        <v>67.197000000000003</v>
      </c>
      <c r="C407" s="9">
        <f t="shared" si="6"/>
        <v>3.2996894409938432E-3</v>
      </c>
      <c r="D407" s="7">
        <f>(Table5345679103[[#This Row],[Value]]-B395)/B395</f>
        <v>2.8105875152998828E-2</v>
      </c>
    </row>
    <row r="408" spans="1:4" x14ac:dyDescent="0.2">
      <c r="A408" s="36">
        <v>33817</v>
      </c>
      <c r="B408" s="37">
        <f>VLOOKUP(Table5345679103[[#This Row],[Date]],Database!A:E,MATCH($A$1,Database!$A$1:$E$1,),)</f>
        <v>67.287000000000006</v>
      </c>
      <c r="C408" s="9">
        <f t="shared" si="6"/>
        <v>1.3393455064958763E-3</v>
      </c>
      <c r="D408" s="7">
        <f>(Table5345679103[[#This Row],[Value]]-B396)/B396</f>
        <v>2.7109951000595482E-2</v>
      </c>
    </row>
    <row r="409" spans="1:4" x14ac:dyDescent="0.2">
      <c r="A409" s="36">
        <v>33848</v>
      </c>
      <c r="B409" s="37">
        <f>VLOOKUP(Table5345679103[[#This Row],[Date]],Database!A:E,MATCH($A$1,Database!$A$1:$E$1,),)</f>
        <v>67.397000000000006</v>
      </c>
      <c r="C409" s="9">
        <f t="shared" si="6"/>
        <v>1.6347882949157998E-3</v>
      </c>
      <c r="D409" s="7">
        <f>(Table5345679103[[#This Row],[Value]]-B397)/B397</f>
        <v>2.5252141107747705E-2</v>
      </c>
    </row>
    <row r="410" spans="1:4" x14ac:dyDescent="0.2">
      <c r="A410" s="36">
        <v>33878</v>
      </c>
      <c r="B410" s="37">
        <f>VLOOKUP(Table5345679103[[#This Row],[Date]],Database!A:E,MATCH($A$1,Database!$A$1:$E$1,),)</f>
        <v>67.635000000000005</v>
      </c>
      <c r="C410" s="9">
        <f t="shared" si="6"/>
        <v>3.5313144501980731E-3</v>
      </c>
      <c r="D410" s="7">
        <f>(Table5345679103[[#This Row],[Value]]-B398)/B398</f>
        <v>2.6951108411782655E-2</v>
      </c>
    </row>
    <row r="411" spans="1:4" x14ac:dyDescent="0.2">
      <c r="A411" s="36">
        <v>33909</v>
      </c>
      <c r="B411" s="37">
        <f>VLOOKUP(Table5345679103[[#This Row],[Date]],Database!A:E,MATCH($A$1,Database!$A$1:$E$1,),)</f>
        <v>67.768000000000001</v>
      </c>
      <c r="C411" s="9">
        <f t="shared" si="6"/>
        <v>1.9664374953795452E-3</v>
      </c>
      <c r="D411" s="7">
        <f>(Table5345679103[[#This Row],[Value]]-B399)/B399</f>
        <v>2.6710097719869787E-2</v>
      </c>
    </row>
    <row r="412" spans="1:4" x14ac:dyDescent="0.2">
      <c r="A412" s="36">
        <v>33939</v>
      </c>
      <c r="B412" s="37">
        <f>VLOOKUP(Table5345679103[[#This Row],[Date]],Database!A:E,MATCH($A$1,Database!$A$1:$E$1,),)</f>
        <v>67.885999999999996</v>
      </c>
      <c r="C412" s="9">
        <f t="shared" si="6"/>
        <v>1.7412348010859846E-3</v>
      </c>
      <c r="D412" s="7">
        <f>(Table5345679103[[#This Row],[Value]]-B400)/B400</f>
        <v>2.5933202357563759E-2</v>
      </c>
    </row>
    <row r="413" spans="1:4" x14ac:dyDescent="0.2">
      <c r="A413" s="36">
        <v>33970</v>
      </c>
      <c r="B413" s="37">
        <f>VLOOKUP(Table5345679103[[#This Row],[Date]],Database!A:E,MATCH($A$1,Database!$A$1:$E$1,),)</f>
        <v>68.052000000000007</v>
      </c>
      <c r="C413" s="9">
        <f t="shared" si="6"/>
        <v>2.4452759037211064E-3</v>
      </c>
      <c r="D413" s="7">
        <f>(Table5345679103[[#This Row],[Value]]-B401)/B401</f>
        <v>2.7044974343495343E-2</v>
      </c>
    </row>
    <row r="414" spans="1:4" x14ac:dyDescent="0.2">
      <c r="A414" s="36">
        <v>34001</v>
      </c>
      <c r="B414" s="37">
        <f>VLOOKUP(Table5345679103[[#This Row],[Date]],Database!A:E,MATCH($A$1,Database!$A$1:$E$1,),)</f>
        <v>68.153999999999996</v>
      </c>
      <c r="C414" s="9">
        <f t="shared" si="6"/>
        <v>1.4988538176686893E-3</v>
      </c>
      <c r="D414" s="7">
        <f>(Table5345679103[[#This Row],[Value]]-B402)/B402</f>
        <v>2.5983019208767374E-2</v>
      </c>
    </row>
    <row r="415" spans="1:4" x14ac:dyDescent="0.2">
      <c r="A415" s="36">
        <v>34029</v>
      </c>
      <c r="B415" s="37">
        <f>VLOOKUP(Table5345679103[[#This Row],[Date]],Database!A:E,MATCH($A$1,Database!$A$1:$E$1,),)</f>
        <v>68.293999999999997</v>
      </c>
      <c r="C415" s="9">
        <f t="shared" si="6"/>
        <v>2.0541714352789358E-3</v>
      </c>
      <c r="D415" s="7">
        <f>(Table5345679103[[#This Row],[Value]]-B403)/B403</f>
        <v>2.5604829626514863E-2</v>
      </c>
    </row>
    <row r="416" spans="1:4" x14ac:dyDescent="0.2">
      <c r="A416" s="36">
        <v>34060</v>
      </c>
      <c r="B416" s="37">
        <f>VLOOKUP(Table5345679103[[#This Row],[Date]],Database!A:E,MATCH($A$1,Database!$A$1:$E$1,),)</f>
        <v>68.474999999999994</v>
      </c>
      <c r="C416" s="9">
        <f t="shared" si="6"/>
        <v>2.6503060298122441E-3</v>
      </c>
      <c r="D416" s="7">
        <f>(Table5345679103[[#This Row],[Value]]-B404)/B404</f>
        <v>2.5550779553385385E-2</v>
      </c>
    </row>
    <row r="417" spans="1:4" x14ac:dyDescent="0.2">
      <c r="A417" s="36">
        <v>34090</v>
      </c>
      <c r="B417" s="37">
        <f>VLOOKUP(Table5345679103[[#This Row],[Date]],Database!A:E,MATCH($A$1,Database!$A$1:$E$1,),)</f>
        <v>68.686999999999998</v>
      </c>
      <c r="C417" s="9">
        <f t="shared" si="6"/>
        <v>3.096020445418084E-3</v>
      </c>
      <c r="D417" s="7">
        <f>(Table5345679103[[#This Row],[Value]]-B405)/B405</f>
        <v>2.7371853358660998E-2</v>
      </c>
    </row>
    <row r="418" spans="1:4" x14ac:dyDescent="0.2">
      <c r="A418" s="36">
        <v>34121</v>
      </c>
      <c r="B418" s="37">
        <f>VLOOKUP(Table5345679103[[#This Row],[Date]],Database!A:E,MATCH($A$1,Database!$A$1:$E$1,),)</f>
        <v>68.710999999999999</v>
      </c>
      <c r="C418" s="9">
        <f t="shared" si="6"/>
        <v>3.4941109671409305E-4</v>
      </c>
      <c r="D418" s="7">
        <f>(Table5345679103[[#This Row],[Value]]-B406)/B406</f>
        <v>2.5904801720019102E-2</v>
      </c>
    </row>
    <row r="419" spans="1:4" x14ac:dyDescent="0.2">
      <c r="A419" s="36">
        <v>34151</v>
      </c>
      <c r="B419" s="37">
        <f>VLOOKUP(Table5345679103[[#This Row],[Date]],Database!A:E,MATCH($A$1,Database!$A$1:$E$1,),)</f>
        <v>68.819999999999993</v>
      </c>
      <c r="C419" s="9">
        <f t="shared" si="6"/>
        <v>1.5863544410646717E-3</v>
      </c>
      <c r="D419" s="7">
        <f>(Table5345679103[[#This Row],[Value]]-B407)/B407</f>
        <v>2.4152863967141246E-2</v>
      </c>
    </row>
    <row r="420" spans="1:4" x14ac:dyDescent="0.2">
      <c r="A420" s="36">
        <v>34182</v>
      </c>
      <c r="B420" s="37">
        <f>VLOOKUP(Table5345679103[[#This Row],[Date]],Database!A:E,MATCH($A$1,Database!$A$1:$E$1,),)</f>
        <v>68.938000000000002</v>
      </c>
      <c r="C420" s="9">
        <f t="shared" si="6"/>
        <v>1.7146178436502357E-3</v>
      </c>
      <c r="D420" s="7">
        <f>(Table5345679103[[#This Row],[Value]]-B408)/B408</f>
        <v>2.453668613550903E-2</v>
      </c>
    </row>
    <row r="421" spans="1:4" x14ac:dyDescent="0.2">
      <c r="A421" s="36">
        <v>34213</v>
      </c>
      <c r="B421" s="37">
        <f>VLOOKUP(Table5345679103[[#This Row],[Date]],Database!A:E,MATCH($A$1,Database!$A$1:$E$1,),)</f>
        <v>69.010000000000005</v>
      </c>
      <c r="C421" s="9">
        <f t="shared" si="6"/>
        <v>1.0444167222722262E-3</v>
      </c>
      <c r="D421" s="7">
        <f>(Table5345679103[[#This Row],[Value]]-B409)/B409</f>
        <v>2.393281600071219E-2</v>
      </c>
    </row>
    <row r="422" spans="1:4" x14ac:dyDescent="0.2">
      <c r="A422" s="36">
        <v>34243</v>
      </c>
      <c r="B422" s="37">
        <f>VLOOKUP(Table5345679103[[#This Row],[Date]],Database!A:E,MATCH($A$1,Database!$A$1:$E$1,),)</f>
        <v>69.227000000000004</v>
      </c>
      <c r="C422" s="9">
        <f t="shared" si="6"/>
        <v>3.1444718156788689E-3</v>
      </c>
      <c r="D422" s="7">
        <f>(Table5345679103[[#This Row],[Value]]-B410)/B410</f>
        <v>2.3538108967250664E-2</v>
      </c>
    </row>
    <row r="423" spans="1:4" x14ac:dyDescent="0.2">
      <c r="A423" s="36">
        <v>34274</v>
      </c>
      <c r="B423" s="37">
        <f>VLOOKUP(Table5345679103[[#This Row],[Date]],Database!A:E,MATCH($A$1,Database!$A$1:$E$1,),)</f>
        <v>69.358000000000004</v>
      </c>
      <c r="C423" s="9">
        <f t="shared" si="6"/>
        <v>1.8923252488191056E-3</v>
      </c>
      <c r="D423" s="7">
        <f>(Table5345679103[[#This Row],[Value]]-B411)/B411</f>
        <v>2.3462401133278292E-2</v>
      </c>
    </row>
    <row r="424" spans="1:4" x14ac:dyDescent="0.2">
      <c r="A424" s="36">
        <v>34304</v>
      </c>
      <c r="B424" s="37">
        <f>VLOOKUP(Table5345679103[[#This Row],[Date]],Database!A:E,MATCH($A$1,Database!$A$1:$E$1,),)</f>
        <v>69.373999999999995</v>
      </c>
      <c r="C424" s="9">
        <f t="shared" si="6"/>
        <v>2.3068715937586337E-4</v>
      </c>
      <c r="D424" s="7">
        <f>(Table5345679103[[#This Row],[Value]]-B412)/B412</f>
        <v>2.1919099667088937E-2</v>
      </c>
    </row>
    <row r="425" spans="1:4" x14ac:dyDescent="0.2">
      <c r="A425" s="36">
        <v>34335</v>
      </c>
      <c r="B425" s="37">
        <f>VLOOKUP(Table5345679103[[#This Row],[Date]],Database!A:E,MATCH($A$1,Database!$A$1:$E$1,),)</f>
        <v>69.397000000000006</v>
      </c>
      <c r="C425" s="9">
        <f t="shared" si="6"/>
        <v>3.3153631043345271E-4</v>
      </c>
      <c r="D425" s="7">
        <f>(Table5345679103[[#This Row],[Value]]-B413)/B413</f>
        <v>1.976429788984892E-2</v>
      </c>
    </row>
    <row r="426" spans="1:4" x14ac:dyDescent="0.2">
      <c r="A426" s="36">
        <v>34366</v>
      </c>
      <c r="B426" s="37">
        <f>VLOOKUP(Table5345679103[[#This Row],[Date]],Database!A:E,MATCH($A$1,Database!$A$1:$E$1,),)</f>
        <v>69.558000000000007</v>
      </c>
      <c r="C426" s="9">
        <f t="shared" si="6"/>
        <v>2.3199850137614214E-3</v>
      </c>
      <c r="D426" s="7">
        <f>(Table5345679103[[#This Row],[Value]]-B414)/B414</f>
        <v>2.0600404965225968E-2</v>
      </c>
    </row>
    <row r="427" spans="1:4" x14ac:dyDescent="0.2">
      <c r="A427" s="36">
        <v>34394</v>
      </c>
      <c r="B427" s="37">
        <f>VLOOKUP(Table5345679103[[#This Row],[Date]],Database!A:E,MATCH($A$1,Database!$A$1:$E$1,),)</f>
        <v>69.75</v>
      </c>
      <c r="C427" s="9">
        <f t="shared" si="6"/>
        <v>2.7602863797117952E-3</v>
      </c>
      <c r="D427" s="7">
        <f>(Table5345679103[[#This Row],[Value]]-B415)/B415</f>
        <v>2.1319588836501056E-2</v>
      </c>
    </row>
    <row r="428" spans="1:4" x14ac:dyDescent="0.2">
      <c r="A428" s="36">
        <v>34425</v>
      </c>
      <c r="B428" s="37">
        <f>VLOOKUP(Table5345679103[[#This Row],[Date]],Database!A:E,MATCH($A$1,Database!$A$1:$E$1,),)</f>
        <v>69.831999999999994</v>
      </c>
      <c r="C428" s="9">
        <f t="shared" si="6"/>
        <v>1.1756272401432779E-3</v>
      </c>
      <c r="D428" s="7">
        <f>(Table5345679103[[#This Row],[Value]]-B416)/B416</f>
        <v>1.9817451624680533E-2</v>
      </c>
    </row>
    <row r="429" spans="1:4" x14ac:dyDescent="0.2">
      <c r="A429" s="36">
        <v>34455</v>
      </c>
      <c r="B429" s="37">
        <f>VLOOKUP(Table5345679103[[#This Row],[Date]],Database!A:E,MATCH($A$1,Database!$A$1:$E$1,),)</f>
        <v>69.933000000000007</v>
      </c>
      <c r="C429" s="9">
        <f t="shared" si="6"/>
        <v>1.4463283308513762E-3</v>
      </c>
      <c r="D429" s="7">
        <f>(Table5345679103[[#This Row],[Value]]-B417)/B417</f>
        <v>1.8140259437739448E-2</v>
      </c>
    </row>
    <row r="430" spans="1:4" x14ac:dyDescent="0.2">
      <c r="A430" s="36">
        <v>34486</v>
      </c>
      <c r="B430" s="37">
        <f>VLOOKUP(Table5345679103[[#This Row],[Date]],Database!A:E,MATCH($A$1,Database!$A$1:$E$1,),)</f>
        <v>70.103999999999999</v>
      </c>
      <c r="C430" s="9">
        <f t="shared" si="6"/>
        <v>2.4451975462227026E-3</v>
      </c>
      <c r="D430" s="7">
        <f>(Table5345679103[[#This Row],[Value]]-B418)/B418</f>
        <v>2.027331868259814E-2</v>
      </c>
    </row>
    <row r="431" spans="1:4" x14ac:dyDescent="0.2">
      <c r="A431" s="36">
        <v>34516</v>
      </c>
      <c r="B431" s="37">
        <f>VLOOKUP(Table5345679103[[#This Row],[Date]],Database!A:E,MATCH($A$1,Database!$A$1:$E$1,),)</f>
        <v>70.325000000000003</v>
      </c>
      <c r="C431" s="9">
        <f t="shared" si="6"/>
        <v>3.1524592034691836E-3</v>
      </c>
      <c r="D431" s="7">
        <f>(Table5345679103[[#This Row],[Value]]-B419)/B419</f>
        <v>2.1868642836384913E-2</v>
      </c>
    </row>
    <row r="432" spans="1:4" x14ac:dyDescent="0.2">
      <c r="A432" s="36">
        <v>34547</v>
      </c>
      <c r="B432" s="37">
        <f>VLOOKUP(Table5345679103[[#This Row],[Date]],Database!A:E,MATCH($A$1,Database!$A$1:$E$1,),)</f>
        <v>70.486000000000004</v>
      </c>
      <c r="C432" s="9">
        <f t="shared" si="6"/>
        <v>2.2893707785282811E-3</v>
      </c>
      <c r="D432" s="7">
        <f>(Table5345679103[[#This Row],[Value]]-B420)/B420</f>
        <v>2.2454959528852039E-2</v>
      </c>
    </row>
    <row r="433" spans="1:4" x14ac:dyDescent="0.2">
      <c r="A433" s="36">
        <v>34578</v>
      </c>
      <c r="B433" s="37">
        <f>VLOOKUP(Table5345679103[[#This Row],[Date]],Database!A:E,MATCH($A$1,Database!$A$1:$E$1,),)</f>
        <v>70.564999999999998</v>
      </c>
      <c r="C433" s="9">
        <f t="shared" si="6"/>
        <v>1.120789944102283E-3</v>
      </c>
      <c r="D433" s="7">
        <f>(Table5345679103[[#This Row],[Value]]-B421)/B421</f>
        <v>2.2532966236777169E-2</v>
      </c>
    </row>
    <row r="434" spans="1:4" x14ac:dyDescent="0.2">
      <c r="A434" s="36">
        <v>34608</v>
      </c>
      <c r="B434" s="37">
        <f>VLOOKUP(Table5345679103[[#This Row],[Date]],Database!A:E,MATCH($A$1,Database!$A$1:$E$1,),)</f>
        <v>70.683999999999997</v>
      </c>
      <c r="C434" s="9">
        <f t="shared" si="6"/>
        <v>1.6863884361935772E-3</v>
      </c>
      <c r="D434" s="7">
        <f>(Table5345679103[[#This Row],[Value]]-B422)/B422</f>
        <v>2.1046701431522291E-2</v>
      </c>
    </row>
    <row r="435" spans="1:4" x14ac:dyDescent="0.2">
      <c r="A435" s="36">
        <v>34639</v>
      </c>
      <c r="B435" s="37">
        <f>VLOOKUP(Table5345679103[[#This Row],[Date]],Database!A:E,MATCH($A$1,Database!$A$1:$E$1,),)</f>
        <v>70.819000000000003</v>
      </c>
      <c r="C435" s="9">
        <f t="shared" si="6"/>
        <v>1.9099088902722698E-3</v>
      </c>
      <c r="D435" s="7">
        <f>(Table5345679103[[#This Row],[Value]]-B423)/B423</f>
        <v>2.1064621240520175E-2</v>
      </c>
    </row>
    <row r="436" spans="1:4" x14ac:dyDescent="0.2">
      <c r="A436" s="36">
        <v>34669</v>
      </c>
      <c r="B436" s="37">
        <f>VLOOKUP(Table5345679103[[#This Row],[Date]],Database!A:E,MATCH($A$1,Database!$A$1:$E$1,),)</f>
        <v>70.864999999999995</v>
      </c>
      <c r="C436" s="9">
        <f t="shared" si="6"/>
        <v>6.4954320168305495E-4</v>
      </c>
      <c r="D436" s="7">
        <f>(Table5345679103[[#This Row],[Value]]-B424)/B424</f>
        <v>2.1492201689393718E-2</v>
      </c>
    </row>
    <row r="437" spans="1:4" x14ac:dyDescent="0.2">
      <c r="A437" s="36">
        <v>34700</v>
      </c>
      <c r="B437" s="37">
        <f>VLOOKUP(Table5345679103[[#This Row],[Date]],Database!A:E,MATCH($A$1,Database!$A$1:$E$1,),)</f>
        <v>71.007999999999996</v>
      </c>
      <c r="C437" s="9">
        <f t="shared" si="6"/>
        <v>2.0179213998447851E-3</v>
      </c>
      <c r="D437" s="7">
        <f>(Table5345679103[[#This Row],[Value]]-B425)/B425</f>
        <v>2.3214259982419844E-2</v>
      </c>
    </row>
    <row r="438" spans="1:4" x14ac:dyDescent="0.2">
      <c r="A438" s="36">
        <v>34731</v>
      </c>
      <c r="B438" s="37">
        <f>VLOOKUP(Table5345679103[[#This Row],[Date]],Database!A:E,MATCH($A$1,Database!$A$1:$E$1,),)</f>
        <v>71.134</v>
      </c>
      <c r="C438" s="9">
        <f t="shared" si="6"/>
        <v>1.7744479495268811E-3</v>
      </c>
      <c r="D438" s="7">
        <f>(Table5345679103[[#This Row],[Value]]-B426)/B426</f>
        <v>2.2657350700135043E-2</v>
      </c>
    </row>
    <row r="439" spans="1:4" x14ac:dyDescent="0.2">
      <c r="A439" s="36">
        <v>34759</v>
      </c>
      <c r="B439" s="37">
        <f>VLOOKUP(Table5345679103[[#This Row],[Date]],Database!A:E,MATCH($A$1,Database!$A$1:$E$1,),)</f>
        <v>71.265000000000001</v>
      </c>
      <c r="C439" s="9">
        <f t="shared" si="6"/>
        <v>1.8415947366941297E-3</v>
      </c>
      <c r="D439" s="7">
        <f>(Table5345679103[[#This Row],[Value]]-B427)/B427</f>
        <v>2.1720430107526889E-2</v>
      </c>
    </row>
    <row r="440" spans="1:4" x14ac:dyDescent="0.2">
      <c r="A440" s="36">
        <v>34790</v>
      </c>
      <c r="B440" s="37">
        <f>VLOOKUP(Table5345679103[[#This Row],[Date]],Database!A:E,MATCH($A$1,Database!$A$1:$E$1,),)</f>
        <v>71.453000000000003</v>
      </c>
      <c r="C440" s="9">
        <f t="shared" si="6"/>
        <v>2.6380411141514403E-3</v>
      </c>
      <c r="D440" s="7">
        <f>(Table5345679103[[#This Row],[Value]]-B428)/B428</f>
        <v>2.3212853706037484E-2</v>
      </c>
    </row>
    <row r="441" spans="1:4" x14ac:dyDescent="0.2">
      <c r="A441" s="36">
        <v>34820</v>
      </c>
      <c r="B441" s="37">
        <f>VLOOKUP(Table5345679103[[#This Row],[Date]],Database!A:E,MATCH($A$1,Database!$A$1:$E$1,),)</f>
        <v>71.563000000000002</v>
      </c>
      <c r="C441" s="9">
        <f t="shared" si="6"/>
        <v>1.5394735000629704E-3</v>
      </c>
      <c r="D441" s="7">
        <f>(Table5345679103[[#This Row],[Value]]-B429)/B429</f>
        <v>2.3308023393819731E-2</v>
      </c>
    </row>
    <row r="442" spans="1:4" x14ac:dyDescent="0.2">
      <c r="A442" s="36">
        <v>34851</v>
      </c>
      <c r="B442" s="37">
        <f>VLOOKUP(Table5345679103[[#This Row],[Date]],Database!A:E,MATCH($A$1,Database!$A$1:$E$1,),)</f>
        <v>71.632999999999996</v>
      </c>
      <c r="C442" s="9">
        <f t="shared" si="6"/>
        <v>9.7815910456511301E-4</v>
      </c>
      <c r="D442" s="7">
        <f>(Table5345679103[[#This Row],[Value]]-B430)/B430</f>
        <v>2.1810453041195887E-2</v>
      </c>
    </row>
    <row r="443" spans="1:4" x14ac:dyDescent="0.2">
      <c r="A443" s="36">
        <v>34881</v>
      </c>
      <c r="B443" s="37">
        <f>VLOOKUP(Table5345679103[[#This Row],[Date]],Database!A:E,MATCH($A$1,Database!$A$1:$E$1,),)</f>
        <v>71.721999999999994</v>
      </c>
      <c r="C443" s="9">
        <f t="shared" si="6"/>
        <v>1.2424441249144758E-3</v>
      </c>
      <c r="D443" s="7">
        <f>(Table5345679103[[#This Row],[Value]]-B431)/B431</f>
        <v>1.9864912904372433E-2</v>
      </c>
    </row>
    <row r="444" spans="1:4" x14ac:dyDescent="0.2">
      <c r="A444" s="36">
        <v>34912</v>
      </c>
      <c r="B444" s="37">
        <f>VLOOKUP(Table5345679103[[#This Row],[Date]],Database!A:E,MATCH($A$1,Database!$A$1:$E$1,),)</f>
        <v>71.876999999999995</v>
      </c>
      <c r="C444" s="9">
        <f t="shared" si="6"/>
        <v>2.1611221103706138E-3</v>
      </c>
      <c r="D444" s="7">
        <f>(Table5345679103[[#This Row],[Value]]-B432)/B432</f>
        <v>1.9734415344891058E-2</v>
      </c>
    </row>
    <row r="445" spans="1:4" x14ac:dyDescent="0.2">
      <c r="A445" s="36">
        <v>34943</v>
      </c>
      <c r="B445" s="37">
        <f>VLOOKUP(Table5345679103[[#This Row],[Date]],Database!A:E,MATCH($A$1,Database!$A$1:$E$1,),)</f>
        <v>71.926000000000002</v>
      </c>
      <c r="C445" s="9">
        <f t="shared" si="6"/>
        <v>6.8172016083039915E-4</v>
      </c>
      <c r="D445" s="7">
        <f>(Table5345679103[[#This Row],[Value]]-B433)/B433</f>
        <v>1.9287182030751849E-2</v>
      </c>
    </row>
    <row r="446" spans="1:4" x14ac:dyDescent="0.2">
      <c r="A446" s="36">
        <v>34973</v>
      </c>
      <c r="B446" s="37">
        <f>VLOOKUP(Table5345679103[[#This Row],[Date]],Database!A:E,MATCH($A$1,Database!$A$1:$E$1,),)</f>
        <v>72.113</v>
      </c>
      <c r="C446" s="9">
        <f t="shared" si="6"/>
        <v>2.5998943358451409E-3</v>
      </c>
      <c r="D446" s="7">
        <f>(Table5345679103[[#This Row],[Value]]-B434)/B434</f>
        <v>2.0216739290362769E-2</v>
      </c>
    </row>
    <row r="447" spans="1:4" x14ac:dyDescent="0.2">
      <c r="A447" s="36">
        <v>35004</v>
      </c>
      <c r="B447" s="37">
        <f>VLOOKUP(Table5345679103[[#This Row],[Date]],Database!A:E,MATCH($A$1,Database!$A$1:$E$1,),)</f>
        <v>72.111000000000004</v>
      </c>
      <c r="C447" s="9">
        <f t="shared" si="6"/>
        <v>-2.7734250412482338E-5</v>
      </c>
      <c r="D447" s="7">
        <f>(Table5345679103[[#This Row],[Value]]-B435)/B435</f>
        <v>1.8243691664666283E-2</v>
      </c>
    </row>
    <row r="448" spans="1:4" x14ac:dyDescent="0.2">
      <c r="A448" s="36">
        <v>35034</v>
      </c>
      <c r="B448" s="37">
        <f>VLOOKUP(Table5345679103[[#This Row],[Date]],Database!A:E,MATCH($A$1,Database!$A$1:$E$1,),)</f>
        <v>72.248999999999995</v>
      </c>
      <c r="C448" s="9">
        <f t="shared" si="6"/>
        <v>1.9137163539541958E-3</v>
      </c>
      <c r="D448" s="7">
        <f>(Table5345679103[[#This Row],[Value]]-B436)/B436</f>
        <v>1.9530092429266923E-2</v>
      </c>
    </row>
    <row r="449" spans="1:4" x14ac:dyDescent="0.2">
      <c r="A449" s="36">
        <v>35065</v>
      </c>
      <c r="B449" s="37">
        <f>VLOOKUP(Table5345679103[[#This Row],[Date]],Database!A:E,MATCH($A$1,Database!$A$1:$E$1,),)</f>
        <v>72.41</v>
      </c>
      <c r="C449" s="9">
        <f t="shared" si="6"/>
        <v>2.2284045453916509E-3</v>
      </c>
      <c r="D449" s="7">
        <f>(Table5345679103[[#This Row],[Value]]-B437)/B437</f>
        <v>1.9744254168544403E-2</v>
      </c>
    </row>
    <row r="450" spans="1:4" x14ac:dyDescent="0.2">
      <c r="A450" s="36">
        <v>35096</v>
      </c>
      <c r="B450" s="37">
        <f>VLOOKUP(Table5345679103[[#This Row],[Date]],Database!A:E,MATCH($A$1,Database!$A$1:$E$1,),)</f>
        <v>72.524000000000001</v>
      </c>
      <c r="C450" s="9">
        <f t="shared" si="6"/>
        <v>1.574368181190503E-3</v>
      </c>
      <c r="D450" s="7">
        <f>(Table5345679103[[#This Row],[Value]]-B438)/B438</f>
        <v>1.9540585374082726E-2</v>
      </c>
    </row>
    <row r="451" spans="1:4" x14ac:dyDescent="0.2">
      <c r="A451" s="36">
        <v>35125</v>
      </c>
      <c r="B451" s="37">
        <f>VLOOKUP(Table5345679103[[#This Row],[Date]],Database!A:E,MATCH($A$1,Database!$A$1:$E$1,),)</f>
        <v>72.742999999999995</v>
      </c>
      <c r="C451" s="9">
        <f t="shared" si="6"/>
        <v>3.0196900336439537E-3</v>
      </c>
      <c r="D451" s="7">
        <f>(Table5345679103[[#This Row],[Value]]-B439)/B439</f>
        <v>2.0739493439977469E-2</v>
      </c>
    </row>
    <row r="452" spans="1:4" x14ac:dyDescent="0.2">
      <c r="A452" s="36">
        <v>35156</v>
      </c>
      <c r="B452" s="37">
        <f>VLOOKUP(Table5345679103[[#This Row],[Date]],Database!A:E,MATCH($A$1,Database!$A$1:$E$1,),)</f>
        <v>72.960999999999999</v>
      </c>
      <c r="C452" s="9">
        <f t="shared" si="6"/>
        <v>2.9968519307700197E-3</v>
      </c>
      <c r="D452" s="7">
        <f>(Table5345679103[[#This Row],[Value]]-B440)/B440</f>
        <v>2.1104782164499677E-2</v>
      </c>
    </row>
    <row r="453" spans="1:4" x14ac:dyDescent="0.2">
      <c r="A453" s="36">
        <v>35186</v>
      </c>
      <c r="B453" s="37">
        <f>VLOOKUP(Table5345679103[[#This Row],[Date]],Database!A:E,MATCH($A$1,Database!$A$1:$E$1,),)</f>
        <v>73.087000000000003</v>
      </c>
      <c r="C453" s="9">
        <f t="shared" si="6"/>
        <v>1.7269500143913155E-3</v>
      </c>
      <c r="D453" s="7">
        <f>(Table5345679103[[#This Row],[Value]]-B441)/B441</f>
        <v>2.1295921076533976E-2</v>
      </c>
    </row>
    <row r="454" spans="1:4" x14ac:dyDescent="0.2">
      <c r="A454" s="36">
        <v>35217</v>
      </c>
      <c r="B454" s="37">
        <f>VLOOKUP(Table5345679103[[#This Row],[Date]],Database!A:E,MATCH($A$1,Database!$A$1:$E$1,),)</f>
        <v>73.085999999999999</v>
      </c>
      <c r="C454" s="9">
        <f t="shared" ref="C454:C517" si="7">(B454-B453)/B453</f>
        <v>-1.368232380594052E-5</v>
      </c>
      <c r="D454" s="7">
        <f>(Table5345679103[[#This Row],[Value]]-B442)/B442</f>
        <v>2.0283947342705222E-2</v>
      </c>
    </row>
    <row r="455" spans="1:4" x14ac:dyDescent="0.2">
      <c r="A455" s="36">
        <v>35247</v>
      </c>
      <c r="B455" s="37">
        <f>VLOOKUP(Table5345679103[[#This Row],[Date]],Database!A:E,MATCH($A$1,Database!$A$1:$E$1,),)</f>
        <v>73.241</v>
      </c>
      <c r="C455" s="9">
        <f t="shared" si="7"/>
        <v>2.1207892072353275E-3</v>
      </c>
      <c r="D455" s="7">
        <f>(Table5345679103[[#This Row],[Value]]-B443)/B443</f>
        <v>2.1178996681631933E-2</v>
      </c>
    </row>
    <row r="456" spans="1:4" x14ac:dyDescent="0.2">
      <c r="A456" s="36">
        <v>35278</v>
      </c>
      <c r="B456" s="37">
        <f>VLOOKUP(Table5345679103[[#This Row],[Date]],Database!A:E,MATCH($A$1,Database!$A$1:$E$1,),)</f>
        <v>73.31</v>
      </c>
      <c r="C456" s="9">
        <f t="shared" si="7"/>
        <v>9.4209527450475302E-4</v>
      </c>
      <c r="D456" s="7">
        <f>(Table5345679103[[#This Row],[Value]]-B444)/B444</f>
        <v>1.9936836540200717E-2</v>
      </c>
    </row>
    <row r="457" spans="1:4" x14ac:dyDescent="0.2">
      <c r="A457" s="36">
        <v>35309</v>
      </c>
      <c r="B457" s="37">
        <f>VLOOKUP(Table5345679103[[#This Row],[Date]],Database!A:E,MATCH($A$1,Database!$A$1:$E$1,),)</f>
        <v>73.516999999999996</v>
      </c>
      <c r="C457" s="9">
        <f t="shared" si="7"/>
        <v>2.8236256990859859E-3</v>
      </c>
      <c r="D457" s="7">
        <f>(Table5345679103[[#This Row],[Value]]-B445)/B445</f>
        <v>2.2119956622083724E-2</v>
      </c>
    </row>
    <row r="458" spans="1:4" x14ac:dyDescent="0.2">
      <c r="A458" s="36">
        <v>35339</v>
      </c>
      <c r="B458" s="37">
        <f>VLOOKUP(Table5345679103[[#This Row],[Date]],Database!A:E,MATCH($A$1,Database!$A$1:$E$1,),)</f>
        <v>73.739999999999995</v>
      </c>
      <c r="C458" s="9">
        <f t="shared" si="7"/>
        <v>3.0333120230694802E-3</v>
      </c>
      <c r="D458" s="7">
        <f>(Table5345679103[[#This Row],[Value]]-B446)/B446</f>
        <v>2.25618127106069E-2</v>
      </c>
    </row>
    <row r="459" spans="1:4" x14ac:dyDescent="0.2">
      <c r="A459" s="36">
        <v>35370</v>
      </c>
      <c r="B459" s="37">
        <f>VLOOKUP(Table5345679103[[#This Row],[Date]],Database!A:E,MATCH($A$1,Database!$A$1:$E$1,),)</f>
        <v>73.870999999999995</v>
      </c>
      <c r="C459" s="9">
        <f t="shared" si="7"/>
        <v>1.7765120694331468E-3</v>
      </c>
      <c r="D459" s="7">
        <f>(Table5345679103[[#This Row],[Value]]-B447)/B447</f>
        <v>2.4406817267823091E-2</v>
      </c>
    </row>
    <row r="460" spans="1:4" x14ac:dyDescent="0.2">
      <c r="A460" s="36">
        <v>35400</v>
      </c>
      <c r="B460" s="37">
        <f>VLOOKUP(Table5345679103[[#This Row],[Date]],Database!A:E,MATCH($A$1,Database!$A$1:$E$1,),)</f>
        <v>73.956000000000003</v>
      </c>
      <c r="C460" s="9">
        <f t="shared" si="7"/>
        <v>1.1506545193649465E-3</v>
      </c>
      <c r="D460" s="7">
        <f>(Table5345679103[[#This Row],[Value]]-B448)/B448</f>
        <v>2.3626624589959833E-2</v>
      </c>
    </row>
    <row r="461" spans="1:4" x14ac:dyDescent="0.2">
      <c r="A461" s="36">
        <v>35431</v>
      </c>
      <c r="B461" s="37">
        <f>VLOOKUP(Table5345679103[[#This Row],[Date]],Database!A:E,MATCH($A$1,Database!$A$1:$E$1,),)</f>
        <v>74.052000000000007</v>
      </c>
      <c r="C461" s="9">
        <f t="shared" si="7"/>
        <v>1.2980691221808052E-3</v>
      </c>
      <c r="D461" s="7">
        <f>(Table5345679103[[#This Row],[Value]]-B449)/B449</f>
        <v>2.2676425908023896E-2</v>
      </c>
    </row>
    <row r="462" spans="1:4" x14ac:dyDescent="0.2">
      <c r="A462" s="36">
        <v>35462</v>
      </c>
      <c r="B462" s="37">
        <f>VLOOKUP(Table5345679103[[#This Row],[Date]],Database!A:E,MATCH($A$1,Database!$A$1:$E$1,),)</f>
        <v>74.207999999999998</v>
      </c>
      <c r="C462" s="9">
        <f t="shared" si="7"/>
        <v>2.1066277750768606E-3</v>
      </c>
      <c r="D462" s="7">
        <f>(Table5345679103[[#This Row],[Value]]-B450)/B450</f>
        <v>2.3219899619436289E-2</v>
      </c>
    </row>
    <row r="463" spans="1:4" x14ac:dyDescent="0.2">
      <c r="A463" s="36">
        <v>35490</v>
      </c>
      <c r="B463" s="37">
        <f>VLOOKUP(Table5345679103[[#This Row],[Date]],Database!A:E,MATCH($A$1,Database!$A$1:$E$1,),)</f>
        <v>74.286000000000001</v>
      </c>
      <c r="C463" s="9">
        <f t="shared" si="7"/>
        <v>1.0510996119017216E-3</v>
      </c>
      <c r="D463" s="7">
        <f>(Table5345679103[[#This Row],[Value]]-B451)/B451</f>
        <v>2.1211662977881122E-2</v>
      </c>
    </row>
    <row r="464" spans="1:4" x14ac:dyDescent="0.2">
      <c r="A464" s="36">
        <v>35521</v>
      </c>
      <c r="B464" s="37">
        <f>VLOOKUP(Table5345679103[[#This Row],[Date]],Database!A:E,MATCH($A$1,Database!$A$1:$E$1,),)</f>
        <v>74.358999999999995</v>
      </c>
      <c r="C464" s="9">
        <f t="shared" si="7"/>
        <v>9.826885281209554E-4</v>
      </c>
      <c r="D464" s="7">
        <f>(Table5345679103[[#This Row],[Value]]-B452)/B452</f>
        <v>1.9160921588245724E-2</v>
      </c>
    </row>
    <row r="465" spans="1:4" x14ac:dyDescent="0.2">
      <c r="A465" s="36">
        <v>35551</v>
      </c>
      <c r="B465" s="37">
        <f>VLOOKUP(Table5345679103[[#This Row],[Date]],Database!A:E,MATCH($A$1,Database!$A$1:$E$1,),)</f>
        <v>74.323999999999998</v>
      </c>
      <c r="C465" s="9">
        <f t="shared" si="7"/>
        <v>-4.7068949286564629E-4</v>
      </c>
      <c r="D465" s="7">
        <f>(Table5345679103[[#This Row],[Value]]-B453)/B453</f>
        <v>1.6925034547867538E-2</v>
      </c>
    </row>
    <row r="466" spans="1:4" x14ac:dyDescent="0.2">
      <c r="A466" s="36">
        <v>35582</v>
      </c>
      <c r="B466" s="37">
        <f>VLOOKUP(Table5345679103[[#This Row],[Date]],Database!A:E,MATCH($A$1,Database!$A$1:$E$1,),)</f>
        <v>74.42</v>
      </c>
      <c r="C466" s="9">
        <f t="shared" si="7"/>
        <v>1.2916419998924122E-3</v>
      </c>
      <c r="D466" s="7">
        <f>(Table5345679103[[#This Row],[Value]]-B454)/B454</f>
        <v>1.8252469693238148E-2</v>
      </c>
    </row>
    <row r="467" spans="1:4" x14ac:dyDescent="0.2">
      <c r="A467" s="36">
        <v>35612</v>
      </c>
      <c r="B467" s="37">
        <f>VLOOKUP(Table5345679103[[#This Row],[Date]],Database!A:E,MATCH($A$1,Database!$A$1:$E$1,),)</f>
        <v>74.463999999999999</v>
      </c>
      <c r="C467" s="9">
        <f t="shared" si="7"/>
        <v>5.9123891427031615E-4</v>
      </c>
      <c r="D467" s="7">
        <f>(Table5345679103[[#This Row],[Value]]-B455)/B455</f>
        <v>1.6698297401728526E-2</v>
      </c>
    </row>
    <row r="468" spans="1:4" x14ac:dyDescent="0.2">
      <c r="A468" s="36">
        <v>35643</v>
      </c>
      <c r="B468" s="37">
        <f>VLOOKUP(Table5345679103[[#This Row],[Date]],Database!A:E,MATCH($A$1,Database!$A$1:$E$1,),)</f>
        <v>74.524000000000001</v>
      </c>
      <c r="C468" s="9">
        <f t="shared" si="7"/>
        <v>8.0575848732276369E-4</v>
      </c>
      <c r="D468" s="7">
        <f>(Table5345679103[[#This Row],[Value]]-B456)/B456</f>
        <v>1.6559814486427481E-2</v>
      </c>
    </row>
    <row r="469" spans="1:4" x14ac:dyDescent="0.2">
      <c r="A469" s="36">
        <v>35674</v>
      </c>
      <c r="B469" s="37">
        <f>VLOOKUP(Table5345679103[[#This Row],[Date]],Database!A:E,MATCH($A$1,Database!$A$1:$E$1,),)</f>
        <v>74.703999999999994</v>
      </c>
      <c r="C469" s="9">
        <f t="shared" si="7"/>
        <v>2.4153292898930895E-3</v>
      </c>
      <c r="D469" s="7">
        <f>(Table5345679103[[#This Row],[Value]]-B457)/B457</f>
        <v>1.6145925432212927E-2</v>
      </c>
    </row>
    <row r="470" spans="1:4" x14ac:dyDescent="0.2">
      <c r="A470" s="36">
        <v>35704</v>
      </c>
      <c r="B470" s="37">
        <f>VLOOKUP(Table5345679103[[#This Row],[Date]],Database!A:E,MATCH($A$1,Database!$A$1:$E$1,),)</f>
        <v>74.801000000000002</v>
      </c>
      <c r="C470" s="9">
        <f t="shared" si="7"/>
        <v>1.2984579139003055E-3</v>
      </c>
      <c r="D470" s="7">
        <f>(Table5345679103[[#This Row],[Value]]-B458)/B458</f>
        <v>1.4388391646325022E-2</v>
      </c>
    </row>
    <row r="471" spans="1:4" x14ac:dyDescent="0.2">
      <c r="A471" s="36">
        <v>35735</v>
      </c>
      <c r="B471" s="37">
        <f>VLOOKUP(Table5345679103[[#This Row],[Date]],Database!A:E,MATCH($A$1,Database!$A$1:$E$1,),)</f>
        <v>74.804000000000002</v>
      </c>
      <c r="C471" s="9">
        <f t="shared" si="7"/>
        <v>4.0106415689631336E-5</v>
      </c>
      <c r="D471" s="7">
        <f>(Table5345679103[[#This Row],[Value]]-B459)/B459</f>
        <v>1.2630125489028265E-2</v>
      </c>
    </row>
    <row r="472" spans="1:4" x14ac:dyDescent="0.2">
      <c r="A472" s="36">
        <v>35765</v>
      </c>
      <c r="B472" s="37">
        <f>VLOOKUP(Table5345679103[[#This Row],[Date]],Database!A:E,MATCH($A$1,Database!$A$1:$E$1,),)</f>
        <v>74.787999999999997</v>
      </c>
      <c r="C472" s="9">
        <f t="shared" si="7"/>
        <v>-2.1389230522439099E-4</v>
      </c>
      <c r="D472" s="7">
        <f>(Table5345679103[[#This Row],[Value]]-B460)/B460</f>
        <v>1.1249932392233134E-2</v>
      </c>
    </row>
    <row r="473" spans="1:4" x14ac:dyDescent="0.2">
      <c r="A473" s="36">
        <v>35796</v>
      </c>
      <c r="B473" s="37">
        <f>VLOOKUP(Table5345679103[[#This Row],[Date]],Database!A:E,MATCH($A$1,Database!$A$1:$E$1,),)</f>
        <v>74.825000000000003</v>
      </c>
      <c r="C473" s="9">
        <f t="shared" si="7"/>
        <v>4.9473177515117588E-4</v>
      </c>
      <c r="D473" s="7">
        <f>(Table5345679103[[#This Row],[Value]]-B461)/B461</f>
        <v>1.0438610705990331E-2</v>
      </c>
    </row>
    <row r="474" spans="1:4" x14ac:dyDescent="0.2">
      <c r="A474" s="36">
        <v>35827</v>
      </c>
      <c r="B474" s="37">
        <f>VLOOKUP(Table5345679103[[#This Row],[Date]],Database!A:E,MATCH($A$1,Database!$A$1:$E$1,),)</f>
        <v>74.787000000000006</v>
      </c>
      <c r="C474" s="9">
        <f t="shared" si="7"/>
        <v>-5.0785165385896028E-4</v>
      </c>
      <c r="D474" s="7">
        <f>(Table5345679103[[#This Row],[Value]]-B462)/B462</f>
        <v>7.8023932729625878E-3</v>
      </c>
    </row>
    <row r="475" spans="1:4" x14ac:dyDescent="0.2">
      <c r="A475" s="36">
        <v>35855</v>
      </c>
      <c r="B475" s="37">
        <f>VLOOKUP(Table5345679103[[#This Row],[Date]],Database!A:E,MATCH($A$1,Database!$A$1:$E$1,),)</f>
        <v>74.799000000000007</v>
      </c>
      <c r="C475" s="9">
        <f t="shared" si="7"/>
        <v>1.6045569417145298E-4</v>
      </c>
      <c r="D475" s="7">
        <f>(Table5345679103[[#This Row],[Value]]-B463)/B463</f>
        <v>6.9057426702205695E-3</v>
      </c>
    </row>
    <row r="476" spans="1:4" x14ac:dyDescent="0.2">
      <c r="A476" s="36">
        <v>35886</v>
      </c>
      <c r="B476" s="37">
        <f>VLOOKUP(Table5345679103[[#This Row],[Date]],Database!A:E,MATCH($A$1,Database!$A$1:$E$1,),)</f>
        <v>74.891000000000005</v>
      </c>
      <c r="C476" s="9">
        <f t="shared" si="7"/>
        <v>1.2299629674193337E-3</v>
      </c>
      <c r="D476" s="7">
        <f>(Table5345679103[[#This Row],[Value]]-B464)/B464</f>
        <v>7.1544802915586648E-3</v>
      </c>
    </row>
    <row r="477" spans="1:4" x14ac:dyDescent="0.2">
      <c r="A477" s="36">
        <v>35916</v>
      </c>
      <c r="B477" s="37">
        <f>VLOOKUP(Table5345679103[[#This Row],[Date]],Database!A:E,MATCH($A$1,Database!$A$1:$E$1,),)</f>
        <v>74.994</v>
      </c>
      <c r="C477" s="9">
        <f t="shared" si="7"/>
        <v>1.3753321493903731E-3</v>
      </c>
      <c r="D477" s="7">
        <f>(Table5345679103[[#This Row],[Value]]-B465)/B465</f>
        <v>9.0145847909154746E-3</v>
      </c>
    </row>
    <row r="478" spans="1:4" x14ac:dyDescent="0.2">
      <c r="A478" s="36">
        <v>35947</v>
      </c>
      <c r="B478" s="37">
        <f>VLOOKUP(Table5345679103[[#This Row],[Date]],Database!A:E,MATCH($A$1,Database!$A$1:$E$1,),)</f>
        <v>74.930999999999997</v>
      </c>
      <c r="C478" s="9">
        <f t="shared" si="7"/>
        <v>-8.4006720537646194E-4</v>
      </c>
      <c r="D478" s="7">
        <f>(Table5345679103[[#This Row],[Value]]-B466)/B466</f>
        <v>6.866433754367047E-3</v>
      </c>
    </row>
    <row r="479" spans="1:4" x14ac:dyDescent="0.2">
      <c r="A479" s="36">
        <v>35977</v>
      </c>
      <c r="B479" s="37">
        <f>VLOOKUP(Table5345679103[[#This Row],[Date]],Database!A:E,MATCH($A$1,Database!$A$1:$E$1,),)</f>
        <v>75.116</v>
      </c>
      <c r="C479" s="9">
        <f t="shared" si="7"/>
        <v>2.4689380897092296E-3</v>
      </c>
      <c r="D479" s="7">
        <f>(Table5345679103[[#This Row],[Value]]-B467)/B467</f>
        <v>8.7559088955737139E-3</v>
      </c>
    </row>
    <row r="480" spans="1:4" x14ac:dyDescent="0.2">
      <c r="A480" s="36">
        <v>36008</v>
      </c>
      <c r="B480" s="37">
        <f>VLOOKUP(Table5345679103[[#This Row],[Date]],Database!A:E,MATCH($A$1,Database!$A$1:$E$1,),)</f>
        <v>75.22</v>
      </c>
      <c r="C480" s="9">
        <f t="shared" si="7"/>
        <v>1.3845252675861229E-3</v>
      </c>
      <c r="D480" s="7">
        <f>(Table5345679103[[#This Row],[Value]]-B468)/B468</f>
        <v>9.3392732542536359E-3</v>
      </c>
    </row>
    <row r="481" spans="1:4" x14ac:dyDescent="0.2">
      <c r="A481" s="36">
        <v>36039</v>
      </c>
      <c r="B481" s="37">
        <f>VLOOKUP(Table5345679103[[#This Row],[Date]],Database!A:E,MATCH($A$1,Database!$A$1:$E$1,),)</f>
        <v>75.176000000000002</v>
      </c>
      <c r="C481" s="9">
        <f t="shared" si="7"/>
        <v>-5.8495081095449257E-4</v>
      </c>
      <c r="D481" s="7">
        <f>(Table5345679103[[#This Row],[Value]]-B469)/B469</f>
        <v>6.3182694367103298E-3</v>
      </c>
    </row>
    <row r="482" spans="1:4" x14ac:dyDescent="0.2">
      <c r="A482" s="36">
        <v>36069</v>
      </c>
      <c r="B482" s="37">
        <f>VLOOKUP(Table5345679103[[#This Row],[Date]],Database!A:E,MATCH($A$1,Database!$A$1:$E$1,),)</f>
        <v>75.340999999999994</v>
      </c>
      <c r="C482" s="9">
        <f t="shared" si="7"/>
        <v>2.1948494200275627E-3</v>
      </c>
      <c r="D482" s="7">
        <f>(Table5345679103[[#This Row],[Value]]-B470)/B470</f>
        <v>7.219154824133261E-3</v>
      </c>
    </row>
    <row r="483" spans="1:4" x14ac:dyDescent="0.2">
      <c r="A483" s="36">
        <v>36100</v>
      </c>
      <c r="B483" s="37">
        <f>VLOOKUP(Table5345679103[[#This Row],[Date]],Database!A:E,MATCH($A$1,Database!$A$1:$E$1,),)</f>
        <v>75.344999999999999</v>
      </c>
      <c r="C483" s="9">
        <f t="shared" si="7"/>
        <v>5.3091941970572314E-5</v>
      </c>
      <c r="D483" s="7">
        <f>(Table5345679103[[#This Row],[Value]]-B471)/B471</f>
        <v>7.2322335703972618E-3</v>
      </c>
    </row>
    <row r="484" spans="1:4" x14ac:dyDescent="0.2">
      <c r="A484" s="36">
        <v>36130</v>
      </c>
      <c r="B484" s="37">
        <f>VLOOKUP(Table5345679103[[#This Row],[Date]],Database!A:E,MATCH($A$1,Database!$A$1:$E$1,),)</f>
        <v>75.42</v>
      </c>
      <c r="C484" s="9">
        <f t="shared" si="7"/>
        <v>9.9542106310973317E-4</v>
      </c>
      <c r="D484" s="7">
        <f>(Table5345679103[[#This Row],[Value]]-B472)/B472</f>
        <v>8.4505535647430748E-3</v>
      </c>
    </row>
    <row r="485" spans="1:4" x14ac:dyDescent="0.2">
      <c r="A485" s="36">
        <v>36161</v>
      </c>
      <c r="B485" s="37">
        <f>VLOOKUP(Table5345679103[[#This Row],[Date]],Database!A:E,MATCH($A$1,Database!$A$1:$E$1,),)</f>
        <v>75.527000000000001</v>
      </c>
      <c r="C485" s="9">
        <f t="shared" si="7"/>
        <v>1.4187218244497389E-3</v>
      </c>
      <c r="D485" s="7">
        <f>(Table5345679103[[#This Row],[Value]]-B473)/B473</f>
        <v>9.3818910791847402E-3</v>
      </c>
    </row>
    <row r="486" spans="1:4" x14ac:dyDescent="0.2">
      <c r="A486" s="36">
        <v>36192</v>
      </c>
      <c r="B486" s="37">
        <f>VLOOKUP(Table5345679103[[#This Row],[Date]],Database!A:E,MATCH($A$1,Database!$A$1:$E$1,),)</f>
        <v>75.483999999999995</v>
      </c>
      <c r="C486" s="9">
        <f t="shared" si="7"/>
        <v>-5.6933282137522161E-4</v>
      </c>
      <c r="D486" s="7">
        <f>(Table5345679103[[#This Row],[Value]]-B474)/B474</f>
        <v>9.3198015697913868E-3</v>
      </c>
    </row>
    <row r="487" spans="1:4" x14ac:dyDescent="0.2">
      <c r="A487" s="36">
        <v>36220</v>
      </c>
      <c r="B487" s="37">
        <f>VLOOKUP(Table5345679103[[#This Row],[Date]],Database!A:E,MATCH($A$1,Database!$A$1:$E$1,),)</f>
        <v>75.540999999999997</v>
      </c>
      <c r="C487" s="9">
        <f t="shared" si="7"/>
        <v>7.5512691431299571E-4</v>
      </c>
      <c r="D487" s="7">
        <f>(Table5345679103[[#This Row],[Value]]-B475)/B475</f>
        <v>9.9199187154907168E-3</v>
      </c>
    </row>
    <row r="488" spans="1:4" x14ac:dyDescent="0.2">
      <c r="A488" s="36">
        <v>36251</v>
      </c>
      <c r="B488" s="37">
        <f>VLOOKUP(Table5345679103[[#This Row],[Date]],Database!A:E,MATCH($A$1,Database!$A$1:$E$1,),)</f>
        <v>75.906000000000006</v>
      </c>
      <c r="C488" s="9">
        <f t="shared" si="7"/>
        <v>4.8318131875406617E-3</v>
      </c>
      <c r="D488" s="7">
        <f>(Table5345679103[[#This Row],[Value]]-B476)/B476</f>
        <v>1.3553030404187425E-2</v>
      </c>
    </row>
    <row r="489" spans="1:4" x14ac:dyDescent="0.2">
      <c r="A489" s="36">
        <v>36281</v>
      </c>
      <c r="B489" s="37">
        <f>VLOOKUP(Table5345679103[[#This Row],[Date]],Database!A:E,MATCH($A$1,Database!$A$1:$E$1,),)</f>
        <v>75.954999999999998</v>
      </c>
      <c r="C489" s="9">
        <f t="shared" si="7"/>
        <v>6.4553526730419704E-4</v>
      </c>
      <c r="D489" s="7">
        <f>(Table5345679103[[#This Row],[Value]]-B477)/B477</f>
        <v>1.2814358482011875E-2</v>
      </c>
    </row>
    <row r="490" spans="1:4" x14ac:dyDescent="0.2">
      <c r="A490" s="36">
        <v>36312</v>
      </c>
      <c r="B490" s="37">
        <f>VLOOKUP(Table5345679103[[#This Row],[Date]],Database!A:E,MATCH($A$1,Database!$A$1:$E$1,),)</f>
        <v>75.978999999999999</v>
      </c>
      <c r="C490" s="9">
        <f t="shared" si="7"/>
        <v>3.1597656507143586E-4</v>
      </c>
      <c r="D490" s="7">
        <f>(Table5345679103[[#This Row],[Value]]-B478)/B478</f>
        <v>1.3986200637920245E-2</v>
      </c>
    </row>
    <row r="491" spans="1:4" x14ac:dyDescent="0.2">
      <c r="A491" s="36">
        <v>36342</v>
      </c>
      <c r="B491" s="37">
        <f>VLOOKUP(Table5345679103[[#This Row],[Date]],Database!A:E,MATCH($A$1,Database!$A$1:$E$1,),)</f>
        <v>76.180999999999997</v>
      </c>
      <c r="C491" s="9">
        <f t="shared" si="7"/>
        <v>2.658629358112086E-3</v>
      </c>
      <c r="D491" s="7">
        <f>(Table5345679103[[#This Row],[Value]]-B479)/B479</f>
        <v>1.4178071249800278E-2</v>
      </c>
    </row>
    <row r="492" spans="1:4" x14ac:dyDescent="0.2">
      <c r="A492" s="36">
        <v>36373</v>
      </c>
      <c r="B492" s="37">
        <f>VLOOKUP(Table5345679103[[#This Row],[Date]],Database!A:E,MATCH($A$1,Database!$A$1:$E$1,),)</f>
        <v>76.319000000000003</v>
      </c>
      <c r="C492" s="9">
        <f t="shared" si="7"/>
        <v>1.8114753022407848E-3</v>
      </c>
      <c r="D492" s="7">
        <f>(Table5345679103[[#This Row],[Value]]-B480)/B480</f>
        <v>1.4610475937250782E-2</v>
      </c>
    </row>
    <row r="493" spans="1:4" x14ac:dyDescent="0.2">
      <c r="A493" s="36">
        <v>36404</v>
      </c>
      <c r="B493" s="37">
        <f>VLOOKUP(Table5345679103[[#This Row],[Date]],Database!A:E,MATCH($A$1,Database!$A$1:$E$1,),)</f>
        <v>76.593000000000004</v>
      </c>
      <c r="C493" s="9">
        <f t="shared" si="7"/>
        <v>3.5901937918473891E-3</v>
      </c>
      <c r="D493" s="7">
        <f>(Table5345679103[[#This Row],[Value]]-B481)/B481</f>
        <v>1.8849100776843694E-2</v>
      </c>
    </row>
    <row r="494" spans="1:4" x14ac:dyDescent="0.2">
      <c r="A494" s="36">
        <v>36434</v>
      </c>
      <c r="B494" s="37">
        <f>VLOOKUP(Table5345679103[[#This Row],[Date]],Database!A:E,MATCH($A$1,Database!$A$1:$E$1,),)</f>
        <v>76.722999999999999</v>
      </c>
      <c r="C494" s="9">
        <f t="shared" si="7"/>
        <v>1.6972830415311509E-3</v>
      </c>
      <c r="D494" s="7">
        <f>(Table5345679103[[#This Row],[Value]]-B482)/B482</f>
        <v>1.8343265950810383E-2</v>
      </c>
    </row>
    <row r="495" spans="1:4" x14ac:dyDescent="0.2">
      <c r="A495" s="36">
        <v>36465</v>
      </c>
      <c r="B495" s="37">
        <f>VLOOKUP(Table5345679103[[#This Row],[Date]],Database!A:E,MATCH($A$1,Database!$A$1:$E$1,),)</f>
        <v>76.792000000000002</v>
      </c>
      <c r="C495" s="9">
        <f t="shared" si="7"/>
        <v>8.9933918121036212E-4</v>
      </c>
      <c r="D495" s="7">
        <f>(Table5345679103[[#This Row],[Value]]-B483)/B483</f>
        <v>1.9204990377596428E-2</v>
      </c>
    </row>
    <row r="496" spans="1:4" x14ac:dyDescent="0.2">
      <c r="A496" s="36">
        <v>36495</v>
      </c>
      <c r="B496" s="37">
        <f>VLOOKUP(Table5345679103[[#This Row],[Date]],Database!A:E,MATCH($A$1,Database!$A$1:$E$1,),)</f>
        <v>76.97</v>
      </c>
      <c r="C496" s="9">
        <f t="shared" si="7"/>
        <v>2.3179497864360514E-3</v>
      </c>
      <c r="D496" s="7">
        <f>(Table5345679103[[#This Row],[Value]]-B484)/B484</f>
        <v>2.0551577830814068E-2</v>
      </c>
    </row>
    <row r="497" spans="1:4" x14ac:dyDescent="0.2">
      <c r="A497" s="36">
        <v>36526</v>
      </c>
      <c r="B497" s="37">
        <f>VLOOKUP(Table5345679103[[#This Row],[Date]],Database!A:E,MATCH($A$1,Database!$A$1:$E$1,),)</f>
        <v>77.180000000000007</v>
      </c>
      <c r="C497" s="9">
        <f t="shared" si="7"/>
        <v>2.7283357152138232E-3</v>
      </c>
      <c r="D497" s="7">
        <f>(Table5345679103[[#This Row],[Value]]-B485)/B485</f>
        <v>2.1886212877514077E-2</v>
      </c>
    </row>
    <row r="498" spans="1:4" x14ac:dyDescent="0.2">
      <c r="A498" s="36">
        <v>36557</v>
      </c>
      <c r="B498" s="37">
        <f>VLOOKUP(Table5345679103[[#This Row],[Date]],Database!A:E,MATCH($A$1,Database!$A$1:$E$1,),)</f>
        <v>77.421999999999997</v>
      </c>
      <c r="C498" s="9">
        <f t="shared" si="7"/>
        <v>3.1355273386886526E-3</v>
      </c>
      <c r="D498" s="7">
        <f>(Table5345679103[[#This Row],[Value]]-B486)/B486</f>
        <v>2.5674315086640909E-2</v>
      </c>
    </row>
    <row r="499" spans="1:4" x14ac:dyDescent="0.2">
      <c r="A499" s="36">
        <v>36586</v>
      </c>
      <c r="B499" s="37">
        <f>VLOOKUP(Table5345679103[[#This Row],[Date]],Database!A:E,MATCH($A$1,Database!$A$1:$E$1,),)</f>
        <v>77.754999999999995</v>
      </c>
      <c r="C499" s="9">
        <f t="shared" si="7"/>
        <v>4.3011030456459199E-3</v>
      </c>
      <c r="D499" s="7">
        <f>(Table5345679103[[#This Row],[Value]]-B487)/B487</f>
        <v>2.9308587389629454E-2</v>
      </c>
    </row>
    <row r="500" spans="1:4" x14ac:dyDescent="0.2">
      <c r="A500" s="36">
        <v>36617</v>
      </c>
      <c r="B500" s="37">
        <f>VLOOKUP(Table5345679103[[#This Row],[Date]],Database!A:E,MATCH($A$1,Database!$A$1:$E$1,),)</f>
        <v>77.69</v>
      </c>
      <c r="C500" s="9">
        <f t="shared" si="7"/>
        <v>-8.3595910230850406E-4</v>
      </c>
      <c r="D500" s="7">
        <f>(Table5345679103[[#This Row],[Value]]-B488)/B488</f>
        <v>2.3502753405527779E-2</v>
      </c>
    </row>
    <row r="501" spans="1:4" x14ac:dyDescent="0.2">
      <c r="A501" s="36">
        <v>36647</v>
      </c>
      <c r="B501" s="37">
        <f>VLOOKUP(Table5345679103[[#This Row],[Date]],Database!A:E,MATCH($A$1,Database!$A$1:$E$1,),)</f>
        <v>77.754999999999995</v>
      </c>
      <c r="C501" s="9">
        <f t="shared" si="7"/>
        <v>8.3665851460931555E-4</v>
      </c>
      <c r="D501" s="7">
        <f>(Table5345679103[[#This Row],[Value]]-B489)/B489</f>
        <v>2.3698242380356754E-2</v>
      </c>
    </row>
    <row r="502" spans="1:4" x14ac:dyDescent="0.2">
      <c r="A502" s="36">
        <v>36678</v>
      </c>
      <c r="B502" s="37">
        <f>VLOOKUP(Table5345679103[[#This Row],[Date]],Database!A:E,MATCH($A$1,Database!$A$1:$E$1,),)</f>
        <v>78.019000000000005</v>
      </c>
      <c r="C502" s="9">
        <f t="shared" si="7"/>
        <v>3.3952800462994023E-3</v>
      </c>
      <c r="D502" s="7">
        <f>(Table5345679103[[#This Row],[Value]]-B490)/B490</f>
        <v>2.6849524210637233E-2</v>
      </c>
    </row>
    <row r="503" spans="1:4" x14ac:dyDescent="0.2">
      <c r="A503" s="36">
        <v>36708</v>
      </c>
      <c r="B503" s="37">
        <f>VLOOKUP(Table5345679103[[#This Row],[Date]],Database!A:E,MATCH($A$1,Database!$A$1:$E$1,),)</f>
        <v>78.213999999999999</v>
      </c>
      <c r="C503" s="9">
        <f t="shared" si="7"/>
        <v>2.4993911739447207E-3</v>
      </c>
      <c r="D503" s="7">
        <f>(Table5345679103[[#This Row],[Value]]-B491)/B491</f>
        <v>2.6686444126488251E-2</v>
      </c>
    </row>
    <row r="504" spans="1:4" x14ac:dyDescent="0.2">
      <c r="A504" s="36">
        <v>36739</v>
      </c>
      <c r="B504" s="37">
        <f>VLOOKUP(Table5345679103[[#This Row],[Date]],Database!A:E,MATCH($A$1,Database!$A$1:$E$1,),)</f>
        <v>78.209000000000003</v>
      </c>
      <c r="C504" s="9">
        <f t="shared" si="7"/>
        <v>-6.3927174163135153E-5</v>
      </c>
      <c r="D504" s="7">
        <f>(Table5345679103[[#This Row],[Value]]-B492)/B492</f>
        <v>2.4764475425516588E-2</v>
      </c>
    </row>
    <row r="505" spans="1:4" x14ac:dyDescent="0.2">
      <c r="A505" s="36">
        <v>36770</v>
      </c>
      <c r="B505" s="37">
        <f>VLOOKUP(Table5345679103[[#This Row],[Date]],Database!A:E,MATCH($A$1,Database!$A$1:$E$1,),)</f>
        <v>78.545000000000002</v>
      </c>
      <c r="C505" s="9">
        <f t="shared" si="7"/>
        <v>4.2961807464613859E-3</v>
      </c>
      <c r="D505" s="7">
        <f>(Table5345679103[[#This Row],[Value]]-B493)/B493</f>
        <v>2.548535766976092E-2</v>
      </c>
    </row>
    <row r="506" spans="1:4" x14ac:dyDescent="0.2">
      <c r="A506" s="36">
        <v>36800</v>
      </c>
      <c r="B506" s="37">
        <f>VLOOKUP(Table5345679103[[#This Row],[Date]],Database!A:E,MATCH($A$1,Database!$A$1:$E$1,),)</f>
        <v>78.652000000000001</v>
      </c>
      <c r="C506" s="9">
        <f t="shared" si="7"/>
        <v>1.3622764020625032E-3</v>
      </c>
      <c r="D506" s="7">
        <f>(Table5345679103[[#This Row],[Value]]-B494)/B494</f>
        <v>2.5142395370358329E-2</v>
      </c>
    </row>
    <row r="507" spans="1:4" x14ac:dyDescent="0.2">
      <c r="A507" s="36">
        <v>36831</v>
      </c>
      <c r="B507" s="37">
        <f>VLOOKUP(Table5345679103[[#This Row],[Date]],Database!A:E,MATCH($A$1,Database!$A$1:$E$1,),)</f>
        <v>78.762</v>
      </c>
      <c r="C507" s="9">
        <f t="shared" si="7"/>
        <v>1.398565834308084E-3</v>
      </c>
      <c r="D507" s="7">
        <f>(Table5345679103[[#This Row],[Value]]-B495)/B495</f>
        <v>2.5653713928534206E-2</v>
      </c>
    </row>
    <row r="508" spans="1:4" x14ac:dyDescent="0.2">
      <c r="A508" s="36">
        <v>36861</v>
      </c>
      <c r="B508" s="37">
        <f>VLOOKUP(Table5345679103[[#This Row],[Date]],Database!A:E,MATCH($A$1,Database!$A$1:$E$1,),)</f>
        <v>78.882999999999996</v>
      </c>
      <c r="C508" s="9">
        <f t="shared" si="7"/>
        <v>1.5362738376373773E-3</v>
      </c>
      <c r="D508" s="7">
        <f>(Table5345679103[[#This Row],[Value]]-B496)/B496</f>
        <v>2.4853839158113507E-2</v>
      </c>
    </row>
    <row r="509" spans="1:4" x14ac:dyDescent="0.2">
      <c r="A509" s="36">
        <v>36892</v>
      </c>
      <c r="B509" s="37">
        <f>VLOOKUP(Table5345679103[[#This Row],[Date]],Database!A:E,MATCH($A$1,Database!$A$1:$E$1,),)</f>
        <v>79.265000000000001</v>
      </c>
      <c r="C509" s="9">
        <f t="shared" si="7"/>
        <v>4.8426150121066011E-3</v>
      </c>
      <c r="D509" s="7">
        <f>(Table5345679103[[#This Row],[Value]]-B497)/B497</f>
        <v>2.7014770665975556E-2</v>
      </c>
    </row>
    <row r="510" spans="1:4" x14ac:dyDescent="0.2">
      <c r="A510" s="36">
        <v>36923</v>
      </c>
      <c r="B510" s="37">
        <f>VLOOKUP(Table5345679103[[#This Row],[Date]],Database!A:E,MATCH($A$1,Database!$A$1:$E$1,),)</f>
        <v>79.388000000000005</v>
      </c>
      <c r="C510" s="9">
        <f t="shared" si="7"/>
        <v>1.5517567652810781E-3</v>
      </c>
      <c r="D510" s="7">
        <f>(Table5345679103[[#This Row],[Value]]-B498)/B498</f>
        <v>2.5393299062282146E-2</v>
      </c>
    </row>
    <row r="511" spans="1:4" x14ac:dyDescent="0.2">
      <c r="A511" s="36">
        <v>36951</v>
      </c>
      <c r="B511" s="37">
        <f>VLOOKUP(Table5345679103[[#This Row],[Date]],Database!A:E,MATCH($A$1,Database!$A$1:$E$1,),)</f>
        <v>79.394999999999996</v>
      </c>
      <c r="C511" s="9">
        <f t="shared" si="7"/>
        <v>8.8174535194119897E-5</v>
      </c>
      <c r="D511" s="7">
        <f>(Table5345679103[[#This Row],[Value]]-B499)/B499</f>
        <v>2.1091891196707617E-2</v>
      </c>
    </row>
    <row r="512" spans="1:4" x14ac:dyDescent="0.2">
      <c r="A512" s="36">
        <v>36982</v>
      </c>
      <c r="B512" s="37">
        <f>VLOOKUP(Table5345679103[[#This Row],[Date]],Database!A:E,MATCH($A$1,Database!$A$1:$E$1,),)</f>
        <v>79.534000000000006</v>
      </c>
      <c r="C512" s="9">
        <f t="shared" si="7"/>
        <v>1.7507399710310475E-3</v>
      </c>
      <c r="D512" s="7">
        <f>(Table5345679103[[#This Row],[Value]]-B500)/B500</f>
        <v>2.3735358475994443E-2</v>
      </c>
    </row>
    <row r="513" spans="1:4" x14ac:dyDescent="0.2">
      <c r="A513" s="36">
        <v>37012</v>
      </c>
      <c r="B513" s="37">
        <f>VLOOKUP(Table5345679103[[#This Row],[Date]],Database!A:E,MATCH($A$1,Database!$A$1:$E$1,),)</f>
        <v>79.742999999999995</v>
      </c>
      <c r="C513" s="9">
        <f t="shared" si="7"/>
        <v>2.6278069756329237E-3</v>
      </c>
      <c r="D513" s="7">
        <f>(Table5345679103[[#This Row],[Value]]-B501)/B501</f>
        <v>2.5567487621374826E-2</v>
      </c>
    </row>
    <row r="514" spans="1:4" x14ac:dyDescent="0.2">
      <c r="A514" s="36">
        <v>37043</v>
      </c>
      <c r="B514" s="37">
        <f>VLOOKUP(Table5345679103[[#This Row],[Date]],Database!A:E,MATCH($A$1,Database!$A$1:$E$1,),)</f>
        <v>79.885000000000005</v>
      </c>
      <c r="C514" s="9">
        <f t="shared" si="7"/>
        <v>1.7807205648145935E-3</v>
      </c>
      <c r="D514" s="7">
        <f>(Table5345679103[[#This Row],[Value]]-B502)/B502</f>
        <v>2.3917250926056469E-2</v>
      </c>
    </row>
    <row r="515" spans="1:4" x14ac:dyDescent="0.2">
      <c r="A515" s="36">
        <v>37073</v>
      </c>
      <c r="B515" s="37">
        <f>VLOOKUP(Table5345679103[[#This Row],[Date]],Database!A:E,MATCH($A$1,Database!$A$1:$E$1,),)</f>
        <v>79.858000000000004</v>
      </c>
      <c r="C515" s="9">
        <f t="shared" si="7"/>
        <v>-3.3798585466609528E-4</v>
      </c>
      <c r="D515" s="7">
        <f>(Table5345679103[[#This Row],[Value]]-B503)/B503</f>
        <v>2.1019254864858023E-2</v>
      </c>
    </row>
    <row r="516" spans="1:4" x14ac:dyDescent="0.2">
      <c r="A516" s="36">
        <v>37104</v>
      </c>
      <c r="B516" s="37">
        <f>VLOOKUP(Table5345679103[[#This Row],[Date]],Database!A:E,MATCH($A$1,Database!$A$1:$E$1,),)</f>
        <v>79.847999999999999</v>
      </c>
      <c r="C516" s="9">
        <f t="shared" si="7"/>
        <v>-1.2522226952847699E-4</v>
      </c>
      <c r="D516" s="7">
        <f>(Table5345679103[[#This Row],[Value]]-B504)/B504</f>
        <v>2.0956667391220905E-2</v>
      </c>
    </row>
    <row r="517" spans="1:4" x14ac:dyDescent="0.2">
      <c r="A517" s="36">
        <v>37135</v>
      </c>
      <c r="B517" s="37">
        <f>VLOOKUP(Table5345679103[[#This Row],[Date]],Database!A:E,MATCH($A$1,Database!$A$1:$E$1,),)</f>
        <v>79.576999999999998</v>
      </c>
      <c r="C517" s="9">
        <f t="shared" si="7"/>
        <v>-3.393948502154103E-3</v>
      </c>
      <c r="D517" s="7">
        <f>(Table5345679103[[#This Row],[Value]]-B505)/B505</f>
        <v>1.3138964924565491E-2</v>
      </c>
    </row>
    <row r="518" spans="1:4" x14ac:dyDescent="0.2">
      <c r="A518" s="36">
        <v>37165</v>
      </c>
      <c r="B518" s="37">
        <f>VLOOKUP(Table5345679103[[#This Row],[Date]],Database!A:E,MATCH($A$1,Database!$A$1:$E$1,),)</f>
        <v>79.856999999999999</v>
      </c>
      <c r="C518" s="9">
        <f t="shared" ref="C518:C581" si="8">(B518-B517)/B517</f>
        <v>3.518604621938514E-3</v>
      </c>
      <c r="D518" s="7">
        <f>(Table5345679103[[#This Row],[Value]]-B506)/B506</f>
        <v>1.5320653003102251E-2</v>
      </c>
    </row>
    <row r="519" spans="1:4" x14ac:dyDescent="0.2">
      <c r="A519" s="36">
        <v>37196</v>
      </c>
      <c r="B519" s="37">
        <f>VLOOKUP(Table5345679103[[#This Row],[Date]],Database!A:E,MATCH($A$1,Database!$A$1:$E$1,),)</f>
        <v>79.802999999999997</v>
      </c>
      <c r="C519" s="9">
        <f t="shared" si="8"/>
        <v>-6.7620872309255347E-4</v>
      </c>
      <c r="D519" s="7">
        <f>(Table5345679103[[#This Row],[Value]]-B507)/B507</f>
        <v>1.321703359488074E-2</v>
      </c>
    </row>
    <row r="520" spans="1:4" x14ac:dyDescent="0.2">
      <c r="A520" s="36">
        <v>37226</v>
      </c>
      <c r="B520" s="37">
        <f>VLOOKUP(Table5345679103[[#This Row],[Date]],Database!A:E,MATCH($A$1,Database!$A$1:$E$1,),)</f>
        <v>79.721000000000004</v>
      </c>
      <c r="C520" s="9">
        <f t="shared" si="8"/>
        <v>-1.0275302933472881E-3</v>
      </c>
      <c r="D520" s="7">
        <f>(Table5345679103[[#This Row],[Value]]-B508)/B508</f>
        <v>1.0623328220275702E-2</v>
      </c>
    </row>
    <row r="521" spans="1:4" x14ac:dyDescent="0.2">
      <c r="A521" s="36">
        <v>37257</v>
      </c>
      <c r="B521" s="37">
        <f>VLOOKUP(Table5345679103[[#This Row],[Date]],Database!A:E,MATCH($A$1,Database!$A$1:$E$1,),)</f>
        <v>79.793000000000006</v>
      </c>
      <c r="C521" s="9">
        <f t="shared" si="8"/>
        <v>9.031497346997996E-4</v>
      </c>
      <c r="D521" s="7">
        <f>(Table5345679103[[#This Row],[Value]]-B509)/B509</f>
        <v>6.661199772913717E-3</v>
      </c>
    </row>
    <row r="522" spans="1:4" x14ac:dyDescent="0.2">
      <c r="A522" s="36">
        <v>37288</v>
      </c>
      <c r="B522" s="37">
        <f>VLOOKUP(Table5345679103[[#This Row],[Date]],Database!A:E,MATCH($A$1,Database!$A$1:$E$1,),)</f>
        <v>79.926000000000002</v>
      </c>
      <c r="C522" s="9">
        <f t="shared" si="8"/>
        <v>1.6668128783226043E-3</v>
      </c>
      <c r="D522" s="7">
        <f>(Table5345679103[[#This Row],[Value]]-B510)/B510</f>
        <v>6.7768428477855179E-3</v>
      </c>
    </row>
    <row r="523" spans="1:4" x14ac:dyDescent="0.2">
      <c r="A523" s="36">
        <v>37316</v>
      </c>
      <c r="B523" s="37">
        <f>VLOOKUP(Table5345679103[[#This Row],[Date]],Database!A:E,MATCH($A$1,Database!$A$1:$E$1,),)</f>
        <v>80.144000000000005</v>
      </c>
      <c r="C523" s="9">
        <f t="shared" si="8"/>
        <v>2.7275229587368755E-3</v>
      </c>
      <c r="D523" s="7">
        <f>(Table5345679103[[#This Row],[Value]]-B511)/B511</f>
        <v>9.4338434410228544E-3</v>
      </c>
    </row>
    <row r="524" spans="1:4" x14ac:dyDescent="0.2">
      <c r="A524" s="36">
        <v>37347</v>
      </c>
      <c r="B524" s="37">
        <f>VLOOKUP(Table5345679103[[#This Row],[Date]],Database!A:E,MATCH($A$1,Database!$A$1:$E$1,),)</f>
        <v>80.478999999999999</v>
      </c>
      <c r="C524" s="9">
        <f t="shared" si="8"/>
        <v>4.179976043122301E-3</v>
      </c>
      <c r="D524" s="7">
        <f>(Table5345679103[[#This Row],[Value]]-B512)/B512</f>
        <v>1.1881710966379072E-2</v>
      </c>
    </row>
    <row r="525" spans="1:4" x14ac:dyDescent="0.2">
      <c r="A525" s="36">
        <v>37377</v>
      </c>
      <c r="B525" s="37">
        <f>VLOOKUP(Table5345679103[[#This Row],[Date]],Database!A:E,MATCH($A$1,Database!$A$1:$E$1,),)</f>
        <v>80.531000000000006</v>
      </c>
      <c r="C525" s="9">
        <f t="shared" si="8"/>
        <v>6.4613128890774873E-4</v>
      </c>
      <c r="D525" s="7">
        <f>(Table5345679103[[#This Row],[Value]]-B513)/B513</f>
        <v>9.8817451061536561E-3</v>
      </c>
    </row>
    <row r="526" spans="1:4" x14ac:dyDescent="0.2">
      <c r="A526" s="36">
        <v>37408</v>
      </c>
      <c r="B526" s="37">
        <f>VLOOKUP(Table5345679103[[#This Row],[Date]],Database!A:E,MATCH($A$1,Database!$A$1:$E$1,),)</f>
        <v>80.632000000000005</v>
      </c>
      <c r="C526" s="9">
        <f t="shared" si="8"/>
        <v>1.2541754107113917E-3</v>
      </c>
      <c r="D526" s="7">
        <f>(Table5345679103[[#This Row],[Value]]-B514)/B514</f>
        <v>9.3509419790949472E-3</v>
      </c>
    </row>
    <row r="527" spans="1:4" x14ac:dyDescent="0.2">
      <c r="A527" s="36">
        <v>37438</v>
      </c>
      <c r="B527" s="37">
        <f>VLOOKUP(Table5345679103[[#This Row],[Date]],Database!A:E,MATCH($A$1,Database!$A$1:$E$1,),)</f>
        <v>80.81</v>
      </c>
      <c r="C527" s="9">
        <f t="shared" si="8"/>
        <v>2.2075602738366564E-3</v>
      </c>
      <c r="D527" s="7">
        <f>(Table5345679103[[#This Row],[Value]]-B515)/B515</f>
        <v>1.1921160059104888E-2</v>
      </c>
    </row>
    <row r="528" spans="1:4" x14ac:dyDescent="0.2">
      <c r="A528" s="36">
        <v>37469</v>
      </c>
      <c r="B528" s="37">
        <f>VLOOKUP(Table5345679103[[#This Row],[Date]],Database!A:E,MATCH($A$1,Database!$A$1:$E$1,),)</f>
        <v>80.968999999999994</v>
      </c>
      <c r="C528" s="9">
        <f t="shared" si="8"/>
        <v>1.9675782700159859E-3</v>
      </c>
      <c r="D528" s="7">
        <f>(Table5345679103[[#This Row],[Value]]-B516)/B516</f>
        <v>1.4039174431419636E-2</v>
      </c>
    </row>
    <row r="529" spans="1:4" x14ac:dyDescent="0.2">
      <c r="A529" s="36">
        <v>37500</v>
      </c>
      <c r="B529" s="37">
        <f>VLOOKUP(Table5345679103[[#This Row],[Date]],Database!A:E,MATCH($A$1,Database!$A$1:$E$1,),)</f>
        <v>81.114999999999995</v>
      </c>
      <c r="C529" s="9">
        <f t="shared" si="8"/>
        <v>1.8031592337808397E-3</v>
      </c>
      <c r="D529" s="7">
        <f>(Table5345679103[[#This Row],[Value]]-B517)/B517</f>
        <v>1.9327192530505004E-2</v>
      </c>
    </row>
    <row r="530" spans="1:4" x14ac:dyDescent="0.2">
      <c r="A530" s="36">
        <v>37530</v>
      </c>
      <c r="B530" s="37">
        <f>VLOOKUP(Table5345679103[[#This Row],[Date]],Database!A:E,MATCH($A$1,Database!$A$1:$E$1,),)</f>
        <v>81.262</v>
      </c>
      <c r="C530" s="9">
        <f t="shared" si="8"/>
        <v>1.8122418788140983E-3</v>
      </c>
      <c r="D530" s="7">
        <f>(Table5345679103[[#This Row],[Value]]-B518)/B518</f>
        <v>1.7593949184166711E-2</v>
      </c>
    </row>
    <row r="531" spans="1:4" x14ac:dyDescent="0.2">
      <c r="A531" s="36">
        <v>37561</v>
      </c>
      <c r="B531" s="37">
        <f>VLOOKUP(Table5345679103[[#This Row],[Date]],Database!A:E,MATCH($A$1,Database!$A$1:$E$1,),)</f>
        <v>81.343000000000004</v>
      </c>
      <c r="C531" s="9">
        <f t="shared" si="8"/>
        <v>9.9677586079598168E-4</v>
      </c>
      <c r="D531" s="7">
        <f>(Table5345679103[[#This Row],[Value]]-B519)/B519</f>
        <v>1.9297520143353085E-2</v>
      </c>
    </row>
    <row r="532" spans="1:4" x14ac:dyDescent="0.2">
      <c r="A532" s="36">
        <v>37591</v>
      </c>
      <c r="B532" s="37">
        <f>VLOOKUP(Table5345679103[[#This Row],[Date]],Database!A:E,MATCH($A$1,Database!$A$1:$E$1,),)</f>
        <v>81.421000000000006</v>
      </c>
      <c r="C532" s="9">
        <f t="shared" si="8"/>
        <v>9.589024255314281E-4</v>
      </c>
      <c r="D532" s="7">
        <f>(Table5345679103[[#This Row],[Value]]-B520)/B520</f>
        <v>2.1324368735966718E-2</v>
      </c>
    </row>
    <row r="533" spans="1:4" x14ac:dyDescent="0.2">
      <c r="A533" s="36">
        <v>37622</v>
      </c>
      <c r="B533" s="37">
        <f>VLOOKUP(Table5345679103[[#This Row],[Date]],Database!A:E,MATCH($A$1,Database!$A$1:$E$1,),)</f>
        <v>81.664000000000001</v>
      </c>
      <c r="C533" s="9">
        <f t="shared" si="8"/>
        <v>2.9844880313432036E-3</v>
      </c>
      <c r="D533" s="7">
        <f>(Table5345679103[[#This Row],[Value]]-B521)/B521</f>
        <v>2.3448172145426226E-2</v>
      </c>
    </row>
    <row r="534" spans="1:4" x14ac:dyDescent="0.2">
      <c r="A534" s="36">
        <v>37653</v>
      </c>
      <c r="B534" s="37">
        <f>VLOOKUP(Table5345679103[[#This Row],[Date]],Database!A:E,MATCH($A$1,Database!$A$1:$E$1,),)</f>
        <v>82.009</v>
      </c>
      <c r="C534" s="9">
        <f t="shared" si="8"/>
        <v>4.2246277429466945E-3</v>
      </c>
      <c r="D534" s="7">
        <f>(Table5345679103[[#This Row],[Value]]-B522)/B522</f>
        <v>2.6061606986462458E-2</v>
      </c>
    </row>
    <row r="535" spans="1:4" x14ac:dyDescent="0.2">
      <c r="A535" s="36">
        <v>37681</v>
      </c>
      <c r="B535" s="37">
        <f>VLOOKUP(Table5345679103[[#This Row],[Date]],Database!A:E,MATCH($A$1,Database!$A$1:$E$1,),)</f>
        <v>82.218999999999994</v>
      </c>
      <c r="C535" s="9">
        <f t="shared" si="8"/>
        <v>2.560694557914299E-3</v>
      </c>
      <c r="D535" s="7">
        <f>(Table5345679103[[#This Row],[Value]]-B523)/B523</f>
        <v>2.5890896386504148E-2</v>
      </c>
    </row>
    <row r="536" spans="1:4" x14ac:dyDescent="0.2">
      <c r="A536" s="36">
        <v>37712</v>
      </c>
      <c r="B536" s="37">
        <f>VLOOKUP(Table5345679103[[#This Row],[Date]],Database!A:E,MATCH($A$1,Database!$A$1:$E$1,),)</f>
        <v>82.08</v>
      </c>
      <c r="C536" s="9">
        <f t="shared" si="8"/>
        <v>-1.690606794049986E-3</v>
      </c>
      <c r="D536" s="7">
        <f>(Table5345679103[[#This Row],[Value]]-B524)/B524</f>
        <v>1.9893388337330224E-2</v>
      </c>
    </row>
    <row r="537" spans="1:4" x14ac:dyDescent="0.2">
      <c r="A537" s="36">
        <v>37742</v>
      </c>
      <c r="B537" s="37">
        <f>VLOOKUP(Table5345679103[[#This Row],[Date]],Database!A:E,MATCH($A$1,Database!$A$1:$E$1,),)</f>
        <v>81.986000000000004</v>
      </c>
      <c r="C537" s="9">
        <f t="shared" si="8"/>
        <v>-1.1452241715398891E-3</v>
      </c>
      <c r="D537" s="7">
        <f>(Table5345679103[[#This Row],[Value]]-B525)/B525</f>
        <v>1.8067576461238508E-2</v>
      </c>
    </row>
    <row r="538" spans="1:4" x14ac:dyDescent="0.2">
      <c r="A538" s="36">
        <v>37773</v>
      </c>
      <c r="B538" s="37">
        <f>VLOOKUP(Table5345679103[[#This Row],[Date]],Database!A:E,MATCH($A$1,Database!$A$1:$E$1,),)</f>
        <v>82.073999999999998</v>
      </c>
      <c r="C538" s="9">
        <f t="shared" si="8"/>
        <v>1.0733539872660436E-3</v>
      </c>
      <c r="D538" s="7">
        <f>(Table5345679103[[#This Row],[Value]]-B526)/B526</f>
        <v>1.7883718622879168E-2</v>
      </c>
    </row>
    <row r="539" spans="1:4" x14ac:dyDescent="0.2">
      <c r="A539" s="36">
        <v>37803</v>
      </c>
      <c r="B539" s="37">
        <f>VLOOKUP(Table5345679103[[#This Row],[Date]],Database!A:E,MATCH($A$1,Database!$A$1:$E$1,),)</f>
        <v>82.314999999999998</v>
      </c>
      <c r="C539" s="9">
        <f t="shared" si="8"/>
        <v>2.9363744913127139E-3</v>
      </c>
      <c r="D539" s="7">
        <f>(Table5345679103[[#This Row],[Value]]-B527)/B527</f>
        <v>1.8623932681598756E-2</v>
      </c>
    </row>
    <row r="540" spans="1:4" x14ac:dyDescent="0.2">
      <c r="A540" s="36">
        <v>37834</v>
      </c>
      <c r="B540" s="37">
        <f>VLOOKUP(Table5345679103[[#This Row],[Date]],Database!A:E,MATCH($A$1,Database!$A$1:$E$1,),)</f>
        <v>82.593000000000004</v>
      </c>
      <c r="C540" s="9">
        <f t="shared" si="8"/>
        <v>3.37727024236173E-3</v>
      </c>
      <c r="D540" s="7">
        <f>(Table5345679103[[#This Row],[Value]]-B528)/B528</f>
        <v>2.0057058874384141E-2</v>
      </c>
    </row>
    <row r="541" spans="1:4" x14ac:dyDescent="0.2">
      <c r="A541" s="36">
        <v>37865</v>
      </c>
      <c r="B541" s="37">
        <f>VLOOKUP(Table5345679103[[#This Row],[Date]],Database!A:E,MATCH($A$1,Database!$A$1:$E$1,),)</f>
        <v>82.852000000000004</v>
      </c>
      <c r="C541" s="9">
        <f t="shared" si="8"/>
        <v>3.1358589710992497E-3</v>
      </c>
      <c r="D541" s="7">
        <f>(Table5345679103[[#This Row],[Value]]-B529)/B529</f>
        <v>2.1414041792516908E-2</v>
      </c>
    </row>
    <row r="542" spans="1:4" x14ac:dyDescent="0.2">
      <c r="A542" s="36">
        <v>37895</v>
      </c>
      <c r="B542" s="37">
        <f>VLOOKUP(Table5345679103[[#This Row],[Date]],Database!A:E,MATCH($A$1,Database!$A$1:$E$1,),)</f>
        <v>82.861999999999995</v>
      </c>
      <c r="C542" s="9">
        <f t="shared" si="8"/>
        <v>1.2069714671934177E-4</v>
      </c>
      <c r="D542" s="7">
        <f>(Table5345679103[[#This Row],[Value]]-B530)/B530</f>
        <v>1.9689399719425984E-2</v>
      </c>
    </row>
    <row r="543" spans="1:4" x14ac:dyDescent="0.2">
      <c r="A543" s="36">
        <v>37926</v>
      </c>
      <c r="B543" s="37">
        <f>VLOOKUP(Table5345679103[[#This Row],[Date]],Database!A:E,MATCH($A$1,Database!$A$1:$E$1,),)</f>
        <v>82.966999999999999</v>
      </c>
      <c r="C543" s="9">
        <f t="shared" si="8"/>
        <v>1.2671670971012524E-3</v>
      </c>
      <c r="D543" s="7">
        <f>(Table5345679103[[#This Row],[Value]]-B531)/B531</f>
        <v>1.9964840244397122E-2</v>
      </c>
    </row>
    <row r="544" spans="1:4" x14ac:dyDescent="0.2">
      <c r="A544" s="36">
        <v>37956</v>
      </c>
      <c r="B544" s="37">
        <f>VLOOKUP(Table5345679103[[#This Row],[Date]],Database!A:E,MATCH($A$1,Database!$A$1:$E$1,),)</f>
        <v>83.15</v>
      </c>
      <c r="C544" s="9">
        <f t="shared" si="8"/>
        <v>2.2056962406740866E-3</v>
      </c>
      <c r="D544" s="7">
        <f>(Table5345679103[[#This Row],[Value]]-B532)/B532</f>
        <v>2.1235307844413593E-2</v>
      </c>
    </row>
    <row r="545" spans="1:4" x14ac:dyDescent="0.2">
      <c r="A545" s="36">
        <v>37987</v>
      </c>
      <c r="B545" s="37">
        <f>VLOOKUP(Table5345679103[[#This Row],[Date]],Database!A:E,MATCH($A$1,Database!$A$1:$E$1,),)</f>
        <v>83.471000000000004</v>
      </c>
      <c r="C545" s="9">
        <f t="shared" si="8"/>
        <v>3.8604930847865055E-3</v>
      </c>
      <c r="D545" s="7">
        <f>(Table5345679103[[#This Row],[Value]]-B533)/B533</f>
        <v>2.2127253134796264E-2</v>
      </c>
    </row>
    <row r="546" spans="1:4" x14ac:dyDescent="0.2">
      <c r="A546" s="36">
        <v>38018</v>
      </c>
      <c r="B546" s="37">
        <f>VLOOKUP(Table5345679103[[#This Row],[Date]],Database!A:E,MATCH($A$1,Database!$A$1:$E$1,),)</f>
        <v>83.649000000000001</v>
      </c>
      <c r="C546" s="9">
        <f t="shared" si="8"/>
        <v>2.1324771477518809E-3</v>
      </c>
      <c r="D546" s="7">
        <f>(Table5345679103[[#This Row],[Value]]-B534)/B534</f>
        <v>1.9997805118950367E-2</v>
      </c>
    </row>
    <row r="547" spans="1:4" x14ac:dyDescent="0.2">
      <c r="A547" s="36">
        <v>38047</v>
      </c>
      <c r="B547" s="37">
        <f>VLOOKUP(Table5345679103[[#This Row],[Date]],Database!A:E,MATCH($A$1,Database!$A$1:$E$1,),)</f>
        <v>83.778000000000006</v>
      </c>
      <c r="C547" s="9">
        <f t="shared" si="8"/>
        <v>1.5421583043432065E-3</v>
      </c>
      <c r="D547" s="7">
        <f>(Table5345679103[[#This Row],[Value]]-B535)/B535</f>
        <v>1.8961553898734013E-2</v>
      </c>
    </row>
    <row r="548" spans="1:4" x14ac:dyDescent="0.2">
      <c r="A548" s="36">
        <v>38078</v>
      </c>
      <c r="B548" s="37">
        <f>VLOOKUP(Table5345679103[[#This Row],[Date]],Database!A:E,MATCH($A$1,Database!$A$1:$E$1,),)</f>
        <v>83.933999999999997</v>
      </c>
      <c r="C548" s="9">
        <f t="shared" si="8"/>
        <v>1.8620640263552685E-3</v>
      </c>
      <c r="D548" s="7">
        <f>(Table5345679103[[#This Row],[Value]]-B536)/B536</f>
        <v>2.2587719298245604E-2</v>
      </c>
    </row>
    <row r="549" spans="1:4" x14ac:dyDescent="0.2">
      <c r="A549" s="36">
        <v>38108</v>
      </c>
      <c r="B549" s="37">
        <f>VLOOKUP(Table5345679103[[#This Row],[Date]],Database!A:E,MATCH($A$1,Database!$A$1:$E$1,),)</f>
        <v>84.206000000000003</v>
      </c>
      <c r="C549" s="9">
        <f t="shared" si="8"/>
        <v>3.240641456382462E-3</v>
      </c>
      <c r="D549" s="7">
        <f>(Table5345679103[[#This Row],[Value]]-B537)/B537</f>
        <v>2.7077793769667978E-2</v>
      </c>
    </row>
    <row r="550" spans="1:4" x14ac:dyDescent="0.2">
      <c r="A550" s="36">
        <v>38139</v>
      </c>
      <c r="B550" s="37">
        <f>VLOOKUP(Table5345679103[[#This Row],[Date]],Database!A:E,MATCH($A$1,Database!$A$1:$E$1,),)</f>
        <v>84.447000000000003</v>
      </c>
      <c r="C550" s="9">
        <f t="shared" si="8"/>
        <v>2.8620288340498261E-3</v>
      </c>
      <c r="D550" s="7">
        <f>(Table5345679103[[#This Row],[Value]]-B538)/B538</f>
        <v>2.8912932231888355E-2</v>
      </c>
    </row>
    <row r="551" spans="1:4" x14ac:dyDescent="0.2">
      <c r="A551" s="36">
        <v>38169</v>
      </c>
      <c r="B551" s="37">
        <f>VLOOKUP(Table5345679103[[#This Row],[Date]],Database!A:E,MATCH($A$1,Database!$A$1:$E$1,),)</f>
        <v>84.525000000000006</v>
      </c>
      <c r="C551" s="9">
        <f t="shared" si="8"/>
        <v>9.2365625777118137E-4</v>
      </c>
      <c r="D551" s="7">
        <f>(Table5345679103[[#This Row],[Value]]-B539)/B539</f>
        <v>2.6848083581364368E-2</v>
      </c>
    </row>
    <row r="552" spans="1:4" x14ac:dyDescent="0.2">
      <c r="A552" s="36">
        <v>38200</v>
      </c>
      <c r="B552" s="37">
        <f>VLOOKUP(Table5345679103[[#This Row],[Date]],Database!A:E,MATCH($A$1,Database!$A$1:$E$1,),)</f>
        <v>84.569000000000003</v>
      </c>
      <c r="C552" s="9">
        <f t="shared" si="8"/>
        <v>5.2055604850632269E-4</v>
      </c>
      <c r="D552" s="7">
        <f>(Table5345679103[[#This Row],[Value]]-B540)/B540</f>
        <v>2.3924545663676085E-2</v>
      </c>
    </row>
    <row r="553" spans="1:4" x14ac:dyDescent="0.2">
      <c r="A553" s="36">
        <v>38231</v>
      </c>
      <c r="B553" s="37">
        <f>VLOOKUP(Table5345679103[[#This Row],[Date]],Database!A:E,MATCH($A$1,Database!$A$1:$E$1,),)</f>
        <v>84.734999999999999</v>
      </c>
      <c r="C553" s="9">
        <f t="shared" si="8"/>
        <v>1.9628942047321928E-3</v>
      </c>
      <c r="D553" s="7">
        <f>(Table5345679103[[#This Row],[Value]]-B541)/B541</f>
        <v>2.2727272727272672E-2</v>
      </c>
    </row>
    <row r="554" spans="1:4" x14ac:dyDescent="0.2">
      <c r="A554" s="36">
        <v>38261</v>
      </c>
      <c r="B554" s="37">
        <f>VLOOKUP(Table5345679103[[#This Row],[Date]],Database!A:E,MATCH($A$1,Database!$A$1:$E$1,),)</f>
        <v>85.099000000000004</v>
      </c>
      <c r="C554" s="9">
        <f t="shared" si="8"/>
        <v>4.2957455596861309E-3</v>
      </c>
      <c r="D554" s="7">
        <f>(Table5345679103[[#This Row],[Value]]-B542)/B542</f>
        <v>2.6996693297289581E-2</v>
      </c>
    </row>
    <row r="555" spans="1:4" x14ac:dyDescent="0.2">
      <c r="A555" s="36">
        <v>38292</v>
      </c>
      <c r="B555" s="37">
        <f>VLOOKUP(Table5345679103[[#This Row],[Date]],Database!A:E,MATCH($A$1,Database!$A$1:$E$1,),)</f>
        <v>85.427000000000007</v>
      </c>
      <c r="C555" s="9">
        <f t="shared" si="8"/>
        <v>3.8543343635060686E-3</v>
      </c>
      <c r="D555" s="7">
        <f>(Table5345679103[[#This Row],[Value]]-B543)/B543</f>
        <v>2.9650342907421121E-2</v>
      </c>
    </row>
    <row r="556" spans="1:4" x14ac:dyDescent="0.2">
      <c r="A556" s="36">
        <v>38322</v>
      </c>
      <c r="B556" s="37">
        <f>VLOOKUP(Table5345679103[[#This Row],[Date]],Database!A:E,MATCH($A$1,Database!$A$1:$E$1,),)</f>
        <v>85.472999999999999</v>
      </c>
      <c r="C556" s="9">
        <f t="shared" si="8"/>
        <v>5.3847144345455498E-4</v>
      </c>
      <c r="D556" s="7">
        <f>(Table5345679103[[#This Row],[Value]]-B544)/B544</f>
        <v>2.7937462417318017E-2</v>
      </c>
    </row>
    <row r="557" spans="1:4" x14ac:dyDescent="0.2">
      <c r="A557" s="36">
        <v>38353</v>
      </c>
      <c r="B557" s="37">
        <f>VLOOKUP(Table5345679103[[#This Row],[Date]],Database!A:E,MATCH($A$1,Database!$A$1:$E$1,),)</f>
        <v>85.584999999999994</v>
      </c>
      <c r="C557" s="9">
        <f t="shared" si="8"/>
        <v>1.3103553168836331E-3</v>
      </c>
      <c r="D557" s="7">
        <f>(Table5345679103[[#This Row],[Value]]-B545)/B545</f>
        <v>2.5326161181727667E-2</v>
      </c>
    </row>
    <row r="558" spans="1:4" x14ac:dyDescent="0.2">
      <c r="A558" s="36">
        <v>38384</v>
      </c>
      <c r="B558" s="37">
        <f>VLOOKUP(Table5345679103[[#This Row],[Date]],Database!A:E,MATCH($A$1,Database!$A$1:$E$1,),)</f>
        <v>85.822999999999993</v>
      </c>
      <c r="C558" s="9">
        <f t="shared" si="8"/>
        <v>2.7808611322077416E-3</v>
      </c>
      <c r="D558" s="7">
        <f>(Table5345679103[[#This Row],[Value]]-B546)/B546</f>
        <v>2.5989551578620096E-2</v>
      </c>
    </row>
    <row r="559" spans="1:4" x14ac:dyDescent="0.2">
      <c r="A559" s="36">
        <v>38412</v>
      </c>
      <c r="B559" s="37">
        <f>VLOOKUP(Table5345679103[[#This Row],[Date]],Database!A:E,MATCH($A$1,Database!$A$1:$E$1,),)</f>
        <v>86.08</v>
      </c>
      <c r="C559" s="9">
        <f t="shared" si="8"/>
        <v>2.9945352644396611E-3</v>
      </c>
      <c r="D559" s="7">
        <f>(Table5345679103[[#This Row],[Value]]-B547)/B547</f>
        <v>2.7477380696602834E-2</v>
      </c>
    </row>
    <row r="560" spans="1:4" x14ac:dyDescent="0.2">
      <c r="A560" s="36">
        <v>38443</v>
      </c>
      <c r="B560" s="37">
        <f>VLOOKUP(Table5345679103[[#This Row],[Date]],Database!A:E,MATCH($A$1,Database!$A$1:$E$1,),)</f>
        <v>86.320999999999998</v>
      </c>
      <c r="C560" s="9">
        <f t="shared" si="8"/>
        <v>2.799721189591074E-3</v>
      </c>
      <c r="D560" s="7">
        <f>(Table5345679103[[#This Row],[Value]]-B548)/B548</f>
        <v>2.8439011604355809E-2</v>
      </c>
    </row>
    <row r="561" spans="1:4" x14ac:dyDescent="0.2">
      <c r="A561" s="36">
        <v>38473</v>
      </c>
      <c r="B561" s="37">
        <f>VLOOKUP(Table5345679103[[#This Row],[Date]],Database!A:E,MATCH($A$1,Database!$A$1:$E$1,),)</f>
        <v>86.37</v>
      </c>
      <c r="C561" s="9">
        <f t="shared" si="8"/>
        <v>5.6764866023339164E-4</v>
      </c>
      <c r="D561" s="7">
        <f>(Table5345679103[[#This Row],[Value]]-B549)/B549</f>
        <v>2.5698881314870692E-2</v>
      </c>
    </row>
    <row r="562" spans="1:4" x14ac:dyDescent="0.2">
      <c r="A562" s="36">
        <v>38504</v>
      </c>
      <c r="B562" s="37">
        <f>VLOOKUP(Table5345679103[[#This Row],[Date]],Database!A:E,MATCH($A$1,Database!$A$1:$E$1,),)</f>
        <v>86.423000000000002</v>
      </c>
      <c r="C562" s="9">
        <f t="shared" si="8"/>
        <v>6.1363899502138788E-4</v>
      </c>
      <c r="D562" s="7">
        <f>(Table5345679103[[#This Row],[Value]]-B550)/B550</f>
        <v>2.3399291863535697E-2</v>
      </c>
    </row>
    <row r="563" spans="1:4" x14ac:dyDescent="0.2">
      <c r="A563" s="36">
        <v>38534</v>
      </c>
      <c r="B563" s="37">
        <f>VLOOKUP(Table5345679103[[#This Row],[Date]],Database!A:E,MATCH($A$1,Database!$A$1:$E$1,),)</f>
        <v>86.79</v>
      </c>
      <c r="C563" s="9">
        <f t="shared" si="8"/>
        <v>4.2465547365863766E-3</v>
      </c>
      <c r="D563" s="7">
        <f>(Table5345679103[[#This Row],[Value]]-B551)/B551</f>
        <v>2.6796805678793261E-2</v>
      </c>
    </row>
    <row r="564" spans="1:4" x14ac:dyDescent="0.2">
      <c r="A564" s="36">
        <v>38565</v>
      </c>
      <c r="B564" s="37">
        <f>VLOOKUP(Table5345679103[[#This Row],[Date]],Database!A:E,MATCH($A$1,Database!$A$1:$E$1,),)</f>
        <v>87.14</v>
      </c>
      <c r="C564" s="9">
        <f t="shared" si="8"/>
        <v>4.0327226639013053E-3</v>
      </c>
      <c r="D564" s="7">
        <f>(Table5345679103[[#This Row],[Value]]-B552)/B552</f>
        <v>3.0401210845581689E-2</v>
      </c>
    </row>
    <row r="565" spans="1:4" x14ac:dyDescent="0.2">
      <c r="A565" s="36">
        <v>38596</v>
      </c>
      <c r="B565" s="37">
        <f>VLOOKUP(Table5345679103[[#This Row],[Date]],Database!A:E,MATCH($A$1,Database!$A$1:$E$1,),)</f>
        <v>87.980999999999995</v>
      </c>
      <c r="C565" s="9">
        <f t="shared" si="8"/>
        <v>9.6511361028229735E-3</v>
      </c>
      <c r="D565" s="7">
        <f>(Table5345679103[[#This Row],[Value]]-B553)/B553</f>
        <v>3.8307665073464274E-2</v>
      </c>
    </row>
    <row r="566" spans="1:4" x14ac:dyDescent="0.2">
      <c r="A566" s="36">
        <v>38626</v>
      </c>
      <c r="B566" s="37">
        <f>VLOOKUP(Table5345679103[[#This Row],[Date]],Database!A:E,MATCH($A$1,Database!$A$1:$E$1,),)</f>
        <v>88.120999999999995</v>
      </c>
      <c r="C566" s="9">
        <f t="shared" si="8"/>
        <v>1.5912526568236389E-3</v>
      </c>
      <c r="D566" s="7">
        <f>(Table5345679103[[#This Row],[Value]]-B554)/B554</f>
        <v>3.5511580629619517E-2</v>
      </c>
    </row>
    <row r="567" spans="1:4" x14ac:dyDescent="0.2">
      <c r="A567" s="36">
        <v>38657</v>
      </c>
      <c r="B567" s="37">
        <f>VLOOKUP(Table5345679103[[#This Row],[Date]],Database!A:E,MATCH($A$1,Database!$A$1:$E$1,),)</f>
        <v>87.938000000000002</v>
      </c>
      <c r="C567" s="9">
        <f t="shared" si="8"/>
        <v>-2.0766900057874143E-3</v>
      </c>
      <c r="D567" s="7">
        <f>(Table5345679103[[#This Row],[Value]]-B555)/B555</f>
        <v>2.9393517272056791E-2</v>
      </c>
    </row>
    <row r="568" spans="1:4" x14ac:dyDescent="0.2">
      <c r="A568" s="36">
        <v>38687</v>
      </c>
      <c r="B568" s="37">
        <f>VLOOKUP(Table5345679103[[#This Row],[Date]],Database!A:E,MATCH($A$1,Database!$A$1:$E$1,),)</f>
        <v>87.938000000000002</v>
      </c>
      <c r="C568" s="9">
        <f t="shared" si="8"/>
        <v>0</v>
      </c>
      <c r="D568" s="7">
        <f>(Table5345679103[[#This Row],[Value]]-B556)/B556</f>
        <v>2.883951657248492E-2</v>
      </c>
    </row>
    <row r="569" spans="1:4" x14ac:dyDescent="0.2">
      <c r="A569" s="36">
        <v>38718</v>
      </c>
      <c r="B569" s="37">
        <f>VLOOKUP(Table5345679103[[#This Row],[Date]],Database!A:E,MATCH($A$1,Database!$A$1:$E$1,),)</f>
        <v>88.364000000000004</v>
      </c>
      <c r="C569" s="9">
        <f t="shared" si="8"/>
        <v>4.8443221360504208E-3</v>
      </c>
      <c r="D569" s="7">
        <f>(Table5345679103[[#This Row],[Value]]-B557)/B557</f>
        <v>3.2470643220190581E-2</v>
      </c>
    </row>
    <row r="570" spans="1:4" x14ac:dyDescent="0.2">
      <c r="A570" s="36">
        <v>38749</v>
      </c>
      <c r="B570" s="37">
        <f>VLOOKUP(Table5345679103[[#This Row],[Date]],Database!A:E,MATCH($A$1,Database!$A$1:$E$1,),)</f>
        <v>88.417000000000002</v>
      </c>
      <c r="C570" s="9">
        <f t="shared" si="8"/>
        <v>5.9979177040420616E-4</v>
      </c>
      <c r="D570" s="7">
        <f>(Table5345679103[[#This Row],[Value]]-B558)/B558</f>
        <v>3.0224997960919667E-2</v>
      </c>
    </row>
    <row r="571" spans="1:4" x14ac:dyDescent="0.2">
      <c r="A571" s="36">
        <v>38777</v>
      </c>
      <c r="B571" s="37">
        <f>VLOOKUP(Table5345679103[[#This Row],[Date]],Database!A:E,MATCH($A$1,Database!$A$1:$E$1,),)</f>
        <v>88.587999999999994</v>
      </c>
      <c r="C571" s="9">
        <f t="shared" si="8"/>
        <v>1.9340172138841204E-3</v>
      </c>
      <c r="D571" s="7">
        <f>(Table5345679103[[#This Row],[Value]]-B559)/B559</f>
        <v>2.9135687732341955E-2</v>
      </c>
    </row>
    <row r="572" spans="1:4" x14ac:dyDescent="0.2">
      <c r="A572" s="36">
        <v>38808</v>
      </c>
      <c r="B572" s="37">
        <f>VLOOKUP(Table5345679103[[#This Row],[Date]],Database!A:E,MATCH($A$1,Database!$A$1:$E$1,),)</f>
        <v>88.998999999999995</v>
      </c>
      <c r="C572" s="9">
        <f t="shared" si="8"/>
        <v>4.6394545536641687E-3</v>
      </c>
      <c r="D572" s="7">
        <f>(Table5345679103[[#This Row],[Value]]-B560)/B560</f>
        <v>3.102373698173095E-2</v>
      </c>
    </row>
    <row r="573" spans="1:4" x14ac:dyDescent="0.2">
      <c r="A573" s="36">
        <v>38838</v>
      </c>
      <c r="B573" s="37">
        <f>VLOOKUP(Table5345679103[[#This Row],[Date]],Database!A:E,MATCH($A$1,Database!$A$1:$E$1,),)</f>
        <v>89.239000000000004</v>
      </c>
      <c r="C573" s="9">
        <f t="shared" si="8"/>
        <v>2.6966595130283387E-3</v>
      </c>
      <c r="D573" s="7">
        <f>(Table5345679103[[#This Row],[Value]]-B561)/B561</f>
        <v>3.3217552390876461E-2</v>
      </c>
    </row>
    <row r="574" spans="1:4" x14ac:dyDescent="0.2">
      <c r="A574" s="36">
        <v>38869</v>
      </c>
      <c r="B574" s="37">
        <f>VLOOKUP(Table5345679103[[#This Row],[Date]],Database!A:E,MATCH($A$1,Database!$A$1:$E$1,),)</f>
        <v>89.459000000000003</v>
      </c>
      <c r="C574" s="9">
        <f t="shared" si="8"/>
        <v>2.4652898396440889E-3</v>
      </c>
      <c r="D574" s="7">
        <f>(Table5345679103[[#This Row],[Value]]-B562)/B562</f>
        <v>3.5129537275956649E-2</v>
      </c>
    </row>
    <row r="575" spans="1:4" x14ac:dyDescent="0.2">
      <c r="A575" s="36">
        <v>38899</v>
      </c>
      <c r="B575" s="37">
        <f>VLOOKUP(Table5345679103[[#This Row],[Date]],Database!A:E,MATCH($A$1,Database!$A$1:$E$1,),)</f>
        <v>89.765000000000001</v>
      </c>
      <c r="C575" s="9">
        <f t="shared" si="8"/>
        <v>3.4205613744843714E-3</v>
      </c>
      <c r="D575" s="7">
        <f>(Table5345679103[[#This Row],[Value]]-B563)/B563</f>
        <v>3.4278142643161584E-2</v>
      </c>
    </row>
    <row r="576" spans="1:4" x14ac:dyDescent="0.2">
      <c r="A576" s="36">
        <v>38930</v>
      </c>
      <c r="B576" s="37">
        <f>VLOOKUP(Table5345679103[[#This Row],[Date]],Database!A:E,MATCH($A$1,Database!$A$1:$E$1,),)</f>
        <v>90.046999999999997</v>
      </c>
      <c r="C576" s="9">
        <f t="shared" si="8"/>
        <v>3.1415362334985403E-3</v>
      </c>
      <c r="D576" s="7">
        <f>(Table5345679103[[#This Row],[Value]]-B564)/B564</f>
        <v>3.3360110167546433E-2</v>
      </c>
    </row>
    <row r="577" spans="1:4" x14ac:dyDescent="0.2">
      <c r="A577" s="36">
        <v>38961</v>
      </c>
      <c r="B577" s="37">
        <f>VLOOKUP(Table5345679103[[#This Row],[Date]],Database!A:E,MATCH($A$1,Database!$A$1:$E$1,),)</f>
        <v>89.811999999999998</v>
      </c>
      <c r="C577" s="9">
        <f t="shared" si="8"/>
        <v>-2.609748242584422E-3</v>
      </c>
      <c r="D577" s="7">
        <f>(Table5345679103[[#This Row],[Value]]-B565)/B565</f>
        <v>2.0811311533171971E-2</v>
      </c>
    </row>
    <row r="578" spans="1:4" x14ac:dyDescent="0.2">
      <c r="A578" s="36">
        <v>38991</v>
      </c>
      <c r="B578" s="37">
        <f>VLOOKUP(Table5345679103[[#This Row],[Date]],Database!A:E,MATCH($A$1,Database!$A$1:$E$1,),)</f>
        <v>89.599000000000004</v>
      </c>
      <c r="C578" s="9">
        <f t="shared" si="8"/>
        <v>-2.3716207188348311E-3</v>
      </c>
      <c r="D578" s="7">
        <f>(Table5345679103[[#This Row],[Value]]-B566)/B566</f>
        <v>1.6772392505759227E-2</v>
      </c>
    </row>
    <row r="579" spans="1:4" x14ac:dyDescent="0.2">
      <c r="A579" s="36">
        <v>39022</v>
      </c>
      <c r="B579" s="37">
        <f>VLOOKUP(Table5345679103[[#This Row],[Date]],Database!A:E,MATCH($A$1,Database!$A$1:$E$1,),)</f>
        <v>89.63</v>
      </c>
      <c r="C579" s="9">
        <f t="shared" si="8"/>
        <v>3.4598600430799114E-4</v>
      </c>
      <c r="D579" s="7">
        <f>(Table5345679103[[#This Row],[Value]]-B567)/B567</f>
        <v>1.9240828765721224E-2</v>
      </c>
    </row>
    <row r="580" spans="1:4" x14ac:dyDescent="0.2">
      <c r="A580" s="36">
        <v>39052</v>
      </c>
      <c r="B580" s="37">
        <f>VLOOKUP(Table5345679103[[#This Row],[Date]],Database!A:E,MATCH($A$1,Database!$A$1:$E$1,),)</f>
        <v>89.948999999999998</v>
      </c>
      <c r="C580" s="9">
        <f t="shared" si="8"/>
        <v>3.5590762021644831E-3</v>
      </c>
      <c r="D580" s="7">
        <f>(Table5345679103[[#This Row],[Value]]-B568)/B568</f>
        <v>2.2868384543655709E-2</v>
      </c>
    </row>
    <row r="581" spans="1:4" x14ac:dyDescent="0.2">
      <c r="A581" s="36">
        <v>39083</v>
      </c>
      <c r="B581" s="37">
        <f>VLOOKUP(Table5345679103[[#This Row],[Date]],Database!A:E,MATCH($A$1,Database!$A$1:$E$1,),)</f>
        <v>90.248999999999995</v>
      </c>
      <c r="C581" s="9">
        <f t="shared" si="8"/>
        <v>3.3352232931994482E-3</v>
      </c>
      <c r="D581" s="7">
        <f>(Table5345679103[[#This Row],[Value]]-B569)/B569</f>
        <v>2.1332216739848704E-2</v>
      </c>
    </row>
    <row r="582" spans="1:4" x14ac:dyDescent="0.2">
      <c r="A582" s="36">
        <v>39114</v>
      </c>
      <c r="B582" s="37">
        <f>VLOOKUP(Table5345679103[[#This Row],[Date]],Database!A:E,MATCH($A$1,Database!$A$1:$E$1,),)</f>
        <v>90.528999999999996</v>
      </c>
      <c r="C582" s="9">
        <f t="shared" ref="C582:C645" si="9">(B582-B581)/B581</f>
        <v>3.102527451827734E-3</v>
      </c>
      <c r="D582" s="7">
        <f>(Table5345679103[[#This Row],[Value]]-B570)/B570</f>
        <v>2.3886809097797876E-2</v>
      </c>
    </row>
    <row r="583" spans="1:4" x14ac:dyDescent="0.2">
      <c r="A583" s="36">
        <v>39142</v>
      </c>
      <c r="B583" s="37">
        <f>VLOOKUP(Table5345679103[[#This Row],[Date]],Database!A:E,MATCH($A$1,Database!$A$1:$E$1,),)</f>
        <v>90.861000000000004</v>
      </c>
      <c r="C583" s="9">
        <f t="shared" si="9"/>
        <v>3.667333119773861E-3</v>
      </c>
      <c r="D583" s="7">
        <f>(Table5345679103[[#This Row],[Value]]-B571)/B571</f>
        <v>2.565810267756367E-2</v>
      </c>
    </row>
    <row r="584" spans="1:4" x14ac:dyDescent="0.2">
      <c r="A584" s="36">
        <v>39173</v>
      </c>
      <c r="B584" s="37">
        <f>VLOOKUP(Table5345679103[[#This Row],[Date]],Database!A:E,MATCH($A$1,Database!$A$1:$E$1,),)</f>
        <v>91.073999999999998</v>
      </c>
      <c r="C584" s="9">
        <f t="shared" si="9"/>
        <v>2.3442401030144269E-3</v>
      </c>
      <c r="D584" s="7">
        <f>(Table5345679103[[#This Row],[Value]]-B572)/B572</f>
        <v>2.3314868706389994E-2</v>
      </c>
    </row>
    <row r="585" spans="1:4" x14ac:dyDescent="0.2">
      <c r="A585" s="36">
        <v>39203</v>
      </c>
      <c r="B585" s="37">
        <f>VLOOKUP(Table5345679103[[#This Row],[Date]],Database!A:E,MATCH($A$1,Database!$A$1:$E$1,),)</f>
        <v>91.338999999999999</v>
      </c>
      <c r="C585" s="9">
        <f t="shared" si="9"/>
        <v>2.9097217647188066E-3</v>
      </c>
      <c r="D585" s="7">
        <f>(Table5345679103[[#This Row],[Value]]-B573)/B573</f>
        <v>2.3532312105693634E-2</v>
      </c>
    </row>
    <row r="586" spans="1:4" x14ac:dyDescent="0.2">
      <c r="A586" s="36">
        <v>39234</v>
      </c>
      <c r="B586" s="37">
        <f>VLOOKUP(Table5345679103[[#This Row],[Date]],Database!A:E,MATCH($A$1,Database!$A$1:$E$1,),)</f>
        <v>91.531999999999996</v>
      </c>
      <c r="C586" s="9">
        <f t="shared" si="9"/>
        <v>2.1130075871204834E-3</v>
      </c>
      <c r="D586" s="7">
        <f>(Table5345679103[[#This Row],[Value]]-B574)/B574</f>
        <v>2.3172626566359933E-2</v>
      </c>
    </row>
    <row r="587" spans="1:4" x14ac:dyDescent="0.2">
      <c r="A587" s="36">
        <v>39264</v>
      </c>
      <c r="B587" s="37">
        <f>VLOOKUP(Table5345679103[[#This Row],[Date]],Database!A:E,MATCH($A$1,Database!$A$1:$E$1,),)</f>
        <v>91.671999999999997</v>
      </c>
      <c r="C587" s="9">
        <f t="shared" si="9"/>
        <v>1.5295197308045337E-3</v>
      </c>
      <c r="D587" s="7">
        <f>(Table5345679103[[#This Row],[Value]]-B575)/B575</f>
        <v>2.1244360274048867E-2</v>
      </c>
    </row>
    <row r="588" spans="1:4" x14ac:dyDescent="0.2">
      <c r="A588" s="36">
        <v>39295</v>
      </c>
      <c r="B588" s="37">
        <f>VLOOKUP(Table5345679103[[#This Row],[Date]],Database!A:E,MATCH($A$1,Database!$A$1:$E$1,),)</f>
        <v>91.733999999999995</v>
      </c>
      <c r="C588" s="9">
        <f t="shared" si="9"/>
        <v>6.7632428658693621E-4</v>
      </c>
      <c r="D588" s="7">
        <f>(Table5345679103[[#This Row],[Value]]-B576)/B576</f>
        <v>1.8734660788254996E-2</v>
      </c>
    </row>
    <row r="589" spans="1:4" x14ac:dyDescent="0.2">
      <c r="A589" s="36">
        <v>39326</v>
      </c>
      <c r="B589" s="37">
        <f>VLOOKUP(Table5345679103[[#This Row],[Date]],Database!A:E,MATCH($A$1,Database!$A$1:$E$1,),)</f>
        <v>92.087999999999994</v>
      </c>
      <c r="C589" s="9">
        <f t="shared" si="9"/>
        <v>3.8589835829681385E-3</v>
      </c>
      <c r="D589" s="7">
        <f>(Table5345679103[[#This Row],[Value]]-B577)/B577</f>
        <v>2.5341825145860201E-2</v>
      </c>
    </row>
    <row r="590" spans="1:4" x14ac:dyDescent="0.2">
      <c r="A590" s="36">
        <v>39356</v>
      </c>
      <c r="B590" s="37">
        <f>VLOOKUP(Table5345679103[[#This Row],[Date]],Database!A:E,MATCH($A$1,Database!$A$1:$E$1,),)</f>
        <v>92.367000000000004</v>
      </c>
      <c r="C590" s="9">
        <f t="shared" si="9"/>
        <v>3.0297107114934693E-3</v>
      </c>
      <c r="D590" s="7">
        <f>(Table5345679103[[#This Row],[Value]]-B578)/B578</f>
        <v>3.0893201933057293E-2</v>
      </c>
    </row>
    <row r="591" spans="1:4" x14ac:dyDescent="0.2">
      <c r="A591" s="36">
        <v>39387</v>
      </c>
      <c r="B591" s="37">
        <f>VLOOKUP(Table5345679103[[#This Row],[Date]],Database!A:E,MATCH($A$1,Database!$A$1:$E$1,),)</f>
        <v>92.855999999999995</v>
      </c>
      <c r="C591" s="9">
        <f t="shared" si="9"/>
        <v>5.2940985416868591E-3</v>
      </c>
      <c r="D591" s="7">
        <f>(Table5345679103[[#This Row],[Value]]-B579)/B579</f>
        <v>3.5992413254490672E-2</v>
      </c>
    </row>
    <row r="592" spans="1:4" x14ac:dyDescent="0.2">
      <c r="A592" s="36">
        <v>39417</v>
      </c>
      <c r="B592" s="37">
        <f>VLOOKUP(Table5345679103[[#This Row],[Date]],Database!A:E,MATCH($A$1,Database!$A$1:$E$1,),)</f>
        <v>93.072000000000003</v>
      </c>
      <c r="C592" s="9">
        <f t="shared" si="9"/>
        <v>2.3261824760921019E-3</v>
      </c>
      <c r="D592" s="7">
        <f>(Table5345679103[[#This Row],[Value]]-B580)/B580</f>
        <v>3.4719674482206635E-2</v>
      </c>
    </row>
    <row r="593" spans="1:4" x14ac:dyDescent="0.2">
      <c r="A593" s="36">
        <v>39448</v>
      </c>
      <c r="B593" s="37">
        <f>VLOOKUP(Table5345679103[[#This Row],[Date]],Database!A:E,MATCH($A$1,Database!$A$1:$E$1,),)</f>
        <v>93.307000000000002</v>
      </c>
      <c r="C593" s="9">
        <f t="shared" si="9"/>
        <v>2.5249269382843329E-3</v>
      </c>
      <c r="D593" s="7">
        <f>(Table5345679103[[#This Row],[Value]]-B581)/B581</f>
        <v>3.3884031956032831E-2</v>
      </c>
    </row>
    <row r="594" spans="1:4" x14ac:dyDescent="0.2">
      <c r="A594" s="36">
        <v>39479</v>
      </c>
      <c r="B594" s="37">
        <f>VLOOKUP(Table5345679103[[#This Row],[Date]],Database!A:E,MATCH($A$1,Database!$A$1:$E$1,),)</f>
        <v>93.492000000000004</v>
      </c>
      <c r="C594" s="9">
        <f t="shared" si="9"/>
        <v>1.9827022624240654E-3</v>
      </c>
      <c r="D594" s="7">
        <f>(Table5345679103[[#This Row],[Value]]-B582)/B582</f>
        <v>3.2729843475571452E-2</v>
      </c>
    </row>
    <row r="595" spans="1:4" x14ac:dyDescent="0.2">
      <c r="A595" s="36">
        <v>39508</v>
      </c>
      <c r="B595" s="37">
        <f>VLOOKUP(Table5345679103[[#This Row],[Date]],Database!A:E,MATCH($A$1,Database!$A$1:$E$1,),)</f>
        <v>93.76</v>
      </c>
      <c r="C595" s="9">
        <f t="shared" si="9"/>
        <v>2.8665554272023345E-3</v>
      </c>
      <c r="D595" s="7">
        <f>(Table5345679103[[#This Row],[Value]]-B583)/B583</f>
        <v>3.1905878209572872E-2</v>
      </c>
    </row>
    <row r="596" spans="1:4" x14ac:dyDescent="0.2">
      <c r="A596" s="36">
        <v>39539</v>
      </c>
      <c r="B596" s="37">
        <f>VLOOKUP(Table5345679103[[#This Row],[Date]],Database!A:E,MATCH($A$1,Database!$A$1:$E$1,),)</f>
        <v>93.933999999999997</v>
      </c>
      <c r="C596" s="9">
        <f t="shared" si="9"/>
        <v>1.8558020477814885E-3</v>
      </c>
      <c r="D596" s="7">
        <f>(Table5345679103[[#This Row],[Value]]-B584)/B584</f>
        <v>3.1403034894701004E-2</v>
      </c>
    </row>
    <row r="597" spans="1:4" x14ac:dyDescent="0.2">
      <c r="A597" s="36">
        <v>39569</v>
      </c>
      <c r="B597" s="37">
        <f>VLOOKUP(Table5345679103[[#This Row],[Date]],Database!A:E,MATCH($A$1,Database!$A$1:$E$1,),)</f>
        <v>94.337000000000003</v>
      </c>
      <c r="C597" s="9">
        <f t="shared" si="9"/>
        <v>4.2902463431771865E-3</v>
      </c>
      <c r="D597" s="7">
        <f>(Table5345679103[[#This Row],[Value]]-B585)/B585</f>
        <v>3.2822781068327929E-2</v>
      </c>
    </row>
    <row r="598" spans="1:4" x14ac:dyDescent="0.2">
      <c r="A598" s="36">
        <v>39600</v>
      </c>
      <c r="B598" s="37">
        <f>VLOOKUP(Table5345679103[[#This Row],[Date]],Database!A:E,MATCH($A$1,Database!$A$1:$E$1,),)</f>
        <v>95.021000000000001</v>
      </c>
      <c r="C598" s="9">
        <f t="shared" si="9"/>
        <v>7.2506015667235281E-3</v>
      </c>
      <c r="D598" s="7">
        <f>(Table5345679103[[#This Row],[Value]]-B586)/B586</f>
        <v>3.8117816719835731E-2</v>
      </c>
    </row>
    <row r="599" spans="1:4" x14ac:dyDescent="0.2">
      <c r="A599" s="36">
        <v>39630</v>
      </c>
      <c r="B599" s="37">
        <f>VLOOKUP(Table5345679103[[#This Row],[Date]],Database!A:E,MATCH($A$1,Database!$A$1:$E$1,),)</f>
        <v>95.462999999999994</v>
      </c>
      <c r="C599" s="9">
        <f t="shared" si="9"/>
        <v>4.6516033297901837E-3</v>
      </c>
      <c r="D599" s="7">
        <f>(Table5345679103[[#This Row],[Value]]-B587)/B587</f>
        <v>4.1353957587922124E-2</v>
      </c>
    </row>
    <row r="600" spans="1:4" x14ac:dyDescent="0.2">
      <c r="A600" s="36">
        <v>39661</v>
      </c>
      <c r="B600" s="37">
        <f>VLOOKUP(Table5345679103[[#This Row],[Date]],Database!A:E,MATCH($A$1,Database!$A$1:$E$1,),)</f>
        <v>95.385999999999996</v>
      </c>
      <c r="C600" s="9">
        <f t="shared" si="9"/>
        <v>-8.0659522537525731E-4</v>
      </c>
      <c r="D600" s="7">
        <f>(Table5345679103[[#This Row],[Value]]-B588)/B588</f>
        <v>3.9810757189264627E-2</v>
      </c>
    </row>
    <row r="601" spans="1:4" x14ac:dyDescent="0.2">
      <c r="A601" s="36">
        <v>39692</v>
      </c>
      <c r="B601" s="37">
        <f>VLOOKUP(Table5345679103[[#This Row],[Date]],Database!A:E,MATCH($A$1,Database!$A$1:$E$1,),)</f>
        <v>95.465000000000003</v>
      </c>
      <c r="C601" s="9">
        <f t="shared" si="9"/>
        <v>8.282137839935392E-4</v>
      </c>
      <c r="D601" s="7">
        <f>(Table5345679103[[#This Row],[Value]]-B589)/B589</f>
        <v>3.6671444705064823E-2</v>
      </c>
    </row>
    <row r="602" spans="1:4" x14ac:dyDescent="0.2">
      <c r="A602" s="36">
        <v>39722</v>
      </c>
      <c r="B602" s="37">
        <f>VLOOKUP(Table5345679103[[#This Row],[Date]],Database!A:E,MATCH($A$1,Database!$A$1:$E$1,),)</f>
        <v>94.834999999999994</v>
      </c>
      <c r="C602" s="9">
        <f t="shared" si="9"/>
        <v>-6.5992772220186419E-3</v>
      </c>
      <c r="D602" s="7">
        <f>(Table5345679103[[#This Row],[Value]]-B590)/B590</f>
        <v>2.6719499388309562E-2</v>
      </c>
    </row>
    <row r="603" spans="1:4" x14ac:dyDescent="0.2">
      <c r="A603" s="36">
        <v>39753</v>
      </c>
      <c r="B603" s="37">
        <f>VLOOKUP(Table5345679103[[#This Row],[Date]],Database!A:E,MATCH($A$1,Database!$A$1:$E$1,),)</f>
        <v>93.715999999999994</v>
      </c>
      <c r="C603" s="9">
        <f t="shared" si="9"/>
        <v>-1.1799441134602202E-2</v>
      </c>
      <c r="D603" s="7">
        <f>(Table5345679103[[#This Row],[Value]]-B591)/B591</f>
        <v>9.2616524511070844E-3</v>
      </c>
    </row>
    <row r="604" spans="1:4" x14ac:dyDescent="0.2">
      <c r="A604" s="36">
        <v>39783</v>
      </c>
      <c r="B604" s="37">
        <f>VLOOKUP(Table5345679103[[#This Row],[Date]],Database!A:E,MATCH($A$1,Database!$A$1:$E$1,),)</f>
        <v>93.191999999999993</v>
      </c>
      <c r="C604" s="9">
        <f t="shared" si="9"/>
        <v>-5.5913611336378096E-3</v>
      </c>
      <c r="D604" s="7">
        <f>(Table5345679103[[#This Row],[Value]]-B592)/B592</f>
        <v>1.289324394017431E-3</v>
      </c>
    </row>
    <row r="605" spans="1:4" x14ac:dyDescent="0.2">
      <c r="A605" s="36">
        <v>39814</v>
      </c>
      <c r="B605" s="37">
        <f>VLOOKUP(Table5345679103[[#This Row],[Date]],Database!A:E,MATCH($A$1,Database!$A$1:$E$1,),)</f>
        <v>93.203000000000003</v>
      </c>
      <c r="C605" s="9">
        <f t="shared" si="9"/>
        <v>1.1803588290851029E-4</v>
      </c>
      <c r="D605" s="7">
        <f>(Table5345679103[[#This Row],[Value]]-B593)/B593</f>
        <v>-1.1146001907681011E-3</v>
      </c>
    </row>
    <row r="606" spans="1:4" x14ac:dyDescent="0.2">
      <c r="A606" s="36">
        <v>39845</v>
      </c>
      <c r="B606" s="37">
        <f>VLOOKUP(Table5345679103[[#This Row],[Date]],Database!A:E,MATCH($A$1,Database!$A$1:$E$1,),)</f>
        <v>93.369</v>
      </c>
      <c r="C606" s="9">
        <f t="shared" si="9"/>
        <v>1.7810585496174673E-3</v>
      </c>
      <c r="D606" s="7">
        <f>(Table5345679103[[#This Row],[Value]]-B594)/B594</f>
        <v>-1.3156205878578344E-3</v>
      </c>
    </row>
    <row r="607" spans="1:4" x14ac:dyDescent="0.2">
      <c r="A607" s="36">
        <v>39873</v>
      </c>
      <c r="B607" s="37">
        <f>VLOOKUP(Table5345679103[[#This Row],[Date]],Database!A:E,MATCH($A$1,Database!$A$1:$E$1,),)</f>
        <v>93.266999999999996</v>
      </c>
      <c r="C607" s="9">
        <f t="shared" si="9"/>
        <v>-1.0924396748385851E-3</v>
      </c>
      <c r="D607" s="7">
        <f>(Table5345679103[[#This Row],[Value]]-B595)/B595</f>
        <v>-5.2581058020478794E-3</v>
      </c>
    </row>
    <row r="608" spans="1:4" x14ac:dyDescent="0.2">
      <c r="A608" s="36">
        <v>39904</v>
      </c>
      <c r="B608" s="37">
        <f>VLOOKUP(Table5345679103[[#This Row],[Date]],Database!A:E,MATCH($A$1,Database!$A$1:$E$1,),)</f>
        <v>93.400999999999996</v>
      </c>
      <c r="C608" s="9">
        <f t="shared" si="9"/>
        <v>1.4367353940836561E-3</v>
      </c>
      <c r="D608" s="7">
        <f>(Table5345679103[[#This Row],[Value]]-B596)/B596</f>
        <v>-5.6741967764600814E-3</v>
      </c>
    </row>
    <row r="609" spans="1:4" x14ac:dyDescent="0.2">
      <c r="A609" s="36">
        <v>39934</v>
      </c>
      <c r="B609" s="37">
        <f>VLOOKUP(Table5345679103[[#This Row],[Date]],Database!A:E,MATCH($A$1,Database!$A$1:$E$1,),)</f>
        <v>93.498000000000005</v>
      </c>
      <c r="C609" s="9">
        <f t="shared" si="9"/>
        <v>1.0385327780217386E-3</v>
      </c>
      <c r="D609" s="7">
        <f>(Table5345679103[[#This Row],[Value]]-B597)/B597</f>
        <v>-8.8936472433933517E-3</v>
      </c>
    </row>
    <row r="610" spans="1:4" x14ac:dyDescent="0.2">
      <c r="A610" s="36">
        <v>39965</v>
      </c>
      <c r="B610" s="37">
        <f>VLOOKUP(Table5345679103[[#This Row],[Date]],Database!A:E,MATCH($A$1,Database!$A$1:$E$1,),)</f>
        <v>94.052999999999997</v>
      </c>
      <c r="C610" s="9">
        <f t="shared" si="9"/>
        <v>5.9359558493229008E-3</v>
      </c>
      <c r="D610" s="7">
        <f>(Table5345679103[[#This Row],[Value]]-B598)/B598</f>
        <v>-1.0187221772029378E-2</v>
      </c>
    </row>
    <row r="611" spans="1:4" x14ac:dyDescent="0.2">
      <c r="A611" s="36">
        <v>39995</v>
      </c>
      <c r="B611" s="37">
        <f>VLOOKUP(Table5345679103[[#This Row],[Date]],Database!A:E,MATCH($A$1,Database!$A$1:$E$1,),)</f>
        <v>94.063000000000002</v>
      </c>
      <c r="C611" s="9">
        <f t="shared" si="9"/>
        <v>1.0632303063171952E-4</v>
      </c>
      <c r="D611" s="7">
        <f>(Table5345679103[[#This Row],[Value]]-B599)/B599</f>
        <v>-1.4665367734095843E-2</v>
      </c>
    </row>
    <row r="612" spans="1:4" x14ac:dyDescent="0.2">
      <c r="A612" s="36">
        <v>40026</v>
      </c>
      <c r="B612" s="37">
        <f>VLOOKUP(Table5345679103[[#This Row],[Date]],Database!A:E,MATCH($A$1,Database!$A$1:$E$1,),)</f>
        <v>94.335999999999999</v>
      </c>
      <c r="C612" s="9">
        <f t="shared" si="9"/>
        <v>2.9023101538330283E-3</v>
      </c>
      <c r="D612" s="7">
        <f>(Table5345679103[[#This Row],[Value]]-B600)/B600</f>
        <v>-1.1007904723963655E-2</v>
      </c>
    </row>
    <row r="613" spans="1:4" x14ac:dyDescent="0.2">
      <c r="A613" s="36">
        <v>40057</v>
      </c>
      <c r="B613" s="37">
        <f>VLOOKUP(Table5345679103[[#This Row],[Date]],Database!A:E,MATCH($A$1,Database!$A$1:$E$1,),)</f>
        <v>94.489000000000004</v>
      </c>
      <c r="C613" s="9">
        <f t="shared" si="9"/>
        <v>1.6218622795115948E-3</v>
      </c>
      <c r="D613" s="7">
        <f>(Table5345679103[[#This Row],[Value]]-B601)/B601</f>
        <v>-1.0223642172523952E-2</v>
      </c>
    </row>
    <row r="614" spans="1:4" x14ac:dyDescent="0.2">
      <c r="A614" s="36">
        <v>40087</v>
      </c>
      <c r="B614" s="37">
        <f>VLOOKUP(Table5345679103[[#This Row],[Date]],Database!A:E,MATCH($A$1,Database!$A$1:$E$1,),)</f>
        <v>94.846999999999994</v>
      </c>
      <c r="C614" s="9">
        <f t="shared" si="9"/>
        <v>3.7888008127929165E-3</v>
      </c>
      <c r="D614" s="7">
        <f>(Table5345679103[[#This Row],[Value]]-B602)/B602</f>
        <v>1.265355617651759E-4</v>
      </c>
    </row>
    <row r="615" spans="1:4" x14ac:dyDescent="0.2">
      <c r="A615" s="36">
        <v>40118</v>
      </c>
      <c r="B615" s="37">
        <f>VLOOKUP(Table5345679103[[#This Row],[Date]],Database!A:E,MATCH($A$1,Database!$A$1:$E$1,),)</f>
        <v>95.084000000000003</v>
      </c>
      <c r="C615" s="9">
        <f t="shared" si="9"/>
        <v>2.4987611627147826E-3</v>
      </c>
      <c r="D615" s="7">
        <f>(Table5345679103[[#This Row],[Value]]-B603)/B603</f>
        <v>1.4597293951940003E-2</v>
      </c>
    </row>
    <row r="616" spans="1:4" x14ac:dyDescent="0.2">
      <c r="A616" s="36">
        <v>40148</v>
      </c>
      <c r="B616" s="37">
        <f>VLOOKUP(Table5345679103[[#This Row],[Date]],Database!A:E,MATCH($A$1,Database!$A$1:$E$1,),)</f>
        <v>95.14</v>
      </c>
      <c r="C616" s="9">
        <f t="shared" si="9"/>
        <v>5.8895292583397189E-4</v>
      </c>
      <c r="D616" s="7">
        <f>(Table5345679103[[#This Row],[Value]]-B604)/B604</f>
        <v>2.0903081809597473E-2</v>
      </c>
    </row>
    <row r="617" spans="1:4" x14ac:dyDescent="0.2">
      <c r="A617" s="36">
        <v>40179</v>
      </c>
      <c r="B617" s="37">
        <f>VLOOKUP(Table5345679103[[#This Row],[Date]],Database!A:E,MATCH($A$1,Database!$A$1:$E$1,),)</f>
        <v>95.347999999999999</v>
      </c>
      <c r="C617" s="9">
        <f t="shared" si="9"/>
        <v>2.1862518393945597E-3</v>
      </c>
      <c r="D617" s="7">
        <f>(Table5345679103[[#This Row],[Value]]-B605)/B605</f>
        <v>2.3014280656202011E-2</v>
      </c>
    </row>
    <row r="618" spans="1:4" x14ac:dyDescent="0.2">
      <c r="A618" s="36">
        <v>40210</v>
      </c>
      <c r="B618" s="37">
        <f>VLOOKUP(Table5345679103[[#This Row],[Date]],Database!A:E,MATCH($A$1,Database!$A$1:$E$1,),)</f>
        <v>95.344999999999999</v>
      </c>
      <c r="C618" s="9">
        <f t="shared" si="9"/>
        <v>-3.1463690900701782E-5</v>
      </c>
      <c r="D618" s="7">
        <f>(Table5345679103[[#This Row],[Value]]-B606)/B606</f>
        <v>2.1163341151774134E-2</v>
      </c>
    </row>
    <row r="619" spans="1:4" x14ac:dyDescent="0.2">
      <c r="A619" s="36">
        <v>40238</v>
      </c>
      <c r="B619" s="37">
        <f>VLOOKUP(Table5345679103[[#This Row],[Date]],Database!A:E,MATCH($A$1,Database!$A$1:$E$1,),)</f>
        <v>95.48</v>
      </c>
      <c r="C619" s="9">
        <f t="shared" si="9"/>
        <v>1.41591064030631E-3</v>
      </c>
      <c r="D619" s="7">
        <f>(Table5345679103[[#This Row],[Value]]-B607)/B607</f>
        <v>2.3727577814232344E-2</v>
      </c>
    </row>
    <row r="620" spans="1:4" x14ac:dyDescent="0.2">
      <c r="A620" s="36">
        <v>40269</v>
      </c>
      <c r="B620" s="37">
        <f>VLOOKUP(Table5345679103[[#This Row],[Date]],Database!A:E,MATCH($A$1,Database!$A$1:$E$1,),)</f>
        <v>95.531999999999996</v>
      </c>
      <c r="C620" s="9">
        <f t="shared" si="9"/>
        <v>5.4461667364885311E-4</v>
      </c>
      <c r="D620" s="7">
        <f>(Table5345679103[[#This Row],[Value]]-B608)/B608</f>
        <v>2.2815601546021993E-2</v>
      </c>
    </row>
    <row r="621" spans="1:4" x14ac:dyDescent="0.2">
      <c r="A621" s="36">
        <v>40299</v>
      </c>
      <c r="B621" s="37">
        <f>VLOOKUP(Table5345679103[[#This Row],[Date]],Database!A:E,MATCH($A$1,Database!$A$1:$E$1,),)</f>
        <v>95.561999999999998</v>
      </c>
      <c r="C621" s="9">
        <f t="shared" si="9"/>
        <v>3.1403090064063496E-4</v>
      </c>
      <c r="D621" s="7">
        <f>(Table5345679103[[#This Row],[Value]]-B609)/B609</f>
        <v>2.2075338509914576E-2</v>
      </c>
    </row>
    <row r="622" spans="1:4" x14ac:dyDescent="0.2">
      <c r="A622" s="36">
        <v>40330</v>
      </c>
      <c r="B622" s="37">
        <f>VLOOKUP(Table5345679103[[#This Row],[Date]],Database!A:E,MATCH($A$1,Database!$A$1:$E$1,),)</f>
        <v>95.522000000000006</v>
      </c>
      <c r="C622" s="9">
        <f t="shared" si="9"/>
        <v>-4.1857642159008856E-4</v>
      </c>
      <c r="D622" s="7">
        <f>(Table5345679103[[#This Row],[Value]]-B610)/B610</f>
        <v>1.5618853199791696E-2</v>
      </c>
    </row>
    <row r="623" spans="1:4" x14ac:dyDescent="0.2">
      <c r="A623" s="36">
        <v>40360</v>
      </c>
      <c r="B623" s="37">
        <f>VLOOKUP(Table5345679103[[#This Row],[Date]],Database!A:E,MATCH($A$1,Database!$A$1:$E$1,),)</f>
        <v>95.603999999999999</v>
      </c>
      <c r="C623" s="9">
        <f t="shared" si="9"/>
        <v>8.5844098741644464E-4</v>
      </c>
      <c r="D623" s="7">
        <f>(Table5345679103[[#This Row],[Value]]-B611)/B611</f>
        <v>1.6382637168706044E-2</v>
      </c>
    </row>
    <row r="624" spans="1:4" x14ac:dyDescent="0.2">
      <c r="A624" s="36">
        <v>40391</v>
      </c>
      <c r="B624" s="37">
        <f>VLOOKUP(Table5345679103[[#This Row],[Date]],Database!A:E,MATCH($A$1,Database!$A$1:$E$1,),)</f>
        <v>95.734999999999999</v>
      </c>
      <c r="C624" s="9">
        <f t="shared" si="9"/>
        <v>1.3702355549977013E-3</v>
      </c>
      <c r="D624" s="7">
        <f>(Table5345679103[[#This Row],[Value]]-B612)/B612</f>
        <v>1.4829969470827689E-2</v>
      </c>
    </row>
    <row r="625" spans="1:4" x14ac:dyDescent="0.2">
      <c r="A625" s="36">
        <v>40422</v>
      </c>
      <c r="B625" s="37">
        <f>VLOOKUP(Table5345679103[[#This Row],[Date]],Database!A:E,MATCH($A$1,Database!$A$1:$E$1,),)</f>
        <v>95.83</v>
      </c>
      <c r="C625" s="9">
        <f t="shared" si="9"/>
        <v>9.9232255705853506E-4</v>
      </c>
      <c r="D625" s="7">
        <f>(Table5345679103[[#This Row],[Value]]-B613)/B613</f>
        <v>1.4192128184233021E-2</v>
      </c>
    </row>
    <row r="626" spans="1:4" x14ac:dyDescent="0.2">
      <c r="A626" s="36">
        <v>40452</v>
      </c>
      <c r="B626" s="37">
        <f>VLOOKUP(Table5345679103[[#This Row],[Date]],Database!A:E,MATCH($A$1,Database!$A$1:$E$1,),)</f>
        <v>96.135000000000005</v>
      </c>
      <c r="C626" s="9">
        <f t="shared" si="9"/>
        <v>3.1827193989356862E-3</v>
      </c>
      <c r="D626" s="7">
        <f>(Table5345679103[[#This Row],[Value]]-B614)/B614</f>
        <v>1.3579765306230149E-2</v>
      </c>
    </row>
    <row r="627" spans="1:4" x14ac:dyDescent="0.2">
      <c r="A627" s="36">
        <v>40483</v>
      </c>
      <c r="B627" s="37">
        <f>VLOOKUP(Table5345679103[[#This Row],[Date]],Database!A:E,MATCH($A$1,Database!$A$1:$E$1,),)</f>
        <v>96.326999999999998</v>
      </c>
      <c r="C627" s="9">
        <f t="shared" si="9"/>
        <v>1.9971914495240345E-3</v>
      </c>
      <c r="D627" s="7">
        <f>(Table5345679103[[#This Row],[Value]]-B615)/B615</f>
        <v>1.3072651550208184E-2</v>
      </c>
    </row>
    <row r="628" spans="1:4" x14ac:dyDescent="0.2">
      <c r="A628" s="36">
        <v>40513</v>
      </c>
      <c r="B628" s="37">
        <f>VLOOKUP(Table5345679103[[#This Row],[Date]],Database!A:E,MATCH($A$1,Database!$A$1:$E$1,),)</f>
        <v>96.545000000000002</v>
      </c>
      <c r="C628" s="9">
        <f t="shared" si="9"/>
        <v>2.2631245652828752E-3</v>
      </c>
      <c r="D628" s="7">
        <f>(Table5345679103[[#This Row],[Value]]-B616)/B616</f>
        <v>1.4767710742064339E-2</v>
      </c>
    </row>
    <row r="629" spans="1:4" x14ac:dyDescent="0.2">
      <c r="A629" s="36">
        <v>40544</v>
      </c>
      <c r="B629" s="37">
        <f>VLOOKUP(Table5345679103[[#This Row],[Date]],Database!A:E,MATCH($A$1,Database!$A$1:$E$1,),)</f>
        <v>96.834999999999994</v>
      </c>
      <c r="C629" s="9">
        <f t="shared" si="9"/>
        <v>3.0037806204359836E-3</v>
      </c>
      <c r="D629" s="7">
        <f>(Table5345679103[[#This Row],[Value]]-B617)/B617</f>
        <v>1.5595502789780539E-2</v>
      </c>
    </row>
    <row r="630" spans="1:4" x14ac:dyDescent="0.2">
      <c r="A630" s="36">
        <v>40575</v>
      </c>
      <c r="B630" s="37">
        <f>VLOOKUP(Table5345679103[[#This Row],[Date]],Database!A:E,MATCH($A$1,Database!$A$1:$E$1,),)</f>
        <v>97.105000000000004</v>
      </c>
      <c r="C630" s="9">
        <f t="shared" si="9"/>
        <v>2.7882480508081816E-3</v>
      </c>
      <c r="D630" s="7">
        <f>(Table5345679103[[#This Row],[Value]]-B618)/B618</f>
        <v>1.8459279458807543E-2</v>
      </c>
    </row>
    <row r="631" spans="1:4" x14ac:dyDescent="0.2">
      <c r="A631" s="36">
        <v>40603</v>
      </c>
      <c r="B631" s="37">
        <f>VLOOKUP(Table5345679103[[#This Row],[Date]],Database!A:E,MATCH($A$1,Database!$A$1:$E$1,),)</f>
        <v>97.495999999999995</v>
      </c>
      <c r="C631" s="9">
        <f t="shared" si="9"/>
        <v>4.0265691776941569E-3</v>
      </c>
      <c r="D631" s="7">
        <f>(Table5345679103[[#This Row],[Value]]-B619)/B619</f>
        <v>2.1114369501466182E-2</v>
      </c>
    </row>
    <row r="632" spans="1:4" x14ac:dyDescent="0.2">
      <c r="A632" s="36">
        <v>40634</v>
      </c>
      <c r="B632" s="37">
        <f>VLOOKUP(Table5345679103[[#This Row],[Date]],Database!A:E,MATCH($A$1,Database!$A$1:$E$1,),)</f>
        <v>97.908000000000001</v>
      </c>
      <c r="C632" s="9">
        <f t="shared" si="9"/>
        <v>4.225814392385392E-3</v>
      </c>
      <c r="D632" s="7">
        <f>(Table5345679103[[#This Row],[Value]]-B620)/B620</f>
        <v>2.4871247330737395E-2</v>
      </c>
    </row>
    <row r="633" spans="1:4" x14ac:dyDescent="0.2">
      <c r="A633" s="36">
        <v>40664</v>
      </c>
      <c r="B633" s="37">
        <f>VLOOKUP(Table5345679103[[#This Row],[Date]],Database!A:E,MATCH($A$1,Database!$A$1:$E$1,),)</f>
        <v>98.206000000000003</v>
      </c>
      <c r="C633" s="9">
        <f t="shared" si="9"/>
        <v>3.0436736528169487E-3</v>
      </c>
      <c r="D633" s="7">
        <f>(Table5345679103[[#This Row],[Value]]-B621)/B621</f>
        <v>2.7667901467110415E-2</v>
      </c>
    </row>
    <row r="634" spans="1:4" x14ac:dyDescent="0.2">
      <c r="A634" s="36">
        <v>40695</v>
      </c>
      <c r="B634" s="37">
        <f>VLOOKUP(Table5345679103[[#This Row],[Date]],Database!A:E,MATCH($A$1,Database!$A$1:$E$1,),)</f>
        <v>98.186000000000007</v>
      </c>
      <c r="C634" s="9">
        <f t="shared" si="9"/>
        <v>-2.0365354458990308E-4</v>
      </c>
      <c r="D634" s="7">
        <f>(Table5345679103[[#This Row],[Value]]-B622)/B622</f>
        <v>2.7888863298507163E-2</v>
      </c>
    </row>
    <row r="635" spans="1:4" x14ac:dyDescent="0.2">
      <c r="A635" s="36">
        <v>40725</v>
      </c>
      <c r="B635" s="37">
        <f>VLOOKUP(Table5345679103[[#This Row],[Date]],Database!A:E,MATCH($A$1,Database!$A$1:$E$1,),)</f>
        <v>98.352999999999994</v>
      </c>
      <c r="C635" s="9">
        <f t="shared" si="9"/>
        <v>1.7008534821663717E-3</v>
      </c>
      <c r="D635" s="7">
        <f>(Table5345679103[[#This Row],[Value]]-B623)/B623</f>
        <v>2.8754027028157769E-2</v>
      </c>
    </row>
    <row r="636" spans="1:4" x14ac:dyDescent="0.2">
      <c r="A636" s="36">
        <v>40756</v>
      </c>
      <c r="B636" s="37">
        <f>VLOOKUP(Table5345679103[[#This Row],[Date]],Database!A:E,MATCH($A$1,Database!$A$1:$E$1,),)</f>
        <v>98.584000000000003</v>
      </c>
      <c r="C636" s="9">
        <f t="shared" si="9"/>
        <v>2.3486828058118083E-3</v>
      </c>
      <c r="D636" s="7">
        <f>(Table5345679103[[#This Row],[Value]]-B624)/B624</f>
        <v>2.9759231211155833E-2</v>
      </c>
    </row>
    <row r="637" spans="1:4" x14ac:dyDescent="0.2">
      <c r="A637" s="36">
        <v>40787</v>
      </c>
      <c r="B637" s="37">
        <f>VLOOKUP(Table5345679103[[#This Row],[Date]],Database!A:E,MATCH($A$1,Database!$A$1:$E$1,),)</f>
        <v>98.722999999999999</v>
      </c>
      <c r="C637" s="9">
        <f t="shared" si="9"/>
        <v>1.4099651058994947E-3</v>
      </c>
      <c r="D637" s="7">
        <f>(Table5345679103[[#This Row],[Value]]-B625)/B625</f>
        <v>3.0188876134822087E-2</v>
      </c>
    </row>
    <row r="638" spans="1:4" x14ac:dyDescent="0.2">
      <c r="A638" s="36">
        <v>40817</v>
      </c>
      <c r="B638" s="37">
        <f>VLOOKUP(Table5345679103[[#This Row],[Date]],Database!A:E,MATCH($A$1,Database!$A$1:$E$1,),)</f>
        <v>98.724999999999994</v>
      </c>
      <c r="C638" s="9">
        <f t="shared" si="9"/>
        <v>2.0258703645506507E-5</v>
      </c>
      <c r="D638" s="7">
        <f>(Table5345679103[[#This Row],[Value]]-B626)/B626</f>
        <v>2.6941280490976119E-2</v>
      </c>
    </row>
    <row r="639" spans="1:4" x14ac:dyDescent="0.2">
      <c r="A639" s="36">
        <v>40848</v>
      </c>
      <c r="B639" s="37">
        <f>VLOOKUP(Table5345679103[[#This Row],[Date]],Database!A:E,MATCH($A$1,Database!$A$1:$E$1,),)</f>
        <v>98.927999999999997</v>
      </c>
      <c r="C639" s="9">
        <f t="shared" si="9"/>
        <v>2.0562167637376851E-3</v>
      </c>
      <c r="D639" s="7">
        <f>(Table5345679103[[#This Row],[Value]]-B627)/B627</f>
        <v>2.7001775203214042E-2</v>
      </c>
    </row>
    <row r="640" spans="1:4" x14ac:dyDescent="0.2">
      <c r="A640" s="36">
        <v>40878</v>
      </c>
      <c r="B640" s="37">
        <f>VLOOKUP(Table5345679103[[#This Row],[Date]],Database!A:E,MATCH($A$1,Database!$A$1:$E$1,),)</f>
        <v>98.983999999999995</v>
      </c>
      <c r="C640" s="9">
        <f t="shared" si="9"/>
        <v>5.6606825165774486E-4</v>
      </c>
      <c r="D640" s="7">
        <f>(Table5345679103[[#This Row],[Value]]-B628)/B628</f>
        <v>2.5262830804288084E-2</v>
      </c>
    </row>
    <row r="641" spans="1:4" x14ac:dyDescent="0.2">
      <c r="A641" s="36">
        <v>40909</v>
      </c>
      <c r="B641" s="37">
        <f>VLOOKUP(Table5345679103[[#This Row],[Date]],Database!A:E,MATCH($A$1,Database!$A$1:$E$1,),)</f>
        <v>99.322999999999993</v>
      </c>
      <c r="C641" s="9">
        <f t="shared" si="9"/>
        <v>3.4247959266143885E-3</v>
      </c>
      <c r="D641" s="7">
        <f>(Table5345679103[[#This Row],[Value]]-B629)/B629</f>
        <v>2.5693189445964784E-2</v>
      </c>
    </row>
    <row r="642" spans="1:4" x14ac:dyDescent="0.2">
      <c r="A642" s="36">
        <v>40940</v>
      </c>
      <c r="B642" s="37">
        <f>VLOOKUP(Table5345679103[[#This Row],[Date]],Database!A:E,MATCH($A$1,Database!$A$1:$E$1,),)</f>
        <v>99.545000000000002</v>
      </c>
      <c r="C642" s="9">
        <f t="shared" si="9"/>
        <v>2.2351318425743124E-3</v>
      </c>
      <c r="D642" s="7">
        <f>(Table5345679103[[#This Row],[Value]]-B630)/B630</f>
        <v>2.5127439369754364E-2</v>
      </c>
    </row>
    <row r="643" spans="1:4" x14ac:dyDescent="0.2">
      <c r="A643" s="36">
        <v>40969</v>
      </c>
      <c r="B643" s="37">
        <f>VLOOKUP(Table5345679103[[#This Row],[Date]],Database!A:E,MATCH($A$1,Database!$A$1:$E$1,),)</f>
        <v>99.734999999999999</v>
      </c>
      <c r="C643" s="9">
        <f t="shared" si="9"/>
        <v>1.9086845145411394E-3</v>
      </c>
      <c r="D643" s="7">
        <f>(Table5345679103[[#This Row],[Value]]-B631)/B631</f>
        <v>2.2965044719783421E-2</v>
      </c>
    </row>
    <row r="644" spans="1:4" x14ac:dyDescent="0.2">
      <c r="A644" s="36">
        <v>41000</v>
      </c>
      <c r="B644" s="37">
        <f>VLOOKUP(Table5345679103[[#This Row],[Date]],Database!A:E,MATCH($A$1,Database!$A$1:$E$1,),)</f>
        <v>99.866</v>
      </c>
      <c r="C644" s="9">
        <f t="shared" si="9"/>
        <v>1.3134807239183861E-3</v>
      </c>
      <c r="D644" s="7">
        <f>(Table5345679103[[#This Row],[Value]]-B632)/B632</f>
        <v>1.9998365812803839E-2</v>
      </c>
    </row>
    <row r="645" spans="1:4" x14ac:dyDescent="0.2">
      <c r="A645" s="36">
        <v>41030</v>
      </c>
      <c r="B645" s="37">
        <f>VLOOKUP(Table5345679103[[#This Row],[Date]],Database!A:E,MATCH($A$1,Database!$A$1:$E$1,),)</f>
        <v>99.754000000000005</v>
      </c>
      <c r="C645" s="9">
        <f t="shared" si="9"/>
        <v>-1.1215028137703999E-3</v>
      </c>
      <c r="D645" s="7">
        <f>(Table5345679103[[#This Row],[Value]]-B633)/B633</f>
        <v>1.576278435126165E-2</v>
      </c>
    </row>
    <row r="646" spans="1:4" x14ac:dyDescent="0.2">
      <c r="A646" s="36">
        <v>41061</v>
      </c>
      <c r="B646" s="37">
        <f>VLOOKUP(Table5345679103[[#This Row],[Date]],Database!A:E,MATCH($A$1,Database!$A$1:$E$1,),)</f>
        <v>99.703999999999994</v>
      </c>
      <c r="C646" s="9">
        <f t="shared" ref="C646:C709" si="10">(B646-B645)/B645</f>
        <v>-5.0123303326193803E-4</v>
      </c>
      <c r="D646" s="7">
        <f>(Table5345679103[[#This Row],[Value]]-B634)/B634</f>
        <v>1.5460452610351642E-2</v>
      </c>
    </row>
    <row r="647" spans="1:4" x14ac:dyDescent="0.2">
      <c r="A647" s="36">
        <v>41091</v>
      </c>
      <c r="B647" s="37">
        <f>VLOOKUP(Table5345679103[[#This Row],[Date]],Database!A:E,MATCH($A$1,Database!$A$1:$E$1,),)</f>
        <v>99.74</v>
      </c>
      <c r="C647" s="9">
        <f t="shared" si="10"/>
        <v>3.6106876354009235E-4</v>
      </c>
      <c r="D647" s="7">
        <f>(Table5345679103[[#This Row],[Value]]-B635)/B635</f>
        <v>1.4102264292904136E-2</v>
      </c>
    </row>
    <row r="648" spans="1:4" x14ac:dyDescent="0.2">
      <c r="A648" s="36">
        <v>41122</v>
      </c>
      <c r="B648" s="37">
        <f>VLOOKUP(Table5345679103[[#This Row],[Date]],Database!A:E,MATCH($A$1,Database!$A$1:$E$1,),)</f>
        <v>100.075</v>
      </c>
      <c r="C648" s="9">
        <f t="shared" si="10"/>
        <v>3.3587327050331661E-3</v>
      </c>
      <c r="D648" s="7">
        <f>(Table5345679103[[#This Row],[Value]]-B636)/B636</f>
        <v>1.5124158078389998E-2</v>
      </c>
    </row>
    <row r="649" spans="1:4" x14ac:dyDescent="0.2">
      <c r="A649" s="36">
        <v>41153</v>
      </c>
      <c r="B649" s="37">
        <f>VLOOKUP(Table5345679103[[#This Row],[Date]],Database!A:E,MATCH($A$1,Database!$A$1:$E$1,),)</f>
        <v>100.379</v>
      </c>
      <c r="C649" s="9">
        <f t="shared" si="10"/>
        <v>3.0377217087184816E-3</v>
      </c>
      <c r="D649" s="7">
        <f>(Table5345679103[[#This Row],[Value]]-B637)/B637</f>
        <v>1.6774206618518542E-2</v>
      </c>
    </row>
    <row r="650" spans="1:4" x14ac:dyDescent="0.2">
      <c r="A650" s="36">
        <v>41183</v>
      </c>
      <c r="B650" s="37">
        <f>VLOOKUP(Table5345679103[[#This Row],[Date]],Database!A:E,MATCH($A$1,Database!$A$1:$E$1,),)</f>
        <v>100.67700000000001</v>
      </c>
      <c r="C650" s="9">
        <f t="shared" si="10"/>
        <v>2.9687484433995339E-3</v>
      </c>
      <c r="D650" s="7">
        <f>(Table5345679103[[#This Row],[Value]]-B638)/B638</f>
        <v>1.9772094201063687E-2</v>
      </c>
    </row>
    <row r="651" spans="1:4" x14ac:dyDescent="0.2">
      <c r="A651" s="36">
        <v>41214</v>
      </c>
      <c r="B651" s="37">
        <f>VLOOKUP(Table5345679103[[#This Row],[Date]],Database!A:E,MATCH($A$1,Database!$A$1:$E$1,),)</f>
        <v>100.60899999999999</v>
      </c>
      <c r="C651" s="9">
        <f t="shared" si="10"/>
        <v>-6.754273567946209E-4</v>
      </c>
      <c r="D651" s="7">
        <f>(Table5345679103[[#This Row],[Value]]-B639)/B639</f>
        <v>1.699215591136986E-2</v>
      </c>
    </row>
    <row r="652" spans="1:4" x14ac:dyDescent="0.2">
      <c r="A652" s="36">
        <v>41244</v>
      </c>
      <c r="B652" s="37">
        <f>VLOOKUP(Table5345679103[[#This Row],[Date]],Database!A:E,MATCH($A$1,Database!$A$1:$E$1,),)</f>
        <v>100.593</v>
      </c>
      <c r="C652" s="9">
        <f t="shared" si="10"/>
        <v>-1.5903149817601939E-4</v>
      </c>
      <c r="D652" s="7">
        <f>(Table5345679103[[#This Row],[Value]]-B640)/B640</f>
        <v>1.6255152347854289E-2</v>
      </c>
    </row>
    <row r="653" spans="1:4" x14ac:dyDescent="0.2">
      <c r="A653" s="36">
        <v>41275</v>
      </c>
      <c r="B653" s="37">
        <f>VLOOKUP(Table5345679103[[#This Row],[Date]],Database!A:E,MATCH($A$1,Database!$A$1:$E$1,),)</f>
        <v>100.78700000000001</v>
      </c>
      <c r="C653" s="9">
        <f t="shared" si="10"/>
        <v>1.9285636177467876E-3</v>
      </c>
      <c r="D653" s="7">
        <f>(Table5345679103[[#This Row],[Value]]-B641)/B641</f>
        <v>1.4739788367246388E-2</v>
      </c>
    </row>
    <row r="654" spans="1:4" x14ac:dyDescent="0.2">
      <c r="A654" s="36">
        <v>41306</v>
      </c>
      <c r="B654" s="37">
        <f>VLOOKUP(Table5345679103[[#This Row],[Date]],Database!A:E,MATCH($A$1,Database!$A$1:$E$1,),)</f>
        <v>101.15600000000001</v>
      </c>
      <c r="C654" s="9">
        <f t="shared" si="10"/>
        <v>3.6611864625398093E-3</v>
      </c>
      <c r="D654" s="7">
        <f>(Table5345679103[[#This Row],[Value]]-B642)/B642</f>
        <v>1.6183635541714845E-2</v>
      </c>
    </row>
    <row r="655" spans="1:4" x14ac:dyDescent="0.2">
      <c r="A655" s="36">
        <v>41334</v>
      </c>
      <c r="B655" s="37">
        <f>VLOOKUP(Table5345679103[[#This Row],[Date]],Database!A:E,MATCH($A$1,Database!$A$1:$E$1,),)</f>
        <v>101.023</v>
      </c>
      <c r="C655" s="9">
        <f t="shared" si="10"/>
        <v>-1.3148009015778576E-3</v>
      </c>
      <c r="D655" s="7">
        <f>(Table5345679103[[#This Row],[Value]]-B643)/B643</f>
        <v>1.2914222690128808E-2</v>
      </c>
    </row>
    <row r="656" spans="1:4" x14ac:dyDescent="0.2">
      <c r="A656" s="36">
        <v>41365</v>
      </c>
      <c r="B656" s="37">
        <f>VLOOKUP(Table5345679103[[#This Row],[Date]],Database!A:E,MATCH($A$1,Database!$A$1:$E$1,),)</f>
        <v>100.944</v>
      </c>
      <c r="C656" s="9">
        <f t="shared" si="10"/>
        <v>-7.8200013858223893E-4</v>
      </c>
      <c r="D656" s="7">
        <f>(Table5345679103[[#This Row],[Value]]-B644)/B644</f>
        <v>1.0794464582540634E-2</v>
      </c>
    </row>
    <row r="657" spans="1:4" x14ac:dyDescent="0.2">
      <c r="A657" s="36">
        <v>41395</v>
      </c>
      <c r="B657" s="37">
        <f>VLOOKUP(Table5345679103[[#This Row],[Date]],Database!A:E,MATCH($A$1,Database!$A$1:$E$1,),)</f>
        <v>101.01</v>
      </c>
      <c r="C657" s="9">
        <f t="shared" si="10"/>
        <v>6.5382786495485118E-4</v>
      </c>
      <c r="D657" s="7">
        <f>(Table5345679103[[#This Row],[Value]]-B645)/B645</f>
        <v>1.2590973795537024E-2</v>
      </c>
    </row>
    <row r="658" spans="1:4" x14ac:dyDescent="0.2">
      <c r="A658" s="36">
        <v>41426</v>
      </c>
      <c r="B658" s="37">
        <f>VLOOKUP(Table5345679103[[#This Row],[Date]],Database!A:E,MATCH($A$1,Database!$A$1:$E$1,),)</f>
        <v>101.22799999999999</v>
      </c>
      <c r="C658" s="9">
        <f t="shared" si="10"/>
        <v>2.1582021582020523E-3</v>
      </c>
      <c r="D658" s="7">
        <f>(Table5345679103[[#This Row],[Value]]-B646)/B646</f>
        <v>1.5285244323196672E-2</v>
      </c>
    </row>
    <row r="659" spans="1:4" x14ac:dyDescent="0.2">
      <c r="A659" s="36">
        <v>41456</v>
      </c>
      <c r="B659" s="37">
        <f>VLOOKUP(Table5345679103[[#This Row],[Date]],Database!A:E,MATCH($A$1,Database!$A$1:$E$1,),)</f>
        <v>101.354</v>
      </c>
      <c r="C659" s="9">
        <f t="shared" si="10"/>
        <v>1.2447149010155764E-3</v>
      </c>
      <c r="D659" s="7">
        <f>(Table5345679103[[#This Row],[Value]]-B647)/B647</f>
        <v>1.6182073390816166E-2</v>
      </c>
    </row>
    <row r="660" spans="1:4" x14ac:dyDescent="0.2">
      <c r="A660" s="36">
        <v>41487</v>
      </c>
      <c r="B660" s="37">
        <f>VLOOKUP(Table5345679103[[#This Row],[Date]],Database!A:E,MATCH($A$1,Database!$A$1:$E$1,),)</f>
        <v>101.51</v>
      </c>
      <c r="C660" s="9">
        <f t="shared" si="10"/>
        <v>1.5391597766245626E-3</v>
      </c>
      <c r="D660" s="7">
        <f>(Table5345679103[[#This Row],[Value]]-B648)/B648</f>
        <v>1.4339245565825652E-2</v>
      </c>
    </row>
    <row r="661" spans="1:4" x14ac:dyDescent="0.2">
      <c r="A661" s="36">
        <v>41518</v>
      </c>
      <c r="B661" s="37">
        <f>VLOOKUP(Table5345679103[[#This Row],[Date]],Database!A:E,MATCH($A$1,Database!$A$1:$E$1,),)</f>
        <v>101.55</v>
      </c>
      <c r="C661" s="9">
        <f t="shared" si="10"/>
        <v>3.9404984730560577E-4</v>
      </c>
      <c r="D661" s="7">
        <f>(Table5345679103[[#This Row],[Value]]-B649)/B649</f>
        <v>1.1665786668526208E-2</v>
      </c>
    </row>
    <row r="662" spans="1:4" x14ac:dyDescent="0.2">
      <c r="A662" s="36">
        <v>41548</v>
      </c>
      <c r="B662" s="37">
        <f>VLOOKUP(Table5345679103[[#This Row],[Date]],Database!A:E,MATCH($A$1,Database!$A$1:$E$1,),)</f>
        <v>101.72199999999999</v>
      </c>
      <c r="C662" s="9">
        <f t="shared" si="10"/>
        <v>1.6937469226981491E-3</v>
      </c>
      <c r="D662" s="7">
        <f>(Table5345679103[[#This Row],[Value]]-B650)/B650</f>
        <v>1.0379729233091842E-2</v>
      </c>
    </row>
    <row r="663" spans="1:4" x14ac:dyDescent="0.2">
      <c r="A663" s="36">
        <v>41579</v>
      </c>
      <c r="B663" s="37">
        <f>VLOOKUP(Table5345679103[[#This Row],[Date]],Database!A:E,MATCH($A$1,Database!$A$1:$E$1,),)</f>
        <v>101.881</v>
      </c>
      <c r="C663" s="9">
        <f t="shared" si="10"/>
        <v>1.5630836987083033E-3</v>
      </c>
      <c r="D663" s="7">
        <f>(Table5345679103[[#This Row],[Value]]-B651)/B651</f>
        <v>1.2643004105000603E-2</v>
      </c>
    </row>
    <row r="664" spans="1:4" x14ac:dyDescent="0.2">
      <c r="A664" s="36">
        <v>41609</v>
      </c>
      <c r="B664" s="37">
        <f>VLOOKUP(Table5345679103[[#This Row],[Date]],Database!A:E,MATCH($A$1,Database!$A$1:$E$1,),)</f>
        <v>102.084</v>
      </c>
      <c r="C664" s="9">
        <f t="shared" si="10"/>
        <v>1.9925206858982828E-3</v>
      </c>
      <c r="D664" s="7">
        <f>(Table5345679103[[#This Row],[Value]]-B652)/B652</f>
        <v>1.4822104917837222E-2</v>
      </c>
    </row>
    <row r="665" spans="1:4" x14ac:dyDescent="0.2">
      <c r="A665" s="36">
        <v>41640</v>
      </c>
      <c r="B665" s="37">
        <f>VLOOKUP(Table5345679103[[#This Row],[Date]],Database!A:E,MATCH($A$1,Database!$A$1:$E$1,),)</f>
        <v>102.27800000000001</v>
      </c>
      <c r="C665" s="9">
        <f t="shared" si="10"/>
        <v>1.9003957525175602E-3</v>
      </c>
      <c r="D665" s="7">
        <f>(Table5345679103[[#This Row],[Value]]-B653)/B653</f>
        <v>1.4793574568148666E-2</v>
      </c>
    </row>
    <row r="666" spans="1:4" x14ac:dyDescent="0.2">
      <c r="A666" s="36">
        <v>41671</v>
      </c>
      <c r="B666" s="37">
        <f>VLOOKUP(Table5345679103[[#This Row],[Date]],Database!A:E,MATCH($A$1,Database!$A$1:$E$1,),)</f>
        <v>102.33799999999999</v>
      </c>
      <c r="C666" s="9">
        <f t="shared" si="10"/>
        <v>5.8663642229988915E-4</v>
      </c>
      <c r="D666" s="7">
        <f>(Table5345679103[[#This Row],[Value]]-B654)/B654</f>
        <v>1.1684922298232312E-2</v>
      </c>
    </row>
    <row r="667" spans="1:4" x14ac:dyDescent="0.2">
      <c r="A667" s="36">
        <v>41699</v>
      </c>
      <c r="B667" s="37">
        <f>VLOOKUP(Table5345679103[[#This Row],[Date]],Database!A:E,MATCH($A$1,Database!$A$1:$E$1,),)</f>
        <v>102.54300000000001</v>
      </c>
      <c r="C667" s="9">
        <f t="shared" si="10"/>
        <v>2.0031659794017133E-3</v>
      </c>
      <c r="D667" s="7">
        <f>(Table5345679103[[#This Row],[Value]]-B655)/B655</f>
        <v>1.5046078615760869E-2</v>
      </c>
    </row>
    <row r="668" spans="1:4" x14ac:dyDescent="0.2">
      <c r="A668" s="36">
        <v>41730</v>
      </c>
      <c r="B668" s="37">
        <f>VLOOKUP(Table5345679103[[#This Row],[Date]],Database!A:E,MATCH($A$1,Database!$A$1:$E$1,),)</f>
        <v>102.742</v>
      </c>
      <c r="C668" s="9">
        <f t="shared" si="10"/>
        <v>1.9406492885911087E-3</v>
      </c>
      <c r="D668" s="7">
        <f>(Table5345679103[[#This Row],[Value]]-B656)/B656</f>
        <v>1.7811856078617867E-2</v>
      </c>
    </row>
    <row r="669" spans="1:4" x14ac:dyDescent="0.2">
      <c r="A669" s="36">
        <v>41760</v>
      </c>
      <c r="B669" s="37">
        <f>VLOOKUP(Table5345679103[[#This Row],[Date]],Database!A:E,MATCH($A$1,Database!$A$1:$E$1,),)</f>
        <v>102.919</v>
      </c>
      <c r="C669" s="9">
        <f t="shared" si="10"/>
        <v>1.7227618695372145E-3</v>
      </c>
      <c r="D669" s="7">
        <f>(Table5345679103[[#This Row],[Value]]-B657)/B657</f>
        <v>1.8899118899118817E-2</v>
      </c>
    </row>
    <row r="670" spans="1:4" x14ac:dyDescent="0.2">
      <c r="A670" s="36">
        <v>41791</v>
      </c>
      <c r="B670" s="37">
        <f>VLOOKUP(Table5345679103[[#This Row],[Date]],Database!A:E,MATCH($A$1,Database!$A$1:$E$1,),)</f>
        <v>103.035</v>
      </c>
      <c r="C670" s="9">
        <f t="shared" si="10"/>
        <v>1.1270999523897401E-3</v>
      </c>
      <c r="D670" s="7">
        <f>(Table5345679103[[#This Row],[Value]]-B658)/B658</f>
        <v>1.7850792270913209E-2</v>
      </c>
    </row>
    <row r="671" spans="1:4" x14ac:dyDescent="0.2">
      <c r="A671" s="36">
        <v>41821</v>
      </c>
      <c r="B671" s="37">
        <f>VLOOKUP(Table5345679103[[#This Row],[Date]],Database!A:E,MATCH($A$1,Database!$A$1:$E$1,),)</f>
        <v>103.19</v>
      </c>
      <c r="C671" s="9">
        <f t="shared" si="10"/>
        <v>1.5043431843548419E-3</v>
      </c>
      <c r="D671" s="7">
        <f>(Table5345679103[[#This Row],[Value]]-B659)/B659</f>
        <v>1.8114726601811459E-2</v>
      </c>
    </row>
    <row r="672" spans="1:4" x14ac:dyDescent="0.2">
      <c r="A672" s="36">
        <v>41852</v>
      </c>
      <c r="B672" s="37">
        <f>VLOOKUP(Table5345679103[[#This Row],[Date]],Database!A:E,MATCH($A$1,Database!$A$1:$E$1,),)</f>
        <v>103.17700000000001</v>
      </c>
      <c r="C672" s="9">
        <f t="shared" si="10"/>
        <v>-1.2598119972856883E-4</v>
      </c>
      <c r="D672" s="7">
        <f>(Table5345679103[[#This Row],[Value]]-B660)/B660</f>
        <v>1.6422027386464401E-2</v>
      </c>
    </row>
    <row r="673" spans="1:4" x14ac:dyDescent="0.2">
      <c r="A673" s="36">
        <v>41883</v>
      </c>
      <c r="B673" s="37">
        <f>VLOOKUP(Table5345679103[[#This Row],[Date]],Database!A:E,MATCH($A$1,Database!$A$1:$E$1,),)</f>
        <v>103.203</v>
      </c>
      <c r="C673" s="9">
        <f t="shared" si="10"/>
        <v>2.519941459821108E-4</v>
      </c>
      <c r="D673" s="7">
        <f>(Table5345679103[[#This Row],[Value]]-B661)/B661</f>
        <v>1.627769571639592E-2</v>
      </c>
    </row>
    <row r="674" spans="1:4" x14ac:dyDescent="0.2">
      <c r="A674" s="36">
        <v>41913</v>
      </c>
      <c r="B674" s="37">
        <f>VLOOKUP(Table5345679103[[#This Row],[Date]],Database!A:E,MATCH($A$1,Database!$A$1:$E$1,),)</f>
        <v>103.17700000000001</v>
      </c>
      <c r="C674" s="9">
        <f t="shared" si="10"/>
        <v>-2.5193066093036294E-4</v>
      </c>
      <c r="D674" s="7">
        <f>(Table5345679103[[#This Row],[Value]]-B662)/B662</f>
        <v>1.4303690450443489E-2</v>
      </c>
    </row>
    <row r="675" spans="1:4" x14ac:dyDescent="0.2">
      <c r="A675" s="36">
        <v>41944</v>
      </c>
      <c r="B675" s="37">
        <f>VLOOKUP(Table5345679103[[#This Row],[Date]],Database!A:E,MATCH($A$1,Database!$A$1:$E$1,),)</f>
        <v>103.098</v>
      </c>
      <c r="C675" s="9">
        <f t="shared" si="10"/>
        <v>-7.6567452048429134E-4</v>
      </c>
      <c r="D675" s="7">
        <f>(Table5345679103[[#This Row],[Value]]-B663)/B663</f>
        <v>1.1945308742552573E-2</v>
      </c>
    </row>
    <row r="676" spans="1:4" x14ac:dyDescent="0.2">
      <c r="A676" s="36">
        <v>41974</v>
      </c>
      <c r="B676" s="37">
        <f>VLOOKUP(Table5345679103[[#This Row],[Date]],Database!A:E,MATCH($A$1,Database!$A$1:$E$1,),)</f>
        <v>102.94</v>
      </c>
      <c r="C676" s="9">
        <f t="shared" si="10"/>
        <v>-1.5325224543638214E-3</v>
      </c>
      <c r="D676" s="7">
        <f>(Table5345679103[[#This Row],[Value]]-B664)/B664</f>
        <v>8.3852513616237065E-3</v>
      </c>
    </row>
    <row r="677" spans="1:4" x14ac:dyDescent="0.2">
      <c r="A677" s="36">
        <v>42005</v>
      </c>
      <c r="B677" s="37">
        <f>VLOOKUP(Table5345679103[[#This Row],[Date]],Database!A:E,MATCH($A$1,Database!$A$1:$E$1,),)</f>
        <v>102.465</v>
      </c>
      <c r="C677" s="9">
        <f t="shared" si="10"/>
        <v>-4.6143384495822256E-3</v>
      </c>
      <c r="D677" s="7">
        <f>(Table5345679103[[#This Row],[Value]]-B665)/B665</f>
        <v>1.8283501828349948E-3</v>
      </c>
    </row>
    <row r="678" spans="1:4" x14ac:dyDescent="0.2">
      <c r="A678" s="36">
        <v>42036</v>
      </c>
      <c r="B678" s="37">
        <f>VLOOKUP(Table5345679103[[#This Row],[Date]],Database!A:E,MATCH($A$1,Database!$A$1:$E$1,),)</f>
        <v>102.634</v>
      </c>
      <c r="C678" s="9">
        <f t="shared" si="10"/>
        <v>1.6493436783291556E-3</v>
      </c>
      <c r="D678" s="7">
        <f>(Table5345679103[[#This Row],[Value]]-B666)/B666</f>
        <v>2.892376243428702E-3</v>
      </c>
    </row>
    <row r="679" spans="1:4" x14ac:dyDescent="0.2">
      <c r="A679" s="36">
        <v>42064</v>
      </c>
      <c r="B679" s="37">
        <f>VLOOKUP(Table5345679103[[#This Row],[Date]],Database!A:E,MATCH($A$1,Database!$A$1:$E$1,),)</f>
        <v>102.831</v>
      </c>
      <c r="C679" s="9">
        <f t="shared" si="10"/>
        <v>1.9194419003449414E-3</v>
      </c>
      <c r="D679" s="7">
        <f>(Table5345679103[[#This Row],[Value]]-B667)/B667</f>
        <v>2.8085778648956699E-3</v>
      </c>
    </row>
    <row r="680" spans="1:4" x14ac:dyDescent="0.2">
      <c r="A680" s="36">
        <v>42095</v>
      </c>
      <c r="B680" s="37">
        <f>VLOOKUP(Table5345679103[[#This Row],[Date]],Database!A:E,MATCH($A$1,Database!$A$1:$E$1,),)</f>
        <v>102.91</v>
      </c>
      <c r="C680" s="9">
        <f t="shared" si="10"/>
        <v>7.6825081930539929E-4</v>
      </c>
      <c r="D680" s="7">
        <f>(Table5345679103[[#This Row],[Value]]-B668)/B668</f>
        <v>1.6351638083742983E-3</v>
      </c>
    </row>
    <row r="681" spans="1:4" x14ac:dyDescent="0.2">
      <c r="A681" s="36">
        <v>42125</v>
      </c>
      <c r="B681" s="37">
        <f>VLOOKUP(Table5345679103[[#This Row],[Date]],Database!A:E,MATCH($A$1,Database!$A$1:$E$1,),)</f>
        <v>103.15600000000001</v>
      </c>
      <c r="C681" s="9">
        <f t="shared" si="10"/>
        <v>2.3904382470120427E-3</v>
      </c>
      <c r="D681" s="7">
        <f>(Table5345679103[[#This Row],[Value]]-B669)/B669</f>
        <v>2.3027817992791319E-3</v>
      </c>
    </row>
    <row r="682" spans="1:4" x14ac:dyDescent="0.2">
      <c r="A682" s="36">
        <v>42156</v>
      </c>
      <c r="B682" s="37">
        <f>VLOOKUP(Table5345679103[[#This Row],[Date]],Database!A:E,MATCH($A$1,Database!$A$1:$E$1,),)</f>
        <v>103.35599999999999</v>
      </c>
      <c r="C682" s="9">
        <f t="shared" si="10"/>
        <v>1.9388111210204798E-3</v>
      </c>
      <c r="D682" s="7">
        <f>(Table5345679103[[#This Row],[Value]]-B670)/B670</f>
        <v>3.1154462075993396E-3</v>
      </c>
    </row>
    <row r="683" spans="1:4" x14ac:dyDescent="0.2">
      <c r="A683" s="36">
        <v>42186</v>
      </c>
      <c r="B683" s="37">
        <f>VLOOKUP(Table5345679103[[#This Row],[Date]],Database!A:E,MATCH($A$1,Database!$A$1:$E$1,),)</f>
        <v>103.441</v>
      </c>
      <c r="C683" s="9">
        <f t="shared" si="10"/>
        <v>8.2240024768768106E-4</v>
      </c>
      <c r="D683" s="7">
        <f>(Table5345679103[[#This Row],[Value]]-B671)/B671</f>
        <v>2.4324062409148638E-3</v>
      </c>
    </row>
    <row r="684" spans="1:4" x14ac:dyDescent="0.2">
      <c r="A684" s="36">
        <v>42217</v>
      </c>
      <c r="B684" s="37">
        <f>VLOOKUP(Table5345679103[[#This Row],[Date]],Database!A:E,MATCH($A$1,Database!$A$1:$E$1,),)</f>
        <v>103.44199999999999</v>
      </c>
      <c r="C684" s="9">
        <f t="shared" si="10"/>
        <v>9.6673466032865491E-6</v>
      </c>
      <c r="D684" s="7">
        <f>(Table5345679103[[#This Row],[Value]]-B672)/B672</f>
        <v>2.5684018725102139E-3</v>
      </c>
    </row>
    <row r="685" spans="1:4" x14ac:dyDescent="0.2">
      <c r="A685" s="36">
        <v>42248</v>
      </c>
      <c r="B685" s="37">
        <f>VLOOKUP(Table5345679103[[#This Row],[Date]],Database!A:E,MATCH($A$1,Database!$A$1:$E$1,),)</f>
        <v>103.289</v>
      </c>
      <c r="C685" s="9">
        <f t="shared" si="10"/>
        <v>-1.4790897314436264E-3</v>
      </c>
      <c r="D685" s="7">
        <f>(Table5345679103[[#This Row],[Value]]-B673)/B673</f>
        <v>8.3330910923130647E-4</v>
      </c>
    </row>
    <row r="686" spans="1:4" x14ac:dyDescent="0.2">
      <c r="A686" s="36">
        <v>42278</v>
      </c>
      <c r="B686" s="37">
        <f>VLOOKUP(Table5345679103[[#This Row],[Date]],Database!A:E,MATCH($A$1,Database!$A$1:$E$1,),)</f>
        <v>103.274</v>
      </c>
      <c r="C686" s="9">
        <f t="shared" si="10"/>
        <v>-1.452235959298722E-4</v>
      </c>
      <c r="D686" s="7">
        <f>(Table5345679103[[#This Row],[Value]]-B674)/B674</f>
        <v>9.4013200616410828E-4</v>
      </c>
    </row>
    <row r="687" spans="1:4" x14ac:dyDescent="0.2">
      <c r="A687" s="36">
        <v>42309</v>
      </c>
      <c r="B687" s="37">
        <f>VLOOKUP(Table5345679103[[#This Row],[Date]],Database!A:E,MATCH($A$1,Database!$A$1:$E$1,),)</f>
        <v>103.337</v>
      </c>
      <c r="C687" s="9">
        <f t="shared" si="10"/>
        <v>6.1002769332070398E-4</v>
      </c>
      <c r="D687" s="7">
        <f>(Table5345679103[[#This Row],[Value]]-B675)/B675</f>
        <v>2.3181826999554241E-3</v>
      </c>
    </row>
    <row r="688" spans="1:4" x14ac:dyDescent="0.2">
      <c r="A688" s="36">
        <v>42339</v>
      </c>
      <c r="B688" s="37">
        <f>VLOOKUP(Table5345679103[[#This Row],[Date]],Database!A:E,MATCH($A$1,Database!$A$1:$E$1,),)</f>
        <v>103.253</v>
      </c>
      <c r="C688" s="9">
        <f t="shared" si="10"/>
        <v>-8.1287438187680285E-4</v>
      </c>
      <c r="D688" s="7">
        <f>(Table5345679103[[#This Row],[Value]]-B676)/B676</f>
        <v>3.0406061783563474E-3</v>
      </c>
    </row>
    <row r="689" spans="1:4" x14ac:dyDescent="0.2">
      <c r="A689" s="36">
        <v>42370</v>
      </c>
      <c r="B689" s="37">
        <f>VLOOKUP(Table5345679103[[#This Row],[Date]],Database!A:E,MATCH($A$1,Database!$A$1:$E$1,),)</f>
        <v>103.306</v>
      </c>
      <c r="C689" s="9">
        <f t="shared" si="10"/>
        <v>5.1330227693139447E-4</v>
      </c>
      <c r="D689" s="7">
        <f>(Table5345679103[[#This Row],[Value]]-B677)/B677</f>
        <v>8.2076806714487284E-3</v>
      </c>
    </row>
    <row r="690" spans="1:4" x14ac:dyDescent="0.2">
      <c r="A690" s="36">
        <v>42401</v>
      </c>
      <c r="B690" s="37">
        <f>VLOOKUP(Table5345679103[[#This Row],[Date]],Database!A:E,MATCH($A$1,Database!$A$1:$E$1,),)</f>
        <v>103.242</v>
      </c>
      <c r="C690" s="9">
        <f t="shared" si="10"/>
        <v>-6.195187114010121E-4</v>
      </c>
      <c r="D690" s="7">
        <f>(Table5345679103[[#This Row],[Value]]-B678)/B678</f>
        <v>5.9239628193386608E-3</v>
      </c>
    </row>
    <row r="691" spans="1:4" x14ac:dyDescent="0.2">
      <c r="A691" s="36">
        <v>42430</v>
      </c>
      <c r="B691" s="37">
        <f>VLOOKUP(Table5345679103[[#This Row],[Date]],Database!A:E,MATCH($A$1,Database!$A$1:$E$1,),)</f>
        <v>103.48099999999999</v>
      </c>
      <c r="C691" s="9">
        <f t="shared" si="10"/>
        <v>2.3149493423218273E-3</v>
      </c>
      <c r="D691" s="7">
        <f>(Table5345679103[[#This Row],[Value]]-B679)/B679</f>
        <v>6.3210510449182777E-3</v>
      </c>
    </row>
    <row r="692" spans="1:4" x14ac:dyDescent="0.2">
      <c r="A692" s="36">
        <v>42461</v>
      </c>
      <c r="B692" s="37">
        <f>VLOOKUP(Table5345679103[[#This Row],[Date]],Database!A:E,MATCH($A$1,Database!$A$1:$E$1,),)</f>
        <v>103.82299999999999</v>
      </c>
      <c r="C692" s="9">
        <f t="shared" si="10"/>
        <v>3.3049545327161387E-3</v>
      </c>
      <c r="D692" s="7">
        <f>(Table5345679103[[#This Row],[Value]]-B680)/B680</f>
        <v>8.8718297541540841E-3</v>
      </c>
    </row>
    <row r="693" spans="1:4" x14ac:dyDescent="0.2">
      <c r="A693" s="36">
        <v>42491</v>
      </c>
      <c r="B693" s="37">
        <f>VLOOKUP(Table5345679103[[#This Row],[Date]],Database!A:E,MATCH($A$1,Database!$A$1:$E$1,),)</f>
        <v>103.977</v>
      </c>
      <c r="C693" s="9">
        <f t="shared" si="10"/>
        <v>1.4832936825174632E-3</v>
      </c>
      <c r="D693" s="7">
        <f>(Table5345679103[[#This Row],[Value]]-B681)/B681</f>
        <v>7.9588196517895032E-3</v>
      </c>
    </row>
    <row r="694" spans="1:4" x14ac:dyDescent="0.2">
      <c r="A694" s="36">
        <v>42522</v>
      </c>
      <c r="B694" s="37">
        <f>VLOOKUP(Table5345679103[[#This Row],[Date]],Database!A:E,MATCH($A$1,Database!$A$1:$E$1,),)</f>
        <v>104.175</v>
      </c>
      <c r="C694" s="9">
        <f t="shared" si="10"/>
        <v>1.9042672898813514E-3</v>
      </c>
      <c r="D694" s="7">
        <f>(Table5345679103[[#This Row],[Value]]-B682)/B682</f>
        <v>7.9240682688958806E-3</v>
      </c>
    </row>
    <row r="695" spans="1:4" x14ac:dyDescent="0.2">
      <c r="A695" s="36">
        <v>42552</v>
      </c>
      <c r="B695" s="37">
        <f>VLOOKUP(Table5345679103[[#This Row],[Date]],Database!A:E,MATCH($A$1,Database!$A$1:$E$1,),)</f>
        <v>104.218</v>
      </c>
      <c r="C695" s="9">
        <f t="shared" si="10"/>
        <v>4.1276697864176979E-4</v>
      </c>
      <c r="D695" s="7">
        <f>(Table5345679103[[#This Row],[Value]]-B683)/B683</f>
        <v>7.5115283108245379E-3</v>
      </c>
    </row>
    <row r="696" spans="1:4" x14ac:dyDescent="0.2">
      <c r="A696" s="36">
        <v>42583</v>
      </c>
      <c r="B696" s="37">
        <f>VLOOKUP(Table5345679103[[#This Row],[Date]],Database!A:E,MATCH($A$1,Database!$A$1:$E$1,),)</f>
        <v>104.374</v>
      </c>
      <c r="C696" s="9">
        <f t="shared" si="10"/>
        <v>1.4968623462356953E-3</v>
      </c>
      <c r="D696" s="7">
        <f>(Table5345679103[[#This Row],[Value]]-B684)/B684</f>
        <v>9.0098799327159394E-3</v>
      </c>
    </row>
    <row r="697" spans="1:4" x14ac:dyDescent="0.2">
      <c r="A697" s="36">
        <v>42614</v>
      </c>
      <c r="B697" s="37">
        <f>VLOOKUP(Table5345679103[[#This Row],[Date]],Database!A:E,MATCH($A$1,Database!$A$1:$E$1,),)</f>
        <v>104.55500000000001</v>
      </c>
      <c r="C697" s="9">
        <f t="shared" si="10"/>
        <v>1.7341483511220382E-3</v>
      </c>
      <c r="D697" s="7">
        <f>(Table5345679103[[#This Row],[Value]]-B685)/B685</f>
        <v>1.22568714964808E-2</v>
      </c>
    </row>
    <row r="698" spans="1:4" x14ac:dyDescent="0.2">
      <c r="A698" s="36">
        <v>42644</v>
      </c>
      <c r="B698" s="37">
        <f>VLOOKUP(Table5345679103[[#This Row],[Date]],Database!A:E,MATCH($A$1,Database!$A$1:$E$1,),)</f>
        <v>104.786</v>
      </c>
      <c r="C698" s="9">
        <f t="shared" si="10"/>
        <v>2.2093634928984219E-3</v>
      </c>
      <c r="D698" s="7">
        <f>(Table5345679103[[#This Row],[Value]]-B686)/B686</f>
        <v>1.4640664639696346E-2</v>
      </c>
    </row>
    <row r="699" spans="1:4" x14ac:dyDescent="0.2">
      <c r="A699" s="36">
        <v>42675</v>
      </c>
      <c r="B699" s="37">
        <f>VLOOKUP(Table5345679103[[#This Row],[Date]],Database!A:E,MATCH($A$1,Database!$A$1:$E$1,),)</f>
        <v>104.82599999999999</v>
      </c>
      <c r="C699" s="9">
        <f t="shared" si="10"/>
        <v>3.8173038382982501E-4</v>
      </c>
      <c r="D699" s="7">
        <f>(Table5345679103[[#This Row],[Value]]-B687)/B687</f>
        <v>1.4409166126363162E-2</v>
      </c>
    </row>
    <row r="700" spans="1:4" x14ac:dyDescent="0.2">
      <c r="A700" s="36">
        <v>42705</v>
      </c>
      <c r="B700" s="37">
        <f>VLOOKUP(Table5345679103[[#This Row],[Date]],Database!A:E,MATCH($A$1,Database!$A$1:$E$1,),)</f>
        <v>105.017</v>
      </c>
      <c r="C700" s="9">
        <f t="shared" si="10"/>
        <v>1.8220670444355647E-3</v>
      </c>
      <c r="D700" s="7">
        <f>(Table5345679103[[#This Row],[Value]]-B688)/B688</f>
        <v>1.7084249368057063E-2</v>
      </c>
    </row>
    <row r="701" spans="1:4" x14ac:dyDescent="0.2">
      <c r="A701" s="36">
        <v>42736</v>
      </c>
      <c r="B701" s="37">
        <f>VLOOKUP(Table5345679103[[#This Row],[Date]],Database!A:E,MATCH($A$1,Database!$A$1:$E$1,),)</f>
        <v>105.41</v>
      </c>
      <c r="C701" s="9">
        <f t="shared" si="10"/>
        <v>3.7422512545587923E-3</v>
      </c>
      <c r="D701" s="7">
        <f>(Table5345679103[[#This Row],[Value]]-B689)/B689</f>
        <v>2.0366677637310506E-2</v>
      </c>
    </row>
    <row r="702" spans="1:4" x14ac:dyDescent="0.2">
      <c r="A702" s="36">
        <v>42767</v>
      </c>
      <c r="B702" s="37">
        <f>VLOOKUP(Table5345679103[[#This Row],[Date]],Database!A:E,MATCH($A$1,Database!$A$1:$E$1,),)</f>
        <v>105.502</v>
      </c>
      <c r="C702" s="9">
        <f t="shared" si="10"/>
        <v>8.7278246845649138E-4</v>
      </c>
      <c r="D702" s="7">
        <f>(Table5345679103[[#This Row],[Value]]-B690)/B690</f>
        <v>2.1890315956684205E-2</v>
      </c>
    </row>
    <row r="703" spans="1:4" x14ac:dyDescent="0.2">
      <c r="A703" s="36">
        <v>42795</v>
      </c>
      <c r="B703" s="37">
        <f>VLOOKUP(Table5345679103[[#This Row],[Date]],Database!A:E,MATCH($A$1,Database!$A$1:$E$1,),)</f>
        <v>105.44799999999999</v>
      </c>
      <c r="C703" s="9">
        <f t="shared" si="10"/>
        <v>-5.1183863813010228E-4</v>
      </c>
      <c r="D703" s="7">
        <f>(Table5345679103[[#This Row],[Value]]-B691)/B691</f>
        <v>1.9008320367990248E-2</v>
      </c>
    </row>
    <row r="704" spans="1:4" x14ac:dyDescent="0.2">
      <c r="A704" s="36">
        <v>42826</v>
      </c>
      <c r="B704" s="37">
        <f>VLOOKUP(Table5345679103[[#This Row],[Date]],Database!A:E,MATCH($A$1,Database!$A$1:$E$1,),)</f>
        <v>105.732</v>
      </c>
      <c r="C704" s="9">
        <f t="shared" si="10"/>
        <v>2.6932706167969618E-3</v>
      </c>
      <c r="D704" s="7">
        <f>(Table5345679103[[#This Row],[Value]]-B692)/B692</f>
        <v>1.8387062596919818E-2</v>
      </c>
    </row>
    <row r="705" spans="1:4" x14ac:dyDescent="0.2">
      <c r="A705" s="36">
        <v>42856</v>
      </c>
      <c r="B705" s="37">
        <f>VLOOKUP(Table5345679103[[#This Row],[Date]],Database!A:E,MATCH($A$1,Database!$A$1:$E$1,),)</f>
        <v>105.703</v>
      </c>
      <c r="C705" s="9">
        <f t="shared" si="10"/>
        <v>-2.742783641659702E-4</v>
      </c>
      <c r="D705" s="7">
        <f>(Table5345679103[[#This Row],[Value]]-B693)/B693</f>
        <v>1.6599824961289505E-2</v>
      </c>
    </row>
    <row r="706" spans="1:4" x14ac:dyDescent="0.2">
      <c r="A706" s="36">
        <v>42887</v>
      </c>
      <c r="B706" s="37">
        <f>VLOOKUP(Table5345679103[[#This Row],[Date]],Database!A:E,MATCH($A$1,Database!$A$1:$E$1,),)</f>
        <v>105.818</v>
      </c>
      <c r="C706" s="9">
        <f t="shared" si="10"/>
        <v>1.0879539842766513E-3</v>
      </c>
      <c r="D706" s="7">
        <f>(Table5345679103[[#This Row],[Value]]-B694)/B694</f>
        <v>1.5771538276937853E-2</v>
      </c>
    </row>
    <row r="707" spans="1:4" x14ac:dyDescent="0.2">
      <c r="A707" s="36">
        <v>42917</v>
      </c>
      <c r="B707" s="37">
        <f>VLOOKUP(Table5345679103[[#This Row],[Date]],Database!A:E,MATCH($A$1,Database!$A$1:$E$1,),)</f>
        <v>105.84399999999999</v>
      </c>
      <c r="C707" s="9">
        <f t="shared" si="10"/>
        <v>2.4570488952726615E-4</v>
      </c>
      <c r="D707" s="7">
        <f>(Table5345679103[[#This Row],[Value]]-B695)/B695</f>
        <v>1.5601911378072795E-2</v>
      </c>
    </row>
    <row r="708" spans="1:4" x14ac:dyDescent="0.2">
      <c r="A708" s="36">
        <v>42948</v>
      </c>
      <c r="B708" s="37">
        <f>VLOOKUP(Table5345679103[[#This Row],[Date]],Database!A:E,MATCH($A$1,Database!$A$1:$E$1,),)</f>
        <v>106.074</v>
      </c>
      <c r="C708" s="9">
        <f t="shared" si="10"/>
        <v>2.1730093344923093E-3</v>
      </c>
      <c r="D708" s="7">
        <f>(Table5345679103[[#This Row],[Value]]-B696)/B696</f>
        <v>1.6287581198382767E-2</v>
      </c>
    </row>
    <row r="709" spans="1:4" x14ac:dyDescent="0.2">
      <c r="A709" s="36">
        <v>42979</v>
      </c>
      <c r="B709" s="37">
        <f>VLOOKUP(Table5345679103[[#This Row],[Date]],Database!A:E,MATCH($A$1,Database!$A$1:$E$1,),)</f>
        <v>106.52</v>
      </c>
      <c r="C709" s="9">
        <f t="shared" si="10"/>
        <v>4.2046118747289434E-3</v>
      </c>
      <c r="D709" s="7">
        <f>(Table5345679103[[#This Row],[Value]]-B697)/B697</f>
        <v>1.879393620582458E-2</v>
      </c>
    </row>
    <row r="710" spans="1:4" x14ac:dyDescent="0.2">
      <c r="A710" s="36">
        <v>43009</v>
      </c>
      <c r="B710" s="37">
        <f>VLOOKUP(Table5345679103[[#This Row],[Date]],Database!A:E,MATCH($A$1,Database!$A$1:$E$1,),)</f>
        <v>106.69199999999999</v>
      </c>
      <c r="C710" s="9">
        <f t="shared" ref="C710:C758" si="11">(B710-B709)/B709</f>
        <v>1.6147202403304266E-3</v>
      </c>
      <c r="D710" s="7">
        <f>(Table5345679103[[#This Row],[Value]]-B698)/B698</f>
        <v>1.8189452789494701E-2</v>
      </c>
    </row>
    <row r="711" spans="1:4" x14ac:dyDescent="0.2">
      <c r="A711" s="36">
        <v>43040</v>
      </c>
      <c r="B711" s="37">
        <f>VLOOKUP(Table5345679103[[#This Row],[Date]],Database!A:E,MATCH($A$1,Database!$A$1:$E$1,),)</f>
        <v>106.88</v>
      </c>
      <c r="C711" s="9">
        <f t="shared" si="11"/>
        <v>1.7620815056424324E-3</v>
      </c>
      <c r="D711" s="7">
        <f>(Table5345679103[[#This Row],[Value]]-B699)/B699</f>
        <v>1.9594375441207356E-2</v>
      </c>
    </row>
    <row r="712" spans="1:4" x14ac:dyDescent="0.2">
      <c r="A712" s="36">
        <v>43070</v>
      </c>
      <c r="B712" s="37">
        <f>VLOOKUP(Table5345679103[[#This Row],[Date]],Database!A:E,MATCH($A$1,Database!$A$1:$E$1,),)</f>
        <v>106.995</v>
      </c>
      <c r="C712" s="9">
        <f t="shared" si="11"/>
        <v>1.0759730538923008E-3</v>
      </c>
      <c r="D712" s="7">
        <f>(Table5345679103[[#This Row],[Value]]-B700)/B700</f>
        <v>1.8835045754496973E-2</v>
      </c>
    </row>
    <row r="713" spans="1:4" x14ac:dyDescent="0.2">
      <c r="A713" s="36">
        <v>43101</v>
      </c>
      <c r="B713" s="37">
        <f>VLOOKUP(Table5345679103[[#This Row],[Date]],Database!A:E,MATCH($A$1,Database!$A$1:$E$1,),)</f>
        <v>107.354</v>
      </c>
      <c r="C713" s="9">
        <f t="shared" si="11"/>
        <v>3.3552969764941787E-3</v>
      </c>
      <c r="D713" s="7">
        <f>(Table5345679103[[#This Row],[Value]]-B701)/B701</f>
        <v>1.8442273029124396E-2</v>
      </c>
    </row>
    <row r="714" spans="1:4" x14ac:dyDescent="0.2">
      <c r="A714" s="36">
        <v>43132</v>
      </c>
      <c r="B714" s="37">
        <f>VLOOKUP(Table5345679103[[#This Row],[Date]],Database!A:E,MATCH($A$1,Database!$A$1:$E$1,),)</f>
        <v>107.574</v>
      </c>
      <c r="C714" s="9">
        <f t="shared" si="11"/>
        <v>2.0492948562699002E-3</v>
      </c>
      <c r="D714" s="7">
        <f>(Table5345679103[[#This Row],[Value]]-B702)/B702</f>
        <v>1.9639438114917279E-2</v>
      </c>
    </row>
    <row r="715" spans="1:4" x14ac:dyDescent="0.2">
      <c r="A715" s="36">
        <v>43160</v>
      </c>
      <c r="B715" s="37">
        <f>VLOOKUP(Table5345679103[[#This Row],[Date]],Database!A:E,MATCH($A$1,Database!$A$1:$E$1,),)</f>
        <v>107.744</v>
      </c>
      <c r="C715" s="9">
        <f t="shared" si="11"/>
        <v>1.5803075092494627E-3</v>
      </c>
      <c r="D715" s="7">
        <f>(Table5345679103[[#This Row],[Value]]-B703)/B703</f>
        <v>2.1773765268189124E-2</v>
      </c>
    </row>
    <row r="716" spans="1:4" x14ac:dyDescent="0.2">
      <c r="A716" s="36">
        <v>43191</v>
      </c>
      <c r="B716" s="37">
        <f>VLOOKUP(Table5345679103[[#This Row],[Date]],Database!A:E,MATCH($A$1,Database!$A$1:$E$1,),)</f>
        <v>108.008</v>
      </c>
      <c r="C716" s="9">
        <f t="shared" si="11"/>
        <v>2.4502524502524113E-3</v>
      </c>
      <c r="D716" s="7">
        <f>(Table5345679103[[#This Row],[Value]]-B704)/B704</f>
        <v>2.1526122649718121E-2</v>
      </c>
    </row>
    <row r="717" spans="1:4" x14ac:dyDescent="0.2">
      <c r="A717" s="36">
        <v>43221</v>
      </c>
      <c r="B717" s="37">
        <f>VLOOKUP(Table5345679103[[#This Row],[Date]],Database!A:E,MATCH($A$1,Database!$A$1:$E$1,),)</f>
        <v>108.203</v>
      </c>
      <c r="C717" s="9">
        <f t="shared" si="11"/>
        <v>1.8054218206059495E-3</v>
      </c>
      <c r="D717" s="7">
        <f>(Table5345679103[[#This Row],[Value]]-B705)/B705</f>
        <v>2.3651173571232604E-2</v>
      </c>
    </row>
    <row r="718" spans="1:4" x14ac:dyDescent="0.2">
      <c r="A718" s="36">
        <v>43252</v>
      </c>
      <c r="B718" s="37">
        <f>VLOOKUP(Table5345679103[[#This Row],[Date]],Database!A:E,MATCH($A$1,Database!$A$1:$E$1,),)</f>
        <v>108.34099999999999</v>
      </c>
      <c r="C718" s="9">
        <f t="shared" si="11"/>
        <v>1.2753805347355527E-3</v>
      </c>
      <c r="D718" s="7">
        <f>(Table5345679103[[#This Row],[Value]]-B706)/B706</f>
        <v>2.384282447220696E-2</v>
      </c>
    </row>
    <row r="719" spans="1:4" x14ac:dyDescent="0.2">
      <c r="A719" s="36">
        <v>43282</v>
      </c>
      <c r="B719" s="37">
        <f>VLOOKUP(Table5345679103[[#This Row],[Date]],Database!A:E,MATCH($A$1,Database!$A$1:$E$1,),)</f>
        <v>108.42700000000001</v>
      </c>
      <c r="C719" s="9">
        <f t="shared" si="11"/>
        <v>7.9378997794014026E-4</v>
      </c>
      <c r="D719" s="7">
        <f>(Table5345679103[[#This Row],[Value]]-B707)/B707</f>
        <v>2.4403839613015503E-2</v>
      </c>
    </row>
    <row r="720" spans="1:4" x14ac:dyDescent="0.2">
      <c r="A720" s="36">
        <v>43313</v>
      </c>
      <c r="B720" s="37">
        <f>VLOOKUP(Table5345679103[[#This Row],[Date]],Database!A:E,MATCH($A$1,Database!$A$1:$E$1,),)</f>
        <v>108.491</v>
      </c>
      <c r="C720" s="9">
        <f t="shared" si="11"/>
        <v>5.9025888385727673E-4</v>
      </c>
      <c r="D720" s="7">
        <f>(Table5345679103[[#This Row],[Value]]-B708)/B708</f>
        <v>2.2785979599147781E-2</v>
      </c>
    </row>
    <row r="721" spans="1:4" x14ac:dyDescent="0.2">
      <c r="A721" s="36">
        <v>43344</v>
      </c>
      <c r="B721" s="37">
        <f>VLOOKUP(Table5345679103[[#This Row],[Date]],Database!A:E,MATCH($A$1,Database!$A$1:$E$1,),)</f>
        <v>108.72</v>
      </c>
      <c r="C721" s="9">
        <f t="shared" si="11"/>
        <v>2.1107741655989826E-3</v>
      </c>
      <c r="D721" s="7">
        <f>(Table5345679103[[#This Row],[Value]]-B709)/B709</f>
        <v>2.0653398422831419E-2</v>
      </c>
    </row>
    <row r="722" spans="1:4" x14ac:dyDescent="0.2">
      <c r="A722" s="36">
        <v>43374</v>
      </c>
      <c r="B722" s="37">
        <f>VLOOKUP(Table5345679103[[#This Row],[Date]],Database!A:E,MATCH($A$1,Database!$A$1:$E$1,),)</f>
        <v>108.947</v>
      </c>
      <c r="C722" s="9">
        <f t="shared" si="11"/>
        <v>2.0879323031641269E-3</v>
      </c>
      <c r="D722" s="7">
        <f>(Table5345679103[[#This Row],[Value]]-B710)/B710</f>
        <v>2.1135605293742827E-2</v>
      </c>
    </row>
    <row r="723" spans="1:4" x14ac:dyDescent="0.2">
      <c r="A723" s="36">
        <v>43405</v>
      </c>
      <c r="B723" s="37">
        <f>VLOOKUP(Table5345679103[[#This Row],[Date]],Database!A:E,MATCH($A$1,Database!$A$1:$E$1,),)</f>
        <v>109.023</v>
      </c>
      <c r="C723" s="9">
        <f t="shared" si="11"/>
        <v>6.9758690005225846E-4</v>
      </c>
      <c r="D723" s="7">
        <f>(Table5345679103[[#This Row],[Value]]-B711)/B711</f>
        <v>2.0050523952095816E-2</v>
      </c>
    </row>
    <row r="724" spans="1:4" x14ac:dyDescent="0.2">
      <c r="A724" s="36">
        <v>43435</v>
      </c>
      <c r="B724" s="37">
        <f>VLOOKUP(Table5345679103[[#This Row],[Date]],Database!A:E,MATCH($A$1,Database!$A$1:$E$1,),)</f>
        <v>108.99</v>
      </c>
      <c r="C724" s="9">
        <f t="shared" si="11"/>
        <v>-3.0268842354366738E-4</v>
      </c>
      <c r="D724" s="7">
        <f>(Table5345679103[[#This Row],[Value]]-B712)/B712</f>
        <v>1.8645731108930232E-2</v>
      </c>
    </row>
    <row r="725" spans="1:4" x14ac:dyDescent="0.2">
      <c r="A725" s="36">
        <v>43466</v>
      </c>
      <c r="B725" s="37">
        <f>VLOOKUP(Table5345679103[[#This Row],[Date]],Database!A:E,MATCH($A$1,Database!$A$1:$E$1,),)</f>
        <v>108.93</v>
      </c>
      <c r="C725" s="9">
        <f t="shared" si="11"/>
        <v>-5.5050922102934275E-4</v>
      </c>
      <c r="D725" s="7">
        <f>(Table5345679103[[#This Row],[Value]]-B713)/B713</f>
        <v>1.4680403152188159E-2</v>
      </c>
    </row>
    <row r="726" spans="1:4" x14ac:dyDescent="0.2">
      <c r="A726" s="36">
        <v>43497</v>
      </c>
      <c r="B726" s="37">
        <f>VLOOKUP(Table5345679103[[#This Row],[Date]],Database!A:E,MATCH($A$1,Database!$A$1:$E$1,),)</f>
        <v>109.036</v>
      </c>
      <c r="C726" s="9">
        <f t="shared" si="11"/>
        <v>9.731019921049714E-4</v>
      </c>
      <c r="D726" s="7">
        <f>(Table5345679103[[#This Row],[Value]]-B714)/B714</f>
        <v>1.3590644579545274E-2</v>
      </c>
    </row>
    <row r="727" spans="1:4" x14ac:dyDescent="0.2">
      <c r="A727" s="36">
        <v>43525</v>
      </c>
      <c r="B727" s="37">
        <f>VLOOKUP(Table5345679103[[#This Row],[Date]],Database!A:E,MATCH($A$1,Database!$A$1:$E$1,),)</f>
        <v>109.333</v>
      </c>
      <c r="C727" s="9">
        <f t="shared" si="11"/>
        <v>2.7238710150775617E-3</v>
      </c>
      <c r="D727" s="7">
        <f>(Table5345679103[[#This Row],[Value]]-B715)/B715</f>
        <v>1.4747920997920985E-2</v>
      </c>
    </row>
    <row r="728" spans="1:4" x14ac:dyDescent="0.2">
      <c r="A728" s="36">
        <v>43556</v>
      </c>
      <c r="B728" s="37">
        <f>VLOOKUP(Table5345679103[[#This Row],[Date]],Database!A:E,MATCH($A$1,Database!$A$1:$E$1,),)</f>
        <v>109.759</v>
      </c>
      <c r="C728" s="9">
        <f t="shared" si="11"/>
        <v>3.8963533425406963E-3</v>
      </c>
      <c r="D728" s="7">
        <f>(Table5345679103[[#This Row],[Value]]-B716)/B716</f>
        <v>1.6211762091696957E-2</v>
      </c>
    </row>
    <row r="729" spans="1:4" x14ac:dyDescent="0.2">
      <c r="A729" s="36">
        <v>43586</v>
      </c>
      <c r="B729" s="37">
        <f>VLOOKUP(Table5345679103[[#This Row],[Date]],Database!A:E,MATCH($A$1,Database!$A$1:$E$1,),)</f>
        <v>109.827</v>
      </c>
      <c r="C729" s="9">
        <f t="shared" si="11"/>
        <v>6.1953917218631588E-4</v>
      </c>
      <c r="D729" s="7">
        <f>(Table5345679103[[#This Row],[Value]]-B717)/B717</f>
        <v>1.5008826002975843E-2</v>
      </c>
    </row>
    <row r="730" spans="1:4" x14ac:dyDescent="0.2">
      <c r="A730" s="36">
        <v>43617</v>
      </c>
      <c r="B730" s="37">
        <f>VLOOKUP(Table5345679103[[#This Row],[Date]],Database!A:E,MATCH($A$1,Database!$A$1:$E$1,),)</f>
        <v>109.92</v>
      </c>
      <c r="C730" s="9">
        <f t="shared" si="11"/>
        <v>8.4678630937750764E-4</v>
      </c>
      <c r="D730" s="7">
        <f>(Table5345679103[[#This Row],[Value]]-B718)/B718</f>
        <v>1.4574353199619791E-2</v>
      </c>
    </row>
    <row r="731" spans="1:4" x14ac:dyDescent="0.2">
      <c r="A731" s="36">
        <v>43647</v>
      </c>
      <c r="B731" s="37">
        <f>VLOOKUP(Table5345679103[[#This Row],[Date]],Database!A:E,MATCH($A$1,Database!$A$1:$E$1,),)</f>
        <v>110.074</v>
      </c>
      <c r="C731" s="9">
        <f t="shared" si="11"/>
        <v>1.4010189228529509E-3</v>
      </c>
      <c r="D731" s="7">
        <f>(Table5345679103[[#This Row],[Value]]-B719)/B719</f>
        <v>1.5189943464266199E-2</v>
      </c>
    </row>
    <row r="732" spans="1:4" s="42" customFormat="1" x14ac:dyDescent="0.2">
      <c r="A732" s="36">
        <v>43678</v>
      </c>
      <c r="B732" s="37">
        <f>VLOOKUP(Table5345679103[[#This Row],[Date]],Database!A:E,MATCH($A$1,Database!$A$1:$E$1,),)</f>
        <v>110.133</v>
      </c>
      <c r="C732" s="9">
        <f t="shared" si="11"/>
        <v>5.3600305249193729E-4</v>
      </c>
      <c r="D732" s="7">
        <f>(Table5345679103[[#This Row],[Value]]-B720)/B720</f>
        <v>1.5134895982155163E-2</v>
      </c>
    </row>
    <row r="733" spans="1:4" s="42" customFormat="1" x14ac:dyDescent="0.2">
      <c r="A733" s="36">
        <v>43709</v>
      </c>
      <c r="B733" s="37">
        <f>VLOOKUP(Table5345679103[[#This Row],[Date]],Database!A:E,MATCH($A$1,Database!$A$1:$E$1,),)</f>
        <v>110.215</v>
      </c>
      <c r="C733" s="9">
        <f t="shared" si="11"/>
        <v>7.4455431160513061E-4</v>
      </c>
      <c r="D733" s="7">
        <f>(Table5345679103[[#This Row],[Value]]-B721)/B721</f>
        <v>1.3750919793966193E-2</v>
      </c>
    </row>
    <row r="734" spans="1:4" s="42" customFormat="1" x14ac:dyDescent="0.2">
      <c r="A734" s="36">
        <v>43739</v>
      </c>
      <c r="B734" s="37">
        <f>VLOOKUP(Table5345679103[[#This Row],[Date]],Database!A:E,MATCH($A$1,Database!$A$1:$E$1,),)</f>
        <v>110.479</v>
      </c>
      <c r="C734" s="9">
        <f t="shared" si="11"/>
        <v>2.3953182416186162E-3</v>
      </c>
      <c r="D734" s="7">
        <f>(Table5345679103[[#This Row],[Value]]-B722)/B722</f>
        <v>1.4061883301054609E-2</v>
      </c>
    </row>
    <row r="735" spans="1:4" s="42" customFormat="1" x14ac:dyDescent="0.2">
      <c r="A735" s="36">
        <v>43770</v>
      </c>
      <c r="B735" s="37">
        <f>VLOOKUP(Table5345679103[[#This Row],[Date]],Database!A:E,MATCH($A$1,Database!$A$1:$E$1,),)</f>
        <v>110.568</v>
      </c>
      <c r="C735" s="9">
        <f t="shared" si="11"/>
        <v>8.055829614677779E-4</v>
      </c>
      <c r="D735" s="7">
        <f>(Table5345679103[[#This Row],[Value]]-B723)/B723</f>
        <v>1.4171321647725726E-2</v>
      </c>
    </row>
    <row r="736" spans="1:4" s="42" customFormat="1" x14ac:dyDescent="0.2">
      <c r="A736" s="36">
        <v>43800</v>
      </c>
      <c r="B736" s="37">
        <f>VLOOKUP(Table5345679103[[#This Row],[Date]],Database!A:E,MATCH($A$1,Database!$A$1:$E$1,),)</f>
        <v>110.789</v>
      </c>
      <c r="C736" s="9">
        <f t="shared" si="11"/>
        <v>1.9987699876999098E-3</v>
      </c>
      <c r="D736" s="7">
        <f>(Table5345679103[[#This Row],[Value]]-B724)/B724</f>
        <v>1.6506101477199803E-2</v>
      </c>
    </row>
    <row r="737" spans="1:4" s="42" customFormat="1" x14ac:dyDescent="0.2">
      <c r="A737" s="36">
        <v>43831</v>
      </c>
      <c r="B737" s="37">
        <f>VLOOKUP(Table5345679103[[#This Row],[Date]],Database!A:E,MATCH($A$1,Database!$A$1:$E$1,),)</f>
        <v>111.002</v>
      </c>
      <c r="C737" s="9">
        <f t="shared" si="11"/>
        <v>1.9225735406944177E-3</v>
      </c>
      <c r="D737" s="7">
        <f>(Table5345679103[[#This Row],[Value]]-B725)/B725</f>
        <v>1.9021389883411257E-2</v>
      </c>
    </row>
    <row r="738" spans="1:4" s="42" customFormat="1" x14ac:dyDescent="0.2">
      <c r="A738" s="36">
        <v>43862</v>
      </c>
      <c r="B738" s="37">
        <f>VLOOKUP(Table5345679103[[#This Row],[Date]],Database!A:E,MATCH($A$1,Database!$A$1:$E$1,),)</f>
        <v>111.071</v>
      </c>
      <c r="C738" s="9">
        <f t="shared" si="11"/>
        <v>6.2161042143387161E-4</v>
      </c>
      <c r="D738" s="7">
        <f>(Table5345679103[[#This Row],[Value]]-B726)/B726</f>
        <v>1.8663560658864931E-2</v>
      </c>
    </row>
    <row r="739" spans="1:4" s="42" customFormat="1" x14ac:dyDescent="0.2">
      <c r="A739" s="36">
        <v>43891</v>
      </c>
      <c r="B739" s="37">
        <f>VLOOKUP(Table5345679103[[#This Row],[Date]],Database!A:E,MATCH($A$1,Database!$A$1:$E$1,),)</f>
        <v>110.80200000000001</v>
      </c>
      <c r="C739" s="9">
        <f t="shared" si="11"/>
        <v>-2.4218742966210013E-3</v>
      </c>
      <c r="D739" s="7">
        <f>(Table5345679103[[#This Row],[Value]]-B727)/B727</f>
        <v>1.3436016573221335E-2</v>
      </c>
    </row>
    <row r="740" spans="1:4" s="42" customFormat="1" x14ac:dyDescent="0.2">
      <c r="A740" s="36">
        <v>43922</v>
      </c>
      <c r="B740" s="37">
        <f>VLOOKUP(Table5345679103[[#This Row],[Date]],Database!A:E,MATCH($A$1,Database!$A$1:$E$1,),)</f>
        <v>110.21299999999999</v>
      </c>
      <c r="C740" s="9">
        <f t="shared" si="11"/>
        <v>-5.3157885236729732E-3</v>
      </c>
      <c r="D740" s="7">
        <f>(Table5345679103[[#This Row],[Value]]-B728)/B728</f>
        <v>4.1363350613616515E-3</v>
      </c>
    </row>
    <row r="741" spans="1:4" s="42" customFormat="1" x14ac:dyDescent="0.2">
      <c r="A741" s="36">
        <v>43952</v>
      </c>
      <c r="B741" s="37">
        <f>VLOOKUP(Table5345679103[[#This Row],[Date]],Database!A:E,MATCH($A$1,Database!$A$1:$E$1,),)</f>
        <v>110.38500000000001</v>
      </c>
      <c r="C741" s="9">
        <f t="shared" si="11"/>
        <v>1.5606144465717408E-3</v>
      </c>
      <c r="D741" s="7">
        <f>(Table5345679103[[#This Row],[Value]]-B729)/B729</f>
        <v>5.080717856264916E-3</v>
      </c>
    </row>
    <row r="742" spans="1:4" s="42" customFormat="1" x14ac:dyDescent="0.2">
      <c r="A742" s="36">
        <v>43983</v>
      </c>
      <c r="B742" s="37">
        <f>VLOOKUP(Table5345679103[[#This Row],[Date]],Database!A:E,MATCH($A$1,Database!$A$1:$E$1,),)</f>
        <v>110.91800000000001</v>
      </c>
      <c r="C742" s="9">
        <f t="shared" si="11"/>
        <v>4.828554604339369E-3</v>
      </c>
      <c r="D742" s="7">
        <f>(Table5345679103[[#This Row],[Value]]-B730)/B730</f>
        <v>9.0793304221252237E-3</v>
      </c>
    </row>
    <row r="743" spans="1:4" s="42" customFormat="1" x14ac:dyDescent="0.2">
      <c r="A743" s="36">
        <v>44013</v>
      </c>
      <c r="B743" s="37">
        <f>VLOOKUP(Table5345679103[[#This Row],[Date]],Database!A:E,MATCH($A$1,Database!$A$1:$E$1,),)</f>
        <v>111.221</v>
      </c>
      <c r="C743" s="9">
        <f t="shared" si="11"/>
        <v>2.7317477776375092E-3</v>
      </c>
      <c r="D743" s="7">
        <f>(Table5345679103[[#This Row],[Value]]-B731)/B731</f>
        <v>1.0420262732343746E-2</v>
      </c>
    </row>
    <row r="744" spans="1:4" s="42" customFormat="1" x14ac:dyDescent="0.2">
      <c r="A744" s="36">
        <v>44044</v>
      </c>
      <c r="B744" s="37">
        <f>VLOOKUP(Table5345679103[[#This Row],[Date]],Database!A:E,MATCH($A$1,Database!$A$1:$E$1,),)</f>
        <v>111.563</v>
      </c>
      <c r="C744" s="9">
        <f t="shared" si="11"/>
        <v>3.0749588656818292E-3</v>
      </c>
      <c r="D744" s="7">
        <f>(Table5345679103[[#This Row],[Value]]-B732)/B732</f>
        <v>1.298430079994195E-2</v>
      </c>
    </row>
    <row r="745" spans="1:4" s="42" customFormat="1" x14ac:dyDescent="0.2">
      <c r="A745" s="36">
        <v>44075</v>
      </c>
      <c r="B745" s="37">
        <f>VLOOKUP(Table5345679103[[#This Row],[Date]],Database!A:E,MATCH($A$1,Database!$A$1:$E$1,),)</f>
        <v>111.736</v>
      </c>
      <c r="C745" s="9">
        <f t="shared" si="11"/>
        <v>1.5506933302259873E-3</v>
      </c>
      <c r="D745" s="7">
        <f>(Table5345679103[[#This Row],[Value]]-B733)/B733</f>
        <v>1.3800299414780209E-2</v>
      </c>
    </row>
    <row r="746" spans="1:4" s="42" customFormat="1" x14ac:dyDescent="0.2">
      <c r="A746" s="36">
        <v>44105</v>
      </c>
      <c r="B746" s="37">
        <f>VLOOKUP(Table5345679103[[#This Row],[Date]],Database!A:E,MATCH($A$1,Database!$A$1:$E$1,),)</f>
        <v>111.77500000000001</v>
      </c>
      <c r="C746" s="9">
        <f t="shared" si="11"/>
        <v>3.490370158230246E-4</v>
      </c>
      <c r="D746" s="7">
        <f>(Table5345679103[[#This Row],[Value]]-B734)/B734</f>
        <v>1.1730736158002937E-2</v>
      </c>
    </row>
    <row r="747" spans="1:4" s="42" customFormat="1" x14ac:dyDescent="0.2">
      <c r="A747" s="36">
        <v>44136</v>
      </c>
      <c r="B747" s="37">
        <f>VLOOKUP(Table5345679103[[#This Row],[Date]],Database!A:E,MATCH($A$1,Database!$A$1:$E$1,),)</f>
        <v>111.79</v>
      </c>
      <c r="C747" s="9">
        <f t="shared" si="11"/>
        <v>1.3419816595840365E-4</v>
      </c>
      <c r="D747" s="7">
        <f>(Table5345679103[[#This Row],[Value]]-B735)/B735</f>
        <v>1.1052022284928808E-2</v>
      </c>
    </row>
    <row r="748" spans="1:4" s="42" customFormat="1" x14ac:dyDescent="0.2">
      <c r="A748" s="36">
        <v>44166</v>
      </c>
      <c r="B748" s="37">
        <f>VLOOKUP(Table5345679103[[#This Row],[Date]],Database!A:E,MATCH($A$1,Database!$A$1:$E$1,),)</f>
        <v>112.22</v>
      </c>
      <c r="C748" s="9">
        <f t="shared" si="11"/>
        <v>3.8464978978441059E-3</v>
      </c>
      <c r="D748" s="7">
        <f>(Table5345679103[[#This Row],[Value]]-B736)/B736</f>
        <v>1.2916444773398057E-2</v>
      </c>
    </row>
    <row r="749" spans="1:4" s="42" customFormat="1" x14ac:dyDescent="0.2">
      <c r="A749" s="36">
        <v>44197</v>
      </c>
      <c r="B749" s="37">
        <f>VLOOKUP(Table5345679103[[#This Row],[Date]],Database!A:E,MATCH($A$1,Database!$A$1:$E$1,),)</f>
        <v>112.57</v>
      </c>
      <c r="C749" s="9">
        <f t="shared" si="11"/>
        <v>3.1188736410621485E-3</v>
      </c>
      <c r="D749" s="7">
        <f>(Table5345679103[[#This Row],[Value]]-B737)/B737</f>
        <v>1.4125871605916992E-2</v>
      </c>
    </row>
    <row r="750" spans="1:4" s="42" customFormat="1" x14ac:dyDescent="0.2">
      <c r="A750" s="36">
        <v>44228</v>
      </c>
      <c r="B750" s="37">
        <f>VLOOKUP(Table5345679103[[#This Row],[Date]],Database!A:E,MATCH($A$1,Database!$A$1:$E$1,),)</f>
        <v>112.878</v>
      </c>
      <c r="C750" s="9">
        <f t="shared" si="11"/>
        <v>2.7360753309052764E-3</v>
      </c>
      <c r="D750" s="7">
        <f>(Table5345679103[[#This Row],[Value]]-B738)/B738</f>
        <v>1.6268873063175825E-2</v>
      </c>
    </row>
    <row r="751" spans="1:4" s="42" customFormat="1" x14ac:dyDescent="0.2">
      <c r="A751" s="36">
        <v>44256</v>
      </c>
      <c r="B751" s="37">
        <f>VLOOKUP(Table5345679103[[#This Row],[Date]],Database!A:E,MATCH($A$1,Database!$A$1:$E$1,),)</f>
        <v>113.518</v>
      </c>
      <c r="C751" s="9">
        <f t="shared" si="11"/>
        <v>5.6698382324279362E-3</v>
      </c>
      <c r="D751" s="7">
        <f>(Table5345679103[[#This Row],[Value]]-B739)/B739</f>
        <v>2.4512192920705347E-2</v>
      </c>
    </row>
    <row r="752" spans="1:4" s="42" customFormat="1" x14ac:dyDescent="0.2">
      <c r="A752" s="36">
        <v>44287</v>
      </c>
      <c r="B752" s="37">
        <f>VLOOKUP(Table5345679103[[#This Row],[Date]],Database!A:E,MATCH($A$1,Database!$A$1:$E$1,),)</f>
        <v>114.161</v>
      </c>
      <c r="C752" s="9">
        <f t="shared" si="11"/>
        <v>5.6642999348121064E-3</v>
      </c>
      <c r="D752" s="7">
        <f>(Table5345679103[[#This Row],[Value]]-B740)/B740</f>
        <v>3.5821545552702568E-2</v>
      </c>
    </row>
    <row r="753" spans="1:4" s="42" customFormat="1" x14ac:dyDescent="0.2">
      <c r="A753" s="36">
        <v>44317</v>
      </c>
      <c r="B753" s="37">
        <f>VLOOKUP(Table5345679103[[#This Row],[Date]],Database!A:E,MATCH($A$1,Database!$A$1:$E$1,),)</f>
        <v>114.767</v>
      </c>
      <c r="C753" s="9">
        <f t="shared" si="11"/>
        <v>5.3082926743808706E-3</v>
      </c>
      <c r="D753" s="7">
        <f>(Table5345679103[[#This Row],[Value]]-B741)/B741</f>
        <v>3.969742265706383E-2</v>
      </c>
    </row>
    <row r="754" spans="1:4" s="42" customFormat="1" x14ac:dyDescent="0.2">
      <c r="A754" s="36">
        <v>44348</v>
      </c>
      <c r="B754" s="37">
        <f>VLOOKUP(Table5345679103[[#This Row],[Date]],Database!A:E,MATCH($A$1,Database!$A$1:$E$1,),)</f>
        <v>115.38800000000001</v>
      </c>
      <c r="C754" s="9">
        <f t="shared" si="11"/>
        <v>5.4109630817221789E-3</v>
      </c>
      <c r="D754" s="7">
        <f>(Table5345679103[[#This Row],[Value]]-B742)/B742</f>
        <v>4.0300041472078461E-2</v>
      </c>
    </row>
    <row r="755" spans="1:4" s="42" customFormat="1" x14ac:dyDescent="0.2">
      <c r="A755" s="36">
        <v>44378</v>
      </c>
      <c r="B755" s="37">
        <f>VLOOKUP(Table5345679103[[#This Row],[Date]],Database!A:E,MATCH($A$1,Database!$A$1:$E$1,),)</f>
        <v>115.84699999999999</v>
      </c>
      <c r="C755" s="9">
        <f t="shared" si="11"/>
        <v>3.9778833154226522E-3</v>
      </c>
      <c r="D755" s="7">
        <f>(Table5345679103[[#This Row],[Value]]-B743)/B743</f>
        <v>4.1592864656854286E-2</v>
      </c>
    </row>
    <row r="756" spans="1:4" s="42" customFormat="1" x14ac:dyDescent="0.2">
      <c r="A756" s="36">
        <v>44409</v>
      </c>
      <c r="B756" s="37">
        <f>VLOOKUP(Table5345679103[[#This Row],[Date]],Database!A:E,MATCH($A$1,Database!$A$1:$E$1,),)</f>
        <v>116.29</v>
      </c>
      <c r="C756" s="9">
        <f t="shared" si="11"/>
        <v>3.8240092535845732E-3</v>
      </c>
      <c r="D756" s="7">
        <f>(Table5345679103[[#This Row],[Value]]-B744)/B744</f>
        <v>4.237067845074087E-2</v>
      </c>
    </row>
    <row r="757" spans="1:4" s="42" customFormat="1" x14ac:dyDescent="0.2">
      <c r="A757" s="36">
        <v>44440</v>
      </c>
      <c r="B757" s="37">
        <f>VLOOKUP(Table5345679103[[#This Row],[Date]],Database!A:E,MATCH($A$1,Database!$A$1:$E$1,),)</f>
        <v>116.693</v>
      </c>
      <c r="C757" s="9">
        <f t="shared" si="11"/>
        <v>3.4654742454208578E-3</v>
      </c>
      <c r="D757" s="7">
        <f>(Table5345679103[[#This Row],[Value]]-B745)/B745</f>
        <v>4.4363499677811925E-2</v>
      </c>
    </row>
    <row r="758" spans="1:4" s="42" customFormat="1" x14ac:dyDescent="0.2">
      <c r="A758" s="36">
        <v>44470</v>
      </c>
      <c r="B758" s="37">
        <f>VLOOKUP(Table5345679103[[#This Row],[Date]],Database!A:E,MATCH($A$1,Database!$A$1:$E$1,),)</f>
        <v>117.485</v>
      </c>
      <c r="C758" s="9">
        <f t="shared" si="11"/>
        <v>6.7870394967993073E-3</v>
      </c>
      <c r="D758" s="7">
        <f>(Table5345679103[[#This Row],[Value]]-B746)/B746</f>
        <v>5.1084768508163667E-2</v>
      </c>
    </row>
    <row r="759" spans="1:4" s="42" customFormat="1" x14ac:dyDescent="0.2">
      <c r="A759" s="6"/>
      <c r="B759" s="46"/>
      <c r="C759" s="4"/>
      <c r="D759" s="5"/>
    </row>
    <row r="760" spans="1:4" s="42" customFormat="1" x14ac:dyDescent="0.2">
      <c r="A760" s="6"/>
      <c r="B760" s="46"/>
      <c r="C760" s="4"/>
      <c r="D760" s="5"/>
    </row>
    <row r="761" spans="1:4" s="42" customFormat="1" x14ac:dyDescent="0.2">
      <c r="A761" s="6"/>
      <c r="B761" s="46"/>
      <c r="C761" s="4"/>
      <c r="D761" s="5"/>
    </row>
    <row r="762" spans="1:4" s="42" customFormat="1" x14ac:dyDescent="0.2">
      <c r="A762" s="6"/>
      <c r="B762" s="46"/>
      <c r="C762" s="4"/>
      <c r="D762" s="5"/>
    </row>
    <row r="763" spans="1:4" s="42" customFormat="1" x14ac:dyDescent="0.2">
      <c r="A763" s="6"/>
      <c r="B763" s="46"/>
      <c r="C763" s="4"/>
      <c r="D763" s="5"/>
    </row>
    <row r="764" spans="1:4" s="42" customFormat="1" x14ac:dyDescent="0.2">
      <c r="A764" s="6"/>
      <c r="B764" s="46"/>
      <c r="C764" s="4"/>
      <c r="D764" s="5"/>
    </row>
    <row r="765" spans="1:4" s="42" customFormat="1" x14ac:dyDescent="0.2">
      <c r="A765" s="6"/>
      <c r="B765" s="46"/>
      <c r="C765" s="4"/>
      <c r="D765" s="5"/>
    </row>
    <row r="766" spans="1:4" s="42" customFormat="1" x14ac:dyDescent="0.2">
      <c r="A766" s="6"/>
      <c r="B766" s="46"/>
      <c r="C766" s="4"/>
      <c r="D766" s="5"/>
    </row>
    <row r="767" spans="1:4" s="42" customFormat="1" x14ac:dyDescent="0.2">
      <c r="A767" s="6"/>
      <c r="B767" s="46"/>
      <c r="C767" s="4"/>
      <c r="D767" s="5"/>
    </row>
    <row r="768" spans="1:4" s="42" customFormat="1" x14ac:dyDescent="0.2">
      <c r="A768" s="6"/>
      <c r="B768" s="46"/>
      <c r="C768" s="4"/>
      <c r="D768" s="5"/>
    </row>
    <row r="769" spans="1:4" s="42" customFormat="1" x14ac:dyDescent="0.2">
      <c r="A769" s="6"/>
      <c r="B769" s="46"/>
      <c r="C769" s="4"/>
      <c r="D769" s="5"/>
    </row>
    <row r="770" spans="1:4" s="42" customFormat="1" x14ac:dyDescent="0.2">
      <c r="A770" s="6"/>
      <c r="B770" s="46"/>
      <c r="C770" s="4"/>
      <c r="D770" s="5"/>
    </row>
    <row r="771" spans="1:4" s="42" customFormat="1" x14ac:dyDescent="0.2">
      <c r="A771" s="6"/>
      <c r="B771" s="46"/>
      <c r="C771" s="4"/>
      <c r="D771" s="5"/>
    </row>
    <row r="772" spans="1:4" s="42" customFormat="1" x14ac:dyDescent="0.2">
      <c r="A772" s="6"/>
      <c r="B772" s="46"/>
      <c r="C772" s="4"/>
      <c r="D772" s="5"/>
    </row>
    <row r="773" spans="1:4" s="42" customFormat="1" x14ac:dyDescent="0.2">
      <c r="A773" s="6"/>
      <c r="B773" s="46"/>
      <c r="C773" s="4"/>
      <c r="D773" s="5"/>
    </row>
    <row r="774" spans="1:4" s="42" customFormat="1" x14ac:dyDescent="0.2">
      <c r="A774" s="6"/>
      <c r="B774" s="46"/>
      <c r="C774" s="4"/>
      <c r="D774" s="5"/>
    </row>
    <row r="775" spans="1:4" s="42" customFormat="1" x14ac:dyDescent="0.2">
      <c r="A775" s="6"/>
      <c r="B775" s="46"/>
      <c r="C775" s="4"/>
      <c r="D775" s="5"/>
    </row>
    <row r="776" spans="1:4" s="42" customFormat="1" x14ac:dyDescent="0.2">
      <c r="A776" s="6"/>
      <c r="B776" s="46"/>
      <c r="C776" s="4"/>
      <c r="D776" s="5"/>
    </row>
    <row r="777" spans="1:4" s="42" customFormat="1" x14ac:dyDescent="0.2">
      <c r="A777" s="6"/>
      <c r="B777" s="46"/>
      <c r="C777" s="4"/>
      <c r="D777" s="5"/>
    </row>
    <row r="778" spans="1:4" s="42" customFormat="1" x14ac:dyDescent="0.2">
      <c r="A778" s="6"/>
      <c r="B778" s="46"/>
      <c r="C778" s="4"/>
      <c r="D778" s="5"/>
    </row>
    <row r="779" spans="1:4" s="42" customFormat="1" x14ac:dyDescent="0.2">
      <c r="A779" s="6"/>
      <c r="B779" s="46"/>
      <c r="C779" s="4"/>
      <c r="D779" s="5"/>
    </row>
    <row r="780" spans="1:4" s="42" customFormat="1" x14ac:dyDescent="0.2">
      <c r="A780" s="6"/>
      <c r="B780" s="46"/>
      <c r="C780" s="4"/>
      <c r="D780" s="5"/>
    </row>
    <row r="781" spans="1:4" s="42" customFormat="1" x14ac:dyDescent="0.2">
      <c r="A781" s="6"/>
      <c r="B781" s="46"/>
      <c r="C781" s="4"/>
      <c r="D781" s="5"/>
    </row>
    <row r="782" spans="1:4" s="42" customFormat="1" x14ac:dyDescent="0.2">
      <c r="A782" s="6"/>
      <c r="B782" s="46"/>
      <c r="C782" s="4"/>
      <c r="D782" s="5"/>
    </row>
    <row r="783" spans="1:4" s="42" customFormat="1" x14ac:dyDescent="0.2">
      <c r="A783" s="6"/>
      <c r="B783" s="46"/>
      <c r="C783" s="4"/>
      <c r="D783" s="5"/>
    </row>
    <row r="784" spans="1:4" s="42" customFormat="1" x14ac:dyDescent="0.2">
      <c r="A784" s="6"/>
      <c r="B784" s="46"/>
      <c r="C784" s="4"/>
      <c r="D784" s="5"/>
    </row>
    <row r="785" spans="1:4" s="42" customFormat="1" x14ac:dyDescent="0.2">
      <c r="A785" s="6"/>
      <c r="B785" s="46"/>
      <c r="C785" s="4"/>
      <c r="D785" s="5"/>
    </row>
    <row r="786" spans="1:4" s="42" customFormat="1" x14ac:dyDescent="0.2">
      <c r="A786" s="6"/>
      <c r="B786" s="46"/>
      <c r="C786" s="4"/>
      <c r="D786" s="5"/>
    </row>
    <row r="787" spans="1:4" s="42" customFormat="1" x14ac:dyDescent="0.2">
      <c r="A787" s="6"/>
      <c r="B787" s="46"/>
      <c r="C787" s="4"/>
      <c r="D787" s="5"/>
    </row>
    <row r="788" spans="1:4" s="42" customFormat="1" x14ac:dyDescent="0.2">
      <c r="A788" s="6"/>
      <c r="B788" s="46"/>
      <c r="C788" s="4"/>
      <c r="D788" s="5"/>
    </row>
    <row r="789" spans="1:4" s="42" customFormat="1" x14ac:dyDescent="0.2">
      <c r="A789" s="6"/>
      <c r="B789" s="46"/>
      <c r="C789" s="4"/>
      <c r="D789" s="5"/>
    </row>
    <row r="790" spans="1:4" s="42" customFormat="1" x14ac:dyDescent="0.2">
      <c r="A790" s="6"/>
      <c r="B790" s="46"/>
      <c r="C790" s="4"/>
      <c r="D790" s="5"/>
    </row>
    <row r="791" spans="1:4" s="42" customFormat="1" x14ac:dyDescent="0.2">
      <c r="A791" s="6"/>
      <c r="B791" s="46"/>
      <c r="C791" s="4"/>
      <c r="D791" s="5"/>
    </row>
    <row r="792" spans="1:4" s="42" customFormat="1" x14ac:dyDescent="0.2">
      <c r="A792" s="6"/>
      <c r="B792" s="46"/>
      <c r="C792" s="4"/>
      <c r="D792" s="5"/>
    </row>
    <row r="793" spans="1:4" s="42" customFormat="1" x14ac:dyDescent="0.2">
      <c r="A793" s="6"/>
      <c r="B793" s="46"/>
      <c r="C793" s="4"/>
      <c r="D793" s="5"/>
    </row>
    <row r="794" spans="1:4" s="42" customFormat="1" x14ac:dyDescent="0.2">
      <c r="A794" s="6"/>
      <c r="B794" s="46"/>
      <c r="C794" s="4"/>
      <c r="D794" s="5"/>
    </row>
    <row r="795" spans="1:4" s="42" customFormat="1" x14ac:dyDescent="0.2">
      <c r="A795" s="6"/>
      <c r="B795" s="46"/>
      <c r="C795" s="4"/>
      <c r="D795" s="5"/>
    </row>
    <row r="796" spans="1:4" s="42" customFormat="1" x14ac:dyDescent="0.2">
      <c r="A796" s="6"/>
      <c r="B796" s="46"/>
      <c r="C796" s="4"/>
      <c r="D796" s="5"/>
    </row>
    <row r="797" spans="1:4" s="42" customFormat="1" x14ac:dyDescent="0.2">
      <c r="A797" s="6"/>
      <c r="B797" s="46"/>
      <c r="C797" s="4"/>
      <c r="D797" s="5"/>
    </row>
    <row r="798" spans="1:4" s="42" customFormat="1" x14ac:dyDescent="0.2">
      <c r="A798" s="6"/>
      <c r="B798" s="46"/>
      <c r="C798" s="4"/>
      <c r="D798" s="5"/>
    </row>
    <row r="799" spans="1:4" s="42" customFormat="1" x14ac:dyDescent="0.2">
      <c r="A799" s="6"/>
      <c r="B799" s="46"/>
      <c r="C799" s="4"/>
      <c r="D799" s="5"/>
    </row>
    <row r="800" spans="1:4" s="42" customFormat="1" x14ac:dyDescent="0.2">
      <c r="A800" s="6"/>
      <c r="B800" s="46"/>
      <c r="C800" s="4"/>
      <c r="D800" s="5"/>
    </row>
    <row r="801" spans="1:4" s="42" customFormat="1" x14ac:dyDescent="0.2">
      <c r="A801" s="6"/>
      <c r="B801" s="46"/>
      <c r="C801" s="4"/>
      <c r="D801" s="5"/>
    </row>
    <row r="802" spans="1:4" s="42" customFormat="1" x14ac:dyDescent="0.2">
      <c r="A802" s="6"/>
      <c r="B802" s="46"/>
      <c r="C802" s="4"/>
      <c r="D802" s="5"/>
    </row>
    <row r="803" spans="1:4" s="42" customFormat="1" x14ac:dyDescent="0.2">
      <c r="A803" s="6"/>
      <c r="B803" s="46"/>
      <c r="C803" s="4"/>
      <c r="D803" s="5"/>
    </row>
    <row r="804" spans="1:4" s="42" customFormat="1" x14ac:dyDescent="0.2">
      <c r="A804" s="6"/>
      <c r="B804" s="46"/>
      <c r="C804" s="4"/>
      <c r="D804" s="5"/>
    </row>
    <row r="805" spans="1:4" s="42" customFormat="1" x14ac:dyDescent="0.2">
      <c r="A805" s="6"/>
      <c r="B805" s="46"/>
      <c r="C805" s="4"/>
      <c r="D805" s="5"/>
    </row>
    <row r="806" spans="1:4" s="42" customFormat="1" x14ac:dyDescent="0.2">
      <c r="A806" s="6"/>
      <c r="B806" s="46"/>
      <c r="C806" s="4"/>
      <c r="D806" s="5"/>
    </row>
    <row r="807" spans="1:4" s="42" customFormat="1" x14ac:dyDescent="0.2">
      <c r="A807" s="6"/>
      <c r="B807" s="46"/>
      <c r="C807" s="4"/>
      <c r="D807" s="5"/>
    </row>
    <row r="808" spans="1:4" s="42" customFormat="1" x14ac:dyDescent="0.2">
      <c r="A808" s="6"/>
      <c r="B808" s="46"/>
      <c r="C808" s="4"/>
      <c r="D808" s="5"/>
    </row>
    <row r="809" spans="1:4" s="42" customFormat="1" x14ac:dyDescent="0.2">
      <c r="A809" s="6"/>
      <c r="B809" s="46"/>
      <c r="C809" s="4"/>
      <c r="D809" s="5"/>
    </row>
    <row r="810" spans="1:4" s="42" customFormat="1" x14ac:dyDescent="0.2">
      <c r="A810" s="6"/>
      <c r="B810" s="46"/>
      <c r="C810" s="4"/>
      <c r="D810" s="5"/>
    </row>
    <row r="811" spans="1:4" s="42" customFormat="1" x14ac:dyDescent="0.2">
      <c r="A811" s="6"/>
      <c r="B811" s="46"/>
      <c r="C811" s="4"/>
      <c r="D811" s="5"/>
    </row>
    <row r="812" spans="1:4" s="42" customFormat="1" x14ac:dyDescent="0.2">
      <c r="A812" s="6"/>
      <c r="B812" s="46"/>
      <c r="C812" s="4"/>
      <c r="D812" s="5"/>
    </row>
    <row r="813" spans="1:4" s="42" customFormat="1" x14ac:dyDescent="0.2">
      <c r="A813" s="6"/>
      <c r="B813" s="46"/>
      <c r="C813" s="4"/>
      <c r="D813" s="5"/>
    </row>
    <row r="814" spans="1:4" s="42" customFormat="1" x14ac:dyDescent="0.2">
      <c r="A814" s="6"/>
      <c r="B814" s="46"/>
      <c r="C814" s="4"/>
      <c r="D814" s="5"/>
    </row>
    <row r="815" spans="1:4" s="42" customFormat="1" x14ac:dyDescent="0.2">
      <c r="A815" s="6"/>
      <c r="B815" s="46"/>
      <c r="C815" s="4"/>
      <c r="D815" s="5"/>
    </row>
    <row r="816" spans="1:4" s="42" customFormat="1" x14ac:dyDescent="0.2">
      <c r="A816" s="6"/>
      <c r="B816" s="46"/>
      <c r="C816" s="4"/>
      <c r="D816" s="5"/>
    </row>
    <row r="817" spans="1:4" s="42" customFormat="1" x14ac:dyDescent="0.2">
      <c r="A817" s="6"/>
      <c r="B817" s="46"/>
      <c r="C817" s="4"/>
      <c r="D817" s="5"/>
    </row>
    <row r="818" spans="1:4" s="42" customFormat="1" x14ac:dyDescent="0.2">
      <c r="A818" s="6"/>
      <c r="B818" s="46"/>
      <c r="C818" s="4"/>
      <c r="D818" s="5"/>
    </row>
    <row r="819" spans="1:4" s="42" customFormat="1" x14ac:dyDescent="0.2">
      <c r="A819" s="6"/>
      <c r="B819" s="46"/>
      <c r="C819" s="4"/>
      <c r="D819" s="5"/>
    </row>
    <row r="820" spans="1:4" s="42" customFormat="1" x14ac:dyDescent="0.2">
      <c r="A820" s="6"/>
      <c r="B820" s="46"/>
      <c r="C820" s="4"/>
      <c r="D820" s="5"/>
    </row>
    <row r="821" spans="1:4" s="42" customFormat="1" x14ac:dyDescent="0.2">
      <c r="A821" s="6"/>
      <c r="B821" s="46"/>
      <c r="C821" s="4"/>
      <c r="D821" s="5"/>
    </row>
    <row r="822" spans="1:4" s="42" customFormat="1" x14ac:dyDescent="0.2">
      <c r="A822" s="6"/>
      <c r="B822" s="46"/>
      <c r="C822" s="4"/>
      <c r="D822" s="5"/>
    </row>
    <row r="823" spans="1:4" s="42" customFormat="1" x14ac:dyDescent="0.2">
      <c r="A823" s="6"/>
      <c r="B823" s="46"/>
      <c r="C823" s="4"/>
      <c r="D823" s="5"/>
    </row>
    <row r="824" spans="1:4" s="42" customFormat="1" x14ac:dyDescent="0.2">
      <c r="A824" s="6"/>
      <c r="B824" s="46"/>
      <c r="C824" s="4"/>
      <c r="D824" s="5"/>
    </row>
    <row r="825" spans="1:4" s="42" customFormat="1" x14ac:dyDescent="0.2">
      <c r="A825" s="6"/>
      <c r="B825" s="46"/>
      <c r="C825" s="4"/>
      <c r="D825" s="5"/>
    </row>
    <row r="826" spans="1:4" s="42" customFormat="1" x14ac:dyDescent="0.2">
      <c r="A826" s="6"/>
      <c r="B826" s="46"/>
      <c r="C826" s="4"/>
      <c r="D826" s="5"/>
    </row>
    <row r="827" spans="1:4" s="42" customFormat="1" x14ac:dyDescent="0.2">
      <c r="A827" s="6"/>
      <c r="B827" s="46"/>
      <c r="C827" s="4"/>
      <c r="D827" s="5"/>
    </row>
    <row r="828" spans="1:4" s="42" customFormat="1" x14ac:dyDescent="0.2">
      <c r="A828" s="6"/>
      <c r="B828" s="46"/>
      <c r="C828" s="4"/>
      <c r="D828" s="5"/>
    </row>
    <row r="829" spans="1:4" s="42" customFormat="1" x14ac:dyDescent="0.2">
      <c r="A829" s="6"/>
      <c r="B829" s="46"/>
      <c r="C829" s="4"/>
      <c r="D829" s="5"/>
    </row>
    <row r="830" spans="1:4" s="42" customFormat="1" x14ac:dyDescent="0.2">
      <c r="A830" s="6"/>
      <c r="B830" s="46"/>
      <c r="C830" s="4"/>
      <c r="D830" s="5"/>
    </row>
    <row r="831" spans="1:4" s="42" customFormat="1" x14ac:dyDescent="0.2">
      <c r="A831" s="6"/>
      <c r="B831" s="46"/>
      <c r="C831" s="4"/>
      <c r="D831" s="5"/>
    </row>
    <row r="832" spans="1:4" s="42" customFormat="1" x14ac:dyDescent="0.2">
      <c r="A832" s="6"/>
      <c r="B832" s="46"/>
      <c r="C832" s="4"/>
      <c r="D832" s="5"/>
    </row>
    <row r="833" spans="1:4" s="42" customFormat="1" x14ac:dyDescent="0.2">
      <c r="A833" s="6"/>
      <c r="B833" s="46"/>
      <c r="C833" s="4"/>
      <c r="D833" s="5"/>
    </row>
    <row r="834" spans="1:4" s="42" customFormat="1" x14ac:dyDescent="0.2">
      <c r="A834" s="6"/>
      <c r="B834" s="46"/>
      <c r="C834" s="4"/>
      <c r="D834" s="5"/>
    </row>
    <row r="835" spans="1:4" s="42" customFormat="1" x14ac:dyDescent="0.2">
      <c r="A835" s="6"/>
      <c r="B835" s="46"/>
      <c r="C835" s="4"/>
      <c r="D835" s="5"/>
    </row>
    <row r="836" spans="1:4" s="42" customFormat="1" x14ac:dyDescent="0.2">
      <c r="A836" s="6"/>
      <c r="B836" s="46"/>
      <c r="C836" s="4"/>
      <c r="D836" s="5"/>
    </row>
    <row r="837" spans="1:4" s="42" customFormat="1" x14ac:dyDescent="0.2">
      <c r="A837" s="6"/>
      <c r="B837" s="46"/>
      <c r="C837" s="4"/>
      <c r="D837" s="5"/>
    </row>
    <row r="838" spans="1:4" s="42" customFormat="1" x14ac:dyDescent="0.2">
      <c r="A838" s="6"/>
      <c r="B838" s="46"/>
      <c r="C838" s="4"/>
      <c r="D838" s="5"/>
    </row>
    <row r="839" spans="1:4" s="42" customFormat="1" x14ac:dyDescent="0.2">
      <c r="A839" s="6"/>
      <c r="B839" s="46"/>
      <c r="C839" s="4"/>
      <c r="D839" s="5"/>
    </row>
    <row r="840" spans="1:4" s="42" customFormat="1" x14ac:dyDescent="0.2">
      <c r="A840" s="6"/>
      <c r="B840" s="46"/>
      <c r="C840" s="4"/>
      <c r="D840" s="5"/>
    </row>
    <row r="841" spans="1:4" s="42" customFormat="1" x14ac:dyDescent="0.2">
      <c r="A841" s="6"/>
      <c r="B841" s="46"/>
      <c r="C841" s="4"/>
      <c r="D841" s="5"/>
    </row>
    <row r="842" spans="1:4" s="42" customFormat="1" x14ac:dyDescent="0.2">
      <c r="A842" s="6"/>
      <c r="B842" s="46"/>
      <c r="C842" s="4"/>
      <c r="D842" s="5"/>
    </row>
    <row r="843" spans="1:4" s="42" customFormat="1" x14ac:dyDescent="0.2">
      <c r="A843" s="6"/>
      <c r="B843" s="46"/>
      <c r="C843" s="4"/>
      <c r="D843" s="5"/>
    </row>
    <row r="844" spans="1:4" s="42" customFormat="1" x14ac:dyDescent="0.2">
      <c r="A844" s="6"/>
      <c r="B844" s="46"/>
      <c r="C844" s="4"/>
      <c r="D844" s="5"/>
    </row>
    <row r="845" spans="1:4" s="42" customFormat="1" x14ac:dyDescent="0.2">
      <c r="A845" s="6"/>
      <c r="B845" s="46"/>
      <c r="C845" s="4"/>
      <c r="D845" s="5"/>
    </row>
    <row r="846" spans="1:4" s="42" customFormat="1" x14ac:dyDescent="0.2">
      <c r="A846" s="6"/>
      <c r="B846" s="46"/>
      <c r="C846" s="4"/>
      <c r="D846" s="5"/>
    </row>
    <row r="847" spans="1:4" s="42" customFormat="1" x14ac:dyDescent="0.2">
      <c r="A847" s="6"/>
      <c r="B847" s="46"/>
      <c r="C847" s="4"/>
      <c r="D847" s="5"/>
    </row>
    <row r="848" spans="1:4" s="42" customFormat="1" x14ac:dyDescent="0.2">
      <c r="A848" s="6"/>
      <c r="B848" s="46"/>
      <c r="C848" s="4"/>
      <c r="D848" s="5"/>
    </row>
    <row r="849" spans="1:4" s="42" customFormat="1" x14ac:dyDescent="0.2">
      <c r="A849" s="6"/>
      <c r="B849" s="46"/>
      <c r="C849" s="4"/>
      <c r="D849" s="5"/>
    </row>
    <row r="850" spans="1:4" s="42" customFormat="1" x14ac:dyDescent="0.2">
      <c r="A850" s="6"/>
      <c r="B850" s="46"/>
      <c r="C850" s="4"/>
      <c r="D850" s="5"/>
    </row>
    <row r="851" spans="1:4" s="42" customFormat="1" x14ac:dyDescent="0.2">
      <c r="A851" s="6"/>
      <c r="B851" s="46"/>
      <c r="C851" s="4"/>
      <c r="D851" s="5"/>
    </row>
    <row r="852" spans="1:4" s="42" customFormat="1" x14ac:dyDescent="0.2">
      <c r="A852" s="6"/>
      <c r="B852" s="46"/>
      <c r="C852" s="4"/>
      <c r="D852" s="5"/>
    </row>
    <row r="853" spans="1:4" s="42" customFormat="1" x14ac:dyDescent="0.2">
      <c r="A853" s="6"/>
      <c r="B853" s="46"/>
      <c r="C853" s="4"/>
      <c r="D853" s="5"/>
    </row>
    <row r="854" spans="1:4" s="42" customFormat="1" x14ac:dyDescent="0.2">
      <c r="A854" s="6"/>
      <c r="B854" s="46"/>
      <c r="C854" s="4"/>
      <c r="D854" s="5"/>
    </row>
    <row r="855" spans="1:4" s="42" customFormat="1" x14ac:dyDescent="0.2">
      <c r="A855" s="6"/>
      <c r="B855" s="46"/>
      <c r="C855" s="4"/>
      <c r="D855" s="5"/>
    </row>
    <row r="856" spans="1:4" s="42" customFormat="1" x14ac:dyDescent="0.2">
      <c r="A856" s="6"/>
      <c r="B856" s="46"/>
      <c r="C856" s="4"/>
      <c r="D856" s="5"/>
    </row>
    <row r="857" spans="1:4" s="42" customFormat="1" x14ac:dyDescent="0.2">
      <c r="A857" s="6"/>
      <c r="B857" s="46"/>
      <c r="C857" s="4"/>
      <c r="D857" s="5"/>
    </row>
    <row r="858" spans="1:4" s="42" customFormat="1" x14ac:dyDescent="0.2">
      <c r="A858" s="6"/>
      <c r="B858" s="46"/>
      <c r="C858" s="4"/>
      <c r="D858" s="5"/>
    </row>
    <row r="859" spans="1:4" s="42" customFormat="1" x14ac:dyDescent="0.2">
      <c r="A859" s="6"/>
      <c r="B859" s="46"/>
      <c r="C859" s="4"/>
      <c r="D859" s="5"/>
    </row>
    <row r="860" spans="1:4" s="42" customFormat="1" x14ac:dyDescent="0.2">
      <c r="A860" s="6"/>
      <c r="B860" s="46"/>
      <c r="C860" s="4"/>
      <c r="D860" s="5"/>
    </row>
    <row r="861" spans="1:4" s="42" customFormat="1" x14ac:dyDescent="0.2">
      <c r="A861" s="6"/>
      <c r="B861" s="46"/>
      <c r="C861" s="4"/>
      <c r="D861" s="5"/>
    </row>
    <row r="862" spans="1:4" s="42" customFormat="1" x14ac:dyDescent="0.2">
      <c r="A862" s="6"/>
      <c r="B862" s="46"/>
      <c r="C862" s="4"/>
      <c r="D862" s="5"/>
    </row>
    <row r="863" spans="1:4" s="42" customFormat="1" x14ac:dyDescent="0.2">
      <c r="A863" s="6"/>
      <c r="B863" s="46"/>
      <c r="C863" s="4"/>
      <c r="D863" s="5"/>
    </row>
    <row r="864" spans="1:4" s="42" customFormat="1" x14ac:dyDescent="0.2">
      <c r="A864" s="6"/>
      <c r="B864" s="46"/>
      <c r="C864" s="4"/>
      <c r="D864" s="5"/>
    </row>
    <row r="865" spans="1:4" s="42" customFormat="1" x14ac:dyDescent="0.2">
      <c r="A865" s="6"/>
      <c r="B865" s="46"/>
      <c r="C865" s="4"/>
      <c r="D865" s="5"/>
    </row>
    <row r="866" spans="1:4" s="42" customFormat="1" x14ac:dyDescent="0.2">
      <c r="A866" s="6"/>
      <c r="B866" s="46"/>
      <c r="C866" s="4"/>
      <c r="D866" s="5"/>
    </row>
    <row r="867" spans="1:4" s="42" customFormat="1" x14ac:dyDescent="0.2">
      <c r="A867" s="6"/>
      <c r="B867" s="46"/>
      <c r="C867" s="4"/>
      <c r="D867" s="5"/>
    </row>
    <row r="868" spans="1:4" s="42" customFormat="1" x14ac:dyDescent="0.2">
      <c r="A868" s="6"/>
      <c r="B868" s="46"/>
      <c r="C868" s="4"/>
      <c r="D868" s="5"/>
    </row>
    <row r="869" spans="1:4" s="42" customFormat="1" x14ac:dyDescent="0.2">
      <c r="A869" s="6"/>
      <c r="B869" s="46"/>
      <c r="C869" s="4"/>
      <c r="D869" s="5"/>
    </row>
    <row r="870" spans="1:4" s="42" customFormat="1" x14ac:dyDescent="0.2">
      <c r="A870" s="6"/>
      <c r="B870" s="46"/>
      <c r="C870" s="4"/>
      <c r="D870" s="5"/>
    </row>
    <row r="871" spans="1:4" s="42" customFormat="1" x14ac:dyDescent="0.2">
      <c r="A871" s="6"/>
      <c r="B871" s="46"/>
      <c r="C871" s="4"/>
      <c r="D871" s="5"/>
    </row>
    <row r="872" spans="1:4" s="42" customFormat="1" x14ac:dyDescent="0.2">
      <c r="A872" s="6"/>
      <c r="B872" s="46"/>
      <c r="C872" s="4"/>
      <c r="D872" s="5"/>
    </row>
    <row r="873" spans="1:4" s="42" customFormat="1" x14ac:dyDescent="0.2">
      <c r="A873" s="6"/>
      <c r="B873" s="46"/>
      <c r="C873" s="4"/>
      <c r="D873" s="5"/>
    </row>
    <row r="874" spans="1:4" s="42" customFormat="1" x14ac:dyDescent="0.2">
      <c r="A874" s="6"/>
      <c r="B874" s="46"/>
      <c r="C874" s="4"/>
      <c r="D874" s="5"/>
    </row>
    <row r="875" spans="1:4" s="42" customFormat="1" x14ac:dyDescent="0.2">
      <c r="A875" s="6"/>
      <c r="B875" s="46"/>
      <c r="C875" s="4"/>
      <c r="D875" s="5"/>
    </row>
    <row r="876" spans="1:4" s="42" customFormat="1" x14ac:dyDescent="0.2">
      <c r="A876" s="6"/>
      <c r="B876" s="46"/>
      <c r="C876" s="4"/>
      <c r="D876" s="5"/>
    </row>
    <row r="877" spans="1:4" s="42" customFormat="1" x14ac:dyDescent="0.2">
      <c r="A877" s="6"/>
      <c r="B877" s="46"/>
      <c r="C877" s="4"/>
      <c r="D877" s="5"/>
    </row>
    <row r="878" spans="1:4" s="42" customFormat="1" x14ac:dyDescent="0.2">
      <c r="A878" s="6"/>
      <c r="B878" s="46"/>
      <c r="C878" s="4"/>
      <c r="D878" s="5"/>
    </row>
    <row r="879" spans="1:4" s="42" customFormat="1" x14ac:dyDescent="0.2">
      <c r="A879" s="6"/>
      <c r="B879" s="46"/>
      <c r="C879" s="4"/>
      <c r="D879" s="5"/>
    </row>
    <row r="880" spans="1:4" s="42" customFormat="1" x14ac:dyDescent="0.2">
      <c r="A880" s="6"/>
      <c r="B880" s="46"/>
      <c r="C880" s="4"/>
      <c r="D880" s="5"/>
    </row>
    <row r="881" spans="1:4" s="42" customFormat="1" x14ac:dyDescent="0.2">
      <c r="A881" s="6"/>
      <c r="B881" s="46"/>
      <c r="C881" s="4"/>
      <c r="D881" s="5"/>
    </row>
    <row r="882" spans="1:4" s="42" customFormat="1" x14ac:dyDescent="0.2">
      <c r="A882" s="6"/>
      <c r="B882" s="46"/>
      <c r="C882" s="4"/>
      <c r="D882" s="5"/>
    </row>
    <row r="883" spans="1:4" s="42" customFormat="1" x14ac:dyDescent="0.2">
      <c r="A883" s="6"/>
      <c r="B883" s="46"/>
      <c r="C883" s="4"/>
      <c r="D883" s="5"/>
    </row>
    <row r="884" spans="1:4" s="42" customFormat="1" x14ac:dyDescent="0.2">
      <c r="A884" s="6"/>
      <c r="B884" s="46"/>
      <c r="C884" s="4"/>
      <c r="D884" s="5"/>
    </row>
    <row r="885" spans="1:4" s="42" customFormat="1" x14ac:dyDescent="0.2">
      <c r="A885" s="6"/>
      <c r="B885" s="46"/>
      <c r="C885" s="4"/>
      <c r="D885" s="5"/>
    </row>
    <row r="886" spans="1:4" s="42" customFormat="1" x14ac:dyDescent="0.2">
      <c r="A886" s="6"/>
      <c r="B886" s="46"/>
      <c r="C886" s="4"/>
      <c r="D886" s="5"/>
    </row>
    <row r="887" spans="1:4" s="42" customFormat="1" x14ac:dyDescent="0.2">
      <c r="A887" s="6"/>
      <c r="B887" s="46"/>
      <c r="C887" s="4"/>
      <c r="D887" s="5"/>
    </row>
    <row r="888" spans="1:4" s="42" customFormat="1" x14ac:dyDescent="0.2">
      <c r="A888" s="6"/>
      <c r="B888" s="46"/>
      <c r="C888" s="4"/>
      <c r="D888" s="5"/>
    </row>
    <row r="889" spans="1:4" s="42" customFormat="1" x14ac:dyDescent="0.2">
      <c r="A889" s="6"/>
      <c r="B889" s="46"/>
      <c r="C889" s="4"/>
      <c r="D889" s="5"/>
    </row>
    <row r="890" spans="1:4" s="42" customFormat="1" x14ac:dyDescent="0.2">
      <c r="A890" s="6"/>
      <c r="B890" s="46"/>
      <c r="C890" s="4"/>
      <c r="D890" s="5"/>
    </row>
    <row r="891" spans="1:4" s="42" customFormat="1" x14ac:dyDescent="0.2">
      <c r="A891" s="6"/>
      <c r="B891" s="46"/>
      <c r="C891" s="4"/>
      <c r="D891" s="5"/>
    </row>
    <row r="892" spans="1:4" s="42" customFormat="1" x14ac:dyDescent="0.2">
      <c r="A892" s="6"/>
      <c r="B892" s="46"/>
      <c r="C892" s="4"/>
      <c r="D892" s="5"/>
    </row>
    <row r="893" spans="1:4" s="42" customFormat="1" x14ac:dyDescent="0.2">
      <c r="A893" s="6"/>
      <c r="B893" s="46"/>
      <c r="C893" s="4"/>
      <c r="D893" s="5"/>
    </row>
    <row r="894" spans="1:4" s="42" customFormat="1" x14ac:dyDescent="0.2">
      <c r="A894" s="6"/>
      <c r="B894" s="46"/>
      <c r="C894" s="4"/>
      <c r="D894" s="5"/>
    </row>
    <row r="895" spans="1:4" s="42" customFormat="1" x14ac:dyDescent="0.2">
      <c r="A895" s="6"/>
      <c r="B895" s="46"/>
      <c r="C895" s="4"/>
      <c r="D895" s="5"/>
    </row>
    <row r="896" spans="1:4" s="42" customFormat="1" x14ac:dyDescent="0.2">
      <c r="A896" s="6"/>
      <c r="B896" s="46"/>
      <c r="C896" s="4"/>
      <c r="D896" s="5"/>
    </row>
    <row r="897" spans="1:4" s="42" customFormat="1" x14ac:dyDescent="0.2">
      <c r="A897" s="6"/>
      <c r="B897" s="46"/>
      <c r="C897" s="4"/>
      <c r="D897" s="5"/>
    </row>
    <row r="898" spans="1:4" s="42" customFormat="1" x14ac:dyDescent="0.2">
      <c r="A898" s="6"/>
      <c r="B898" s="46"/>
      <c r="C898" s="4"/>
      <c r="D898" s="5"/>
    </row>
    <row r="899" spans="1:4" s="42" customFormat="1" x14ac:dyDescent="0.2">
      <c r="A899" s="6"/>
      <c r="B899" s="46"/>
      <c r="C899" s="4"/>
      <c r="D899" s="5"/>
    </row>
    <row r="900" spans="1:4" s="42" customFormat="1" x14ac:dyDescent="0.2">
      <c r="A900" s="6"/>
      <c r="B900" s="46"/>
      <c r="C900" s="4"/>
      <c r="D900" s="5"/>
    </row>
    <row r="901" spans="1:4" s="42" customFormat="1" x14ac:dyDescent="0.2">
      <c r="A901" s="6"/>
      <c r="B901" s="46"/>
      <c r="C901" s="4"/>
      <c r="D901" s="5"/>
    </row>
    <row r="902" spans="1:4" s="42" customFormat="1" x14ac:dyDescent="0.2">
      <c r="A902" s="6"/>
      <c r="B902" s="46"/>
      <c r="C902" s="4"/>
      <c r="D902" s="5"/>
    </row>
    <row r="903" spans="1:4" s="42" customFormat="1" x14ac:dyDescent="0.2">
      <c r="A903" s="6"/>
      <c r="B903" s="46"/>
      <c r="C903" s="4"/>
      <c r="D903" s="5"/>
    </row>
    <row r="904" spans="1:4" s="42" customFormat="1" x14ac:dyDescent="0.2">
      <c r="A904" s="6"/>
      <c r="B904" s="46"/>
      <c r="C904" s="4"/>
      <c r="D904" s="5"/>
    </row>
    <row r="905" spans="1:4" s="42" customFormat="1" x14ac:dyDescent="0.2">
      <c r="A905" s="6"/>
      <c r="B905" s="46"/>
      <c r="C905" s="4"/>
      <c r="D905" s="5"/>
    </row>
    <row r="906" spans="1:4" s="42" customFormat="1" x14ac:dyDescent="0.2">
      <c r="A906" s="6"/>
      <c r="B906" s="46"/>
      <c r="C906" s="4"/>
      <c r="D906" s="5"/>
    </row>
    <row r="907" spans="1:4" s="42" customFormat="1" x14ac:dyDescent="0.2">
      <c r="A907" s="6"/>
      <c r="B907" s="46"/>
      <c r="C907" s="4"/>
      <c r="D907" s="5"/>
    </row>
    <row r="908" spans="1:4" s="42" customFormat="1" x14ac:dyDescent="0.2">
      <c r="A908" s="6"/>
      <c r="B908" s="46"/>
      <c r="C908" s="4"/>
      <c r="D908" s="5"/>
    </row>
    <row r="909" spans="1:4" s="42" customFormat="1" x14ac:dyDescent="0.2">
      <c r="A909" s="6"/>
      <c r="B909" s="46"/>
      <c r="C909" s="4"/>
      <c r="D909" s="5"/>
    </row>
    <row r="910" spans="1:4" s="42" customFormat="1" x14ac:dyDescent="0.2">
      <c r="A910" s="6"/>
      <c r="B910" s="46"/>
      <c r="C910" s="4"/>
      <c r="D910" s="5"/>
    </row>
    <row r="911" spans="1:4" s="42" customFormat="1" x14ac:dyDescent="0.2">
      <c r="A911" s="6"/>
      <c r="B911" s="46"/>
      <c r="C911" s="4"/>
      <c r="D911" s="5"/>
    </row>
    <row r="912" spans="1:4" s="42" customFormat="1" x14ac:dyDescent="0.2">
      <c r="A912" s="6"/>
      <c r="B912" s="46"/>
      <c r="C912" s="4"/>
      <c r="D912" s="5"/>
    </row>
    <row r="913" spans="1:4" s="42" customFormat="1" x14ac:dyDescent="0.2">
      <c r="A913" s="6"/>
      <c r="B913" s="46"/>
      <c r="C913" s="4"/>
      <c r="D913" s="5"/>
    </row>
    <row r="914" spans="1:4" s="42" customFormat="1" x14ac:dyDescent="0.2">
      <c r="A914" s="6"/>
      <c r="B914" s="46"/>
      <c r="C914" s="4"/>
      <c r="D914" s="5"/>
    </row>
    <row r="915" spans="1:4" s="42" customFormat="1" x14ac:dyDescent="0.2">
      <c r="A915" s="6"/>
      <c r="B915" s="46"/>
      <c r="C915" s="4"/>
      <c r="D915" s="5"/>
    </row>
    <row r="916" spans="1:4" s="42" customFormat="1" x14ac:dyDescent="0.2">
      <c r="A916" s="6"/>
      <c r="B916" s="46"/>
      <c r="C916" s="4"/>
      <c r="D916" s="5"/>
    </row>
    <row r="917" spans="1:4" s="42" customFormat="1" x14ac:dyDescent="0.2">
      <c r="A917" s="6"/>
      <c r="B917" s="46"/>
      <c r="C917" s="4"/>
      <c r="D917" s="5"/>
    </row>
    <row r="918" spans="1:4" s="42" customFormat="1" x14ac:dyDescent="0.2">
      <c r="A918" s="6"/>
      <c r="B918" s="46"/>
      <c r="C918" s="4"/>
      <c r="D918" s="5"/>
    </row>
    <row r="919" spans="1:4" s="42" customFormat="1" x14ac:dyDescent="0.2">
      <c r="A919" s="6"/>
      <c r="B919" s="46"/>
      <c r="C919" s="4"/>
      <c r="D919" s="5"/>
    </row>
    <row r="920" spans="1:4" s="42" customFormat="1" x14ac:dyDescent="0.2">
      <c r="A920" s="6"/>
      <c r="B920" s="46"/>
      <c r="C920" s="4"/>
      <c r="D920" s="5"/>
    </row>
    <row r="921" spans="1:4" s="42" customFormat="1" x14ac:dyDescent="0.2">
      <c r="A921" s="6"/>
      <c r="B921" s="46"/>
      <c r="C921" s="4"/>
      <c r="D921" s="5"/>
    </row>
    <row r="922" spans="1:4" s="42" customFormat="1" x14ac:dyDescent="0.2">
      <c r="A922" s="6"/>
      <c r="B922" s="46"/>
      <c r="C922" s="4"/>
      <c r="D922" s="5"/>
    </row>
    <row r="923" spans="1:4" s="42" customFormat="1" x14ac:dyDescent="0.2">
      <c r="A923" s="6"/>
      <c r="B923" s="46"/>
      <c r="C923" s="4"/>
      <c r="D923" s="5"/>
    </row>
    <row r="924" spans="1:4" s="42" customFormat="1" x14ac:dyDescent="0.2">
      <c r="A924" s="6"/>
      <c r="B924" s="46"/>
      <c r="C924" s="4"/>
      <c r="D924" s="5"/>
    </row>
    <row r="925" spans="1:4" s="42" customFormat="1" x14ac:dyDescent="0.2">
      <c r="A925" s="6"/>
      <c r="B925" s="46"/>
      <c r="C925" s="4"/>
      <c r="D925" s="5"/>
    </row>
    <row r="926" spans="1:4" s="42" customFormat="1" x14ac:dyDescent="0.2">
      <c r="A926" s="6"/>
      <c r="B926" s="46"/>
      <c r="C926" s="4"/>
      <c r="D926" s="5"/>
    </row>
    <row r="927" spans="1:4" s="42" customFormat="1" x14ac:dyDescent="0.2">
      <c r="A927" s="6"/>
      <c r="B927" s="46"/>
      <c r="C927" s="4"/>
      <c r="D927" s="5"/>
    </row>
    <row r="928" spans="1:4" s="42" customFormat="1" x14ac:dyDescent="0.2">
      <c r="A928" s="6"/>
      <c r="B928" s="46"/>
      <c r="C928" s="4"/>
      <c r="D928" s="5"/>
    </row>
    <row r="929" spans="1:4" s="42" customFormat="1" x14ac:dyDescent="0.2">
      <c r="A929" s="6"/>
      <c r="B929" s="46"/>
      <c r="C929" s="4"/>
      <c r="D929" s="5"/>
    </row>
    <row r="930" spans="1:4" s="42" customFormat="1" x14ac:dyDescent="0.2">
      <c r="A930" s="6"/>
      <c r="B930" s="46"/>
      <c r="C930" s="4"/>
      <c r="D930" s="5"/>
    </row>
    <row r="931" spans="1:4" s="42" customFormat="1" x14ac:dyDescent="0.2">
      <c r="A931" s="6"/>
      <c r="B931" s="46"/>
      <c r="C931" s="4"/>
      <c r="D931" s="5"/>
    </row>
    <row r="932" spans="1:4" s="42" customFormat="1" x14ac:dyDescent="0.2">
      <c r="A932" s="6"/>
      <c r="B932" s="46"/>
      <c r="C932" s="4"/>
      <c r="D932" s="5"/>
    </row>
    <row r="933" spans="1:4" s="42" customFormat="1" x14ac:dyDescent="0.2">
      <c r="A933" s="6"/>
      <c r="B933" s="46"/>
      <c r="C933" s="4"/>
      <c r="D933" s="5"/>
    </row>
    <row r="934" spans="1:4" s="42" customFormat="1" x14ac:dyDescent="0.2">
      <c r="A934" s="6"/>
      <c r="B934" s="46"/>
      <c r="C934" s="4"/>
      <c r="D934" s="5"/>
    </row>
    <row r="935" spans="1:4" s="42" customFormat="1" x14ac:dyDescent="0.2">
      <c r="A935" s="6"/>
      <c r="B935" s="46"/>
      <c r="C935" s="4"/>
      <c r="D935" s="5"/>
    </row>
    <row r="936" spans="1:4" s="42" customFormat="1" x14ac:dyDescent="0.2">
      <c r="A936" s="6"/>
      <c r="B936" s="46"/>
      <c r="C936" s="4"/>
      <c r="D936" s="5"/>
    </row>
    <row r="937" spans="1:4" s="42" customFormat="1" x14ac:dyDescent="0.2">
      <c r="A937" s="6"/>
      <c r="B937" s="46"/>
      <c r="C937" s="4"/>
      <c r="D937" s="5"/>
    </row>
    <row r="938" spans="1:4" s="42" customFormat="1" x14ac:dyDescent="0.2">
      <c r="A938" s="6"/>
      <c r="B938" s="46"/>
      <c r="C938" s="4"/>
      <c r="D938" s="5"/>
    </row>
    <row r="939" spans="1:4" s="42" customFormat="1" x14ac:dyDescent="0.2">
      <c r="A939" s="6"/>
      <c r="B939" s="46"/>
      <c r="C939" s="4"/>
      <c r="D939" s="5"/>
    </row>
    <row r="940" spans="1:4" s="42" customFormat="1" x14ac:dyDescent="0.2">
      <c r="A940" s="6"/>
      <c r="B940" s="46"/>
      <c r="C940" s="4"/>
      <c r="D940" s="5"/>
    </row>
    <row r="941" spans="1:4" s="42" customFormat="1" x14ac:dyDescent="0.2">
      <c r="A941" s="6"/>
      <c r="B941" s="46"/>
      <c r="C941" s="4"/>
      <c r="D941" s="5"/>
    </row>
    <row r="942" spans="1:4" s="42" customFormat="1" x14ac:dyDescent="0.2">
      <c r="A942" s="6"/>
      <c r="B942" s="46"/>
      <c r="C942" s="4"/>
      <c r="D942" s="5"/>
    </row>
    <row r="943" spans="1:4" s="42" customFormat="1" x14ac:dyDescent="0.2">
      <c r="A943" s="6"/>
      <c r="B943" s="46"/>
      <c r="C943" s="4"/>
      <c r="D943" s="5"/>
    </row>
    <row r="944" spans="1:4" s="42" customFormat="1" x14ac:dyDescent="0.2">
      <c r="A944" s="6"/>
      <c r="B944" s="46"/>
      <c r="C944" s="4"/>
      <c r="D944" s="5"/>
    </row>
    <row r="945" spans="1:4" s="42" customFormat="1" x14ac:dyDescent="0.2">
      <c r="A945" s="6"/>
      <c r="B945" s="46"/>
      <c r="C945" s="4"/>
      <c r="D945" s="5"/>
    </row>
    <row r="946" spans="1:4" s="42" customFormat="1" x14ac:dyDescent="0.2">
      <c r="A946" s="6"/>
      <c r="B946" s="46"/>
      <c r="C946" s="4"/>
      <c r="D946" s="5"/>
    </row>
    <row r="947" spans="1:4" s="42" customFormat="1" x14ac:dyDescent="0.2">
      <c r="A947" s="6"/>
      <c r="B947" s="46"/>
      <c r="C947" s="4"/>
      <c r="D947" s="5"/>
    </row>
    <row r="948" spans="1:4" s="42" customFormat="1" x14ac:dyDescent="0.2">
      <c r="A948" s="6"/>
      <c r="B948" s="46"/>
      <c r="C948" s="4"/>
      <c r="D948" s="5"/>
    </row>
    <row r="949" spans="1:4" s="42" customFormat="1" x14ac:dyDescent="0.2">
      <c r="A949" s="6"/>
      <c r="B949" s="46"/>
      <c r="C949" s="4"/>
      <c r="D949" s="5"/>
    </row>
    <row r="950" spans="1:4" s="42" customFormat="1" x14ac:dyDescent="0.2">
      <c r="A950" s="6"/>
      <c r="B950" s="46"/>
      <c r="C950" s="4"/>
      <c r="D950" s="5"/>
    </row>
    <row r="951" spans="1:4" s="42" customFormat="1" x14ac:dyDescent="0.2">
      <c r="A951" s="6"/>
      <c r="B951" s="46"/>
      <c r="C951" s="4"/>
      <c r="D951" s="5"/>
    </row>
    <row r="952" spans="1:4" s="42" customFormat="1" x14ac:dyDescent="0.2">
      <c r="A952" s="6"/>
      <c r="B952" s="46"/>
      <c r="C952" s="4"/>
      <c r="D952" s="5"/>
    </row>
    <row r="953" spans="1:4" s="42" customFormat="1" x14ac:dyDescent="0.2">
      <c r="A953" s="6"/>
      <c r="B953" s="46"/>
      <c r="C953" s="4"/>
      <c r="D953" s="5"/>
    </row>
    <row r="954" spans="1:4" s="42" customFormat="1" x14ac:dyDescent="0.2">
      <c r="A954" s="6"/>
      <c r="B954" s="46"/>
      <c r="C954" s="4"/>
      <c r="D954" s="5"/>
    </row>
    <row r="955" spans="1:4" s="42" customFormat="1" x14ac:dyDescent="0.2">
      <c r="A955" s="6"/>
      <c r="B955" s="46"/>
      <c r="C955" s="4"/>
      <c r="D955" s="5"/>
    </row>
    <row r="956" spans="1:4" s="42" customFormat="1" x14ac:dyDescent="0.2">
      <c r="A956" s="6"/>
      <c r="B956" s="46"/>
      <c r="C956" s="4"/>
      <c r="D956" s="5"/>
    </row>
    <row r="957" spans="1:4" s="42" customFormat="1" x14ac:dyDescent="0.2">
      <c r="A957" s="6"/>
      <c r="B957" s="46"/>
      <c r="C957" s="4"/>
      <c r="D957" s="5"/>
    </row>
    <row r="958" spans="1:4" s="42" customFormat="1" x14ac:dyDescent="0.2">
      <c r="A958" s="6"/>
      <c r="B958" s="46"/>
      <c r="C958" s="4"/>
      <c r="D958" s="5"/>
    </row>
    <row r="959" spans="1:4" s="42" customFormat="1" x14ac:dyDescent="0.2">
      <c r="A959" s="6"/>
      <c r="B959" s="46"/>
      <c r="C959" s="4"/>
      <c r="D959" s="5"/>
    </row>
    <row r="960" spans="1:4" s="42" customFormat="1" x14ac:dyDescent="0.2">
      <c r="A960" s="6"/>
      <c r="B960" s="46"/>
      <c r="C960" s="4"/>
      <c r="D960" s="5"/>
    </row>
    <row r="961" spans="1:4" s="42" customFormat="1" x14ac:dyDescent="0.2">
      <c r="A961" s="6"/>
      <c r="B961" s="46"/>
      <c r="C961" s="4"/>
      <c r="D961" s="5"/>
    </row>
    <row r="962" spans="1:4" s="42" customFormat="1" x14ac:dyDescent="0.2">
      <c r="A962" s="6"/>
      <c r="B962" s="46"/>
      <c r="C962" s="4"/>
      <c r="D962" s="5"/>
    </row>
    <row r="963" spans="1:4" s="42" customFormat="1" x14ac:dyDescent="0.2">
      <c r="A963" s="6"/>
      <c r="B963" s="46"/>
      <c r="C963" s="4"/>
      <c r="D963" s="5"/>
    </row>
    <row r="964" spans="1:4" s="42" customFormat="1" x14ac:dyDescent="0.2">
      <c r="A964" s="6"/>
      <c r="B964" s="46"/>
      <c r="C964" s="4"/>
      <c r="D964" s="5"/>
    </row>
    <row r="965" spans="1:4" s="42" customFormat="1" x14ac:dyDescent="0.2">
      <c r="A965" s="6"/>
      <c r="B965" s="46"/>
      <c r="C965" s="4"/>
      <c r="D965" s="5"/>
    </row>
    <row r="966" spans="1:4" s="42" customFormat="1" x14ac:dyDescent="0.2">
      <c r="A966" s="6"/>
      <c r="B966" s="46"/>
      <c r="C966" s="4"/>
      <c r="D966" s="5"/>
    </row>
    <row r="967" spans="1:4" s="42" customFormat="1" x14ac:dyDescent="0.2">
      <c r="A967" s="6"/>
      <c r="B967" s="46"/>
      <c r="C967" s="4"/>
      <c r="D967" s="5"/>
    </row>
    <row r="968" spans="1:4" s="42" customFormat="1" x14ac:dyDescent="0.2">
      <c r="A968" s="6"/>
      <c r="B968" s="46"/>
      <c r="C968" s="4"/>
      <c r="D968" s="5"/>
    </row>
    <row r="969" spans="1:4" s="42" customFormat="1" x14ac:dyDescent="0.2">
      <c r="A969" s="6"/>
      <c r="B969" s="46"/>
      <c r="C969" s="4"/>
      <c r="D969" s="5"/>
    </row>
    <row r="970" spans="1:4" s="42" customFormat="1" x14ac:dyDescent="0.2">
      <c r="A970" s="6"/>
      <c r="B970" s="46"/>
      <c r="C970" s="4"/>
      <c r="D970" s="5"/>
    </row>
    <row r="971" spans="1:4" s="42" customFormat="1" x14ac:dyDescent="0.2">
      <c r="A971" s="6"/>
      <c r="B971" s="46"/>
      <c r="C971" s="4"/>
      <c r="D971" s="5"/>
    </row>
    <row r="972" spans="1:4" s="42" customFormat="1" x14ac:dyDescent="0.2">
      <c r="A972" s="6"/>
      <c r="B972" s="46"/>
      <c r="C972" s="4"/>
      <c r="D972" s="5"/>
    </row>
    <row r="973" spans="1:4" s="42" customFormat="1" x14ac:dyDescent="0.2">
      <c r="A973" s="6"/>
      <c r="B973" s="46"/>
      <c r="C973" s="4"/>
      <c r="D973" s="5"/>
    </row>
    <row r="974" spans="1:4" s="42" customFormat="1" x14ac:dyDescent="0.2">
      <c r="A974" s="6"/>
      <c r="B974" s="46"/>
      <c r="C974" s="4"/>
      <c r="D974" s="5"/>
    </row>
    <row r="975" spans="1:4" s="42" customFormat="1" x14ac:dyDescent="0.2">
      <c r="A975" s="6"/>
      <c r="B975" s="46"/>
      <c r="C975" s="4"/>
      <c r="D975" s="5"/>
    </row>
    <row r="976" spans="1:4" s="42" customFormat="1" x14ac:dyDescent="0.2">
      <c r="A976" s="6"/>
      <c r="B976" s="46"/>
      <c r="C976" s="4"/>
      <c r="D976" s="5"/>
    </row>
    <row r="977" spans="1:4" s="42" customFormat="1" x14ac:dyDescent="0.2">
      <c r="A977" s="6"/>
      <c r="B977" s="46"/>
      <c r="C977" s="4"/>
      <c r="D977" s="5"/>
    </row>
    <row r="978" spans="1:4" s="42" customFormat="1" x14ac:dyDescent="0.2">
      <c r="A978" s="6"/>
      <c r="B978" s="46"/>
      <c r="C978" s="4"/>
      <c r="D978" s="5"/>
    </row>
    <row r="979" spans="1:4" s="42" customFormat="1" x14ac:dyDescent="0.2">
      <c r="A979" s="6"/>
      <c r="B979" s="46"/>
      <c r="C979" s="4"/>
      <c r="D979" s="5"/>
    </row>
    <row r="980" spans="1:4" s="42" customFormat="1" x14ac:dyDescent="0.2">
      <c r="A980" s="6"/>
      <c r="B980" s="46"/>
      <c r="C980" s="4"/>
      <c r="D980" s="5"/>
    </row>
    <row r="981" spans="1:4" s="42" customFormat="1" x14ac:dyDescent="0.2">
      <c r="A981" s="6"/>
      <c r="B981" s="46"/>
      <c r="C981" s="4"/>
      <c r="D981" s="5"/>
    </row>
    <row r="982" spans="1:4" s="42" customFormat="1" x14ac:dyDescent="0.2">
      <c r="A982" s="6"/>
      <c r="B982" s="46"/>
      <c r="C982" s="4"/>
      <c r="D982" s="5"/>
    </row>
    <row r="983" spans="1:4" s="42" customFormat="1" x14ac:dyDescent="0.2">
      <c r="A983" s="6"/>
      <c r="B983" s="46"/>
      <c r="C983" s="4"/>
      <c r="D983" s="5"/>
    </row>
    <row r="984" spans="1:4" s="42" customFormat="1" x14ac:dyDescent="0.2">
      <c r="A984" s="6"/>
      <c r="B984" s="46"/>
      <c r="C984" s="4"/>
      <c r="D984" s="5"/>
    </row>
    <row r="985" spans="1:4" s="42" customFormat="1" x14ac:dyDescent="0.2">
      <c r="A985" s="6"/>
      <c r="B985" s="46"/>
      <c r="C985" s="4"/>
      <c r="D985" s="5"/>
    </row>
    <row r="986" spans="1:4" s="42" customFormat="1" x14ac:dyDescent="0.2">
      <c r="A986" s="6"/>
      <c r="B986" s="46"/>
      <c r="C986" s="4"/>
      <c r="D986" s="5"/>
    </row>
    <row r="987" spans="1:4" s="42" customFormat="1" x14ac:dyDescent="0.2">
      <c r="A987" s="6"/>
      <c r="B987" s="46"/>
      <c r="C987" s="4"/>
      <c r="D987" s="5"/>
    </row>
    <row r="988" spans="1:4" s="42" customFormat="1" x14ac:dyDescent="0.2">
      <c r="A988" s="6"/>
      <c r="B988" s="46"/>
      <c r="C988" s="4"/>
      <c r="D988" s="5"/>
    </row>
    <row r="989" spans="1:4" s="42" customFormat="1" x14ac:dyDescent="0.2">
      <c r="A989" s="6"/>
      <c r="B989" s="46"/>
      <c r="C989" s="4"/>
      <c r="D989" s="5"/>
    </row>
    <row r="990" spans="1:4" s="42" customFormat="1" x14ac:dyDescent="0.2">
      <c r="A990" s="6"/>
      <c r="B990" s="46"/>
      <c r="C990" s="4"/>
      <c r="D990" s="5"/>
    </row>
    <row r="991" spans="1:4" s="42" customFormat="1" x14ac:dyDescent="0.2">
      <c r="A991" s="6"/>
      <c r="B991" s="46"/>
      <c r="C991" s="4"/>
      <c r="D991" s="5"/>
    </row>
    <row r="992" spans="1:4" s="42" customFormat="1" x14ac:dyDescent="0.2">
      <c r="A992" s="6"/>
      <c r="B992" s="46"/>
      <c r="C992" s="4"/>
      <c r="D992" s="5"/>
    </row>
    <row r="993" spans="1:4" s="42" customFormat="1" x14ac:dyDescent="0.2">
      <c r="A993" s="6"/>
      <c r="B993" s="46"/>
      <c r="C993" s="4"/>
      <c r="D993" s="5"/>
    </row>
    <row r="994" spans="1:4" s="42" customFormat="1" x14ac:dyDescent="0.2">
      <c r="A994" s="6"/>
      <c r="B994" s="46"/>
      <c r="C994" s="4"/>
      <c r="D994" s="5"/>
    </row>
    <row r="995" spans="1:4" s="42" customFormat="1" x14ac:dyDescent="0.2">
      <c r="A995" s="6"/>
      <c r="B995" s="46"/>
      <c r="C995" s="4"/>
      <c r="D995" s="5"/>
    </row>
    <row r="996" spans="1:4" s="42" customFormat="1" x14ac:dyDescent="0.2">
      <c r="A996" s="6"/>
      <c r="B996" s="46"/>
      <c r="C996" s="4"/>
      <c r="D996" s="5"/>
    </row>
    <row r="997" spans="1:4" s="42" customFormat="1" x14ac:dyDescent="0.2">
      <c r="A997" s="6"/>
      <c r="B997" s="46"/>
      <c r="C997" s="4"/>
      <c r="D997" s="5"/>
    </row>
    <row r="998" spans="1:4" s="42" customFormat="1" x14ac:dyDescent="0.2">
      <c r="A998" s="6"/>
      <c r="B998" s="46"/>
      <c r="C998" s="4"/>
      <c r="D998" s="5"/>
    </row>
    <row r="999" spans="1:4" s="42" customFormat="1" x14ac:dyDescent="0.2">
      <c r="A999" s="6"/>
      <c r="B999" s="46"/>
      <c r="C999" s="4"/>
      <c r="D999" s="5"/>
    </row>
    <row r="1000" spans="1:4" s="42" customFormat="1" x14ac:dyDescent="0.2">
      <c r="A1000" s="6"/>
      <c r="B1000" s="46"/>
      <c r="C1000" s="4"/>
      <c r="D1000" s="5"/>
    </row>
    <row r="1001" spans="1:4" s="42" customFormat="1" x14ac:dyDescent="0.2">
      <c r="A1001" s="6"/>
      <c r="B1001" s="46"/>
      <c r="C1001" s="4"/>
      <c r="D1001" s="5"/>
    </row>
    <row r="1002" spans="1:4" s="42" customFormat="1" x14ac:dyDescent="0.2">
      <c r="A1002" s="6"/>
      <c r="B1002" s="46"/>
      <c r="C1002" s="4"/>
      <c r="D1002" s="5"/>
    </row>
    <row r="1003" spans="1:4" s="42" customFormat="1" x14ac:dyDescent="0.2">
      <c r="A1003" s="6"/>
      <c r="B1003" s="46"/>
      <c r="C1003" s="4"/>
      <c r="D1003" s="5"/>
    </row>
    <row r="1004" spans="1:4" s="42" customFormat="1" x14ac:dyDescent="0.2">
      <c r="A1004" s="6"/>
      <c r="B1004" s="46"/>
      <c r="C1004" s="4"/>
      <c r="D1004" s="5"/>
    </row>
    <row r="1005" spans="1:4" s="42" customFormat="1" x14ac:dyDescent="0.2">
      <c r="A1005" s="6"/>
      <c r="B1005" s="46"/>
      <c r="C1005" s="4"/>
      <c r="D1005" s="5"/>
    </row>
    <row r="1006" spans="1:4" s="42" customFormat="1" x14ac:dyDescent="0.2">
      <c r="A1006" s="6"/>
      <c r="B1006" s="46"/>
      <c r="C1006" s="4"/>
      <c r="D1006" s="5"/>
    </row>
    <row r="1007" spans="1:4" s="42" customFormat="1" x14ac:dyDescent="0.2">
      <c r="A1007" s="6"/>
      <c r="B1007" s="46"/>
      <c r="C1007" s="4"/>
      <c r="D1007" s="5"/>
    </row>
    <row r="1008" spans="1:4" s="42" customFormat="1" x14ac:dyDescent="0.2">
      <c r="A1008" s="6"/>
      <c r="B1008" s="46"/>
      <c r="C1008" s="4"/>
      <c r="D1008" s="5"/>
    </row>
    <row r="1009" spans="1:4" s="42" customFormat="1" x14ac:dyDescent="0.2">
      <c r="A1009" s="6"/>
      <c r="B1009" s="46"/>
      <c r="C1009" s="4"/>
      <c r="D1009" s="5"/>
    </row>
    <row r="1010" spans="1:4" s="42" customFormat="1" x14ac:dyDescent="0.2">
      <c r="A1010" s="6"/>
      <c r="B1010" s="46"/>
      <c r="C1010" s="4"/>
      <c r="D1010" s="5"/>
    </row>
    <row r="1011" spans="1:4" s="42" customFormat="1" x14ac:dyDescent="0.2">
      <c r="A1011" s="6"/>
      <c r="B1011" s="46"/>
      <c r="C1011" s="4"/>
      <c r="D1011" s="5"/>
    </row>
    <row r="1012" spans="1:4" s="42" customFormat="1" x14ac:dyDescent="0.2">
      <c r="A1012" s="6"/>
      <c r="B1012" s="46"/>
      <c r="C1012" s="4"/>
      <c r="D1012" s="5"/>
    </row>
    <row r="1013" spans="1:4" s="42" customFormat="1" x14ac:dyDescent="0.2">
      <c r="A1013" s="6"/>
      <c r="B1013" s="46"/>
      <c r="C1013" s="4"/>
      <c r="D1013" s="5"/>
    </row>
    <row r="1014" spans="1:4" s="42" customFormat="1" x14ac:dyDescent="0.2">
      <c r="A1014" s="6"/>
      <c r="B1014" s="46"/>
      <c r="C1014" s="4"/>
      <c r="D1014" s="5"/>
    </row>
    <row r="1015" spans="1:4" s="42" customFormat="1" x14ac:dyDescent="0.2">
      <c r="A1015" s="6"/>
      <c r="B1015" s="46"/>
      <c r="C1015" s="4"/>
      <c r="D1015" s="5"/>
    </row>
    <row r="1016" spans="1:4" s="42" customFormat="1" x14ac:dyDescent="0.2">
      <c r="A1016" s="6"/>
      <c r="B1016" s="46"/>
      <c r="C1016" s="4"/>
      <c r="D1016" s="5"/>
    </row>
    <row r="1017" spans="1:4" s="42" customFormat="1" x14ac:dyDescent="0.2">
      <c r="A1017" s="6"/>
      <c r="B1017" s="46"/>
      <c r="C1017" s="4"/>
      <c r="D1017" s="5"/>
    </row>
    <row r="1018" spans="1:4" s="42" customFormat="1" x14ac:dyDescent="0.2">
      <c r="A1018" s="6"/>
      <c r="B1018" s="46"/>
      <c r="C1018" s="4"/>
      <c r="D1018" s="5"/>
    </row>
    <row r="1019" spans="1:4" s="42" customFormat="1" x14ac:dyDescent="0.2">
      <c r="A1019" s="6"/>
      <c r="B1019" s="46"/>
      <c r="C1019" s="4"/>
      <c r="D1019" s="5"/>
    </row>
    <row r="1020" spans="1:4" s="42" customFormat="1" x14ac:dyDescent="0.2">
      <c r="A1020" s="6"/>
      <c r="B1020" s="46"/>
      <c r="C1020" s="4"/>
      <c r="D1020" s="5"/>
    </row>
    <row r="1021" spans="1:4" s="42" customFormat="1" x14ac:dyDescent="0.2">
      <c r="A1021" s="6"/>
      <c r="B1021" s="46"/>
      <c r="C1021" s="4"/>
      <c r="D1021" s="5"/>
    </row>
    <row r="1022" spans="1:4" s="42" customFormat="1" x14ac:dyDescent="0.2">
      <c r="A1022" s="6"/>
      <c r="B1022" s="46"/>
      <c r="C1022" s="4"/>
      <c r="D1022" s="5"/>
    </row>
    <row r="1023" spans="1:4" s="42" customFormat="1" x14ac:dyDescent="0.2">
      <c r="A1023" s="6"/>
      <c r="B1023" s="46"/>
      <c r="C1023" s="4"/>
      <c r="D1023" s="5"/>
    </row>
    <row r="1024" spans="1:4" s="42" customFormat="1" x14ac:dyDescent="0.2">
      <c r="A1024" s="6"/>
      <c r="B1024" s="46"/>
      <c r="C1024" s="4"/>
      <c r="D1024" s="5"/>
    </row>
    <row r="1025" spans="1:4" s="42" customFormat="1" x14ac:dyDescent="0.2">
      <c r="A1025" s="6"/>
      <c r="B1025" s="46"/>
      <c r="C1025" s="4"/>
      <c r="D1025" s="5"/>
    </row>
    <row r="1026" spans="1:4" s="42" customFormat="1" x14ac:dyDescent="0.2">
      <c r="A1026" s="6"/>
      <c r="B1026" s="46"/>
      <c r="C1026" s="4"/>
      <c r="D1026" s="5"/>
    </row>
    <row r="1027" spans="1:4" s="42" customFormat="1" x14ac:dyDescent="0.2">
      <c r="A1027" s="6"/>
      <c r="B1027" s="46"/>
      <c r="C1027" s="4"/>
      <c r="D1027" s="5"/>
    </row>
    <row r="1028" spans="1:4" s="42" customFormat="1" x14ac:dyDescent="0.2">
      <c r="A1028" s="6"/>
      <c r="B1028" s="46"/>
      <c r="C1028" s="4"/>
      <c r="D1028" s="5"/>
    </row>
    <row r="1029" spans="1:4" s="42" customFormat="1" x14ac:dyDescent="0.2">
      <c r="A1029" s="6"/>
      <c r="B1029" s="46"/>
      <c r="C1029" s="4"/>
      <c r="D1029" s="5"/>
    </row>
    <row r="1030" spans="1:4" s="42" customFormat="1" x14ac:dyDescent="0.2">
      <c r="A1030" s="6"/>
      <c r="B1030" s="46"/>
      <c r="C1030" s="4"/>
      <c r="D1030" s="5"/>
    </row>
    <row r="1031" spans="1:4" s="42" customFormat="1" x14ac:dyDescent="0.2">
      <c r="A1031" s="6"/>
      <c r="B1031" s="46"/>
      <c r="C1031" s="4"/>
      <c r="D1031" s="5"/>
    </row>
    <row r="1032" spans="1:4" s="42" customFormat="1" x14ac:dyDescent="0.2">
      <c r="A1032" s="6"/>
      <c r="B1032" s="46"/>
      <c r="C1032" s="4"/>
      <c r="D1032" s="5"/>
    </row>
    <row r="1033" spans="1:4" s="42" customFormat="1" x14ac:dyDescent="0.2">
      <c r="A1033" s="6"/>
      <c r="B1033" s="46"/>
      <c r="C1033" s="4"/>
      <c r="D1033" s="5"/>
    </row>
    <row r="1034" spans="1:4" s="42" customFormat="1" x14ac:dyDescent="0.2">
      <c r="A1034" s="6"/>
      <c r="B1034" s="46"/>
      <c r="C1034" s="4"/>
      <c r="D1034" s="5"/>
    </row>
    <row r="1035" spans="1:4" s="42" customFormat="1" x14ac:dyDescent="0.2">
      <c r="A1035" s="6"/>
      <c r="B1035" s="46"/>
      <c r="C1035" s="4"/>
      <c r="D1035" s="5"/>
    </row>
    <row r="1036" spans="1:4" s="42" customFormat="1" x14ac:dyDescent="0.2">
      <c r="A1036" s="6"/>
      <c r="B1036" s="46"/>
      <c r="C1036" s="4"/>
      <c r="D1036" s="5"/>
    </row>
    <row r="1037" spans="1:4" s="42" customFormat="1" x14ac:dyDescent="0.2">
      <c r="A1037" s="6"/>
      <c r="B1037" s="46"/>
      <c r="C1037" s="4"/>
      <c r="D1037" s="5"/>
    </row>
    <row r="1038" spans="1:4" s="42" customFormat="1" x14ac:dyDescent="0.2">
      <c r="A1038" s="6"/>
      <c r="B1038" s="46"/>
      <c r="C1038" s="4"/>
      <c r="D1038" s="5"/>
    </row>
    <row r="1039" spans="1:4" s="42" customFormat="1" x14ac:dyDescent="0.2">
      <c r="A1039" s="6"/>
      <c r="B1039" s="46"/>
      <c r="C1039" s="4"/>
      <c r="D1039" s="5"/>
    </row>
    <row r="1040" spans="1:4" s="42" customFormat="1" x14ac:dyDescent="0.2">
      <c r="A1040" s="6"/>
      <c r="B1040" s="46"/>
      <c r="C1040" s="4"/>
      <c r="D1040" s="5"/>
    </row>
    <row r="1041" spans="1:4" s="42" customFormat="1" x14ac:dyDescent="0.2">
      <c r="A1041" s="6"/>
      <c r="B1041" s="46"/>
      <c r="C1041" s="4"/>
      <c r="D1041" s="5"/>
    </row>
    <row r="1042" spans="1:4" s="42" customFormat="1" x14ac:dyDescent="0.2">
      <c r="A1042" s="6"/>
      <c r="B1042" s="46"/>
      <c r="C1042" s="4"/>
      <c r="D1042" s="5"/>
    </row>
    <row r="1043" spans="1:4" s="42" customFormat="1" x14ac:dyDescent="0.2">
      <c r="A1043" s="6"/>
      <c r="B1043" s="46"/>
      <c r="C1043" s="4"/>
      <c r="D1043" s="5"/>
    </row>
    <row r="1044" spans="1:4" s="42" customFormat="1" x14ac:dyDescent="0.2">
      <c r="A1044" s="6"/>
      <c r="B1044" s="46"/>
      <c r="C1044" s="4"/>
      <c r="D1044" s="5"/>
    </row>
    <row r="1045" spans="1:4" s="42" customFormat="1" x14ac:dyDescent="0.2">
      <c r="A1045" s="6"/>
      <c r="B1045" s="46"/>
      <c r="C1045" s="4"/>
      <c r="D1045" s="5"/>
    </row>
    <row r="1046" spans="1:4" s="42" customFormat="1" x14ac:dyDescent="0.2">
      <c r="A1046" s="6"/>
      <c r="B1046" s="46"/>
      <c r="C1046" s="4"/>
      <c r="D1046" s="5"/>
    </row>
    <row r="1047" spans="1:4" s="42" customFormat="1" x14ac:dyDescent="0.2">
      <c r="A1047" s="6"/>
      <c r="B1047" s="46"/>
      <c r="C1047" s="4"/>
      <c r="D1047" s="5"/>
    </row>
    <row r="1048" spans="1:4" s="42" customFormat="1" x14ac:dyDescent="0.2">
      <c r="A1048" s="6"/>
      <c r="B1048" s="46"/>
      <c r="C1048" s="4"/>
      <c r="D1048" s="5"/>
    </row>
    <row r="1049" spans="1:4" s="42" customFormat="1" x14ac:dyDescent="0.2">
      <c r="A1049" s="6"/>
      <c r="B1049" s="46"/>
      <c r="C1049" s="4"/>
      <c r="D1049" s="5"/>
    </row>
    <row r="1050" spans="1:4" s="42" customFormat="1" x14ac:dyDescent="0.2">
      <c r="A1050" s="6"/>
      <c r="B1050" s="46"/>
      <c r="C1050" s="4"/>
      <c r="D1050" s="5"/>
    </row>
    <row r="1051" spans="1:4" s="42" customFormat="1" x14ac:dyDescent="0.2">
      <c r="A1051" s="6"/>
      <c r="B1051" s="46"/>
      <c r="C1051" s="4"/>
      <c r="D1051" s="5"/>
    </row>
    <row r="1052" spans="1:4" s="42" customFormat="1" x14ac:dyDescent="0.2">
      <c r="A1052" s="6"/>
      <c r="B1052" s="46"/>
      <c r="C1052" s="4"/>
      <c r="D1052" s="5"/>
    </row>
    <row r="1053" spans="1:4" s="42" customFormat="1" x14ac:dyDescent="0.2">
      <c r="A1053" s="6"/>
      <c r="B1053" s="46"/>
      <c r="C1053" s="4"/>
      <c r="D1053" s="5"/>
    </row>
    <row r="1054" spans="1:4" s="42" customFormat="1" x14ac:dyDescent="0.2">
      <c r="A1054" s="6"/>
      <c r="B1054" s="46"/>
      <c r="C1054" s="4"/>
      <c r="D1054" s="5"/>
    </row>
    <row r="1055" spans="1:4" s="42" customFormat="1" x14ac:dyDescent="0.2">
      <c r="A1055" s="6"/>
      <c r="B1055" s="46"/>
      <c r="C1055" s="4"/>
      <c r="D1055" s="5"/>
    </row>
    <row r="1056" spans="1:4" s="42" customFormat="1" x14ac:dyDescent="0.2">
      <c r="A1056" s="6"/>
      <c r="B1056" s="46"/>
      <c r="C1056" s="4"/>
      <c r="D1056" s="5"/>
    </row>
    <row r="1057" spans="1:4" s="42" customFormat="1" x14ac:dyDescent="0.2">
      <c r="A1057" s="6"/>
      <c r="B1057" s="46"/>
      <c r="C1057" s="4"/>
      <c r="D1057" s="5"/>
    </row>
    <row r="1058" spans="1:4" s="42" customFormat="1" x14ac:dyDescent="0.2">
      <c r="A1058" s="6"/>
      <c r="B1058" s="46"/>
      <c r="C1058" s="4"/>
      <c r="D1058" s="5"/>
    </row>
    <row r="1059" spans="1:4" s="42" customFormat="1" x14ac:dyDescent="0.2">
      <c r="A1059" s="6"/>
      <c r="B1059" s="46"/>
      <c r="C1059" s="4"/>
      <c r="D1059" s="5"/>
    </row>
    <row r="1060" spans="1:4" s="42" customFormat="1" x14ac:dyDescent="0.2">
      <c r="A1060" s="6"/>
      <c r="B1060" s="46"/>
      <c r="C1060" s="4"/>
      <c r="D1060" s="5"/>
    </row>
    <row r="1061" spans="1:4" s="42" customFormat="1" x14ac:dyDescent="0.2">
      <c r="A1061" s="6"/>
      <c r="B1061" s="46"/>
      <c r="C1061" s="4"/>
      <c r="D1061" s="5"/>
    </row>
    <row r="1062" spans="1:4" s="42" customFormat="1" x14ac:dyDescent="0.2">
      <c r="A1062" s="6"/>
      <c r="B1062" s="46"/>
      <c r="C1062" s="4"/>
      <c r="D1062" s="5"/>
    </row>
    <row r="1063" spans="1:4" s="42" customFormat="1" x14ac:dyDescent="0.2">
      <c r="A1063" s="6"/>
      <c r="B1063" s="46"/>
      <c r="C1063" s="4"/>
      <c r="D1063" s="5"/>
    </row>
    <row r="1064" spans="1:4" s="42" customFormat="1" x14ac:dyDescent="0.2">
      <c r="A1064" s="6"/>
      <c r="B1064" s="46"/>
      <c r="C1064" s="4"/>
      <c r="D1064" s="5"/>
    </row>
    <row r="1065" spans="1:4" s="42" customFormat="1" x14ac:dyDescent="0.2">
      <c r="A1065" s="6"/>
      <c r="B1065" s="46"/>
      <c r="C1065" s="4"/>
      <c r="D1065" s="5"/>
    </row>
    <row r="1066" spans="1:4" s="42" customFormat="1" x14ac:dyDescent="0.2">
      <c r="A1066" s="6"/>
      <c r="B1066" s="46"/>
      <c r="C1066" s="4"/>
      <c r="D1066" s="5"/>
    </row>
    <row r="1067" spans="1:4" s="42" customFormat="1" x14ac:dyDescent="0.2">
      <c r="A1067" s="6"/>
      <c r="B1067" s="46"/>
      <c r="C1067" s="4"/>
      <c r="D1067" s="5"/>
    </row>
    <row r="1068" spans="1:4" s="42" customFormat="1" x14ac:dyDescent="0.2">
      <c r="A1068" s="6"/>
      <c r="B1068" s="46"/>
      <c r="C1068" s="4"/>
      <c r="D1068" s="5"/>
    </row>
    <row r="1069" spans="1:4" s="42" customFormat="1" x14ac:dyDescent="0.2">
      <c r="A1069" s="6"/>
      <c r="B1069" s="46"/>
      <c r="C1069" s="4"/>
      <c r="D1069" s="5"/>
    </row>
    <row r="1070" spans="1:4" s="42" customFormat="1" x14ac:dyDescent="0.2">
      <c r="A1070" s="6"/>
      <c r="B1070" s="46"/>
      <c r="C1070" s="4"/>
      <c r="D1070" s="5"/>
    </row>
    <row r="1071" spans="1:4" s="42" customFormat="1" x14ac:dyDescent="0.2">
      <c r="A1071" s="6"/>
      <c r="B1071" s="46"/>
      <c r="C1071" s="4"/>
      <c r="D1071" s="5"/>
    </row>
    <row r="1072" spans="1:4" s="42" customFormat="1" x14ac:dyDescent="0.2">
      <c r="A1072" s="6"/>
      <c r="B1072" s="46"/>
      <c r="C1072" s="4"/>
      <c r="D1072" s="5"/>
    </row>
    <row r="1073" spans="1:4" s="42" customFormat="1" x14ac:dyDescent="0.2">
      <c r="A1073" s="6"/>
      <c r="B1073" s="46"/>
      <c r="C1073" s="4"/>
      <c r="D1073" s="5"/>
    </row>
    <row r="1074" spans="1:4" s="42" customFormat="1" x14ac:dyDescent="0.2">
      <c r="A1074" s="6"/>
      <c r="B1074" s="46"/>
      <c r="C1074" s="4"/>
      <c r="D1074" s="5"/>
    </row>
    <row r="1075" spans="1:4" s="42" customFormat="1" x14ac:dyDescent="0.2">
      <c r="A1075" s="6"/>
      <c r="B1075" s="46"/>
      <c r="C1075" s="4"/>
      <c r="D1075" s="5"/>
    </row>
    <row r="1076" spans="1:4" s="42" customFormat="1" x14ac:dyDescent="0.2">
      <c r="A1076" s="6"/>
      <c r="B1076" s="46"/>
      <c r="C1076" s="4"/>
      <c r="D1076" s="5"/>
    </row>
    <row r="1077" spans="1:4" s="42" customFormat="1" x14ac:dyDescent="0.2">
      <c r="A1077" s="6"/>
      <c r="B1077" s="46"/>
      <c r="C1077" s="4"/>
      <c r="D1077" s="5"/>
    </row>
    <row r="1078" spans="1:4" s="42" customFormat="1" x14ac:dyDescent="0.2">
      <c r="A1078" s="6"/>
      <c r="B1078" s="46"/>
      <c r="C1078" s="4"/>
      <c r="D1078" s="5"/>
    </row>
    <row r="1079" spans="1:4" s="42" customFormat="1" x14ac:dyDescent="0.2">
      <c r="A1079" s="6"/>
      <c r="B1079" s="46"/>
      <c r="C1079" s="4"/>
      <c r="D1079" s="5"/>
    </row>
    <row r="1080" spans="1:4" s="42" customFormat="1" x14ac:dyDescent="0.2">
      <c r="A1080" s="6"/>
      <c r="B1080" s="46"/>
      <c r="C1080" s="4"/>
      <c r="D1080" s="5"/>
    </row>
    <row r="1081" spans="1:4" s="42" customFormat="1" x14ac:dyDescent="0.2">
      <c r="A1081" s="6"/>
      <c r="B1081" s="46"/>
      <c r="C1081" s="4"/>
      <c r="D1081" s="5"/>
    </row>
    <row r="1082" spans="1:4" s="42" customFormat="1" x14ac:dyDescent="0.2">
      <c r="A1082" s="6"/>
      <c r="B1082" s="46"/>
      <c r="C1082" s="4"/>
      <c r="D1082" s="5"/>
    </row>
    <row r="1083" spans="1:4" s="42" customFormat="1" x14ac:dyDescent="0.2">
      <c r="A1083" s="6"/>
      <c r="B1083" s="46"/>
      <c r="C1083" s="4"/>
      <c r="D1083" s="5"/>
    </row>
    <row r="1084" spans="1:4" s="42" customFormat="1" x14ac:dyDescent="0.2">
      <c r="A1084" s="6"/>
      <c r="B1084" s="46"/>
      <c r="C1084" s="4"/>
      <c r="D1084" s="5"/>
    </row>
    <row r="1085" spans="1:4" s="42" customFormat="1" x14ac:dyDescent="0.2">
      <c r="A1085" s="6"/>
      <c r="B1085" s="46"/>
      <c r="C1085" s="4"/>
      <c r="D1085" s="5"/>
    </row>
    <row r="1086" spans="1:4" s="42" customFormat="1" x14ac:dyDescent="0.2">
      <c r="A1086" s="6"/>
      <c r="B1086" s="46"/>
      <c r="C1086" s="4"/>
      <c r="D1086" s="5"/>
    </row>
    <row r="1087" spans="1:4" s="42" customFormat="1" x14ac:dyDescent="0.2">
      <c r="A1087" s="6"/>
      <c r="B1087" s="46"/>
      <c r="C1087" s="4"/>
      <c r="D1087" s="5"/>
    </row>
    <row r="1088" spans="1:4" s="42" customFormat="1" x14ac:dyDescent="0.2">
      <c r="A1088" s="6"/>
      <c r="B1088" s="46"/>
      <c r="C1088" s="4"/>
      <c r="D1088" s="5"/>
    </row>
    <row r="1089" spans="1:4" s="42" customFormat="1" x14ac:dyDescent="0.2">
      <c r="A1089" s="6"/>
      <c r="B1089" s="46"/>
      <c r="C1089" s="4"/>
      <c r="D1089" s="5"/>
    </row>
    <row r="1090" spans="1:4" s="42" customFormat="1" x14ac:dyDescent="0.2">
      <c r="A1090" s="6"/>
      <c r="B1090" s="46"/>
      <c r="C1090" s="4"/>
      <c r="D1090" s="5"/>
    </row>
    <row r="1091" spans="1:4" s="42" customFormat="1" x14ac:dyDescent="0.2">
      <c r="A1091" s="6"/>
      <c r="B1091" s="46"/>
      <c r="C1091" s="4"/>
      <c r="D1091" s="5"/>
    </row>
    <row r="1092" spans="1:4" s="42" customFormat="1" x14ac:dyDescent="0.2">
      <c r="A1092" s="6"/>
      <c r="B1092" s="46"/>
      <c r="C1092" s="4"/>
      <c r="D1092" s="5"/>
    </row>
    <row r="1093" spans="1:4" s="42" customFormat="1" x14ac:dyDescent="0.2">
      <c r="A1093" s="6"/>
      <c r="B1093" s="46"/>
      <c r="C1093" s="4"/>
      <c r="D1093" s="5"/>
    </row>
    <row r="1094" spans="1:4" s="42" customFormat="1" x14ac:dyDescent="0.2">
      <c r="A1094" s="6"/>
      <c r="B1094" s="46"/>
      <c r="C1094" s="4"/>
      <c r="D1094" s="5"/>
    </row>
    <row r="1095" spans="1:4" s="42" customFormat="1" x14ac:dyDescent="0.2">
      <c r="A1095" s="6"/>
      <c r="B1095" s="46"/>
      <c r="C1095" s="4"/>
      <c r="D1095" s="5"/>
    </row>
    <row r="1096" spans="1:4" s="42" customFormat="1" x14ac:dyDescent="0.2">
      <c r="A1096" s="6"/>
      <c r="B1096" s="46"/>
      <c r="C1096" s="4"/>
      <c r="D1096" s="5"/>
    </row>
    <row r="1097" spans="1:4" s="42" customFormat="1" x14ac:dyDescent="0.2">
      <c r="A1097" s="6"/>
      <c r="B1097" s="46"/>
      <c r="C1097" s="4"/>
      <c r="D1097" s="5"/>
    </row>
    <row r="1098" spans="1:4" s="42" customFormat="1" x14ac:dyDescent="0.2">
      <c r="A1098" s="6"/>
      <c r="B1098" s="46"/>
      <c r="C1098" s="4"/>
      <c r="D1098" s="5"/>
    </row>
    <row r="1099" spans="1:4" s="42" customFormat="1" x14ac:dyDescent="0.2">
      <c r="A1099" s="6"/>
      <c r="B1099" s="46"/>
      <c r="C1099" s="4"/>
      <c r="D1099" s="5"/>
    </row>
    <row r="1100" spans="1:4" s="42" customFormat="1" x14ac:dyDescent="0.2">
      <c r="A1100" s="6"/>
      <c r="B1100" s="46"/>
      <c r="C1100" s="4"/>
      <c r="D1100" s="5"/>
    </row>
    <row r="1101" spans="1:4" s="42" customFormat="1" x14ac:dyDescent="0.2">
      <c r="A1101" s="6"/>
      <c r="B1101" s="46"/>
      <c r="C1101" s="4"/>
      <c r="D1101" s="5"/>
    </row>
    <row r="1102" spans="1:4" s="42" customFormat="1" x14ac:dyDescent="0.2">
      <c r="A1102" s="6"/>
      <c r="B1102" s="46"/>
      <c r="C1102" s="4"/>
      <c r="D1102" s="5"/>
    </row>
    <row r="1103" spans="1:4" s="42" customFormat="1" x14ac:dyDescent="0.2">
      <c r="A1103" s="6"/>
      <c r="B1103" s="46"/>
      <c r="C1103" s="4"/>
      <c r="D1103" s="5"/>
    </row>
    <row r="1104" spans="1:4" s="42" customFormat="1" x14ac:dyDescent="0.2">
      <c r="A1104" s="6"/>
      <c r="B1104" s="46"/>
      <c r="C1104" s="4"/>
      <c r="D1104" s="5"/>
    </row>
    <row r="1105" spans="1:4" s="42" customFormat="1" x14ac:dyDescent="0.2">
      <c r="A1105" s="6"/>
      <c r="B1105" s="46"/>
      <c r="C1105" s="4"/>
      <c r="D1105" s="5"/>
    </row>
    <row r="1106" spans="1:4" s="42" customFormat="1" x14ac:dyDescent="0.2">
      <c r="A1106" s="6"/>
      <c r="B1106" s="46"/>
      <c r="C1106" s="4"/>
      <c r="D1106" s="5"/>
    </row>
    <row r="1107" spans="1:4" s="42" customFormat="1" x14ac:dyDescent="0.2">
      <c r="A1107" s="6"/>
      <c r="B1107" s="46"/>
      <c r="C1107" s="4"/>
      <c r="D1107" s="5"/>
    </row>
    <row r="1108" spans="1:4" s="42" customFormat="1" x14ac:dyDescent="0.2">
      <c r="A1108" s="6"/>
      <c r="B1108" s="46"/>
      <c r="C1108" s="4"/>
      <c r="D1108" s="5"/>
    </row>
    <row r="1109" spans="1:4" s="42" customFormat="1" x14ac:dyDescent="0.2">
      <c r="A1109" s="6"/>
      <c r="B1109" s="46"/>
      <c r="C1109" s="4"/>
      <c r="D1109" s="5"/>
    </row>
    <row r="1110" spans="1:4" s="42" customFormat="1" x14ac:dyDescent="0.2">
      <c r="A1110" s="6"/>
      <c r="B1110" s="46"/>
      <c r="C1110" s="4"/>
      <c r="D1110" s="5"/>
    </row>
    <row r="1111" spans="1:4" s="42" customFormat="1" x14ac:dyDescent="0.2">
      <c r="A1111" s="6"/>
      <c r="B1111" s="46"/>
      <c r="C1111" s="4"/>
      <c r="D1111" s="5"/>
    </row>
    <row r="1112" spans="1:4" s="42" customFormat="1" x14ac:dyDescent="0.2">
      <c r="A1112" s="6"/>
      <c r="B1112" s="46"/>
      <c r="C1112" s="4"/>
      <c r="D1112" s="5"/>
    </row>
    <row r="1113" spans="1:4" s="42" customFormat="1" x14ac:dyDescent="0.2">
      <c r="A1113" s="6"/>
      <c r="B1113" s="46"/>
      <c r="C1113" s="4"/>
      <c r="D1113" s="5"/>
    </row>
    <row r="1114" spans="1:4" s="42" customFormat="1" x14ac:dyDescent="0.2">
      <c r="A1114" s="6"/>
      <c r="B1114" s="46"/>
      <c r="C1114" s="4"/>
      <c r="D1114" s="5"/>
    </row>
    <row r="1115" spans="1:4" s="42" customFormat="1" x14ac:dyDescent="0.2">
      <c r="A1115" s="6"/>
      <c r="B1115" s="46"/>
      <c r="C1115" s="4"/>
      <c r="D1115" s="5"/>
    </row>
    <row r="1116" spans="1:4" s="42" customFormat="1" x14ac:dyDescent="0.2">
      <c r="A1116" s="6"/>
      <c r="B1116" s="46"/>
      <c r="C1116" s="4"/>
      <c r="D1116" s="5"/>
    </row>
    <row r="1117" spans="1:4" s="42" customFormat="1" x14ac:dyDescent="0.2">
      <c r="A1117" s="6"/>
      <c r="B1117" s="46"/>
      <c r="C1117" s="4"/>
      <c r="D1117" s="5"/>
    </row>
    <row r="1118" spans="1:4" s="42" customFormat="1" x14ac:dyDescent="0.2">
      <c r="A1118" s="6"/>
      <c r="B1118" s="46"/>
      <c r="C1118" s="4"/>
      <c r="D1118" s="5"/>
    </row>
    <row r="1119" spans="1:4" s="42" customFormat="1" x14ac:dyDescent="0.2">
      <c r="A1119" s="6"/>
      <c r="B1119" s="46"/>
      <c r="C1119" s="4"/>
      <c r="D1119" s="5"/>
    </row>
    <row r="1120" spans="1:4" s="42" customFormat="1" x14ac:dyDescent="0.2">
      <c r="A1120" s="6"/>
      <c r="B1120" s="46"/>
      <c r="C1120" s="4"/>
      <c r="D1120" s="5"/>
    </row>
    <row r="1121" spans="1:4" s="42" customFormat="1" x14ac:dyDescent="0.2">
      <c r="A1121" s="6"/>
      <c r="B1121" s="46"/>
      <c r="C1121" s="4"/>
      <c r="D1121" s="5"/>
    </row>
    <row r="1122" spans="1:4" s="42" customFormat="1" x14ac:dyDescent="0.2">
      <c r="A1122" s="6"/>
      <c r="B1122" s="46"/>
      <c r="C1122" s="4"/>
      <c r="D1122" s="5"/>
    </row>
    <row r="1123" spans="1:4" s="42" customFormat="1" x14ac:dyDescent="0.2">
      <c r="A1123" s="6"/>
      <c r="B1123" s="46"/>
      <c r="C1123" s="4"/>
      <c r="D1123" s="5"/>
    </row>
    <row r="1124" spans="1:4" s="42" customFormat="1" x14ac:dyDescent="0.2">
      <c r="A1124" s="6"/>
      <c r="B1124" s="46"/>
      <c r="C1124" s="4"/>
      <c r="D1124" s="5"/>
    </row>
    <row r="1125" spans="1:4" s="42" customFormat="1" x14ac:dyDescent="0.2">
      <c r="A1125" s="6"/>
      <c r="B1125" s="46"/>
      <c r="C1125" s="4"/>
      <c r="D1125" s="5"/>
    </row>
    <row r="1126" spans="1:4" s="42" customFormat="1" x14ac:dyDescent="0.2">
      <c r="A1126" s="6"/>
      <c r="B1126" s="46"/>
      <c r="C1126" s="4"/>
      <c r="D1126" s="5"/>
    </row>
    <row r="1127" spans="1:4" s="42" customFormat="1" x14ac:dyDescent="0.2">
      <c r="A1127" s="6"/>
      <c r="B1127" s="46"/>
      <c r="C1127" s="4"/>
      <c r="D1127" s="5"/>
    </row>
    <row r="1128" spans="1:4" s="42" customFormat="1" x14ac:dyDescent="0.2">
      <c r="A1128" s="6"/>
      <c r="B1128" s="46"/>
      <c r="C1128" s="4"/>
      <c r="D1128" s="5"/>
    </row>
    <row r="1129" spans="1:4" s="42" customFormat="1" x14ac:dyDescent="0.2">
      <c r="A1129" s="6"/>
      <c r="B1129" s="46"/>
      <c r="C1129" s="4"/>
      <c r="D1129" s="5"/>
    </row>
    <row r="1130" spans="1:4" s="42" customFormat="1" x14ac:dyDescent="0.2">
      <c r="A1130" s="6"/>
      <c r="B1130" s="46"/>
      <c r="C1130" s="4"/>
      <c r="D1130" s="5"/>
    </row>
    <row r="1131" spans="1:4" s="42" customFormat="1" x14ac:dyDescent="0.2">
      <c r="A1131" s="6"/>
      <c r="B1131" s="46"/>
      <c r="C1131" s="4"/>
      <c r="D1131" s="5"/>
    </row>
    <row r="1132" spans="1:4" s="42" customFormat="1" x14ac:dyDescent="0.2">
      <c r="A1132" s="6"/>
      <c r="B1132" s="46"/>
      <c r="C1132" s="4"/>
      <c r="D1132" s="5"/>
    </row>
    <row r="1133" spans="1:4" s="42" customFormat="1" x14ac:dyDescent="0.2">
      <c r="A1133" s="6"/>
      <c r="B1133" s="46"/>
      <c r="C1133" s="4"/>
      <c r="D1133" s="5"/>
    </row>
    <row r="1134" spans="1:4" s="42" customFormat="1" x14ac:dyDescent="0.2">
      <c r="A1134" s="6"/>
      <c r="B1134" s="46"/>
      <c r="C1134" s="4"/>
      <c r="D1134" s="5"/>
    </row>
    <row r="1135" spans="1:4" s="42" customFormat="1" x14ac:dyDescent="0.2">
      <c r="A1135" s="6"/>
      <c r="B1135" s="46"/>
      <c r="C1135" s="4"/>
      <c r="D1135" s="5"/>
    </row>
    <row r="1136" spans="1:4" s="42" customFormat="1" x14ac:dyDescent="0.2">
      <c r="A1136" s="6"/>
      <c r="B1136" s="46"/>
      <c r="C1136" s="4"/>
      <c r="D1136" s="5"/>
    </row>
    <row r="1137" spans="1:4" s="42" customFormat="1" x14ac:dyDescent="0.2">
      <c r="A1137" s="6"/>
      <c r="B1137" s="46"/>
      <c r="C1137" s="4"/>
      <c r="D1137" s="5"/>
    </row>
    <row r="1138" spans="1:4" s="42" customFormat="1" x14ac:dyDescent="0.2">
      <c r="A1138" s="6"/>
      <c r="B1138" s="46"/>
      <c r="C1138" s="4"/>
      <c r="D1138" s="5"/>
    </row>
    <row r="1139" spans="1:4" s="42" customFormat="1" x14ac:dyDescent="0.2">
      <c r="A1139" s="6"/>
      <c r="B1139" s="46"/>
      <c r="C1139" s="4"/>
      <c r="D1139" s="5"/>
    </row>
    <row r="1140" spans="1:4" s="42" customFormat="1" x14ac:dyDescent="0.2">
      <c r="A1140" s="6"/>
      <c r="B1140" s="46"/>
      <c r="C1140" s="4"/>
      <c r="D1140" s="5"/>
    </row>
    <row r="1141" spans="1:4" s="42" customFormat="1" x14ac:dyDescent="0.2">
      <c r="A1141" s="6"/>
      <c r="B1141" s="46"/>
      <c r="C1141" s="4"/>
      <c r="D1141" s="5"/>
    </row>
    <row r="1142" spans="1:4" s="42" customFormat="1" x14ac:dyDescent="0.2">
      <c r="A1142" s="6"/>
      <c r="B1142" s="46"/>
      <c r="C1142" s="4"/>
      <c r="D1142" s="5"/>
    </row>
    <row r="1143" spans="1:4" s="42" customFormat="1" x14ac:dyDescent="0.2">
      <c r="A1143" s="6"/>
      <c r="B1143" s="46"/>
      <c r="C1143" s="4"/>
      <c r="D1143" s="5"/>
    </row>
    <row r="1144" spans="1:4" s="42" customFormat="1" x14ac:dyDescent="0.2">
      <c r="A1144" s="6"/>
      <c r="B1144" s="46"/>
      <c r="C1144" s="4"/>
      <c r="D1144" s="5"/>
    </row>
    <row r="1145" spans="1:4" s="42" customFormat="1" x14ac:dyDescent="0.2">
      <c r="A1145" s="6"/>
      <c r="B1145" s="46"/>
      <c r="C1145" s="4"/>
      <c r="D1145" s="5"/>
    </row>
    <row r="1146" spans="1:4" s="42" customFormat="1" x14ac:dyDescent="0.2">
      <c r="A1146" s="6"/>
      <c r="B1146" s="46"/>
      <c r="C1146" s="4"/>
      <c r="D1146" s="5"/>
    </row>
    <row r="1147" spans="1:4" s="42" customFormat="1" x14ac:dyDescent="0.2">
      <c r="A1147" s="6"/>
      <c r="B1147" s="46"/>
      <c r="C1147" s="4"/>
      <c r="D1147" s="5"/>
    </row>
    <row r="1148" spans="1:4" s="42" customFormat="1" x14ac:dyDescent="0.2">
      <c r="A1148" s="6"/>
      <c r="B1148" s="46"/>
      <c r="C1148" s="4"/>
      <c r="D1148" s="5"/>
    </row>
    <row r="1149" spans="1:4" s="42" customFormat="1" x14ac:dyDescent="0.2">
      <c r="A1149" s="6"/>
      <c r="B1149" s="46"/>
      <c r="C1149" s="4"/>
      <c r="D1149" s="5"/>
    </row>
    <row r="1150" spans="1:4" s="42" customFormat="1" x14ac:dyDescent="0.2">
      <c r="A1150" s="6"/>
      <c r="B1150" s="46"/>
      <c r="C1150" s="4"/>
      <c r="D1150" s="5"/>
    </row>
    <row r="1151" spans="1:4" s="42" customFormat="1" x14ac:dyDescent="0.2">
      <c r="A1151" s="6"/>
      <c r="B1151" s="46"/>
      <c r="C1151" s="4"/>
      <c r="D1151" s="5"/>
    </row>
    <row r="1152" spans="1:4" s="42" customFormat="1" x14ac:dyDescent="0.2">
      <c r="A1152" s="6"/>
      <c r="B1152" s="46"/>
      <c r="C1152" s="4"/>
      <c r="D1152" s="5"/>
    </row>
    <row r="1153" spans="1:4" s="42" customFormat="1" x14ac:dyDescent="0.2">
      <c r="A1153" s="6"/>
      <c r="B1153" s="46"/>
      <c r="C1153" s="4"/>
      <c r="D1153" s="5"/>
    </row>
    <row r="1154" spans="1:4" s="42" customFormat="1" x14ac:dyDescent="0.2">
      <c r="A1154" s="6"/>
      <c r="B1154" s="46"/>
      <c r="C1154" s="4"/>
      <c r="D1154" s="5"/>
    </row>
    <row r="1155" spans="1:4" s="42" customFormat="1" x14ac:dyDescent="0.2">
      <c r="A1155" s="6"/>
      <c r="B1155" s="46"/>
      <c r="C1155" s="4"/>
      <c r="D1155" s="5"/>
    </row>
    <row r="1156" spans="1:4" s="42" customFormat="1" x14ac:dyDescent="0.2">
      <c r="A1156" s="6"/>
      <c r="B1156" s="46"/>
      <c r="C1156" s="4"/>
      <c r="D1156" s="5"/>
    </row>
    <row r="1157" spans="1:4" s="42" customFormat="1" x14ac:dyDescent="0.2">
      <c r="A1157" s="6"/>
      <c r="B1157" s="46"/>
      <c r="C1157" s="4"/>
      <c r="D1157" s="5"/>
    </row>
    <row r="1158" spans="1:4" s="42" customFormat="1" x14ac:dyDescent="0.2">
      <c r="A1158" s="6"/>
      <c r="B1158" s="46"/>
      <c r="C1158" s="4"/>
      <c r="D1158" s="5"/>
    </row>
    <row r="1159" spans="1:4" s="42" customFormat="1" x14ac:dyDescent="0.2">
      <c r="A1159" s="6"/>
      <c r="B1159" s="46"/>
      <c r="C1159" s="4"/>
      <c r="D1159" s="5"/>
    </row>
    <row r="1160" spans="1:4" s="42" customFormat="1" x14ac:dyDescent="0.2">
      <c r="A1160" s="6"/>
      <c r="B1160" s="46"/>
      <c r="C1160" s="4"/>
      <c r="D1160" s="5"/>
    </row>
    <row r="1161" spans="1:4" s="42" customFormat="1" x14ac:dyDescent="0.2">
      <c r="A1161" s="6"/>
      <c r="B1161" s="46"/>
      <c r="C1161" s="4"/>
      <c r="D1161" s="5"/>
    </row>
    <row r="1162" spans="1:4" s="42" customFormat="1" x14ac:dyDescent="0.2">
      <c r="A1162" s="6"/>
      <c r="B1162" s="46"/>
      <c r="C1162" s="4"/>
      <c r="D1162" s="5"/>
    </row>
    <row r="1163" spans="1:4" s="42" customFormat="1" x14ac:dyDescent="0.2">
      <c r="A1163" s="6"/>
      <c r="B1163" s="46"/>
      <c r="C1163" s="4"/>
      <c r="D1163" s="5"/>
    </row>
    <row r="1164" spans="1:4" s="42" customFormat="1" x14ac:dyDescent="0.2">
      <c r="A1164" s="6"/>
      <c r="B1164" s="46"/>
      <c r="C1164" s="4"/>
      <c r="D1164" s="5"/>
    </row>
    <row r="1165" spans="1:4" s="42" customFormat="1" x14ac:dyDescent="0.2">
      <c r="A1165" s="6"/>
      <c r="B1165" s="46"/>
      <c r="C1165" s="4"/>
      <c r="D1165" s="5"/>
    </row>
    <row r="1166" spans="1:4" s="42" customFormat="1" x14ac:dyDescent="0.2">
      <c r="A1166" s="6"/>
      <c r="B1166" s="46"/>
      <c r="C1166" s="4"/>
      <c r="D1166" s="5"/>
    </row>
    <row r="1167" spans="1:4" s="42" customFormat="1" x14ac:dyDescent="0.2">
      <c r="A1167" s="6"/>
      <c r="B1167" s="46"/>
      <c r="C1167" s="4"/>
      <c r="D1167" s="5"/>
    </row>
    <row r="1168" spans="1:4" s="42" customFormat="1" x14ac:dyDescent="0.2">
      <c r="A1168" s="6"/>
      <c r="B1168" s="46"/>
      <c r="C1168" s="4"/>
      <c r="D1168" s="5"/>
    </row>
    <row r="1169" spans="1:4" s="42" customFormat="1" x14ac:dyDescent="0.2">
      <c r="A1169" s="6"/>
      <c r="B1169" s="46"/>
      <c r="C1169" s="4"/>
      <c r="D1169" s="5"/>
    </row>
    <row r="1170" spans="1:4" s="42" customFormat="1" x14ac:dyDescent="0.2">
      <c r="A1170" s="6"/>
      <c r="B1170" s="46"/>
      <c r="C1170" s="4"/>
      <c r="D1170" s="5"/>
    </row>
    <row r="1171" spans="1:4" s="42" customFormat="1" x14ac:dyDescent="0.2">
      <c r="A1171" s="6"/>
      <c r="B1171" s="46"/>
      <c r="C1171" s="4"/>
      <c r="D1171" s="5"/>
    </row>
    <row r="1172" spans="1:4" s="42" customFormat="1" x14ac:dyDescent="0.2">
      <c r="A1172" s="6"/>
      <c r="B1172" s="46"/>
      <c r="C1172" s="4"/>
      <c r="D1172" s="5"/>
    </row>
    <row r="1173" spans="1:4" s="42" customFormat="1" x14ac:dyDescent="0.2">
      <c r="A1173" s="6"/>
      <c r="B1173" s="46"/>
      <c r="C1173" s="4"/>
      <c r="D1173" s="5"/>
    </row>
    <row r="1174" spans="1:4" s="42" customFormat="1" x14ac:dyDescent="0.2">
      <c r="A1174" s="6"/>
      <c r="B1174" s="46"/>
      <c r="C1174" s="4"/>
      <c r="D1174" s="5"/>
    </row>
    <row r="1175" spans="1:4" s="42" customFormat="1" x14ac:dyDescent="0.2">
      <c r="A1175" s="6"/>
      <c r="B1175" s="46"/>
      <c r="C1175" s="4"/>
      <c r="D1175" s="5"/>
    </row>
    <row r="1176" spans="1:4" s="42" customFormat="1" x14ac:dyDescent="0.2">
      <c r="A1176" s="6"/>
      <c r="B1176" s="46"/>
      <c r="C1176" s="4"/>
      <c r="D1176" s="5"/>
    </row>
    <row r="1177" spans="1:4" s="42" customFormat="1" x14ac:dyDescent="0.2">
      <c r="A1177" s="6"/>
      <c r="B1177" s="46"/>
      <c r="C1177" s="4"/>
      <c r="D1177" s="5"/>
    </row>
    <row r="1178" spans="1:4" s="42" customFormat="1" x14ac:dyDescent="0.2">
      <c r="A1178" s="6"/>
      <c r="B1178" s="46"/>
      <c r="C1178" s="4"/>
      <c r="D1178" s="5"/>
    </row>
    <row r="1179" spans="1:4" s="42" customFormat="1" x14ac:dyDescent="0.2">
      <c r="A1179" s="6"/>
      <c r="B1179" s="46"/>
      <c r="C1179" s="4"/>
      <c r="D1179" s="5"/>
    </row>
    <row r="1180" spans="1:4" s="42" customFormat="1" x14ac:dyDescent="0.2">
      <c r="A1180" s="6"/>
      <c r="B1180" s="46"/>
      <c r="C1180" s="4"/>
      <c r="D1180" s="5"/>
    </row>
    <row r="1181" spans="1:4" s="42" customFormat="1" x14ac:dyDescent="0.2">
      <c r="A1181" s="6"/>
      <c r="B1181" s="46"/>
      <c r="C1181" s="4"/>
      <c r="D1181" s="5"/>
    </row>
    <row r="1182" spans="1:4" s="42" customFormat="1" x14ac:dyDescent="0.2">
      <c r="A1182" s="6"/>
      <c r="B1182" s="46"/>
      <c r="C1182" s="4"/>
      <c r="D1182" s="5"/>
    </row>
    <row r="1183" spans="1:4" s="42" customFormat="1" x14ac:dyDescent="0.2">
      <c r="A1183" s="6"/>
      <c r="B1183" s="46"/>
      <c r="C1183" s="4"/>
      <c r="D1183" s="5"/>
    </row>
    <row r="1184" spans="1:4" s="42" customFormat="1" x14ac:dyDescent="0.2">
      <c r="A1184" s="6"/>
      <c r="B1184" s="46"/>
      <c r="C1184" s="4"/>
      <c r="D1184" s="5"/>
    </row>
    <row r="1185" spans="1:4" s="42" customFormat="1" x14ac:dyDescent="0.2">
      <c r="A1185" s="6"/>
      <c r="B1185" s="46"/>
      <c r="C1185" s="4"/>
      <c r="D1185" s="5"/>
    </row>
    <row r="1186" spans="1:4" s="42" customFormat="1" x14ac:dyDescent="0.2">
      <c r="A1186" s="6"/>
      <c r="B1186" s="46"/>
      <c r="C1186" s="4"/>
      <c r="D1186" s="5"/>
    </row>
    <row r="1187" spans="1:4" s="42" customFormat="1" x14ac:dyDescent="0.2">
      <c r="A1187" s="6"/>
      <c r="B1187" s="46"/>
      <c r="C1187" s="4"/>
      <c r="D1187" s="5"/>
    </row>
    <row r="1188" spans="1:4" s="42" customFormat="1" x14ac:dyDescent="0.2">
      <c r="A1188" s="6"/>
      <c r="B1188" s="46"/>
      <c r="C1188" s="4"/>
      <c r="D1188" s="5"/>
    </row>
    <row r="1189" spans="1:4" s="42" customFormat="1" x14ac:dyDescent="0.2">
      <c r="A1189" s="6"/>
      <c r="B1189" s="46"/>
      <c r="C1189" s="4"/>
      <c r="D1189" s="5"/>
    </row>
    <row r="1190" spans="1:4" s="42" customFormat="1" x14ac:dyDescent="0.2">
      <c r="A1190" s="6"/>
      <c r="B1190" s="46"/>
      <c r="C1190" s="4"/>
      <c r="D1190" s="5"/>
    </row>
    <row r="1191" spans="1:4" s="42" customFormat="1" x14ac:dyDescent="0.2">
      <c r="A1191" s="6"/>
      <c r="B1191" s="46"/>
      <c r="C1191" s="4"/>
      <c r="D1191" s="5"/>
    </row>
    <row r="1192" spans="1:4" s="42" customFormat="1" x14ac:dyDescent="0.2">
      <c r="A1192" s="6"/>
      <c r="B1192" s="46"/>
      <c r="C1192" s="4"/>
      <c r="D1192" s="5"/>
    </row>
    <row r="1193" spans="1:4" s="42" customFormat="1" x14ac:dyDescent="0.2">
      <c r="A1193" s="6"/>
      <c r="B1193" s="46"/>
      <c r="C1193" s="4"/>
      <c r="D1193" s="5"/>
    </row>
    <row r="1194" spans="1:4" s="42" customFormat="1" x14ac:dyDescent="0.2">
      <c r="A1194" s="6"/>
      <c r="B1194" s="46"/>
      <c r="C1194" s="4"/>
      <c r="D1194" s="5"/>
    </row>
    <row r="1195" spans="1:4" s="42" customFormat="1" x14ac:dyDescent="0.2">
      <c r="A1195" s="6"/>
      <c r="B1195" s="46"/>
      <c r="C1195" s="4"/>
      <c r="D1195" s="5"/>
    </row>
    <row r="1196" spans="1:4" s="42" customFormat="1" x14ac:dyDescent="0.2">
      <c r="A1196" s="6"/>
      <c r="B1196" s="46"/>
      <c r="C1196" s="4"/>
      <c r="D1196" s="5"/>
    </row>
    <row r="1197" spans="1:4" s="42" customFormat="1" x14ac:dyDescent="0.2">
      <c r="A1197" s="6"/>
      <c r="B1197" s="46"/>
      <c r="C1197" s="4"/>
      <c r="D1197" s="5"/>
    </row>
    <row r="1198" spans="1:4" s="42" customFormat="1" x14ac:dyDescent="0.2">
      <c r="A1198" s="6"/>
      <c r="B1198" s="46"/>
      <c r="C1198" s="4"/>
      <c r="D1198" s="5"/>
    </row>
    <row r="1199" spans="1:4" s="42" customFormat="1" x14ac:dyDescent="0.2">
      <c r="A1199" s="6"/>
      <c r="B1199" s="46"/>
      <c r="C1199" s="4"/>
      <c r="D1199" s="5"/>
    </row>
    <row r="1200" spans="1:4" s="42" customFormat="1" x14ac:dyDescent="0.2">
      <c r="A1200" s="6"/>
      <c r="B1200" s="46"/>
      <c r="C1200" s="4"/>
      <c r="D1200" s="5"/>
    </row>
    <row r="1201" spans="1:4" s="42" customFormat="1" x14ac:dyDescent="0.2">
      <c r="A1201" s="6"/>
      <c r="B1201" s="46"/>
      <c r="C1201" s="4"/>
      <c r="D1201" s="5"/>
    </row>
    <row r="1202" spans="1:4" s="42" customFormat="1" x14ac:dyDescent="0.2">
      <c r="A1202" s="6"/>
      <c r="B1202" s="46"/>
      <c r="C1202" s="4"/>
      <c r="D1202" s="5"/>
    </row>
    <row r="1203" spans="1:4" s="42" customFormat="1" x14ac:dyDescent="0.2">
      <c r="A1203" s="6"/>
      <c r="B1203" s="46"/>
      <c r="C1203" s="4"/>
      <c r="D1203" s="5"/>
    </row>
  </sheetData>
  <conditionalFormatting sqref="D692:D75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FF0000"/>
  </sheetPr>
  <dimension ref="A1:WVL1083"/>
  <sheetViews>
    <sheetView tabSelected="1" zoomScale="160" zoomScaleNormal="160" workbookViewId="0">
      <pane ySplit="4" topLeftCell="A696" activePane="bottomLeft" state="frozen"/>
      <selection pane="bottomLeft" activeCell="W747" sqref="W747"/>
    </sheetView>
  </sheetViews>
  <sheetFormatPr baseColWidth="10" defaultColWidth="8.83203125" defaultRowHeight="15" x14ac:dyDescent="0.2"/>
  <cols>
    <col min="1" max="1" width="10.83203125" style="3" customWidth="1"/>
    <col min="2" max="2" width="18.1640625" style="44" customWidth="1"/>
    <col min="3" max="3" width="15" style="1" customWidth="1"/>
    <col min="4" max="4" width="13" style="2" customWidth="1"/>
    <col min="5" max="6" width="9.1640625" style="13" customWidth="1"/>
    <col min="7" max="122" width="9.1640625" style="42" customWidth="1"/>
    <col min="253" max="253" width="10.83203125" style="34" customWidth="1"/>
    <col min="254" max="254" width="18.1640625" style="34" customWidth="1"/>
    <col min="255" max="255" width="15" style="34" customWidth="1"/>
    <col min="256" max="259" width="13" style="34" customWidth="1"/>
    <col min="260" max="260" width="17.6640625" style="34" customWidth="1"/>
    <col min="509" max="509" width="10.83203125" style="34" customWidth="1"/>
    <col min="510" max="510" width="18.1640625" style="34" customWidth="1"/>
    <col min="511" max="511" width="15" style="34" customWidth="1"/>
    <col min="512" max="515" width="13" style="34" customWidth="1"/>
    <col min="516" max="516" width="17.6640625" style="34" customWidth="1"/>
    <col min="765" max="765" width="10.83203125" style="34" customWidth="1"/>
    <col min="766" max="766" width="18.1640625" style="34" customWidth="1"/>
    <col min="767" max="767" width="15" style="34" customWidth="1"/>
    <col min="768" max="771" width="13" style="34" customWidth="1"/>
    <col min="772" max="772" width="17.6640625" style="34" customWidth="1"/>
    <col min="1021" max="1021" width="10.83203125" style="34" customWidth="1"/>
    <col min="1022" max="1022" width="18.1640625" style="34" customWidth="1"/>
    <col min="1023" max="1023" width="15" style="34" customWidth="1"/>
    <col min="1024" max="1027" width="13" style="34" customWidth="1"/>
    <col min="1028" max="1028" width="17.6640625" style="34" customWidth="1"/>
    <col min="1277" max="1277" width="10.83203125" style="34" customWidth="1"/>
    <col min="1278" max="1278" width="18.1640625" style="34" customWidth="1"/>
    <col min="1279" max="1279" width="15" style="34" customWidth="1"/>
    <col min="1280" max="1283" width="13" style="34" customWidth="1"/>
    <col min="1284" max="1284" width="17.6640625" style="34" customWidth="1"/>
    <col min="1533" max="1533" width="10.83203125" style="34" customWidth="1"/>
    <col min="1534" max="1534" width="18.1640625" style="34" customWidth="1"/>
    <col min="1535" max="1535" width="15" style="34" customWidth="1"/>
    <col min="1536" max="1539" width="13" style="34" customWidth="1"/>
    <col min="1540" max="1540" width="17.6640625" style="34" customWidth="1"/>
    <col min="1789" max="1789" width="10.83203125" style="34" customWidth="1"/>
    <col min="1790" max="1790" width="18.1640625" style="34" customWidth="1"/>
    <col min="1791" max="1791" width="15" style="34" customWidth="1"/>
    <col min="1792" max="1795" width="13" style="34" customWidth="1"/>
    <col min="1796" max="1796" width="17.6640625" style="34" customWidth="1"/>
    <col min="2045" max="2045" width="10.83203125" style="34" customWidth="1"/>
    <col min="2046" max="2046" width="18.1640625" style="34" customWidth="1"/>
    <col min="2047" max="2047" width="15" style="34" customWidth="1"/>
    <col min="2048" max="2051" width="13" style="34" customWidth="1"/>
    <col min="2052" max="2052" width="17.6640625" style="34" customWidth="1"/>
    <col min="2301" max="2301" width="10.83203125" style="34" customWidth="1"/>
    <col min="2302" max="2302" width="18.1640625" style="34" customWidth="1"/>
    <col min="2303" max="2303" width="15" style="34" customWidth="1"/>
    <col min="2304" max="2307" width="13" style="34" customWidth="1"/>
    <col min="2308" max="2308" width="17.6640625" style="34" customWidth="1"/>
    <col min="2557" max="2557" width="10.83203125" style="34" customWidth="1"/>
    <col min="2558" max="2558" width="18.1640625" style="34" customWidth="1"/>
    <col min="2559" max="2559" width="15" style="34" customWidth="1"/>
    <col min="2560" max="2563" width="13" style="34" customWidth="1"/>
    <col min="2564" max="2564" width="17.6640625" style="34" customWidth="1"/>
    <col min="2813" max="2813" width="10.83203125" style="34" customWidth="1"/>
    <col min="2814" max="2814" width="18.1640625" style="34" customWidth="1"/>
    <col min="2815" max="2815" width="15" style="34" customWidth="1"/>
    <col min="2816" max="2819" width="13" style="34" customWidth="1"/>
    <col min="2820" max="2820" width="17.6640625" style="34" customWidth="1"/>
    <col min="3069" max="3069" width="10.83203125" style="34" customWidth="1"/>
    <col min="3070" max="3070" width="18.1640625" style="34" customWidth="1"/>
    <col min="3071" max="3071" width="15" style="34" customWidth="1"/>
    <col min="3072" max="3075" width="13" style="34" customWidth="1"/>
    <col min="3076" max="3076" width="17.6640625" style="34" customWidth="1"/>
    <col min="3325" max="3325" width="10.83203125" style="34" customWidth="1"/>
    <col min="3326" max="3326" width="18.1640625" style="34" customWidth="1"/>
    <col min="3327" max="3327" width="15" style="34" customWidth="1"/>
    <col min="3328" max="3331" width="13" style="34" customWidth="1"/>
    <col min="3332" max="3332" width="17.6640625" style="34" customWidth="1"/>
    <col min="3581" max="3581" width="10.83203125" style="34" customWidth="1"/>
    <col min="3582" max="3582" width="18.1640625" style="34" customWidth="1"/>
    <col min="3583" max="3583" width="15" style="34" customWidth="1"/>
    <col min="3584" max="3587" width="13" style="34" customWidth="1"/>
    <col min="3588" max="3588" width="17.6640625" style="34" customWidth="1"/>
    <col min="3837" max="3837" width="10.83203125" style="34" customWidth="1"/>
    <col min="3838" max="3838" width="18.1640625" style="34" customWidth="1"/>
    <col min="3839" max="3839" width="15" style="34" customWidth="1"/>
    <col min="3840" max="3843" width="13" style="34" customWidth="1"/>
    <col min="3844" max="3844" width="17.6640625" style="34" customWidth="1"/>
    <col min="4093" max="4093" width="10.83203125" style="34" customWidth="1"/>
    <col min="4094" max="4094" width="18.1640625" style="34" customWidth="1"/>
    <col min="4095" max="4095" width="15" style="34" customWidth="1"/>
    <col min="4096" max="4099" width="13" style="34" customWidth="1"/>
    <col min="4100" max="4100" width="17.6640625" style="34" customWidth="1"/>
    <col min="4349" max="4349" width="10.83203125" style="34" customWidth="1"/>
    <col min="4350" max="4350" width="18.1640625" style="34" customWidth="1"/>
    <col min="4351" max="4351" width="15" style="34" customWidth="1"/>
    <col min="4352" max="4355" width="13" style="34" customWidth="1"/>
    <col min="4356" max="4356" width="17.6640625" style="34" customWidth="1"/>
    <col min="4605" max="4605" width="10.83203125" style="34" customWidth="1"/>
    <col min="4606" max="4606" width="18.1640625" style="34" customWidth="1"/>
    <col min="4607" max="4607" width="15" style="34" customWidth="1"/>
    <col min="4608" max="4611" width="13" style="34" customWidth="1"/>
    <col min="4612" max="4612" width="17.6640625" style="34" customWidth="1"/>
    <col min="4861" max="4861" width="10.83203125" style="34" customWidth="1"/>
    <col min="4862" max="4862" width="18.1640625" style="34" customWidth="1"/>
    <col min="4863" max="4863" width="15" style="34" customWidth="1"/>
    <col min="4864" max="4867" width="13" style="34" customWidth="1"/>
    <col min="4868" max="4868" width="17.6640625" style="34" customWidth="1"/>
    <col min="5117" max="5117" width="10.83203125" style="34" customWidth="1"/>
    <col min="5118" max="5118" width="18.1640625" style="34" customWidth="1"/>
    <col min="5119" max="5119" width="15" style="34" customWidth="1"/>
    <col min="5120" max="5123" width="13" style="34" customWidth="1"/>
    <col min="5124" max="5124" width="17.6640625" style="34" customWidth="1"/>
    <col min="5373" max="5373" width="10.83203125" style="34" customWidth="1"/>
    <col min="5374" max="5374" width="18.1640625" style="34" customWidth="1"/>
    <col min="5375" max="5375" width="15" style="34" customWidth="1"/>
    <col min="5376" max="5379" width="13" style="34" customWidth="1"/>
    <col min="5380" max="5380" width="17.6640625" style="34" customWidth="1"/>
    <col min="5629" max="5629" width="10.83203125" style="34" customWidth="1"/>
    <col min="5630" max="5630" width="18.1640625" style="34" customWidth="1"/>
    <col min="5631" max="5631" width="15" style="34" customWidth="1"/>
    <col min="5632" max="5635" width="13" style="34" customWidth="1"/>
    <col min="5636" max="5636" width="17.6640625" style="34" customWidth="1"/>
    <col min="5885" max="5885" width="10.83203125" style="34" customWidth="1"/>
    <col min="5886" max="5886" width="18.1640625" style="34" customWidth="1"/>
    <col min="5887" max="5887" width="15" style="34" customWidth="1"/>
    <col min="5888" max="5891" width="13" style="34" customWidth="1"/>
    <col min="5892" max="5892" width="17.6640625" style="34" customWidth="1"/>
    <col min="6141" max="6141" width="10.83203125" style="34" customWidth="1"/>
    <col min="6142" max="6142" width="18.1640625" style="34" customWidth="1"/>
    <col min="6143" max="6143" width="15" style="34" customWidth="1"/>
    <col min="6144" max="6147" width="13" style="34" customWidth="1"/>
    <col min="6148" max="6148" width="17.6640625" style="34" customWidth="1"/>
    <col min="6397" max="6397" width="10.83203125" style="34" customWidth="1"/>
    <col min="6398" max="6398" width="18.1640625" style="34" customWidth="1"/>
    <col min="6399" max="6399" width="15" style="34" customWidth="1"/>
    <col min="6400" max="6403" width="13" style="34" customWidth="1"/>
    <col min="6404" max="6404" width="17.6640625" style="34" customWidth="1"/>
    <col min="6653" max="6653" width="10.83203125" style="34" customWidth="1"/>
    <col min="6654" max="6654" width="18.1640625" style="34" customWidth="1"/>
    <col min="6655" max="6655" width="15" style="34" customWidth="1"/>
    <col min="6656" max="6659" width="13" style="34" customWidth="1"/>
    <col min="6660" max="6660" width="17.6640625" style="34" customWidth="1"/>
    <col min="6909" max="6909" width="10.83203125" style="34" customWidth="1"/>
    <col min="6910" max="6910" width="18.1640625" style="34" customWidth="1"/>
    <col min="6911" max="6911" width="15" style="34" customWidth="1"/>
    <col min="6912" max="6915" width="13" style="34" customWidth="1"/>
    <col min="6916" max="6916" width="17.6640625" style="34" customWidth="1"/>
    <col min="7165" max="7165" width="10.83203125" style="34" customWidth="1"/>
    <col min="7166" max="7166" width="18.1640625" style="34" customWidth="1"/>
    <col min="7167" max="7167" width="15" style="34" customWidth="1"/>
    <col min="7168" max="7171" width="13" style="34" customWidth="1"/>
    <col min="7172" max="7172" width="17.6640625" style="34" customWidth="1"/>
    <col min="7421" max="7421" width="10.83203125" style="34" customWidth="1"/>
    <col min="7422" max="7422" width="18.1640625" style="34" customWidth="1"/>
    <col min="7423" max="7423" width="15" style="34" customWidth="1"/>
    <col min="7424" max="7427" width="13" style="34" customWidth="1"/>
    <col min="7428" max="7428" width="17.6640625" style="34" customWidth="1"/>
    <col min="7677" max="7677" width="10.83203125" style="34" customWidth="1"/>
    <col min="7678" max="7678" width="18.1640625" style="34" customWidth="1"/>
    <col min="7679" max="7679" width="15" style="34" customWidth="1"/>
    <col min="7680" max="7683" width="13" style="34" customWidth="1"/>
    <col min="7684" max="7684" width="17.6640625" style="34" customWidth="1"/>
    <col min="7933" max="7933" width="10.83203125" style="34" customWidth="1"/>
    <col min="7934" max="7934" width="18.1640625" style="34" customWidth="1"/>
    <col min="7935" max="7935" width="15" style="34" customWidth="1"/>
    <col min="7936" max="7939" width="13" style="34" customWidth="1"/>
    <col min="7940" max="7940" width="17.6640625" style="34" customWidth="1"/>
    <col min="8189" max="8189" width="10.83203125" style="34" customWidth="1"/>
    <col min="8190" max="8190" width="18.1640625" style="34" customWidth="1"/>
    <col min="8191" max="8191" width="15" style="34" customWidth="1"/>
    <col min="8192" max="8195" width="13" style="34" customWidth="1"/>
    <col min="8196" max="8196" width="17.6640625" style="34" customWidth="1"/>
    <col min="8445" max="8445" width="10.83203125" style="34" customWidth="1"/>
    <col min="8446" max="8446" width="18.1640625" style="34" customWidth="1"/>
    <col min="8447" max="8447" width="15" style="34" customWidth="1"/>
    <col min="8448" max="8451" width="13" style="34" customWidth="1"/>
    <col min="8452" max="8452" width="17.6640625" style="34" customWidth="1"/>
    <col min="8701" max="8701" width="10.83203125" style="34" customWidth="1"/>
    <col min="8702" max="8702" width="18.1640625" style="34" customWidth="1"/>
    <col min="8703" max="8703" width="15" style="34" customWidth="1"/>
    <col min="8704" max="8707" width="13" style="34" customWidth="1"/>
    <col min="8708" max="8708" width="17.6640625" style="34" customWidth="1"/>
    <col min="8957" max="8957" width="10.83203125" style="34" customWidth="1"/>
    <col min="8958" max="8958" width="18.1640625" style="34" customWidth="1"/>
    <col min="8959" max="8959" width="15" style="34" customWidth="1"/>
    <col min="8960" max="8963" width="13" style="34" customWidth="1"/>
    <col min="8964" max="8964" width="17.6640625" style="34" customWidth="1"/>
    <col min="9213" max="9213" width="10.83203125" style="34" customWidth="1"/>
    <col min="9214" max="9214" width="18.1640625" style="34" customWidth="1"/>
    <col min="9215" max="9215" width="15" style="34" customWidth="1"/>
    <col min="9216" max="9219" width="13" style="34" customWidth="1"/>
    <col min="9220" max="9220" width="17.6640625" style="34" customWidth="1"/>
    <col min="9469" max="9469" width="10.83203125" style="34" customWidth="1"/>
    <col min="9470" max="9470" width="18.1640625" style="34" customWidth="1"/>
    <col min="9471" max="9471" width="15" style="34" customWidth="1"/>
    <col min="9472" max="9475" width="13" style="34" customWidth="1"/>
    <col min="9476" max="9476" width="17.6640625" style="34" customWidth="1"/>
    <col min="9725" max="9725" width="10.83203125" style="34" customWidth="1"/>
    <col min="9726" max="9726" width="18.1640625" style="34" customWidth="1"/>
    <col min="9727" max="9727" width="15" style="34" customWidth="1"/>
    <col min="9728" max="9731" width="13" style="34" customWidth="1"/>
    <col min="9732" max="9732" width="17.6640625" style="34" customWidth="1"/>
    <col min="9981" max="9981" width="10.83203125" style="34" customWidth="1"/>
    <col min="9982" max="9982" width="18.1640625" style="34" customWidth="1"/>
    <col min="9983" max="9983" width="15" style="34" customWidth="1"/>
    <col min="9984" max="9987" width="13" style="34" customWidth="1"/>
    <col min="9988" max="9988" width="17.6640625" style="34" customWidth="1"/>
    <col min="10237" max="10237" width="10.83203125" style="34" customWidth="1"/>
    <col min="10238" max="10238" width="18.1640625" style="34" customWidth="1"/>
    <col min="10239" max="10239" width="15" style="34" customWidth="1"/>
    <col min="10240" max="10243" width="13" style="34" customWidth="1"/>
    <col min="10244" max="10244" width="17.6640625" style="34" customWidth="1"/>
    <col min="10493" max="10493" width="10.83203125" style="34" customWidth="1"/>
    <col min="10494" max="10494" width="18.1640625" style="34" customWidth="1"/>
    <col min="10495" max="10495" width="15" style="34" customWidth="1"/>
    <col min="10496" max="10499" width="13" style="34" customWidth="1"/>
    <col min="10500" max="10500" width="17.6640625" style="34" customWidth="1"/>
    <col min="10749" max="10749" width="10.83203125" style="34" customWidth="1"/>
    <col min="10750" max="10750" width="18.1640625" style="34" customWidth="1"/>
    <col min="10751" max="10751" width="15" style="34" customWidth="1"/>
    <col min="10752" max="10755" width="13" style="34" customWidth="1"/>
    <col min="10756" max="10756" width="17.6640625" style="34" customWidth="1"/>
    <col min="11005" max="11005" width="10.83203125" style="34" customWidth="1"/>
    <col min="11006" max="11006" width="18.1640625" style="34" customWidth="1"/>
    <col min="11007" max="11007" width="15" style="34" customWidth="1"/>
    <col min="11008" max="11011" width="13" style="34" customWidth="1"/>
    <col min="11012" max="11012" width="17.6640625" style="34" customWidth="1"/>
    <col min="11261" max="11261" width="10.83203125" style="34" customWidth="1"/>
    <col min="11262" max="11262" width="18.1640625" style="34" customWidth="1"/>
    <col min="11263" max="11263" width="15" style="34" customWidth="1"/>
    <col min="11264" max="11267" width="13" style="34" customWidth="1"/>
    <col min="11268" max="11268" width="17.6640625" style="34" customWidth="1"/>
    <col min="11517" max="11517" width="10.83203125" style="34" customWidth="1"/>
    <col min="11518" max="11518" width="18.1640625" style="34" customWidth="1"/>
    <col min="11519" max="11519" width="15" style="34" customWidth="1"/>
    <col min="11520" max="11523" width="13" style="34" customWidth="1"/>
    <col min="11524" max="11524" width="17.6640625" style="34" customWidth="1"/>
    <col min="11773" max="11773" width="10.83203125" style="34" customWidth="1"/>
    <col min="11774" max="11774" width="18.1640625" style="34" customWidth="1"/>
    <col min="11775" max="11775" width="15" style="34" customWidth="1"/>
    <col min="11776" max="11779" width="13" style="34" customWidth="1"/>
    <col min="11780" max="11780" width="17.6640625" style="34" customWidth="1"/>
    <col min="12029" max="12029" width="10.83203125" style="34" customWidth="1"/>
    <col min="12030" max="12030" width="18.1640625" style="34" customWidth="1"/>
    <col min="12031" max="12031" width="15" style="34" customWidth="1"/>
    <col min="12032" max="12035" width="13" style="34" customWidth="1"/>
    <col min="12036" max="12036" width="17.6640625" style="34" customWidth="1"/>
    <col min="12285" max="12285" width="10.83203125" style="34" customWidth="1"/>
    <col min="12286" max="12286" width="18.1640625" style="34" customWidth="1"/>
    <col min="12287" max="12287" width="15" style="34" customWidth="1"/>
    <col min="12288" max="12291" width="13" style="34" customWidth="1"/>
    <col min="12292" max="12292" width="17.6640625" style="34" customWidth="1"/>
    <col min="12541" max="12541" width="10.83203125" style="34" customWidth="1"/>
    <col min="12542" max="12542" width="18.1640625" style="34" customWidth="1"/>
    <col min="12543" max="12543" width="15" style="34" customWidth="1"/>
    <col min="12544" max="12547" width="13" style="34" customWidth="1"/>
    <col min="12548" max="12548" width="17.6640625" style="34" customWidth="1"/>
    <col min="12797" max="12797" width="10.83203125" style="34" customWidth="1"/>
    <col min="12798" max="12798" width="18.1640625" style="34" customWidth="1"/>
    <col min="12799" max="12799" width="15" style="34" customWidth="1"/>
    <col min="12800" max="12803" width="13" style="34" customWidth="1"/>
    <col min="12804" max="12804" width="17.6640625" style="34" customWidth="1"/>
    <col min="13053" max="13053" width="10.83203125" style="34" customWidth="1"/>
    <col min="13054" max="13054" width="18.1640625" style="34" customWidth="1"/>
    <col min="13055" max="13055" width="15" style="34" customWidth="1"/>
    <col min="13056" max="13059" width="13" style="34" customWidth="1"/>
    <col min="13060" max="13060" width="17.6640625" style="34" customWidth="1"/>
    <col min="13309" max="13309" width="10.83203125" style="34" customWidth="1"/>
    <col min="13310" max="13310" width="18.1640625" style="34" customWidth="1"/>
    <col min="13311" max="13311" width="15" style="34" customWidth="1"/>
    <col min="13312" max="13315" width="13" style="34" customWidth="1"/>
    <col min="13316" max="13316" width="17.6640625" style="34" customWidth="1"/>
    <col min="13565" max="13565" width="10.83203125" style="34" customWidth="1"/>
    <col min="13566" max="13566" width="18.1640625" style="34" customWidth="1"/>
    <col min="13567" max="13567" width="15" style="34" customWidth="1"/>
    <col min="13568" max="13571" width="13" style="34" customWidth="1"/>
    <col min="13572" max="13572" width="17.6640625" style="34" customWidth="1"/>
    <col min="13821" max="13821" width="10.83203125" style="34" customWidth="1"/>
    <col min="13822" max="13822" width="18.1640625" style="34" customWidth="1"/>
    <col min="13823" max="13823" width="15" style="34" customWidth="1"/>
    <col min="13824" max="13827" width="13" style="34" customWidth="1"/>
    <col min="13828" max="13828" width="17.6640625" style="34" customWidth="1"/>
    <col min="14077" max="14077" width="10.83203125" style="34" customWidth="1"/>
    <col min="14078" max="14078" width="18.1640625" style="34" customWidth="1"/>
    <col min="14079" max="14079" width="15" style="34" customWidth="1"/>
    <col min="14080" max="14083" width="13" style="34" customWidth="1"/>
    <col min="14084" max="14084" width="17.6640625" style="34" customWidth="1"/>
    <col min="14333" max="14333" width="10.83203125" style="34" customWidth="1"/>
    <col min="14334" max="14334" width="18.1640625" style="34" customWidth="1"/>
    <col min="14335" max="14335" width="15" style="34" customWidth="1"/>
    <col min="14336" max="14339" width="13" style="34" customWidth="1"/>
    <col min="14340" max="14340" width="17.6640625" style="34" customWidth="1"/>
    <col min="14589" max="14589" width="10.83203125" style="34" customWidth="1"/>
    <col min="14590" max="14590" width="18.1640625" style="34" customWidth="1"/>
    <col min="14591" max="14591" width="15" style="34" customWidth="1"/>
    <col min="14592" max="14595" width="13" style="34" customWidth="1"/>
    <col min="14596" max="14596" width="17.6640625" style="34" customWidth="1"/>
    <col min="14845" max="14845" width="10.83203125" style="34" customWidth="1"/>
    <col min="14846" max="14846" width="18.1640625" style="34" customWidth="1"/>
    <col min="14847" max="14847" width="15" style="34" customWidth="1"/>
    <col min="14848" max="14851" width="13" style="34" customWidth="1"/>
    <col min="14852" max="14852" width="17.6640625" style="34" customWidth="1"/>
    <col min="15101" max="15101" width="10.83203125" style="34" customWidth="1"/>
    <col min="15102" max="15102" width="18.1640625" style="34" customWidth="1"/>
    <col min="15103" max="15103" width="15" style="34" customWidth="1"/>
    <col min="15104" max="15107" width="13" style="34" customWidth="1"/>
    <col min="15108" max="15108" width="17.6640625" style="34" customWidth="1"/>
    <col min="15357" max="15357" width="10.83203125" style="34" customWidth="1"/>
    <col min="15358" max="15358" width="18.1640625" style="34" customWidth="1"/>
    <col min="15359" max="15359" width="15" style="34" customWidth="1"/>
    <col min="15360" max="15363" width="13" style="34" customWidth="1"/>
    <col min="15364" max="15364" width="17.6640625" style="34" customWidth="1"/>
    <col min="15613" max="15613" width="10.83203125" style="34" customWidth="1"/>
    <col min="15614" max="15614" width="18.1640625" style="34" customWidth="1"/>
    <col min="15615" max="15615" width="15" style="34" customWidth="1"/>
    <col min="15616" max="15619" width="13" style="34" customWidth="1"/>
    <col min="15620" max="15620" width="17.6640625" style="34" customWidth="1"/>
    <col min="15869" max="15869" width="10.83203125" style="34" customWidth="1"/>
    <col min="15870" max="15870" width="18.1640625" style="34" customWidth="1"/>
    <col min="15871" max="15871" width="15" style="34" customWidth="1"/>
    <col min="15872" max="15875" width="13" style="34" customWidth="1"/>
    <col min="15876" max="15876" width="17.6640625" style="34" customWidth="1"/>
    <col min="16125" max="16125" width="10.83203125" style="34" customWidth="1"/>
    <col min="16126" max="16126" width="18.1640625" style="34" customWidth="1"/>
    <col min="16127" max="16127" width="15" style="34" customWidth="1"/>
    <col min="16128" max="16131" width="13" style="34" customWidth="1"/>
    <col min="16132" max="16132" width="17.6640625" style="34" customWidth="1"/>
  </cols>
  <sheetData>
    <row r="1" spans="1:11" s="42" customFormat="1" x14ac:dyDescent="0.2">
      <c r="A1" s="45" t="s">
        <v>2</v>
      </c>
      <c r="B1" s="46"/>
      <c r="C1" s="4"/>
      <c r="D1" s="5"/>
      <c r="E1" s="12"/>
      <c r="F1" s="12"/>
    </row>
    <row r="2" spans="1:11" s="42" customFormat="1" x14ac:dyDescent="0.2">
      <c r="A2" s="14" t="s">
        <v>10</v>
      </c>
      <c r="B2" s="47"/>
      <c r="C2" s="4"/>
      <c r="D2" s="5"/>
      <c r="E2" s="12"/>
      <c r="F2" s="12"/>
      <c r="H2" s="48"/>
      <c r="J2" s="11"/>
    </row>
    <row r="3" spans="1:11" s="42" customFormat="1" ht="16" customHeight="1" thickBot="1" x14ac:dyDescent="0.25">
      <c r="A3" s="6"/>
      <c r="B3" s="46"/>
      <c r="C3" s="4"/>
      <c r="D3" s="5"/>
      <c r="E3" s="12"/>
      <c r="F3" s="12" t="s">
        <v>11</v>
      </c>
      <c r="K3" s="35"/>
    </row>
    <row r="4" spans="1:11" ht="30.75" customHeight="1" x14ac:dyDescent="0.2">
      <c r="A4" s="18" t="s">
        <v>6</v>
      </c>
      <c r="B4" s="50" t="s">
        <v>7</v>
      </c>
      <c r="C4" s="19" t="s">
        <v>8</v>
      </c>
      <c r="D4" s="20" t="s">
        <v>9</v>
      </c>
      <c r="E4" s="21" t="s">
        <v>12</v>
      </c>
      <c r="F4" s="22" t="s">
        <v>13</v>
      </c>
    </row>
    <row r="5" spans="1:11" x14ac:dyDescent="0.2">
      <c r="A5" s="38">
        <v>21551</v>
      </c>
      <c r="B5" s="37">
        <f>VLOOKUP(Table534567910[[#This Row],[Date]],Database!A:E,MATCH($A$1,Database!$A$1:$E$1,),)</f>
        <v>16.687999999999999</v>
      </c>
      <c r="C5" s="7"/>
      <c r="D5" s="7"/>
      <c r="E5" s="15"/>
      <c r="F5" s="15"/>
    </row>
    <row r="6" spans="1:11" x14ac:dyDescent="0.2">
      <c r="A6" s="38">
        <v>21582</v>
      </c>
      <c r="B6" s="37">
        <f>VLOOKUP(Table534567910[[#This Row],[Date]],Database!A:E,MATCH($A$1,Database!$A$1:$E$1,),)</f>
        <v>16.701000000000001</v>
      </c>
      <c r="C6" s="8">
        <f t="shared" ref="C6:C69" si="0">(B6-B5)/B5</f>
        <v>7.7900287631841312E-4</v>
      </c>
      <c r="D6" s="7"/>
      <c r="E6" s="15"/>
      <c r="F6" s="15"/>
    </row>
    <row r="7" spans="1:11" x14ac:dyDescent="0.2">
      <c r="A7" s="38">
        <v>21610</v>
      </c>
      <c r="B7" s="37">
        <f>VLOOKUP(Table534567910[[#This Row],[Date]],Database!A:E,MATCH($A$1,Database!$A$1:$E$1,),)</f>
        <v>16.719000000000001</v>
      </c>
      <c r="C7" s="8">
        <f t="shared" si="0"/>
        <v>1.0777797736662884E-3</v>
      </c>
      <c r="D7" s="7"/>
      <c r="E7" s="15"/>
      <c r="F7" s="15"/>
    </row>
    <row r="8" spans="1:11" x14ac:dyDescent="0.2">
      <c r="A8" s="38">
        <v>21641</v>
      </c>
      <c r="B8" s="37">
        <f>VLOOKUP(Table534567910[[#This Row],[Date]],Database!A:E,MATCH($A$1,Database!$A$1:$E$1,),)</f>
        <v>16.762</v>
      </c>
      <c r="C8" s="8">
        <f t="shared" si="0"/>
        <v>2.5719241581433853E-3</v>
      </c>
      <c r="D8" s="7"/>
      <c r="E8" s="15"/>
      <c r="F8" s="15"/>
    </row>
    <row r="9" spans="1:11" x14ac:dyDescent="0.2">
      <c r="A9" s="38">
        <v>21671</v>
      </c>
      <c r="B9" s="37">
        <f>VLOOKUP(Table534567910[[#This Row],[Date]],Database!A:E,MATCH($A$1,Database!$A$1:$E$1,),)</f>
        <v>16.783000000000001</v>
      </c>
      <c r="C9" s="8">
        <f t="shared" si="0"/>
        <v>1.2528337907171457E-3</v>
      </c>
      <c r="D9" s="7"/>
      <c r="E9" s="15"/>
      <c r="F9" s="15"/>
    </row>
    <row r="10" spans="1:11" x14ac:dyDescent="0.2">
      <c r="A10" s="38">
        <v>21702</v>
      </c>
      <c r="B10" s="37">
        <f>VLOOKUP(Table534567910[[#This Row],[Date]],Database!A:E,MATCH($A$1,Database!$A$1:$E$1,),)</f>
        <v>16.832000000000001</v>
      </c>
      <c r="C10" s="8">
        <f t="shared" si="0"/>
        <v>2.9196210451051352E-3</v>
      </c>
      <c r="D10" s="7"/>
      <c r="E10" s="15"/>
      <c r="F10" s="15"/>
    </row>
    <row r="11" spans="1:11" x14ac:dyDescent="0.2">
      <c r="A11" s="38">
        <v>21732</v>
      </c>
      <c r="B11" s="37">
        <f>VLOOKUP(Table534567910[[#This Row],[Date]],Database!A:E,MATCH($A$1,Database!$A$1:$E$1,),)</f>
        <v>16.870999999999999</v>
      </c>
      <c r="C11" s="8">
        <f t="shared" si="0"/>
        <v>2.317015209125352E-3</v>
      </c>
      <c r="D11" s="7"/>
      <c r="E11" s="15"/>
      <c r="F11" s="15"/>
    </row>
    <row r="12" spans="1:11" x14ac:dyDescent="0.2">
      <c r="A12" s="38">
        <v>21763</v>
      </c>
      <c r="B12" s="37">
        <f>VLOOKUP(Table534567910[[#This Row],[Date]],Database!A:E,MATCH($A$1,Database!$A$1:$E$1,),)</f>
        <v>16.899000000000001</v>
      </c>
      <c r="C12" s="8">
        <f t="shared" si="0"/>
        <v>1.6596526584080522E-3</v>
      </c>
      <c r="D12" s="7"/>
      <c r="E12" s="15"/>
      <c r="F12" s="15"/>
    </row>
    <row r="13" spans="1:11" x14ac:dyDescent="0.2">
      <c r="A13" s="38">
        <v>21794</v>
      </c>
      <c r="B13" s="37">
        <f>VLOOKUP(Table534567910[[#This Row],[Date]],Database!A:E,MATCH($A$1,Database!$A$1:$E$1,),)</f>
        <v>16.943000000000001</v>
      </c>
      <c r="C13" s="8">
        <f t="shared" si="0"/>
        <v>2.6037043612048335E-3</v>
      </c>
      <c r="D13" s="7"/>
      <c r="E13" s="15"/>
      <c r="F13" s="15"/>
    </row>
    <row r="14" spans="1:11" x14ac:dyDescent="0.2">
      <c r="A14" s="38">
        <v>21824</v>
      </c>
      <c r="B14" s="37">
        <f>VLOOKUP(Table534567910[[#This Row],[Date]],Database!A:E,MATCH($A$1,Database!$A$1:$E$1,),)</f>
        <v>16.972000000000001</v>
      </c>
      <c r="C14" s="8">
        <f t="shared" si="0"/>
        <v>1.7116213185386243E-3</v>
      </c>
      <c r="D14" s="7"/>
      <c r="E14" s="15"/>
      <c r="F14" s="15"/>
    </row>
    <row r="15" spans="1:11" x14ac:dyDescent="0.2">
      <c r="A15" s="38">
        <v>21855</v>
      </c>
      <c r="B15" s="37">
        <f>VLOOKUP(Table534567910[[#This Row],[Date]],Database!A:E,MATCH($A$1,Database!$A$1:$E$1,),)</f>
        <v>17.003</v>
      </c>
      <c r="C15" s="8">
        <f t="shared" si="0"/>
        <v>1.8265378270091212E-3</v>
      </c>
      <c r="D15" s="7"/>
      <c r="E15" s="15"/>
      <c r="F15" s="15"/>
    </row>
    <row r="16" spans="1:11" x14ac:dyDescent="0.2">
      <c r="A16" s="38">
        <v>21885</v>
      </c>
      <c r="B16" s="37">
        <f>VLOOKUP(Table534567910[[#This Row],[Date]],Database!A:E,MATCH($A$1,Database!$A$1:$E$1,),)</f>
        <v>17.029</v>
      </c>
      <c r="C16" s="8">
        <f t="shared" si="0"/>
        <v>1.5291419161324355E-3</v>
      </c>
      <c r="D16" s="7"/>
      <c r="E16" s="15"/>
      <c r="F16" s="15"/>
    </row>
    <row r="17" spans="1:6" x14ac:dyDescent="0.2">
      <c r="A17" s="38">
        <v>21916</v>
      </c>
      <c r="B17" s="37">
        <f>VLOOKUP(Table534567910[[#This Row],[Date]],Database!A:E,MATCH($A$1,Database!$A$1:$E$1,),)</f>
        <v>17.033000000000001</v>
      </c>
      <c r="C17" s="8">
        <f t="shared" si="0"/>
        <v>2.3489341711206387E-4</v>
      </c>
      <c r="D17" s="7">
        <f>(Table534567910[[#This Row],[Value]]-B5)/B5</f>
        <v>2.0673537871524594E-2</v>
      </c>
      <c r="E17" s="16">
        <v>0.02</v>
      </c>
      <c r="F17" s="15"/>
    </row>
    <row r="18" spans="1:6" x14ac:dyDescent="0.2">
      <c r="A18" s="38">
        <v>21947</v>
      </c>
      <c r="B18" s="37">
        <f>VLOOKUP(Table534567910[[#This Row],[Date]],Database!A:E,MATCH($A$1,Database!$A$1:$E$1,),)</f>
        <v>17.065000000000001</v>
      </c>
      <c r="C18" s="8">
        <f t="shared" si="0"/>
        <v>1.8787060412141154E-3</v>
      </c>
      <c r="D18" s="7">
        <f>(Table534567910[[#This Row],[Value]]-B6)/B6</f>
        <v>2.1795102089695272E-2</v>
      </c>
      <c r="E18" s="16">
        <v>0.02</v>
      </c>
      <c r="F18" s="15"/>
    </row>
    <row r="19" spans="1:6" x14ac:dyDescent="0.2">
      <c r="A19" s="38">
        <v>21976</v>
      </c>
      <c r="B19" s="37">
        <f>VLOOKUP(Table534567910[[#This Row],[Date]],Database!A:E,MATCH($A$1,Database!$A$1:$E$1,),)</f>
        <v>17.067</v>
      </c>
      <c r="C19" s="8">
        <f t="shared" si="0"/>
        <v>1.1719894520942815E-4</v>
      </c>
      <c r="D19" s="7">
        <f>(Table534567910[[#This Row],[Value]]-B7)/B7</f>
        <v>2.0814642024044438E-2</v>
      </c>
      <c r="E19" s="16">
        <v>0.02</v>
      </c>
      <c r="F19" s="15"/>
    </row>
    <row r="20" spans="1:6" x14ac:dyDescent="0.2">
      <c r="A20" s="38">
        <v>22007</v>
      </c>
      <c r="B20" s="37">
        <f>VLOOKUP(Table534567910[[#This Row],[Date]],Database!A:E,MATCH($A$1,Database!$A$1:$E$1,),)</f>
        <v>17.097999999999999</v>
      </c>
      <c r="C20" s="8">
        <f t="shared" si="0"/>
        <v>1.8163707740082502E-3</v>
      </c>
      <c r="D20" s="7">
        <f>(Table534567910[[#This Row],[Value]]-B8)/B8</f>
        <v>2.0045340651473481E-2</v>
      </c>
      <c r="E20" s="16">
        <v>0.02</v>
      </c>
      <c r="F20" s="15"/>
    </row>
    <row r="21" spans="1:6" x14ac:dyDescent="0.2">
      <c r="A21" s="38">
        <v>22037</v>
      </c>
      <c r="B21" s="37">
        <f>VLOOKUP(Table534567910[[#This Row],[Date]],Database!A:E,MATCH($A$1,Database!$A$1:$E$1,),)</f>
        <v>17.125</v>
      </c>
      <c r="C21" s="8">
        <f t="shared" si="0"/>
        <v>1.5791320622295605E-3</v>
      </c>
      <c r="D21" s="7">
        <f>(Table534567910[[#This Row],[Value]]-B9)/B9</f>
        <v>2.0377763212774756E-2</v>
      </c>
      <c r="E21" s="16">
        <v>0.02</v>
      </c>
      <c r="F21" s="15"/>
    </row>
    <row r="22" spans="1:6" x14ac:dyDescent="0.2">
      <c r="A22" s="38">
        <v>22068</v>
      </c>
      <c r="B22" s="37">
        <f>VLOOKUP(Table534567910[[#This Row],[Date]],Database!A:E,MATCH($A$1,Database!$A$1:$E$1,),)</f>
        <v>17.135999999999999</v>
      </c>
      <c r="C22" s="8">
        <f t="shared" si="0"/>
        <v>6.423357664233129E-4</v>
      </c>
      <c r="D22" s="7">
        <f>(Table534567910[[#This Row],[Value]]-B10)/B10</f>
        <v>1.8060836501901049E-2</v>
      </c>
      <c r="E22" s="16">
        <v>0.02</v>
      </c>
      <c r="F22" s="15"/>
    </row>
    <row r="23" spans="1:6" x14ac:dyDescent="0.2">
      <c r="A23" s="38">
        <v>22098</v>
      </c>
      <c r="B23" s="37">
        <f>VLOOKUP(Table534567910[[#This Row],[Date]],Database!A:E,MATCH($A$1,Database!$A$1:$E$1,),)</f>
        <v>17.166</v>
      </c>
      <c r="C23" s="8">
        <f t="shared" si="0"/>
        <v>1.7507002801121112E-3</v>
      </c>
      <c r="D23" s="7">
        <f>(Table534567910[[#This Row],[Value]]-B11)/B11</f>
        <v>1.7485626222512107E-2</v>
      </c>
      <c r="E23" s="16">
        <v>0.02</v>
      </c>
      <c r="F23" s="15"/>
    </row>
    <row r="24" spans="1:6" x14ac:dyDescent="0.2">
      <c r="A24" s="38">
        <v>22129</v>
      </c>
      <c r="B24" s="37">
        <f>VLOOKUP(Table534567910[[#This Row],[Date]],Database!A:E,MATCH($A$1,Database!$A$1:$E$1,),)</f>
        <v>17.190999999999999</v>
      </c>
      <c r="C24" s="8">
        <f t="shared" si="0"/>
        <v>1.4563672375625409E-3</v>
      </c>
      <c r="D24" s="7">
        <f>(Table534567910[[#This Row],[Value]]-B12)/B12</f>
        <v>1.7279128942540863E-2</v>
      </c>
      <c r="E24" s="16">
        <v>0.02</v>
      </c>
      <c r="F24" s="15"/>
    </row>
    <row r="25" spans="1:6" x14ac:dyDescent="0.2">
      <c r="A25" s="38">
        <v>22160</v>
      </c>
      <c r="B25" s="37">
        <f>VLOOKUP(Table534567910[[#This Row],[Date]],Database!A:E,MATCH($A$1,Database!$A$1:$E$1,),)</f>
        <v>17.204000000000001</v>
      </c>
      <c r="C25" s="8">
        <f t="shared" si="0"/>
        <v>7.5620964458156465E-4</v>
      </c>
      <c r="D25" s="7">
        <f>(Table534567910[[#This Row],[Value]]-B13)/B13</f>
        <v>1.5404591866847618E-2</v>
      </c>
      <c r="E25" s="16">
        <v>0.02</v>
      </c>
      <c r="F25" s="15"/>
    </row>
    <row r="26" spans="1:6" x14ac:dyDescent="0.2">
      <c r="A26" s="38">
        <v>22190</v>
      </c>
      <c r="B26" s="37">
        <f>VLOOKUP(Table534567910[[#This Row],[Date]],Database!A:E,MATCH($A$1,Database!$A$1:$E$1,),)</f>
        <v>17.213999999999999</v>
      </c>
      <c r="C26" s="8">
        <f t="shared" si="0"/>
        <v>5.8126017205289526E-4</v>
      </c>
      <c r="D26" s="7">
        <f>(Table534567910[[#This Row],[Value]]-B14)/B14</f>
        <v>1.4258779165684498E-2</v>
      </c>
      <c r="E26" s="16">
        <v>0.02</v>
      </c>
      <c r="F26" s="15"/>
    </row>
    <row r="27" spans="1:6" x14ac:dyDescent="0.2">
      <c r="A27" s="38">
        <v>22221</v>
      </c>
      <c r="B27" s="37">
        <f>VLOOKUP(Table534567910[[#This Row],[Date]],Database!A:E,MATCH($A$1,Database!$A$1:$E$1,),)</f>
        <v>17.260000000000002</v>
      </c>
      <c r="C27" s="8">
        <f t="shared" si="0"/>
        <v>2.6722435227142403E-3</v>
      </c>
      <c r="D27" s="7">
        <f>(Table534567910[[#This Row],[Value]]-B15)/B15</f>
        <v>1.5114979709463121E-2</v>
      </c>
      <c r="E27" s="16">
        <v>0.02</v>
      </c>
      <c r="F27" s="15"/>
    </row>
    <row r="28" spans="1:6" x14ac:dyDescent="0.2">
      <c r="A28" s="38">
        <v>22251</v>
      </c>
      <c r="B28" s="37">
        <f>VLOOKUP(Table534567910[[#This Row],[Date]],Database!A:E,MATCH($A$1,Database!$A$1:$E$1,),)</f>
        <v>17.254999999999999</v>
      </c>
      <c r="C28" s="8">
        <f t="shared" si="0"/>
        <v>-2.8968713789122579E-4</v>
      </c>
      <c r="D28" s="7">
        <f>(Table534567910[[#This Row],[Value]]-B16)/B16</f>
        <v>1.3271478066827123E-2</v>
      </c>
      <c r="E28" s="16">
        <v>0.02</v>
      </c>
      <c r="F28" s="15"/>
    </row>
    <row r="29" spans="1:6" x14ac:dyDescent="0.2">
      <c r="A29" s="38">
        <v>22282</v>
      </c>
      <c r="B29" s="37">
        <f>VLOOKUP(Table534567910[[#This Row],[Date]],Database!A:E,MATCH($A$1,Database!$A$1:$E$1,),)</f>
        <v>17.259</v>
      </c>
      <c r="C29" s="8">
        <f t="shared" si="0"/>
        <v>2.3181686467698266E-4</v>
      </c>
      <c r="D29" s="7">
        <f>(Table534567910[[#This Row],[Value]]-B17)/B17</f>
        <v>1.3268361416074624E-2</v>
      </c>
      <c r="E29" s="16">
        <v>0.02</v>
      </c>
      <c r="F29" s="15"/>
    </row>
    <row r="30" spans="1:6" x14ac:dyDescent="0.2">
      <c r="A30" s="38">
        <v>22313</v>
      </c>
      <c r="B30" s="37">
        <f>VLOOKUP(Table534567910[[#This Row],[Date]],Database!A:E,MATCH($A$1,Database!$A$1:$E$1,),)</f>
        <v>17.276</v>
      </c>
      <c r="C30" s="8">
        <f t="shared" si="0"/>
        <v>9.8499333680974912E-4</v>
      </c>
      <c r="D30" s="7">
        <f>(Table534567910[[#This Row],[Value]]-B18)/B18</f>
        <v>1.2364488719601436E-2</v>
      </c>
      <c r="E30" s="16">
        <v>0.02</v>
      </c>
      <c r="F30" s="15"/>
    </row>
    <row r="31" spans="1:6" x14ac:dyDescent="0.2">
      <c r="A31" s="38">
        <v>22341</v>
      </c>
      <c r="B31" s="37">
        <f>VLOOKUP(Table534567910[[#This Row],[Date]],Database!A:E,MATCH($A$1,Database!$A$1:$E$1,),)</f>
        <v>17.282</v>
      </c>
      <c r="C31" s="8">
        <f t="shared" si="0"/>
        <v>3.4730261634638963E-4</v>
      </c>
      <c r="D31" s="7">
        <f>(Table534567910[[#This Row],[Value]]-B19)/B19</f>
        <v>1.259741020683189E-2</v>
      </c>
      <c r="E31" s="16">
        <v>0.02</v>
      </c>
      <c r="F31" s="15"/>
    </row>
    <row r="32" spans="1:6" x14ac:dyDescent="0.2">
      <c r="A32" s="38">
        <v>22372</v>
      </c>
      <c r="B32" s="37">
        <f>VLOOKUP(Table534567910[[#This Row],[Date]],Database!A:E,MATCH($A$1,Database!$A$1:$E$1,),)</f>
        <v>17.306000000000001</v>
      </c>
      <c r="C32" s="8">
        <f t="shared" si="0"/>
        <v>1.388728156463425E-3</v>
      </c>
      <c r="D32" s="7">
        <f>(Table534567910[[#This Row],[Value]]-B20)/B20</f>
        <v>1.2165165516434786E-2</v>
      </c>
      <c r="E32" s="16">
        <v>0.02</v>
      </c>
      <c r="F32" s="15"/>
    </row>
    <row r="33" spans="1:6" x14ac:dyDescent="0.2">
      <c r="A33" s="38">
        <v>22402</v>
      </c>
      <c r="B33" s="37">
        <f>VLOOKUP(Table534567910[[#This Row],[Date]],Database!A:E,MATCH($A$1,Database!$A$1:$E$1,),)</f>
        <v>17.327999999999999</v>
      </c>
      <c r="C33" s="8">
        <f t="shared" si="0"/>
        <v>1.2712354096844137E-3</v>
      </c>
      <c r="D33" s="7">
        <f>(Table534567910[[#This Row],[Value]]-B21)/B21</f>
        <v>1.1854014598540111E-2</v>
      </c>
      <c r="E33" s="16">
        <v>0.02</v>
      </c>
      <c r="F33" s="15"/>
    </row>
    <row r="34" spans="1:6" x14ac:dyDescent="0.2">
      <c r="A34" s="38">
        <v>22433</v>
      </c>
      <c r="B34" s="37">
        <f>VLOOKUP(Table534567910[[#This Row],[Date]],Database!A:E,MATCH($A$1,Database!$A$1:$E$1,),)</f>
        <v>17.353999999999999</v>
      </c>
      <c r="C34" s="8">
        <f t="shared" si="0"/>
        <v>1.5004616805170707E-3</v>
      </c>
      <c r="D34" s="7">
        <f>(Table534567910[[#This Row],[Value]]-B22)/B22</f>
        <v>1.2721755368814191E-2</v>
      </c>
      <c r="E34" s="16">
        <v>0.02</v>
      </c>
      <c r="F34" s="15"/>
    </row>
    <row r="35" spans="1:6" x14ac:dyDescent="0.2">
      <c r="A35" s="38">
        <v>22463</v>
      </c>
      <c r="B35" s="37">
        <f>VLOOKUP(Table534567910[[#This Row],[Date]],Database!A:E,MATCH($A$1,Database!$A$1:$E$1,),)</f>
        <v>17.381</v>
      </c>
      <c r="C35" s="8">
        <f t="shared" si="0"/>
        <v>1.5558372709462386E-3</v>
      </c>
      <c r="D35" s="7">
        <f>(Table534567910[[#This Row],[Value]]-B23)/B23</f>
        <v>1.2524758243038557E-2</v>
      </c>
      <c r="E35" s="16">
        <v>0.02</v>
      </c>
      <c r="F35" s="15"/>
    </row>
    <row r="36" spans="1:6" x14ac:dyDescent="0.2">
      <c r="A36" s="38">
        <v>22494</v>
      </c>
      <c r="B36" s="37">
        <f>VLOOKUP(Table534567910[[#This Row],[Date]],Database!A:E,MATCH($A$1,Database!$A$1:$E$1,),)</f>
        <v>17.399000000000001</v>
      </c>
      <c r="C36" s="8">
        <f t="shared" si="0"/>
        <v>1.0356136010586665E-3</v>
      </c>
      <c r="D36" s="7">
        <f>(Table534567910[[#This Row],[Value]]-B24)/B24</f>
        <v>1.2099354313303588E-2</v>
      </c>
      <c r="E36" s="16">
        <v>0.02</v>
      </c>
      <c r="F36" s="15"/>
    </row>
    <row r="37" spans="1:6" x14ac:dyDescent="0.2">
      <c r="A37" s="38">
        <v>22525</v>
      </c>
      <c r="B37" s="37">
        <f>VLOOKUP(Table534567910[[#This Row],[Date]],Database!A:E,MATCH($A$1,Database!$A$1:$E$1,),)</f>
        <v>17.434000000000001</v>
      </c>
      <c r="C37" s="8">
        <f t="shared" si="0"/>
        <v>2.0116098626357919E-3</v>
      </c>
      <c r="D37" s="7">
        <f>(Table534567910[[#This Row],[Value]]-B25)/B25</f>
        <v>1.3368983957219275E-2</v>
      </c>
      <c r="E37" s="16">
        <v>0.02</v>
      </c>
      <c r="F37" s="15"/>
    </row>
    <row r="38" spans="1:6" x14ac:dyDescent="0.2">
      <c r="A38" s="38">
        <v>22555</v>
      </c>
      <c r="B38" s="37">
        <f>VLOOKUP(Table534567910[[#This Row],[Date]],Database!A:E,MATCH($A$1,Database!$A$1:$E$1,),)</f>
        <v>17.440000000000001</v>
      </c>
      <c r="C38" s="8">
        <f t="shared" si="0"/>
        <v>3.4415509923139997E-4</v>
      </c>
      <c r="D38" s="7">
        <f>(Table534567910[[#This Row],[Value]]-B26)/B26</f>
        <v>1.3128848611595368E-2</v>
      </c>
      <c r="E38" s="16">
        <v>0.02</v>
      </c>
      <c r="F38" s="15"/>
    </row>
    <row r="39" spans="1:6" x14ac:dyDescent="0.2">
      <c r="A39" s="38">
        <v>22586</v>
      </c>
      <c r="B39" s="37">
        <f>VLOOKUP(Table534567910[[#This Row],[Date]],Database!A:E,MATCH($A$1,Database!$A$1:$E$1,),)</f>
        <v>17.443000000000001</v>
      </c>
      <c r="C39" s="8">
        <f t="shared" si="0"/>
        <v>1.7201834862385973E-4</v>
      </c>
      <c r="D39" s="7">
        <f>(Table534567910[[#This Row],[Value]]-B27)/B27</f>
        <v>1.060254924681343E-2</v>
      </c>
      <c r="E39" s="16">
        <v>0.02</v>
      </c>
      <c r="F39" s="15"/>
    </row>
    <row r="40" spans="1:6" x14ac:dyDescent="0.2">
      <c r="A40" s="38">
        <v>22616</v>
      </c>
      <c r="B40" s="37">
        <f>VLOOKUP(Table534567910[[#This Row],[Date]],Database!A:E,MATCH($A$1,Database!$A$1:$E$1,),)</f>
        <v>17.457999999999998</v>
      </c>
      <c r="C40" s="8">
        <f t="shared" si="0"/>
        <v>8.5994381700378456E-4</v>
      </c>
      <c r="D40" s="7">
        <f>(Table534567910[[#This Row],[Value]]-B28)/B28</f>
        <v>1.1764705882352908E-2</v>
      </c>
      <c r="E40" s="16">
        <v>0.02</v>
      </c>
      <c r="F40" s="15"/>
    </row>
    <row r="41" spans="1:6" x14ac:dyDescent="0.2">
      <c r="A41" s="38">
        <v>22647</v>
      </c>
      <c r="B41" s="37">
        <f>VLOOKUP(Table534567910[[#This Row],[Date]],Database!A:E,MATCH($A$1,Database!$A$1:$E$1,),)</f>
        <v>17.478000000000002</v>
      </c>
      <c r="C41" s="8">
        <f t="shared" si="0"/>
        <v>1.1456065986941877E-3</v>
      </c>
      <c r="D41" s="7">
        <f>(Table534567910[[#This Row],[Value]]-B29)/B29</f>
        <v>1.2689031809490769E-2</v>
      </c>
      <c r="E41" s="16">
        <v>0.02</v>
      </c>
      <c r="F41" s="15"/>
    </row>
    <row r="42" spans="1:6" x14ac:dyDescent="0.2">
      <c r="A42" s="38">
        <v>22678</v>
      </c>
      <c r="B42" s="37">
        <f>VLOOKUP(Table534567910[[#This Row],[Date]],Database!A:E,MATCH($A$1,Database!$A$1:$E$1,),)</f>
        <v>17.507000000000001</v>
      </c>
      <c r="C42" s="8">
        <f t="shared" si="0"/>
        <v>1.6592287447076274E-3</v>
      </c>
      <c r="D42" s="7">
        <f>(Table534567910[[#This Row],[Value]]-B30)/B30</f>
        <v>1.337115072933559E-2</v>
      </c>
      <c r="E42" s="16">
        <v>0.02</v>
      </c>
      <c r="F42" s="15"/>
    </row>
    <row r="43" spans="1:6" x14ac:dyDescent="0.2">
      <c r="A43" s="38">
        <v>22706</v>
      </c>
      <c r="B43" s="37">
        <f>VLOOKUP(Table534567910[[#This Row],[Date]],Database!A:E,MATCH($A$1,Database!$A$1:$E$1,),)</f>
        <v>17.547999999999998</v>
      </c>
      <c r="C43" s="8">
        <f t="shared" si="0"/>
        <v>2.3419203747070778E-3</v>
      </c>
      <c r="D43" s="7">
        <f>(Table534567910[[#This Row],[Value]]-B31)/B31</f>
        <v>1.5391737067468941E-2</v>
      </c>
      <c r="E43" s="16">
        <v>0.02</v>
      </c>
      <c r="F43" s="15"/>
    </row>
    <row r="44" spans="1:6" x14ac:dyDescent="0.2">
      <c r="A44" s="38">
        <v>22737</v>
      </c>
      <c r="B44" s="37">
        <f>VLOOKUP(Table534567910[[#This Row],[Date]],Database!A:E,MATCH($A$1,Database!$A$1:$E$1,),)</f>
        <v>17.550999999999998</v>
      </c>
      <c r="C44" s="8">
        <f t="shared" si="0"/>
        <v>1.7095965352177537E-4</v>
      </c>
      <c r="D44" s="7">
        <f>(Table534567910[[#This Row],[Value]]-B32)/B32</f>
        <v>1.4156939789668175E-2</v>
      </c>
      <c r="E44" s="16">
        <v>0.02</v>
      </c>
      <c r="F44" s="15"/>
    </row>
    <row r="45" spans="1:6" x14ac:dyDescent="0.2">
      <c r="A45" s="38">
        <v>22767</v>
      </c>
      <c r="B45" s="37">
        <f>VLOOKUP(Table534567910[[#This Row],[Date]],Database!A:E,MATCH($A$1,Database!$A$1:$E$1,),)</f>
        <v>17.576000000000001</v>
      </c>
      <c r="C45" s="8">
        <f t="shared" si="0"/>
        <v>1.4244202609539135E-3</v>
      </c>
      <c r="D45" s="7">
        <f>(Table534567910[[#This Row],[Value]]-B33)/B33</f>
        <v>1.4312096029547618E-2</v>
      </c>
      <c r="E45" s="16">
        <v>0.02</v>
      </c>
      <c r="F45" s="15"/>
    </row>
    <row r="46" spans="1:6" x14ac:dyDescent="0.2">
      <c r="A46" s="38">
        <v>22798</v>
      </c>
      <c r="B46" s="37">
        <f>VLOOKUP(Table534567910[[#This Row],[Date]],Database!A:E,MATCH($A$1,Database!$A$1:$E$1,),)</f>
        <v>17.608000000000001</v>
      </c>
      <c r="C46" s="8">
        <f t="shared" si="0"/>
        <v>1.8206645425580352E-3</v>
      </c>
      <c r="D46" s="7">
        <f>(Table534567910[[#This Row],[Value]]-B34)/B34</f>
        <v>1.4636395067419693E-2</v>
      </c>
      <c r="E46" s="16">
        <v>0.02</v>
      </c>
      <c r="F46" s="15"/>
    </row>
    <row r="47" spans="1:6" x14ac:dyDescent="0.2">
      <c r="A47" s="38">
        <v>22828</v>
      </c>
      <c r="B47" s="37">
        <f>VLOOKUP(Table534567910[[#This Row],[Date]],Database!A:E,MATCH($A$1,Database!$A$1:$E$1,),)</f>
        <v>17.623000000000001</v>
      </c>
      <c r="C47" s="8">
        <f t="shared" si="0"/>
        <v>8.5188550658794686E-4</v>
      </c>
      <c r="D47" s="7">
        <f>(Table534567910[[#This Row],[Value]]-B35)/B35</f>
        <v>1.3923249525343817E-2</v>
      </c>
      <c r="E47" s="16">
        <v>0.02</v>
      </c>
      <c r="F47" s="15"/>
    </row>
    <row r="48" spans="1:6" x14ac:dyDescent="0.2">
      <c r="A48" s="38">
        <v>22859</v>
      </c>
      <c r="B48" s="37">
        <f>VLOOKUP(Table534567910[[#This Row],[Date]],Database!A:E,MATCH($A$1,Database!$A$1:$E$1,),)</f>
        <v>17.626000000000001</v>
      </c>
      <c r="C48" s="8">
        <f t="shared" si="0"/>
        <v>1.7023208307326298E-4</v>
      </c>
      <c r="D48" s="7">
        <f>(Table534567910[[#This Row],[Value]]-B36)/B36</f>
        <v>1.3046726823380671E-2</v>
      </c>
      <c r="E48" s="16">
        <v>0.02</v>
      </c>
      <c r="F48" s="15"/>
    </row>
    <row r="49" spans="1:6" x14ac:dyDescent="0.2">
      <c r="A49" s="38">
        <v>22890</v>
      </c>
      <c r="B49" s="37">
        <f>VLOOKUP(Table534567910[[#This Row],[Date]],Database!A:E,MATCH($A$1,Database!$A$1:$E$1,),)</f>
        <v>17.66</v>
      </c>
      <c r="C49" s="8">
        <f t="shared" si="0"/>
        <v>1.9289685691591353E-3</v>
      </c>
      <c r="D49" s="7">
        <f>(Table534567910[[#This Row],[Value]]-B37)/B37</f>
        <v>1.2963175404382188E-2</v>
      </c>
      <c r="E49" s="16">
        <v>0.02</v>
      </c>
      <c r="F49" s="15"/>
    </row>
    <row r="50" spans="1:6" x14ac:dyDescent="0.2">
      <c r="A50" s="38">
        <v>22920</v>
      </c>
      <c r="B50" s="37">
        <f>VLOOKUP(Table534567910[[#This Row],[Date]],Database!A:E,MATCH($A$1,Database!$A$1:$E$1,),)</f>
        <v>17.658999999999999</v>
      </c>
      <c r="C50" s="8">
        <f t="shared" si="0"/>
        <v>-5.6625141562923107E-5</v>
      </c>
      <c r="D50" s="7">
        <f>(Table534567910[[#This Row],[Value]]-B38)/B38</f>
        <v>1.2557339449541148E-2</v>
      </c>
      <c r="E50" s="16">
        <v>0.02</v>
      </c>
      <c r="F50" s="15"/>
    </row>
    <row r="51" spans="1:6" x14ac:dyDescent="0.2">
      <c r="A51" s="38">
        <v>22951</v>
      </c>
      <c r="B51" s="37">
        <f>VLOOKUP(Table534567910[[#This Row],[Date]],Database!A:E,MATCH($A$1,Database!$A$1:$E$1,),)</f>
        <v>17.672000000000001</v>
      </c>
      <c r="C51" s="8">
        <f t="shared" si="0"/>
        <v>7.361685259641926E-4</v>
      </c>
      <c r="D51" s="7">
        <f>(Table534567910[[#This Row],[Value]]-B39)/B39</f>
        <v>1.3128475606260345E-2</v>
      </c>
      <c r="E51" s="16">
        <v>0.02</v>
      </c>
      <c r="F51" s="15"/>
    </row>
    <row r="52" spans="1:6" x14ac:dyDescent="0.2">
      <c r="A52" s="38">
        <v>22981</v>
      </c>
      <c r="B52" s="37">
        <f>VLOOKUP(Table534567910[[#This Row],[Date]],Database!A:E,MATCH($A$1,Database!$A$1:$E$1,),)</f>
        <v>17.677</v>
      </c>
      <c r="C52" s="8">
        <f t="shared" si="0"/>
        <v>2.8293345405155078E-4</v>
      </c>
      <c r="D52" s="7">
        <f>(Table534567910[[#This Row],[Value]]-B40)/B40</f>
        <v>1.2544392255699463E-2</v>
      </c>
      <c r="E52" s="16">
        <v>0.02</v>
      </c>
      <c r="F52" s="15"/>
    </row>
    <row r="53" spans="1:6" x14ac:dyDescent="0.2">
      <c r="A53" s="38">
        <v>23012</v>
      </c>
      <c r="B53" s="37">
        <f>VLOOKUP(Table534567910[[#This Row],[Date]],Database!A:E,MATCH($A$1,Database!$A$1:$E$1,),)</f>
        <v>17.710999999999999</v>
      </c>
      <c r="C53" s="8">
        <f t="shared" si="0"/>
        <v>1.9234032924138101E-3</v>
      </c>
      <c r="D53" s="7">
        <f>(Table534567910[[#This Row],[Value]]-B41)/B41</f>
        <v>1.3331044741961149E-2</v>
      </c>
      <c r="E53" s="16">
        <v>0.02</v>
      </c>
      <c r="F53" s="15"/>
    </row>
    <row r="54" spans="1:6" x14ac:dyDescent="0.2">
      <c r="A54" s="38">
        <v>23043</v>
      </c>
      <c r="B54" s="37">
        <f>VLOOKUP(Table534567910[[#This Row],[Date]],Database!A:E,MATCH($A$1,Database!$A$1:$E$1,),)</f>
        <v>17.731000000000002</v>
      </c>
      <c r="C54" s="8">
        <f t="shared" si="0"/>
        <v>1.1292417141890987E-3</v>
      </c>
      <c r="D54" s="7">
        <f>(Table534567910[[#This Row],[Value]]-B42)/B42</f>
        <v>1.2794882047181138E-2</v>
      </c>
      <c r="E54" s="16">
        <v>0.02</v>
      </c>
      <c r="F54" s="15"/>
    </row>
    <row r="55" spans="1:6" x14ac:dyDescent="0.2">
      <c r="A55" s="38">
        <v>23071</v>
      </c>
      <c r="B55" s="37">
        <f>VLOOKUP(Table534567910[[#This Row],[Date]],Database!A:E,MATCH($A$1,Database!$A$1:$E$1,),)</f>
        <v>17.742000000000001</v>
      </c>
      <c r="C55" s="8">
        <f t="shared" si="0"/>
        <v>6.2038238114033224E-4</v>
      </c>
      <c r="D55" s="7">
        <f>(Table534567910[[#This Row],[Value]]-B43)/B43</f>
        <v>1.1055390927741203E-2</v>
      </c>
      <c r="E55" s="16">
        <v>0.02</v>
      </c>
      <c r="F55" s="15"/>
    </row>
    <row r="56" spans="1:6" x14ac:dyDescent="0.2">
      <c r="A56" s="38">
        <v>23102</v>
      </c>
      <c r="B56" s="37">
        <f>VLOOKUP(Table534567910[[#This Row],[Date]],Database!A:E,MATCH($A$1,Database!$A$1:$E$1,),)</f>
        <v>17.763000000000002</v>
      </c>
      <c r="C56" s="8">
        <f t="shared" si="0"/>
        <v>1.1836320595198283E-3</v>
      </c>
      <c r="D56" s="7">
        <f>(Table534567910[[#This Row],[Value]]-B44)/B44</f>
        <v>1.2079083812888344E-2</v>
      </c>
      <c r="E56" s="16">
        <v>0.02</v>
      </c>
      <c r="F56" s="15"/>
    </row>
    <row r="57" spans="1:6" x14ac:dyDescent="0.2">
      <c r="A57" s="38">
        <v>23132</v>
      </c>
      <c r="B57" s="37">
        <f>VLOOKUP(Table534567910[[#This Row],[Date]],Database!A:E,MATCH($A$1,Database!$A$1:$E$1,),)</f>
        <v>17.795000000000002</v>
      </c>
      <c r="C57" s="8">
        <f t="shared" si="0"/>
        <v>1.8014974947925476E-3</v>
      </c>
      <c r="D57" s="7">
        <f>(Table534567910[[#This Row],[Value]]-B45)/B45</f>
        <v>1.2460172963131611E-2</v>
      </c>
      <c r="E57" s="16">
        <v>0.02</v>
      </c>
      <c r="F57" s="15"/>
    </row>
    <row r="58" spans="1:6" x14ac:dyDescent="0.2">
      <c r="A58" s="38">
        <v>23163</v>
      </c>
      <c r="B58" s="37">
        <f>VLOOKUP(Table534567910[[#This Row],[Date]],Database!A:E,MATCH($A$1,Database!$A$1:$E$1,),)</f>
        <v>17.826000000000001</v>
      </c>
      <c r="C58" s="8">
        <f t="shared" si="0"/>
        <v>1.7420623770721441E-3</v>
      </c>
      <c r="D58" s="7">
        <f>(Table534567910[[#This Row],[Value]]-B46)/B46</f>
        <v>1.238073602907769E-2</v>
      </c>
      <c r="E58" s="16">
        <v>0.02</v>
      </c>
      <c r="F58" s="15"/>
    </row>
    <row r="59" spans="1:6" x14ac:dyDescent="0.2">
      <c r="A59" s="38">
        <v>23193</v>
      </c>
      <c r="B59" s="37">
        <f>VLOOKUP(Table534567910[[#This Row],[Date]],Database!A:E,MATCH($A$1,Database!$A$1:$E$1,),)</f>
        <v>17.841999999999999</v>
      </c>
      <c r="C59" s="8">
        <f t="shared" si="0"/>
        <v>8.9756535397723762E-4</v>
      </c>
      <c r="D59" s="7">
        <f>(Table534567910[[#This Row],[Value]]-B47)/B47</f>
        <v>1.2426942064347593E-2</v>
      </c>
      <c r="E59" s="16">
        <v>0.02</v>
      </c>
      <c r="F59" s="15"/>
    </row>
    <row r="60" spans="1:6" x14ac:dyDescent="0.2">
      <c r="A60" s="38">
        <v>23224</v>
      </c>
      <c r="B60" s="37">
        <f>VLOOKUP(Table534567910[[#This Row],[Date]],Database!A:E,MATCH($A$1,Database!$A$1:$E$1,),)</f>
        <v>17.858000000000001</v>
      </c>
      <c r="C60" s="8">
        <f t="shared" si="0"/>
        <v>8.9676045286412914E-4</v>
      </c>
      <c r="D60" s="7">
        <f>(Table534567910[[#This Row],[Value]]-B48)/B48</f>
        <v>1.316237376602742E-2</v>
      </c>
      <c r="E60" s="16">
        <v>0.02</v>
      </c>
      <c r="F60" s="15"/>
    </row>
    <row r="61" spans="1:6" x14ac:dyDescent="0.2">
      <c r="A61" s="38">
        <v>23255</v>
      </c>
      <c r="B61" s="37">
        <f>VLOOKUP(Table534567910[[#This Row],[Date]],Database!A:E,MATCH($A$1,Database!$A$1:$E$1,),)</f>
        <v>17.89</v>
      </c>
      <c r="C61" s="8">
        <f t="shared" si="0"/>
        <v>1.7919139881285714E-3</v>
      </c>
      <c r="D61" s="7">
        <f>(Table534567910[[#This Row],[Value]]-B49)/B49</f>
        <v>1.3023782559456423E-2</v>
      </c>
      <c r="E61" s="16">
        <v>0.02</v>
      </c>
      <c r="F61" s="15"/>
    </row>
    <row r="62" spans="1:6" x14ac:dyDescent="0.2">
      <c r="A62" s="38">
        <v>23285</v>
      </c>
      <c r="B62" s="37">
        <f>VLOOKUP(Table534567910[[#This Row],[Date]],Database!A:E,MATCH($A$1,Database!$A$1:$E$1,),)</f>
        <v>17.93</v>
      </c>
      <c r="C62" s="8">
        <f t="shared" si="0"/>
        <v>2.2358859698154918E-3</v>
      </c>
      <c r="D62" s="7">
        <f>(Table534567910[[#This Row],[Value]]-B50)/B50</f>
        <v>1.5346282348943927E-2</v>
      </c>
      <c r="E62" s="16">
        <v>0.02</v>
      </c>
      <c r="F62" s="15"/>
    </row>
    <row r="63" spans="1:6" x14ac:dyDescent="0.2">
      <c r="A63" s="38">
        <v>23316</v>
      </c>
      <c r="B63" s="37">
        <f>VLOOKUP(Table534567910[[#This Row],[Date]],Database!A:E,MATCH($A$1,Database!$A$1:$E$1,),)</f>
        <v>17.946999999999999</v>
      </c>
      <c r="C63" s="8">
        <f t="shared" si="0"/>
        <v>9.4813162297821866E-4</v>
      </c>
      <c r="D63" s="7">
        <f>(Table534567910[[#This Row],[Value]]-B51)/B51</f>
        <v>1.5561339972838307E-2</v>
      </c>
      <c r="E63" s="16">
        <v>0.02</v>
      </c>
      <c r="F63" s="15"/>
    </row>
    <row r="64" spans="1:6" x14ac:dyDescent="0.2">
      <c r="A64" s="38">
        <v>23346</v>
      </c>
      <c r="B64" s="37">
        <f>VLOOKUP(Table534567910[[#This Row],[Date]],Database!A:E,MATCH($A$1,Database!$A$1:$E$1,),)</f>
        <v>17.972000000000001</v>
      </c>
      <c r="C64" s="8">
        <f t="shared" si="0"/>
        <v>1.3929904719452908E-3</v>
      </c>
      <c r="D64" s="7">
        <f>(Table534567910[[#This Row],[Value]]-B52)/B52</f>
        <v>1.6688352095943979E-2</v>
      </c>
      <c r="E64" s="16">
        <v>0.02</v>
      </c>
      <c r="F64" s="15"/>
    </row>
    <row r="65" spans="1:6" x14ac:dyDescent="0.2">
      <c r="A65" s="38">
        <v>23377</v>
      </c>
      <c r="B65" s="37">
        <f>VLOOKUP(Table534567910[[#This Row],[Date]],Database!A:E,MATCH($A$1,Database!$A$1:$E$1,),)</f>
        <v>17.997</v>
      </c>
      <c r="C65" s="8">
        <f t="shared" si="0"/>
        <v>1.3910527487201523E-3</v>
      </c>
      <c r="D65" s="7">
        <f>(Table534567910[[#This Row],[Value]]-B53)/B53</f>
        <v>1.6148156512901666E-2</v>
      </c>
      <c r="E65" s="16">
        <v>0.02</v>
      </c>
      <c r="F65" s="15"/>
    </row>
    <row r="66" spans="1:6" x14ac:dyDescent="0.2">
      <c r="A66" s="38">
        <v>23408</v>
      </c>
      <c r="B66" s="37">
        <f>VLOOKUP(Table534567910[[#This Row],[Date]],Database!A:E,MATCH($A$1,Database!$A$1:$E$1,),)</f>
        <v>18.030999999999999</v>
      </c>
      <c r="C66" s="8">
        <f t="shared" si="0"/>
        <v>1.8892037561815259E-3</v>
      </c>
      <c r="D66" s="7">
        <f>(Table534567910[[#This Row],[Value]]-B54)/B54</f>
        <v>1.6919519485646444E-2</v>
      </c>
      <c r="E66" s="16">
        <v>0.02</v>
      </c>
      <c r="F66" s="15"/>
    </row>
    <row r="67" spans="1:6" x14ac:dyDescent="0.2">
      <c r="A67" s="38">
        <v>23437</v>
      </c>
      <c r="B67" s="37">
        <f>VLOOKUP(Table534567910[[#This Row],[Date]],Database!A:E,MATCH($A$1,Database!$A$1:$E$1,),)</f>
        <v>18.047999999999998</v>
      </c>
      <c r="C67" s="8">
        <f t="shared" si="0"/>
        <v>9.4282069768728645E-4</v>
      </c>
      <c r="D67" s="7">
        <f>(Table534567910[[#This Row],[Value]]-B55)/B55</f>
        <v>1.7247210010145269E-2</v>
      </c>
      <c r="E67" s="16">
        <v>0.02</v>
      </c>
      <c r="F67" s="15"/>
    </row>
    <row r="68" spans="1:6" x14ac:dyDescent="0.2">
      <c r="A68" s="38">
        <v>23468</v>
      </c>
      <c r="B68" s="37">
        <f>VLOOKUP(Table534567910[[#This Row],[Date]],Database!A:E,MATCH($A$1,Database!$A$1:$E$1,),)</f>
        <v>18.065000000000001</v>
      </c>
      <c r="C68" s="8">
        <f t="shared" si="0"/>
        <v>9.419326241136422E-4</v>
      </c>
      <c r="D68" s="7">
        <f>(Table534567910[[#This Row],[Value]]-B56)/B56</f>
        <v>1.7001632607104633E-2</v>
      </c>
      <c r="E68" s="16">
        <v>0.02</v>
      </c>
      <c r="F68" s="15"/>
    </row>
    <row r="69" spans="1:6" x14ac:dyDescent="0.2">
      <c r="A69" s="38">
        <v>23498</v>
      </c>
      <c r="B69" s="37">
        <f>VLOOKUP(Table534567910[[#This Row],[Date]],Database!A:E,MATCH($A$1,Database!$A$1:$E$1,),)</f>
        <v>18.079999999999998</v>
      </c>
      <c r="C69" s="8">
        <f t="shared" si="0"/>
        <v>8.3033490174353808E-4</v>
      </c>
      <c r="D69" s="7">
        <f>(Table534567910[[#This Row],[Value]]-B57)/B57</f>
        <v>1.6015734756954007E-2</v>
      </c>
      <c r="E69" s="16">
        <v>0.02</v>
      </c>
      <c r="F69" s="15"/>
    </row>
    <row r="70" spans="1:6" x14ac:dyDescent="0.2">
      <c r="A70" s="38">
        <v>23529</v>
      </c>
      <c r="B70" s="37">
        <f>VLOOKUP(Table534567910[[#This Row],[Date]],Database!A:E,MATCH($A$1,Database!$A$1:$E$1,),)</f>
        <v>18.093</v>
      </c>
      <c r="C70" s="8">
        <f t="shared" ref="C70:C133" si="1">(B70-B69)/B69</f>
        <v>7.1902654867265917E-4</v>
      </c>
      <c r="D70" s="7">
        <f>(Table534567910[[#This Row],[Value]]-B58)/B58</f>
        <v>1.4978121844496772E-2</v>
      </c>
      <c r="E70" s="16">
        <v>0.02</v>
      </c>
      <c r="F70" s="15"/>
    </row>
    <row r="71" spans="1:6" x14ac:dyDescent="0.2">
      <c r="A71" s="38">
        <v>23559</v>
      </c>
      <c r="B71" s="37">
        <f>VLOOKUP(Table534567910[[#This Row],[Date]],Database!A:E,MATCH($A$1,Database!$A$1:$E$1,),)</f>
        <v>18.111000000000001</v>
      </c>
      <c r="C71" s="8">
        <f t="shared" si="1"/>
        <v>9.9485989056544979E-4</v>
      </c>
      <c r="D71" s="7">
        <f>(Table534567910[[#This Row],[Value]]-B59)/B59</f>
        <v>1.5076785113776589E-2</v>
      </c>
      <c r="E71" s="16">
        <v>0.02</v>
      </c>
      <c r="F71" s="15"/>
    </row>
    <row r="72" spans="1:6" x14ac:dyDescent="0.2">
      <c r="A72" s="38">
        <v>23590</v>
      </c>
      <c r="B72" s="37">
        <f>VLOOKUP(Table534567910[[#This Row],[Date]],Database!A:E,MATCH($A$1,Database!$A$1:$E$1,),)</f>
        <v>18.135000000000002</v>
      </c>
      <c r="C72" s="8">
        <f t="shared" si="1"/>
        <v>1.3251615040583574E-3</v>
      </c>
      <c r="D72" s="7">
        <f>(Table534567910[[#This Row],[Value]]-B60)/B60</f>
        <v>1.5511255459737989E-2</v>
      </c>
      <c r="E72" s="16">
        <v>0.02</v>
      </c>
      <c r="F72" s="15"/>
    </row>
    <row r="73" spans="1:6" x14ac:dyDescent="0.2">
      <c r="A73" s="38">
        <v>23621</v>
      </c>
      <c r="B73" s="37">
        <f>VLOOKUP(Table534567910[[#This Row],[Date]],Database!A:E,MATCH($A$1,Database!$A$1:$E$1,),)</f>
        <v>18.143000000000001</v>
      </c>
      <c r="C73" s="8">
        <f t="shared" si="1"/>
        <v>4.4113592500684412E-4</v>
      </c>
      <c r="D73" s="7">
        <f>(Table534567910[[#This Row],[Value]]-B61)/B61</f>
        <v>1.4141978759083292E-2</v>
      </c>
      <c r="E73" s="16">
        <v>0.02</v>
      </c>
      <c r="F73" s="15"/>
    </row>
    <row r="74" spans="1:6" x14ac:dyDescent="0.2">
      <c r="A74" s="38">
        <v>23651</v>
      </c>
      <c r="B74" s="37">
        <f>VLOOKUP(Table534567910[[#This Row],[Date]],Database!A:E,MATCH($A$1,Database!$A$1:$E$1,),)</f>
        <v>18.149000000000001</v>
      </c>
      <c r="C74" s="8">
        <f t="shared" si="1"/>
        <v>3.3070605743263113E-4</v>
      </c>
      <c r="D74" s="7">
        <f>(Table534567910[[#This Row],[Value]]-B62)/B62</f>
        <v>1.221416620189633E-2</v>
      </c>
      <c r="E74" s="16">
        <v>0.02</v>
      </c>
      <c r="F74" s="15"/>
    </row>
    <row r="75" spans="1:6" x14ac:dyDescent="0.2">
      <c r="A75" s="38">
        <v>23682</v>
      </c>
      <c r="B75" s="37">
        <f>VLOOKUP(Table534567910[[#This Row],[Date]],Database!A:E,MATCH($A$1,Database!$A$1:$E$1,),)</f>
        <v>18.175999999999998</v>
      </c>
      <c r="C75" s="8">
        <f t="shared" si="1"/>
        <v>1.4876852719156687E-3</v>
      </c>
      <c r="D75" s="7">
        <f>(Table534567910[[#This Row],[Value]]-B63)/B63</f>
        <v>1.2759792723017731E-2</v>
      </c>
      <c r="E75" s="16">
        <v>0.02</v>
      </c>
      <c r="F75" s="15"/>
    </row>
    <row r="76" spans="1:6" x14ac:dyDescent="0.2">
      <c r="A76" s="38">
        <v>23712</v>
      </c>
      <c r="B76" s="37">
        <f>VLOOKUP(Table534567910[[#This Row],[Date]],Database!A:E,MATCH($A$1,Database!$A$1:$E$1,),)</f>
        <v>18.201000000000001</v>
      </c>
      <c r="C76" s="8">
        <f t="shared" si="1"/>
        <v>1.3754401408451879E-3</v>
      </c>
      <c r="D76" s="7">
        <f>(Table534567910[[#This Row],[Value]]-B64)/B64</f>
        <v>1.2742043178277275E-2</v>
      </c>
      <c r="E76" s="16">
        <v>0.02</v>
      </c>
      <c r="F76" s="15"/>
    </row>
    <row r="77" spans="1:6" x14ac:dyDescent="0.2">
      <c r="A77" s="38">
        <v>23743</v>
      </c>
      <c r="B77" s="37">
        <f>VLOOKUP(Table534567910[[#This Row],[Date]],Database!A:E,MATCH($A$1,Database!$A$1:$E$1,),)</f>
        <v>18.225999999999999</v>
      </c>
      <c r="C77" s="8">
        <f t="shared" si="1"/>
        <v>1.3735509037964167E-3</v>
      </c>
      <c r="D77" s="7">
        <f>(Table534567910[[#This Row],[Value]]-B65)/B65</f>
        <v>1.2724342946046518E-2</v>
      </c>
      <c r="E77" s="16">
        <v>0.02</v>
      </c>
      <c r="F77" s="15"/>
    </row>
    <row r="78" spans="1:6" x14ac:dyDescent="0.2">
      <c r="A78" s="38">
        <v>23774</v>
      </c>
      <c r="B78" s="37">
        <f>VLOOKUP(Table534567910[[#This Row],[Date]],Database!A:E,MATCH($A$1,Database!$A$1:$E$1,),)</f>
        <v>18.248000000000001</v>
      </c>
      <c r="C78" s="8">
        <f t="shared" si="1"/>
        <v>1.2070668276090212E-3</v>
      </c>
      <c r="D78" s="7">
        <f>(Table534567910[[#This Row],[Value]]-B66)/B66</f>
        <v>1.203482890577352E-2</v>
      </c>
      <c r="E78" s="16">
        <v>0.02</v>
      </c>
      <c r="F78" s="15"/>
    </row>
    <row r="79" spans="1:6" x14ac:dyDescent="0.2">
      <c r="A79" s="38">
        <v>23802</v>
      </c>
      <c r="B79" s="37">
        <f>VLOOKUP(Table534567910[[#This Row],[Date]],Database!A:E,MATCH($A$1,Database!$A$1:$E$1,),)</f>
        <v>18.257999999999999</v>
      </c>
      <c r="C79" s="8">
        <f t="shared" si="1"/>
        <v>5.4800526085039506E-4</v>
      </c>
      <c r="D79" s="7">
        <f>(Table534567910[[#This Row],[Value]]-B67)/B67</f>
        <v>1.1635638297872388E-2</v>
      </c>
      <c r="E79" s="16">
        <v>0.02</v>
      </c>
      <c r="F79" s="15"/>
    </row>
    <row r="80" spans="1:6" x14ac:dyDescent="0.2">
      <c r="A80" s="38">
        <v>23833</v>
      </c>
      <c r="B80" s="37">
        <f>VLOOKUP(Table534567910[[#This Row],[Date]],Database!A:E,MATCH($A$1,Database!$A$1:$E$1,),)</f>
        <v>18.28</v>
      </c>
      <c r="C80" s="8">
        <f t="shared" si="1"/>
        <v>1.2049512542448252E-3</v>
      </c>
      <c r="D80" s="7">
        <f>(Table534567910[[#This Row],[Value]]-B68)/B68</f>
        <v>1.1901466924993071E-2</v>
      </c>
      <c r="E80" s="16">
        <v>0.02</v>
      </c>
      <c r="F80" s="15"/>
    </row>
    <row r="81" spans="1:6" x14ac:dyDescent="0.2">
      <c r="A81" s="38">
        <v>23863</v>
      </c>
      <c r="B81" s="37">
        <f>VLOOKUP(Table534567910[[#This Row],[Date]],Database!A:E,MATCH($A$1,Database!$A$1:$E$1,),)</f>
        <v>18.314</v>
      </c>
      <c r="C81" s="8">
        <f t="shared" si="1"/>
        <v>1.859956236323792E-3</v>
      </c>
      <c r="D81" s="7">
        <f>(Table534567910[[#This Row],[Value]]-B69)/B69</f>
        <v>1.2942477876106293E-2</v>
      </c>
      <c r="E81" s="16">
        <v>0.02</v>
      </c>
      <c r="F81" s="15"/>
    </row>
    <row r="82" spans="1:6" x14ac:dyDescent="0.2">
      <c r="A82" s="38">
        <v>23894</v>
      </c>
      <c r="B82" s="37">
        <f>VLOOKUP(Table534567910[[#This Row],[Date]],Database!A:E,MATCH($A$1,Database!$A$1:$E$1,),)</f>
        <v>18.309000000000001</v>
      </c>
      <c r="C82" s="8">
        <f t="shared" si="1"/>
        <v>-2.7301517964393388E-4</v>
      </c>
      <c r="D82" s="7">
        <f>(Table534567910[[#This Row],[Value]]-B70)/B70</f>
        <v>1.1938318686785004E-2</v>
      </c>
      <c r="E82" s="16">
        <v>0.02</v>
      </c>
      <c r="F82" s="15"/>
    </row>
    <row r="83" spans="1:6" x14ac:dyDescent="0.2">
      <c r="A83" s="38">
        <v>23924</v>
      </c>
      <c r="B83" s="37">
        <f>VLOOKUP(Table534567910[[#This Row],[Date]],Database!A:E,MATCH($A$1,Database!$A$1:$E$1,),)</f>
        <v>18.327000000000002</v>
      </c>
      <c r="C83" s="8">
        <f t="shared" si="1"/>
        <v>9.8312305423565896E-4</v>
      </c>
      <c r="D83" s="7">
        <f>(Table534567910[[#This Row],[Value]]-B71)/B71</f>
        <v>1.1926453536524823E-2</v>
      </c>
      <c r="E83" s="16">
        <v>0.02</v>
      </c>
      <c r="F83" s="15"/>
    </row>
    <row r="84" spans="1:6" x14ac:dyDescent="0.2">
      <c r="A84" s="38">
        <v>23955</v>
      </c>
      <c r="B84" s="37">
        <f>VLOOKUP(Table534567910[[#This Row],[Date]],Database!A:E,MATCH($A$1,Database!$A$1:$E$1,),)</f>
        <v>18.361999999999998</v>
      </c>
      <c r="C84" s="8">
        <f t="shared" si="1"/>
        <v>1.9097506411303862E-3</v>
      </c>
      <c r="D84" s="7">
        <f>(Table534567910[[#This Row],[Value]]-B72)/B72</f>
        <v>1.2517231872070402E-2</v>
      </c>
      <c r="E84" s="16">
        <v>0.02</v>
      </c>
      <c r="F84" s="15"/>
    </row>
    <row r="85" spans="1:6" x14ac:dyDescent="0.2">
      <c r="A85" s="38">
        <v>23986</v>
      </c>
      <c r="B85" s="37">
        <f>VLOOKUP(Table534567910[[#This Row],[Date]],Database!A:E,MATCH($A$1,Database!$A$1:$E$1,),)</f>
        <v>18.384</v>
      </c>
      <c r="C85" s="8">
        <f t="shared" si="1"/>
        <v>1.1981265657336902E-3</v>
      </c>
      <c r="D85" s="7">
        <f>(Table534567910[[#This Row],[Value]]-B73)/B73</f>
        <v>1.3283359973543496E-2</v>
      </c>
      <c r="E85" s="16">
        <v>0.02</v>
      </c>
      <c r="F85" s="15"/>
    </row>
    <row r="86" spans="1:6" x14ac:dyDescent="0.2">
      <c r="A86" s="38">
        <v>24016</v>
      </c>
      <c r="B86" s="37">
        <f>VLOOKUP(Table534567910[[#This Row],[Date]],Database!A:E,MATCH($A$1,Database!$A$1:$E$1,),)</f>
        <v>18.376999999999999</v>
      </c>
      <c r="C86" s="8">
        <f t="shared" si="1"/>
        <v>-3.8076588337692828E-4</v>
      </c>
      <c r="D86" s="7">
        <f>(Table534567910[[#This Row],[Value]]-B74)/B74</f>
        <v>1.2562675629511156E-2</v>
      </c>
      <c r="E86" s="16">
        <v>0.02</v>
      </c>
      <c r="F86" s="15"/>
    </row>
    <row r="87" spans="1:6" x14ac:dyDescent="0.2">
      <c r="A87" s="38">
        <v>24047</v>
      </c>
      <c r="B87" s="37">
        <f>VLOOKUP(Table534567910[[#This Row],[Date]],Database!A:E,MATCH($A$1,Database!$A$1:$E$1,),)</f>
        <v>18.411000000000001</v>
      </c>
      <c r="C87" s="8">
        <f t="shared" si="1"/>
        <v>1.8501387604071653E-3</v>
      </c>
      <c r="D87" s="7">
        <f>(Table534567910[[#This Row],[Value]]-B75)/B75</f>
        <v>1.2929137323943827E-2</v>
      </c>
      <c r="E87" s="16">
        <v>0.02</v>
      </c>
      <c r="F87" s="15"/>
    </row>
    <row r="88" spans="1:6" x14ac:dyDescent="0.2">
      <c r="A88" s="38">
        <v>24077</v>
      </c>
      <c r="B88" s="37">
        <f>VLOOKUP(Table534567910[[#This Row],[Date]],Database!A:E,MATCH($A$1,Database!$A$1:$E$1,),)</f>
        <v>18.466999999999999</v>
      </c>
      <c r="C88" s="8">
        <f t="shared" si="1"/>
        <v>3.0416598772471555E-3</v>
      </c>
      <c r="D88" s="7">
        <f>(Table534567910[[#This Row],[Value]]-B76)/B76</f>
        <v>1.4614581616394607E-2</v>
      </c>
      <c r="E88" s="16">
        <v>0.02</v>
      </c>
      <c r="F88" s="15"/>
    </row>
    <row r="89" spans="1:6" x14ac:dyDescent="0.2">
      <c r="A89" s="38">
        <v>24108</v>
      </c>
      <c r="B89" s="37">
        <f>VLOOKUP(Table534567910[[#This Row],[Date]],Database!A:E,MATCH($A$1,Database!$A$1:$E$1,),)</f>
        <v>18.472999999999999</v>
      </c>
      <c r="C89" s="8">
        <f t="shared" si="1"/>
        <v>3.2490388260140941E-4</v>
      </c>
      <c r="D89" s="7">
        <f>(Table534567910[[#This Row],[Value]]-B77)/B77</f>
        <v>1.3552068473609125E-2</v>
      </c>
      <c r="E89" s="16">
        <v>0.02</v>
      </c>
      <c r="F89" s="15"/>
    </row>
    <row r="90" spans="1:6" x14ac:dyDescent="0.2">
      <c r="A90" s="38">
        <v>24139</v>
      </c>
      <c r="B90" s="37">
        <f>VLOOKUP(Table534567910[[#This Row],[Date]],Database!A:E,MATCH($A$1,Database!$A$1:$E$1,),)</f>
        <v>18.518000000000001</v>
      </c>
      <c r="C90" s="8">
        <f t="shared" si="1"/>
        <v>2.4359876576626267E-3</v>
      </c>
      <c r="D90" s="7">
        <f>(Table534567910[[#This Row],[Value]]-B78)/B78</f>
        <v>1.4796142042963588E-2</v>
      </c>
      <c r="E90" s="16">
        <v>0.02</v>
      </c>
      <c r="F90" s="15"/>
    </row>
    <row r="91" spans="1:6" x14ac:dyDescent="0.2">
      <c r="A91" s="38">
        <v>24167</v>
      </c>
      <c r="B91" s="37">
        <f>VLOOKUP(Table534567910[[#This Row],[Date]],Database!A:E,MATCH($A$1,Database!$A$1:$E$1,),)</f>
        <v>18.542000000000002</v>
      </c>
      <c r="C91" s="8">
        <f t="shared" si="1"/>
        <v>1.2960362890161415E-3</v>
      </c>
      <c r="D91" s="7">
        <f>(Table534567910[[#This Row],[Value]]-B79)/B79</f>
        <v>1.5554825282068271E-2</v>
      </c>
      <c r="E91" s="16">
        <v>0.02</v>
      </c>
      <c r="F91" s="15"/>
    </row>
    <row r="92" spans="1:6" x14ac:dyDescent="0.2">
      <c r="A92" s="38">
        <v>24198</v>
      </c>
      <c r="B92" s="37">
        <f>VLOOKUP(Table534567910[[#This Row],[Date]],Database!A:E,MATCH($A$1,Database!$A$1:$E$1,),)</f>
        <v>18.608000000000001</v>
      </c>
      <c r="C92" s="8">
        <f t="shared" si="1"/>
        <v>3.5594865710278797E-3</v>
      </c>
      <c r="D92" s="7">
        <f>(Table534567910[[#This Row],[Value]]-B80)/B80</f>
        <v>1.7943107221006532E-2</v>
      </c>
      <c r="E92" s="16">
        <v>0.02</v>
      </c>
      <c r="F92" s="15"/>
    </row>
    <row r="93" spans="1:6" x14ac:dyDescent="0.2">
      <c r="A93" s="38">
        <v>24228</v>
      </c>
      <c r="B93" s="37">
        <f>VLOOKUP(Table534567910[[#This Row],[Date]],Database!A:E,MATCH($A$1,Database!$A$1:$E$1,),)</f>
        <v>18.657</v>
      </c>
      <c r="C93" s="8">
        <f t="shared" si="1"/>
        <v>2.6332760103181152E-3</v>
      </c>
      <c r="D93" s="7">
        <f>(Table534567910[[#This Row],[Value]]-B81)/B81</f>
        <v>1.8728841323577588E-2</v>
      </c>
      <c r="E93" s="16">
        <v>0.02</v>
      </c>
      <c r="F93" s="15"/>
    </row>
    <row r="94" spans="1:6" x14ac:dyDescent="0.2">
      <c r="A94" s="38">
        <v>24259</v>
      </c>
      <c r="B94" s="37">
        <f>VLOOKUP(Table534567910[[#This Row],[Date]],Database!A:E,MATCH($A$1,Database!$A$1:$E$1,),)</f>
        <v>18.718</v>
      </c>
      <c r="C94" s="8">
        <f t="shared" si="1"/>
        <v>3.2695503028353939E-3</v>
      </c>
      <c r="D94" s="7">
        <f>(Table534567910[[#This Row],[Value]]-B82)/B82</f>
        <v>2.2338740510131568E-2</v>
      </c>
      <c r="E94" s="16">
        <v>0.02</v>
      </c>
      <c r="F94" s="15"/>
    </row>
    <row r="95" spans="1:6" x14ac:dyDescent="0.2">
      <c r="A95" s="38">
        <v>24289</v>
      </c>
      <c r="B95" s="37">
        <f>VLOOKUP(Table534567910[[#This Row],[Date]],Database!A:E,MATCH($A$1,Database!$A$1:$E$1,),)</f>
        <v>18.773</v>
      </c>
      <c r="C95" s="8">
        <f t="shared" si="1"/>
        <v>2.9383481141147406E-3</v>
      </c>
      <c r="D95" s="7">
        <f>(Table534567910[[#This Row],[Value]]-B83)/B83</f>
        <v>2.4335679598406608E-2</v>
      </c>
      <c r="E95" s="16">
        <v>0.02</v>
      </c>
      <c r="F95" s="15"/>
    </row>
    <row r="96" spans="1:6" x14ac:dyDescent="0.2">
      <c r="A96" s="38">
        <v>24320</v>
      </c>
      <c r="B96" s="37">
        <f>VLOOKUP(Table534567910[[#This Row],[Date]],Database!A:E,MATCH($A$1,Database!$A$1:$E$1,),)</f>
        <v>18.806999999999999</v>
      </c>
      <c r="C96" s="8">
        <f t="shared" si="1"/>
        <v>1.8111117029776232E-3</v>
      </c>
      <c r="D96" s="7">
        <f>(Table534567910[[#This Row],[Value]]-B84)/B84</f>
        <v>2.4234832806883801E-2</v>
      </c>
      <c r="E96" s="16">
        <v>0.02</v>
      </c>
      <c r="F96" s="15"/>
    </row>
    <row r="97" spans="1:6" x14ac:dyDescent="0.2">
      <c r="A97" s="38">
        <v>24351</v>
      </c>
      <c r="B97" s="37">
        <f>VLOOKUP(Table534567910[[#This Row],[Date]],Database!A:E,MATCH($A$1,Database!$A$1:$E$1,),)</f>
        <v>18.864999999999998</v>
      </c>
      <c r="C97" s="8">
        <f t="shared" si="1"/>
        <v>3.0839581007071747E-3</v>
      </c>
      <c r="D97" s="7">
        <f>(Table534567910[[#This Row],[Value]]-B85)/B85</f>
        <v>2.6164055700609121E-2</v>
      </c>
      <c r="E97" s="16">
        <v>0.02</v>
      </c>
      <c r="F97" s="15"/>
    </row>
    <row r="98" spans="1:6" x14ac:dyDescent="0.2">
      <c r="A98" s="38">
        <v>24381</v>
      </c>
      <c r="B98" s="37">
        <f>VLOOKUP(Table534567910[[#This Row],[Date]],Database!A:E,MATCH($A$1,Database!$A$1:$E$1,),)</f>
        <v>18.927</v>
      </c>
      <c r="C98" s="8">
        <f t="shared" si="1"/>
        <v>3.2865094089584504E-3</v>
      </c>
      <c r="D98" s="7">
        <f>(Table534567910[[#This Row],[Value]]-B86)/B86</f>
        <v>2.9928715241878477E-2</v>
      </c>
      <c r="E98" s="16">
        <v>0.02</v>
      </c>
      <c r="F98" s="15"/>
    </row>
    <row r="99" spans="1:6" x14ac:dyDescent="0.2">
      <c r="A99" s="38">
        <v>24412</v>
      </c>
      <c r="B99" s="37">
        <f>VLOOKUP(Table534567910[[#This Row],[Date]],Database!A:E,MATCH($A$1,Database!$A$1:$E$1,),)</f>
        <v>18.975000000000001</v>
      </c>
      <c r="C99" s="8">
        <f t="shared" si="1"/>
        <v>2.5360595974006353E-3</v>
      </c>
      <c r="D99" s="7">
        <f>(Table534567910[[#This Row],[Value]]-B87)/B87</f>
        <v>3.0633860192276357E-2</v>
      </c>
      <c r="E99" s="16">
        <v>0.02</v>
      </c>
      <c r="F99" s="15"/>
    </row>
    <row r="100" spans="1:6" x14ac:dyDescent="0.2">
      <c r="A100" s="38">
        <v>24442</v>
      </c>
      <c r="B100" s="37">
        <f>VLOOKUP(Table534567910[[#This Row],[Date]],Database!A:E,MATCH($A$1,Database!$A$1:$E$1,),)</f>
        <v>19.032</v>
      </c>
      <c r="C100" s="8">
        <f t="shared" si="1"/>
        <v>3.0039525691698868E-3</v>
      </c>
      <c r="D100" s="7">
        <f>(Table534567910[[#This Row],[Value]]-B88)/B88</f>
        <v>3.059511561163163E-2</v>
      </c>
      <c r="E100" s="16">
        <v>0.02</v>
      </c>
      <c r="F100" s="15"/>
    </row>
    <row r="101" spans="1:6" x14ac:dyDescent="0.2">
      <c r="A101" s="38">
        <v>24473</v>
      </c>
      <c r="B101" s="37">
        <f>VLOOKUP(Table534567910[[#This Row],[Date]],Database!A:E,MATCH($A$1,Database!$A$1:$E$1,),)</f>
        <v>19.05</v>
      </c>
      <c r="C101" s="8">
        <f t="shared" si="1"/>
        <v>9.4577553593950625E-4</v>
      </c>
      <c r="D101" s="7">
        <f>(Table534567910[[#This Row],[Value]]-B89)/B89</f>
        <v>3.1234775077139704E-2</v>
      </c>
      <c r="E101" s="16">
        <v>0.02</v>
      </c>
      <c r="F101" s="15"/>
    </row>
    <row r="102" spans="1:6" x14ac:dyDescent="0.2">
      <c r="A102" s="38">
        <v>24504</v>
      </c>
      <c r="B102" s="37">
        <f>VLOOKUP(Table534567910[[#This Row],[Date]],Database!A:E,MATCH($A$1,Database!$A$1:$E$1,),)</f>
        <v>19.084</v>
      </c>
      <c r="C102" s="8">
        <f t="shared" si="1"/>
        <v>1.7847769028870824E-3</v>
      </c>
      <c r="D102" s="7">
        <f>(Table534567910[[#This Row],[Value]]-B90)/B90</f>
        <v>3.0564855815962789E-2</v>
      </c>
      <c r="E102" s="16">
        <v>0.02</v>
      </c>
      <c r="F102" s="15"/>
    </row>
    <row r="103" spans="1:6" x14ac:dyDescent="0.2">
      <c r="A103" s="38">
        <v>24532</v>
      </c>
      <c r="B103" s="37">
        <f>VLOOKUP(Table534567910[[#This Row],[Date]],Database!A:E,MATCH($A$1,Database!$A$1:$E$1,),)</f>
        <v>19.113</v>
      </c>
      <c r="C103" s="8">
        <f t="shared" si="1"/>
        <v>1.5195975686438858E-3</v>
      </c>
      <c r="D103" s="7">
        <f>(Table534567910[[#This Row],[Value]]-B91)/B91</f>
        <v>3.0794952000862793E-2</v>
      </c>
      <c r="E103" s="16">
        <v>0.02</v>
      </c>
      <c r="F103" s="15"/>
    </row>
    <row r="104" spans="1:6" x14ac:dyDescent="0.2">
      <c r="A104" s="38">
        <v>24563</v>
      </c>
      <c r="B104" s="37">
        <f>VLOOKUP(Table534567910[[#This Row],[Date]],Database!A:E,MATCH($A$1,Database!$A$1:$E$1,),)</f>
        <v>19.164999999999999</v>
      </c>
      <c r="C104" s="8">
        <f t="shared" si="1"/>
        <v>2.7206613299848065E-3</v>
      </c>
      <c r="D104" s="7">
        <f>(Table534567910[[#This Row],[Value]]-B92)/B92</f>
        <v>2.9933361994840854E-2</v>
      </c>
      <c r="E104" s="16">
        <v>0.02</v>
      </c>
      <c r="F104" s="15"/>
    </row>
    <row r="105" spans="1:6" x14ac:dyDescent="0.2">
      <c r="A105" s="38">
        <v>24593</v>
      </c>
      <c r="B105" s="37">
        <f>VLOOKUP(Table534567910[[#This Row],[Date]],Database!A:E,MATCH($A$1,Database!$A$1:$E$1,),)</f>
        <v>19.207999999999998</v>
      </c>
      <c r="C105" s="8">
        <f t="shared" si="1"/>
        <v>2.2436733629010832E-3</v>
      </c>
      <c r="D105" s="7">
        <f>(Table534567910[[#This Row],[Value]]-B93)/B93</f>
        <v>2.9533151096103251E-2</v>
      </c>
      <c r="E105" s="16">
        <v>0.02</v>
      </c>
      <c r="F105" s="15"/>
    </row>
    <row r="106" spans="1:6" x14ac:dyDescent="0.2">
      <c r="A106" s="38">
        <v>24624</v>
      </c>
      <c r="B106" s="37">
        <f>VLOOKUP(Table534567910[[#This Row],[Date]],Database!A:E,MATCH($A$1,Database!$A$1:$E$1,),)</f>
        <v>19.257000000000001</v>
      </c>
      <c r="C106" s="8">
        <f t="shared" si="1"/>
        <v>2.5510204081634238E-3</v>
      </c>
      <c r="D106" s="7">
        <f>(Table534567910[[#This Row],[Value]]-B94)/B94</f>
        <v>2.8795811518324686E-2</v>
      </c>
      <c r="E106" s="16">
        <v>0.02</v>
      </c>
      <c r="F106" s="15"/>
    </row>
    <row r="107" spans="1:6" x14ac:dyDescent="0.2">
      <c r="A107" s="38">
        <v>24654</v>
      </c>
      <c r="B107" s="37">
        <f>VLOOKUP(Table534567910[[#This Row],[Date]],Database!A:E,MATCH($A$1,Database!$A$1:$E$1,),)</f>
        <v>19.321999999999999</v>
      </c>
      <c r="C107" s="8">
        <f t="shared" si="1"/>
        <v>3.3753959599105636E-3</v>
      </c>
      <c r="D107" s="7">
        <f>(Table534567910[[#This Row],[Value]]-B95)/B95</f>
        <v>2.9244127203963112E-2</v>
      </c>
      <c r="E107" s="16">
        <v>0.02</v>
      </c>
      <c r="F107" s="15"/>
    </row>
    <row r="108" spans="1:6" x14ac:dyDescent="0.2">
      <c r="A108" s="38">
        <v>24685</v>
      </c>
      <c r="B108" s="37">
        <f>VLOOKUP(Table534567910[[#This Row],[Date]],Database!A:E,MATCH($A$1,Database!$A$1:$E$1,),)</f>
        <v>19.382000000000001</v>
      </c>
      <c r="C108" s="8">
        <f t="shared" si="1"/>
        <v>3.1052686057345138E-3</v>
      </c>
      <c r="D108" s="7">
        <f>(Table534567910[[#This Row],[Value]]-B96)/B96</f>
        <v>3.0573722550114472E-2</v>
      </c>
      <c r="E108" s="16">
        <v>0.02</v>
      </c>
      <c r="F108" s="15"/>
    </row>
    <row r="109" spans="1:6" x14ac:dyDescent="0.2">
      <c r="A109" s="38">
        <v>24716</v>
      </c>
      <c r="B109" s="37">
        <f>VLOOKUP(Table534567910[[#This Row],[Date]],Database!A:E,MATCH($A$1,Database!$A$1:$E$1,),)</f>
        <v>19.45</v>
      </c>
      <c r="C109" s="8">
        <f t="shared" si="1"/>
        <v>3.50840986482292E-3</v>
      </c>
      <c r="D109" s="7">
        <f>(Table534567910[[#This Row],[Value]]-B97)/B97</f>
        <v>3.100980652001065E-2</v>
      </c>
      <c r="E109" s="16">
        <v>0.02</v>
      </c>
      <c r="F109" s="15"/>
    </row>
    <row r="110" spans="1:6" x14ac:dyDescent="0.2">
      <c r="A110" s="38">
        <v>24746</v>
      </c>
      <c r="B110" s="37">
        <f>VLOOKUP(Table534567910[[#This Row],[Date]],Database!A:E,MATCH($A$1,Database!$A$1:$E$1,),)</f>
        <v>19.523</v>
      </c>
      <c r="C110" s="8">
        <f t="shared" si="1"/>
        <v>3.7532133676092751E-3</v>
      </c>
      <c r="D110" s="7">
        <f>(Table534567910[[#This Row],[Value]]-B98)/B98</f>
        <v>3.148940666772336E-2</v>
      </c>
      <c r="E110" s="16">
        <v>0.02</v>
      </c>
      <c r="F110" s="15"/>
    </row>
    <row r="111" spans="1:6" x14ac:dyDescent="0.2">
      <c r="A111" s="38">
        <v>24777</v>
      </c>
      <c r="B111" s="37">
        <f>VLOOKUP(Table534567910[[#This Row],[Date]],Database!A:E,MATCH($A$1,Database!$A$1:$E$1,),)</f>
        <v>19.585000000000001</v>
      </c>
      <c r="C111" s="8">
        <f t="shared" si="1"/>
        <v>3.1757414331814358E-3</v>
      </c>
      <c r="D111" s="7">
        <f>(Table534567910[[#This Row],[Value]]-B99)/B99</f>
        <v>3.2147562582345156E-2</v>
      </c>
      <c r="E111" s="16">
        <v>0.02</v>
      </c>
      <c r="F111" s="15"/>
    </row>
    <row r="112" spans="1:6" x14ac:dyDescent="0.2">
      <c r="A112" s="38">
        <v>24807</v>
      </c>
      <c r="B112" s="37">
        <f>VLOOKUP(Table534567910[[#This Row],[Date]],Database!A:E,MATCH($A$1,Database!$A$1:$E$1,),)</f>
        <v>19.632999999999999</v>
      </c>
      <c r="C112" s="8">
        <f t="shared" si="1"/>
        <v>2.4508552463619231E-3</v>
      </c>
      <c r="D112" s="7">
        <f>(Table534567910[[#This Row],[Value]]-B100)/B100</f>
        <v>3.1578394283312265E-2</v>
      </c>
      <c r="E112" s="16">
        <v>0.02</v>
      </c>
      <c r="F112" s="15"/>
    </row>
    <row r="113" spans="1:6" x14ac:dyDescent="0.2">
      <c r="A113" s="38">
        <v>24838</v>
      </c>
      <c r="B113" s="37">
        <f>VLOOKUP(Table534567910[[#This Row],[Date]],Database!A:E,MATCH($A$1,Database!$A$1:$E$1,),)</f>
        <v>19.72</v>
      </c>
      <c r="C113" s="8">
        <f t="shared" si="1"/>
        <v>4.4313146233382443E-3</v>
      </c>
      <c r="D113" s="7">
        <f>(Table534567910[[#This Row],[Value]]-B101)/B101</f>
        <v>3.5170603674540585E-2</v>
      </c>
      <c r="E113" s="16">
        <v>0.02</v>
      </c>
      <c r="F113" s="15"/>
    </row>
    <row r="114" spans="1:6" x14ac:dyDescent="0.2">
      <c r="A114" s="38">
        <v>24869</v>
      </c>
      <c r="B114" s="37">
        <f>VLOOKUP(Table534567910[[#This Row],[Date]],Database!A:E,MATCH($A$1,Database!$A$1:$E$1,),)</f>
        <v>19.805</v>
      </c>
      <c r="C114" s="8">
        <f t="shared" si="1"/>
        <v>4.3103448275862502E-3</v>
      </c>
      <c r="D114" s="7">
        <f>(Table534567910[[#This Row],[Value]]-B102)/B102</f>
        <v>3.7780339551456724E-2</v>
      </c>
      <c r="E114" s="16">
        <v>0.02</v>
      </c>
      <c r="F114" s="15"/>
    </row>
    <row r="115" spans="1:6" x14ac:dyDescent="0.2">
      <c r="A115" s="38">
        <v>24898</v>
      </c>
      <c r="B115" s="37">
        <f>VLOOKUP(Table534567910[[#This Row],[Date]],Database!A:E,MATCH($A$1,Database!$A$1:$E$1,),)</f>
        <v>19.884</v>
      </c>
      <c r="C115" s="8">
        <f t="shared" si="1"/>
        <v>3.9888916940166944E-3</v>
      </c>
      <c r="D115" s="7">
        <f>(Table534567910[[#This Row],[Value]]-B103)/B103</f>
        <v>4.0339036258044303E-2</v>
      </c>
      <c r="E115" s="16">
        <v>0.02</v>
      </c>
      <c r="F115" s="15"/>
    </row>
    <row r="116" spans="1:6" x14ac:dyDescent="0.2">
      <c r="A116" s="38">
        <v>24929</v>
      </c>
      <c r="B116" s="37">
        <f>VLOOKUP(Table534567910[[#This Row],[Date]],Database!A:E,MATCH($A$1,Database!$A$1:$E$1,),)</f>
        <v>19.957000000000001</v>
      </c>
      <c r="C116" s="8">
        <f t="shared" si="1"/>
        <v>3.6712935023134378E-3</v>
      </c>
      <c r="D116" s="7">
        <f>(Table534567910[[#This Row],[Value]]-B104)/B104</f>
        <v>4.1325332637620747E-2</v>
      </c>
      <c r="E116" s="16">
        <v>0.02</v>
      </c>
      <c r="F116" s="15"/>
    </row>
    <row r="117" spans="1:6" x14ac:dyDescent="0.2">
      <c r="A117" s="38">
        <v>24959</v>
      </c>
      <c r="B117" s="37">
        <f>VLOOKUP(Table534567910[[#This Row],[Date]],Database!A:E,MATCH($A$1,Database!$A$1:$E$1,),)</f>
        <v>20.033000000000001</v>
      </c>
      <c r="C117" s="8">
        <f t="shared" si="1"/>
        <v>3.8081876033472218E-3</v>
      </c>
      <c r="D117" s="7">
        <f>(Table534567910[[#This Row],[Value]]-B105)/B105</f>
        <v>4.2950853810912272E-2</v>
      </c>
      <c r="E117" s="16">
        <v>0.02</v>
      </c>
      <c r="F117" s="15"/>
    </row>
    <row r="118" spans="1:6" x14ac:dyDescent="0.2">
      <c r="A118" s="38">
        <v>24990</v>
      </c>
      <c r="B118" s="37">
        <f>VLOOKUP(Table534567910[[#This Row],[Date]],Database!A:E,MATCH($A$1,Database!$A$1:$E$1,),)</f>
        <v>20.111000000000001</v>
      </c>
      <c r="C118" s="8">
        <f t="shared" si="1"/>
        <v>3.8935756002595415E-3</v>
      </c>
      <c r="D118" s="7">
        <f>(Table534567910[[#This Row],[Value]]-B106)/B106</f>
        <v>4.4347509996364914E-2</v>
      </c>
      <c r="E118" s="16">
        <v>0.02</v>
      </c>
      <c r="F118" s="15"/>
    </row>
    <row r="119" spans="1:6" x14ac:dyDescent="0.2">
      <c r="A119" s="38">
        <v>25020</v>
      </c>
      <c r="B119" s="37">
        <f>VLOOKUP(Table534567910[[#This Row],[Date]],Database!A:E,MATCH($A$1,Database!$A$1:$E$1,),)</f>
        <v>20.178000000000001</v>
      </c>
      <c r="C119" s="8">
        <f t="shared" si="1"/>
        <v>3.3315101188404438E-3</v>
      </c>
      <c r="D119" s="7">
        <f>(Table534567910[[#This Row],[Value]]-B107)/B107</f>
        <v>4.4301832108477469E-2</v>
      </c>
      <c r="E119" s="16">
        <v>0.02</v>
      </c>
      <c r="F119" s="15"/>
    </row>
    <row r="120" spans="1:6" x14ac:dyDescent="0.2">
      <c r="A120" s="38">
        <v>25051</v>
      </c>
      <c r="B120" s="37">
        <f>VLOOKUP(Table534567910[[#This Row],[Date]],Database!A:E,MATCH($A$1,Database!$A$1:$E$1,),)</f>
        <v>20.257000000000001</v>
      </c>
      <c r="C120" s="8">
        <f t="shared" si="1"/>
        <v>3.915155119437041E-3</v>
      </c>
      <c r="D120" s="7">
        <f>(Table534567910[[#This Row],[Value]]-B108)/B108</f>
        <v>4.514497987823754E-2</v>
      </c>
      <c r="E120" s="16">
        <v>0.02</v>
      </c>
      <c r="F120" s="15"/>
    </row>
    <row r="121" spans="1:6" x14ac:dyDescent="0.2">
      <c r="A121" s="38">
        <v>25082</v>
      </c>
      <c r="B121" s="37">
        <f>VLOOKUP(Table534567910[[#This Row],[Date]],Database!A:E,MATCH($A$1,Database!$A$1:$E$1,),)</f>
        <v>20.338999999999999</v>
      </c>
      <c r="C121" s="8">
        <f t="shared" si="1"/>
        <v>4.0479834131409969E-3</v>
      </c>
      <c r="D121" s="7">
        <f>(Table534567910[[#This Row],[Value]]-B109)/B109</f>
        <v>4.5706940874035956E-2</v>
      </c>
      <c r="E121" s="16">
        <v>0.02</v>
      </c>
      <c r="F121" s="15"/>
    </row>
    <row r="122" spans="1:6" x14ac:dyDescent="0.2">
      <c r="A122" s="38">
        <v>25112</v>
      </c>
      <c r="B122" s="37">
        <f>VLOOKUP(Table534567910[[#This Row],[Date]],Database!A:E,MATCH($A$1,Database!$A$1:$E$1,),)</f>
        <v>20.422000000000001</v>
      </c>
      <c r="C122" s="8">
        <f t="shared" si="1"/>
        <v>4.0808299326418199E-3</v>
      </c>
      <c r="D122" s="7">
        <f>(Table534567910[[#This Row],[Value]]-B110)/B110</f>
        <v>4.604825078113E-2</v>
      </c>
      <c r="E122" s="16">
        <v>0.02</v>
      </c>
      <c r="F122" s="15"/>
    </row>
    <row r="123" spans="1:6" x14ac:dyDescent="0.2">
      <c r="A123" s="38">
        <v>25143</v>
      </c>
      <c r="B123" s="37">
        <f>VLOOKUP(Table534567910[[#This Row],[Date]],Database!A:E,MATCH($A$1,Database!$A$1:$E$1,),)</f>
        <v>20.498000000000001</v>
      </c>
      <c r="C123" s="8">
        <f t="shared" si="1"/>
        <v>3.7214768387033841E-3</v>
      </c>
      <c r="D123" s="7">
        <f>(Table534567910[[#This Row],[Value]]-B111)/B111</f>
        <v>4.6617309165177444E-2</v>
      </c>
      <c r="E123" s="16">
        <v>0.02</v>
      </c>
      <c r="F123" s="15"/>
    </row>
    <row r="124" spans="1:6" x14ac:dyDescent="0.2">
      <c r="A124" s="38">
        <v>25173</v>
      </c>
      <c r="B124" s="37">
        <f>VLOOKUP(Table534567910[[#This Row],[Date]],Database!A:E,MATCH($A$1,Database!$A$1:$E$1,),)</f>
        <v>20.56</v>
      </c>
      <c r="C124" s="8">
        <f t="shared" si="1"/>
        <v>3.0246853351545326E-3</v>
      </c>
      <c r="D124" s="7">
        <f>(Table534567910[[#This Row],[Value]]-B112)/B112</f>
        <v>4.7216421331431752E-2</v>
      </c>
      <c r="E124" s="16">
        <v>0.02</v>
      </c>
      <c r="F124" s="15"/>
    </row>
    <row r="125" spans="1:6" x14ac:dyDescent="0.2">
      <c r="A125" s="38">
        <v>25204</v>
      </c>
      <c r="B125" s="37">
        <f>VLOOKUP(Table534567910[[#This Row],[Date]],Database!A:E,MATCH($A$1,Database!$A$1:$E$1,),)</f>
        <v>20.638000000000002</v>
      </c>
      <c r="C125" s="8">
        <f t="shared" si="1"/>
        <v>3.7937743190662918E-3</v>
      </c>
      <c r="D125" s="7">
        <f>(Table534567910[[#This Row],[Value]]-B113)/B113</f>
        <v>4.6551724137931183E-2</v>
      </c>
      <c r="E125" s="16">
        <v>0.02</v>
      </c>
      <c r="F125" s="15"/>
    </row>
    <row r="126" spans="1:6" x14ac:dyDescent="0.2">
      <c r="A126" s="38">
        <v>25235</v>
      </c>
      <c r="B126" s="37">
        <f>VLOOKUP(Table534567910[[#This Row],[Date]],Database!A:E,MATCH($A$1,Database!$A$1:$E$1,),)</f>
        <v>20.709</v>
      </c>
      <c r="C126" s="8">
        <f t="shared" si="1"/>
        <v>3.440255838743965E-3</v>
      </c>
      <c r="D126" s="7">
        <f>(Table534567910[[#This Row],[Value]]-B114)/B114</f>
        <v>4.5645039131532436E-2</v>
      </c>
      <c r="E126" s="16">
        <v>0.02</v>
      </c>
      <c r="F126" s="15"/>
    </row>
    <row r="127" spans="1:6" x14ac:dyDescent="0.2">
      <c r="A127" s="38">
        <v>25263</v>
      </c>
      <c r="B127" s="37">
        <f>VLOOKUP(Table534567910[[#This Row],[Date]],Database!A:E,MATCH($A$1,Database!$A$1:$E$1,),)</f>
        <v>20.805</v>
      </c>
      <c r="C127" s="8">
        <f t="shared" si="1"/>
        <v>4.6356656526148092E-3</v>
      </c>
      <c r="D127" s="7">
        <f>(Table534567910[[#This Row],[Value]]-B115)/B115</f>
        <v>4.6318648159324044E-2</v>
      </c>
      <c r="E127" s="16">
        <v>0.02</v>
      </c>
      <c r="F127" s="15"/>
    </row>
    <row r="128" spans="1:6" x14ac:dyDescent="0.2">
      <c r="A128" s="38">
        <v>25294</v>
      </c>
      <c r="B128" s="37">
        <f>VLOOKUP(Table534567910[[#This Row],[Date]],Database!A:E,MATCH($A$1,Database!$A$1:$E$1,),)</f>
        <v>20.885999999999999</v>
      </c>
      <c r="C128" s="8">
        <f t="shared" si="1"/>
        <v>3.8932948810381889E-3</v>
      </c>
      <c r="D128" s="7">
        <f>(Table534567910[[#This Row],[Value]]-B116)/B116</f>
        <v>4.65500826777571E-2</v>
      </c>
      <c r="E128" s="16">
        <v>0.02</v>
      </c>
      <c r="F128" s="15"/>
    </row>
    <row r="129" spans="1:6" x14ac:dyDescent="0.2">
      <c r="A129" s="38">
        <v>25324</v>
      </c>
      <c r="B129" s="37">
        <f>VLOOKUP(Table534567910[[#This Row],[Date]],Database!A:E,MATCH($A$1,Database!$A$1:$E$1,),)</f>
        <v>20.969000000000001</v>
      </c>
      <c r="C129" s="8">
        <f t="shared" si="1"/>
        <v>3.9739538446807417E-3</v>
      </c>
      <c r="D129" s="7">
        <f>(Table534567910[[#This Row],[Value]]-B117)/B117</f>
        <v>4.6722907203114852E-2</v>
      </c>
      <c r="E129" s="16">
        <v>0.02</v>
      </c>
      <c r="F129" s="15"/>
    </row>
    <row r="130" spans="1:6" x14ac:dyDescent="0.2">
      <c r="A130" s="38">
        <v>25355</v>
      </c>
      <c r="B130" s="37">
        <f>VLOOKUP(Table534567910[[#This Row],[Date]],Database!A:E,MATCH($A$1,Database!$A$1:$E$1,),)</f>
        <v>21.041</v>
      </c>
      <c r="C130" s="8">
        <f t="shared" si="1"/>
        <v>3.433640135437988E-3</v>
      </c>
      <c r="D130" s="7">
        <f>(Table534567910[[#This Row],[Value]]-B118)/B118</f>
        <v>4.6243349410770213E-2</v>
      </c>
      <c r="E130" s="16">
        <v>0.02</v>
      </c>
      <c r="F130" s="15"/>
    </row>
    <row r="131" spans="1:6" x14ac:dyDescent="0.2">
      <c r="A131" s="38">
        <v>25385</v>
      </c>
      <c r="B131" s="37">
        <f>VLOOKUP(Table534567910[[#This Row],[Date]],Database!A:E,MATCH($A$1,Database!$A$1:$E$1,),)</f>
        <v>21.138999999999999</v>
      </c>
      <c r="C131" s="8">
        <f t="shared" si="1"/>
        <v>4.6575733092533139E-3</v>
      </c>
      <c r="D131" s="7">
        <f>(Table534567910[[#This Row],[Value]]-B119)/B119</f>
        <v>4.7626127465556473E-2</v>
      </c>
      <c r="E131" s="16">
        <v>0.02</v>
      </c>
      <c r="F131" s="15"/>
    </row>
    <row r="132" spans="1:6" x14ac:dyDescent="0.2">
      <c r="A132" s="38">
        <v>25416</v>
      </c>
      <c r="B132" s="37">
        <f>VLOOKUP(Table534567910[[#This Row],[Date]],Database!A:E,MATCH($A$1,Database!$A$1:$E$1,),)</f>
        <v>21.199000000000002</v>
      </c>
      <c r="C132" s="8">
        <f t="shared" si="1"/>
        <v>2.8383556459625468E-3</v>
      </c>
      <c r="D132" s="7">
        <f>(Table534567910[[#This Row],[Value]]-B120)/B120</f>
        <v>4.6502443599743301E-2</v>
      </c>
      <c r="E132" s="16">
        <v>0.02</v>
      </c>
      <c r="F132" s="15"/>
    </row>
    <row r="133" spans="1:6" x14ac:dyDescent="0.2">
      <c r="A133" s="38">
        <v>25447</v>
      </c>
      <c r="B133" s="37">
        <f>VLOOKUP(Table534567910[[#This Row],[Date]],Database!A:E,MATCH($A$1,Database!$A$1:$E$1,),)</f>
        <v>21.283999999999999</v>
      </c>
      <c r="C133" s="8">
        <f t="shared" si="1"/>
        <v>4.0096230954289021E-3</v>
      </c>
      <c r="D133" s="7">
        <f>(Table534567910[[#This Row],[Value]]-B121)/B121</f>
        <v>4.6462461281282286E-2</v>
      </c>
      <c r="E133" s="16">
        <v>0.02</v>
      </c>
      <c r="F133" s="15"/>
    </row>
    <row r="134" spans="1:6" x14ac:dyDescent="0.2">
      <c r="A134" s="38">
        <v>25477</v>
      </c>
      <c r="B134" s="37">
        <f>VLOOKUP(Table534567910[[#This Row],[Date]],Database!A:E,MATCH($A$1,Database!$A$1:$E$1,),)</f>
        <v>21.375</v>
      </c>
      <c r="C134" s="8">
        <f t="shared" ref="C134:C197" si="2">(B134-B133)/B133</f>
        <v>4.2755121217816711E-3</v>
      </c>
      <c r="D134" s="7">
        <f>(Table534567910[[#This Row],[Value]]-B122)/B122</f>
        <v>4.6665360885319723E-2</v>
      </c>
      <c r="E134" s="16">
        <v>0.02</v>
      </c>
      <c r="F134" s="15"/>
    </row>
    <row r="135" spans="1:6" x14ac:dyDescent="0.2">
      <c r="A135" s="38">
        <v>25508</v>
      </c>
      <c r="B135" s="37">
        <f>VLOOKUP(Table534567910[[#This Row],[Date]],Database!A:E,MATCH($A$1,Database!$A$1:$E$1,),)</f>
        <v>21.457000000000001</v>
      </c>
      <c r="C135" s="8">
        <f t="shared" si="2"/>
        <v>3.8362573099415551E-3</v>
      </c>
      <c r="D135" s="7">
        <f>(Table534567910[[#This Row],[Value]]-B123)/B123</f>
        <v>4.6785052200214637E-2</v>
      </c>
      <c r="E135" s="16">
        <v>0.02</v>
      </c>
      <c r="F135" s="15"/>
    </row>
    <row r="136" spans="1:6" x14ac:dyDescent="0.2">
      <c r="A136" s="38">
        <v>25538</v>
      </c>
      <c r="B136" s="37">
        <f>VLOOKUP(Table534567910[[#This Row],[Date]],Database!A:E,MATCH($A$1,Database!$A$1:$E$1,),)</f>
        <v>21.536999999999999</v>
      </c>
      <c r="C136" s="8">
        <f t="shared" si="2"/>
        <v>3.7283870065712025E-3</v>
      </c>
      <c r="D136" s="7">
        <f>(Table534567910[[#This Row],[Value]]-B124)/B124</f>
        <v>4.7519455252918306E-2</v>
      </c>
      <c r="E136" s="16">
        <v>0.02</v>
      </c>
      <c r="F136" s="15"/>
    </row>
    <row r="137" spans="1:6" x14ac:dyDescent="0.2">
      <c r="A137" s="38">
        <v>25569</v>
      </c>
      <c r="B137" s="37">
        <f>VLOOKUP(Table534567910[[#This Row],[Date]],Database!A:E,MATCH($A$1,Database!$A$1:$E$1,),)</f>
        <v>21.608000000000001</v>
      </c>
      <c r="C137" s="8">
        <f t="shared" si="2"/>
        <v>3.2966522728328693E-3</v>
      </c>
      <c r="D137" s="7">
        <f>(Table534567910[[#This Row],[Value]]-B125)/B125</f>
        <v>4.7000678360306171E-2</v>
      </c>
      <c r="E137" s="16">
        <v>0.02</v>
      </c>
      <c r="F137" s="15"/>
    </row>
    <row r="138" spans="1:6" x14ac:dyDescent="0.2">
      <c r="A138" s="38">
        <v>25600</v>
      </c>
      <c r="B138" s="37">
        <f>VLOOKUP(Table534567910[[#This Row],[Date]],Database!A:E,MATCH($A$1,Database!$A$1:$E$1,),)</f>
        <v>21.690999999999999</v>
      </c>
      <c r="C138" s="8">
        <f t="shared" si="2"/>
        <v>3.8411699370602742E-3</v>
      </c>
      <c r="D138" s="7">
        <f>(Table534567910[[#This Row],[Value]]-B126)/B126</f>
        <v>4.7418996571538911E-2</v>
      </c>
      <c r="E138" s="16">
        <v>0.02</v>
      </c>
      <c r="F138" s="15"/>
    </row>
    <row r="139" spans="1:6" x14ac:dyDescent="0.2">
      <c r="A139" s="38">
        <v>25628</v>
      </c>
      <c r="B139" s="37">
        <f>VLOOKUP(Table534567910[[#This Row],[Date]],Database!A:E,MATCH($A$1,Database!$A$1:$E$1,),)</f>
        <v>21.771999999999998</v>
      </c>
      <c r="C139" s="8">
        <f t="shared" si="2"/>
        <v>3.7342676686182991E-3</v>
      </c>
      <c r="D139" s="7">
        <f>(Table534567910[[#This Row],[Value]]-B127)/B127</f>
        <v>4.647921172794995E-2</v>
      </c>
      <c r="E139" s="16">
        <v>0.02</v>
      </c>
      <c r="F139" s="15"/>
    </row>
    <row r="140" spans="1:6" x14ac:dyDescent="0.2">
      <c r="A140" s="38">
        <v>25659</v>
      </c>
      <c r="B140" s="37">
        <f>VLOOKUP(Table534567910[[#This Row],[Date]],Database!A:E,MATCH($A$1,Database!$A$1:$E$1,),)</f>
        <v>21.856999999999999</v>
      </c>
      <c r="C140" s="8">
        <f t="shared" si="2"/>
        <v>3.9040970053279837E-3</v>
      </c>
      <c r="D140" s="7">
        <f>(Table534567910[[#This Row],[Value]]-B128)/B128</f>
        <v>4.649047208656517E-2</v>
      </c>
      <c r="E140" s="16">
        <v>0.02</v>
      </c>
      <c r="F140" s="15"/>
    </row>
    <row r="141" spans="1:6" x14ac:dyDescent="0.2">
      <c r="A141" s="38">
        <v>25689</v>
      </c>
      <c r="B141" s="37">
        <f>VLOOKUP(Table534567910[[#This Row],[Date]],Database!A:E,MATCH($A$1,Database!$A$1:$E$1,),)</f>
        <v>21.934000000000001</v>
      </c>
      <c r="C141" s="8">
        <f t="shared" si="2"/>
        <v>3.5228988424761739E-3</v>
      </c>
      <c r="D141" s="7">
        <f>(Table534567910[[#This Row],[Value]]-B129)/B129</f>
        <v>4.6020315704134666E-2</v>
      </c>
      <c r="E141" s="16">
        <v>0.02</v>
      </c>
      <c r="F141" s="15"/>
    </row>
    <row r="142" spans="1:6" x14ac:dyDescent="0.2">
      <c r="A142" s="38">
        <v>25720</v>
      </c>
      <c r="B142" s="37">
        <f>VLOOKUP(Table534567910[[#This Row],[Date]],Database!A:E,MATCH($A$1,Database!$A$1:$E$1,),)</f>
        <v>22.013999999999999</v>
      </c>
      <c r="C142" s="8">
        <f t="shared" si="2"/>
        <v>3.6473055530226264E-3</v>
      </c>
      <c r="D142" s="7">
        <f>(Table534567910[[#This Row],[Value]]-B130)/B130</f>
        <v>4.6243049284729762E-2</v>
      </c>
      <c r="E142" s="16">
        <v>0.02</v>
      </c>
      <c r="F142" s="15"/>
    </row>
    <row r="143" spans="1:6" x14ac:dyDescent="0.2">
      <c r="A143" s="38">
        <v>25750</v>
      </c>
      <c r="B143" s="37">
        <f>VLOOKUP(Table534567910[[#This Row],[Date]],Database!A:E,MATCH($A$1,Database!$A$1:$E$1,),)</f>
        <v>22.097999999999999</v>
      </c>
      <c r="C143" s="8">
        <f t="shared" si="2"/>
        <v>3.8157536113382225E-3</v>
      </c>
      <c r="D143" s="7">
        <f>(Table534567910[[#This Row],[Value]]-B131)/B131</f>
        <v>4.5366384407966302E-2</v>
      </c>
      <c r="E143" s="16">
        <v>0.02</v>
      </c>
      <c r="F143" s="15"/>
    </row>
    <row r="144" spans="1:6" x14ac:dyDescent="0.2">
      <c r="A144" s="38">
        <v>25781</v>
      </c>
      <c r="B144" s="37">
        <f>VLOOKUP(Table534567910[[#This Row],[Date]],Database!A:E,MATCH($A$1,Database!$A$1:$E$1,),)</f>
        <v>22.173999999999999</v>
      </c>
      <c r="C144" s="8">
        <f t="shared" si="2"/>
        <v>3.4392252692551596E-3</v>
      </c>
      <c r="D144" s="7">
        <f>(Table534567910[[#This Row],[Value]]-B132)/B132</f>
        <v>4.5992735506391706E-2</v>
      </c>
      <c r="E144" s="16">
        <v>0.02</v>
      </c>
      <c r="F144" s="15"/>
    </row>
    <row r="145" spans="1:6" x14ac:dyDescent="0.2">
      <c r="A145" s="38">
        <v>25812</v>
      </c>
      <c r="B145" s="37">
        <f>VLOOKUP(Table534567910[[#This Row],[Date]],Database!A:E,MATCH($A$1,Database!$A$1:$E$1,),)</f>
        <v>22.266999999999999</v>
      </c>
      <c r="C145" s="8">
        <f t="shared" si="2"/>
        <v>4.1941011996031374E-3</v>
      </c>
      <c r="D145" s="7">
        <f>(Table534567910[[#This Row],[Value]]-B133)/B133</f>
        <v>4.6184927645179508E-2</v>
      </c>
      <c r="E145" s="16">
        <v>0.02</v>
      </c>
      <c r="F145" s="15"/>
    </row>
    <row r="146" spans="1:6" x14ac:dyDescent="0.2">
      <c r="A146" s="38">
        <v>25842</v>
      </c>
      <c r="B146" s="37">
        <f>VLOOKUP(Table534567910[[#This Row],[Date]],Database!A:E,MATCH($A$1,Database!$A$1:$E$1,),)</f>
        <v>22.376000000000001</v>
      </c>
      <c r="C146" s="8">
        <f t="shared" si="2"/>
        <v>4.8951363003548647E-3</v>
      </c>
      <c r="D146" s="7">
        <f>(Table534567910[[#This Row],[Value]]-B134)/B134</f>
        <v>4.6830409356725201E-2</v>
      </c>
      <c r="E146" s="16">
        <v>0.02</v>
      </c>
      <c r="F146" s="15"/>
    </row>
    <row r="147" spans="1:6" x14ac:dyDescent="0.2">
      <c r="A147" s="38">
        <v>25873</v>
      </c>
      <c r="B147" s="37">
        <f>VLOOKUP(Table534567910[[#This Row],[Date]],Database!A:E,MATCH($A$1,Database!$A$1:$E$1,),)</f>
        <v>22.492000000000001</v>
      </c>
      <c r="C147" s="8">
        <f t="shared" si="2"/>
        <v>5.1841258491240457E-3</v>
      </c>
      <c r="D147" s="7">
        <f>(Table534567910[[#This Row],[Value]]-B135)/B135</f>
        <v>4.8236006897515969E-2</v>
      </c>
      <c r="E147" s="16">
        <v>0.02</v>
      </c>
      <c r="F147" s="15"/>
    </row>
    <row r="148" spans="1:6" x14ac:dyDescent="0.2">
      <c r="A148" s="38">
        <v>25903</v>
      </c>
      <c r="B148" s="37">
        <f>VLOOKUP(Table534567910[[#This Row],[Date]],Database!A:E,MATCH($A$1,Database!$A$1:$E$1,),)</f>
        <v>22.605</v>
      </c>
      <c r="C148" s="8">
        <f t="shared" si="2"/>
        <v>5.0240085363684661E-3</v>
      </c>
      <c r="D148" s="7">
        <f>(Table534567910[[#This Row],[Value]]-B136)/B136</f>
        <v>4.9589079258949779E-2</v>
      </c>
      <c r="E148" s="16">
        <v>0.02</v>
      </c>
      <c r="F148" s="15"/>
    </row>
    <row r="149" spans="1:6" x14ac:dyDescent="0.2">
      <c r="A149" s="38">
        <v>25934</v>
      </c>
      <c r="B149" s="37">
        <f>VLOOKUP(Table534567910[[#This Row],[Date]],Database!A:E,MATCH($A$1,Database!$A$1:$E$1,),)</f>
        <v>22.693999999999999</v>
      </c>
      <c r="C149" s="8">
        <f t="shared" si="2"/>
        <v>3.9371820393717602E-3</v>
      </c>
      <c r="D149" s="7">
        <f>(Table534567910[[#This Row],[Value]]-B137)/B137</f>
        <v>5.0259163272861833E-2</v>
      </c>
      <c r="E149" s="16">
        <v>0.02</v>
      </c>
      <c r="F149" s="15">
        <v>4</v>
      </c>
    </row>
    <row r="150" spans="1:6" x14ac:dyDescent="0.2">
      <c r="A150" s="38">
        <v>25965</v>
      </c>
      <c r="B150" s="37">
        <f>VLOOKUP(Table534567910[[#This Row],[Date]],Database!A:E,MATCH($A$1,Database!$A$1:$E$1,),)</f>
        <v>22.78</v>
      </c>
      <c r="C150" s="8">
        <f t="shared" si="2"/>
        <v>3.7895478981229435E-3</v>
      </c>
      <c r="D150" s="7">
        <f>(Table534567910[[#This Row],[Value]]-B138)/B138</f>
        <v>5.0205154211424199E-2</v>
      </c>
      <c r="E150" s="16">
        <v>0.02</v>
      </c>
      <c r="F150" s="15">
        <v>3.5</v>
      </c>
    </row>
    <row r="151" spans="1:6" x14ac:dyDescent="0.2">
      <c r="A151" s="38">
        <v>25993</v>
      </c>
      <c r="B151" s="37">
        <f>VLOOKUP(Table534567910[[#This Row],[Date]],Database!A:E,MATCH($A$1,Database!$A$1:$E$1,),)</f>
        <v>22.853000000000002</v>
      </c>
      <c r="C151" s="8">
        <f t="shared" si="2"/>
        <v>3.2045654082528707E-3</v>
      </c>
      <c r="D151" s="7">
        <f>(Table534567910[[#This Row],[Value]]-B139)/B139</f>
        <v>4.965092779717082E-2</v>
      </c>
      <c r="E151" s="16">
        <v>0.02</v>
      </c>
      <c r="F151" s="15">
        <v>5.5</v>
      </c>
    </row>
    <row r="152" spans="1:6" x14ac:dyDescent="0.2">
      <c r="A152" s="38">
        <v>26024</v>
      </c>
      <c r="B152" s="37">
        <f>VLOOKUP(Table534567910[[#This Row],[Date]],Database!A:E,MATCH($A$1,Database!$A$1:$E$1,),)</f>
        <v>22.939</v>
      </c>
      <c r="C152" s="8">
        <f t="shared" si="2"/>
        <v>3.7631820767513461E-3</v>
      </c>
      <c r="D152" s="7">
        <f>(Table534567910[[#This Row],[Value]]-B140)/B140</f>
        <v>4.9503591526742038E-2</v>
      </c>
      <c r="E152" s="16">
        <v>0.02</v>
      </c>
      <c r="F152" s="15">
        <v>5.5</v>
      </c>
    </row>
    <row r="153" spans="1:6" x14ac:dyDescent="0.2">
      <c r="A153" s="38">
        <v>26054</v>
      </c>
      <c r="B153" s="37">
        <f>VLOOKUP(Table534567910[[#This Row],[Date]],Database!A:E,MATCH($A$1,Database!$A$1:$E$1,),)</f>
        <v>23.039000000000001</v>
      </c>
      <c r="C153" s="8">
        <f t="shared" si="2"/>
        <v>4.3593879419330144E-3</v>
      </c>
      <c r="D153" s="7">
        <f>(Table534567910[[#This Row],[Value]]-B141)/B141</f>
        <v>5.0378407951126122E-2</v>
      </c>
      <c r="E153" s="16">
        <v>0.02</v>
      </c>
      <c r="F153" s="15">
        <v>5.5</v>
      </c>
    </row>
    <row r="154" spans="1:6" x14ac:dyDescent="0.2">
      <c r="A154" s="38">
        <v>26085</v>
      </c>
      <c r="B154" s="37">
        <f>VLOOKUP(Table534567910[[#This Row],[Date]],Database!A:E,MATCH($A$1,Database!$A$1:$E$1,),)</f>
        <v>23.129000000000001</v>
      </c>
      <c r="C154" s="8">
        <f t="shared" si="2"/>
        <v>3.9064195494596058E-3</v>
      </c>
      <c r="D154" s="7">
        <f>(Table534567910[[#This Row],[Value]]-B142)/B142</f>
        <v>5.0649586626692195E-2</v>
      </c>
      <c r="E154" s="16">
        <v>0.02</v>
      </c>
      <c r="F154" s="15">
        <v>5.5</v>
      </c>
    </row>
    <row r="155" spans="1:6" x14ac:dyDescent="0.2">
      <c r="A155" s="38">
        <v>26115</v>
      </c>
      <c r="B155" s="37">
        <f>VLOOKUP(Table534567910[[#This Row],[Date]],Database!A:E,MATCH($A$1,Database!$A$1:$E$1,),)</f>
        <v>23.218</v>
      </c>
      <c r="C155" s="8">
        <f t="shared" si="2"/>
        <v>3.8479830515802081E-3</v>
      </c>
      <c r="D155" s="7">
        <f>(Table534567910[[#This Row],[Value]]-B143)/B143</f>
        <v>5.068331975744416E-2</v>
      </c>
      <c r="E155" s="16">
        <v>0.02</v>
      </c>
      <c r="F155" s="15">
        <v>5.5</v>
      </c>
    </row>
    <row r="156" spans="1:6" x14ac:dyDescent="0.2">
      <c r="A156" s="38">
        <v>26146</v>
      </c>
      <c r="B156" s="37">
        <f>VLOOKUP(Table534567910[[#This Row],[Date]],Database!A:E,MATCH($A$1,Database!$A$1:$E$1,),)</f>
        <v>23.251000000000001</v>
      </c>
      <c r="C156" s="8">
        <f t="shared" si="2"/>
        <v>1.4213110517702322E-3</v>
      </c>
      <c r="D156" s="7">
        <f>(Table534567910[[#This Row],[Value]]-B144)/B144</f>
        <v>4.8570397763146103E-2</v>
      </c>
      <c r="E156" s="16">
        <v>0.02</v>
      </c>
      <c r="F156" s="15">
        <v>5.75</v>
      </c>
    </row>
    <row r="157" spans="1:6" x14ac:dyDescent="0.2">
      <c r="A157" s="38">
        <v>26177</v>
      </c>
      <c r="B157" s="37">
        <f>VLOOKUP(Table534567910[[#This Row],[Date]],Database!A:E,MATCH($A$1,Database!$A$1:$E$1,),)</f>
        <v>23.289000000000001</v>
      </c>
      <c r="C157" s="8">
        <f t="shared" si="2"/>
        <v>1.6343383080297731E-3</v>
      </c>
      <c r="D157" s="7">
        <f>(Table534567910[[#This Row],[Value]]-B145)/B145</f>
        <v>4.5897516504244042E-2</v>
      </c>
      <c r="E157" s="16">
        <v>0.02</v>
      </c>
      <c r="F157" s="15">
        <v>5.13</v>
      </c>
    </row>
    <row r="158" spans="1:6" x14ac:dyDescent="0.2">
      <c r="A158" s="38">
        <v>26207</v>
      </c>
      <c r="B158" s="37">
        <f>VLOOKUP(Table534567910[[#This Row],[Date]],Database!A:E,MATCH($A$1,Database!$A$1:$E$1,),)</f>
        <v>23.326000000000001</v>
      </c>
      <c r="C158" s="8">
        <f t="shared" si="2"/>
        <v>1.5887328781827915E-3</v>
      </c>
      <c r="D158" s="7">
        <f>(Table534567910[[#This Row],[Value]]-B146)/B146</f>
        <v>4.2456203074722886E-2</v>
      </c>
      <c r="E158" s="16">
        <v>0.02</v>
      </c>
      <c r="F158" s="15">
        <v>5.13</v>
      </c>
    </row>
    <row r="159" spans="1:6" x14ac:dyDescent="0.2">
      <c r="A159" s="38">
        <v>26238</v>
      </c>
      <c r="B159" s="37">
        <f>VLOOKUP(Table534567910[[#This Row],[Date]],Database!A:E,MATCH($A$1,Database!$A$1:$E$1,),)</f>
        <v>23.379000000000001</v>
      </c>
      <c r="C159" s="8">
        <f t="shared" si="2"/>
        <v>2.2721426734116788E-3</v>
      </c>
      <c r="D159" s="7">
        <f>(Table534567910[[#This Row],[Value]]-B147)/B147</f>
        <v>3.9436243997865925E-2</v>
      </c>
      <c r="E159" s="16">
        <v>0.02</v>
      </c>
      <c r="F159" s="15">
        <v>4.5</v>
      </c>
    </row>
    <row r="160" spans="1:6" x14ac:dyDescent="0.2">
      <c r="A160" s="38">
        <v>26268</v>
      </c>
      <c r="B160" s="37">
        <f>VLOOKUP(Table534567910[[#This Row],[Date]],Database!A:E,MATCH($A$1,Database!$A$1:$E$1,),)</f>
        <v>23.452000000000002</v>
      </c>
      <c r="C160" s="8">
        <f t="shared" si="2"/>
        <v>3.1224603276444841E-3</v>
      </c>
      <c r="D160" s="7">
        <f>(Table534567910[[#This Row],[Value]]-B148)/B148</f>
        <v>3.7469586374695919E-2</v>
      </c>
      <c r="E160" s="16">
        <v>0.02</v>
      </c>
      <c r="F160" s="15">
        <v>3.5</v>
      </c>
    </row>
    <row r="161" spans="1:6" x14ac:dyDescent="0.2">
      <c r="A161" s="38">
        <v>26299</v>
      </c>
      <c r="B161" s="37">
        <f>VLOOKUP(Table534567910[[#This Row],[Date]],Database!A:E,MATCH($A$1,Database!$A$1:$E$1,),)</f>
        <v>23.552</v>
      </c>
      <c r="C161" s="8">
        <f t="shared" si="2"/>
        <v>4.2640286542724656E-3</v>
      </c>
      <c r="D161" s="7">
        <f>(Table534567910[[#This Row],[Value]]-B149)/B149</f>
        <v>3.7807349960341963E-2</v>
      </c>
      <c r="E161" s="16">
        <v>0.02</v>
      </c>
      <c r="F161" s="15">
        <v>3.5</v>
      </c>
    </row>
    <row r="162" spans="1:6" x14ac:dyDescent="0.2">
      <c r="A162" s="38">
        <v>26330</v>
      </c>
      <c r="B162" s="37">
        <f>VLOOKUP(Table534567910[[#This Row],[Date]],Database!A:E,MATCH($A$1,Database!$A$1:$E$1,),)</f>
        <v>23.614999999999998</v>
      </c>
      <c r="C162" s="8">
        <f t="shared" si="2"/>
        <v>2.674932065217342E-3</v>
      </c>
      <c r="D162" s="7">
        <f>(Table534567910[[#This Row],[Value]]-B150)/B150</f>
        <v>3.6654960491659228E-2</v>
      </c>
      <c r="E162" s="16">
        <v>0.02</v>
      </c>
      <c r="F162" s="15">
        <v>3.5</v>
      </c>
    </row>
    <row r="163" spans="1:6" x14ac:dyDescent="0.2">
      <c r="A163" s="38">
        <v>26359</v>
      </c>
      <c r="B163" s="37">
        <f>VLOOKUP(Table534567910[[#This Row],[Date]],Database!A:E,MATCH($A$1,Database!$A$1:$E$1,),)</f>
        <v>23.661999999999999</v>
      </c>
      <c r="C163" s="8">
        <f t="shared" si="2"/>
        <v>1.9902604276942877E-3</v>
      </c>
      <c r="D163" s="7">
        <f>(Table534567910[[#This Row],[Value]]-B151)/B151</f>
        <v>3.5400166280138166E-2</v>
      </c>
      <c r="E163" s="16">
        <v>0.02</v>
      </c>
      <c r="F163" s="15">
        <v>5.5</v>
      </c>
    </row>
    <row r="164" spans="1:6" x14ac:dyDescent="0.2">
      <c r="A164" s="38">
        <v>26390</v>
      </c>
      <c r="B164" s="37">
        <f>VLOOKUP(Table534567910[[#This Row],[Date]],Database!A:E,MATCH($A$1,Database!$A$1:$E$1,),)</f>
        <v>23.716999999999999</v>
      </c>
      <c r="C164" s="8">
        <f t="shared" si="2"/>
        <v>2.3244019947595181E-3</v>
      </c>
      <c r="D164" s="7">
        <f>(Table534567910[[#This Row],[Value]]-B152)/B152</f>
        <v>3.3916038188238316E-2</v>
      </c>
      <c r="E164" s="16">
        <v>0.02</v>
      </c>
      <c r="F164" s="15">
        <v>5.5</v>
      </c>
    </row>
    <row r="165" spans="1:6" x14ac:dyDescent="0.2">
      <c r="A165" s="38">
        <v>26420</v>
      </c>
      <c r="B165" s="37">
        <f>VLOOKUP(Table534567910[[#This Row],[Date]],Database!A:E,MATCH($A$1,Database!$A$1:$E$1,),)</f>
        <v>23.771999999999998</v>
      </c>
      <c r="C165" s="8">
        <f t="shared" si="2"/>
        <v>2.3190116793860827E-3</v>
      </c>
      <c r="D165" s="7">
        <f>(Table534567910[[#This Row],[Value]]-B153)/B153</f>
        <v>3.1815616997265372E-2</v>
      </c>
      <c r="E165" s="16">
        <v>0.02</v>
      </c>
      <c r="F165" s="15">
        <v>5.5</v>
      </c>
    </row>
    <row r="166" spans="1:6" x14ac:dyDescent="0.2">
      <c r="A166" s="38">
        <v>26451</v>
      </c>
      <c r="B166" s="37">
        <f>VLOOKUP(Table534567910[[#This Row],[Date]],Database!A:E,MATCH($A$1,Database!$A$1:$E$1,),)</f>
        <v>23.818999999999999</v>
      </c>
      <c r="C166" s="8">
        <f t="shared" si="2"/>
        <v>1.9771159347131331E-3</v>
      </c>
      <c r="D166" s="7">
        <f>(Table534567910[[#This Row],[Value]]-B154)/B154</f>
        <v>2.9832677590903096E-2</v>
      </c>
      <c r="E166" s="16">
        <v>0.02</v>
      </c>
      <c r="F166" s="15">
        <v>5.5</v>
      </c>
    </row>
    <row r="167" spans="1:6" x14ac:dyDescent="0.2">
      <c r="A167" s="38">
        <v>26481</v>
      </c>
      <c r="B167" s="37">
        <f>VLOOKUP(Table534567910[[#This Row],[Date]],Database!A:E,MATCH($A$1,Database!$A$1:$E$1,),)</f>
        <v>23.888000000000002</v>
      </c>
      <c r="C167" s="8">
        <f t="shared" si="2"/>
        <v>2.8968470548722709E-3</v>
      </c>
      <c r="D167" s="7">
        <f>(Table534567910[[#This Row],[Value]]-B155)/B155</f>
        <v>2.8856921354121875E-2</v>
      </c>
      <c r="E167" s="16">
        <v>0.02</v>
      </c>
      <c r="F167" s="15">
        <v>5.5</v>
      </c>
    </row>
    <row r="168" spans="1:6" x14ac:dyDescent="0.2">
      <c r="A168" s="38">
        <v>26512</v>
      </c>
      <c r="B168" s="37">
        <f>VLOOKUP(Table534567910[[#This Row],[Date]],Database!A:E,MATCH($A$1,Database!$A$1:$E$1,),)</f>
        <v>23.937999999999999</v>
      </c>
      <c r="C168" s="8">
        <f t="shared" si="2"/>
        <v>2.0931011386469004E-3</v>
      </c>
      <c r="D168" s="7">
        <f>(Table534567910[[#This Row],[Value]]-B156)/B156</f>
        <v>2.954711625306428E-2</v>
      </c>
      <c r="E168" s="16">
        <v>0.02</v>
      </c>
      <c r="F168" s="15">
        <v>5.5</v>
      </c>
    </row>
    <row r="169" spans="1:6" x14ac:dyDescent="0.2">
      <c r="A169" s="38">
        <v>26543</v>
      </c>
      <c r="B169" s="37">
        <f>VLOOKUP(Table534567910[[#This Row],[Date]],Database!A:E,MATCH($A$1,Database!$A$1:$E$1,),)</f>
        <v>24.018000000000001</v>
      </c>
      <c r="C169" s="8">
        <f t="shared" si="2"/>
        <v>3.3419667474309405E-3</v>
      </c>
      <c r="D169" s="7">
        <f>(Table534567910[[#This Row],[Value]]-B157)/B157</f>
        <v>3.130233157284551E-2</v>
      </c>
      <c r="E169" s="16">
        <v>0.02</v>
      </c>
      <c r="F169" s="15">
        <v>5.5</v>
      </c>
    </row>
    <row r="170" spans="1:6" x14ac:dyDescent="0.2">
      <c r="A170" s="38">
        <v>26573</v>
      </c>
      <c r="B170" s="37">
        <f>VLOOKUP(Table534567910[[#This Row],[Date]],Database!A:E,MATCH($A$1,Database!$A$1:$E$1,),)</f>
        <v>24.032</v>
      </c>
      <c r="C170" s="8">
        <f t="shared" si="2"/>
        <v>5.828961612123968E-4</v>
      </c>
      <c r="D170" s="7">
        <f>(Table534567910[[#This Row],[Value]]-B158)/B158</f>
        <v>3.0266655234502251E-2</v>
      </c>
      <c r="E170" s="16">
        <v>0.02</v>
      </c>
      <c r="F170" s="15">
        <v>5.5</v>
      </c>
    </row>
    <row r="171" spans="1:6" x14ac:dyDescent="0.2">
      <c r="A171" s="38">
        <v>26604</v>
      </c>
      <c r="B171" s="37">
        <f>VLOOKUP(Table534567910[[#This Row],[Date]],Database!A:E,MATCH($A$1,Database!$A$1:$E$1,),)</f>
        <v>24.094999999999999</v>
      </c>
      <c r="C171" s="8">
        <f t="shared" si="2"/>
        <v>2.621504660452681E-3</v>
      </c>
      <c r="D171" s="7">
        <f>(Table534567910[[#This Row],[Value]]-B159)/B159</f>
        <v>3.0625775268403162E-2</v>
      </c>
      <c r="E171" s="16">
        <v>0.02</v>
      </c>
      <c r="F171" s="15">
        <v>5.5</v>
      </c>
    </row>
    <row r="172" spans="1:6" x14ac:dyDescent="0.2">
      <c r="A172" s="38">
        <v>26634</v>
      </c>
      <c r="B172" s="37">
        <f>VLOOKUP(Table534567910[[#This Row],[Date]],Database!A:E,MATCH($A$1,Database!$A$1:$E$1,),)</f>
        <v>24.167999999999999</v>
      </c>
      <c r="C172" s="8">
        <f t="shared" si="2"/>
        <v>3.0296742062668768E-3</v>
      </c>
      <c r="D172" s="7">
        <f>(Table534567910[[#This Row],[Value]]-B160)/B160</f>
        <v>3.0530445164591399E-2</v>
      </c>
      <c r="E172" s="16">
        <v>0.02</v>
      </c>
      <c r="F172" s="15">
        <v>5.5</v>
      </c>
    </row>
    <row r="173" spans="1:6" x14ac:dyDescent="0.2">
      <c r="A173" s="38">
        <v>26665</v>
      </c>
      <c r="B173" s="37">
        <f>VLOOKUP(Table534567910[[#This Row],[Date]],Database!A:E,MATCH($A$1,Database!$A$1:$E$1,),)</f>
        <v>24.183</v>
      </c>
      <c r="C173" s="8">
        <f t="shared" si="2"/>
        <v>6.2065541211521718E-4</v>
      </c>
      <c r="D173" s="7">
        <f>(Table534567910[[#This Row],[Value]]-B161)/B161</f>
        <v>2.6791779891304358E-2</v>
      </c>
      <c r="E173" s="16">
        <v>0.02</v>
      </c>
      <c r="F173" s="15">
        <v>6</v>
      </c>
    </row>
    <row r="174" spans="1:6" x14ac:dyDescent="0.2">
      <c r="A174" s="38">
        <v>26696</v>
      </c>
      <c r="B174" s="37">
        <f>VLOOKUP(Table534567910[[#This Row],[Date]],Database!A:E,MATCH($A$1,Database!$A$1:$E$1,),)</f>
        <v>24.259</v>
      </c>
      <c r="C174" s="8">
        <f t="shared" si="2"/>
        <v>3.1427035520820621E-3</v>
      </c>
      <c r="D174" s="7">
        <f>(Table534567910[[#This Row],[Value]]-B162)/B162</f>
        <v>2.7270802456066143E-2</v>
      </c>
      <c r="E174" s="16">
        <v>0.02</v>
      </c>
      <c r="F174" s="15">
        <v>6.75</v>
      </c>
    </row>
    <row r="175" spans="1:6" x14ac:dyDescent="0.2">
      <c r="A175" s="38">
        <v>26724</v>
      </c>
      <c r="B175" s="37">
        <f>VLOOKUP(Table534567910[[#This Row],[Date]],Database!A:E,MATCH($A$1,Database!$A$1:$E$1,),)</f>
        <v>24.356999999999999</v>
      </c>
      <c r="C175" s="8">
        <f t="shared" si="2"/>
        <v>4.0397378292592019E-3</v>
      </c>
      <c r="D175" s="7">
        <f>(Table534567910[[#This Row],[Value]]-B163)/B163</f>
        <v>2.9371988842870438E-2</v>
      </c>
      <c r="E175" s="16">
        <v>0.02</v>
      </c>
      <c r="F175" s="15">
        <v>7.25</v>
      </c>
    </row>
    <row r="176" spans="1:6" x14ac:dyDescent="0.2">
      <c r="A176" s="38">
        <v>26755</v>
      </c>
      <c r="B176" s="37">
        <f>VLOOKUP(Table534567910[[#This Row],[Date]],Database!A:E,MATCH($A$1,Database!$A$1:$E$1,),)</f>
        <v>24.498000000000001</v>
      </c>
      <c r="C176" s="8">
        <f t="shared" si="2"/>
        <v>5.7888902574209384E-3</v>
      </c>
      <c r="D176" s="7">
        <f>(Table534567910[[#This Row],[Value]]-B164)/B164</f>
        <v>3.2929965847282638E-2</v>
      </c>
      <c r="E176" s="16">
        <v>0.02</v>
      </c>
      <c r="F176" s="15">
        <v>7.25</v>
      </c>
    </row>
    <row r="177" spans="1:6" x14ac:dyDescent="0.2">
      <c r="A177" s="38">
        <v>26785</v>
      </c>
      <c r="B177" s="37">
        <f>VLOOKUP(Table534567910[[#This Row],[Date]],Database!A:E,MATCH($A$1,Database!$A$1:$E$1,),)</f>
        <v>24.593</v>
      </c>
      <c r="C177" s="8">
        <f t="shared" si="2"/>
        <v>3.8778675810269762E-3</v>
      </c>
      <c r="D177" s="7">
        <f>(Table534567910[[#This Row],[Value]]-B165)/B165</f>
        <v>3.4536429412754567E-2</v>
      </c>
      <c r="E177" s="16">
        <v>0.02</v>
      </c>
      <c r="F177" s="15">
        <v>8.25</v>
      </c>
    </row>
    <row r="178" spans="1:6" x14ac:dyDescent="0.2">
      <c r="A178" s="38">
        <v>26816</v>
      </c>
      <c r="B178" s="37">
        <f>VLOOKUP(Table534567910[[#This Row],[Date]],Database!A:E,MATCH($A$1,Database!$A$1:$E$1,),)</f>
        <v>24.699000000000002</v>
      </c>
      <c r="C178" s="8">
        <f t="shared" si="2"/>
        <v>4.3101695604440956E-3</v>
      </c>
      <c r="D178" s="7">
        <f>(Table534567910[[#This Row],[Value]]-B166)/B166</f>
        <v>3.6945295772282741E-2</v>
      </c>
      <c r="E178" s="16">
        <v>0.02</v>
      </c>
      <c r="F178" s="15">
        <v>8.5</v>
      </c>
    </row>
    <row r="179" spans="1:6" x14ac:dyDescent="0.2">
      <c r="A179" s="38">
        <v>26846</v>
      </c>
      <c r="B179" s="37">
        <f>VLOOKUP(Table534567910[[#This Row],[Date]],Database!A:E,MATCH($A$1,Database!$A$1:$E$1,),)</f>
        <v>24.805</v>
      </c>
      <c r="C179" s="8">
        <f t="shared" si="2"/>
        <v>4.2916717276002304E-3</v>
      </c>
      <c r="D179" s="7">
        <f>(Table534567910[[#This Row],[Value]]-B167)/B167</f>
        <v>3.8387474882786252E-2</v>
      </c>
      <c r="E179" s="16">
        <v>0.02</v>
      </c>
      <c r="F179" s="15">
        <v>10.5</v>
      </c>
    </row>
    <row r="180" spans="1:6" x14ac:dyDescent="0.2">
      <c r="A180" s="38">
        <v>26877</v>
      </c>
      <c r="B180" s="37">
        <f>VLOOKUP(Table534567910[[#This Row],[Date]],Database!A:E,MATCH($A$1,Database!$A$1:$E$1,),)</f>
        <v>24.920999999999999</v>
      </c>
      <c r="C180" s="8">
        <f t="shared" si="2"/>
        <v>4.6764765168312702E-3</v>
      </c>
      <c r="D180" s="7">
        <f>(Table534567910[[#This Row],[Value]]-B168)/B168</f>
        <v>4.1064416409056753E-2</v>
      </c>
      <c r="E180" s="16">
        <v>0.02</v>
      </c>
      <c r="F180" s="15">
        <v>11</v>
      </c>
    </row>
    <row r="181" spans="1:6" x14ac:dyDescent="0.2">
      <c r="A181" s="38">
        <v>26908</v>
      </c>
      <c r="B181" s="37">
        <f>VLOOKUP(Table534567910[[#This Row],[Date]],Database!A:E,MATCH($A$1,Database!$A$1:$E$1,),)</f>
        <v>25.045999999999999</v>
      </c>
      <c r="C181" s="8">
        <f t="shared" si="2"/>
        <v>5.0158500862726215E-3</v>
      </c>
      <c r="D181" s="7">
        <f>(Table534567910[[#This Row],[Value]]-B169)/B169</f>
        <v>4.2801232409026509E-2</v>
      </c>
      <c r="E181" s="16">
        <v>0.02</v>
      </c>
      <c r="F181" s="15">
        <v>9</v>
      </c>
    </row>
    <row r="182" spans="1:6" x14ac:dyDescent="0.2">
      <c r="A182" s="38">
        <v>26938</v>
      </c>
      <c r="B182" s="37">
        <f>VLOOKUP(Table534567910[[#This Row],[Date]],Database!A:E,MATCH($A$1,Database!$A$1:$E$1,),)</f>
        <v>25.143000000000001</v>
      </c>
      <c r="C182" s="8">
        <f t="shared" si="2"/>
        <v>3.8728739120019689E-3</v>
      </c>
      <c r="D182" s="7">
        <f>(Table534567910[[#This Row],[Value]]-B170)/B170</f>
        <v>4.623002663115848E-2</v>
      </c>
      <c r="E182" s="16">
        <v>0.02</v>
      </c>
      <c r="F182" s="15">
        <v>9</v>
      </c>
    </row>
    <row r="183" spans="1:6" x14ac:dyDescent="0.2">
      <c r="A183" s="38">
        <v>26969</v>
      </c>
      <c r="B183" s="37">
        <f>VLOOKUP(Table534567910[[#This Row],[Date]],Database!A:E,MATCH($A$1,Database!$A$1:$E$1,),)</f>
        <v>25.263999999999999</v>
      </c>
      <c r="C183" s="8">
        <f t="shared" si="2"/>
        <v>4.8124726564053076E-3</v>
      </c>
      <c r="D183" s="7">
        <f>(Table534567910[[#This Row],[Value]]-B171)/B171</f>
        <v>4.8516289686657006E-2</v>
      </c>
      <c r="E183" s="16">
        <v>0.02</v>
      </c>
      <c r="F183" s="15">
        <v>9</v>
      </c>
    </row>
    <row r="184" spans="1:6" x14ac:dyDescent="0.2">
      <c r="A184" s="38">
        <v>26999</v>
      </c>
      <c r="B184" s="37">
        <f>VLOOKUP(Table534567910[[#This Row],[Date]],Database!A:E,MATCH($A$1,Database!$A$1:$E$1,),)</f>
        <v>25.404</v>
      </c>
      <c r="C184" s="8">
        <f t="shared" si="2"/>
        <v>5.5414819506016694E-3</v>
      </c>
      <c r="D184" s="7">
        <f>(Table534567910[[#This Row],[Value]]-B172)/B172</f>
        <v>5.1142005958291985E-2</v>
      </c>
      <c r="E184" s="16">
        <v>0.02</v>
      </c>
      <c r="F184" s="15">
        <v>9</v>
      </c>
    </row>
    <row r="185" spans="1:6" x14ac:dyDescent="0.2">
      <c r="A185" s="38">
        <v>27030</v>
      </c>
      <c r="B185" s="37">
        <f>VLOOKUP(Table534567910[[#This Row],[Date]],Database!A:E,MATCH($A$1,Database!$A$1:$E$1,),)</f>
        <v>25.529</v>
      </c>
      <c r="C185" s="8">
        <f t="shared" si="2"/>
        <v>4.9204849629979532E-3</v>
      </c>
      <c r="D185" s="7">
        <f>(Table534567910[[#This Row],[Value]]-B173)/B173</f>
        <v>5.5658933961874046E-2</v>
      </c>
      <c r="E185" s="16">
        <v>0.02</v>
      </c>
      <c r="F185" s="15">
        <v>9</v>
      </c>
    </row>
    <row r="186" spans="1:6" x14ac:dyDescent="0.2">
      <c r="A186" s="38">
        <v>27061</v>
      </c>
      <c r="B186" s="37">
        <f>VLOOKUP(Table534567910[[#This Row],[Date]],Database!A:E,MATCH($A$1,Database!$A$1:$E$1,),)</f>
        <v>25.692</v>
      </c>
      <c r="C186" s="8">
        <f t="shared" si="2"/>
        <v>6.3848956089153615E-3</v>
      </c>
      <c r="D186" s="7">
        <f>(Table534567910[[#This Row],[Value]]-B174)/B174</f>
        <v>5.9070860299270368E-2</v>
      </c>
      <c r="E186" s="16">
        <v>0.02</v>
      </c>
      <c r="F186" s="15">
        <v>9</v>
      </c>
    </row>
    <row r="187" spans="1:6" x14ac:dyDescent="0.2">
      <c r="A187" s="38">
        <v>27089</v>
      </c>
      <c r="B187" s="37">
        <f>VLOOKUP(Table534567910[[#This Row],[Date]],Database!A:E,MATCH($A$1,Database!$A$1:$E$1,),)</f>
        <v>25.891999999999999</v>
      </c>
      <c r="C187" s="8">
        <f t="shared" si="2"/>
        <v>7.7845243655612368E-3</v>
      </c>
      <c r="D187" s="7">
        <f>(Table534567910[[#This Row],[Value]]-B175)/B175</f>
        <v>6.3020897483269708E-2</v>
      </c>
      <c r="E187" s="16">
        <v>0.02</v>
      </c>
      <c r="F187" s="15">
        <v>10</v>
      </c>
    </row>
    <row r="188" spans="1:6" x14ac:dyDescent="0.2">
      <c r="A188" s="38">
        <v>27120</v>
      </c>
      <c r="B188" s="37">
        <f>VLOOKUP(Table534567910[[#This Row],[Date]],Database!A:E,MATCH($A$1,Database!$A$1:$E$1,),)</f>
        <v>26.085999999999999</v>
      </c>
      <c r="C188" s="8">
        <f t="shared" si="2"/>
        <v>7.4926618260466194E-3</v>
      </c>
      <c r="D188" s="7">
        <f>(Table534567910[[#This Row],[Value]]-B176)/B176</f>
        <v>6.4821618091272654E-2</v>
      </c>
      <c r="E188" s="16">
        <v>0.02</v>
      </c>
      <c r="F188" s="15">
        <v>10.75</v>
      </c>
    </row>
    <row r="189" spans="1:6" x14ac:dyDescent="0.2">
      <c r="A189" s="38">
        <v>27150</v>
      </c>
      <c r="B189" s="37">
        <f>VLOOKUP(Table534567910[[#This Row],[Date]],Database!A:E,MATCH($A$1,Database!$A$1:$E$1,),)</f>
        <v>26.337</v>
      </c>
      <c r="C189" s="8">
        <f t="shared" si="2"/>
        <v>9.6220194740474288E-3</v>
      </c>
      <c r="D189" s="7">
        <f>(Table534567910[[#This Row],[Value]]-B177)/B177</f>
        <v>7.0914487862399858E-2</v>
      </c>
      <c r="E189" s="16">
        <v>0.02</v>
      </c>
      <c r="F189" s="15">
        <v>13</v>
      </c>
    </row>
    <row r="190" spans="1:6" x14ac:dyDescent="0.2">
      <c r="A190" s="38">
        <v>27181</v>
      </c>
      <c r="B190" s="37">
        <f>VLOOKUP(Table534567910[[#This Row],[Date]],Database!A:E,MATCH($A$1,Database!$A$1:$E$1,),)</f>
        <v>26.606999999999999</v>
      </c>
      <c r="C190" s="8">
        <f t="shared" si="2"/>
        <v>1.0251737099897467E-2</v>
      </c>
      <c r="D190" s="7">
        <f>(Table534567910[[#This Row],[Value]]-B178)/B178</f>
        <v>7.7250091096805446E-2</v>
      </c>
      <c r="E190" s="16">
        <v>0.02</v>
      </c>
      <c r="F190" s="15">
        <v>13</v>
      </c>
    </row>
    <row r="191" spans="1:6" x14ac:dyDescent="0.2">
      <c r="A191" s="38">
        <v>27211</v>
      </c>
      <c r="B191" s="37">
        <f>VLOOKUP(Table534567910[[#This Row],[Date]],Database!A:E,MATCH($A$1,Database!$A$1:$E$1,),)</f>
        <v>26.843</v>
      </c>
      <c r="C191" s="8">
        <f t="shared" si="2"/>
        <v>8.8698462810538822E-3</v>
      </c>
      <c r="D191" s="7">
        <f>(Table534567910[[#This Row],[Value]]-B179)/B179</f>
        <v>8.2160854666397914E-2</v>
      </c>
      <c r="E191" s="16">
        <v>0.02</v>
      </c>
      <c r="F191" s="15">
        <v>9.25</v>
      </c>
    </row>
    <row r="192" spans="1:6" x14ac:dyDescent="0.2">
      <c r="A192" s="38">
        <v>27242</v>
      </c>
      <c r="B192" s="37">
        <f>VLOOKUP(Table534567910[[#This Row],[Date]],Database!A:E,MATCH($A$1,Database!$A$1:$E$1,),)</f>
        <v>27.100999999999999</v>
      </c>
      <c r="C192" s="8">
        <f t="shared" si="2"/>
        <v>9.61144432440484E-3</v>
      </c>
      <c r="D192" s="7">
        <f>(Table534567910[[#This Row],[Value]]-B180)/B180</f>
        <v>8.7476425504594515E-2</v>
      </c>
      <c r="E192" s="16">
        <v>0.02</v>
      </c>
      <c r="F192" s="15">
        <v>9.25</v>
      </c>
    </row>
    <row r="193" spans="1:6" x14ac:dyDescent="0.2">
      <c r="A193" s="38">
        <v>27273</v>
      </c>
      <c r="B193" s="37">
        <f>VLOOKUP(Table534567910[[#This Row],[Date]],Database!A:E,MATCH($A$1,Database!$A$1:$E$1,),)</f>
        <v>27.344999999999999</v>
      </c>
      <c r="C193" s="8">
        <f t="shared" si="2"/>
        <v>9.0033578096749122E-3</v>
      </c>
      <c r="D193" s="7">
        <f>(Table534567910[[#This Row],[Value]]-B181)/B181</f>
        <v>9.1791104367962936E-2</v>
      </c>
      <c r="E193" s="16">
        <v>0.02</v>
      </c>
      <c r="F193" s="15">
        <v>9.25</v>
      </c>
    </row>
    <row r="194" spans="1:6" x14ac:dyDescent="0.2">
      <c r="A194" s="38">
        <v>27303</v>
      </c>
      <c r="B194" s="37">
        <f>VLOOKUP(Table534567910[[#This Row],[Date]],Database!A:E,MATCH($A$1,Database!$A$1:$E$1,),)</f>
        <v>27.559000000000001</v>
      </c>
      <c r="C194" s="8">
        <f t="shared" si="2"/>
        <v>7.8259279575791617E-3</v>
      </c>
      <c r="D194" s="7">
        <f>(Table534567910[[#This Row],[Value]]-B182)/B182</f>
        <v>9.6090363122936812E-2</v>
      </c>
      <c r="E194" s="16">
        <v>0.02</v>
      </c>
      <c r="F194" s="15">
        <v>9.25</v>
      </c>
    </row>
    <row r="195" spans="1:6" x14ac:dyDescent="0.2">
      <c r="A195" s="38">
        <v>27334</v>
      </c>
      <c r="B195" s="37">
        <f>VLOOKUP(Table534567910[[#This Row],[Date]],Database!A:E,MATCH($A$1,Database!$A$1:$E$1,),)</f>
        <v>27.76</v>
      </c>
      <c r="C195" s="8">
        <f t="shared" si="2"/>
        <v>7.2934431583149065E-3</v>
      </c>
      <c r="D195" s="7">
        <f>(Table534567910[[#This Row],[Value]]-B183)/B183</f>
        <v>9.8796706776440882E-2</v>
      </c>
      <c r="E195" s="16">
        <v>0.02</v>
      </c>
      <c r="F195" s="15">
        <v>9.25</v>
      </c>
    </row>
    <row r="196" spans="1:6" x14ac:dyDescent="0.2">
      <c r="A196" s="38">
        <v>27364</v>
      </c>
      <c r="B196" s="37">
        <f>VLOOKUP(Table534567910[[#This Row],[Date]],Database!A:E,MATCH($A$1,Database!$A$1:$E$1,),)</f>
        <v>27.956</v>
      </c>
      <c r="C196" s="8">
        <f t="shared" si="2"/>
        <v>7.0605187319883987E-3</v>
      </c>
      <c r="D196" s="7">
        <f>(Table534567910[[#This Row],[Value]]-B184)/B184</f>
        <v>0.10045662100456619</v>
      </c>
      <c r="E196" s="16">
        <v>0.02</v>
      </c>
      <c r="F196" s="15">
        <v>8</v>
      </c>
    </row>
    <row r="197" spans="1:6" x14ac:dyDescent="0.2">
      <c r="A197" s="38">
        <v>27395</v>
      </c>
      <c r="B197" s="37">
        <f>VLOOKUP(Table534567910[[#This Row],[Date]],Database!A:E,MATCH($A$1,Database!$A$1:$E$1,),)</f>
        <v>28.119</v>
      </c>
      <c r="C197" s="8">
        <f t="shared" si="2"/>
        <v>5.8305909286020981E-3</v>
      </c>
      <c r="D197" s="7">
        <f>(Table534567910[[#This Row],[Value]]-B185)/B185</f>
        <v>0.10145324924595557</v>
      </c>
      <c r="E197" s="16">
        <v>0.02</v>
      </c>
      <c r="F197" s="15">
        <v>7</v>
      </c>
    </row>
    <row r="198" spans="1:6" x14ac:dyDescent="0.2">
      <c r="A198" s="38">
        <v>27426</v>
      </c>
      <c r="B198" s="37">
        <f>VLOOKUP(Table534567910[[#This Row],[Date]],Database!A:E,MATCH($A$1,Database!$A$1:$E$1,),)</f>
        <v>28.318000000000001</v>
      </c>
      <c r="C198" s="8">
        <f t="shared" ref="C198:C261" si="3">(B198-B197)/B197</f>
        <v>7.0770653294925717E-3</v>
      </c>
      <c r="D198" s="7">
        <f>(Table534567910[[#This Row],[Value]]-B186)/B186</f>
        <v>0.10221080491981945</v>
      </c>
      <c r="E198" s="16">
        <v>0.02</v>
      </c>
      <c r="F198" s="15">
        <v>6</v>
      </c>
    </row>
    <row r="199" spans="1:6" x14ac:dyDescent="0.2">
      <c r="A199" s="38">
        <v>27454</v>
      </c>
      <c r="B199" s="37">
        <f>VLOOKUP(Table534567910[[#This Row],[Date]],Database!A:E,MATCH($A$1,Database!$A$1:$E$1,),)</f>
        <v>28.466000000000001</v>
      </c>
      <c r="C199" s="8">
        <f t="shared" si="3"/>
        <v>5.2263577936294825E-3</v>
      </c>
      <c r="D199" s="7">
        <f>(Table534567910[[#This Row],[Value]]-B187)/B187</f>
        <v>9.9412946083732495E-2</v>
      </c>
      <c r="E199" s="16">
        <v>0.02</v>
      </c>
      <c r="F199" s="15">
        <v>5.5</v>
      </c>
    </row>
    <row r="200" spans="1:6" x14ac:dyDescent="0.2">
      <c r="A200" s="38">
        <v>27485</v>
      </c>
      <c r="B200" s="37">
        <f>VLOOKUP(Table534567910[[#This Row],[Date]],Database!A:E,MATCH($A$1,Database!$A$1:$E$1,),)</f>
        <v>28.603999999999999</v>
      </c>
      <c r="C200" s="8">
        <f t="shared" si="3"/>
        <v>4.847888709337389E-3</v>
      </c>
      <c r="D200" s="7">
        <f>(Table534567910[[#This Row],[Value]]-B188)/B188</f>
        <v>9.6526872651997275E-2</v>
      </c>
      <c r="E200" s="16">
        <v>0.02</v>
      </c>
      <c r="F200" s="15">
        <v>5.25</v>
      </c>
    </row>
    <row r="201" spans="1:6" x14ac:dyDescent="0.2">
      <c r="A201" s="38">
        <v>27515</v>
      </c>
      <c r="B201" s="37">
        <f>VLOOKUP(Table534567910[[#This Row],[Date]],Database!A:E,MATCH($A$1,Database!$A$1:$E$1,),)</f>
        <v>28.725000000000001</v>
      </c>
      <c r="C201" s="8">
        <f t="shared" si="3"/>
        <v>4.2301775975388837E-3</v>
      </c>
      <c r="D201" s="7">
        <f>(Table534567910[[#This Row],[Value]]-B189)/B189</f>
        <v>9.0670919239093359E-2</v>
      </c>
      <c r="E201" s="16">
        <v>0.02</v>
      </c>
      <c r="F201" s="15">
        <v>5.25</v>
      </c>
    </row>
    <row r="202" spans="1:6" x14ac:dyDescent="0.2">
      <c r="A202" s="38">
        <v>27546</v>
      </c>
      <c r="B202" s="37">
        <f>VLOOKUP(Table534567910[[#This Row],[Date]],Database!A:E,MATCH($A$1,Database!$A$1:$E$1,),)</f>
        <v>28.866</v>
      </c>
      <c r="C202" s="8">
        <f t="shared" si="3"/>
        <v>4.9086161879894948E-3</v>
      </c>
      <c r="D202" s="7">
        <f>(Table534567910[[#This Row],[Value]]-B190)/B190</f>
        <v>8.4902469275002834E-2</v>
      </c>
      <c r="E202" s="16">
        <v>0.02</v>
      </c>
      <c r="F202" s="15">
        <v>6.5</v>
      </c>
    </row>
    <row r="203" spans="1:6" x14ac:dyDescent="0.2">
      <c r="A203" s="38">
        <v>27576</v>
      </c>
      <c r="B203" s="37">
        <f>VLOOKUP(Table534567910[[#This Row],[Date]],Database!A:E,MATCH($A$1,Database!$A$1:$E$1,),)</f>
        <v>29.044</v>
      </c>
      <c r="C203" s="8">
        <f t="shared" si="3"/>
        <v>6.1664241668399093E-3</v>
      </c>
      <c r="D203" s="7">
        <f>(Table534567910[[#This Row],[Value]]-B191)/B191</f>
        <v>8.1995306038818327E-2</v>
      </c>
      <c r="E203" s="16">
        <v>0.02</v>
      </c>
      <c r="F203" s="15">
        <v>6.5</v>
      </c>
    </row>
    <row r="204" spans="1:6" x14ac:dyDescent="0.2">
      <c r="A204" s="38">
        <v>27607</v>
      </c>
      <c r="B204" s="37">
        <f>VLOOKUP(Table534567910[[#This Row],[Date]],Database!A:E,MATCH($A$1,Database!$A$1:$E$1,),)</f>
        <v>29.143999999999998</v>
      </c>
      <c r="C204" s="8">
        <f t="shared" si="3"/>
        <v>3.4430519212228987E-3</v>
      </c>
      <c r="D204" s="7">
        <f>(Table534567910[[#This Row],[Value]]-B192)/B192</f>
        <v>7.5384672152319074E-2</v>
      </c>
      <c r="E204" s="16">
        <v>0.02</v>
      </c>
      <c r="F204" s="15">
        <v>6.5</v>
      </c>
    </row>
    <row r="205" spans="1:6" x14ac:dyDescent="0.2">
      <c r="A205" s="38">
        <v>27638</v>
      </c>
      <c r="B205" s="37">
        <f>VLOOKUP(Table534567910[[#This Row],[Date]],Database!A:E,MATCH($A$1,Database!$A$1:$E$1,),)</f>
        <v>29.302</v>
      </c>
      <c r="C205" s="8">
        <f t="shared" si="3"/>
        <v>5.4213560252539547E-3</v>
      </c>
      <c r="D205" s="7">
        <f>(Table534567910[[#This Row],[Value]]-B193)/B193</f>
        <v>7.1567014079356409E-2</v>
      </c>
      <c r="E205" s="16">
        <v>0.02</v>
      </c>
      <c r="F205" s="15">
        <v>6.5</v>
      </c>
    </row>
    <row r="206" spans="1:6" x14ac:dyDescent="0.2">
      <c r="A206" s="38">
        <v>27668</v>
      </c>
      <c r="B206" s="37">
        <f>VLOOKUP(Table534567910[[#This Row],[Date]],Database!A:E,MATCH($A$1,Database!$A$1:$E$1,),)</f>
        <v>29.448</v>
      </c>
      <c r="C206" s="8">
        <f t="shared" si="3"/>
        <v>4.982595044706873E-3</v>
      </c>
      <c r="D206" s="7">
        <f>(Table534567910[[#This Row],[Value]]-B194)/B194</f>
        <v>6.8543851373417009E-2</v>
      </c>
      <c r="E206" s="16">
        <v>0.02</v>
      </c>
      <c r="F206" s="15">
        <v>4.88</v>
      </c>
    </row>
    <row r="207" spans="1:6" x14ac:dyDescent="0.2">
      <c r="A207" s="38">
        <v>27699</v>
      </c>
      <c r="B207" s="37">
        <f>VLOOKUP(Table534567910[[#This Row],[Date]],Database!A:E,MATCH($A$1,Database!$A$1:$E$1,),)</f>
        <v>29.643000000000001</v>
      </c>
      <c r="C207" s="8">
        <f t="shared" si="3"/>
        <v>6.6218418907905557E-3</v>
      </c>
      <c r="D207" s="7">
        <f>(Table534567910[[#This Row],[Value]]-B195)/B195</f>
        <v>6.7831412103746366E-2</v>
      </c>
      <c r="E207" s="16">
        <v>0.02</v>
      </c>
      <c r="F207" s="15">
        <v>4.88</v>
      </c>
    </row>
    <row r="208" spans="1:6" x14ac:dyDescent="0.2">
      <c r="A208" s="38">
        <v>27729</v>
      </c>
      <c r="B208" s="37">
        <f>VLOOKUP(Table534567910[[#This Row],[Date]],Database!A:E,MATCH($A$1,Database!$A$1:$E$1,),)</f>
        <v>29.823</v>
      </c>
      <c r="C208" s="8">
        <f t="shared" si="3"/>
        <v>6.0722598927233987E-3</v>
      </c>
      <c r="D208" s="7">
        <f>(Table534567910[[#This Row],[Value]]-B196)/B196</f>
        <v>6.6783516955215366E-2</v>
      </c>
      <c r="E208" s="16">
        <v>0.02</v>
      </c>
      <c r="F208" s="15">
        <v>4.88</v>
      </c>
    </row>
    <row r="209" spans="1:6" x14ac:dyDescent="0.2">
      <c r="A209" s="38">
        <v>27760</v>
      </c>
      <c r="B209" s="37">
        <f>VLOOKUP(Table534567910[[#This Row],[Date]],Database!A:E,MATCH($A$1,Database!$A$1:$E$1,),)</f>
        <v>29.975999999999999</v>
      </c>
      <c r="C209" s="8">
        <f t="shared" si="3"/>
        <v>5.1302685846493874E-3</v>
      </c>
      <c r="D209" s="7">
        <f>(Table534567910[[#This Row],[Value]]-B197)/B197</f>
        <v>6.6040755361143691E-2</v>
      </c>
      <c r="E209" s="16">
        <v>0.02</v>
      </c>
      <c r="F209" s="15">
        <v>4.75</v>
      </c>
    </row>
    <row r="210" spans="1:6" x14ac:dyDescent="0.2">
      <c r="A210" s="38">
        <v>27791</v>
      </c>
      <c r="B210" s="37">
        <f>VLOOKUP(Table534567910[[#This Row],[Date]],Database!A:E,MATCH($A$1,Database!$A$1:$E$1,),)</f>
        <v>30.094999999999999</v>
      </c>
      <c r="C210" s="8">
        <f t="shared" si="3"/>
        <v>3.9698425406992184E-3</v>
      </c>
      <c r="D210" s="7">
        <f>(Table534567910[[#This Row],[Value]]-B198)/B198</f>
        <v>6.2751606751889163E-2</v>
      </c>
      <c r="E210" s="16">
        <v>0.02</v>
      </c>
      <c r="F210" s="15">
        <v>4.75</v>
      </c>
    </row>
    <row r="211" spans="1:6" x14ac:dyDescent="0.2">
      <c r="A211" s="38">
        <v>27820</v>
      </c>
      <c r="B211" s="37">
        <f>VLOOKUP(Table534567910[[#This Row],[Date]],Database!A:E,MATCH($A$1,Database!$A$1:$E$1,),)</f>
        <v>30.195</v>
      </c>
      <c r="C211" s="8">
        <f t="shared" si="3"/>
        <v>3.3228110981891154E-3</v>
      </c>
      <c r="D211" s="7">
        <f>(Table534567910[[#This Row],[Value]]-B199)/B199</f>
        <v>6.0739127380032287E-2</v>
      </c>
      <c r="E211" s="16">
        <v>0.02</v>
      </c>
      <c r="F211" s="15">
        <v>4.75</v>
      </c>
    </row>
    <row r="212" spans="1:6" x14ac:dyDescent="0.2">
      <c r="A212" s="38">
        <v>27851</v>
      </c>
      <c r="B212" s="37">
        <f>VLOOKUP(Table534567910[[#This Row],[Date]],Database!A:E,MATCH($A$1,Database!$A$1:$E$1,),)</f>
        <v>30.312000000000001</v>
      </c>
      <c r="C212" s="8">
        <f t="shared" si="3"/>
        <v>3.8748137108793137E-3</v>
      </c>
      <c r="D212" s="7">
        <f>(Table534567910[[#This Row],[Value]]-B200)/B200</f>
        <v>5.9711928401622219E-2</v>
      </c>
      <c r="E212" s="16">
        <v>0.02</v>
      </c>
      <c r="F212" s="15">
        <v>4.88</v>
      </c>
    </row>
    <row r="213" spans="1:6" x14ac:dyDescent="0.2">
      <c r="A213" s="38">
        <v>27881</v>
      </c>
      <c r="B213" s="37">
        <f>VLOOKUP(Table534567910[[#This Row],[Date]],Database!A:E,MATCH($A$1,Database!$A$1:$E$1,),)</f>
        <v>30.456</v>
      </c>
      <c r="C213" s="8">
        <f t="shared" si="3"/>
        <v>4.7505938242279741E-3</v>
      </c>
      <c r="D213" s="7">
        <f>(Table534567910[[#This Row],[Value]]-B201)/B201</f>
        <v>6.0261096605744059E-2</v>
      </c>
      <c r="E213" s="16">
        <v>0.02</v>
      </c>
      <c r="F213" s="15">
        <v>5.5</v>
      </c>
    </row>
    <row r="214" spans="1:6" x14ac:dyDescent="0.2">
      <c r="A214" s="38">
        <v>27912</v>
      </c>
      <c r="B214" s="37">
        <f>VLOOKUP(Table534567910[[#This Row],[Date]],Database!A:E,MATCH($A$1,Database!$A$1:$E$1,),)</f>
        <v>30.579000000000001</v>
      </c>
      <c r="C214" s="8">
        <f t="shared" si="3"/>
        <v>4.0386130811663088E-3</v>
      </c>
      <c r="D214" s="7">
        <f>(Table534567910[[#This Row],[Value]]-B202)/B202</f>
        <v>5.9343171897734394E-2</v>
      </c>
      <c r="E214" s="16">
        <v>0.02</v>
      </c>
      <c r="F214" s="15">
        <v>5.5</v>
      </c>
    </row>
    <row r="215" spans="1:6" x14ac:dyDescent="0.2">
      <c r="A215" s="38">
        <v>27942</v>
      </c>
      <c r="B215" s="37">
        <f>VLOOKUP(Table534567910[[#This Row],[Date]],Database!A:E,MATCH($A$1,Database!$A$1:$E$1,),)</f>
        <v>30.748000000000001</v>
      </c>
      <c r="C215" s="8">
        <f t="shared" si="3"/>
        <v>5.5266686287975568E-3</v>
      </c>
      <c r="D215" s="7">
        <f>(Table534567910[[#This Row],[Value]]-B203)/B203</f>
        <v>5.8669604737639464E-2</v>
      </c>
      <c r="E215" s="16">
        <v>0.02</v>
      </c>
      <c r="F215" s="15">
        <v>5.13</v>
      </c>
    </row>
    <row r="216" spans="1:6" x14ac:dyDescent="0.2">
      <c r="A216" s="38">
        <v>27973</v>
      </c>
      <c r="B216" s="37">
        <f>VLOOKUP(Table534567910[[#This Row],[Date]],Database!A:E,MATCH($A$1,Database!$A$1:$E$1,),)</f>
        <v>30.925000000000001</v>
      </c>
      <c r="C216" s="8">
        <f t="shared" si="3"/>
        <v>5.7564719656562893E-3</v>
      </c>
      <c r="D216" s="7">
        <f>(Table534567910[[#This Row],[Value]]-B204)/B204</f>
        <v>6.1110348613779938E-2</v>
      </c>
      <c r="E216" s="16">
        <v>0.02</v>
      </c>
      <c r="F216" s="15">
        <v>5.13</v>
      </c>
    </row>
    <row r="217" spans="1:6" x14ac:dyDescent="0.2">
      <c r="A217" s="38">
        <v>28004</v>
      </c>
      <c r="B217" s="37">
        <f>VLOOKUP(Table534567910[[#This Row],[Date]],Database!A:E,MATCH($A$1,Database!$A$1:$E$1,),)</f>
        <v>31.106000000000002</v>
      </c>
      <c r="C217" s="8">
        <f t="shared" si="3"/>
        <v>5.8528698464026174E-3</v>
      </c>
      <c r="D217" s="7">
        <f>(Table534567910[[#This Row],[Value]]-B205)/B205</f>
        <v>6.1565763429117536E-2</v>
      </c>
      <c r="E217" s="16">
        <v>0.02</v>
      </c>
      <c r="F217" s="15">
        <v>5.13</v>
      </c>
    </row>
    <row r="218" spans="1:6" x14ac:dyDescent="0.2">
      <c r="A218" s="38">
        <v>28034</v>
      </c>
      <c r="B218" s="37">
        <f>VLOOKUP(Table534567910[[#This Row],[Date]],Database!A:E,MATCH($A$1,Database!$A$1:$E$1,),)</f>
        <v>31.257999999999999</v>
      </c>
      <c r="C218" s="8">
        <f t="shared" si="3"/>
        <v>4.8865170706615269E-3</v>
      </c>
      <c r="D218" s="7">
        <f>(Table534567910[[#This Row],[Value]]-B206)/B206</f>
        <v>6.1464276011953228E-2</v>
      </c>
      <c r="E218" s="16">
        <v>0.02</v>
      </c>
      <c r="F218" s="15">
        <v>5</v>
      </c>
    </row>
    <row r="219" spans="1:6" x14ac:dyDescent="0.2">
      <c r="A219" s="38">
        <v>28065</v>
      </c>
      <c r="B219" s="37">
        <f>VLOOKUP(Table534567910[[#This Row],[Date]],Database!A:E,MATCH($A$1,Database!$A$1:$E$1,),)</f>
        <v>31.401</v>
      </c>
      <c r="C219" s="8">
        <f t="shared" si="3"/>
        <v>4.5748288438160053E-3</v>
      </c>
      <c r="D219" s="7">
        <f>(Table534567910[[#This Row],[Value]]-B207)/B207</f>
        <v>5.930573828559859E-2</v>
      </c>
      <c r="E219" s="16">
        <v>0.02</v>
      </c>
      <c r="F219" s="15">
        <v>4.75</v>
      </c>
    </row>
    <row r="220" spans="1:6" x14ac:dyDescent="0.2">
      <c r="A220" s="38">
        <v>28095</v>
      </c>
      <c r="B220" s="37">
        <f>VLOOKUP(Table534567910[[#This Row],[Date]],Database!A:E,MATCH($A$1,Database!$A$1:$E$1,),)</f>
        <v>31.571000000000002</v>
      </c>
      <c r="C220" s="8">
        <f t="shared" si="3"/>
        <v>5.413840323556629E-3</v>
      </c>
      <c r="D220" s="7">
        <f>(Table534567910[[#This Row],[Value]]-B208)/B208</f>
        <v>5.8612480300439293E-2</v>
      </c>
      <c r="E220" s="16">
        <v>0.02</v>
      </c>
      <c r="F220" s="15">
        <v>5.88</v>
      </c>
    </row>
    <row r="221" spans="1:6" x14ac:dyDescent="0.2">
      <c r="A221" s="38">
        <v>28126</v>
      </c>
      <c r="B221" s="37">
        <f>VLOOKUP(Table534567910[[#This Row],[Date]],Database!A:E,MATCH($A$1,Database!$A$1:$E$1,),)</f>
        <v>31.763000000000002</v>
      </c>
      <c r="C221" s="8">
        <f t="shared" si="3"/>
        <v>6.0815305185138308E-3</v>
      </c>
      <c r="D221" s="7">
        <f>(Table534567910[[#This Row],[Value]]-B209)/B209</f>
        <v>5.9614358153189308E-2</v>
      </c>
      <c r="E221" s="16">
        <v>0.02</v>
      </c>
      <c r="F221" s="15">
        <v>5.88</v>
      </c>
    </row>
    <row r="222" spans="1:6" x14ac:dyDescent="0.2">
      <c r="A222" s="38">
        <v>28157</v>
      </c>
      <c r="B222" s="37">
        <f>VLOOKUP(Table534567910[[#This Row],[Date]],Database!A:E,MATCH($A$1,Database!$A$1:$E$1,),)</f>
        <v>31.957999999999998</v>
      </c>
      <c r="C222" s="8">
        <f t="shared" si="3"/>
        <v>6.1392185876647902E-3</v>
      </c>
      <c r="D222" s="7">
        <f>(Table534567910[[#This Row],[Value]]-B210)/B210</f>
        <v>6.1903970759262322E-2</v>
      </c>
      <c r="E222" s="16">
        <v>0.02</v>
      </c>
      <c r="F222" s="15">
        <v>5.88</v>
      </c>
    </row>
    <row r="223" spans="1:6" x14ac:dyDescent="0.2">
      <c r="A223" s="38">
        <v>28185</v>
      </c>
      <c r="B223" s="37">
        <f>VLOOKUP(Table534567910[[#This Row],[Date]],Database!A:E,MATCH($A$1,Database!$A$1:$E$1,),)</f>
        <v>32.094000000000001</v>
      </c>
      <c r="C223" s="8">
        <f t="shared" si="3"/>
        <v>4.2555854559109705E-3</v>
      </c>
      <c r="D223" s="7">
        <f>(Table534567910[[#This Row],[Value]]-B211)/B211</f>
        <v>6.2891207153502271E-2</v>
      </c>
      <c r="E223" s="16">
        <v>0.02</v>
      </c>
      <c r="F223" s="15">
        <v>5.88</v>
      </c>
    </row>
    <row r="224" spans="1:6" x14ac:dyDescent="0.2">
      <c r="A224" s="38">
        <v>28216</v>
      </c>
      <c r="B224" s="37">
        <f>VLOOKUP(Table534567910[[#This Row],[Date]],Database!A:E,MATCH($A$1,Database!$A$1:$E$1,),)</f>
        <v>32.253</v>
      </c>
      <c r="C224" s="8">
        <f t="shared" si="3"/>
        <v>4.9541970461768215E-3</v>
      </c>
      <c r="D224" s="7">
        <f>(Table534567910[[#This Row],[Value]]-B212)/B212</f>
        <v>6.4034045922406926E-2</v>
      </c>
      <c r="E224" s="16">
        <v>0.02</v>
      </c>
      <c r="F224" s="15">
        <v>5.88</v>
      </c>
    </row>
    <row r="225" spans="1:6" x14ac:dyDescent="0.2">
      <c r="A225" s="38">
        <v>28246</v>
      </c>
      <c r="B225" s="37">
        <f>VLOOKUP(Table534567910[[#This Row],[Date]],Database!A:E,MATCH($A$1,Database!$A$1:$E$1,),)</f>
        <v>32.417000000000002</v>
      </c>
      <c r="C225" s="8">
        <f t="shared" si="3"/>
        <v>5.0847983133352394E-3</v>
      </c>
      <c r="D225" s="7">
        <f>(Table534567910[[#This Row],[Value]]-B213)/B213</f>
        <v>6.4387969529813571E-2</v>
      </c>
      <c r="E225" s="16">
        <v>0.02</v>
      </c>
      <c r="F225" s="15">
        <v>5.88</v>
      </c>
    </row>
    <row r="226" spans="1:6" x14ac:dyDescent="0.2">
      <c r="A226" s="38">
        <v>28277</v>
      </c>
      <c r="B226" s="37">
        <f>VLOOKUP(Table534567910[[#This Row],[Date]],Database!A:E,MATCH($A$1,Database!$A$1:$E$1,),)</f>
        <v>32.610999999999997</v>
      </c>
      <c r="C226" s="8">
        <f t="shared" si="3"/>
        <v>5.9845142980533518E-3</v>
      </c>
      <c r="D226" s="7">
        <f>(Table534567910[[#This Row],[Value]]-B214)/B214</f>
        <v>6.6450832270512322E-2</v>
      </c>
      <c r="E226" s="16">
        <v>0.02</v>
      </c>
      <c r="F226" s="15">
        <v>5.88</v>
      </c>
    </row>
    <row r="227" spans="1:6" x14ac:dyDescent="0.2">
      <c r="A227" s="38">
        <v>28307</v>
      </c>
      <c r="B227" s="37">
        <f>VLOOKUP(Table534567910[[#This Row],[Date]],Database!A:E,MATCH($A$1,Database!$A$1:$E$1,),)</f>
        <v>32.813000000000002</v>
      </c>
      <c r="C227" s="8">
        <f t="shared" si="3"/>
        <v>6.1942289411549877E-3</v>
      </c>
      <c r="D227" s="7">
        <f>(Table534567910[[#This Row],[Value]]-B215)/B215</f>
        <v>6.7158839599323575E-2</v>
      </c>
      <c r="E227" s="16">
        <v>0.02</v>
      </c>
      <c r="F227" s="15">
        <v>5.88</v>
      </c>
    </row>
    <row r="228" spans="1:6" x14ac:dyDescent="0.2">
      <c r="A228" s="38">
        <v>28338</v>
      </c>
      <c r="B228" s="37">
        <f>VLOOKUP(Table534567910[[#This Row],[Date]],Database!A:E,MATCH($A$1,Database!$A$1:$E$1,),)</f>
        <v>32.972999999999999</v>
      </c>
      <c r="C228" s="8">
        <f t="shared" si="3"/>
        <v>4.8761161734677287E-3</v>
      </c>
      <c r="D228" s="7">
        <f>(Table534567910[[#This Row],[Value]]-B216)/B216</f>
        <v>6.6224737267582809E-2</v>
      </c>
      <c r="E228" s="16">
        <v>0.02</v>
      </c>
      <c r="F228" s="15">
        <v>6</v>
      </c>
    </row>
    <row r="229" spans="1:6" x14ac:dyDescent="0.2">
      <c r="A229" s="38">
        <v>28369</v>
      </c>
      <c r="B229" s="37">
        <f>VLOOKUP(Table534567910[[#This Row],[Date]],Database!A:E,MATCH($A$1,Database!$A$1:$E$1,),)</f>
        <v>33.113</v>
      </c>
      <c r="C229" s="8">
        <f t="shared" si="3"/>
        <v>4.2458981590998866E-3</v>
      </c>
      <c r="D229" s="7">
        <f>(Table534567910[[#This Row],[Value]]-B217)/B217</f>
        <v>6.452131421590683E-2</v>
      </c>
      <c r="E229" s="16">
        <v>0.02</v>
      </c>
      <c r="F229" s="15">
        <v>6.25</v>
      </c>
    </row>
    <row r="230" spans="1:6" x14ac:dyDescent="0.2">
      <c r="A230" s="38">
        <v>28399</v>
      </c>
      <c r="B230" s="37">
        <f>VLOOKUP(Table534567910[[#This Row],[Date]],Database!A:E,MATCH($A$1,Database!$A$1:$E$1,),)</f>
        <v>33.273000000000003</v>
      </c>
      <c r="C230" s="8">
        <f t="shared" si="3"/>
        <v>4.8319391175672306E-3</v>
      </c>
      <c r="D230" s="7">
        <f>(Table534567910[[#This Row],[Value]]-B218)/B218</f>
        <v>6.446349734467989E-2</v>
      </c>
      <c r="E230" s="16">
        <v>0.02</v>
      </c>
      <c r="F230" s="15">
        <v>6.5</v>
      </c>
    </row>
    <row r="231" spans="1:6" x14ac:dyDescent="0.2">
      <c r="A231" s="38">
        <v>28430</v>
      </c>
      <c r="B231" s="37">
        <f>VLOOKUP(Table534567910[[#This Row],[Date]],Database!A:E,MATCH($A$1,Database!$A$1:$E$1,),)</f>
        <v>33.445</v>
      </c>
      <c r="C231" s="8">
        <f t="shared" si="3"/>
        <v>5.1693565353288558E-3</v>
      </c>
      <c r="D231" s="7">
        <f>(Table534567910[[#This Row],[Value]]-B219)/B219</f>
        <v>6.5093468360880244E-2</v>
      </c>
      <c r="E231" s="16">
        <v>0.02</v>
      </c>
      <c r="F231" s="15">
        <v>6.5</v>
      </c>
    </row>
    <row r="232" spans="1:6" x14ac:dyDescent="0.2">
      <c r="A232" s="38">
        <v>28460</v>
      </c>
      <c r="B232" s="37">
        <f>VLOOKUP(Table534567910[[#This Row],[Date]],Database!A:E,MATCH($A$1,Database!$A$1:$E$1,),)</f>
        <v>33.618000000000002</v>
      </c>
      <c r="C232" s="8">
        <f t="shared" si="3"/>
        <v>5.172671550306528E-3</v>
      </c>
      <c r="D232" s="7">
        <f>(Table534567910[[#This Row],[Value]]-B220)/B220</f>
        <v>6.4837984226030237E-2</v>
      </c>
      <c r="E232" s="16">
        <v>0.02</v>
      </c>
      <c r="F232" s="15">
        <v>6.5</v>
      </c>
    </row>
    <row r="233" spans="1:6" x14ac:dyDescent="0.2">
      <c r="A233" s="38">
        <v>28491</v>
      </c>
      <c r="B233" s="37">
        <f>VLOOKUP(Table534567910[[#This Row],[Date]],Database!A:E,MATCH($A$1,Database!$A$1:$E$1,),)</f>
        <v>33.819000000000003</v>
      </c>
      <c r="C233" s="8">
        <f t="shared" si="3"/>
        <v>5.9789398536498452E-3</v>
      </c>
      <c r="D233" s="7">
        <f>(Table534567910[[#This Row],[Value]]-B221)/B221</f>
        <v>6.4729402134559105E-2</v>
      </c>
      <c r="E233" s="16">
        <v>0.02</v>
      </c>
      <c r="F233" s="15">
        <v>6.75</v>
      </c>
    </row>
    <row r="234" spans="1:6" x14ac:dyDescent="0.2">
      <c r="A234" s="38">
        <v>28522</v>
      </c>
      <c r="B234" s="37">
        <f>VLOOKUP(Table534567910[[#This Row],[Date]],Database!A:E,MATCH($A$1,Database!$A$1:$E$1,),)</f>
        <v>33.948999999999998</v>
      </c>
      <c r="C234" s="8">
        <f t="shared" si="3"/>
        <v>3.8439930216740722E-3</v>
      </c>
      <c r="D234" s="7">
        <f>(Table534567910[[#This Row],[Value]]-B222)/B222</f>
        <v>6.2300519431754173E-2</v>
      </c>
      <c r="E234" s="16">
        <v>0.02</v>
      </c>
      <c r="F234" s="15">
        <v>6.75</v>
      </c>
    </row>
    <row r="235" spans="1:6" x14ac:dyDescent="0.2">
      <c r="A235" s="38">
        <v>28550</v>
      </c>
      <c r="B235" s="37">
        <f>VLOOKUP(Table534567910[[#This Row],[Date]],Database!A:E,MATCH($A$1,Database!$A$1:$E$1,),)</f>
        <v>34.133000000000003</v>
      </c>
      <c r="C235" s="8">
        <f t="shared" si="3"/>
        <v>5.4198945477040451E-3</v>
      </c>
      <c r="D235" s="7">
        <f>(Table534567910[[#This Row],[Value]]-B223)/B223</f>
        <v>6.353212438462022E-2</v>
      </c>
      <c r="E235" s="16">
        <v>0.02</v>
      </c>
      <c r="F235" s="15">
        <v>6.75</v>
      </c>
    </row>
    <row r="236" spans="1:6" x14ac:dyDescent="0.2">
      <c r="A236" s="38">
        <v>28581</v>
      </c>
      <c r="B236" s="37">
        <f>VLOOKUP(Table534567910[[#This Row],[Date]],Database!A:E,MATCH($A$1,Database!$A$1:$E$1,),)</f>
        <v>34.353999999999999</v>
      </c>
      <c r="C236" s="8">
        <f t="shared" si="3"/>
        <v>6.4746726042245488E-3</v>
      </c>
      <c r="D236" s="7">
        <f>(Table534567910[[#This Row],[Value]]-B224)/B224</f>
        <v>6.5141227172666086E-2</v>
      </c>
      <c r="E236" s="16">
        <v>0.02</v>
      </c>
      <c r="F236" s="15">
        <v>7.25</v>
      </c>
    </row>
    <row r="237" spans="1:6" x14ac:dyDescent="0.2">
      <c r="A237" s="38">
        <v>28611</v>
      </c>
      <c r="B237" s="37">
        <f>VLOOKUP(Table534567910[[#This Row],[Date]],Database!A:E,MATCH($A$1,Database!$A$1:$E$1,),)</f>
        <v>34.555999999999997</v>
      </c>
      <c r="C237" s="8">
        <f t="shared" si="3"/>
        <v>5.8799557547883274E-3</v>
      </c>
      <c r="D237" s="7">
        <f>(Table534567910[[#This Row],[Value]]-B225)/B225</f>
        <v>6.5983897337816441E-2</v>
      </c>
      <c r="E237" s="16">
        <v>0.02</v>
      </c>
      <c r="F237" s="15">
        <v>7.5</v>
      </c>
    </row>
    <row r="238" spans="1:6" x14ac:dyDescent="0.2">
      <c r="A238" s="38">
        <v>28642</v>
      </c>
      <c r="B238" s="37">
        <f>VLOOKUP(Table534567910[[#This Row],[Date]],Database!A:E,MATCH($A$1,Database!$A$1:$E$1,),)</f>
        <v>34.749000000000002</v>
      </c>
      <c r="C238" s="8">
        <f t="shared" si="3"/>
        <v>5.5851371686539229E-3</v>
      </c>
      <c r="D238" s="7">
        <f>(Table534567910[[#This Row],[Value]]-B226)/B226</f>
        <v>6.5560700377173514E-2</v>
      </c>
      <c r="E238" s="16">
        <v>0.02</v>
      </c>
      <c r="F238" s="15">
        <v>7.75</v>
      </c>
    </row>
    <row r="239" spans="1:6" x14ac:dyDescent="0.2">
      <c r="A239" s="38">
        <v>28672</v>
      </c>
      <c r="B239" s="37">
        <f>VLOOKUP(Table534567910[[#This Row],[Date]],Database!A:E,MATCH($A$1,Database!$A$1:$E$1,),)</f>
        <v>34.953000000000003</v>
      </c>
      <c r="C239" s="8">
        <f t="shared" si="3"/>
        <v>5.8706725373392213E-3</v>
      </c>
      <c r="D239" s="7">
        <f>(Table534567910[[#This Row],[Value]]-B227)/B227</f>
        <v>6.521805382013228E-2</v>
      </c>
      <c r="E239" s="16">
        <v>0.02</v>
      </c>
      <c r="F239" s="15">
        <v>7.88</v>
      </c>
    </row>
    <row r="240" spans="1:6" x14ac:dyDescent="0.2">
      <c r="A240" s="38">
        <v>28703</v>
      </c>
      <c r="B240" s="37">
        <f>VLOOKUP(Table534567910[[#This Row],[Date]],Database!A:E,MATCH($A$1,Database!$A$1:$E$1,),)</f>
        <v>35.140999999999998</v>
      </c>
      <c r="C240" s="8">
        <f t="shared" si="3"/>
        <v>5.3786513317882661E-3</v>
      </c>
      <c r="D240" s="7">
        <f>(Table534567910[[#This Row],[Value]]-B228)/B228</f>
        <v>6.5750765778060813E-2</v>
      </c>
      <c r="E240" s="16">
        <v>0.02</v>
      </c>
      <c r="F240" s="15">
        <v>8.25</v>
      </c>
    </row>
    <row r="241" spans="1:6" x14ac:dyDescent="0.2">
      <c r="A241" s="38">
        <v>28734</v>
      </c>
      <c r="B241" s="37">
        <f>VLOOKUP(Table534567910[[#This Row],[Date]],Database!A:E,MATCH($A$1,Database!$A$1:$E$1,),)</f>
        <v>35.343000000000004</v>
      </c>
      <c r="C241" s="8">
        <f t="shared" si="3"/>
        <v>5.7482712501068633E-3</v>
      </c>
      <c r="D241" s="7">
        <f>(Table534567910[[#This Row],[Value]]-B229)/B229</f>
        <v>6.7345151451091836E-2</v>
      </c>
      <c r="E241" s="16">
        <v>0.02</v>
      </c>
      <c r="F241" s="15">
        <v>8.75</v>
      </c>
    </row>
    <row r="242" spans="1:6" x14ac:dyDescent="0.2">
      <c r="A242" s="38">
        <v>28764</v>
      </c>
      <c r="B242" s="37">
        <f>VLOOKUP(Table534567910[[#This Row],[Date]],Database!A:E,MATCH($A$1,Database!$A$1:$E$1,),)</f>
        <v>35.603000000000002</v>
      </c>
      <c r="C242" s="8">
        <f t="shared" si="3"/>
        <v>7.356477944713182E-3</v>
      </c>
      <c r="D242" s="7">
        <f>(Table534567910[[#This Row],[Value]]-B230)/B230</f>
        <v>7.0026748414630427E-2</v>
      </c>
      <c r="E242" s="16">
        <v>0.02</v>
      </c>
      <c r="F242" s="15">
        <v>9</v>
      </c>
    </row>
    <row r="243" spans="1:6" x14ac:dyDescent="0.2">
      <c r="A243" s="38">
        <v>28795</v>
      </c>
      <c r="B243" s="37">
        <f>VLOOKUP(Table534567910[[#This Row],[Date]],Database!A:E,MATCH($A$1,Database!$A$1:$E$1,),)</f>
        <v>35.793999999999997</v>
      </c>
      <c r="C243" s="8">
        <f t="shared" si="3"/>
        <v>5.3647164564782574E-3</v>
      </c>
      <c r="D243" s="7">
        <f>(Table534567910[[#This Row],[Value]]-B231)/B231</f>
        <v>7.0234713709074498E-2</v>
      </c>
      <c r="E243" s="16">
        <v>0.02</v>
      </c>
      <c r="F243" s="15">
        <v>9.8800000000000008</v>
      </c>
    </row>
    <row r="244" spans="1:6" x14ac:dyDescent="0.2">
      <c r="A244" s="38">
        <v>28825</v>
      </c>
      <c r="B244" s="37">
        <f>VLOOKUP(Table534567910[[#This Row],[Date]],Database!A:E,MATCH($A$1,Database!$A$1:$E$1,),)</f>
        <v>35.933999999999997</v>
      </c>
      <c r="C244" s="8">
        <f t="shared" si="3"/>
        <v>3.9112700452589985E-3</v>
      </c>
      <c r="D244" s="7">
        <f>(Table534567910[[#This Row],[Value]]-B232)/B232</f>
        <v>6.8891665179368053E-2</v>
      </c>
      <c r="E244" s="16">
        <v>0.02</v>
      </c>
      <c r="F244" s="15">
        <v>10</v>
      </c>
    </row>
    <row r="245" spans="1:6" x14ac:dyDescent="0.2">
      <c r="A245" s="38">
        <v>28856</v>
      </c>
      <c r="B245" s="37">
        <f>VLOOKUP(Table534567910[[#This Row],[Date]],Database!A:E,MATCH($A$1,Database!$A$1:$E$1,),)</f>
        <v>36.118000000000002</v>
      </c>
      <c r="C245" s="8">
        <f t="shared" si="3"/>
        <v>5.1204986920466581E-3</v>
      </c>
      <c r="D245" s="7">
        <f>(Table534567910[[#This Row],[Value]]-B233)/B233</f>
        <v>6.7979538129453843E-2</v>
      </c>
      <c r="E245" s="16">
        <v>0.02</v>
      </c>
      <c r="F245" s="15">
        <v>10</v>
      </c>
    </row>
    <row r="246" spans="1:6" x14ac:dyDescent="0.2">
      <c r="A246" s="38">
        <v>28887</v>
      </c>
      <c r="B246" s="37">
        <f>VLOOKUP(Table534567910[[#This Row],[Date]],Database!A:E,MATCH($A$1,Database!$A$1:$E$1,),)</f>
        <v>36.234999999999999</v>
      </c>
      <c r="C246" s="8">
        <f t="shared" si="3"/>
        <v>3.2393820255827376E-3</v>
      </c>
      <c r="D246" s="7">
        <f>(Table534567910[[#This Row],[Value]]-B234)/B234</f>
        <v>6.7336298565495348E-2</v>
      </c>
      <c r="E246" s="16">
        <v>0.02</v>
      </c>
      <c r="F246" s="15">
        <v>10</v>
      </c>
    </row>
    <row r="247" spans="1:6" x14ac:dyDescent="0.2">
      <c r="A247" s="38">
        <v>28915</v>
      </c>
      <c r="B247" s="37">
        <f>VLOOKUP(Table534567910[[#This Row],[Date]],Database!A:E,MATCH($A$1,Database!$A$1:$E$1,),)</f>
        <v>36.444000000000003</v>
      </c>
      <c r="C247" s="8">
        <f t="shared" si="3"/>
        <v>5.767903960259506E-3</v>
      </c>
      <c r="D247" s="7">
        <f>(Table534567910[[#This Row],[Value]]-B235)/B235</f>
        <v>6.770573931386048E-2</v>
      </c>
      <c r="E247" s="16">
        <v>0.02</v>
      </c>
      <c r="F247" s="15">
        <v>10</v>
      </c>
    </row>
    <row r="248" spans="1:6" x14ac:dyDescent="0.2">
      <c r="A248" s="38">
        <v>28946</v>
      </c>
      <c r="B248" s="37">
        <f>VLOOKUP(Table534567910[[#This Row],[Date]],Database!A:E,MATCH($A$1,Database!$A$1:$E$1,),)</f>
        <v>36.78</v>
      </c>
      <c r="C248" s="8">
        <f t="shared" si="3"/>
        <v>9.2196246295686117E-3</v>
      </c>
      <c r="D248" s="7">
        <f>(Table534567910[[#This Row],[Value]]-B236)/B236</f>
        <v>7.061768644117139E-2</v>
      </c>
      <c r="E248" s="16">
        <v>0.02</v>
      </c>
      <c r="F248" s="15">
        <v>10.25</v>
      </c>
    </row>
    <row r="249" spans="1:6" x14ac:dyDescent="0.2">
      <c r="A249" s="38">
        <v>28976</v>
      </c>
      <c r="B249" s="37">
        <f>VLOOKUP(Table534567910[[#This Row],[Date]],Database!A:E,MATCH($A$1,Database!$A$1:$E$1,),)</f>
        <v>37.1</v>
      </c>
      <c r="C249" s="8">
        <f t="shared" si="3"/>
        <v>8.7003806416530802E-3</v>
      </c>
      <c r="D249" s="7">
        <f>(Table534567910[[#This Row],[Value]]-B237)/B237</f>
        <v>7.3619631901840607E-2</v>
      </c>
      <c r="E249" s="16">
        <v>0.02</v>
      </c>
      <c r="F249" s="15">
        <v>10.25</v>
      </c>
    </row>
    <row r="250" spans="1:6" x14ac:dyDescent="0.2">
      <c r="A250" s="38">
        <v>29007</v>
      </c>
      <c r="B250" s="37">
        <f>VLOOKUP(Table534567910[[#This Row],[Date]],Database!A:E,MATCH($A$1,Database!$A$1:$E$1,),)</f>
        <v>37.308</v>
      </c>
      <c r="C250" s="8">
        <f t="shared" si="3"/>
        <v>5.6064690026953745E-3</v>
      </c>
      <c r="D250" s="7">
        <f>(Table534567910[[#This Row],[Value]]-B238)/B238</f>
        <v>7.3642406975740232E-2</v>
      </c>
      <c r="E250" s="16">
        <v>0.02</v>
      </c>
      <c r="F250" s="15">
        <v>10.25</v>
      </c>
    </row>
    <row r="251" spans="1:6" x14ac:dyDescent="0.2">
      <c r="A251" s="38">
        <v>29037</v>
      </c>
      <c r="B251" s="37">
        <f>VLOOKUP(Table534567910[[#This Row],[Date]],Database!A:E,MATCH($A$1,Database!$A$1:$E$1,),)</f>
        <v>37.494999999999997</v>
      </c>
      <c r="C251" s="8">
        <f t="shared" si="3"/>
        <v>5.0123297952181199E-3</v>
      </c>
      <c r="D251" s="7">
        <f>(Table534567910[[#This Row],[Value]]-B239)/B239</f>
        <v>7.2726232369181312E-2</v>
      </c>
      <c r="E251" s="16">
        <v>0.02</v>
      </c>
      <c r="F251" s="15">
        <v>10.63</v>
      </c>
    </row>
    <row r="252" spans="1:6" x14ac:dyDescent="0.2">
      <c r="A252" s="38">
        <v>29068</v>
      </c>
      <c r="B252" s="37">
        <f>VLOOKUP(Table534567910[[#This Row],[Date]],Database!A:E,MATCH($A$1,Database!$A$1:$E$1,),)</f>
        <v>37.744</v>
      </c>
      <c r="C252" s="8">
        <f t="shared" si="3"/>
        <v>6.6408854513935814E-3</v>
      </c>
      <c r="D252" s="7">
        <f>(Table534567910[[#This Row],[Value]]-B240)/B240</f>
        <v>7.4073020118949423E-2</v>
      </c>
      <c r="E252" s="16">
        <v>0.02</v>
      </c>
      <c r="F252" s="15">
        <v>11.38</v>
      </c>
    </row>
    <row r="253" spans="1:6" x14ac:dyDescent="0.2">
      <c r="A253" s="38">
        <v>29099</v>
      </c>
      <c r="B253" s="37">
        <f>VLOOKUP(Table534567910[[#This Row],[Date]],Database!A:E,MATCH($A$1,Database!$A$1:$E$1,),)</f>
        <v>38.002000000000002</v>
      </c>
      <c r="C253" s="8">
        <f t="shared" si="3"/>
        <v>6.8355235269182569E-3</v>
      </c>
      <c r="D253" s="7">
        <f>(Table534567910[[#This Row],[Value]]-B241)/B241</f>
        <v>7.5234134057663438E-2</v>
      </c>
      <c r="E253" s="16">
        <v>0.02</v>
      </c>
      <c r="F253" s="15">
        <v>11.5</v>
      </c>
    </row>
    <row r="254" spans="1:6" x14ac:dyDescent="0.2">
      <c r="A254" s="38">
        <v>29129</v>
      </c>
      <c r="B254" s="37">
        <f>VLOOKUP(Table534567910[[#This Row],[Date]],Database!A:E,MATCH($A$1,Database!$A$1:$E$1,),)</f>
        <v>38.279000000000003</v>
      </c>
      <c r="C254" s="8">
        <f t="shared" si="3"/>
        <v>7.2890900478922429E-3</v>
      </c>
      <c r="D254" s="7">
        <f>(Table534567910[[#This Row],[Value]]-B242)/B242</f>
        <v>7.5162205432126553E-2</v>
      </c>
      <c r="E254" s="16">
        <v>0.02</v>
      </c>
      <c r="F254" s="15">
        <v>15.5</v>
      </c>
    </row>
    <row r="255" spans="1:6" x14ac:dyDescent="0.2">
      <c r="A255" s="38">
        <v>29160</v>
      </c>
      <c r="B255" s="37">
        <f>VLOOKUP(Table534567910[[#This Row],[Date]],Database!A:E,MATCH($A$1,Database!$A$1:$E$1,),)</f>
        <v>38.524000000000001</v>
      </c>
      <c r="C255" s="8">
        <f t="shared" si="3"/>
        <v>6.4003761853757262E-3</v>
      </c>
      <c r="D255" s="7">
        <f>(Table534567910[[#This Row],[Value]]-B243)/B243</f>
        <v>7.6269765882550272E-2</v>
      </c>
      <c r="E255" s="16">
        <v>0.02</v>
      </c>
      <c r="F255" s="15">
        <v>15.5</v>
      </c>
    </row>
    <row r="256" spans="1:6" x14ac:dyDescent="0.2">
      <c r="A256" s="38">
        <v>29190</v>
      </c>
      <c r="B256" s="37">
        <f>VLOOKUP(Table534567910[[#This Row],[Date]],Database!A:E,MATCH($A$1,Database!$A$1:$E$1,),)</f>
        <v>38.801000000000002</v>
      </c>
      <c r="C256" s="8">
        <f t="shared" si="3"/>
        <v>7.1903229155851163E-3</v>
      </c>
      <c r="D256" s="7">
        <f>(Table534567910[[#This Row],[Value]]-B244)/B244</f>
        <v>7.9785161685312092E-2</v>
      </c>
      <c r="E256" s="16">
        <v>0.02</v>
      </c>
      <c r="F256" s="15">
        <v>14</v>
      </c>
    </row>
    <row r="257" spans="1:6" x14ac:dyDescent="0.2">
      <c r="A257" s="38">
        <v>29221</v>
      </c>
      <c r="B257" s="37">
        <f>VLOOKUP(Table534567910[[#This Row],[Date]],Database!A:E,MATCH($A$1,Database!$A$1:$E$1,),)</f>
        <v>39.094999999999999</v>
      </c>
      <c r="C257" s="8">
        <f t="shared" si="3"/>
        <v>7.57712430092E-3</v>
      </c>
      <c r="D257" s="7">
        <f>(Table534567910[[#This Row],[Value]]-B245)/B245</f>
        <v>8.2424275984273682E-2</v>
      </c>
      <c r="E257" s="16">
        <v>0.02</v>
      </c>
      <c r="F257" s="15">
        <v>14</v>
      </c>
    </row>
    <row r="258" spans="1:6" x14ac:dyDescent="0.2">
      <c r="A258" s="38">
        <v>29252</v>
      </c>
      <c r="B258" s="37">
        <f>VLOOKUP(Table534567910[[#This Row],[Date]],Database!A:E,MATCH($A$1,Database!$A$1:$E$1,),)</f>
        <v>39.484999999999999</v>
      </c>
      <c r="C258" s="8">
        <f t="shared" si="3"/>
        <v>9.9757002174191214E-3</v>
      </c>
      <c r="D258" s="7">
        <f>(Table534567910[[#This Row],[Value]]-B246)/B246</f>
        <v>8.9692286463364149E-2</v>
      </c>
      <c r="E258" s="16">
        <v>0.02</v>
      </c>
      <c r="F258" s="15">
        <v>15</v>
      </c>
    </row>
    <row r="259" spans="1:6" x14ac:dyDescent="0.2">
      <c r="A259" s="38">
        <v>29281</v>
      </c>
      <c r="B259" s="37">
        <f>VLOOKUP(Table534567910[[#This Row],[Date]],Database!A:E,MATCH($A$1,Database!$A$1:$E$1,),)</f>
        <v>39.850999999999999</v>
      </c>
      <c r="C259" s="8">
        <f t="shared" si="3"/>
        <v>9.2693427884006502E-3</v>
      </c>
      <c r="D259" s="7">
        <f>(Table534567910[[#This Row],[Value]]-B247)/B247</f>
        <v>9.3485896169465371E-2</v>
      </c>
      <c r="E259" s="16">
        <v>0.02</v>
      </c>
      <c r="F259" s="15">
        <v>20</v>
      </c>
    </row>
    <row r="260" spans="1:6" x14ac:dyDescent="0.2">
      <c r="A260" s="38">
        <v>29312</v>
      </c>
      <c r="B260" s="37">
        <f>VLOOKUP(Table534567910[[#This Row],[Date]],Database!A:E,MATCH($A$1,Database!$A$1:$E$1,),)</f>
        <v>40.055999999999997</v>
      </c>
      <c r="C260" s="8">
        <f t="shared" si="3"/>
        <v>5.1441620034628566E-3</v>
      </c>
      <c r="D260" s="7">
        <f>(Table534567910[[#This Row],[Value]]-B248)/B248</f>
        <v>8.9070146818923224E-2</v>
      </c>
      <c r="E260" s="16">
        <v>0.02</v>
      </c>
      <c r="F260" s="15">
        <v>11.5</v>
      </c>
    </row>
    <row r="261" spans="1:6" x14ac:dyDescent="0.2">
      <c r="A261" s="38">
        <v>29342</v>
      </c>
      <c r="B261" s="37">
        <f>VLOOKUP(Table534567910[[#This Row],[Date]],Database!A:E,MATCH($A$1,Database!$A$1:$E$1,),)</f>
        <v>40.378</v>
      </c>
      <c r="C261" s="8">
        <f t="shared" si="3"/>
        <v>8.0387457559417501E-3</v>
      </c>
      <c r="D261" s="7">
        <f>(Table534567910[[#This Row],[Value]]-B249)/B249</f>
        <v>8.8355795148247943E-2</v>
      </c>
      <c r="E261" s="16">
        <v>0.02</v>
      </c>
      <c r="F261" s="15">
        <v>10.75</v>
      </c>
    </row>
    <row r="262" spans="1:6" x14ac:dyDescent="0.2">
      <c r="A262" s="38">
        <v>29373</v>
      </c>
      <c r="B262" s="37">
        <f>VLOOKUP(Table534567910[[#This Row],[Date]],Database!A:E,MATCH($A$1,Database!$A$1:$E$1,),)</f>
        <v>40.646000000000001</v>
      </c>
      <c r="C262" s="8">
        <f t="shared" ref="C262:C325" si="4">(B262-B261)/B261</f>
        <v>6.6372777254940975E-3</v>
      </c>
      <c r="D262" s="7">
        <f>(Table534567910[[#This Row],[Value]]-B250)/B250</f>
        <v>8.9471427039777021E-2</v>
      </c>
      <c r="E262" s="16">
        <v>0.02</v>
      </c>
      <c r="F262" s="15">
        <v>9.5</v>
      </c>
    </row>
    <row r="263" spans="1:6" x14ac:dyDescent="0.2">
      <c r="A263" s="38">
        <v>29403</v>
      </c>
      <c r="B263" s="37">
        <f>VLOOKUP(Table534567910[[#This Row],[Date]],Database!A:E,MATCH($A$1,Database!$A$1:$E$1,),)</f>
        <v>40.932000000000002</v>
      </c>
      <c r="C263" s="8">
        <f t="shared" si="4"/>
        <v>7.0363627417212356E-3</v>
      </c>
      <c r="D263" s="7">
        <f>(Table534567910[[#This Row],[Value]]-B251)/B251</f>
        <v>9.1665555407387786E-2</v>
      </c>
      <c r="E263" s="16">
        <v>0.02</v>
      </c>
      <c r="F263" s="15">
        <v>9.5</v>
      </c>
    </row>
    <row r="264" spans="1:6" x14ac:dyDescent="0.2">
      <c r="A264" s="38">
        <v>29434</v>
      </c>
      <c r="B264" s="37">
        <f>VLOOKUP(Table534567910[[#This Row],[Date]],Database!A:E,MATCH($A$1,Database!$A$1:$E$1,),)</f>
        <v>41.228000000000002</v>
      </c>
      <c r="C264" s="8">
        <f t="shared" si="4"/>
        <v>7.2315059122446826E-3</v>
      </c>
      <c r="D264" s="7">
        <f>(Table534567910[[#This Row],[Value]]-B252)/B252</f>
        <v>9.2306061890631674E-2</v>
      </c>
      <c r="E264" s="16">
        <v>0.02</v>
      </c>
      <c r="F264" s="15">
        <v>10</v>
      </c>
    </row>
    <row r="265" spans="1:6" x14ac:dyDescent="0.2">
      <c r="A265" s="38">
        <v>29465</v>
      </c>
      <c r="B265" s="37">
        <f>VLOOKUP(Table534567910[[#This Row],[Date]],Database!A:E,MATCH($A$1,Database!$A$1:$E$1,),)</f>
        <v>41.616</v>
      </c>
      <c r="C265" s="8">
        <f t="shared" si="4"/>
        <v>9.4110798486465048E-3</v>
      </c>
      <c r="D265" s="7">
        <f>(Table534567910[[#This Row],[Value]]-B253)/B253</f>
        <v>9.5100257881164066E-2</v>
      </c>
      <c r="E265" s="16">
        <v>0.02</v>
      </c>
      <c r="F265" s="15">
        <v>12</v>
      </c>
    </row>
    <row r="266" spans="1:6" x14ac:dyDescent="0.2">
      <c r="A266" s="38">
        <v>29495</v>
      </c>
      <c r="B266" s="37">
        <f>VLOOKUP(Table534567910[[#This Row],[Date]],Database!A:E,MATCH($A$1,Database!$A$1:$E$1,),)</f>
        <v>41.959000000000003</v>
      </c>
      <c r="C266" s="8">
        <f t="shared" si="4"/>
        <v>8.2420222991158101E-3</v>
      </c>
      <c r="D266" s="7">
        <f>(Table534567910[[#This Row],[Value]]-B254)/B254</f>
        <v>9.6136262702787412E-2</v>
      </c>
      <c r="E266" s="16">
        <v>0.02</v>
      </c>
      <c r="F266" s="15">
        <v>13.75</v>
      </c>
    </row>
    <row r="267" spans="1:6" x14ac:dyDescent="0.2">
      <c r="A267" s="38">
        <v>29526</v>
      </c>
      <c r="B267" s="37">
        <f>VLOOKUP(Table534567910[[#This Row],[Date]],Database!A:E,MATCH($A$1,Database!$A$1:$E$1,),)</f>
        <v>42.289000000000001</v>
      </c>
      <c r="C267" s="8">
        <f t="shared" si="4"/>
        <v>7.8648204199337039E-3</v>
      </c>
      <c r="D267" s="7">
        <f>(Table534567910[[#This Row],[Value]]-B255)/B255</f>
        <v>9.7731284394143927E-2</v>
      </c>
      <c r="E267" s="16">
        <v>0.02</v>
      </c>
      <c r="F267" s="15">
        <v>18</v>
      </c>
    </row>
    <row r="268" spans="1:6" x14ac:dyDescent="0.2">
      <c r="A268" s="38">
        <v>29556</v>
      </c>
      <c r="B268" s="37">
        <f>VLOOKUP(Table534567910[[#This Row],[Date]],Database!A:E,MATCH($A$1,Database!$A$1:$E$1,),)</f>
        <v>42.543999999999997</v>
      </c>
      <c r="C268" s="8">
        <f t="shared" si="4"/>
        <v>6.0299368630139152E-3</v>
      </c>
      <c r="D268" s="7">
        <f>(Table534567910[[#This Row],[Value]]-B256)/B256</f>
        <v>9.6466585912734076E-2</v>
      </c>
      <c r="E268" s="16">
        <v>0.02</v>
      </c>
      <c r="F268" s="15">
        <v>18</v>
      </c>
    </row>
    <row r="269" spans="1:6" x14ac:dyDescent="0.2">
      <c r="A269" s="38">
        <v>29587</v>
      </c>
      <c r="B269" s="37">
        <f>VLOOKUP(Table534567910[[#This Row],[Date]],Database!A:E,MATCH($A$1,Database!$A$1:$E$1,),)</f>
        <v>42.911999999999999</v>
      </c>
      <c r="C269" s="8">
        <f t="shared" si="4"/>
        <v>8.6498683715683089E-3</v>
      </c>
      <c r="D269" s="7">
        <f>(Table534567910[[#This Row],[Value]]-B257)/B257</f>
        <v>9.7633968538176241E-2</v>
      </c>
      <c r="E269" s="16">
        <v>0.02</v>
      </c>
      <c r="F269" s="15">
        <v>16</v>
      </c>
    </row>
    <row r="270" spans="1:6" x14ac:dyDescent="0.2">
      <c r="A270" s="38">
        <v>29618</v>
      </c>
      <c r="B270" s="37">
        <f>VLOOKUP(Table534567910[[#This Row],[Date]],Database!A:E,MATCH($A$1,Database!$A$1:$E$1,),)</f>
        <v>43.225999999999999</v>
      </c>
      <c r="C270" s="8">
        <f t="shared" si="4"/>
        <v>7.3173005219985101E-3</v>
      </c>
      <c r="D270" s="7">
        <f>(Table534567910[[#This Row],[Value]]-B258)/B258</f>
        <v>9.4744839812587051E-2</v>
      </c>
      <c r="E270" s="16">
        <v>0.02</v>
      </c>
      <c r="F270" s="15">
        <v>16</v>
      </c>
    </row>
    <row r="271" spans="1:6" x14ac:dyDescent="0.2">
      <c r="A271" s="38">
        <v>29646</v>
      </c>
      <c r="B271" s="37">
        <f>VLOOKUP(Table534567910[[#This Row],[Date]],Database!A:E,MATCH($A$1,Database!$A$1:$E$1,),)</f>
        <v>43.466000000000001</v>
      </c>
      <c r="C271" s="8">
        <f t="shared" si="4"/>
        <v>5.5522139453107388E-3</v>
      </c>
      <c r="D271" s="7">
        <f>(Table534567910[[#This Row],[Value]]-B259)/B259</f>
        <v>9.0712905573260449E-2</v>
      </c>
      <c r="E271" s="16">
        <v>0.02</v>
      </c>
      <c r="F271" s="15">
        <v>16</v>
      </c>
    </row>
    <row r="272" spans="1:6" x14ac:dyDescent="0.2">
      <c r="A272" s="38">
        <v>29677</v>
      </c>
      <c r="B272" s="37">
        <f>VLOOKUP(Table534567910[[#This Row],[Date]],Database!A:E,MATCH($A$1,Database!$A$1:$E$1,),)</f>
        <v>43.744</v>
      </c>
      <c r="C272" s="8">
        <f t="shared" si="4"/>
        <v>6.395803616619857E-3</v>
      </c>
      <c r="D272" s="7">
        <f>(Table534567910[[#This Row],[Value]]-B260)/B260</f>
        <v>9.2071100459356972E-2</v>
      </c>
      <c r="E272" s="16">
        <v>0.02</v>
      </c>
      <c r="F272" s="15">
        <v>16</v>
      </c>
    </row>
    <row r="273" spans="1:6" x14ac:dyDescent="0.2">
      <c r="A273" s="38">
        <v>29707</v>
      </c>
      <c r="B273" s="37">
        <f>VLOOKUP(Table534567910[[#This Row],[Date]],Database!A:E,MATCH($A$1,Database!$A$1:$E$1,),)</f>
        <v>44.045000000000002</v>
      </c>
      <c r="C273" s="8">
        <f t="shared" si="4"/>
        <v>6.8809436722750989E-3</v>
      </c>
      <c r="D273" s="7">
        <f>(Table534567910[[#This Row],[Value]]-B261)/B261</f>
        <v>9.0816781415622411E-2</v>
      </c>
      <c r="E273" s="16">
        <v>0.02</v>
      </c>
      <c r="F273" s="15">
        <v>20</v>
      </c>
    </row>
    <row r="274" spans="1:6" x14ac:dyDescent="0.2">
      <c r="A274" s="38">
        <v>29738</v>
      </c>
      <c r="B274" s="37">
        <f>VLOOKUP(Table534567910[[#This Row],[Date]],Database!A:E,MATCH($A$1,Database!$A$1:$E$1,),)</f>
        <v>44.265000000000001</v>
      </c>
      <c r="C274" s="8">
        <f t="shared" si="4"/>
        <v>4.9948915881484583E-3</v>
      </c>
      <c r="D274" s="7">
        <f>(Table534567910[[#This Row],[Value]]-B262)/B262</f>
        <v>8.9037051616395205E-2</v>
      </c>
      <c r="E274" s="16">
        <v>0.02</v>
      </c>
      <c r="F274" s="15">
        <v>15.5</v>
      </c>
    </row>
    <row r="275" spans="1:6" x14ac:dyDescent="0.2">
      <c r="A275" s="38">
        <v>29768</v>
      </c>
      <c r="B275" s="37">
        <f>VLOOKUP(Table534567910[[#This Row],[Date]],Database!A:E,MATCH($A$1,Database!$A$1:$E$1,),)</f>
        <v>44.531999999999996</v>
      </c>
      <c r="C275" s="8">
        <f t="shared" si="4"/>
        <v>6.0318536089460275E-3</v>
      </c>
      <c r="D275" s="7">
        <f>(Table534567910[[#This Row],[Value]]-B263)/B263</f>
        <v>8.7950747581354294E-2</v>
      </c>
      <c r="E275" s="16">
        <v>0.02</v>
      </c>
      <c r="F275" s="15">
        <v>15.5</v>
      </c>
    </row>
    <row r="276" spans="1:6" x14ac:dyDescent="0.2">
      <c r="A276" s="38">
        <v>29799</v>
      </c>
      <c r="B276" s="37">
        <f>VLOOKUP(Table534567910[[#This Row],[Date]],Database!A:E,MATCH($A$1,Database!$A$1:$E$1,),)</f>
        <v>44.83</v>
      </c>
      <c r="C276" s="8">
        <f t="shared" si="4"/>
        <v>6.6918171202731032E-3</v>
      </c>
      <c r="D276" s="7">
        <f>(Table534567910[[#This Row],[Value]]-B264)/B264</f>
        <v>8.7367808285631038E-2</v>
      </c>
      <c r="E276" s="16">
        <v>0.02</v>
      </c>
      <c r="F276" s="15">
        <v>15.5</v>
      </c>
    </row>
    <row r="277" spans="1:6" x14ac:dyDescent="0.2">
      <c r="A277" s="38">
        <v>29830</v>
      </c>
      <c r="B277" s="37">
        <f>VLOOKUP(Table534567910[[#This Row],[Date]],Database!A:E,MATCH($A$1,Database!$A$1:$E$1,),)</f>
        <v>45.124000000000002</v>
      </c>
      <c r="C277" s="8">
        <f t="shared" si="4"/>
        <v>6.5581084095472685E-3</v>
      </c>
      <c r="D277" s="7">
        <f>(Table534567910[[#This Row],[Value]]-B265)/B265</f>
        <v>8.4294502114571387E-2</v>
      </c>
      <c r="E277" s="16">
        <v>0.02</v>
      </c>
      <c r="F277" s="15">
        <v>15.5</v>
      </c>
    </row>
    <row r="278" spans="1:6" x14ac:dyDescent="0.2">
      <c r="A278" s="38">
        <v>29860</v>
      </c>
      <c r="B278" s="37">
        <f>VLOOKUP(Table534567910[[#This Row],[Date]],Database!A:E,MATCH($A$1,Database!$A$1:$E$1,),)</f>
        <v>45.393000000000001</v>
      </c>
      <c r="C278" s="8">
        <f t="shared" si="4"/>
        <v>5.961350944065206E-3</v>
      </c>
      <c r="D278" s="7">
        <f>(Table534567910[[#This Row],[Value]]-B266)/B266</f>
        <v>8.1841797945613512E-2</v>
      </c>
      <c r="E278" s="16">
        <v>0.02</v>
      </c>
      <c r="F278" s="15">
        <v>15.5</v>
      </c>
    </row>
    <row r="279" spans="1:6" x14ac:dyDescent="0.2">
      <c r="A279" s="38">
        <v>29891</v>
      </c>
      <c r="B279" s="37">
        <f>VLOOKUP(Table534567910[[#This Row],[Date]],Database!A:E,MATCH($A$1,Database!$A$1:$E$1,),)</f>
        <v>45.658000000000001</v>
      </c>
      <c r="C279" s="8">
        <f t="shared" si="4"/>
        <v>5.8379045227237806E-3</v>
      </c>
      <c r="D279" s="7">
        <f>(Table534567910[[#This Row],[Value]]-B267)/B267</f>
        <v>7.9666107025467614E-2</v>
      </c>
      <c r="E279" s="16">
        <v>0.02</v>
      </c>
      <c r="F279" s="15">
        <v>13</v>
      </c>
    </row>
    <row r="280" spans="1:6" x14ac:dyDescent="0.2">
      <c r="A280" s="38">
        <v>29921</v>
      </c>
      <c r="B280" s="37">
        <f>VLOOKUP(Table534567910[[#This Row],[Date]],Database!A:E,MATCH($A$1,Database!$A$1:$E$1,),)</f>
        <v>45.826000000000001</v>
      </c>
      <c r="C280" s="8">
        <f t="shared" si="4"/>
        <v>3.679530421831864E-3</v>
      </c>
      <c r="D280" s="7">
        <f>(Table534567910[[#This Row],[Value]]-B268)/B268</f>
        <v>7.7143663031214837E-2</v>
      </c>
      <c r="E280" s="16">
        <v>0.02</v>
      </c>
      <c r="F280" s="15">
        <v>12</v>
      </c>
    </row>
    <row r="281" spans="1:6" x14ac:dyDescent="0.2">
      <c r="A281" s="38">
        <v>29952</v>
      </c>
      <c r="B281" s="37">
        <f>VLOOKUP(Table534567910[[#This Row],[Date]],Database!A:E,MATCH($A$1,Database!$A$1:$E$1,),)</f>
        <v>46.107999999999997</v>
      </c>
      <c r="C281" s="8">
        <f t="shared" si="4"/>
        <v>6.1537118666258562E-3</v>
      </c>
      <c r="D281" s="7">
        <f>(Table534567910[[#This Row],[Value]]-B269)/B269</f>
        <v>7.4478001491424264E-2</v>
      </c>
      <c r="E281" s="16">
        <v>0.02</v>
      </c>
      <c r="F281" s="15">
        <v>15</v>
      </c>
    </row>
    <row r="282" spans="1:6" x14ac:dyDescent="0.2">
      <c r="A282" s="38">
        <v>29983</v>
      </c>
      <c r="B282" s="37">
        <f>VLOOKUP(Table534567910[[#This Row],[Date]],Database!A:E,MATCH($A$1,Database!$A$1:$E$1,),)</f>
        <v>46.286000000000001</v>
      </c>
      <c r="C282" s="8">
        <f t="shared" si="4"/>
        <v>3.8605014314219742E-3</v>
      </c>
      <c r="D282" s="7">
        <f>(Table534567910[[#This Row],[Value]]-B270)/B270</f>
        <v>7.0790727802711381E-2</v>
      </c>
      <c r="E282" s="16">
        <v>0.02</v>
      </c>
      <c r="F282" s="15">
        <v>15</v>
      </c>
    </row>
    <row r="283" spans="1:6" x14ac:dyDescent="0.2">
      <c r="A283" s="38">
        <v>30011</v>
      </c>
      <c r="B283" s="37">
        <f>VLOOKUP(Table534567910[[#This Row],[Date]],Database!A:E,MATCH($A$1,Database!$A$1:$E$1,),)</f>
        <v>46.488</v>
      </c>
      <c r="C283" s="8">
        <f t="shared" si="4"/>
        <v>4.3641705915395193E-3</v>
      </c>
      <c r="D283" s="7">
        <f>(Table534567910[[#This Row],[Value]]-B271)/B271</f>
        <v>6.9525606220954272E-2</v>
      </c>
      <c r="E283" s="16">
        <v>0.02</v>
      </c>
      <c r="F283" s="15">
        <v>15</v>
      </c>
    </row>
    <row r="284" spans="1:6" x14ac:dyDescent="0.2">
      <c r="A284" s="38">
        <v>30042</v>
      </c>
      <c r="B284" s="37">
        <f>VLOOKUP(Table534567910[[#This Row],[Date]],Database!A:E,MATCH($A$1,Database!$A$1:$E$1,),)</f>
        <v>46.671999999999997</v>
      </c>
      <c r="C284" s="8">
        <f t="shared" si="4"/>
        <v>3.9580106694200113E-3</v>
      </c>
      <c r="D284" s="7">
        <f>(Table534567910[[#This Row],[Value]]-B272)/B272</f>
        <v>6.6934893928310105E-2</v>
      </c>
      <c r="E284" s="16">
        <v>0.02</v>
      </c>
      <c r="F284" s="15">
        <v>13</v>
      </c>
    </row>
    <row r="285" spans="1:6" x14ac:dyDescent="0.2">
      <c r="A285" s="38">
        <v>30072</v>
      </c>
      <c r="B285" s="37">
        <f>VLOOKUP(Table534567910[[#This Row],[Date]],Database!A:E,MATCH($A$1,Database!$A$1:$E$1,),)</f>
        <v>46.927</v>
      </c>
      <c r="C285" s="8">
        <f t="shared" si="4"/>
        <v>5.4636612958519574E-3</v>
      </c>
      <c r="D285" s="7">
        <f>(Table534567910[[#This Row],[Value]]-B273)/B273</f>
        <v>6.5433079804745095E-2</v>
      </c>
      <c r="E285" s="16">
        <v>0.02</v>
      </c>
      <c r="F285" s="15">
        <v>13</v>
      </c>
    </row>
    <row r="286" spans="1:6" x14ac:dyDescent="0.2">
      <c r="A286" s="38">
        <v>30103</v>
      </c>
      <c r="B286" s="37">
        <f>VLOOKUP(Table534567910[[#This Row],[Date]],Database!A:E,MATCH($A$1,Database!$A$1:$E$1,),)</f>
        <v>47.161999999999999</v>
      </c>
      <c r="C286" s="8">
        <f t="shared" si="4"/>
        <v>5.0077780382295784E-3</v>
      </c>
      <c r="D286" s="7">
        <f>(Table534567910[[#This Row],[Value]]-B274)/B274</f>
        <v>6.544674121766629E-2</v>
      </c>
      <c r="E286" s="16">
        <v>0.02</v>
      </c>
      <c r="F286" s="15">
        <v>13</v>
      </c>
    </row>
    <row r="287" spans="1:6" x14ac:dyDescent="0.2">
      <c r="A287" s="38">
        <v>30133</v>
      </c>
      <c r="B287" s="37">
        <f>VLOOKUP(Table534567910[[#This Row],[Date]],Database!A:E,MATCH($A$1,Database!$A$1:$E$1,),)</f>
        <v>47.468000000000004</v>
      </c>
      <c r="C287" s="8">
        <f t="shared" si="4"/>
        <v>6.4882744582503817E-3</v>
      </c>
      <c r="D287" s="7">
        <f>(Table534567910[[#This Row],[Value]]-B275)/B275</f>
        <v>6.5930117668193816E-2</v>
      </c>
      <c r="E287" s="16">
        <v>0.02</v>
      </c>
      <c r="F287" s="15">
        <v>11.5</v>
      </c>
    </row>
    <row r="288" spans="1:6" x14ac:dyDescent="0.2">
      <c r="A288" s="38">
        <v>30164</v>
      </c>
      <c r="B288" s="37">
        <f>VLOOKUP(Table534567910[[#This Row],[Date]],Database!A:E,MATCH($A$1,Database!$A$1:$E$1,),)</f>
        <v>47.686</v>
      </c>
      <c r="C288" s="8">
        <f t="shared" si="4"/>
        <v>4.5925676245048537E-3</v>
      </c>
      <c r="D288" s="7">
        <f>(Table534567910[[#This Row],[Value]]-B276)/B276</f>
        <v>6.3707338835601202E-2</v>
      </c>
      <c r="E288" s="16">
        <v>0.02</v>
      </c>
      <c r="F288" s="15">
        <v>9.5</v>
      </c>
    </row>
    <row r="289" spans="1:6" x14ac:dyDescent="0.2">
      <c r="A289" s="38">
        <v>30195</v>
      </c>
      <c r="B289" s="37">
        <f>VLOOKUP(Table534567910[[#This Row],[Date]],Database!A:E,MATCH($A$1,Database!$A$1:$E$1,),)</f>
        <v>47.863</v>
      </c>
      <c r="C289" s="8">
        <f t="shared" si="4"/>
        <v>3.7117812355827624E-3</v>
      </c>
      <c r="D289" s="7">
        <f>(Table534567910[[#This Row],[Value]]-B277)/B277</f>
        <v>6.0699406081021118E-2</v>
      </c>
      <c r="E289" s="16">
        <v>0.02</v>
      </c>
      <c r="F289" s="15">
        <v>10</v>
      </c>
    </row>
    <row r="290" spans="1:6" x14ac:dyDescent="0.2">
      <c r="A290" s="38">
        <v>30225</v>
      </c>
      <c r="B290" s="37">
        <f>VLOOKUP(Table534567910[[#This Row],[Date]],Database!A:E,MATCH($A$1,Database!$A$1:$E$1,),)</f>
        <v>48.165999999999997</v>
      </c>
      <c r="C290" s="9">
        <f t="shared" si="4"/>
        <v>6.3305684975868059E-3</v>
      </c>
      <c r="D290" s="7">
        <f>(Table534567910[[#This Row],[Value]]-B278)/B278</f>
        <v>6.1088714118916927E-2</v>
      </c>
      <c r="E290" s="16">
        <v>0.02</v>
      </c>
      <c r="F290" s="15">
        <v>9.5</v>
      </c>
    </row>
    <row r="291" spans="1:6" x14ac:dyDescent="0.2">
      <c r="A291" s="38">
        <v>30256</v>
      </c>
      <c r="B291" s="37">
        <f>VLOOKUP(Table534567910[[#This Row],[Date]],Database!A:E,MATCH($A$1,Database!$A$1:$E$1,),)</f>
        <v>48.344000000000001</v>
      </c>
      <c r="C291" s="9">
        <f t="shared" si="4"/>
        <v>3.6955528796247224E-3</v>
      </c>
      <c r="D291" s="7">
        <f>(Table534567910[[#This Row],[Value]]-B279)/B279</f>
        <v>5.8828682815716848E-2</v>
      </c>
      <c r="E291" s="16">
        <v>0.02</v>
      </c>
      <c r="F291" s="15">
        <v>9</v>
      </c>
    </row>
    <row r="292" spans="1:6" x14ac:dyDescent="0.2">
      <c r="A292" s="38">
        <v>30286</v>
      </c>
      <c r="B292" s="37">
        <f>VLOOKUP(Table534567910[[#This Row],[Date]],Database!A:E,MATCH($A$1,Database!$A$1:$E$1,),)</f>
        <v>48.497999999999998</v>
      </c>
      <c r="C292" s="9">
        <f t="shared" si="4"/>
        <v>3.18550388879688E-3</v>
      </c>
      <c r="D292" s="7">
        <f>(Table534567910[[#This Row],[Value]]-B280)/B280</f>
        <v>5.8307511019944941E-2</v>
      </c>
      <c r="E292" s="16">
        <v>0.02</v>
      </c>
      <c r="F292" s="15">
        <v>8.5</v>
      </c>
    </row>
    <row r="293" spans="1:6" x14ac:dyDescent="0.2">
      <c r="A293" s="38">
        <v>30317</v>
      </c>
      <c r="B293" s="37">
        <f>VLOOKUP(Table534567910[[#This Row],[Date]],Database!A:E,MATCH($A$1,Database!$A$1:$E$1,),)</f>
        <v>48.83</v>
      </c>
      <c r="C293" s="9">
        <f t="shared" si="4"/>
        <v>6.8456431193039046E-3</v>
      </c>
      <c r="D293" s="7">
        <f>(Table534567910[[#This Row],[Value]]-B281)/B281</f>
        <v>5.9035308406350337E-2</v>
      </c>
      <c r="E293" s="16">
        <v>0.02</v>
      </c>
      <c r="F293" s="15">
        <v>8.5</v>
      </c>
    </row>
    <row r="294" spans="1:6" x14ac:dyDescent="0.2">
      <c r="A294" s="38">
        <v>30348</v>
      </c>
      <c r="B294" s="37">
        <f>VLOOKUP(Table534567910[[#This Row],[Date]],Database!A:E,MATCH($A$1,Database!$A$1:$E$1,),)</f>
        <v>49.011000000000003</v>
      </c>
      <c r="C294" s="9">
        <f t="shared" si="4"/>
        <v>3.7067376612738992E-3</v>
      </c>
      <c r="D294" s="7">
        <f>(Table534567910[[#This Row],[Value]]-B282)/B282</f>
        <v>5.8873093375966842E-2</v>
      </c>
      <c r="E294" s="16">
        <v>0.02</v>
      </c>
      <c r="F294" s="15">
        <v>8.5</v>
      </c>
    </row>
    <row r="295" spans="1:6" x14ac:dyDescent="0.2">
      <c r="A295" s="38">
        <v>30376</v>
      </c>
      <c r="B295" s="37">
        <f>VLOOKUP(Table534567910[[#This Row],[Date]],Database!A:E,MATCH($A$1,Database!$A$1:$E$1,),)</f>
        <v>49.073</v>
      </c>
      <c r="C295" s="9">
        <f t="shared" si="4"/>
        <v>1.2650221378873643E-3</v>
      </c>
      <c r="D295" s="7">
        <f>(Table534567910[[#This Row],[Value]]-B283)/B283</f>
        <v>5.5605747719841697E-2</v>
      </c>
      <c r="E295" s="16">
        <v>0.02</v>
      </c>
      <c r="F295" s="15">
        <v>8.5</v>
      </c>
    </row>
    <row r="296" spans="1:6" x14ac:dyDescent="0.2">
      <c r="A296" s="38">
        <v>30407</v>
      </c>
      <c r="B296" s="37">
        <f>VLOOKUP(Table534567910[[#This Row],[Date]],Database!A:E,MATCH($A$1,Database!$A$1:$E$1,),)</f>
        <v>49.222000000000001</v>
      </c>
      <c r="C296" s="9">
        <f t="shared" si="4"/>
        <v>3.0362928698062256E-3</v>
      </c>
      <c r="D296" s="7">
        <f>(Table534567910[[#This Row],[Value]]-B284)/B284</f>
        <v>5.4636612958519119E-2</v>
      </c>
      <c r="E296" s="16">
        <v>0.02</v>
      </c>
      <c r="F296" s="15">
        <v>8.5</v>
      </c>
    </row>
    <row r="297" spans="1:6" x14ac:dyDescent="0.2">
      <c r="A297" s="38">
        <v>30437</v>
      </c>
      <c r="B297" s="37">
        <f>VLOOKUP(Table534567910[[#This Row],[Date]],Database!A:E,MATCH($A$1,Database!$A$1:$E$1,),)</f>
        <v>49.292999999999999</v>
      </c>
      <c r="C297" s="9">
        <f t="shared" si="4"/>
        <v>1.4424444354150167E-3</v>
      </c>
      <c r="D297" s="7">
        <f>(Table534567910[[#This Row],[Value]]-B285)/B285</f>
        <v>5.0418735482771107E-2</v>
      </c>
      <c r="E297" s="16">
        <v>0.02</v>
      </c>
      <c r="F297" s="15">
        <v>9.6300000000000008</v>
      </c>
    </row>
    <row r="298" spans="1:6" x14ac:dyDescent="0.2">
      <c r="A298" s="38">
        <v>30468</v>
      </c>
      <c r="B298" s="37">
        <f>VLOOKUP(Table534567910[[#This Row],[Date]],Database!A:E,MATCH($A$1,Database!$A$1:$E$1,),)</f>
        <v>49.523000000000003</v>
      </c>
      <c r="C298" s="9">
        <f t="shared" si="4"/>
        <v>4.6659769135577863E-3</v>
      </c>
      <c r="D298" s="7">
        <f>(Table534567910[[#This Row],[Value]]-B286)/B286</f>
        <v>5.0061490182774358E-2</v>
      </c>
      <c r="E298" s="16">
        <v>0.02</v>
      </c>
      <c r="F298" s="15">
        <v>9.6300000000000008</v>
      </c>
    </row>
    <row r="299" spans="1:6" x14ac:dyDescent="0.2">
      <c r="A299" s="38">
        <v>30498</v>
      </c>
      <c r="B299" s="37">
        <f>VLOOKUP(Table534567910[[#This Row],[Date]],Database!A:E,MATCH($A$1,Database!$A$1:$E$1,),)</f>
        <v>49.856000000000002</v>
      </c>
      <c r="C299" s="9">
        <f t="shared" si="4"/>
        <v>6.7241483755022596E-3</v>
      </c>
      <c r="D299" s="7">
        <f>(Table534567910[[#This Row],[Value]]-B287)/B287</f>
        <v>5.0307575629897995E-2</v>
      </c>
      <c r="E299" s="16">
        <v>0.02</v>
      </c>
      <c r="F299" s="15">
        <v>9.6300000000000008</v>
      </c>
    </row>
    <row r="300" spans="1:6" x14ac:dyDescent="0.2">
      <c r="A300" s="38">
        <v>30529</v>
      </c>
      <c r="B300" s="37">
        <f>VLOOKUP(Table534567910[[#This Row],[Date]],Database!A:E,MATCH($A$1,Database!$A$1:$E$1,),)</f>
        <v>50.113</v>
      </c>
      <c r="C300" s="9">
        <f t="shared" si="4"/>
        <v>5.1548459563542579E-3</v>
      </c>
      <c r="D300" s="7">
        <f>(Table534567910[[#This Row],[Value]]-B288)/B288</f>
        <v>5.0895441009940014E-2</v>
      </c>
      <c r="E300" s="16">
        <v>0.02</v>
      </c>
      <c r="F300" s="15">
        <v>9.6300000000000008</v>
      </c>
    </row>
    <row r="301" spans="1:6" x14ac:dyDescent="0.2">
      <c r="A301" s="38">
        <v>30560</v>
      </c>
      <c r="B301" s="37">
        <f>VLOOKUP(Table534567910[[#This Row],[Date]],Database!A:E,MATCH($A$1,Database!$A$1:$E$1,),)</f>
        <v>50.316000000000003</v>
      </c>
      <c r="C301" s="9">
        <f t="shared" si="4"/>
        <v>4.0508450900964416E-3</v>
      </c>
      <c r="D301" s="7">
        <f>(Table534567910[[#This Row],[Value]]-B289)/B289</f>
        <v>5.125044397551351E-2</v>
      </c>
      <c r="E301" s="16">
        <v>0.02</v>
      </c>
      <c r="F301" s="15">
        <v>9.5</v>
      </c>
    </row>
    <row r="302" spans="1:6" x14ac:dyDescent="0.2">
      <c r="A302" s="38">
        <v>30590</v>
      </c>
      <c r="B302" s="37">
        <f>VLOOKUP(Table534567910[[#This Row],[Date]],Database!A:E,MATCH($A$1,Database!$A$1:$E$1,),)</f>
        <v>50.405000000000001</v>
      </c>
      <c r="C302" s="9">
        <f t="shared" si="4"/>
        <v>1.7688210509579185E-3</v>
      </c>
      <c r="D302" s="7">
        <f>(Table534567910[[#This Row],[Value]]-B290)/B290</f>
        <v>4.6485072457750375E-2</v>
      </c>
      <c r="E302" s="16">
        <v>0.02</v>
      </c>
      <c r="F302" s="15">
        <v>9.5</v>
      </c>
    </row>
    <row r="303" spans="1:6" x14ac:dyDescent="0.2">
      <c r="A303" s="38">
        <v>30621</v>
      </c>
      <c r="B303" s="37">
        <f>VLOOKUP(Table534567910[[#This Row],[Date]],Database!A:E,MATCH($A$1,Database!$A$1:$E$1,),)</f>
        <v>50.523000000000003</v>
      </c>
      <c r="C303" s="9">
        <f t="shared" si="4"/>
        <v>2.3410375954766808E-3</v>
      </c>
      <c r="D303" s="7">
        <f>(Table534567910[[#This Row],[Value]]-B291)/B291</f>
        <v>4.5072811517458254E-2</v>
      </c>
      <c r="E303" s="16">
        <v>0.02</v>
      </c>
      <c r="F303" s="15">
        <v>9.5</v>
      </c>
    </row>
    <row r="304" spans="1:6" x14ac:dyDescent="0.2">
      <c r="A304" s="38">
        <v>30651</v>
      </c>
      <c r="B304" s="37">
        <f>VLOOKUP(Table534567910[[#This Row],[Date]],Database!A:E,MATCH($A$1,Database!$A$1:$E$1,),)</f>
        <v>50.56</v>
      </c>
      <c r="C304" s="9">
        <f t="shared" si="4"/>
        <v>7.3233972646119647E-4</v>
      </c>
      <c r="D304" s="7">
        <f>(Table534567910[[#This Row],[Value]]-B292)/B292</f>
        <v>4.2517217204833285E-2</v>
      </c>
      <c r="E304" s="16">
        <v>0.02</v>
      </c>
      <c r="F304" s="15">
        <v>9.5</v>
      </c>
    </row>
    <row r="305" spans="1:6" x14ac:dyDescent="0.2">
      <c r="A305" s="38">
        <v>30682</v>
      </c>
      <c r="B305" s="37">
        <f>VLOOKUP(Table534567910[[#This Row],[Date]],Database!A:E,MATCH($A$1,Database!$A$1:$E$1,),)</f>
        <v>50.728999999999999</v>
      </c>
      <c r="C305" s="9">
        <f t="shared" si="4"/>
        <v>3.3425632911391798E-3</v>
      </c>
      <c r="D305" s="7">
        <f>(Table534567910[[#This Row],[Value]]-B293)/B293</f>
        <v>3.8890026622977698E-2</v>
      </c>
      <c r="E305" s="16">
        <v>0.02</v>
      </c>
      <c r="F305" s="15">
        <v>9.5</v>
      </c>
    </row>
    <row r="306" spans="1:6" x14ac:dyDescent="0.2">
      <c r="A306" s="38">
        <v>30713</v>
      </c>
      <c r="B306" s="37">
        <f>VLOOKUP(Table534567910[[#This Row],[Date]],Database!A:E,MATCH($A$1,Database!$A$1:$E$1,),)</f>
        <v>51.048999999999999</v>
      </c>
      <c r="C306" s="9">
        <f t="shared" si="4"/>
        <v>6.3080289380827593E-3</v>
      </c>
      <c r="D306" s="7">
        <f>(Table534567910[[#This Row],[Value]]-B294)/B294</f>
        <v>4.1582501887331348E-2</v>
      </c>
      <c r="E306" s="16">
        <v>0.02</v>
      </c>
      <c r="F306" s="15">
        <v>9.5</v>
      </c>
    </row>
    <row r="307" spans="1:6" x14ac:dyDescent="0.2">
      <c r="A307" s="38">
        <v>30742</v>
      </c>
      <c r="B307" s="37">
        <f>VLOOKUP(Table534567910[[#This Row],[Date]],Database!A:E,MATCH($A$1,Database!$A$1:$E$1,),)</f>
        <v>51.241999999999997</v>
      </c>
      <c r="C307" s="9">
        <f t="shared" si="4"/>
        <v>3.7806813061959654E-3</v>
      </c>
      <c r="D307" s="7">
        <f>(Table534567910[[#This Row],[Value]]-B295)/B295</f>
        <v>4.419945795040036E-2</v>
      </c>
      <c r="E307" s="16">
        <v>0.02</v>
      </c>
      <c r="F307" s="15">
        <v>10.5</v>
      </c>
    </row>
    <row r="308" spans="1:6" x14ac:dyDescent="0.2">
      <c r="A308" s="38">
        <v>30773</v>
      </c>
      <c r="B308" s="37">
        <f>VLOOKUP(Table534567910[[#This Row],[Date]],Database!A:E,MATCH($A$1,Database!$A$1:$E$1,),)</f>
        <v>51.482999999999997</v>
      </c>
      <c r="C308" s="9">
        <f t="shared" si="4"/>
        <v>4.7031731782522087E-3</v>
      </c>
      <c r="D308" s="7">
        <f>(Table534567910[[#This Row],[Value]]-B296)/B296</f>
        <v>4.5934744626386484E-2</v>
      </c>
      <c r="E308" s="16">
        <v>0.02</v>
      </c>
      <c r="F308" s="15">
        <v>10.5</v>
      </c>
    </row>
    <row r="309" spans="1:6" x14ac:dyDescent="0.2">
      <c r="A309" s="38">
        <v>30803</v>
      </c>
      <c r="B309" s="37">
        <f>VLOOKUP(Table534567910[[#This Row],[Date]],Database!A:E,MATCH($A$1,Database!$A$1:$E$1,),)</f>
        <v>51.601999999999997</v>
      </c>
      <c r="C309" s="9">
        <f t="shared" si="4"/>
        <v>2.3114426121243863E-3</v>
      </c>
      <c r="D309" s="7">
        <f>(Table534567910[[#This Row],[Value]]-B297)/B297</f>
        <v>4.684235084089014E-2</v>
      </c>
      <c r="E309" s="16">
        <v>0.02</v>
      </c>
      <c r="F309" s="15">
        <v>10.5</v>
      </c>
    </row>
    <row r="310" spans="1:6" x14ac:dyDescent="0.2">
      <c r="A310" s="38">
        <v>30834</v>
      </c>
      <c r="B310" s="37">
        <f>VLOOKUP(Table534567910[[#This Row],[Date]],Database!A:E,MATCH($A$1,Database!$A$1:$E$1,),)</f>
        <v>51.723999999999997</v>
      </c>
      <c r="C310" s="9">
        <f t="shared" si="4"/>
        <v>2.3642494476958237E-3</v>
      </c>
      <c r="D310" s="7">
        <f>(Table534567910[[#This Row],[Value]]-B298)/B298</f>
        <v>4.4443995719160655E-2</v>
      </c>
      <c r="E310" s="16">
        <v>0.02</v>
      </c>
      <c r="F310" s="15">
        <v>10.5</v>
      </c>
    </row>
    <row r="311" spans="1:6" x14ac:dyDescent="0.2">
      <c r="A311" s="38">
        <v>30864</v>
      </c>
      <c r="B311" s="37">
        <f>VLOOKUP(Table534567910[[#This Row],[Date]],Database!A:E,MATCH($A$1,Database!$A$1:$E$1,),)</f>
        <v>51.947000000000003</v>
      </c>
      <c r="C311" s="9">
        <f t="shared" si="4"/>
        <v>4.3113448302529982E-3</v>
      </c>
      <c r="D311" s="7">
        <f>(Table534567910[[#This Row],[Value]]-B299)/B299</f>
        <v>4.194078947368423E-2</v>
      </c>
      <c r="E311" s="16">
        <v>0.02</v>
      </c>
      <c r="F311" s="15">
        <v>11</v>
      </c>
    </row>
    <row r="312" spans="1:6" x14ac:dyDescent="0.2">
      <c r="A312" s="38">
        <v>30895</v>
      </c>
      <c r="B312" s="37">
        <f>VLOOKUP(Table534567910[[#This Row],[Date]],Database!A:E,MATCH($A$1,Database!$A$1:$E$1,),)</f>
        <v>52.118000000000002</v>
      </c>
      <c r="C312" s="9">
        <f t="shared" si="4"/>
        <v>3.2918166592873382E-3</v>
      </c>
      <c r="D312" s="7">
        <f>(Table534567910[[#This Row],[Value]]-B300)/B300</f>
        <v>4.0009578352922445E-2</v>
      </c>
      <c r="E312" s="16">
        <v>0.02</v>
      </c>
      <c r="F312" s="15">
        <v>11.75</v>
      </c>
    </row>
    <row r="313" spans="1:6" x14ac:dyDescent="0.2">
      <c r="A313" s="38">
        <v>30926</v>
      </c>
      <c r="B313" s="37">
        <f>VLOOKUP(Table534567910[[#This Row],[Date]],Database!A:E,MATCH($A$1,Database!$A$1:$E$1,),)</f>
        <v>52.198</v>
      </c>
      <c r="C313" s="9">
        <f t="shared" si="4"/>
        <v>1.5349783184312193E-3</v>
      </c>
      <c r="D313" s="7">
        <f>(Table534567910[[#This Row],[Value]]-B301)/B301</f>
        <v>3.7403609189919661E-2</v>
      </c>
      <c r="E313" s="16">
        <v>0.02</v>
      </c>
      <c r="F313" s="15">
        <v>11.75</v>
      </c>
    </row>
    <row r="314" spans="1:6" x14ac:dyDescent="0.2">
      <c r="A314" s="38">
        <v>30956</v>
      </c>
      <c r="B314" s="37">
        <f>VLOOKUP(Table534567910[[#This Row],[Date]],Database!A:E,MATCH($A$1,Database!$A$1:$E$1,),)</f>
        <v>52.314999999999998</v>
      </c>
      <c r="C314" s="9">
        <f t="shared" si="4"/>
        <v>2.2414651902371227E-3</v>
      </c>
      <c r="D314" s="7">
        <f>(Table534567910[[#This Row],[Value]]-B302)/B302</f>
        <v>3.7893066164070954E-2</v>
      </c>
      <c r="E314" s="16">
        <v>0.02</v>
      </c>
      <c r="F314" s="15">
        <v>10</v>
      </c>
    </row>
    <row r="315" spans="1:6" x14ac:dyDescent="0.2">
      <c r="A315" s="38">
        <v>30987</v>
      </c>
      <c r="B315" s="37">
        <f>VLOOKUP(Table534567910[[#This Row],[Date]],Database!A:E,MATCH($A$1,Database!$A$1:$E$1,),)</f>
        <v>52.426000000000002</v>
      </c>
      <c r="C315" s="9">
        <f t="shared" si="4"/>
        <v>2.1217624008411395E-3</v>
      </c>
      <c r="D315" s="7">
        <f>(Table534567910[[#This Row],[Value]]-B303)/B303</f>
        <v>3.7666013498802497E-2</v>
      </c>
      <c r="E315" s="16">
        <v>0.02</v>
      </c>
      <c r="F315" s="15">
        <v>9</v>
      </c>
    </row>
    <row r="316" spans="1:6" x14ac:dyDescent="0.2">
      <c r="A316" s="38">
        <v>31017</v>
      </c>
      <c r="B316" s="37">
        <f>VLOOKUP(Table534567910[[#This Row],[Date]],Database!A:E,MATCH($A$1,Database!$A$1:$E$1,),)</f>
        <v>52.634</v>
      </c>
      <c r="C316" s="9">
        <f t="shared" si="4"/>
        <v>3.9674970434516923E-3</v>
      </c>
      <c r="D316" s="7">
        <f>(Table534567910[[#This Row],[Value]]-B304)/B304</f>
        <v>4.1020569620253126E-2</v>
      </c>
      <c r="E316" s="16">
        <v>0.02</v>
      </c>
      <c r="F316" s="15">
        <v>8.25</v>
      </c>
    </row>
    <row r="317" spans="1:6" x14ac:dyDescent="0.2">
      <c r="A317" s="38">
        <v>31048</v>
      </c>
      <c r="B317" s="37">
        <f>VLOOKUP(Table534567910[[#This Row],[Date]],Database!A:E,MATCH($A$1,Database!$A$1:$E$1,),)</f>
        <v>52.927999999999997</v>
      </c>
      <c r="C317" s="9">
        <f t="shared" si="4"/>
        <v>5.5857430558193741E-3</v>
      </c>
      <c r="D317" s="7">
        <f>(Table534567910[[#This Row],[Value]]-B305)/B305</f>
        <v>4.3347986358887383E-2</v>
      </c>
      <c r="E317" s="16">
        <v>0.02</v>
      </c>
      <c r="F317" s="15">
        <v>8.25</v>
      </c>
    </row>
    <row r="318" spans="1:6" x14ac:dyDescent="0.2">
      <c r="A318" s="38">
        <v>31079</v>
      </c>
      <c r="B318" s="37">
        <f>VLOOKUP(Table534567910[[#This Row],[Date]],Database!A:E,MATCH($A$1,Database!$A$1:$E$1,),)</f>
        <v>53.204000000000001</v>
      </c>
      <c r="C318" s="9">
        <f t="shared" si="4"/>
        <v>5.214631197098008E-3</v>
      </c>
      <c r="D318" s="7">
        <f>(Table534567910[[#This Row],[Value]]-B306)/B306</f>
        <v>4.2214343082136792E-2</v>
      </c>
      <c r="E318" s="16">
        <v>0.02</v>
      </c>
      <c r="F318" s="15">
        <v>9</v>
      </c>
    </row>
    <row r="319" spans="1:6" x14ac:dyDescent="0.2">
      <c r="A319" s="38">
        <v>31107</v>
      </c>
      <c r="B319" s="37">
        <f>VLOOKUP(Table534567910[[#This Row],[Date]],Database!A:E,MATCH($A$1,Database!$A$1:$E$1,),)</f>
        <v>53.39</v>
      </c>
      <c r="C319" s="9">
        <f t="shared" si="4"/>
        <v>3.4959777460341315E-3</v>
      </c>
      <c r="D319" s="7">
        <f>(Table534567910[[#This Row],[Value]]-B307)/B307</f>
        <v>4.1918738534795739E-2</v>
      </c>
      <c r="E319" s="16">
        <v>0.02</v>
      </c>
      <c r="F319" s="15">
        <v>8.5</v>
      </c>
    </row>
    <row r="320" spans="1:6" x14ac:dyDescent="0.2">
      <c r="A320" s="38">
        <v>31138</v>
      </c>
      <c r="B320" s="37">
        <f>VLOOKUP(Table534567910[[#This Row],[Date]],Database!A:E,MATCH($A$1,Database!$A$1:$E$1,),)</f>
        <v>53.453000000000003</v>
      </c>
      <c r="C320" s="9">
        <f t="shared" si="4"/>
        <v>1.1799962539801908E-3</v>
      </c>
      <c r="D320" s="7">
        <f>(Table534567910[[#This Row],[Value]]-B308)/B308</f>
        <v>3.8265058368782044E-2</v>
      </c>
      <c r="E320" s="16">
        <v>0.02</v>
      </c>
      <c r="F320" s="15">
        <v>8.25</v>
      </c>
    </row>
    <row r="321" spans="1:6" x14ac:dyDescent="0.2">
      <c r="A321" s="38">
        <v>31168</v>
      </c>
      <c r="B321" s="37">
        <f>VLOOKUP(Table534567910[[#This Row],[Date]],Database!A:E,MATCH($A$1,Database!$A$1:$E$1,),)</f>
        <v>53.637999999999998</v>
      </c>
      <c r="C321" s="9">
        <f t="shared" si="4"/>
        <v>3.4609844162160246E-3</v>
      </c>
      <c r="D321" s="7">
        <f>(Table534567910[[#This Row],[Value]]-B309)/B309</f>
        <v>3.945583504515332E-2</v>
      </c>
      <c r="E321" s="16">
        <v>0.02</v>
      </c>
      <c r="F321" s="15">
        <v>7.75</v>
      </c>
    </row>
    <row r="322" spans="1:6" x14ac:dyDescent="0.2">
      <c r="A322" s="38">
        <v>31199</v>
      </c>
      <c r="B322" s="37">
        <f>VLOOKUP(Table534567910[[#This Row],[Date]],Database!A:E,MATCH($A$1,Database!$A$1:$E$1,),)</f>
        <v>53.814999999999998</v>
      </c>
      <c r="C322" s="9">
        <f t="shared" si="4"/>
        <v>3.2998993251053283E-3</v>
      </c>
      <c r="D322" s="7">
        <f>(Table534567910[[#This Row],[Value]]-B310)/B310</f>
        <v>4.0426107802954164E-2</v>
      </c>
      <c r="E322" s="16">
        <v>0.02</v>
      </c>
      <c r="F322" s="15">
        <v>7.75</v>
      </c>
    </row>
    <row r="323" spans="1:6" x14ac:dyDescent="0.2">
      <c r="A323" s="38">
        <v>31229</v>
      </c>
      <c r="B323" s="37">
        <f>VLOOKUP(Table534567910[[#This Row],[Date]],Database!A:E,MATCH($A$1,Database!$A$1:$E$1,),)</f>
        <v>53.972999999999999</v>
      </c>
      <c r="C323" s="9">
        <f t="shared" si="4"/>
        <v>2.9359843909690839E-3</v>
      </c>
      <c r="D323" s="7">
        <f>(Table534567910[[#This Row],[Value]]-B311)/B311</f>
        <v>3.9001289776117894E-2</v>
      </c>
      <c r="E323" s="16">
        <v>0.02</v>
      </c>
      <c r="F323" s="15">
        <v>7.75</v>
      </c>
    </row>
    <row r="324" spans="1:6" x14ac:dyDescent="0.2">
      <c r="A324" s="38">
        <v>31260</v>
      </c>
      <c r="B324" s="37">
        <f>VLOOKUP(Table534567910[[#This Row],[Date]],Database!A:E,MATCH($A$1,Database!$A$1:$E$1,),)</f>
        <v>54.237000000000002</v>
      </c>
      <c r="C324" s="9">
        <f t="shared" si="4"/>
        <v>4.8913345561670263E-3</v>
      </c>
      <c r="D324" s="7">
        <f>(Table534567910[[#This Row],[Value]]-B312)/B312</f>
        <v>4.0657738209447784E-2</v>
      </c>
      <c r="E324" s="16">
        <v>0.02</v>
      </c>
      <c r="F324" s="15">
        <v>8</v>
      </c>
    </row>
    <row r="325" spans="1:6" x14ac:dyDescent="0.2">
      <c r="A325" s="38">
        <v>31291</v>
      </c>
      <c r="B325" s="37">
        <f>VLOOKUP(Table534567910[[#This Row],[Date]],Database!A:E,MATCH($A$1,Database!$A$1:$E$1,),)</f>
        <v>54.348999999999997</v>
      </c>
      <c r="C325" s="9">
        <f t="shared" si="4"/>
        <v>2.0650109703706835E-3</v>
      </c>
      <c r="D325" s="7">
        <f>(Table534567910[[#This Row],[Value]]-B313)/B313</f>
        <v>4.1208475420514125E-2</v>
      </c>
      <c r="E325" s="16">
        <v>0.02</v>
      </c>
      <c r="F325" s="15">
        <v>8</v>
      </c>
    </row>
    <row r="326" spans="1:6" x14ac:dyDescent="0.2">
      <c r="A326" s="38">
        <v>31321</v>
      </c>
      <c r="B326" s="37">
        <f>VLOOKUP(Table534567910[[#This Row],[Date]],Database!A:E,MATCH($A$1,Database!$A$1:$E$1,),)</f>
        <v>54.436</v>
      </c>
      <c r="C326" s="9">
        <f t="shared" ref="C326:C389" si="5">(B326-B325)/B325</f>
        <v>1.600765423466914E-3</v>
      </c>
      <c r="D326" s="7">
        <f>(Table534567910[[#This Row],[Value]]-B314)/B314</f>
        <v>4.0542865334990005E-2</v>
      </c>
      <c r="E326" s="16">
        <v>0.02</v>
      </c>
      <c r="F326" s="15">
        <v>8</v>
      </c>
    </row>
    <row r="327" spans="1:6" x14ac:dyDescent="0.2">
      <c r="A327" s="38">
        <v>31352</v>
      </c>
      <c r="B327" s="37">
        <f>VLOOKUP(Table534567910[[#This Row],[Date]],Database!A:E,MATCH($A$1,Database!$A$1:$E$1,),)</f>
        <v>54.57</v>
      </c>
      <c r="C327" s="9">
        <f t="shared" si="5"/>
        <v>2.461606289955183E-3</v>
      </c>
      <c r="D327" s="7">
        <f>(Table534567910[[#This Row],[Value]]-B315)/B315</f>
        <v>4.089573875557926E-2</v>
      </c>
      <c r="E327" s="16">
        <v>0.02</v>
      </c>
      <c r="F327" s="15">
        <v>8</v>
      </c>
    </row>
    <row r="328" spans="1:6" x14ac:dyDescent="0.2">
      <c r="A328" s="38">
        <v>31382</v>
      </c>
      <c r="B328" s="37">
        <f>VLOOKUP(Table534567910[[#This Row],[Date]],Database!A:E,MATCH($A$1,Database!$A$1:$E$1,),)</f>
        <v>54.718000000000004</v>
      </c>
      <c r="C328" s="9">
        <f t="shared" si="5"/>
        <v>2.7121128825362516E-3</v>
      </c>
      <c r="D328" s="7">
        <f>(Table534567910[[#This Row],[Value]]-B316)/B316</f>
        <v>3.9594178667781345E-2</v>
      </c>
      <c r="E328" s="16">
        <v>0.02</v>
      </c>
      <c r="F328" s="15">
        <v>7.75</v>
      </c>
    </row>
    <row r="329" spans="1:6" x14ac:dyDescent="0.2">
      <c r="A329" s="38">
        <v>31413</v>
      </c>
      <c r="B329" s="37">
        <f>VLOOKUP(Table534567910[[#This Row],[Date]],Database!A:E,MATCH($A$1,Database!$A$1:$E$1,),)</f>
        <v>55.014000000000003</v>
      </c>
      <c r="C329" s="9">
        <f t="shared" si="5"/>
        <v>5.4095544427793293E-3</v>
      </c>
      <c r="D329" s="7">
        <f>(Table534567910[[#This Row],[Value]]-B317)/B317</f>
        <v>3.941203143893602E-2</v>
      </c>
      <c r="E329" s="16">
        <v>0.02</v>
      </c>
      <c r="F329" s="15">
        <v>7.75</v>
      </c>
    </row>
    <row r="330" spans="1:6" x14ac:dyDescent="0.2">
      <c r="A330" s="38">
        <v>31444</v>
      </c>
      <c r="B330" s="37">
        <f>VLOOKUP(Table534567910[[#This Row],[Date]],Database!A:E,MATCH($A$1,Database!$A$1:$E$1,),)</f>
        <v>55.155999999999999</v>
      </c>
      <c r="C330" s="9">
        <f t="shared" si="5"/>
        <v>2.5811611589776403E-3</v>
      </c>
      <c r="D330" s="7">
        <f>(Table534567910[[#This Row],[Value]]-B318)/B318</f>
        <v>3.6688970754078606E-2</v>
      </c>
      <c r="E330" s="16">
        <v>0.02</v>
      </c>
      <c r="F330" s="15">
        <v>7.75</v>
      </c>
    </row>
    <row r="331" spans="1:6" x14ac:dyDescent="0.2">
      <c r="A331" s="38">
        <v>31472</v>
      </c>
      <c r="B331" s="37">
        <f>VLOOKUP(Table534567910[[#This Row],[Date]],Database!A:E,MATCH($A$1,Database!$A$1:$E$1,),)</f>
        <v>55.323999999999998</v>
      </c>
      <c r="C331" s="9">
        <f t="shared" si="5"/>
        <v>3.0459061570817184E-3</v>
      </c>
      <c r="D331" s="7">
        <f>(Table534567910[[#This Row],[Value]]-B319)/B319</f>
        <v>3.6224011987263487E-2</v>
      </c>
      <c r="E331" s="16">
        <v>0.02</v>
      </c>
      <c r="F331" s="15">
        <v>7.25</v>
      </c>
    </row>
    <row r="332" spans="1:6" x14ac:dyDescent="0.2">
      <c r="A332" s="38">
        <v>31503</v>
      </c>
      <c r="B332" s="37">
        <f>VLOOKUP(Table534567910[[#This Row],[Date]],Database!A:E,MATCH($A$1,Database!$A$1:$E$1,),)</f>
        <v>55.423999999999999</v>
      </c>
      <c r="C332" s="9">
        <f t="shared" si="5"/>
        <v>1.8075338008821022E-3</v>
      </c>
      <c r="D332" s="7">
        <f>(Table534567910[[#This Row],[Value]]-B320)/B320</f>
        <v>3.6873515050605141E-2</v>
      </c>
      <c r="E332" s="16">
        <v>0.02</v>
      </c>
      <c r="F332" s="15">
        <v>6.75</v>
      </c>
    </row>
    <row r="333" spans="1:6" x14ac:dyDescent="0.2">
      <c r="A333" s="38">
        <v>31533</v>
      </c>
      <c r="B333" s="37">
        <f>VLOOKUP(Table534567910[[#This Row],[Date]],Database!A:E,MATCH($A$1,Database!$A$1:$E$1,),)</f>
        <v>55.518000000000001</v>
      </c>
      <c r="C333" s="9">
        <f t="shared" si="5"/>
        <v>1.6960161662817768E-3</v>
      </c>
      <c r="D333" s="7">
        <f>(Table534567910[[#This Row],[Value]]-B321)/B321</f>
        <v>3.5049778142361807E-2</v>
      </c>
      <c r="E333" s="16">
        <v>0.02</v>
      </c>
      <c r="F333" s="15">
        <v>6.88</v>
      </c>
    </row>
    <row r="334" spans="1:6" x14ac:dyDescent="0.2">
      <c r="A334" s="38">
        <v>31564</v>
      </c>
      <c r="B334" s="37">
        <f>VLOOKUP(Table534567910[[#This Row],[Date]],Database!A:E,MATCH($A$1,Database!$A$1:$E$1,),)</f>
        <v>55.685000000000002</v>
      </c>
      <c r="C334" s="9">
        <f t="shared" si="5"/>
        <v>3.0080334305991135E-3</v>
      </c>
      <c r="D334" s="7">
        <f>(Table534567910[[#This Row],[Value]]-B322)/B322</f>
        <v>3.4748676019697194E-2</v>
      </c>
      <c r="E334" s="16">
        <v>0.02</v>
      </c>
      <c r="F334" s="15">
        <v>6.88</v>
      </c>
    </row>
    <row r="335" spans="1:6" x14ac:dyDescent="0.2">
      <c r="A335" s="38">
        <v>31594</v>
      </c>
      <c r="B335" s="37">
        <f>VLOOKUP(Table534567910[[#This Row],[Date]],Database!A:E,MATCH($A$1,Database!$A$1:$E$1,),)</f>
        <v>55.786000000000001</v>
      </c>
      <c r="C335" s="9">
        <f t="shared" si="5"/>
        <v>1.8137739067971461E-3</v>
      </c>
      <c r="D335" s="7">
        <f>(Table534567910[[#This Row],[Value]]-B323)/B323</f>
        <v>3.359086950882853E-2</v>
      </c>
      <c r="E335" s="16">
        <v>0.02</v>
      </c>
      <c r="F335" s="15">
        <v>6.38</v>
      </c>
    </row>
    <row r="336" spans="1:6" x14ac:dyDescent="0.2">
      <c r="A336" s="38">
        <v>31625</v>
      </c>
      <c r="B336" s="37">
        <f>VLOOKUP(Table534567910[[#This Row],[Date]],Database!A:E,MATCH($A$1,Database!$A$1:$E$1,),)</f>
        <v>55.901000000000003</v>
      </c>
      <c r="C336" s="9">
        <f t="shared" si="5"/>
        <v>2.0614491090955077E-3</v>
      </c>
      <c r="D336" s="7">
        <f>(Table534567910[[#This Row],[Value]]-B324)/B324</f>
        <v>3.0680162988365903E-2</v>
      </c>
      <c r="E336" s="16">
        <v>0.02</v>
      </c>
      <c r="F336" s="15">
        <v>5.88</v>
      </c>
    </row>
    <row r="337" spans="1:6" x14ac:dyDescent="0.2">
      <c r="A337" s="38">
        <v>31656</v>
      </c>
      <c r="B337" s="37">
        <f>VLOOKUP(Table534567910[[#This Row],[Date]],Database!A:E,MATCH($A$1,Database!$A$1:$E$1,),)</f>
        <v>56.085000000000001</v>
      </c>
      <c r="C337" s="9">
        <f t="shared" si="5"/>
        <v>3.2915332462746193E-3</v>
      </c>
      <c r="D337" s="7">
        <f>(Table534567910[[#This Row],[Value]]-B325)/B325</f>
        <v>3.1941710059062801E-2</v>
      </c>
      <c r="E337" s="16">
        <v>0.02</v>
      </c>
      <c r="F337" s="15">
        <v>5.88</v>
      </c>
    </row>
    <row r="338" spans="1:6" x14ac:dyDescent="0.2">
      <c r="A338" s="38">
        <v>31686</v>
      </c>
      <c r="B338" s="37">
        <f>VLOOKUP(Table534567910[[#This Row],[Date]],Database!A:E,MATCH($A$1,Database!$A$1:$E$1,),)</f>
        <v>56.274000000000001</v>
      </c>
      <c r="C338" s="9">
        <f t="shared" si="5"/>
        <v>3.3698849959882329E-3</v>
      </c>
      <c r="D338" s="7">
        <f>(Table534567910[[#This Row],[Value]]-B326)/B326</f>
        <v>3.3764420604012066E-2</v>
      </c>
      <c r="E338" s="16">
        <v>0.02</v>
      </c>
      <c r="F338" s="15">
        <v>5.88</v>
      </c>
    </row>
    <row r="339" spans="1:6" x14ac:dyDescent="0.2">
      <c r="A339" s="38">
        <v>31717</v>
      </c>
      <c r="B339" s="37">
        <f>VLOOKUP(Table534567910[[#This Row],[Date]],Database!A:E,MATCH($A$1,Database!$A$1:$E$1,),)</f>
        <v>56.393999999999998</v>
      </c>
      <c r="C339" s="9">
        <f t="shared" si="5"/>
        <v>2.132423499306917E-3</v>
      </c>
      <c r="D339" s="7">
        <f>(Table534567910[[#This Row],[Value]]-B327)/B327</f>
        <v>3.3424958768554114E-2</v>
      </c>
      <c r="E339" s="16">
        <v>0.02</v>
      </c>
      <c r="F339" s="15">
        <v>5.88</v>
      </c>
    </row>
    <row r="340" spans="1:6" x14ac:dyDescent="0.2">
      <c r="A340" s="38">
        <v>31747</v>
      </c>
      <c r="B340" s="37">
        <f>VLOOKUP(Table534567910[[#This Row],[Date]],Database!A:E,MATCH($A$1,Database!$A$1:$E$1,),)</f>
        <v>56.466000000000001</v>
      </c>
      <c r="C340" s="9">
        <f t="shared" si="5"/>
        <v>1.2767315671880471E-3</v>
      </c>
      <c r="D340" s="7">
        <f>(Table534567910[[#This Row],[Value]]-B328)/B328</f>
        <v>3.1945612047223904E-2</v>
      </c>
      <c r="E340" s="16">
        <v>0.02</v>
      </c>
      <c r="F340" s="15">
        <v>6</v>
      </c>
    </row>
    <row r="341" spans="1:6" x14ac:dyDescent="0.2">
      <c r="A341" s="38">
        <v>31778</v>
      </c>
      <c r="B341" s="37">
        <f>VLOOKUP(Table534567910[[#This Row],[Date]],Database!A:E,MATCH($A$1,Database!$A$1:$E$1,),)</f>
        <v>56.600999999999999</v>
      </c>
      <c r="C341" s="9">
        <f t="shared" si="5"/>
        <v>2.3908192540643574E-3</v>
      </c>
      <c r="D341" s="7">
        <f>(Table534567910[[#This Row],[Value]]-B329)/B329</f>
        <v>2.8847202530264952E-2</v>
      </c>
      <c r="E341" s="16">
        <v>0.02</v>
      </c>
      <c r="F341" s="15">
        <v>6</v>
      </c>
    </row>
    <row r="342" spans="1:6" x14ac:dyDescent="0.2">
      <c r="A342" s="38">
        <v>31809</v>
      </c>
      <c r="B342" s="37">
        <f>VLOOKUP(Table534567910[[#This Row],[Date]],Database!A:E,MATCH($A$1,Database!$A$1:$E$1,),)</f>
        <v>56.713999999999999</v>
      </c>
      <c r="C342" s="9">
        <f t="shared" si="5"/>
        <v>1.99643115846009E-3</v>
      </c>
      <c r="D342" s="7">
        <f>(Table534567910[[#This Row],[Value]]-B330)/B330</f>
        <v>2.824715352817463E-2</v>
      </c>
      <c r="E342" s="16">
        <v>0.02</v>
      </c>
      <c r="F342" s="15">
        <v>6</v>
      </c>
    </row>
    <row r="343" spans="1:6" x14ac:dyDescent="0.2">
      <c r="A343" s="38">
        <v>31837</v>
      </c>
      <c r="B343" s="37">
        <f>VLOOKUP(Table534567910[[#This Row],[Date]],Database!A:E,MATCH($A$1,Database!$A$1:$E$1,),)</f>
        <v>56.881999999999998</v>
      </c>
      <c r="C343" s="9">
        <f t="shared" si="5"/>
        <v>2.9622315477659707E-3</v>
      </c>
      <c r="D343" s="7">
        <f>(Table534567910[[#This Row],[Value]]-B331)/B331</f>
        <v>2.8161376617742751E-2</v>
      </c>
      <c r="E343" s="16">
        <v>0.02</v>
      </c>
      <c r="F343" s="15">
        <v>6</v>
      </c>
    </row>
    <row r="344" spans="1:6" x14ac:dyDescent="0.2">
      <c r="A344" s="38">
        <v>31868</v>
      </c>
      <c r="B344" s="37">
        <f>VLOOKUP(Table534567910[[#This Row],[Date]],Database!A:E,MATCH($A$1,Database!$A$1:$E$1,),)</f>
        <v>57.122999999999998</v>
      </c>
      <c r="C344" s="9">
        <f t="shared" si="5"/>
        <v>4.2368411799866331E-3</v>
      </c>
      <c r="D344" s="7">
        <f>(Table534567910[[#This Row],[Value]]-B332)/B332</f>
        <v>3.0654590069284029E-2</v>
      </c>
      <c r="E344" s="16">
        <v>0.02</v>
      </c>
      <c r="F344" s="15">
        <v>6.5</v>
      </c>
    </row>
    <row r="345" spans="1:6" x14ac:dyDescent="0.2">
      <c r="A345" s="38">
        <v>31898</v>
      </c>
      <c r="B345" s="37">
        <f>VLOOKUP(Table534567910[[#This Row],[Date]],Database!A:E,MATCH($A$1,Database!$A$1:$E$1,),)</f>
        <v>57.283000000000001</v>
      </c>
      <c r="C345" s="9">
        <f t="shared" si="5"/>
        <v>2.8009733382351014E-3</v>
      </c>
      <c r="D345" s="7">
        <f>(Table534567910[[#This Row],[Value]]-B333)/B333</f>
        <v>3.1791491047948421E-2</v>
      </c>
      <c r="E345" s="16">
        <v>0.02</v>
      </c>
      <c r="F345" s="15">
        <v>6.75</v>
      </c>
    </row>
    <row r="346" spans="1:6" x14ac:dyDescent="0.2">
      <c r="A346" s="38">
        <v>31929</v>
      </c>
      <c r="B346" s="37">
        <f>VLOOKUP(Table534567910[[#This Row],[Date]],Database!A:E,MATCH($A$1,Database!$A$1:$E$1,),)</f>
        <v>57.441000000000003</v>
      </c>
      <c r="C346" s="9">
        <f t="shared" si="5"/>
        <v>2.7582354276137989E-3</v>
      </c>
      <c r="D346" s="7">
        <f>(Table534567910[[#This Row],[Value]]-B334)/B334</f>
        <v>3.1534524557780372E-2</v>
      </c>
      <c r="E346" s="16">
        <v>0.02</v>
      </c>
      <c r="F346" s="15">
        <v>6.75</v>
      </c>
    </row>
    <row r="347" spans="1:6" x14ac:dyDescent="0.2">
      <c r="A347" s="38">
        <v>31959</v>
      </c>
      <c r="B347" s="37">
        <f>VLOOKUP(Table534567910[[#This Row],[Date]],Database!A:E,MATCH($A$1,Database!$A$1:$E$1,),)</f>
        <v>57.588999999999999</v>
      </c>
      <c r="C347" s="9">
        <f t="shared" si="5"/>
        <v>2.576556814818616E-3</v>
      </c>
      <c r="D347" s="7">
        <f>(Table534567910[[#This Row],[Value]]-B335)/B335</f>
        <v>3.2319936901731565E-2</v>
      </c>
      <c r="E347" s="16">
        <v>0.02</v>
      </c>
      <c r="F347" s="15">
        <v>6.75</v>
      </c>
    </row>
    <row r="348" spans="1:6" x14ac:dyDescent="0.2">
      <c r="A348" s="38">
        <v>31990</v>
      </c>
      <c r="B348" s="37">
        <f>VLOOKUP(Table534567910[[#This Row],[Date]],Database!A:E,MATCH($A$1,Database!$A$1:$E$1,),)</f>
        <v>57.783000000000001</v>
      </c>
      <c r="C348" s="9">
        <f t="shared" si="5"/>
        <v>3.3686988834673742E-3</v>
      </c>
      <c r="D348" s="7">
        <f>(Table534567910[[#This Row],[Value]]-B336)/B336</f>
        <v>3.3666660703744078E-2</v>
      </c>
      <c r="E348" s="16">
        <v>0.02</v>
      </c>
      <c r="F348" s="15">
        <v>6.75</v>
      </c>
    </row>
    <row r="349" spans="1:6" x14ac:dyDescent="0.2">
      <c r="A349" s="38">
        <v>32021</v>
      </c>
      <c r="B349" s="37">
        <f>VLOOKUP(Table534567910[[#This Row],[Date]],Database!A:E,MATCH($A$1,Database!$A$1:$E$1,),)</f>
        <v>58.012</v>
      </c>
      <c r="C349" s="9">
        <f t="shared" si="5"/>
        <v>3.963103334890871E-3</v>
      </c>
      <c r="D349" s="7">
        <f>(Table534567910[[#This Row],[Value]]-B337)/B337</f>
        <v>3.4358562895604877E-2</v>
      </c>
      <c r="E349" s="16">
        <v>0.02</v>
      </c>
      <c r="F349" s="15">
        <v>7.25</v>
      </c>
    </row>
    <row r="350" spans="1:6" x14ac:dyDescent="0.2">
      <c r="A350" s="38">
        <v>32051</v>
      </c>
      <c r="B350" s="37">
        <f>VLOOKUP(Table534567910[[#This Row],[Date]],Database!A:E,MATCH($A$1,Database!$A$1:$E$1,),)</f>
        <v>58.26</v>
      </c>
      <c r="C350" s="9">
        <f t="shared" si="5"/>
        <v>4.2749775908432312E-3</v>
      </c>
      <c r="D350" s="7">
        <f>(Table534567910[[#This Row],[Value]]-B338)/B338</f>
        <v>3.5291608913530177E-2</v>
      </c>
      <c r="E350" s="16">
        <v>0.02</v>
      </c>
      <c r="F350" s="15">
        <v>6.88</v>
      </c>
    </row>
    <row r="351" spans="1:6" x14ac:dyDescent="0.2">
      <c r="A351" s="38">
        <v>32082</v>
      </c>
      <c r="B351" s="37">
        <f>VLOOKUP(Table534567910[[#This Row],[Date]],Database!A:E,MATCH($A$1,Database!$A$1:$E$1,),)</f>
        <v>58.381999999999998</v>
      </c>
      <c r="C351" s="9">
        <f t="shared" si="5"/>
        <v>2.094061105389631E-3</v>
      </c>
      <c r="D351" s="7">
        <f>(Table534567910[[#This Row],[Value]]-B339)/B339</f>
        <v>3.5251977160690846E-2</v>
      </c>
      <c r="E351" s="16">
        <v>0.02</v>
      </c>
      <c r="F351" s="15">
        <v>6.88</v>
      </c>
    </row>
    <row r="352" spans="1:6" x14ac:dyDescent="0.2">
      <c r="A352" s="38">
        <v>32112</v>
      </c>
      <c r="B352" s="37">
        <f>VLOOKUP(Table534567910[[#This Row],[Date]],Database!A:E,MATCH($A$1,Database!$A$1:$E$1,),)</f>
        <v>58.505000000000003</v>
      </c>
      <c r="C352" s="9">
        <f t="shared" si="5"/>
        <v>2.1068137439622602E-3</v>
      </c>
      <c r="D352" s="7">
        <f>(Table534567910[[#This Row],[Value]]-B340)/B340</f>
        <v>3.6110225622498521E-2</v>
      </c>
      <c r="E352" s="16">
        <v>0.02</v>
      </c>
      <c r="F352" s="15">
        <v>6.88</v>
      </c>
    </row>
    <row r="353" spans="1:6" x14ac:dyDescent="0.2">
      <c r="A353" s="38">
        <v>32143</v>
      </c>
      <c r="B353" s="37">
        <f>VLOOKUP(Table534567910[[#This Row],[Date]],Database!A:E,MATCH($A$1,Database!$A$1:$E$1,),)</f>
        <v>58.780999999999999</v>
      </c>
      <c r="C353" s="9">
        <f t="shared" si="5"/>
        <v>4.717545508930796E-3</v>
      </c>
      <c r="D353" s="7">
        <f>(Table534567910[[#This Row],[Value]]-B341)/B341</f>
        <v>3.851522057914171E-2</v>
      </c>
      <c r="E353" s="16">
        <v>0.02</v>
      </c>
      <c r="F353" s="15">
        <v>6.63</v>
      </c>
    </row>
    <row r="354" spans="1:6" x14ac:dyDescent="0.2">
      <c r="A354" s="38">
        <v>32174</v>
      </c>
      <c r="B354" s="37">
        <f>VLOOKUP(Table534567910[[#This Row],[Date]],Database!A:E,MATCH($A$1,Database!$A$1:$E$1,),)</f>
        <v>58.902000000000001</v>
      </c>
      <c r="C354" s="9">
        <f t="shared" si="5"/>
        <v>2.0584882870315615E-3</v>
      </c>
      <c r="D354" s="7">
        <f>(Table534567910[[#This Row],[Value]]-B342)/B342</f>
        <v>3.8579539443523686E-2</v>
      </c>
      <c r="E354" s="16">
        <v>0.02</v>
      </c>
      <c r="F354" s="15">
        <v>6.5</v>
      </c>
    </row>
    <row r="355" spans="1:6" x14ac:dyDescent="0.2">
      <c r="A355" s="38">
        <v>32203</v>
      </c>
      <c r="B355" s="37">
        <f>VLOOKUP(Table534567910[[#This Row],[Date]],Database!A:E,MATCH($A$1,Database!$A$1:$E$1,),)</f>
        <v>59.154000000000003</v>
      </c>
      <c r="C355" s="9">
        <f t="shared" si="5"/>
        <v>4.2782927574615878E-3</v>
      </c>
      <c r="D355" s="7">
        <f>(Table534567910[[#This Row],[Value]]-B343)/B343</f>
        <v>3.9942336767343017E-2</v>
      </c>
      <c r="E355" s="16">
        <v>0.02</v>
      </c>
      <c r="F355" s="15">
        <v>6.75</v>
      </c>
    </row>
    <row r="356" spans="1:6" x14ac:dyDescent="0.2">
      <c r="A356" s="38">
        <v>32234</v>
      </c>
      <c r="B356" s="37">
        <f>VLOOKUP(Table534567910[[#This Row],[Date]],Database!A:E,MATCH($A$1,Database!$A$1:$E$1,),)</f>
        <v>59.441000000000003</v>
      </c>
      <c r="C356" s="9">
        <f t="shared" si="5"/>
        <v>4.8517429083409242E-3</v>
      </c>
      <c r="D356" s="7">
        <f>(Table534567910[[#This Row],[Value]]-B344)/B344</f>
        <v>4.057910123768018E-2</v>
      </c>
      <c r="E356" s="16">
        <v>0.02</v>
      </c>
      <c r="F356" s="15">
        <v>6.75</v>
      </c>
    </row>
    <row r="357" spans="1:6" x14ac:dyDescent="0.2">
      <c r="A357" s="38">
        <v>32264</v>
      </c>
      <c r="B357" s="37">
        <f>VLOOKUP(Table534567910[[#This Row],[Date]],Database!A:E,MATCH($A$1,Database!$A$1:$E$1,),)</f>
        <v>59.643999999999998</v>
      </c>
      <c r="C357" s="9">
        <f t="shared" si="5"/>
        <v>3.4151511582913453E-3</v>
      </c>
      <c r="D357" s="7">
        <f>(Table534567910[[#This Row],[Value]]-B345)/B345</f>
        <v>4.1216416737950123E-2</v>
      </c>
      <c r="E357" s="16">
        <v>0.02</v>
      </c>
      <c r="F357" s="15">
        <v>7.25</v>
      </c>
    </row>
    <row r="358" spans="1:6" x14ac:dyDescent="0.2">
      <c r="A358" s="38">
        <v>32295</v>
      </c>
      <c r="B358" s="37">
        <f>VLOOKUP(Table534567910[[#This Row],[Date]],Database!A:E,MATCH($A$1,Database!$A$1:$E$1,),)</f>
        <v>59.896000000000001</v>
      </c>
      <c r="C358" s="9">
        <f t="shared" si="5"/>
        <v>4.2250687411978143E-3</v>
      </c>
      <c r="D358" s="7">
        <f>(Table534567910[[#This Row],[Value]]-B346)/B346</f>
        <v>4.2739506624188267E-2</v>
      </c>
      <c r="E358" s="16">
        <v>0.02</v>
      </c>
      <c r="F358" s="15">
        <v>7.5</v>
      </c>
    </row>
    <row r="359" spans="1:6" x14ac:dyDescent="0.2">
      <c r="A359" s="38">
        <v>32325</v>
      </c>
      <c r="B359" s="37">
        <f>VLOOKUP(Table534567910[[#This Row],[Date]],Database!A:E,MATCH($A$1,Database!$A$1:$E$1,),)</f>
        <v>60.14</v>
      </c>
      <c r="C359" s="9">
        <f t="shared" si="5"/>
        <v>4.0737277948443935E-3</v>
      </c>
      <c r="D359" s="7">
        <f>(Table534567910[[#This Row],[Value]]-B347)/B347</f>
        <v>4.4296653874871972E-2</v>
      </c>
      <c r="E359" s="16">
        <v>0.02</v>
      </c>
      <c r="F359" s="15">
        <v>7.75</v>
      </c>
    </row>
    <row r="360" spans="1:6" x14ac:dyDescent="0.2">
      <c r="A360" s="38">
        <v>32356</v>
      </c>
      <c r="B360" s="37">
        <f>VLOOKUP(Table534567910[[#This Row],[Date]],Database!A:E,MATCH($A$1,Database!$A$1:$E$1,),)</f>
        <v>60.289000000000001</v>
      </c>
      <c r="C360" s="9">
        <f t="shared" si="5"/>
        <v>2.477552377785183E-3</v>
      </c>
      <c r="D360" s="7">
        <f>(Table534567910[[#This Row],[Value]]-B348)/B348</f>
        <v>4.3369157018500255E-2</v>
      </c>
      <c r="E360" s="16">
        <v>0.02</v>
      </c>
      <c r="F360" s="15">
        <v>8.25</v>
      </c>
    </row>
    <row r="361" spans="1:6" x14ac:dyDescent="0.2">
      <c r="A361" s="38">
        <v>32387</v>
      </c>
      <c r="B361" s="37">
        <f>VLOOKUP(Table534567910[[#This Row],[Date]],Database!A:E,MATCH($A$1,Database!$A$1:$E$1,),)</f>
        <v>60.613</v>
      </c>
      <c r="C361" s="9">
        <f t="shared" si="5"/>
        <v>5.3741146809533754E-3</v>
      </c>
      <c r="D361" s="7">
        <f>(Table534567910[[#This Row],[Value]]-B349)/B349</f>
        <v>4.4835551265255451E-2</v>
      </c>
      <c r="E361" s="16">
        <v>0.02</v>
      </c>
      <c r="F361" s="15">
        <v>8.25</v>
      </c>
    </row>
    <row r="362" spans="1:6" x14ac:dyDescent="0.2">
      <c r="A362" s="38">
        <v>32417</v>
      </c>
      <c r="B362" s="37">
        <f>VLOOKUP(Table534567910[[#This Row],[Date]],Database!A:E,MATCH($A$1,Database!$A$1:$E$1,),)</f>
        <v>60.843000000000004</v>
      </c>
      <c r="C362" s="9">
        <f t="shared" si="5"/>
        <v>3.7945655222477682E-3</v>
      </c>
      <c r="D362" s="7">
        <f>(Table534567910[[#This Row],[Value]]-B350)/B350</f>
        <v>4.4335736354274041E-2</v>
      </c>
      <c r="E362" s="16">
        <v>0.02</v>
      </c>
      <c r="F362" s="15">
        <v>8.25</v>
      </c>
    </row>
    <row r="363" spans="1:6" x14ac:dyDescent="0.2">
      <c r="A363" s="38">
        <v>32448</v>
      </c>
      <c r="B363" s="37">
        <f>VLOOKUP(Table534567910[[#This Row],[Date]],Database!A:E,MATCH($A$1,Database!$A$1:$E$1,),)</f>
        <v>61.01</v>
      </c>
      <c r="C363" s="9">
        <f t="shared" si="5"/>
        <v>2.7447693243264548E-3</v>
      </c>
      <c r="D363" s="7">
        <f>(Table534567910[[#This Row],[Value]]-B351)/B351</f>
        <v>4.5013874139289513E-2</v>
      </c>
      <c r="E363" s="16">
        <v>0.02</v>
      </c>
      <c r="F363" s="15">
        <v>8.3800000000000008</v>
      </c>
    </row>
    <row r="364" spans="1:6" x14ac:dyDescent="0.2">
      <c r="A364" s="38">
        <v>32478</v>
      </c>
      <c r="B364" s="37">
        <f>VLOOKUP(Table534567910[[#This Row],[Date]],Database!A:E,MATCH($A$1,Database!$A$1:$E$1,),)</f>
        <v>61.212000000000003</v>
      </c>
      <c r="C364" s="9">
        <f t="shared" si="5"/>
        <v>3.3109326339945139E-3</v>
      </c>
      <c r="D364" s="7">
        <f>(Table534567910[[#This Row],[Value]]-B352)/B352</f>
        <v>4.6269549611144357E-2</v>
      </c>
      <c r="E364" s="16">
        <v>0.02</v>
      </c>
      <c r="F364" s="15">
        <v>8.75</v>
      </c>
    </row>
    <row r="365" spans="1:6" x14ac:dyDescent="0.2">
      <c r="A365" s="38">
        <v>32509</v>
      </c>
      <c r="B365" s="37">
        <f>VLOOKUP(Table534567910[[#This Row],[Date]],Database!A:E,MATCH($A$1,Database!$A$1:$E$1,),)</f>
        <v>61.521999999999998</v>
      </c>
      <c r="C365" s="9">
        <f t="shared" si="5"/>
        <v>5.0643664640919288E-3</v>
      </c>
      <c r="D365" s="7">
        <f>(Table534567910[[#This Row],[Value]]-B353)/B353</f>
        <v>4.6630714006226495E-2</v>
      </c>
      <c r="E365" s="16">
        <v>0.02</v>
      </c>
      <c r="F365" s="15">
        <v>8.75</v>
      </c>
    </row>
    <row r="366" spans="1:6" x14ac:dyDescent="0.2">
      <c r="A366" s="38">
        <v>32540</v>
      </c>
      <c r="B366" s="37">
        <f>VLOOKUP(Table534567910[[#This Row],[Date]],Database!A:E,MATCH($A$1,Database!$A$1:$E$1,),)</f>
        <v>61.677999999999997</v>
      </c>
      <c r="C366" s="9">
        <f t="shared" si="5"/>
        <v>2.5356782939436107E-3</v>
      </c>
      <c r="D366" s="7">
        <f>(Table534567910[[#This Row],[Value]]-B354)/B354</f>
        <v>4.7129129740925542E-2</v>
      </c>
      <c r="E366" s="16">
        <v>0.02</v>
      </c>
      <c r="F366" s="15">
        <v>9.75</v>
      </c>
    </row>
    <row r="367" spans="1:6" x14ac:dyDescent="0.2">
      <c r="A367" s="38">
        <v>32568</v>
      </c>
      <c r="B367" s="37">
        <f>VLOOKUP(Table534567910[[#This Row],[Date]],Database!A:E,MATCH($A$1,Database!$A$1:$E$1,),)</f>
        <v>61.863</v>
      </c>
      <c r="C367" s="9">
        <f t="shared" si="5"/>
        <v>2.9994487499595038E-3</v>
      </c>
      <c r="D367" s="7">
        <f>(Table534567910[[#This Row],[Value]]-B355)/B355</f>
        <v>4.5795719647022955E-2</v>
      </c>
      <c r="E367" s="16">
        <v>0.02</v>
      </c>
      <c r="F367" s="15">
        <v>9.75</v>
      </c>
    </row>
    <row r="368" spans="1:6" x14ac:dyDescent="0.2">
      <c r="A368" s="38">
        <v>32599</v>
      </c>
      <c r="B368" s="37">
        <f>VLOOKUP(Table534567910[[#This Row],[Date]],Database!A:E,MATCH($A$1,Database!$A$1:$E$1,),)</f>
        <v>62.07</v>
      </c>
      <c r="C368" s="9">
        <f t="shared" si="5"/>
        <v>3.3461034867368336E-3</v>
      </c>
      <c r="D368" s="7">
        <f>(Table534567910[[#This Row],[Value]]-B356)/B356</f>
        <v>4.4228731010581883E-2</v>
      </c>
      <c r="E368" s="16">
        <v>0.02</v>
      </c>
      <c r="F368" s="15">
        <v>9.75</v>
      </c>
    </row>
    <row r="369" spans="1:6" x14ac:dyDescent="0.2">
      <c r="A369" s="38">
        <v>32629</v>
      </c>
      <c r="B369" s="37">
        <f>VLOOKUP(Table534567910[[#This Row],[Date]],Database!A:E,MATCH($A$1,Database!$A$1:$E$1,),)</f>
        <v>62.256</v>
      </c>
      <c r="C369" s="9">
        <f t="shared" si="5"/>
        <v>2.996616723054615E-3</v>
      </c>
      <c r="D369" s="7">
        <f>(Table534567910[[#This Row],[Value]]-B357)/B357</f>
        <v>4.3793172825430923E-2</v>
      </c>
      <c r="E369" s="16">
        <v>0.02</v>
      </c>
      <c r="F369" s="15">
        <v>9.75</v>
      </c>
    </row>
    <row r="370" spans="1:6" x14ac:dyDescent="0.2">
      <c r="A370" s="38">
        <v>32660</v>
      </c>
      <c r="B370" s="37">
        <f>VLOOKUP(Table534567910[[#This Row],[Date]],Database!A:E,MATCH($A$1,Database!$A$1:$E$1,),)</f>
        <v>62.42</v>
      </c>
      <c r="C370" s="9">
        <f t="shared" si="5"/>
        <v>2.6342842456952178E-3</v>
      </c>
      <c r="D370" s="7">
        <f>(Table534567910[[#This Row],[Value]]-B358)/B358</f>
        <v>4.2139708828636317E-2</v>
      </c>
      <c r="E370" s="16">
        <v>0.02</v>
      </c>
      <c r="F370" s="15">
        <v>9.6300000000000008</v>
      </c>
    </row>
    <row r="371" spans="1:6" x14ac:dyDescent="0.2">
      <c r="A371" s="38">
        <v>32690</v>
      </c>
      <c r="B371" s="37">
        <f>VLOOKUP(Table534567910[[#This Row],[Date]],Database!A:E,MATCH($A$1,Database!$A$1:$E$1,),)</f>
        <v>62.581000000000003</v>
      </c>
      <c r="C371" s="9">
        <f t="shared" si="5"/>
        <v>2.5793015059276093E-3</v>
      </c>
      <c r="D371" s="7">
        <f>(Table534567910[[#This Row],[Value]]-B359)/B359</f>
        <v>4.0588626538077863E-2</v>
      </c>
      <c r="E371" s="16">
        <v>0.02</v>
      </c>
      <c r="F371" s="15">
        <v>9</v>
      </c>
    </row>
    <row r="372" spans="1:6" x14ac:dyDescent="0.2">
      <c r="A372" s="38">
        <v>32721</v>
      </c>
      <c r="B372" s="37">
        <f>VLOOKUP(Table534567910[[#This Row],[Date]],Database!A:E,MATCH($A$1,Database!$A$1:$E$1,),)</f>
        <v>62.668999999999997</v>
      </c>
      <c r="C372" s="9">
        <f t="shared" si="5"/>
        <v>1.4061775938382873E-3</v>
      </c>
      <c r="D372" s="7">
        <f>(Table534567910[[#This Row],[Value]]-B360)/B360</f>
        <v>3.9476521421818164E-2</v>
      </c>
      <c r="E372" s="16">
        <v>0.02</v>
      </c>
      <c r="F372" s="15">
        <v>9</v>
      </c>
    </row>
    <row r="373" spans="1:6" x14ac:dyDescent="0.2">
      <c r="A373" s="38">
        <v>32752</v>
      </c>
      <c r="B373" s="37">
        <f>VLOOKUP(Table534567910[[#This Row],[Date]],Database!A:E,MATCH($A$1,Database!$A$1:$E$1,),)</f>
        <v>62.886000000000003</v>
      </c>
      <c r="C373" s="9">
        <f t="shared" si="5"/>
        <v>3.4626370294724004E-3</v>
      </c>
      <c r="D373" s="7">
        <f>(Table534567910[[#This Row],[Value]]-B361)/B361</f>
        <v>3.7500206226387132E-2</v>
      </c>
      <c r="E373" s="16">
        <v>0.02</v>
      </c>
      <c r="F373" s="15">
        <v>9</v>
      </c>
    </row>
    <row r="374" spans="1:6" x14ac:dyDescent="0.2">
      <c r="A374" s="38">
        <v>32782</v>
      </c>
      <c r="B374" s="37">
        <f>VLOOKUP(Table534567910[[#This Row],[Date]],Database!A:E,MATCH($A$1,Database!$A$1:$E$1,),)</f>
        <v>63.113999999999997</v>
      </c>
      <c r="C374" s="9">
        <f t="shared" si="5"/>
        <v>3.6256082434881279E-3</v>
      </c>
      <c r="D374" s="7">
        <f>(Table534567910[[#This Row],[Value]]-B362)/B362</f>
        <v>3.7325575661949502E-2</v>
      </c>
      <c r="E374" s="16">
        <v>0.02</v>
      </c>
      <c r="F374" s="15">
        <v>8.5</v>
      </c>
    </row>
    <row r="375" spans="1:6" x14ac:dyDescent="0.2">
      <c r="A375" s="38">
        <v>32813</v>
      </c>
      <c r="B375" s="37">
        <f>VLOOKUP(Table534567910[[#This Row],[Date]],Database!A:E,MATCH($A$1,Database!$A$1:$E$1,),)</f>
        <v>63.281999999999996</v>
      </c>
      <c r="C375" s="9">
        <f t="shared" si="5"/>
        <v>2.6618499857400777E-3</v>
      </c>
      <c r="D375" s="7">
        <f>(Table534567910[[#This Row],[Value]]-B363)/B363</f>
        <v>3.7239796754630364E-2</v>
      </c>
      <c r="E375" s="16">
        <v>0.02</v>
      </c>
      <c r="F375" s="15">
        <v>8.5</v>
      </c>
    </row>
    <row r="376" spans="1:6" x14ac:dyDescent="0.2">
      <c r="A376" s="38">
        <v>32843</v>
      </c>
      <c r="B376" s="37">
        <f>VLOOKUP(Table534567910[[#This Row],[Date]],Database!A:E,MATCH($A$1,Database!$A$1:$E$1,),)</f>
        <v>63.462000000000003</v>
      </c>
      <c r="C376" s="9">
        <f t="shared" si="5"/>
        <v>2.8444107329099401E-3</v>
      </c>
      <c r="D376" s="7">
        <f>(Table534567910[[#This Row],[Value]]-B364)/B364</f>
        <v>3.6757498529700054E-2</v>
      </c>
      <c r="E376" s="16">
        <v>0.02</v>
      </c>
      <c r="F376" s="15">
        <v>8.25</v>
      </c>
    </row>
    <row r="377" spans="1:6" x14ac:dyDescent="0.2">
      <c r="A377" s="38">
        <v>32874</v>
      </c>
      <c r="B377" s="37">
        <f>VLOOKUP(Table534567910[[#This Row],[Date]],Database!A:E,MATCH($A$1,Database!$A$1:$E$1,),)</f>
        <v>63.706000000000003</v>
      </c>
      <c r="C377" s="9">
        <f t="shared" si="5"/>
        <v>3.8448205225174083E-3</v>
      </c>
      <c r="D377" s="7">
        <f>(Table534567910[[#This Row],[Value]]-B365)/B365</f>
        <v>3.5499496115210895E-2</v>
      </c>
      <c r="E377" s="16">
        <v>0.02</v>
      </c>
      <c r="F377" s="15">
        <v>8.25</v>
      </c>
    </row>
    <row r="378" spans="1:6" x14ac:dyDescent="0.2">
      <c r="A378" s="38">
        <v>32905</v>
      </c>
      <c r="B378" s="37">
        <f>VLOOKUP(Table534567910[[#This Row],[Date]],Database!A:E,MATCH($A$1,Database!$A$1:$E$1,),)</f>
        <v>64.016000000000005</v>
      </c>
      <c r="C378" s="9">
        <f t="shared" si="5"/>
        <v>4.8661036637051812E-3</v>
      </c>
      <c r="D378" s="7">
        <f>(Table534567910[[#This Row],[Value]]-B366)/B366</f>
        <v>3.7906546904893285E-2</v>
      </c>
      <c r="E378" s="16">
        <v>0.02</v>
      </c>
      <c r="F378" s="15">
        <v>8.25</v>
      </c>
    </row>
    <row r="379" spans="1:6" x14ac:dyDescent="0.2">
      <c r="A379" s="38">
        <v>32933</v>
      </c>
      <c r="B379" s="37">
        <f>VLOOKUP(Table534567910[[#This Row],[Date]],Database!A:E,MATCH($A$1,Database!$A$1:$E$1,),)</f>
        <v>64.322999999999993</v>
      </c>
      <c r="C379" s="9">
        <f t="shared" si="5"/>
        <v>4.7956760809795664E-3</v>
      </c>
      <c r="D379" s="7">
        <f>(Table534567910[[#This Row],[Value]]-B367)/B367</f>
        <v>3.9765287813394015E-2</v>
      </c>
      <c r="E379" s="16">
        <v>0.02</v>
      </c>
      <c r="F379" s="15">
        <v>8.25</v>
      </c>
    </row>
    <row r="380" spans="1:6" x14ac:dyDescent="0.2">
      <c r="A380" s="38">
        <v>32964</v>
      </c>
      <c r="B380" s="37">
        <f>VLOOKUP(Table534567910[[#This Row],[Date]],Database!A:E,MATCH($A$1,Database!$A$1:$E$1,),)</f>
        <v>64.515000000000001</v>
      </c>
      <c r="C380" s="9">
        <f t="shared" si="5"/>
        <v>2.9849354041323836E-3</v>
      </c>
      <c r="D380" s="7">
        <f>(Table534567910[[#This Row],[Value]]-B368)/B368</f>
        <v>3.9391010149830839E-2</v>
      </c>
      <c r="E380" s="16">
        <v>0.02</v>
      </c>
      <c r="F380" s="15">
        <v>8.25</v>
      </c>
    </row>
    <row r="381" spans="1:6" x14ac:dyDescent="0.2">
      <c r="A381" s="38">
        <v>32994</v>
      </c>
      <c r="B381" s="37">
        <f>VLOOKUP(Table534567910[[#This Row],[Date]],Database!A:E,MATCH($A$1,Database!$A$1:$E$1,),)</f>
        <v>64.712000000000003</v>
      </c>
      <c r="C381" s="9">
        <f t="shared" si="5"/>
        <v>3.0535534371851931E-3</v>
      </c>
      <c r="D381" s="7">
        <f>(Table534567910[[#This Row],[Value]]-B369)/B369</f>
        <v>3.9450012850167103E-2</v>
      </c>
      <c r="E381" s="16">
        <v>0.02</v>
      </c>
      <c r="F381" s="15">
        <v>8.25</v>
      </c>
    </row>
    <row r="382" spans="1:6" x14ac:dyDescent="0.2">
      <c r="A382" s="38">
        <v>33025</v>
      </c>
      <c r="B382" s="37">
        <f>VLOOKUP(Table534567910[[#This Row],[Date]],Database!A:E,MATCH($A$1,Database!$A$1:$E$1,),)</f>
        <v>64.962999999999994</v>
      </c>
      <c r="C382" s="9">
        <f t="shared" si="5"/>
        <v>3.8787241933488465E-3</v>
      </c>
      <c r="D382" s="7">
        <f>(Table534567910[[#This Row],[Value]]-B370)/B370</f>
        <v>4.0740147388657354E-2</v>
      </c>
      <c r="E382" s="16">
        <v>0.02</v>
      </c>
      <c r="F382" s="15">
        <v>8.25</v>
      </c>
    </row>
    <row r="383" spans="1:6" x14ac:dyDescent="0.2">
      <c r="A383" s="38">
        <v>33055</v>
      </c>
      <c r="B383" s="37">
        <f>VLOOKUP(Table534567910[[#This Row],[Date]],Database!A:E,MATCH($A$1,Database!$A$1:$E$1,),)</f>
        <v>65.128</v>
      </c>
      <c r="C383" s="9">
        <f t="shared" si="5"/>
        <v>2.5399073318659276E-3</v>
      </c>
      <c r="D383" s="7">
        <f>(Table534567910[[#This Row],[Value]]-B371)/B371</f>
        <v>4.0699253767117763E-2</v>
      </c>
      <c r="E383" s="16">
        <v>0.02</v>
      </c>
      <c r="F383" s="15">
        <v>8</v>
      </c>
    </row>
    <row r="384" spans="1:6" x14ac:dyDescent="0.2">
      <c r="A384" s="38">
        <v>33086</v>
      </c>
      <c r="B384" s="37">
        <f>VLOOKUP(Table534567910[[#This Row],[Date]],Database!A:E,MATCH($A$1,Database!$A$1:$E$1,),)</f>
        <v>65.397999999999996</v>
      </c>
      <c r="C384" s="9">
        <f t="shared" si="5"/>
        <v>4.1456823486057609E-3</v>
      </c>
      <c r="D384" s="7">
        <f>(Table534567910[[#This Row],[Value]]-B372)/B372</f>
        <v>4.3546250937465086E-2</v>
      </c>
      <c r="E384" s="16">
        <v>0.02</v>
      </c>
      <c r="F384" s="15">
        <v>8</v>
      </c>
    </row>
    <row r="385" spans="1:6" x14ac:dyDescent="0.2">
      <c r="A385" s="38">
        <v>33117</v>
      </c>
      <c r="B385" s="37">
        <f>VLOOKUP(Table534567910[[#This Row],[Date]],Database!A:E,MATCH($A$1,Database!$A$1:$E$1,),)</f>
        <v>65.626999999999995</v>
      </c>
      <c r="C385" s="9">
        <f t="shared" si="5"/>
        <v>3.5016361356616289E-3</v>
      </c>
      <c r="D385" s="7">
        <f>(Table534567910[[#This Row],[Value]]-B373)/B373</f>
        <v>4.3586807874566556E-2</v>
      </c>
      <c r="E385" s="16">
        <v>0.02</v>
      </c>
      <c r="F385" s="15">
        <v>8</v>
      </c>
    </row>
    <row r="386" spans="1:6" x14ac:dyDescent="0.2">
      <c r="A386" s="38">
        <v>33147</v>
      </c>
      <c r="B386" s="37">
        <f>VLOOKUP(Table534567910[[#This Row],[Date]],Database!A:E,MATCH($A$1,Database!$A$1:$E$1,),)</f>
        <v>65.849999999999994</v>
      </c>
      <c r="C386" s="9">
        <f t="shared" si="5"/>
        <v>3.3979916802535388E-3</v>
      </c>
      <c r="D386" s="7">
        <f>(Table534567910[[#This Row],[Value]]-B374)/B374</f>
        <v>4.3350128339195694E-2</v>
      </c>
      <c r="E386" s="16">
        <v>0.02</v>
      </c>
      <c r="F386" s="15">
        <v>7.75</v>
      </c>
    </row>
    <row r="387" spans="1:6" x14ac:dyDescent="0.2">
      <c r="A387" s="38">
        <v>33178</v>
      </c>
      <c r="B387" s="37">
        <f>VLOOKUP(Table534567910[[#This Row],[Date]],Database!A:E,MATCH($A$1,Database!$A$1:$E$1,),)</f>
        <v>65.929000000000002</v>
      </c>
      <c r="C387" s="9">
        <f t="shared" si="5"/>
        <v>1.1996962794230484E-3</v>
      </c>
      <c r="D387" s="7">
        <f>(Table534567910[[#This Row],[Value]]-B375)/B375</f>
        <v>4.1828640055624124E-2</v>
      </c>
      <c r="E387" s="16">
        <v>0.02</v>
      </c>
      <c r="F387" s="15">
        <v>7.5</v>
      </c>
    </row>
    <row r="388" spans="1:6" x14ac:dyDescent="0.2">
      <c r="A388" s="38">
        <v>33208</v>
      </c>
      <c r="B388" s="37">
        <f>VLOOKUP(Table534567910[[#This Row],[Date]],Database!A:E,MATCH($A$1,Database!$A$1:$E$1,),)</f>
        <v>66.021000000000001</v>
      </c>
      <c r="C388" s="9">
        <f t="shared" si="5"/>
        <v>1.3954405496822149E-3</v>
      </c>
      <c r="D388" s="7">
        <f>(Table534567910[[#This Row],[Value]]-B376)/B376</f>
        <v>4.0323343102959208E-2</v>
      </c>
      <c r="E388" s="16">
        <v>0.02</v>
      </c>
      <c r="F388" s="15">
        <v>7</v>
      </c>
    </row>
    <row r="389" spans="1:6" x14ac:dyDescent="0.2">
      <c r="A389" s="38">
        <v>33239</v>
      </c>
      <c r="B389" s="37">
        <f>VLOOKUP(Table534567910[[#This Row],[Date]],Database!A:E,MATCH($A$1,Database!$A$1:$E$1,),)</f>
        <v>66.349999999999994</v>
      </c>
      <c r="C389" s="9">
        <f t="shared" si="5"/>
        <v>4.9832629011980056E-3</v>
      </c>
      <c r="D389" s="7">
        <f>(Table534567910[[#This Row],[Value]]-B377)/B377</f>
        <v>4.1503155118826976E-2</v>
      </c>
      <c r="E389" s="16">
        <v>0.02</v>
      </c>
      <c r="F389" s="15">
        <v>6.75</v>
      </c>
    </row>
    <row r="390" spans="1:6" x14ac:dyDescent="0.2">
      <c r="A390" s="38">
        <v>33270</v>
      </c>
      <c r="B390" s="37">
        <f>VLOOKUP(Table534567910[[#This Row],[Date]],Database!A:E,MATCH($A$1,Database!$A$1:$E$1,),)</f>
        <v>66.533000000000001</v>
      </c>
      <c r="C390" s="9">
        <f t="shared" ref="C390:C453" si="6">(B390-B389)/B389</f>
        <v>2.7581009796534581E-3</v>
      </c>
      <c r="D390" s="7">
        <f>(Table534567910[[#This Row],[Value]]-B378)/B378</f>
        <v>3.9318295426143395E-2</v>
      </c>
      <c r="E390" s="16">
        <v>0.02</v>
      </c>
      <c r="F390" s="15">
        <v>6.25</v>
      </c>
    </row>
    <row r="391" spans="1:6" x14ac:dyDescent="0.2">
      <c r="A391" s="38">
        <v>33298</v>
      </c>
      <c r="B391" s="37">
        <f>VLOOKUP(Table534567910[[#This Row],[Date]],Database!A:E,MATCH($A$1,Database!$A$1:$E$1,),)</f>
        <v>66.671999999999997</v>
      </c>
      <c r="C391" s="9">
        <f t="shared" si="6"/>
        <v>2.0891888235912374E-3</v>
      </c>
      <c r="D391" s="7">
        <f>(Table534567910[[#This Row],[Value]]-B379)/B379</f>
        <v>3.6518819084930799E-2</v>
      </c>
      <c r="E391" s="16">
        <v>0.02</v>
      </c>
      <c r="F391" s="15">
        <v>6</v>
      </c>
    </row>
    <row r="392" spans="1:6" x14ac:dyDescent="0.2">
      <c r="A392" s="38">
        <v>33329</v>
      </c>
      <c r="B392" s="37">
        <f>VLOOKUP(Table534567910[[#This Row],[Date]],Database!A:E,MATCH($A$1,Database!$A$1:$E$1,),)</f>
        <v>66.805000000000007</v>
      </c>
      <c r="C392" s="9">
        <f t="shared" si="6"/>
        <v>1.9948404127671255E-3</v>
      </c>
      <c r="D392" s="7">
        <f>(Table534567910[[#This Row],[Value]]-B380)/B380</f>
        <v>3.5495621173370628E-2</v>
      </c>
      <c r="E392" s="16">
        <v>0.02</v>
      </c>
      <c r="F392" s="15">
        <v>5.75</v>
      </c>
    </row>
    <row r="393" spans="1:6" x14ac:dyDescent="0.2">
      <c r="A393" s="38">
        <v>33359</v>
      </c>
      <c r="B393" s="37">
        <f>VLOOKUP(Table534567910[[#This Row],[Date]],Database!A:E,MATCH($A$1,Database!$A$1:$E$1,),)</f>
        <v>67.072000000000003</v>
      </c>
      <c r="C393" s="9">
        <f t="shared" si="6"/>
        <v>3.9967068333207978E-3</v>
      </c>
      <c r="D393" s="7">
        <f>(Table534567910[[#This Row],[Value]]-B381)/B381</f>
        <v>3.6469279268141912E-2</v>
      </c>
      <c r="E393" s="16">
        <v>0.02</v>
      </c>
      <c r="F393" s="15">
        <v>5.75</v>
      </c>
    </row>
    <row r="394" spans="1:6" x14ac:dyDescent="0.2">
      <c r="A394" s="38">
        <v>33390</v>
      </c>
      <c r="B394" s="37">
        <f>VLOOKUP(Table534567910[[#This Row],[Date]],Database!A:E,MATCH($A$1,Database!$A$1:$E$1,),)</f>
        <v>67.215999999999994</v>
      </c>
      <c r="C394" s="9">
        <f t="shared" si="6"/>
        <v>2.1469465648853658E-3</v>
      </c>
      <c r="D394" s="7">
        <f>(Table534567910[[#This Row],[Value]]-B382)/B382</f>
        <v>3.4681280113295264E-2</v>
      </c>
      <c r="E394" s="16">
        <v>0.02</v>
      </c>
      <c r="F394" s="15">
        <v>5.75</v>
      </c>
    </row>
    <row r="395" spans="1:6" x14ac:dyDescent="0.2">
      <c r="A395" s="38">
        <v>33420</v>
      </c>
      <c r="B395" s="37">
        <f>VLOOKUP(Table534567910[[#This Row],[Date]],Database!A:E,MATCH($A$1,Database!$A$1:$E$1,),)</f>
        <v>67.421000000000006</v>
      </c>
      <c r="C395" s="9">
        <f t="shared" si="6"/>
        <v>3.0498690787909505E-3</v>
      </c>
      <c r="D395" s="7">
        <f>(Table534567910[[#This Row],[Value]]-B383)/B383</f>
        <v>3.5207591205011768E-2</v>
      </c>
      <c r="E395" s="16">
        <v>0.02</v>
      </c>
      <c r="F395" s="15">
        <v>5.75</v>
      </c>
    </row>
    <row r="396" spans="1:6" x14ac:dyDescent="0.2">
      <c r="A396" s="38">
        <v>33451</v>
      </c>
      <c r="B396" s="37">
        <f>VLOOKUP(Table534567910[[#This Row],[Date]],Database!A:E,MATCH($A$1,Database!$A$1:$E$1,),)</f>
        <v>67.605999999999995</v>
      </c>
      <c r="C396" s="9">
        <f t="shared" si="6"/>
        <v>2.7439521810710024E-3</v>
      </c>
      <c r="D396" s="7">
        <f>(Table534567910[[#This Row],[Value]]-B384)/B384</f>
        <v>3.3762500382274664E-2</v>
      </c>
      <c r="E396" s="16">
        <v>0.02</v>
      </c>
      <c r="F396" s="15">
        <v>5.5</v>
      </c>
    </row>
    <row r="397" spans="1:6" x14ac:dyDescent="0.2">
      <c r="A397" s="38">
        <v>33482</v>
      </c>
      <c r="B397" s="37">
        <f>VLOOKUP(Table534567910[[#This Row],[Date]],Database!A:E,MATCH($A$1,Database!$A$1:$E$1,),)</f>
        <v>67.876999999999995</v>
      </c>
      <c r="C397" s="9">
        <f t="shared" si="6"/>
        <v>4.0085199538502621E-3</v>
      </c>
      <c r="D397" s="7">
        <f>(Table534567910[[#This Row],[Value]]-B385)/B385</f>
        <v>3.4284669419598644E-2</v>
      </c>
      <c r="E397" s="16">
        <v>0.02</v>
      </c>
      <c r="F397" s="15">
        <v>5.25</v>
      </c>
    </row>
    <row r="398" spans="1:6" x14ac:dyDescent="0.2">
      <c r="A398" s="38">
        <v>33512</v>
      </c>
      <c r="B398" s="37">
        <f>VLOOKUP(Table534567910[[#This Row],[Date]],Database!A:E,MATCH($A$1,Database!$A$1:$E$1,),)</f>
        <v>68.025999999999996</v>
      </c>
      <c r="C398" s="9">
        <f t="shared" si="6"/>
        <v>2.195147104321065E-3</v>
      </c>
      <c r="D398" s="7">
        <f>(Table534567910[[#This Row],[Value]]-B386)/B386</f>
        <v>3.3044798785117721E-2</v>
      </c>
      <c r="E398" s="16">
        <v>0.02</v>
      </c>
      <c r="F398" s="15">
        <v>5</v>
      </c>
    </row>
    <row r="399" spans="1:6" x14ac:dyDescent="0.2">
      <c r="A399" s="38">
        <v>33543</v>
      </c>
      <c r="B399" s="37">
        <f>VLOOKUP(Table534567910[[#This Row],[Date]],Database!A:E,MATCH($A$1,Database!$A$1:$E$1,),)</f>
        <v>68.153000000000006</v>
      </c>
      <c r="C399" s="9">
        <f t="shared" si="6"/>
        <v>1.8669332314116597E-3</v>
      </c>
      <c r="D399" s="7">
        <f>(Table534567910[[#This Row],[Value]]-B387)/B387</f>
        <v>3.3733258505361886E-2</v>
      </c>
      <c r="E399" s="16">
        <v>0.02</v>
      </c>
      <c r="F399" s="15">
        <v>4.75</v>
      </c>
    </row>
    <row r="400" spans="1:6" x14ac:dyDescent="0.2">
      <c r="A400" s="38">
        <v>33573</v>
      </c>
      <c r="B400" s="37">
        <f>VLOOKUP(Table534567910[[#This Row],[Date]],Database!A:E,MATCH($A$1,Database!$A$1:$E$1,),)</f>
        <v>68.320999999999998</v>
      </c>
      <c r="C400" s="9">
        <f t="shared" si="6"/>
        <v>2.4650418910391642E-3</v>
      </c>
      <c r="D400" s="7">
        <f>(Table534567910[[#This Row],[Value]]-B388)/B388</f>
        <v>3.4837400221141714E-2</v>
      </c>
      <c r="E400" s="16">
        <v>0.02</v>
      </c>
      <c r="F400" s="15">
        <v>4</v>
      </c>
    </row>
    <row r="401" spans="1:6" x14ac:dyDescent="0.2">
      <c r="A401" s="38">
        <v>33604</v>
      </c>
      <c r="B401" s="37">
        <f>VLOOKUP(Table534567910[[#This Row],[Date]],Database!A:E,MATCH($A$1,Database!$A$1:$E$1,),)</f>
        <v>68.507000000000005</v>
      </c>
      <c r="C401" s="9">
        <f t="shared" si="6"/>
        <v>2.7224425871987682E-3</v>
      </c>
      <c r="D401" s="7">
        <f>(Table534567910[[#This Row],[Value]]-B389)/B389</f>
        <v>3.250941974378313E-2</v>
      </c>
      <c r="E401" s="16">
        <v>0.02</v>
      </c>
      <c r="F401" s="15">
        <v>4</v>
      </c>
    </row>
    <row r="402" spans="1:6" x14ac:dyDescent="0.2">
      <c r="A402" s="38">
        <v>33635</v>
      </c>
      <c r="B402" s="37">
        <f>VLOOKUP(Table534567910[[#This Row],[Date]],Database!A:E,MATCH($A$1,Database!$A$1:$E$1,),)</f>
        <v>68.692999999999998</v>
      </c>
      <c r="C402" s="9">
        <f t="shared" si="6"/>
        <v>2.7150510166843215E-3</v>
      </c>
      <c r="D402" s="7">
        <f>(Table534567910[[#This Row],[Value]]-B390)/B390</f>
        <v>3.2465092510483469E-2</v>
      </c>
      <c r="E402" s="16">
        <v>0.02</v>
      </c>
      <c r="F402" s="15">
        <v>4</v>
      </c>
    </row>
    <row r="403" spans="1:6" x14ac:dyDescent="0.2">
      <c r="A403" s="38">
        <v>33664</v>
      </c>
      <c r="B403" s="37">
        <f>VLOOKUP(Table534567910[[#This Row],[Date]],Database!A:E,MATCH($A$1,Database!$A$1:$E$1,),)</f>
        <v>68.864999999999995</v>
      </c>
      <c r="C403" s="9">
        <f t="shared" si="6"/>
        <v>2.5038941376850196E-3</v>
      </c>
      <c r="D403" s="7">
        <f>(Table534567910[[#This Row],[Value]]-B391)/B391</f>
        <v>3.2892368610511126E-2</v>
      </c>
      <c r="E403" s="16">
        <v>0.02</v>
      </c>
      <c r="F403" s="15">
        <v>4</v>
      </c>
    </row>
    <row r="404" spans="1:6" x14ac:dyDescent="0.2">
      <c r="A404" s="38">
        <v>33695</v>
      </c>
      <c r="B404" s="37">
        <f>VLOOKUP(Table534567910[[#This Row],[Date]],Database!A:E,MATCH($A$1,Database!$A$1:$E$1,),)</f>
        <v>69.090999999999994</v>
      </c>
      <c r="C404" s="9">
        <f t="shared" si="6"/>
        <v>3.2817831990125477E-3</v>
      </c>
      <c r="D404" s="7">
        <f>(Table534567910[[#This Row],[Value]]-B392)/B392</f>
        <v>3.4218995584162665E-2</v>
      </c>
      <c r="E404" s="16">
        <v>0.02</v>
      </c>
      <c r="F404" s="15">
        <v>3.75</v>
      </c>
    </row>
    <row r="405" spans="1:6" x14ac:dyDescent="0.2">
      <c r="A405" s="38">
        <v>33725</v>
      </c>
      <c r="B405" s="37">
        <f>VLOOKUP(Table534567910[[#This Row],[Date]],Database!A:E,MATCH($A$1,Database!$A$1:$E$1,),)</f>
        <v>69.188000000000002</v>
      </c>
      <c r="C405" s="9">
        <f t="shared" si="6"/>
        <v>1.4039455211244361E-3</v>
      </c>
      <c r="D405" s="7">
        <f>(Table534567910[[#This Row],[Value]]-B393)/B393</f>
        <v>3.1548187022900756E-2</v>
      </c>
      <c r="E405" s="16">
        <v>0.02</v>
      </c>
      <c r="F405" s="15">
        <v>3.75</v>
      </c>
    </row>
    <row r="406" spans="1:6" x14ac:dyDescent="0.2">
      <c r="A406" s="38">
        <v>33756</v>
      </c>
      <c r="B406" s="37">
        <f>VLOOKUP(Table534567910[[#This Row],[Date]],Database!A:E,MATCH($A$1,Database!$A$1:$E$1,),)</f>
        <v>69.242000000000004</v>
      </c>
      <c r="C406" s="9">
        <f t="shared" si="6"/>
        <v>7.8048216453723257E-4</v>
      </c>
      <c r="D406" s="7">
        <f>(Table534567910[[#This Row],[Value]]-B394)/B394</f>
        <v>3.0141632944537172E-2</v>
      </c>
      <c r="E406" s="16">
        <v>0.02</v>
      </c>
      <c r="F406" s="15">
        <v>3.75</v>
      </c>
    </row>
    <row r="407" spans="1:6" x14ac:dyDescent="0.2">
      <c r="A407" s="38">
        <v>33786</v>
      </c>
      <c r="B407" s="37">
        <f>VLOOKUP(Table534567910[[#This Row],[Date]],Database!A:E,MATCH($A$1,Database!$A$1:$E$1,),)</f>
        <v>69.503</v>
      </c>
      <c r="C407" s="9">
        <f t="shared" si="6"/>
        <v>3.7693885214175739E-3</v>
      </c>
      <c r="D407" s="7">
        <f>(Table534567910[[#This Row],[Value]]-B395)/B395</f>
        <v>3.0880586167514476E-2</v>
      </c>
      <c r="E407" s="16">
        <v>0.02</v>
      </c>
      <c r="F407" s="15">
        <v>3.25</v>
      </c>
    </row>
    <row r="408" spans="1:6" x14ac:dyDescent="0.2">
      <c r="A408" s="38">
        <v>33817</v>
      </c>
      <c r="B408" s="37">
        <f>VLOOKUP(Table534567910[[#This Row],[Date]],Database!A:E,MATCH($A$1,Database!$A$1:$E$1,),)</f>
        <v>69.566999999999993</v>
      </c>
      <c r="C408" s="9">
        <f t="shared" si="6"/>
        <v>9.2082356157278033E-4</v>
      </c>
      <c r="D408" s="7">
        <f>(Table534567910[[#This Row],[Value]]-B396)/B396</f>
        <v>2.9006301215868394E-2</v>
      </c>
      <c r="E408" s="16">
        <v>0.02</v>
      </c>
      <c r="F408" s="15">
        <v>3.25</v>
      </c>
    </row>
    <row r="409" spans="1:6" x14ac:dyDescent="0.2">
      <c r="A409" s="38">
        <v>33848</v>
      </c>
      <c r="B409" s="37">
        <f>VLOOKUP(Table534567910[[#This Row],[Date]],Database!A:E,MATCH($A$1,Database!$A$1:$E$1,),)</f>
        <v>69.680000000000007</v>
      </c>
      <c r="C409" s="9">
        <f t="shared" si="6"/>
        <v>1.6243333764574262E-3</v>
      </c>
      <c r="D409" s="7">
        <f>(Table534567910[[#This Row],[Value]]-B397)/B397</f>
        <v>2.6562753215375039E-2</v>
      </c>
      <c r="E409" s="16">
        <v>0.02</v>
      </c>
      <c r="F409" s="15">
        <v>3</v>
      </c>
    </row>
    <row r="410" spans="1:6" x14ac:dyDescent="0.2">
      <c r="A410" s="38">
        <v>33878</v>
      </c>
      <c r="B410" s="37">
        <f>VLOOKUP(Table534567910[[#This Row],[Date]],Database!A:E,MATCH($A$1,Database!$A$1:$E$1,),)</f>
        <v>69.947999999999993</v>
      </c>
      <c r="C410" s="9">
        <f t="shared" si="6"/>
        <v>3.8461538461536516E-3</v>
      </c>
      <c r="D410" s="7">
        <f>(Table534567910[[#This Row],[Value]]-B398)/B398</f>
        <v>2.8253902919471923E-2</v>
      </c>
      <c r="E410" s="16">
        <v>0.02</v>
      </c>
      <c r="F410" s="15">
        <v>3</v>
      </c>
    </row>
    <row r="411" spans="1:6" x14ac:dyDescent="0.2">
      <c r="A411" s="38">
        <v>33909</v>
      </c>
      <c r="B411" s="37">
        <f>VLOOKUP(Table534567910[[#This Row],[Date]],Database!A:E,MATCH($A$1,Database!$A$1:$E$1,),)</f>
        <v>70.100999999999999</v>
      </c>
      <c r="C411" s="9">
        <f t="shared" si="6"/>
        <v>2.1873391662378598E-3</v>
      </c>
      <c r="D411" s="7">
        <f>(Table534567910[[#This Row],[Value]]-B399)/B399</f>
        <v>2.8582747641336306E-2</v>
      </c>
      <c r="E411" s="16">
        <v>0.02</v>
      </c>
      <c r="F411" s="15">
        <v>3</v>
      </c>
    </row>
    <row r="412" spans="1:6" x14ac:dyDescent="0.2">
      <c r="A412" s="38">
        <v>33939</v>
      </c>
      <c r="B412" s="37">
        <f>VLOOKUP(Table534567910[[#This Row],[Date]],Database!A:E,MATCH($A$1,Database!$A$1:$E$1,),)</f>
        <v>70.230999999999995</v>
      </c>
      <c r="C412" s="9">
        <f t="shared" si="6"/>
        <v>1.8544671260038437E-3</v>
      </c>
      <c r="D412" s="7">
        <f>(Table534567910[[#This Row],[Value]]-B400)/B400</f>
        <v>2.7956265277147535E-2</v>
      </c>
      <c r="E412" s="16">
        <v>0.02</v>
      </c>
      <c r="F412" s="15">
        <v>3</v>
      </c>
    </row>
    <row r="413" spans="1:6" x14ac:dyDescent="0.2">
      <c r="A413" s="38">
        <v>33970</v>
      </c>
      <c r="B413" s="37">
        <f>VLOOKUP(Table534567910[[#This Row],[Date]],Database!A:E,MATCH($A$1,Database!$A$1:$E$1,),)</f>
        <v>70.435000000000002</v>
      </c>
      <c r="C413" s="9">
        <f t="shared" si="6"/>
        <v>2.9047002036138993E-3</v>
      </c>
      <c r="D413" s="7">
        <f>(Table534567910[[#This Row],[Value]]-B401)/B401</f>
        <v>2.8143109463266487E-2</v>
      </c>
      <c r="E413" s="16">
        <v>0.02</v>
      </c>
      <c r="F413" s="15">
        <v>3</v>
      </c>
    </row>
    <row r="414" spans="1:6" x14ac:dyDescent="0.2">
      <c r="A414" s="38">
        <v>34001</v>
      </c>
      <c r="B414" s="37">
        <f>VLOOKUP(Table534567910[[#This Row],[Date]],Database!A:E,MATCH($A$1,Database!$A$1:$E$1,),)</f>
        <v>70.569999999999993</v>
      </c>
      <c r="C414" s="9">
        <f t="shared" si="6"/>
        <v>1.9166607510469355E-3</v>
      </c>
      <c r="D414" s="7">
        <f>(Table534567910[[#This Row],[Value]]-B402)/B402</f>
        <v>2.7324472653690993E-2</v>
      </c>
      <c r="E414" s="16">
        <v>0.02</v>
      </c>
      <c r="F414" s="15">
        <v>3</v>
      </c>
    </row>
    <row r="415" spans="1:6" x14ac:dyDescent="0.2">
      <c r="A415" s="38">
        <v>34029</v>
      </c>
      <c r="B415" s="37">
        <f>VLOOKUP(Table534567910[[#This Row],[Date]],Database!A:E,MATCH($A$1,Database!$A$1:$E$1,),)</f>
        <v>70.722999999999999</v>
      </c>
      <c r="C415" s="9">
        <f t="shared" si="6"/>
        <v>2.1680600821879811E-3</v>
      </c>
      <c r="D415" s="7">
        <f>(Table534567910[[#This Row],[Value]]-B403)/B403</f>
        <v>2.6980323821970582E-2</v>
      </c>
      <c r="E415" s="16">
        <v>0.02</v>
      </c>
      <c r="F415" s="15">
        <v>3</v>
      </c>
    </row>
    <row r="416" spans="1:6" x14ac:dyDescent="0.2">
      <c r="A416" s="38">
        <v>34060</v>
      </c>
      <c r="B416" s="37">
        <f>VLOOKUP(Table534567910[[#This Row],[Date]],Database!A:E,MATCH($A$1,Database!$A$1:$E$1,),)</f>
        <v>70.929000000000002</v>
      </c>
      <c r="C416" s="9">
        <f t="shared" si="6"/>
        <v>2.9127723654257184E-3</v>
      </c>
      <c r="D416" s="7">
        <f>(Table534567910[[#This Row],[Value]]-B404)/B404</f>
        <v>2.6602596575530942E-2</v>
      </c>
      <c r="E416" s="16">
        <v>0.02</v>
      </c>
      <c r="F416" s="15">
        <v>3</v>
      </c>
    </row>
    <row r="417" spans="1:6" x14ac:dyDescent="0.2">
      <c r="A417" s="38">
        <v>34090</v>
      </c>
      <c r="B417" s="37">
        <f>VLOOKUP(Table534567910[[#This Row],[Date]],Database!A:E,MATCH($A$1,Database!$A$1:$E$1,),)</f>
        <v>71.168999999999997</v>
      </c>
      <c r="C417" s="9">
        <f t="shared" si="6"/>
        <v>3.3836653554962693E-3</v>
      </c>
      <c r="D417" s="7">
        <f>(Table534567910[[#This Row],[Value]]-B405)/B405</f>
        <v>2.8632132739781387E-2</v>
      </c>
      <c r="E417" s="16">
        <v>0.02</v>
      </c>
      <c r="F417" s="15">
        <v>3</v>
      </c>
    </row>
    <row r="418" spans="1:6" x14ac:dyDescent="0.2">
      <c r="A418" s="38">
        <v>34121</v>
      </c>
      <c r="B418" s="37">
        <f>VLOOKUP(Table534567910[[#This Row],[Date]],Database!A:E,MATCH($A$1,Database!$A$1:$E$1,),)</f>
        <v>71.236999999999995</v>
      </c>
      <c r="C418" s="9">
        <f t="shared" si="6"/>
        <v>9.554721859236162E-4</v>
      </c>
      <c r="D418" s="7">
        <f>(Table534567910[[#This Row],[Value]]-B406)/B406</f>
        <v>2.8811992721180645E-2</v>
      </c>
      <c r="E418" s="16">
        <v>0.02</v>
      </c>
      <c r="F418" s="15">
        <v>3</v>
      </c>
    </row>
    <row r="419" spans="1:6" x14ac:dyDescent="0.2">
      <c r="A419" s="38">
        <v>34151</v>
      </c>
      <c r="B419" s="37">
        <f>VLOOKUP(Table534567910[[#This Row],[Date]],Database!A:E,MATCH($A$1,Database!$A$1:$E$1,),)</f>
        <v>71.385000000000005</v>
      </c>
      <c r="C419" s="9">
        <f t="shared" si="6"/>
        <v>2.0775720482335072E-3</v>
      </c>
      <c r="D419" s="7">
        <f>(Table534567910[[#This Row],[Value]]-B407)/B407</f>
        <v>2.7077967857502626E-2</v>
      </c>
      <c r="E419" s="16">
        <v>0.02</v>
      </c>
      <c r="F419" s="15">
        <v>3</v>
      </c>
    </row>
    <row r="420" spans="1:6" x14ac:dyDescent="0.2">
      <c r="A420" s="38">
        <v>34182</v>
      </c>
      <c r="B420" s="37">
        <f>VLOOKUP(Table534567910[[#This Row],[Date]],Database!A:E,MATCH($A$1,Database!$A$1:$E$1,),)</f>
        <v>71.518000000000001</v>
      </c>
      <c r="C420" s="9">
        <f t="shared" si="6"/>
        <v>1.8631365132730344E-3</v>
      </c>
      <c r="D420" s="7">
        <f>(Table534567910[[#This Row],[Value]]-B408)/B408</f>
        <v>2.8044906349274912E-2</v>
      </c>
      <c r="E420" s="16">
        <v>0.02</v>
      </c>
      <c r="F420" s="15">
        <v>3</v>
      </c>
    </row>
    <row r="421" spans="1:6" x14ac:dyDescent="0.2">
      <c r="A421" s="38">
        <v>34213</v>
      </c>
      <c r="B421" s="37">
        <f>VLOOKUP(Table534567910[[#This Row],[Date]],Database!A:E,MATCH($A$1,Database!$A$1:$E$1,),)</f>
        <v>71.625</v>
      </c>
      <c r="C421" s="9">
        <f t="shared" si="6"/>
        <v>1.496126849184811E-3</v>
      </c>
      <c r="D421" s="7">
        <f>(Table534567910[[#This Row],[Value]]-B409)/B409</f>
        <v>2.7913318025258222E-2</v>
      </c>
      <c r="E421" s="16">
        <v>0.02</v>
      </c>
      <c r="F421" s="15">
        <v>3</v>
      </c>
    </row>
    <row r="422" spans="1:6" x14ac:dyDescent="0.2">
      <c r="A422" s="38">
        <v>34243</v>
      </c>
      <c r="B422" s="37">
        <f>VLOOKUP(Table534567910[[#This Row],[Date]],Database!A:E,MATCH($A$1,Database!$A$1:$E$1,),)</f>
        <v>71.744</v>
      </c>
      <c r="C422" s="9">
        <f t="shared" si="6"/>
        <v>1.6614310645724226E-3</v>
      </c>
      <c r="D422" s="7">
        <f>(Table534567910[[#This Row],[Value]]-B410)/B410</f>
        <v>2.5676216618059224E-2</v>
      </c>
      <c r="E422" s="16">
        <v>0.02</v>
      </c>
      <c r="F422" s="15">
        <v>3</v>
      </c>
    </row>
    <row r="423" spans="1:6" x14ac:dyDescent="0.2">
      <c r="A423" s="38">
        <v>34274</v>
      </c>
      <c r="B423" s="37">
        <f>VLOOKUP(Table534567910[[#This Row],[Date]],Database!A:E,MATCH($A$1,Database!$A$1:$E$1,),)</f>
        <v>71.927999999999997</v>
      </c>
      <c r="C423" s="9">
        <f t="shared" si="6"/>
        <v>2.5646743978590195E-3</v>
      </c>
      <c r="D423" s="7">
        <f>(Table534567910[[#This Row],[Value]]-B411)/B411</f>
        <v>2.6062395686224135E-2</v>
      </c>
      <c r="E423" s="16">
        <v>0.02</v>
      </c>
      <c r="F423" s="15">
        <v>3</v>
      </c>
    </row>
    <row r="424" spans="1:6" x14ac:dyDescent="0.2">
      <c r="A424" s="38">
        <v>34304</v>
      </c>
      <c r="B424" s="37">
        <f>VLOOKUP(Table534567910[[#This Row],[Date]],Database!A:E,MATCH($A$1,Database!$A$1:$E$1,),)</f>
        <v>71.959999999999994</v>
      </c>
      <c r="C424" s="9">
        <f t="shared" si="6"/>
        <v>4.4488933377817368E-4</v>
      </c>
      <c r="D424" s="7">
        <f>(Table534567910[[#This Row],[Value]]-B412)/B412</f>
        <v>2.461875809827568E-2</v>
      </c>
      <c r="E424" s="16">
        <v>0.02</v>
      </c>
      <c r="F424" s="15">
        <v>3</v>
      </c>
    </row>
    <row r="425" spans="1:6" x14ac:dyDescent="0.2">
      <c r="A425" s="38">
        <v>34335</v>
      </c>
      <c r="B425" s="37">
        <f>VLOOKUP(Table534567910[[#This Row],[Date]],Database!A:E,MATCH($A$1,Database!$A$1:$E$1,),)</f>
        <v>72.018000000000001</v>
      </c>
      <c r="C425" s="9">
        <f t="shared" si="6"/>
        <v>8.0600333518631101E-4</v>
      </c>
      <c r="D425" s="7">
        <f>(Table534567910[[#This Row],[Value]]-B413)/B413</f>
        <v>2.2474621991907411E-2</v>
      </c>
      <c r="E425" s="16">
        <v>0.02</v>
      </c>
      <c r="F425" s="15">
        <v>3</v>
      </c>
    </row>
    <row r="426" spans="1:6" x14ac:dyDescent="0.2">
      <c r="A426" s="38">
        <v>34366</v>
      </c>
      <c r="B426" s="37">
        <f>VLOOKUP(Table534567910[[#This Row],[Date]],Database!A:E,MATCH($A$1,Database!$A$1:$E$1,),)</f>
        <v>72.173000000000002</v>
      </c>
      <c r="C426" s="9">
        <f t="shared" si="6"/>
        <v>2.1522397178483314E-3</v>
      </c>
      <c r="D426" s="7">
        <f>(Table534567910[[#This Row],[Value]]-B414)/B414</f>
        <v>2.2715034717302095E-2</v>
      </c>
      <c r="E426" s="16">
        <v>0.02</v>
      </c>
      <c r="F426" s="15">
        <v>3.25</v>
      </c>
    </row>
    <row r="427" spans="1:6" x14ac:dyDescent="0.2">
      <c r="A427" s="38">
        <v>34394</v>
      </c>
      <c r="B427" s="37">
        <f>VLOOKUP(Table534567910[[#This Row],[Date]],Database!A:E,MATCH($A$1,Database!$A$1:$E$1,),)</f>
        <v>72.42</v>
      </c>
      <c r="C427" s="9">
        <f t="shared" si="6"/>
        <v>3.4223324511936581E-3</v>
      </c>
      <c r="D427" s="7">
        <f>(Table534567910[[#This Row],[Value]]-B415)/B415</f>
        <v>2.3995022835569799E-2</v>
      </c>
      <c r="E427" s="16">
        <v>0.02</v>
      </c>
      <c r="F427" s="15">
        <v>3.5</v>
      </c>
    </row>
    <row r="428" spans="1:6" x14ac:dyDescent="0.2">
      <c r="A428" s="38">
        <v>34425</v>
      </c>
      <c r="B428" s="37">
        <f>VLOOKUP(Table534567910[[#This Row],[Date]],Database!A:E,MATCH($A$1,Database!$A$1:$E$1,),)</f>
        <v>72.528000000000006</v>
      </c>
      <c r="C428" s="9">
        <f t="shared" si="6"/>
        <v>1.4913007456504293E-3</v>
      </c>
      <c r="D428" s="7">
        <f>(Table534567910[[#This Row],[Value]]-B416)/B416</f>
        <v>2.2543670430994426E-2</v>
      </c>
      <c r="E428" s="16">
        <v>0.02</v>
      </c>
      <c r="F428" s="15">
        <v>3.75</v>
      </c>
    </row>
    <row r="429" spans="1:6" x14ac:dyDescent="0.2">
      <c r="A429" s="38">
        <v>34455</v>
      </c>
      <c r="B429" s="37">
        <f>VLOOKUP(Table534567910[[#This Row],[Date]],Database!A:E,MATCH($A$1,Database!$A$1:$E$1,),)</f>
        <v>72.69</v>
      </c>
      <c r="C429" s="9">
        <f t="shared" si="6"/>
        <v>2.2336201191262947E-3</v>
      </c>
      <c r="D429" s="7">
        <f>(Table534567910[[#This Row],[Value]]-B417)/B417</f>
        <v>2.1371664629262752E-2</v>
      </c>
      <c r="E429" s="16">
        <v>0.02</v>
      </c>
      <c r="F429" s="15">
        <v>4.25</v>
      </c>
    </row>
    <row r="430" spans="1:6" x14ac:dyDescent="0.2">
      <c r="A430" s="38">
        <v>34486</v>
      </c>
      <c r="B430" s="37">
        <f>VLOOKUP(Table534567910[[#This Row],[Date]],Database!A:E,MATCH($A$1,Database!$A$1:$E$1,),)</f>
        <v>72.850999999999999</v>
      </c>
      <c r="C430" s="9">
        <f t="shared" si="6"/>
        <v>2.214885128628441E-3</v>
      </c>
      <c r="D430" s="7">
        <f>(Table534567910[[#This Row],[Value]]-B418)/B418</f>
        <v>2.2656765444923347E-2</v>
      </c>
      <c r="E430" s="16">
        <v>0.02</v>
      </c>
      <c r="F430" s="15">
        <v>4.25</v>
      </c>
    </row>
    <row r="431" spans="1:6" x14ac:dyDescent="0.2">
      <c r="A431" s="38">
        <v>34516</v>
      </c>
      <c r="B431" s="37">
        <f>VLOOKUP(Table534567910[[#This Row],[Date]],Database!A:E,MATCH($A$1,Database!$A$1:$E$1,),)</f>
        <v>73.004000000000005</v>
      </c>
      <c r="C431" s="9">
        <f t="shared" si="6"/>
        <v>2.1001770737533567E-3</v>
      </c>
      <c r="D431" s="7">
        <f>(Table534567910[[#This Row],[Value]]-B419)/B419</f>
        <v>2.2679834699166488E-2</v>
      </c>
      <c r="E431" s="16">
        <v>0.02</v>
      </c>
      <c r="F431" s="15">
        <v>4.25</v>
      </c>
    </row>
    <row r="432" spans="1:6" x14ac:dyDescent="0.2">
      <c r="A432" s="38">
        <v>34547</v>
      </c>
      <c r="B432" s="37">
        <f>VLOOKUP(Table534567910[[#This Row],[Date]],Database!A:E,MATCH($A$1,Database!$A$1:$E$1,),)</f>
        <v>73.085999999999999</v>
      </c>
      <c r="C432" s="9">
        <f t="shared" si="6"/>
        <v>1.1232261245958254E-3</v>
      </c>
      <c r="D432" s="7">
        <f>(Table534567910[[#This Row],[Value]]-B420)/B420</f>
        <v>2.1924550462820519E-2</v>
      </c>
      <c r="E432" s="16">
        <v>0.02</v>
      </c>
      <c r="F432" s="15">
        <v>4.75</v>
      </c>
    </row>
    <row r="433" spans="1:6" x14ac:dyDescent="0.2">
      <c r="A433" s="38">
        <v>34578</v>
      </c>
      <c r="B433" s="37">
        <f>VLOOKUP(Table534567910[[#This Row],[Date]],Database!A:E,MATCH($A$1,Database!$A$1:$E$1,),)</f>
        <v>73.197000000000003</v>
      </c>
      <c r="C433" s="9">
        <f t="shared" si="6"/>
        <v>1.5187587226008293E-3</v>
      </c>
      <c r="D433" s="7">
        <f>(Table534567910[[#This Row],[Value]]-B421)/B421</f>
        <v>2.1947643979057629E-2</v>
      </c>
      <c r="E433" s="16">
        <v>0.02</v>
      </c>
      <c r="F433" s="15">
        <v>4.75</v>
      </c>
    </row>
    <row r="434" spans="1:6" x14ac:dyDescent="0.2">
      <c r="A434" s="38">
        <v>34608</v>
      </c>
      <c r="B434" s="37">
        <f>VLOOKUP(Table534567910[[#This Row],[Date]],Database!A:E,MATCH($A$1,Database!$A$1:$E$1,),)</f>
        <v>73.369</v>
      </c>
      <c r="C434" s="9">
        <f t="shared" si="6"/>
        <v>2.3498230801808411E-3</v>
      </c>
      <c r="D434" s="7">
        <f>(Table534567910[[#This Row],[Value]]-B422)/B422</f>
        <v>2.2649977698483498E-2</v>
      </c>
      <c r="E434" s="16">
        <v>0.02</v>
      </c>
      <c r="F434" s="15">
        <v>4.75</v>
      </c>
    </row>
    <row r="435" spans="1:6" x14ac:dyDescent="0.2">
      <c r="A435" s="38">
        <v>34639</v>
      </c>
      <c r="B435" s="37">
        <f>VLOOKUP(Table534567910[[#This Row],[Date]],Database!A:E,MATCH($A$1,Database!$A$1:$E$1,),)</f>
        <v>73.503</v>
      </c>
      <c r="C435" s="9">
        <f t="shared" si="6"/>
        <v>1.8263844402949521E-3</v>
      </c>
      <c r="D435" s="7">
        <f>(Table534567910[[#This Row],[Value]]-B423)/B423</f>
        <v>2.1896896896896938E-2</v>
      </c>
      <c r="E435" s="16">
        <v>0.02</v>
      </c>
      <c r="F435" s="15">
        <v>5.5</v>
      </c>
    </row>
    <row r="436" spans="1:6" x14ac:dyDescent="0.2">
      <c r="A436" s="38">
        <v>34669</v>
      </c>
      <c r="B436" s="37">
        <f>VLOOKUP(Table534567910[[#This Row],[Date]],Database!A:E,MATCH($A$1,Database!$A$1:$E$1,),)</f>
        <v>73.528000000000006</v>
      </c>
      <c r="C436" s="9">
        <f t="shared" si="6"/>
        <v>3.4012217188421812E-4</v>
      </c>
      <c r="D436" s="7">
        <f>(Table534567910[[#This Row],[Value]]-B424)/B424</f>
        <v>2.1789883268482659E-2</v>
      </c>
      <c r="E436" s="16">
        <v>0.02</v>
      </c>
      <c r="F436" s="15">
        <v>5.5</v>
      </c>
    </row>
    <row r="437" spans="1:6" x14ac:dyDescent="0.2">
      <c r="A437" s="38">
        <v>34700</v>
      </c>
      <c r="B437" s="37">
        <f>VLOOKUP(Table534567910[[#This Row],[Date]],Database!A:E,MATCH($A$1,Database!$A$1:$E$1,),)</f>
        <v>73.710999999999999</v>
      </c>
      <c r="C437" s="9">
        <f t="shared" si="6"/>
        <v>2.4888477858773898E-3</v>
      </c>
      <c r="D437" s="7">
        <f>(Table534567910[[#This Row],[Value]]-B425)/B425</f>
        <v>2.350801188591738E-2</v>
      </c>
      <c r="E437" s="16">
        <v>0.02</v>
      </c>
      <c r="F437" s="15">
        <v>5.5</v>
      </c>
    </row>
    <row r="438" spans="1:6" x14ac:dyDescent="0.2">
      <c r="A438" s="38">
        <v>34731</v>
      </c>
      <c r="B438" s="37">
        <f>VLOOKUP(Table534567910[[#This Row],[Date]],Database!A:E,MATCH($A$1,Database!$A$1:$E$1,),)</f>
        <v>73.831000000000003</v>
      </c>
      <c r="C438" s="9">
        <f t="shared" si="6"/>
        <v>1.6279795417238206E-3</v>
      </c>
      <c r="D438" s="7">
        <f>(Table534567910[[#This Row],[Value]]-B426)/B426</f>
        <v>2.2972579773599563E-2</v>
      </c>
      <c r="E438" s="16">
        <v>0.02</v>
      </c>
      <c r="F438" s="15">
        <v>6</v>
      </c>
    </row>
    <row r="439" spans="1:6" x14ac:dyDescent="0.2">
      <c r="A439" s="38">
        <v>34759</v>
      </c>
      <c r="B439" s="37">
        <f>VLOOKUP(Table534567910[[#This Row],[Date]],Database!A:E,MATCH($A$1,Database!$A$1:$E$1,),)</f>
        <v>74.013000000000005</v>
      </c>
      <c r="C439" s="9">
        <f t="shared" si="6"/>
        <v>2.4650891901775969E-3</v>
      </c>
      <c r="D439" s="7">
        <f>(Table534567910[[#This Row],[Value]]-B427)/B427</f>
        <v>2.1996685998343049E-2</v>
      </c>
      <c r="E439" s="16">
        <v>0.02</v>
      </c>
      <c r="F439" s="15">
        <v>6</v>
      </c>
    </row>
    <row r="440" spans="1:6" x14ac:dyDescent="0.2">
      <c r="A440" s="38">
        <v>34790</v>
      </c>
      <c r="B440" s="37">
        <f>VLOOKUP(Table534567910[[#This Row],[Date]],Database!A:E,MATCH($A$1,Database!$A$1:$E$1,),)</f>
        <v>74.183999999999997</v>
      </c>
      <c r="C440" s="9">
        <f t="shared" si="6"/>
        <v>2.3104049288637436E-3</v>
      </c>
      <c r="D440" s="7">
        <f>(Table534567910[[#This Row],[Value]]-B428)/B428</f>
        <v>2.2832561217736483E-2</v>
      </c>
      <c r="E440" s="16">
        <v>0.02</v>
      </c>
      <c r="F440" s="15">
        <v>6</v>
      </c>
    </row>
    <row r="441" spans="1:6" x14ac:dyDescent="0.2">
      <c r="A441" s="38">
        <v>34820</v>
      </c>
      <c r="B441" s="37">
        <f>VLOOKUP(Table534567910[[#This Row],[Date]],Database!A:E,MATCH($A$1,Database!$A$1:$E$1,),)</f>
        <v>74.311000000000007</v>
      </c>
      <c r="C441" s="9">
        <f t="shared" si="6"/>
        <v>1.7119594521731042E-3</v>
      </c>
      <c r="D441" s="7">
        <f>(Table534567910[[#This Row],[Value]]-B429)/B429</f>
        <v>2.2300178841656478E-2</v>
      </c>
      <c r="E441" s="16">
        <v>0.02</v>
      </c>
      <c r="F441" s="15">
        <v>6</v>
      </c>
    </row>
    <row r="442" spans="1:6" x14ac:dyDescent="0.2">
      <c r="A442" s="38">
        <v>34851</v>
      </c>
      <c r="B442" s="37">
        <f>VLOOKUP(Table534567910[[#This Row],[Date]],Database!A:E,MATCH($A$1,Database!$A$1:$E$1,),)</f>
        <v>74.375</v>
      </c>
      <c r="C442" s="9">
        <f t="shared" si="6"/>
        <v>8.612453068858304E-4</v>
      </c>
      <c r="D442" s="7">
        <f>(Table534567910[[#This Row],[Value]]-B430)/B430</f>
        <v>2.0919410852287559E-2</v>
      </c>
      <c r="E442" s="16">
        <v>0.02</v>
      </c>
      <c r="F442" s="15">
        <v>6</v>
      </c>
    </row>
    <row r="443" spans="1:6" x14ac:dyDescent="0.2">
      <c r="A443" s="38">
        <v>34881</v>
      </c>
      <c r="B443" s="37">
        <f>VLOOKUP(Table534567910[[#This Row],[Date]],Database!A:E,MATCH($A$1,Database!$A$1:$E$1,),)</f>
        <v>74.492999999999995</v>
      </c>
      <c r="C443" s="9">
        <f t="shared" si="6"/>
        <v>1.5865546218486722E-3</v>
      </c>
      <c r="D443" s="7">
        <f>(Table534567910[[#This Row],[Value]]-B431)/B431</f>
        <v>2.0396142677113448E-2</v>
      </c>
      <c r="E443" s="16">
        <v>0.02</v>
      </c>
      <c r="F443" s="15">
        <v>5.75</v>
      </c>
    </row>
    <row r="444" spans="1:6" x14ac:dyDescent="0.2">
      <c r="A444" s="38">
        <v>34912</v>
      </c>
      <c r="B444" s="37">
        <f>VLOOKUP(Table534567910[[#This Row],[Date]],Database!A:E,MATCH($A$1,Database!$A$1:$E$1,),)</f>
        <v>74.671000000000006</v>
      </c>
      <c r="C444" s="9">
        <f t="shared" si="6"/>
        <v>2.3894862604541566E-3</v>
      </c>
      <c r="D444" s="7">
        <f>(Table534567910[[#This Row],[Value]]-B432)/B432</f>
        <v>2.1686779957857977E-2</v>
      </c>
      <c r="E444" s="16">
        <v>0.02</v>
      </c>
      <c r="F444" s="15">
        <v>5.75</v>
      </c>
    </row>
    <row r="445" spans="1:6" x14ac:dyDescent="0.2">
      <c r="A445" s="38">
        <v>34943</v>
      </c>
      <c r="B445" s="37">
        <f>VLOOKUP(Table534567910[[#This Row],[Date]],Database!A:E,MATCH($A$1,Database!$A$1:$E$1,),)</f>
        <v>74.77</v>
      </c>
      <c r="C445" s="9">
        <f t="shared" si="6"/>
        <v>1.3258159124692253E-3</v>
      </c>
      <c r="D445" s="7">
        <f>(Table534567910[[#This Row],[Value]]-B433)/B433</f>
        <v>2.1489951773979714E-2</v>
      </c>
      <c r="E445" s="16">
        <v>0.02</v>
      </c>
      <c r="F445" s="15">
        <v>5.75</v>
      </c>
    </row>
    <row r="446" spans="1:6" x14ac:dyDescent="0.2">
      <c r="A446" s="38">
        <v>34973</v>
      </c>
      <c r="B446" s="37">
        <f>VLOOKUP(Table534567910[[#This Row],[Date]],Database!A:E,MATCH($A$1,Database!$A$1:$E$1,),)</f>
        <v>74.951999999999998</v>
      </c>
      <c r="C446" s="9">
        <f t="shared" si="6"/>
        <v>2.4341313360973942E-3</v>
      </c>
      <c r="D446" s="7">
        <f>(Table534567910[[#This Row],[Value]]-B434)/B434</f>
        <v>2.1575869917812678E-2</v>
      </c>
      <c r="E446" s="16">
        <v>0.02</v>
      </c>
      <c r="F446" s="15">
        <v>5.75</v>
      </c>
    </row>
    <row r="447" spans="1:6" x14ac:dyDescent="0.2">
      <c r="A447" s="38">
        <v>35004</v>
      </c>
      <c r="B447" s="37">
        <f>VLOOKUP(Table534567910[[#This Row],[Date]],Database!A:E,MATCH($A$1,Database!$A$1:$E$1,),)</f>
        <v>75</v>
      </c>
      <c r="C447" s="9">
        <f t="shared" si="6"/>
        <v>6.4040986231190384E-4</v>
      </c>
      <c r="D447" s="7">
        <f>(Table534567910[[#This Row],[Value]]-B435)/B435</f>
        <v>2.0366515652422347E-2</v>
      </c>
      <c r="E447" s="16">
        <v>0.02</v>
      </c>
      <c r="F447" s="15">
        <v>5.75</v>
      </c>
    </row>
    <row r="448" spans="1:6" x14ac:dyDescent="0.2">
      <c r="A448" s="38">
        <v>35034</v>
      </c>
      <c r="B448" s="37">
        <f>VLOOKUP(Table534567910[[#This Row],[Date]],Database!A:E,MATCH($A$1,Database!$A$1:$E$1,),)</f>
        <v>75.105000000000004</v>
      </c>
      <c r="C448" s="9">
        <f t="shared" si="6"/>
        <v>1.4000000000000531E-3</v>
      </c>
      <c r="D448" s="7">
        <f>(Table534567910[[#This Row],[Value]]-B436)/B436</f>
        <v>2.1447611794146421E-2</v>
      </c>
      <c r="E448" s="16">
        <v>0.02</v>
      </c>
      <c r="F448" s="15">
        <v>5.5</v>
      </c>
    </row>
    <row r="449" spans="1:6" x14ac:dyDescent="0.2">
      <c r="A449" s="38">
        <v>35065</v>
      </c>
      <c r="B449" s="37">
        <f>VLOOKUP(Table534567910[[#This Row],[Date]],Database!A:E,MATCH($A$1,Database!$A$1:$E$1,),)</f>
        <v>75.19</v>
      </c>
      <c r="C449" s="9">
        <f t="shared" si="6"/>
        <v>1.1317488848943977E-3</v>
      </c>
      <c r="D449" s="7">
        <f>(Table534567910[[#This Row],[Value]]-B437)/B437</f>
        <v>2.006484785174532E-2</v>
      </c>
      <c r="E449" s="16">
        <v>0.02</v>
      </c>
      <c r="F449" s="15">
        <v>5.25</v>
      </c>
    </row>
    <row r="450" spans="1:6" x14ac:dyDescent="0.2">
      <c r="A450" s="38">
        <v>35096</v>
      </c>
      <c r="B450" s="37">
        <f>VLOOKUP(Table534567910[[#This Row],[Date]],Database!A:E,MATCH($A$1,Database!$A$1:$E$1,),)</f>
        <v>75.287999999999997</v>
      </c>
      <c r="C450" s="9">
        <f t="shared" si="6"/>
        <v>1.3033648091501395E-3</v>
      </c>
      <c r="D450" s="7">
        <f>(Table534567910[[#This Row],[Value]]-B438)/B438</f>
        <v>1.9734257967520333E-2</v>
      </c>
      <c r="E450" s="16">
        <v>0.02</v>
      </c>
      <c r="F450" s="15">
        <v>5.25</v>
      </c>
    </row>
    <row r="451" spans="1:6" x14ac:dyDescent="0.2">
      <c r="A451" s="38">
        <v>35125</v>
      </c>
      <c r="B451" s="37">
        <f>VLOOKUP(Table534567910[[#This Row],[Date]],Database!A:E,MATCH($A$1,Database!$A$1:$E$1,),)</f>
        <v>75.462000000000003</v>
      </c>
      <c r="C451" s="9">
        <f t="shared" si="6"/>
        <v>2.3111252789290008E-3</v>
      </c>
      <c r="D451" s="7">
        <f>(Table534567910[[#This Row],[Value]]-B439)/B439</f>
        <v>1.9577641765635739E-2</v>
      </c>
      <c r="E451" s="16">
        <v>0.02</v>
      </c>
      <c r="F451" s="15">
        <v>5.25</v>
      </c>
    </row>
    <row r="452" spans="1:6" x14ac:dyDescent="0.2">
      <c r="A452" s="38">
        <v>35156</v>
      </c>
      <c r="B452" s="37">
        <f>VLOOKUP(Table534567910[[#This Row],[Date]],Database!A:E,MATCH($A$1,Database!$A$1:$E$1,),)</f>
        <v>75.564999999999998</v>
      </c>
      <c r="C452" s="9">
        <f t="shared" si="6"/>
        <v>1.3649253929129154E-3</v>
      </c>
      <c r="D452" s="7">
        <f>(Table534567910[[#This Row],[Value]]-B440)/B440</f>
        <v>1.8615874042920311E-2</v>
      </c>
      <c r="E452" s="16">
        <v>0.02</v>
      </c>
      <c r="F452" s="15">
        <v>5.25</v>
      </c>
    </row>
    <row r="453" spans="1:6" x14ac:dyDescent="0.2">
      <c r="A453" s="38">
        <v>35186</v>
      </c>
      <c r="B453" s="37">
        <f>VLOOKUP(Table534567910[[#This Row],[Date]],Database!A:E,MATCH($A$1,Database!$A$1:$E$1,),)</f>
        <v>75.695999999999998</v>
      </c>
      <c r="C453" s="9">
        <f t="shared" si="6"/>
        <v>1.7336068285581979E-3</v>
      </c>
      <c r="D453" s="7">
        <f>(Table534567910[[#This Row],[Value]]-B441)/B441</f>
        <v>1.8637886719328103E-2</v>
      </c>
      <c r="E453" s="16">
        <v>0.02</v>
      </c>
      <c r="F453" s="15">
        <v>5.25</v>
      </c>
    </row>
    <row r="454" spans="1:6" x14ac:dyDescent="0.2">
      <c r="A454" s="38">
        <v>35217</v>
      </c>
      <c r="B454" s="37">
        <f>VLOOKUP(Table534567910[[#This Row],[Date]],Database!A:E,MATCH($A$1,Database!$A$1:$E$1,),)</f>
        <v>75.754000000000005</v>
      </c>
      <c r="C454" s="9">
        <f t="shared" ref="C454:C517" si="7">(B454-B453)/B453</f>
        <v>7.6622278588045522E-4</v>
      </c>
      <c r="D454" s="7">
        <f>(Table534567910[[#This Row],[Value]]-B442)/B442</f>
        <v>1.85411764705883E-2</v>
      </c>
      <c r="E454" s="16">
        <v>0.02</v>
      </c>
      <c r="F454" s="15">
        <v>5.25</v>
      </c>
    </row>
    <row r="455" spans="1:6" x14ac:dyDescent="0.2">
      <c r="A455" s="38">
        <v>35247</v>
      </c>
      <c r="B455" s="37">
        <f>VLOOKUP(Table534567910[[#This Row],[Date]],Database!A:E,MATCH($A$1,Database!$A$1:$E$1,),)</f>
        <v>75.897000000000006</v>
      </c>
      <c r="C455" s="9">
        <f t="shared" si="7"/>
        <v>1.8876890989254782E-3</v>
      </c>
      <c r="D455" s="7">
        <f>(Table534567910[[#This Row],[Value]]-B443)/B443</f>
        <v>1.8847408481333958E-2</v>
      </c>
      <c r="E455" s="16">
        <v>0.02</v>
      </c>
      <c r="F455" s="15">
        <v>5.25</v>
      </c>
    </row>
    <row r="456" spans="1:6" x14ac:dyDescent="0.2">
      <c r="A456" s="38">
        <v>35278</v>
      </c>
      <c r="B456" s="37">
        <f>VLOOKUP(Table534567910[[#This Row],[Date]],Database!A:E,MATCH($A$1,Database!$A$1:$E$1,),)</f>
        <v>75.962000000000003</v>
      </c>
      <c r="C456" s="9">
        <f t="shared" si="7"/>
        <v>8.5642383756930735E-4</v>
      </c>
      <c r="D456" s="7">
        <f>(Table534567910[[#This Row],[Value]]-B444)/B444</f>
        <v>1.7289175181797442E-2</v>
      </c>
      <c r="E456" s="16">
        <v>0.02</v>
      </c>
      <c r="F456" s="15">
        <v>5.25</v>
      </c>
    </row>
    <row r="457" spans="1:6" x14ac:dyDescent="0.2">
      <c r="A457" s="38">
        <v>35309</v>
      </c>
      <c r="B457" s="37">
        <f>VLOOKUP(Table534567910[[#This Row],[Date]],Database!A:E,MATCH($A$1,Database!$A$1:$E$1,),)</f>
        <v>76.191999999999993</v>
      </c>
      <c r="C457" s="9">
        <f t="shared" si="7"/>
        <v>3.0278297043257124E-3</v>
      </c>
      <c r="D457" s="7">
        <f>(Table534567910[[#This Row],[Value]]-B445)/B445</f>
        <v>1.9018322856760694E-2</v>
      </c>
      <c r="E457" s="16">
        <v>0.02</v>
      </c>
      <c r="F457" s="15">
        <v>5.25</v>
      </c>
    </row>
    <row r="458" spans="1:6" x14ac:dyDescent="0.2">
      <c r="A458" s="38">
        <v>35339</v>
      </c>
      <c r="B458" s="37">
        <f>VLOOKUP(Table534567910[[#This Row],[Date]],Database!A:E,MATCH($A$1,Database!$A$1:$E$1,),)</f>
        <v>76.373000000000005</v>
      </c>
      <c r="C458" s="9">
        <f t="shared" si="7"/>
        <v>2.3755774884503832E-3</v>
      </c>
      <c r="D458" s="7">
        <f>(Table534567910[[#This Row],[Value]]-B446)/B446</f>
        <v>1.8958800298858023E-2</v>
      </c>
      <c r="E458" s="16">
        <v>0.02</v>
      </c>
      <c r="F458" s="15">
        <v>5.25</v>
      </c>
    </row>
    <row r="459" spans="1:6" x14ac:dyDescent="0.2">
      <c r="A459" s="38">
        <v>35370</v>
      </c>
      <c r="B459" s="37">
        <f>VLOOKUP(Table534567910[[#This Row],[Date]],Database!A:E,MATCH($A$1,Database!$A$1:$E$1,),)</f>
        <v>76.472999999999999</v>
      </c>
      <c r="C459" s="9">
        <f t="shared" si="7"/>
        <v>1.3093632566482175E-3</v>
      </c>
      <c r="D459" s="7">
        <f>(Table534567910[[#This Row],[Value]]-B447)/B447</f>
        <v>1.9639999999999987E-2</v>
      </c>
      <c r="E459" s="16">
        <v>0.02</v>
      </c>
      <c r="F459" s="15">
        <v>5.25</v>
      </c>
    </row>
    <row r="460" spans="1:6" x14ac:dyDescent="0.2">
      <c r="A460" s="38">
        <v>35400</v>
      </c>
      <c r="B460" s="37">
        <f>VLOOKUP(Table534567910[[#This Row],[Date]],Database!A:E,MATCH($A$1,Database!$A$1:$E$1,),)</f>
        <v>76.503</v>
      </c>
      <c r="C460" s="9">
        <f t="shared" si="7"/>
        <v>3.9229531991684825E-4</v>
      </c>
      <c r="D460" s="7">
        <f>(Table534567910[[#This Row],[Value]]-B448)/B448</f>
        <v>1.8613940483323294E-2</v>
      </c>
      <c r="E460" s="16">
        <v>0.02</v>
      </c>
      <c r="F460" s="15">
        <v>5.25</v>
      </c>
    </row>
    <row r="461" spans="1:6" x14ac:dyDescent="0.2">
      <c r="A461" s="38">
        <v>35431</v>
      </c>
      <c r="B461" s="37">
        <f>VLOOKUP(Table534567910[[#This Row],[Date]],Database!A:E,MATCH($A$1,Database!$A$1:$E$1,),)</f>
        <v>76.584000000000003</v>
      </c>
      <c r="C461" s="9">
        <f t="shared" si="7"/>
        <v>1.0587820085487245E-3</v>
      </c>
      <c r="D461" s="7">
        <f>(Table534567910[[#This Row],[Value]]-B449)/B449</f>
        <v>1.8539699428115515E-2</v>
      </c>
      <c r="E461" s="16">
        <v>0.02</v>
      </c>
      <c r="F461" s="15">
        <v>5.25</v>
      </c>
    </row>
    <row r="462" spans="1:6" x14ac:dyDescent="0.2">
      <c r="A462" s="38">
        <v>35462</v>
      </c>
      <c r="B462" s="37">
        <f>VLOOKUP(Table534567910[[#This Row],[Date]],Database!A:E,MATCH($A$1,Database!$A$1:$E$1,),)</f>
        <v>76.741</v>
      </c>
      <c r="C462" s="9">
        <f t="shared" si="7"/>
        <v>2.0500365611615542E-3</v>
      </c>
      <c r="D462" s="7">
        <f>(Table534567910[[#This Row],[Value]]-B450)/B450</f>
        <v>1.9299224311975387E-2</v>
      </c>
      <c r="E462" s="16">
        <v>0.02</v>
      </c>
      <c r="F462" s="15">
        <v>5.25</v>
      </c>
    </row>
    <row r="463" spans="1:6" x14ac:dyDescent="0.2">
      <c r="A463" s="38">
        <v>35490</v>
      </c>
      <c r="B463" s="37">
        <f>VLOOKUP(Table534567910[[#This Row],[Date]],Database!A:E,MATCH($A$1,Database!$A$1:$E$1,),)</f>
        <v>76.924999999999997</v>
      </c>
      <c r="C463" s="9">
        <f t="shared" si="7"/>
        <v>2.3976752974289818E-3</v>
      </c>
      <c r="D463" s="7">
        <f>(Table534567910[[#This Row],[Value]]-B451)/B451</f>
        <v>1.9387241260501894E-2</v>
      </c>
      <c r="E463" s="16">
        <v>0.02</v>
      </c>
      <c r="F463" s="15">
        <v>5.5</v>
      </c>
    </row>
    <row r="464" spans="1:6" x14ac:dyDescent="0.2">
      <c r="A464" s="38">
        <v>35521</v>
      </c>
      <c r="B464" s="37">
        <f>VLOOKUP(Table534567910[[#This Row],[Date]],Database!A:E,MATCH($A$1,Database!$A$1:$E$1,),)</f>
        <v>77.075000000000003</v>
      </c>
      <c r="C464" s="9">
        <f t="shared" si="7"/>
        <v>1.9499512512187935E-3</v>
      </c>
      <c r="D464" s="7">
        <f>(Table534567910[[#This Row],[Value]]-B452)/B452</f>
        <v>1.9982796268113612E-2</v>
      </c>
      <c r="E464" s="16">
        <v>0.02</v>
      </c>
      <c r="F464" s="15">
        <v>5.5</v>
      </c>
    </row>
    <row r="465" spans="1:6" x14ac:dyDescent="0.2">
      <c r="A465" s="38">
        <v>35551</v>
      </c>
      <c r="B465" s="37">
        <f>VLOOKUP(Table534567910[[#This Row],[Date]],Database!A:E,MATCH($A$1,Database!$A$1:$E$1,),)</f>
        <v>77.131</v>
      </c>
      <c r="C465" s="9">
        <f t="shared" si="7"/>
        <v>7.2656503405770206E-4</v>
      </c>
      <c r="D465" s="7">
        <f>(Table534567910[[#This Row],[Value]]-B453)/B453</f>
        <v>1.8957408581695232E-2</v>
      </c>
      <c r="E465" s="16">
        <v>0.02</v>
      </c>
      <c r="F465" s="15">
        <v>5.5</v>
      </c>
    </row>
    <row r="466" spans="1:6" x14ac:dyDescent="0.2">
      <c r="A466" s="38">
        <v>35582</v>
      </c>
      <c r="B466" s="37">
        <f>VLOOKUP(Table534567910[[#This Row],[Date]],Database!A:E,MATCH($A$1,Database!$A$1:$E$1,),)</f>
        <v>77.245000000000005</v>
      </c>
      <c r="C466" s="9">
        <f t="shared" si="7"/>
        <v>1.4780049526131429E-3</v>
      </c>
      <c r="D466" s="7">
        <f>(Table534567910[[#This Row],[Value]]-B454)/B454</f>
        <v>1.9682128996488628E-2</v>
      </c>
      <c r="E466" s="16">
        <v>0.02</v>
      </c>
      <c r="F466" s="15">
        <v>5.5</v>
      </c>
    </row>
    <row r="467" spans="1:6" x14ac:dyDescent="0.2">
      <c r="A467" s="38">
        <v>35612</v>
      </c>
      <c r="B467" s="37">
        <f>VLOOKUP(Table534567910[[#This Row],[Date]],Database!A:E,MATCH($A$1,Database!$A$1:$E$1,),)</f>
        <v>77.296999999999997</v>
      </c>
      <c r="C467" s="9">
        <f t="shared" si="7"/>
        <v>6.7318273027370699E-4</v>
      </c>
      <c r="D467" s="7">
        <f>(Table534567910[[#This Row],[Value]]-B455)/B455</f>
        <v>1.8446051886108691E-2</v>
      </c>
      <c r="E467" s="16">
        <v>0.02</v>
      </c>
      <c r="F467" s="15">
        <v>5.5</v>
      </c>
    </row>
    <row r="468" spans="1:6" x14ac:dyDescent="0.2">
      <c r="A468" s="38">
        <v>35643</v>
      </c>
      <c r="B468" s="37">
        <f>VLOOKUP(Table534567910[[#This Row],[Date]],Database!A:E,MATCH($A$1,Database!$A$1:$E$1,),)</f>
        <v>77.266999999999996</v>
      </c>
      <c r="C468" s="9">
        <f t="shared" si="7"/>
        <v>-3.8811338085567538E-4</v>
      </c>
      <c r="D468" s="7">
        <f>(Table534567910[[#This Row],[Value]]-B456)/B456</f>
        <v>1.7179642452805254E-2</v>
      </c>
      <c r="E468" s="16">
        <v>0.02</v>
      </c>
      <c r="F468" s="15">
        <v>5.5</v>
      </c>
    </row>
    <row r="469" spans="1:6" x14ac:dyDescent="0.2">
      <c r="A469" s="38">
        <v>35674</v>
      </c>
      <c r="B469" s="37">
        <f>VLOOKUP(Table534567910[[#This Row],[Date]],Database!A:E,MATCH($A$1,Database!$A$1:$E$1,),)</f>
        <v>77.427000000000007</v>
      </c>
      <c r="C469" s="9">
        <f t="shared" si="7"/>
        <v>2.0707417137977506E-3</v>
      </c>
      <c r="D469" s="7">
        <f>(Table534567910[[#This Row],[Value]]-B457)/B457</f>
        <v>1.62090508189838E-2</v>
      </c>
      <c r="E469" s="16">
        <v>0.02</v>
      </c>
      <c r="F469" s="15">
        <v>5.5</v>
      </c>
    </row>
    <row r="470" spans="1:6" x14ac:dyDescent="0.2">
      <c r="A470" s="38">
        <v>35704</v>
      </c>
      <c r="B470" s="37">
        <f>VLOOKUP(Table534567910[[#This Row],[Date]],Database!A:E,MATCH($A$1,Database!$A$1:$E$1,),)</f>
        <v>77.545000000000002</v>
      </c>
      <c r="C470" s="9">
        <f t="shared" si="7"/>
        <v>1.5240161700698076E-3</v>
      </c>
      <c r="D470" s="7">
        <f>(Table534567910[[#This Row],[Value]]-B458)/B458</f>
        <v>1.5345737367917943E-2</v>
      </c>
      <c r="E470" s="16">
        <v>0.02</v>
      </c>
      <c r="F470" s="15">
        <v>5.5</v>
      </c>
    </row>
    <row r="471" spans="1:6" x14ac:dyDescent="0.2">
      <c r="A471" s="38">
        <v>35735</v>
      </c>
      <c r="B471" s="37">
        <f>VLOOKUP(Table534567910[[#This Row],[Date]],Database!A:E,MATCH($A$1,Database!$A$1:$E$1,),)</f>
        <v>77.567999999999998</v>
      </c>
      <c r="C471" s="9">
        <f t="shared" si="7"/>
        <v>2.966019730478578E-4</v>
      </c>
      <c r="D471" s="7">
        <f>(Table534567910[[#This Row],[Value]]-B459)/B459</f>
        <v>1.4318779176964403E-2</v>
      </c>
      <c r="E471" s="16">
        <v>0.02</v>
      </c>
      <c r="F471" s="15">
        <v>5.5</v>
      </c>
    </row>
    <row r="472" spans="1:6" x14ac:dyDescent="0.2">
      <c r="A472" s="38">
        <v>35765</v>
      </c>
      <c r="B472" s="37">
        <f>VLOOKUP(Table534567910[[#This Row],[Date]],Database!A:E,MATCH($A$1,Database!$A$1:$E$1,),)</f>
        <v>77.613</v>
      </c>
      <c r="C472" s="9">
        <f t="shared" si="7"/>
        <v>5.8013613861388337E-4</v>
      </c>
      <c r="D472" s="7">
        <f>(Table534567910[[#This Row],[Value]]-B460)/B460</f>
        <v>1.4509234931963445E-2</v>
      </c>
      <c r="E472" s="16">
        <v>0.02</v>
      </c>
      <c r="F472" s="15">
        <v>5.5</v>
      </c>
    </row>
    <row r="473" spans="1:6" x14ac:dyDescent="0.2">
      <c r="A473" s="38">
        <v>35796</v>
      </c>
      <c r="B473" s="37">
        <f>VLOOKUP(Table534567910[[#This Row],[Date]],Database!A:E,MATCH($A$1,Database!$A$1:$E$1,),)</f>
        <v>77.731999999999999</v>
      </c>
      <c r="C473" s="9">
        <f t="shared" si="7"/>
        <v>1.5332482960328782E-3</v>
      </c>
      <c r="D473" s="7">
        <f>(Table534567910[[#This Row],[Value]]-B461)/B461</f>
        <v>1.4990076256137E-2</v>
      </c>
      <c r="E473" s="16">
        <v>0.02</v>
      </c>
      <c r="F473" s="15">
        <v>5.5</v>
      </c>
    </row>
    <row r="474" spans="1:6" x14ac:dyDescent="0.2">
      <c r="A474" s="38">
        <v>35827</v>
      </c>
      <c r="B474" s="37">
        <f>VLOOKUP(Table534567910[[#This Row],[Date]],Database!A:E,MATCH($A$1,Database!$A$1:$E$1,),)</f>
        <v>77.798000000000002</v>
      </c>
      <c r="C474" s="9">
        <f t="shared" si="7"/>
        <v>8.4907116760153483E-4</v>
      </c>
      <c r="D474" s="7">
        <f>(Table534567910[[#This Row],[Value]]-B462)/B462</f>
        <v>1.3773602116209096E-2</v>
      </c>
      <c r="E474" s="16">
        <v>0.02</v>
      </c>
      <c r="F474" s="15">
        <v>5.5</v>
      </c>
    </row>
    <row r="475" spans="1:6" x14ac:dyDescent="0.2">
      <c r="A475" s="38">
        <v>35855</v>
      </c>
      <c r="B475" s="37">
        <f>VLOOKUP(Table534567910[[#This Row],[Date]],Database!A:E,MATCH($A$1,Database!$A$1:$E$1,),)</f>
        <v>77.881</v>
      </c>
      <c r="C475" s="9">
        <f t="shared" si="7"/>
        <v>1.0668654721200854E-3</v>
      </c>
      <c r="D475" s="7">
        <f>(Table534567910[[#This Row],[Value]]-B463)/B463</f>
        <v>1.2427689307767347E-2</v>
      </c>
      <c r="E475" s="16">
        <v>0.02</v>
      </c>
      <c r="F475" s="15">
        <v>5.5</v>
      </c>
    </row>
    <row r="476" spans="1:6" x14ac:dyDescent="0.2">
      <c r="A476" s="38">
        <v>35886</v>
      </c>
      <c r="B476" s="37">
        <f>VLOOKUP(Table534567910[[#This Row],[Date]],Database!A:E,MATCH($A$1,Database!$A$1:$E$1,),)</f>
        <v>78.024000000000001</v>
      </c>
      <c r="C476" s="9">
        <f t="shared" si="7"/>
        <v>1.8361346156315491E-3</v>
      </c>
      <c r="D476" s="7">
        <f>(Table534567910[[#This Row],[Value]]-B464)/B464</f>
        <v>1.2312682452156965E-2</v>
      </c>
      <c r="E476" s="16">
        <v>0.02</v>
      </c>
      <c r="F476" s="15">
        <v>5.5</v>
      </c>
    </row>
    <row r="477" spans="1:6" x14ac:dyDescent="0.2">
      <c r="A477" s="38">
        <v>35916</v>
      </c>
      <c r="B477" s="37">
        <f>VLOOKUP(Table534567910[[#This Row],[Date]],Database!A:E,MATCH($A$1,Database!$A$1:$E$1,),)</f>
        <v>78.099999999999994</v>
      </c>
      <c r="C477" s="9">
        <f t="shared" si="7"/>
        <v>9.7405926381617712E-4</v>
      </c>
      <c r="D477" s="7">
        <f>(Table534567910[[#This Row],[Value]]-B465)/B465</f>
        <v>1.2563042097211161E-2</v>
      </c>
      <c r="E477" s="16">
        <v>0.02</v>
      </c>
      <c r="F477" s="15">
        <v>5.5</v>
      </c>
    </row>
    <row r="478" spans="1:6" x14ac:dyDescent="0.2">
      <c r="A478" s="38">
        <v>35947</v>
      </c>
      <c r="B478" s="37">
        <f>VLOOKUP(Table534567910[[#This Row],[Date]],Database!A:E,MATCH($A$1,Database!$A$1:$E$1,),)</f>
        <v>78.001999999999995</v>
      </c>
      <c r="C478" s="9">
        <f t="shared" si="7"/>
        <v>-1.2548015364916643E-3</v>
      </c>
      <c r="D478" s="7">
        <f>(Table534567910[[#This Row],[Value]]-B466)/B466</f>
        <v>9.7999870541781442E-3</v>
      </c>
      <c r="E478" s="16">
        <v>0.02</v>
      </c>
      <c r="F478" s="15">
        <v>5.5</v>
      </c>
    </row>
    <row r="479" spans="1:6" x14ac:dyDescent="0.2">
      <c r="A479" s="38">
        <v>35977</v>
      </c>
      <c r="B479" s="37">
        <f>VLOOKUP(Table534567910[[#This Row],[Date]],Database!A:E,MATCH($A$1,Database!$A$1:$E$1,),)</f>
        <v>78.221999999999994</v>
      </c>
      <c r="C479" s="9">
        <f t="shared" si="7"/>
        <v>2.8204405015255876E-3</v>
      </c>
      <c r="D479" s="7">
        <f>(Table534567910[[#This Row],[Value]]-B467)/B467</f>
        <v>1.1966829243049501E-2</v>
      </c>
      <c r="E479" s="16">
        <v>0.02</v>
      </c>
      <c r="F479" s="15">
        <v>5.5</v>
      </c>
    </row>
    <row r="480" spans="1:6" x14ac:dyDescent="0.2">
      <c r="A480" s="38">
        <v>36008</v>
      </c>
      <c r="B480" s="37">
        <f>VLOOKUP(Table534567910[[#This Row],[Date]],Database!A:E,MATCH($A$1,Database!$A$1:$E$1,),)</f>
        <v>78.375</v>
      </c>
      <c r="C480" s="9">
        <f t="shared" si="7"/>
        <v>1.9559714658281021E-3</v>
      </c>
      <c r="D480" s="7">
        <f>(Table534567910[[#This Row],[Value]]-B468)/B468</f>
        <v>1.433988636804851E-2</v>
      </c>
      <c r="E480" s="16">
        <v>0.02</v>
      </c>
      <c r="F480" s="15">
        <v>5.5</v>
      </c>
    </row>
    <row r="481" spans="1:6" x14ac:dyDescent="0.2">
      <c r="A481" s="38">
        <v>36039</v>
      </c>
      <c r="B481" s="37">
        <f>VLOOKUP(Table534567910[[#This Row],[Date]],Database!A:E,MATCH($A$1,Database!$A$1:$E$1,),)</f>
        <v>78.361000000000004</v>
      </c>
      <c r="C481" s="9">
        <f t="shared" si="7"/>
        <v>-1.7862838915465128E-4</v>
      </c>
      <c r="D481" s="7">
        <f>(Table534567910[[#This Row],[Value]]-B469)/B469</f>
        <v>1.2062975447841158E-2</v>
      </c>
      <c r="E481" s="16">
        <v>0.02</v>
      </c>
      <c r="F481" s="15">
        <v>5.25</v>
      </c>
    </row>
    <row r="482" spans="1:6" x14ac:dyDescent="0.2">
      <c r="A482" s="38">
        <v>36069</v>
      </c>
      <c r="B482" s="37">
        <f>VLOOKUP(Table534567910[[#This Row],[Date]],Database!A:E,MATCH($A$1,Database!$A$1:$E$1,),)</f>
        <v>78.513999999999996</v>
      </c>
      <c r="C482" s="9">
        <f t="shared" si="7"/>
        <v>1.9525018823137988E-3</v>
      </c>
      <c r="D482" s="7">
        <f>(Table534567910[[#This Row],[Value]]-B470)/B470</f>
        <v>1.249597008188786E-2</v>
      </c>
      <c r="E482" s="16">
        <v>0.02</v>
      </c>
      <c r="F482" s="15">
        <v>5</v>
      </c>
    </row>
    <row r="483" spans="1:6" x14ac:dyDescent="0.2">
      <c r="A483" s="38">
        <v>36100</v>
      </c>
      <c r="B483" s="37">
        <f>VLOOKUP(Table534567910[[#This Row],[Date]],Database!A:E,MATCH($A$1,Database!$A$1:$E$1,),)</f>
        <v>78.528000000000006</v>
      </c>
      <c r="C483" s="9">
        <f t="shared" si="7"/>
        <v>1.7831214815204938E-4</v>
      </c>
      <c r="D483" s="7">
        <f>(Table534567910[[#This Row],[Value]]-B471)/B471</f>
        <v>1.2376237623762479E-2</v>
      </c>
      <c r="E483" s="16">
        <v>0.02</v>
      </c>
      <c r="F483" s="15">
        <v>4.75</v>
      </c>
    </row>
    <row r="484" spans="1:6" x14ac:dyDescent="0.2">
      <c r="A484" s="38">
        <v>36130</v>
      </c>
      <c r="B484" s="37">
        <f>VLOOKUP(Table534567910[[#This Row],[Date]],Database!A:E,MATCH($A$1,Database!$A$1:$E$1,),)</f>
        <v>78.662999999999997</v>
      </c>
      <c r="C484" s="9">
        <f t="shared" si="7"/>
        <v>1.7191320293397374E-3</v>
      </c>
      <c r="D484" s="7">
        <f>(Table534567910[[#This Row],[Value]]-B472)/B472</f>
        <v>1.3528661435584208E-2</v>
      </c>
      <c r="E484" s="16">
        <v>0.02</v>
      </c>
      <c r="F484" s="15">
        <v>4.75</v>
      </c>
    </row>
    <row r="485" spans="1:6" x14ac:dyDescent="0.2">
      <c r="A485" s="38">
        <v>36161</v>
      </c>
      <c r="B485" s="37">
        <f>VLOOKUP(Table534567910[[#This Row],[Date]],Database!A:E,MATCH($A$1,Database!$A$1:$E$1,),)</f>
        <v>78.775999999999996</v>
      </c>
      <c r="C485" s="9">
        <f t="shared" si="7"/>
        <v>1.4365076338303847E-3</v>
      </c>
      <c r="D485" s="7">
        <f>(Table534567910[[#This Row],[Value]]-B473)/B473</f>
        <v>1.3430762105696456E-2</v>
      </c>
      <c r="E485" s="16">
        <v>0.02</v>
      </c>
      <c r="F485" s="15">
        <v>4.75</v>
      </c>
    </row>
    <row r="486" spans="1:6" x14ac:dyDescent="0.2">
      <c r="A486" s="38">
        <v>36192</v>
      </c>
      <c r="B486" s="37">
        <f>VLOOKUP(Table534567910[[#This Row],[Date]],Database!A:E,MATCH($A$1,Database!$A$1:$E$1,),)</f>
        <v>78.748999999999995</v>
      </c>
      <c r="C486" s="9">
        <f t="shared" si="7"/>
        <v>-3.4274398293897919E-4</v>
      </c>
      <c r="D486" s="7">
        <f>(Table534567910[[#This Row],[Value]]-B474)/B474</f>
        <v>1.2223964626339923E-2</v>
      </c>
      <c r="E486" s="16">
        <v>0.02</v>
      </c>
      <c r="F486" s="15">
        <v>4.75</v>
      </c>
    </row>
    <row r="487" spans="1:6" x14ac:dyDescent="0.2">
      <c r="A487" s="38">
        <v>36220</v>
      </c>
      <c r="B487" s="37">
        <f>VLOOKUP(Table534567910[[#This Row],[Date]],Database!A:E,MATCH($A$1,Database!$A$1:$E$1,),)</f>
        <v>78.772999999999996</v>
      </c>
      <c r="C487" s="9">
        <f t="shared" si="7"/>
        <v>3.0476577480350112E-4</v>
      </c>
      <c r="D487" s="7">
        <f>(Table534567910[[#This Row],[Value]]-B475)/B475</f>
        <v>1.1453371168834452E-2</v>
      </c>
      <c r="E487" s="16">
        <v>0.02</v>
      </c>
      <c r="F487" s="15">
        <v>4.75</v>
      </c>
    </row>
    <row r="488" spans="1:6" x14ac:dyDescent="0.2">
      <c r="A488" s="38">
        <v>36251</v>
      </c>
      <c r="B488" s="37">
        <f>VLOOKUP(Table534567910[[#This Row],[Date]],Database!A:E,MATCH($A$1,Database!$A$1:$E$1,),)</f>
        <v>78.974999999999994</v>
      </c>
      <c r="C488" s="9">
        <f t="shared" si="7"/>
        <v>2.56433041778272E-3</v>
      </c>
      <c r="D488" s="7">
        <f>(Table534567910[[#This Row],[Value]]-B476)/B476</f>
        <v>1.2188557366963927E-2</v>
      </c>
      <c r="E488" s="16">
        <v>0.02</v>
      </c>
      <c r="F488" s="15">
        <v>4.75</v>
      </c>
    </row>
    <row r="489" spans="1:6" x14ac:dyDescent="0.2">
      <c r="A489" s="38">
        <v>36281</v>
      </c>
      <c r="B489" s="37">
        <f>VLOOKUP(Table534567910[[#This Row],[Date]],Database!A:E,MATCH($A$1,Database!$A$1:$E$1,),)</f>
        <v>79.051000000000002</v>
      </c>
      <c r="C489" s="9">
        <f t="shared" si="7"/>
        <v>9.6232985121883668E-4</v>
      </c>
      <c r="D489" s="7">
        <f>(Table534567910[[#This Row],[Value]]-B477)/B477</f>
        <v>1.2176696542893824E-2</v>
      </c>
      <c r="E489" s="16">
        <v>0.02</v>
      </c>
      <c r="F489" s="15">
        <v>4.75</v>
      </c>
    </row>
    <row r="490" spans="1:6" x14ac:dyDescent="0.2">
      <c r="A490" s="38">
        <v>36312</v>
      </c>
      <c r="B490" s="37">
        <f>VLOOKUP(Table534567910[[#This Row],[Date]],Database!A:E,MATCH($A$1,Database!$A$1:$E$1,),)</f>
        <v>79.091999999999999</v>
      </c>
      <c r="C490" s="9">
        <f t="shared" si="7"/>
        <v>5.1865251546465976E-4</v>
      </c>
      <c r="D490" s="7">
        <f>(Table534567910[[#This Row],[Value]]-B478)/B478</f>
        <v>1.3974000666649618E-2</v>
      </c>
      <c r="E490" s="16">
        <v>0.02</v>
      </c>
      <c r="F490" s="15">
        <v>5</v>
      </c>
    </row>
    <row r="491" spans="1:6" x14ac:dyDescent="0.2">
      <c r="A491" s="38">
        <v>36342</v>
      </c>
      <c r="B491" s="37">
        <f>VLOOKUP(Table534567910[[#This Row],[Date]],Database!A:E,MATCH($A$1,Database!$A$1:$E$1,),)</f>
        <v>79.234999999999999</v>
      </c>
      <c r="C491" s="9">
        <f t="shared" si="7"/>
        <v>1.8080210387902782E-3</v>
      </c>
      <c r="D491" s="7">
        <f>(Table534567910[[#This Row],[Value]]-B479)/B479</f>
        <v>1.2950320881593482E-2</v>
      </c>
      <c r="E491" s="16">
        <v>0.02</v>
      </c>
      <c r="F491" s="15">
        <v>5</v>
      </c>
    </row>
    <row r="492" spans="1:6" x14ac:dyDescent="0.2">
      <c r="A492" s="38">
        <v>36373</v>
      </c>
      <c r="B492" s="37">
        <f>VLOOKUP(Table534567910[[#This Row],[Date]],Database!A:E,MATCH($A$1,Database!$A$1:$E$1,),)</f>
        <v>79.272999999999996</v>
      </c>
      <c r="C492" s="9">
        <f t="shared" si="7"/>
        <v>4.7958604152201304E-4</v>
      </c>
      <c r="D492" s="7">
        <f>(Table534567910[[#This Row],[Value]]-B480)/B480</f>
        <v>1.1457735247208882E-2</v>
      </c>
      <c r="E492" s="16">
        <v>0.02</v>
      </c>
      <c r="F492" s="15">
        <v>5.25</v>
      </c>
    </row>
    <row r="493" spans="1:6" x14ac:dyDescent="0.2">
      <c r="A493" s="38">
        <v>36404</v>
      </c>
      <c r="B493" s="37">
        <f>VLOOKUP(Table534567910[[#This Row],[Date]],Database!A:E,MATCH($A$1,Database!$A$1:$E$1,),)</f>
        <v>79.483000000000004</v>
      </c>
      <c r="C493" s="9">
        <f t="shared" si="7"/>
        <v>2.6490734550226177E-3</v>
      </c>
      <c r="D493" s="7">
        <f>(Table534567910[[#This Row],[Value]]-B481)/B481</f>
        <v>1.4318347136968643E-2</v>
      </c>
      <c r="E493" s="16">
        <v>0.02</v>
      </c>
      <c r="F493" s="15">
        <v>5.25</v>
      </c>
    </row>
    <row r="494" spans="1:6" x14ac:dyDescent="0.2">
      <c r="A494" s="38">
        <v>36434</v>
      </c>
      <c r="B494" s="37">
        <f>VLOOKUP(Table534567910[[#This Row],[Date]],Database!A:E,MATCH($A$1,Database!$A$1:$E$1,),)</f>
        <v>79.619</v>
      </c>
      <c r="C494" s="9">
        <f t="shared" si="7"/>
        <v>1.7110577104537533E-3</v>
      </c>
      <c r="D494" s="7">
        <f>(Table534567910[[#This Row],[Value]]-B482)/B482</f>
        <v>1.4073923121991034E-2</v>
      </c>
      <c r="E494" s="16">
        <v>0.02</v>
      </c>
      <c r="F494" s="15">
        <v>5.25</v>
      </c>
    </row>
    <row r="495" spans="1:6" x14ac:dyDescent="0.2">
      <c r="A495" s="38">
        <v>36465</v>
      </c>
      <c r="B495" s="37">
        <f>VLOOKUP(Table534567910[[#This Row],[Date]],Database!A:E,MATCH($A$1,Database!$A$1:$E$1,),)</f>
        <v>79.694999999999993</v>
      </c>
      <c r="C495" s="9">
        <f t="shared" si="7"/>
        <v>9.5454602544610466E-4</v>
      </c>
      <c r="D495" s="7">
        <f>(Table534567910[[#This Row],[Value]]-B483)/B483</f>
        <v>1.4860941320293237E-2</v>
      </c>
      <c r="E495" s="16">
        <v>0.02</v>
      </c>
      <c r="F495" s="15">
        <v>5.5</v>
      </c>
    </row>
    <row r="496" spans="1:6" x14ac:dyDescent="0.2">
      <c r="A496" s="38">
        <v>36495</v>
      </c>
      <c r="B496" s="37">
        <f>VLOOKUP(Table534567910[[#This Row],[Date]],Database!A:E,MATCH($A$1,Database!$A$1:$E$1,),)</f>
        <v>79.796000000000006</v>
      </c>
      <c r="C496" s="9">
        <f t="shared" si="7"/>
        <v>1.2673317021144779E-3</v>
      </c>
      <c r="D496" s="7">
        <f>(Table534567910[[#This Row],[Value]]-B484)/B484</f>
        <v>1.4403213709113686E-2</v>
      </c>
      <c r="E496" s="16">
        <v>0.02</v>
      </c>
      <c r="F496" s="15">
        <v>5.5</v>
      </c>
    </row>
    <row r="497" spans="1:11" x14ac:dyDescent="0.2">
      <c r="A497" s="38">
        <v>36526</v>
      </c>
      <c r="B497" s="37">
        <f>VLOOKUP(Table534567910[[#This Row],[Date]],Database!A:E,MATCH($A$1,Database!$A$1:$E$1,),)</f>
        <v>79.986999999999995</v>
      </c>
      <c r="C497" s="9">
        <f t="shared" si="7"/>
        <v>2.3936036894078435E-3</v>
      </c>
      <c r="D497" s="7">
        <f>(Table534567910[[#This Row],[Value]]-B485)/B485</f>
        <v>1.5372702345892131E-2</v>
      </c>
      <c r="E497" s="16">
        <v>0.02</v>
      </c>
      <c r="F497" s="15">
        <v>5.5</v>
      </c>
      <c r="K497" s="33"/>
    </row>
    <row r="498" spans="1:11" x14ac:dyDescent="0.2">
      <c r="A498" s="38">
        <v>36557</v>
      </c>
      <c r="B498" s="37">
        <f>VLOOKUP(Table534567910[[#This Row],[Date]],Database!A:E,MATCH($A$1,Database!$A$1:$E$1,),)</f>
        <v>80.105999999999995</v>
      </c>
      <c r="C498" s="9">
        <f t="shared" si="7"/>
        <v>1.487741758035678E-3</v>
      </c>
      <c r="D498" s="7">
        <f>(Table534567910[[#This Row],[Value]]-B486)/B486</f>
        <v>1.7231964850347298E-2</v>
      </c>
      <c r="E498" s="16">
        <v>0.02</v>
      </c>
      <c r="F498" s="15">
        <v>5.75</v>
      </c>
    </row>
    <row r="499" spans="1:11" x14ac:dyDescent="0.2">
      <c r="A499" s="38">
        <v>36586</v>
      </c>
      <c r="B499" s="37">
        <f>VLOOKUP(Table534567910[[#This Row],[Date]],Database!A:E,MATCH($A$1,Database!$A$1:$E$1,),)</f>
        <v>80.27</v>
      </c>
      <c r="C499" s="9">
        <f t="shared" si="7"/>
        <v>2.0472873442688622E-3</v>
      </c>
      <c r="D499" s="7">
        <f>(Table534567910[[#This Row],[Value]]-B487)/B487</f>
        <v>1.9003973442677059E-2</v>
      </c>
      <c r="E499" s="16">
        <v>0.02</v>
      </c>
      <c r="F499" s="15">
        <v>6</v>
      </c>
    </row>
    <row r="500" spans="1:11" x14ac:dyDescent="0.2">
      <c r="A500" s="38">
        <v>36617</v>
      </c>
      <c r="B500" s="37">
        <f>VLOOKUP(Table534567910[[#This Row],[Date]],Database!A:E,MATCH($A$1,Database!$A$1:$E$1,),)</f>
        <v>80.322999999999993</v>
      </c>
      <c r="C500" s="9">
        <f t="shared" si="7"/>
        <v>6.6027158340597081E-4</v>
      </c>
      <c r="D500" s="7">
        <f>(Table534567910[[#This Row],[Value]]-B488)/B488</f>
        <v>1.7068692624248167E-2</v>
      </c>
      <c r="E500" s="16">
        <v>0.02</v>
      </c>
      <c r="F500" s="15">
        <v>6</v>
      </c>
    </row>
    <row r="501" spans="1:11" x14ac:dyDescent="0.2">
      <c r="A501" s="38">
        <v>36647</v>
      </c>
      <c r="B501" s="37">
        <f>VLOOKUP(Table534567910[[#This Row],[Date]],Database!A:E,MATCH($A$1,Database!$A$1:$E$1,),)</f>
        <v>80.409000000000006</v>
      </c>
      <c r="C501" s="9">
        <f t="shared" si="7"/>
        <v>1.0706771410431974E-3</v>
      </c>
      <c r="D501" s="7">
        <f>(Table534567910[[#This Row],[Value]]-B489)/B489</f>
        <v>1.7178783317099138E-2</v>
      </c>
      <c r="E501" s="16">
        <v>0.02</v>
      </c>
      <c r="F501" s="15">
        <v>6.5</v>
      </c>
    </row>
    <row r="502" spans="1:11" x14ac:dyDescent="0.2">
      <c r="A502" s="38">
        <v>36678</v>
      </c>
      <c r="B502" s="37">
        <f>VLOOKUP(Table534567910[[#This Row],[Date]],Database!A:E,MATCH($A$1,Database!$A$1:$E$1,),)</f>
        <v>80.47</v>
      </c>
      <c r="C502" s="9">
        <f t="shared" si="7"/>
        <v>7.5862154733913909E-4</v>
      </c>
      <c r="D502" s="7">
        <f>(Table534567910[[#This Row],[Value]]-B490)/B490</f>
        <v>1.7422748191978962E-2</v>
      </c>
      <c r="E502" s="16">
        <v>0.02</v>
      </c>
      <c r="F502" s="15">
        <v>6.5</v>
      </c>
    </row>
    <row r="503" spans="1:11" x14ac:dyDescent="0.2">
      <c r="A503" s="38">
        <v>36708</v>
      </c>
      <c r="B503" s="37">
        <f>VLOOKUP(Table534567910[[#This Row],[Date]],Database!A:E,MATCH($A$1,Database!$A$1:$E$1,),)</f>
        <v>80.653999999999996</v>
      </c>
      <c r="C503" s="9">
        <f t="shared" si="7"/>
        <v>2.2865664222691375E-3</v>
      </c>
      <c r="D503" s="7">
        <f>(Table534567910[[#This Row],[Value]]-B491)/B491</f>
        <v>1.790875244525774E-2</v>
      </c>
      <c r="E503" s="16">
        <v>0.02</v>
      </c>
      <c r="F503" s="15">
        <v>6.5</v>
      </c>
    </row>
    <row r="504" spans="1:11" x14ac:dyDescent="0.2">
      <c r="A504" s="38">
        <v>36739</v>
      </c>
      <c r="B504" s="37">
        <f>VLOOKUP(Table534567910[[#This Row],[Date]],Database!A:E,MATCH($A$1,Database!$A$1:$E$1,),)</f>
        <v>80.757000000000005</v>
      </c>
      <c r="C504" s="9">
        <f t="shared" si="7"/>
        <v>1.2770600342203566E-3</v>
      </c>
      <c r="D504" s="7">
        <f>(Table534567910[[#This Row],[Value]]-B492)/B492</f>
        <v>1.8720119082159235E-2</v>
      </c>
      <c r="E504" s="16">
        <v>0.02</v>
      </c>
      <c r="F504" s="15">
        <v>6.5</v>
      </c>
    </row>
    <row r="505" spans="1:11" x14ac:dyDescent="0.2">
      <c r="A505" s="38">
        <v>36770</v>
      </c>
      <c r="B505" s="37">
        <f>VLOOKUP(Table534567910[[#This Row],[Date]],Database!A:E,MATCH($A$1,Database!$A$1:$E$1,),)</f>
        <v>80.953000000000003</v>
      </c>
      <c r="C505" s="9">
        <f t="shared" si="7"/>
        <v>2.4270341889866876E-3</v>
      </c>
      <c r="D505" s="7">
        <f>(Table534567910[[#This Row],[Value]]-B493)/B493</f>
        <v>1.8494520840934524E-2</v>
      </c>
      <c r="E505" s="16">
        <v>0.02</v>
      </c>
      <c r="F505" s="15">
        <v>6.5</v>
      </c>
    </row>
    <row r="506" spans="1:11" x14ac:dyDescent="0.2">
      <c r="A506" s="38">
        <v>36800</v>
      </c>
      <c r="B506" s="37">
        <f>VLOOKUP(Table534567910[[#This Row],[Date]],Database!A:E,MATCH($A$1,Database!$A$1:$E$1,),)</f>
        <v>81.066999999999993</v>
      </c>
      <c r="C506" s="9">
        <f t="shared" si="7"/>
        <v>1.4082245253417428E-3</v>
      </c>
      <c r="D506" s="7">
        <f>(Table534567910[[#This Row],[Value]]-B494)/B494</f>
        <v>1.8186613747974645E-2</v>
      </c>
      <c r="E506" s="16">
        <v>0.02</v>
      </c>
      <c r="F506" s="15">
        <v>6.5</v>
      </c>
    </row>
    <row r="507" spans="1:11" x14ac:dyDescent="0.2">
      <c r="A507" s="38">
        <v>36831</v>
      </c>
      <c r="B507" s="37">
        <f>VLOOKUP(Table534567910[[#This Row],[Date]],Database!A:E,MATCH($A$1,Database!$A$1:$E$1,),)</f>
        <v>81.209999999999994</v>
      </c>
      <c r="C507" s="9">
        <f t="shared" si="7"/>
        <v>1.7639730099794084E-3</v>
      </c>
      <c r="D507" s="7">
        <f>(Table534567910[[#This Row],[Value]]-B495)/B495</f>
        <v>1.9009975531714671E-2</v>
      </c>
      <c r="E507" s="16">
        <v>0.02</v>
      </c>
      <c r="F507" s="15">
        <v>6.5</v>
      </c>
    </row>
    <row r="508" spans="1:11" x14ac:dyDescent="0.2">
      <c r="A508" s="38">
        <v>36861</v>
      </c>
      <c r="B508" s="37">
        <f>VLOOKUP(Table534567910[[#This Row],[Date]],Database!A:E,MATCH($A$1,Database!$A$1:$E$1,),)</f>
        <v>81.289000000000001</v>
      </c>
      <c r="C508" s="9">
        <f t="shared" si="7"/>
        <v>9.727866026352387E-4</v>
      </c>
      <c r="D508" s="7">
        <f>(Table534567910[[#This Row],[Value]]-B496)/B496</f>
        <v>1.8710211038147212E-2</v>
      </c>
      <c r="E508" s="16">
        <v>0.02</v>
      </c>
      <c r="F508" s="15">
        <v>6.5</v>
      </c>
    </row>
    <row r="509" spans="1:11" x14ac:dyDescent="0.2">
      <c r="A509" s="38">
        <v>36892</v>
      </c>
      <c r="B509" s="37">
        <f>VLOOKUP(Table534567910[[#This Row],[Date]],Database!A:E,MATCH($A$1,Database!$A$1:$E$1,),)</f>
        <v>81.591999999999999</v>
      </c>
      <c r="C509" s="9">
        <f t="shared" si="7"/>
        <v>3.7274415972640487E-3</v>
      </c>
      <c r="D509" s="7">
        <f>(Table534567910[[#This Row],[Value]]-B497)/B497</f>
        <v>2.0065760686111545E-2</v>
      </c>
      <c r="E509" s="16">
        <v>0.02</v>
      </c>
      <c r="F509" s="15">
        <v>5.5</v>
      </c>
    </row>
    <row r="510" spans="1:11" x14ac:dyDescent="0.2">
      <c r="A510" s="38">
        <v>36923</v>
      </c>
      <c r="B510" s="37">
        <f>VLOOKUP(Table534567910[[#This Row],[Date]],Database!A:E,MATCH($A$1,Database!$A$1:$E$1,),)</f>
        <v>81.736000000000004</v>
      </c>
      <c r="C510" s="9">
        <f t="shared" si="7"/>
        <v>1.764878909697096E-3</v>
      </c>
      <c r="D510" s="7">
        <f>(Table534567910[[#This Row],[Value]]-B498)/B498</f>
        <v>2.0348038848525825E-2</v>
      </c>
      <c r="E510" s="16">
        <v>0.02</v>
      </c>
      <c r="F510" s="15">
        <v>5.5</v>
      </c>
    </row>
    <row r="511" spans="1:11" x14ac:dyDescent="0.2">
      <c r="A511" s="38">
        <v>36951</v>
      </c>
      <c r="B511" s="37">
        <f>VLOOKUP(Table534567910[[#This Row],[Date]],Database!A:E,MATCH($A$1,Database!$A$1:$E$1,),)</f>
        <v>81.820999999999998</v>
      </c>
      <c r="C511" s="9">
        <f t="shared" si="7"/>
        <v>1.0399334442594908E-3</v>
      </c>
      <c r="D511" s="7">
        <f>(Table534567910[[#This Row],[Value]]-B499)/B499</f>
        <v>1.932228728042858E-2</v>
      </c>
      <c r="E511" s="16">
        <v>0.02</v>
      </c>
      <c r="F511" s="15">
        <v>5</v>
      </c>
    </row>
    <row r="512" spans="1:11" x14ac:dyDescent="0.2">
      <c r="A512" s="38">
        <v>36982</v>
      </c>
      <c r="B512" s="37">
        <f>VLOOKUP(Table534567910[[#This Row],[Date]],Database!A:E,MATCH($A$1,Database!$A$1:$E$1,),)</f>
        <v>81.950999999999993</v>
      </c>
      <c r="C512" s="9">
        <f t="shared" si="7"/>
        <v>1.5888341623787959E-3</v>
      </c>
      <c r="D512" s="7">
        <f>(Table534567910[[#This Row],[Value]]-B500)/B500</f>
        <v>2.0268167274628691E-2</v>
      </c>
      <c r="E512" s="16">
        <v>0.02</v>
      </c>
      <c r="F512" s="15">
        <v>4.5</v>
      </c>
    </row>
    <row r="513" spans="1:6" x14ac:dyDescent="0.2">
      <c r="A513" s="38">
        <v>37012</v>
      </c>
      <c r="B513" s="37">
        <f>VLOOKUP(Table534567910[[#This Row],[Date]],Database!A:E,MATCH($A$1,Database!$A$1:$E$1,),)</f>
        <v>81.97</v>
      </c>
      <c r="C513" s="9">
        <f t="shared" si="7"/>
        <v>2.3184585911099876E-4</v>
      </c>
      <c r="D513" s="7">
        <f>(Table534567910[[#This Row],[Value]]-B501)/B501</f>
        <v>1.9413249760598848E-2</v>
      </c>
      <c r="E513" s="16">
        <v>0.02</v>
      </c>
      <c r="F513" s="15">
        <v>4</v>
      </c>
    </row>
    <row r="514" spans="1:6" x14ac:dyDescent="0.2">
      <c r="A514" s="38">
        <v>37043</v>
      </c>
      <c r="B514" s="37">
        <f>VLOOKUP(Table534567910[[#This Row],[Date]],Database!A:E,MATCH($A$1,Database!$A$1:$E$1,),)</f>
        <v>82.153999999999996</v>
      </c>
      <c r="C514" s="9">
        <f t="shared" si="7"/>
        <v>2.2447236793948699E-3</v>
      </c>
      <c r="D514" s="7">
        <f>(Table534567910[[#This Row],[Value]]-B502)/B502</f>
        <v>2.0927053560333014E-2</v>
      </c>
      <c r="E514" s="16">
        <v>0.02</v>
      </c>
      <c r="F514" s="15">
        <v>3.75</v>
      </c>
    </row>
    <row r="515" spans="1:6" x14ac:dyDescent="0.2">
      <c r="A515" s="38">
        <v>37073</v>
      </c>
      <c r="B515" s="37">
        <f>VLOOKUP(Table534567910[[#This Row],[Date]],Database!A:E,MATCH($A$1,Database!$A$1:$E$1,),)</f>
        <v>82.366</v>
      </c>
      <c r="C515" s="9">
        <f t="shared" si="7"/>
        <v>2.5805195121357855E-3</v>
      </c>
      <c r="D515" s="7">
        <f>(Table534567910[[#This Row],[Value]]-B503)/B503</f>
        <v>2.1226473578495837E-2</v>
      </c>
      <c r="E515" s="16">
        <v>0.02</v>
      </c>
      <c r="F515" s="15">
        <v>3.75</v>
      </c>
    </row>
    <row r="516" spans="1:6" x14ac:dyDescent="0.2">
      <c r="A516" s="38">
        <v>37104</v>
      </c>
      <c r="B516" s="37">
        <f>VLOOKUP(Table534567910[[#This Row],[Date]],Database!A:E,MATCH($A$1,Database!$A$1:$E$1,),)</f>
        <v>82.406000000000006</v>
      </c>
      <c r="C516" s="9">
        <f t="shared" si="7"/>
        <v>4.8563727751749816E-4</v>
      </c>
      <c r="D516" s="7">
        <f>(Table534567910[[#This Row],[Value]]-B504)/B504</f>
        <v>2.0419282538974959E-2</v>
      </c>
      <c r="E516" s="16">
        <v>0.02</v>
      </c>
      <c r="F516" s="15">
        <v>3.5</v>
      </c>
    </row>
    <row r="517" spans="1:6" x14ac:dyDescent="0.2">
      <c r="A517" s="38">
        <v>37135</v>
      </c>
      <c r="B517" s="37">
        <f>VLOOKUP(Table534567910[[#This Row],[Date]],Database!A:E,MATCH($A$1,Database!$A$1:$E$1,),)</f>
        <v>81.938999999999993</v>
      </c>
      <c r="C517" s="9">
        <f t="shared" si="7"/>
        <v>-5.6670630779313757E-3</v>
      </c>
      <c r="D517" s="7">
        <f>(Table534567910[[#This Row],[Value]]-B505)/B505</f>
        <v>1.2179906859535655E-2</v>
      </c>
      <c r="E517" s="16">
        <v>0.02</v>
      </c>
      <c r="F517" s="15">
        <v>3</v>
      </c>
    </row>
    <row r="518" spans="1:6" x14ac:dyDescent="0.2">
      <c r="A518" s="38">
        <v>37165</v>
      </c>
      <c r="B518" s="37">
        <f>VLOOKUP(Table534567910[[#This Row],[Date]],Database!A:E,MATCH($A$1,Database!$A$1:$E$1,),)</f>
        <v>82.516000000000005</v>
      </c>
      <c r="C518" s="9">
        <f t="shared" ref="C518:C581" si="8">(B518-B517)/B517</f>
        <v>7.0418237957506494E-3</v>
      </c>
      <c r="D518" s="7">
        <f>(Table534567910[[#This Row],[Value]]-B506)/B506</f>
        <v>1.7874104136085121E-2</v>
      </c>
      <c r="E518" s="16">
        <v>0.02</v>
      </c>
      <c r="F518" s="15">
        <v>2.5</v>
      </c>
    </row>
    <row r="519" spans="1:6" x14ac:dyDescent="0.2">
      <c r="A519" s="38">
        <v>37196</v>
      </c>
      <c r="B519" s="37">
        <f>VLOOKUP(Table534567910[[#This Row],[Date]],Database!A:E,MATCH($A$1,Database!$A$1:$E$1,),)</f>
        <v>82.683000000000007</v>
      </c>
      <c r="C519" s="9">
        <f t="shared" si="8"/>
        <v>2.0238499200155315E-3</v>
      </c>
      <c r="D519" s="7">
        <f>(Table534567910[[#This Row],[Value]]-B507)/B507</f>
        <v>1.813816032508328E-2</v>
      </c>
      <c r="E519" s="16">
        <v>0.02</v>
      </c>
      <c r="F519" s="15">
        <v>2</v>
      </c>
    </row>
    <row r="520" spans="1:6" x14ac:dyDescent="0.2">
      <c r="A520" s="38">
        <v>37226</v>
      </c>
      <c r="B520" s="37">
        <f>VLOOKUP(Table534567910[[#This Row],[Date]],Database!A:E,MATCH($A$1,Database!$A$1:$E$1,),)</f>
        <v>82.701999999999998</v>
      </c>
      <c r="C520" s="9">
        <f t="shared" si="8"/>
        <v>2.2979330696746908E-4</v>
      </c>
      <c r="D520" s="7">
        <f>(Table534567910[[#This Row],[Value]]-B508)/B508</f>
        <v>1.7382425666449295E-2</v>
      </c>
      <c r="E520" s="16">
        <v>0.02</v>
      </c>
      <c r="F520" s="15">
        <v>1.75</v>
      </c>
    </row>
    <row r="521" spans="1:6" x14ac:dyDescent="0.2">
      <c r="A521" s="38">
        <v>37257</v>
      </c>
      <c r="B521" s="37">
        <f>VLOOKUP(Table534567910[[#This Row],[Date]],Database!A:E,MATCH($A$1,Database!$A$1:$E$1,),)</f>
        <v>82.75</v>
      </c>
      <c r="C521" s="9">
        <f t="shared" si="8"/>
        <v>5.8039708834129551E-4</v>
      </c>
      <c r="D521" s="7">
        <f>(Table534567910[[#This Row],[Value]]-B509)/B509</f>
        <v>1.4192567898813624E-2</v>
      </c>
      <c r="E521" s="16">
        <v>0.02</v>
      </c>
      <c r="F521" s="15">
        <v>1.75</v>
      </c>
    </row>
    <row r="522" spans="1:6" x14ac:dyDescent="0.2">
      <c r="A522" s="38">
        <v>37288</v>
      </c>
      <c r="B522" s="37">
        <f>VLOOKUP(Table534567910[[#This Row],[Date]],Database!A:E,MATCH($A$1,Database!$A$1:$E$1,),)</f>
        <v>82.906999999999996</v>
      </c>
      <c r="C522" s="9">
        <f t="shared" si="8"/>
        <v>1.8972809667673291E-3</v>
      </c>
      <c r="D522" s="7">
        <f>(Table534567910[[#This Row],[Value]]-B510)/B510</f>
        <v>1.4326612508564063E-2</v>
      </c>
      <c r="E522" s="16">
        <v>0.02</v>
      </c>
      <c r="F522" s="15">
        <v>1.75</v>
      </c>
    </row>
    <row r="523" spans="1:6" x14ac:dyDescent="0.2">
      <c r="A523" s="38">
        <v>37316</v>
      </c>
      <c r="B523" s="37">
        <f>VLOOKUP(Table534567910[[#This Row],[Date]],Database!A:E,MATCH($A$1,Database!$A$1:$E$1,),)</f>
        <v>83.006</v>
      </c>
      <c r="C523" s="9">
        <f t="shared" si="8"/>
        <v>1.1941090619610377E-3</v>
      </c>
      <c r="D523" s="7">
        <f>(Table534567910[[#This Row],[Value]]-B511)/B511</f>
        <v>1.4482834480145711E-2</v>
      </c>
      <c r="E523" s="16">
        <v>0.02</v>
      </c>
      <c r="F523" s="15">
        <v>1.75</v>
      </c>
    </row>
    <row r="524" spans="1:6" x14ac:dyDescent="0.2">
      <c r="A524" s="38">
        <v>37347</v>
      </c>
      <c r="B524" s="37">
        <f>VLOOKUP(Table534567910[[#This Row],[Date]],Database!A:E,MATCH($A$1,Database!$A$1:$E$1,),)</f>
        <v>83.238</v>
      </c>
      <c r="C524" s="9">
        <f t="shared" si="8"/>
        <v>2.7949786762402635E-3</v>
      </c>
      <c r="D524" s="7">
        <f>(Table534567910[[#This Row],[Value]]-B512)/B512</f>
        <v>1.5704506351356375E-2</v>
      </c>
      <c r="E524" s="16">
        <v>0.02</v>
      </c>
      <c r="F524" s="15">
        <v>1.75</v>
      </c>
    </row>
    <row r="525" spans="1:6" x14ac:dyDescent="0.2">
      <c r="A525" s="38">
        <v>37377</v>
      </c>
      <c r="B525" s="37">
        <f>VLOOKUP(Table534567910[[#This Row],[Date]],Database!A:E,MATCH($A$1,Database!$A$1:$E$1,),)</f>
        <v>83.331000000000003</v>
      </c>
      <c r="C525" s="9">
        <f t="shared" si="8"/>
        <v>1.1172781662222005E-3</v>
      </c>
      <c r="D525" s="7">
        <f>(Table534567910[[#This Row],[Value]]-B513)/B513</f>
        <v>1.6603635476393853E-2</v>
      </c>
      <c r="E525" s="16">
        <v>0.02</v>
      </c>
      <c r="F525" s="15">
        <v>1.75</v>
      </c>
    </row>
    <row r="526" spans="1:6" x14ac:dyDescent="0.2">
      <c r="A526" s="38">
        <v>37408</v>
      </c>
      <c r="B526" s="37">
        <f>VLOOKUP(Table534567910[[#This Row],[Date]],Database!A:E,MATCH($A$1,Database!$A$1:$E$1,),)</f>
        <v>83.462999999999994</v>
      </c>
      <c r="C526" s="9">
        <f t="shared" si="8"/>
        <v>1.5840443532417802E-3</v>
      </c>
      <c r="D526" s="7">
        <f>(Table534567910[[#This Row],[Value]]-B514)/B514</f>
        <v>1.5933490761253225E-2</v>
      </c>
      <c r="E526" s="16">
        <v>0.02</v>
      </c>
      <c r="F526" s="15">
        <v>1.75</v>
      </c>
    </row>
    <row r="527" spans="1:6" x14ac:dyDescent="0.2">
      <c r="A527" s="38">
        <v>37438</v>
      </c>
      <c r="B527" s="37">
        <f>VLOOKUP(Table534567910[[#This Row],[Date]],Database!A:E,MATCH($A$1,Database!$A$1:$E$1,),)</f>
        <v>83.632000000000005</v>
      </c>
      <c r="C527" s="9">
        <f t="shared" si="8"/>
        <v>2.0248493344357517E-3</v>
      </c>
      <c r="D527" s="7">
        <f>(Table534567910[[#This Row],[Value]]-B515)/B515</f>
        <v>1.5370419833426479E-2</v>
      </c>
      <c r="E527" s="16">
        <v>0.02</v>
      </c>
      <c r="F527" s="15">
        <v>1.75</v>
      </c>
    </row>
    <row r="528" spans="1:6" x14ac:dyDescent="0.2">
      <c r="A528" s="38">
        <v>37469</v>
      </c>
      <c r="B528" s="37">
        <f>VLOOKUP(Table534567910[[#This Row],[Date]],Database!A:E,MATCH($A$1,Database!$A$1:$E$1,),)</f>
        <v>83.796999999999997</v>
      </c>
      <c r="C528" s="9">
        <f t="shared" si="8"/>
        <v>1.9729290223836813E-3</v>
      </c>
      <c r="D528" s="7">
        <f>(Table534567910[[#This Row],[Value]]-B516)/B516</f>
        <v>1.6879838846685813E-2</v>
      </c>
      <c r="E528" s="16">
        <v>0.02</v>
      </c>
      <c r="F528" s="15">
        <v>1.75</v>
      </c>
    </row>
    <row r="529" spans="1:6" x14ac:dyDescent="0.2">
      <c r="A529" s="38">
        <v>37500</v>
      </c>
      <c r="B529" s="37">
        <f>VLOOKUP(Table534567910[[#This Row],[Date]],Database!A:E,MATCH($A$1,Database!$A$1:$E$1,),)</f>
        <v>83.933999999999997</v>
      </c>
      <c r="C529" s="9">
        <f t="shared" si="8"/>
        <v>1.6349033974963358E-3</v>
      </c>
      <c r="D529" s="7">
        <f>(Table534567910[[#This Row],[Value]]-B517)/B517</f>
        <v>2.4347380368322836E-2</v>
      </c>
      <c r="E529" s="16">
        <v>0.02</v>
      </c>
      <c r="F529" s="15">
        <v>1.75</v>
      </c>
    </row>
    <row r="530" spans="1:6" x14ac:dyDescent="0.2">
      <c r="A530" s="38">
        <v>37530</v>
      </c>
      <c r="B530" s="37">
        <f>VLOOKUP(Table534567910[[#This Row],[Date]],Database!A:E,MATCH($A$1,Database!$A$1:$E$1,),)</f>
        <v>84.004999999999995</v>
      </c>
      <c r="C530" s="9">
        <f t="shared" si="8"/>
        <v>8.4590273309979218E-4</v>
      </c>
      <c r="D530" s="7">
        <f>(Table534567910[[#This Row],[Value]]-B518)/B518</f>
        <v>1.8044985214988488E-2</v>
      </c>
      <c r="E530" s="16">
        <v>0.02</v>
      </c>
      <c r="F530" s="15">
        <v>1.75</v>
      </c>
    </row>
    <row r="531" spans="1:6" x14ac:dyDescent="0.2">
      <c r="A531" s="38">
        <v>37561</v>
      </c>
      <c r="B531" s="37">
        <f>VLOOKUP(Table534567910[[#This Row],[Date]],Database!A:E,MATCH($A$1,Database!$A$1:$E$1,),)</f>
        <v>84.087000000000003</v>
      </c>
      <c r="C531" s="9">
        <f t="shared" si="8"/>
        <v>9.761323730731248E-4</v>
      </c>
      <c r="D531" s="7">
        <f>(Table534567910[[#This Row],[Value]]-B519)/B519</f>
        <v>1.698051594644602E-2</v>
      </c>
      <c r="E531" s="16">
        <v>0.02</v>
      </c>
      <c r="F531" s="15">
        <v>1.25</v>
      </c>
    </row>
    <row r="532" spans="1:6" x14ac:dyDescent="0.2">
      <c r="A532" s="38">
        <v>37591</v>
      </c>
      <c r="B532" s="37">
        <f>VLOOKUP(Table534567910[[#This Row],[Date]],Database!A:E,MATCH($A$1,Database!$A$1:$E$1,),)</f>
        <v>84.165000000000006</v>
      </c>
      <c r="C532" s="9">
        <f t="shared" si="8"/>
        <v>9.2761068892935827E-4</v>
      </c>
      <c r="D532" s="7">
        <f>(Table534567910[[#This Row],[Value]]-B520)/B520</f>
        <v>1.7690019588401829E-2</v>
      </c>
      <c r="E532" s="16">
        <v>0.02</v>
      </c>
      <c r="F532" s="15">
        <v>1.25</v>
      </c>
    </row>
    <row r="533" spans="1:6" x14ac:dyDescent="0.2">
      <c r="A533" s="38">
        <v>37622</v>
      </c>
      <c r="B533" s="37">
        <f>VLOOKUP(Table534567910[[#This Row],[Date]],Database!A:E,MATCH($A$1,Database!$A$1:$E$1,),)</f>
        <v>84.222999999999999</v>
      </c>
      <c r="C533" s="9">
        <f t="shared" si="8"/>
        <v>6.8912255688222796E-4</v>
      </c>
      <c r="D533" s="7">
        <f>(Table534567910[[#This Row],[Value]]-B521)/B521</f>
        <v>1.7800604229607237E-2</v>
      </c>
      <c r="E533" s="16">
        <v>0.02</v>
      </c>
      <c r="F533" s="15">
        <v>1.25</v>
      </c>
    </row>
    <row r="534" spans="1:6" x14ac:dyDescent="0.2">
      <c r="A534" s="38">
        <v>37653</v>
      </c>
      <c r="B534" s="37">
        <f>VLOOKUP(Table534567910[[#This Row],[Date]],Database!A:E,MATCH($A$1,Database!$A$1:$E$1,),)</f>
        <v>84.338999999999999</v>
      </c>
      <c r="C534" s="9">
        <f t="shared" si="8"/>
        <v>1.3772959880317688E-3</v>
      </c>
      <c r="D534" s="7">
        <f>(Table534567910[[#This Row],[Value]]-B522)/B522</f>
        <v>1.7272365421496402E-2</v>
      </c>
      <c r="E534" s="16">
        <v>0.02</v>
      </c>
      <c r="F534" s="15">
        <v>1.25</v>
      </c>
    </row>
    <row r="535" spans="1:6" x14ac:dyDescent="0.2">
      <c r="A535" s="38">
        <v>37681</v>
      </c>
      <c r="B535" s="37">
        <f>VLOOKUP(Table534567910[[#This Row],[Date]],Database!A:E,MATCH($A$1,Database!$A$1:$E$1,),)</f>
        <v>84.474000000000004</v>
      </c>
      <c r="C535" s="9">
        <f t="shared" si="8"/>
        <v>1.6006829580621671E-3</v>
      </c>
      <c r="D535" s="7">
        <f>(Table534567910[[#This Row],[Value]]-B523)/B523</f>
        <v>1.7685468520347969E-2</v>
      </c>
      <c r="E535" s="16">
        <v>0.02</v>
      </c>
      <c r="F535" s="15">
        <v>1.25</v>
      </c>
    </row>
    <row r="536" spans="1:6" x14ac:dyDescent="0.2">
      <c r="A536" s="38">
        <v>37712</v>
      </c>
      <c r="B536" s="37">
        <f>VLOOKUP(Table534567910[[#This Row],[Date]],Database!A:E,MATCH($A$1,Database!$A$1:$E$1,),)</f>
        <v>84.567999999999998</v>
      </c>
      <c r="C536" s="9">
        <f t="shared" si="8"/>
        <v>1.1127684257877463E-3</v>
      </c>
      <c r="D536" s="7">
        <f>(Table534567910[[#This Row],[Value]]-B524)/B524</f>
        <v>1.5978279151349122E-2</v>
      </c>
      <c r="E536" s="16">
        <v>0.02</v>
      </c>
      <c r="F536" s="15">
        <v>1.25</v>
      </c>
    </row>
    <row r="537" spans="1:6" x14ac:dyDescent="0.2">
      <c r="A537" s="38">
        <v>37742</v>
      </c>
      <c r="B537" s="37">
        <f>VLOOKUP(Table534567910[[#This Row],[Date]],Database!A:E,MATCH($A$1,Database!$A$1:$E$1,),)</f>
        <v>84.69</v>
      </c>
      <c r="C537" s="9">
        <f t="shared" si="8"/>
        <v>1.4426260524075286E-3</v>
      </c>
      <c r="D537" s="7">
        <f>(Table534567910[[#This Row],[Value]]-B525)/B525</f>
        <v>1.6308456636785765E-2</v>
      </c>
      <c r="E537" s="16">
        <v>0.02</v>
      </c>
      <c r="F537" s="15">
        <v>1.25</v>
      </c>
    </row>
    <row r="538" spans="1:6" x14ac:dyDescent="0.2">
      <c r="A538" s="38">
        <v>37773</v>
      </c>
      <c r="B538" s="37">
        <f>VLOOKUP(Table534567910[[#This Row],[Date]],Database!A:E,MATCH($A$1,Database!$A$1:$E$1,),)</f>
        <v>84.738</v>
      </c>
      <c r="C538" s="9">
        <f t="shared" si="8"/>
        <v>5.6677293659229916E-4</v>
      </c>
      <c r="D538" s="7">
        <f>(Table534567910[[#This Row],[Value]]-B526)/B526</f>
        <v>1.5276230185830917E-2</v>
      </c>
      <c r="E538" s="16">
        <v>0.02</v>
      </c>
      <c r="F538" s="15">
        <v>1</v>
      </c>
    </row>
    <row r="539" spans="1:6" x14ac:dyDescent="0.2">
      <c r="A539" s="38">
        <v>37803</v>
      </c>
      <c r="B539" s="37">
        <f>VLOOKUP(Table534567910[[#This Row],[Date]],Database!A:E,MATCH($A$1,Database!$A$1:$E$1,),)</f>
        <v>84.948999999999998</v>
      </c>
      <c r="C539" s="9">
        <f t="shared" si="8"/>
        <v>2.4900280865727126E-3</v>
      </c>
      <c r="D539" s="7">
        <f>(Table534567910[[#This Row],[Value]]-B527)/B527</f>
        <v>1.5747560742299514E-2</v>
      </c>
      <c r="E539" s="16">
        <v>0.02</v>
      </c>
      <c r="F539" s="15">
        <v>1</v>
      </c>
    </row>
    <row r="540" spans="1:6" x14ac:dyDescent="0.2">
      <c r="A540" s="38">
        <v>37834</v>
      </c>
      <c r="B540" s="37">
        <f>VLOOKUP(Table534567910[[#This Row],[Date]],Database!A:E,MATCH($A$1,Database!$A$1:$E$1,),)</f>
        <v>85.045000000000002</v>
      </c>
      <c r="C540" s="9">
        <f t="shared" si="8"/>
        <v>1.1300898185970835E-3</v>
      </c>
      <c r="D540" s="7">
        <f>(Table534567910[[#This Row],[Value]]-B528)/B528</f>
        <v>1.4893134599090715E-2</v>
      </c>
      <c r="E540" s="16">
        <v>0.02</v>
      </c>
      <c r="F540" s="15">
        <v>1</v>
      </c>
    </row>
    <row r="541" spans="1:6" x14ac:dyDescent="0.2">
      <c r="A541" s="38">
        <v>37865</v>
      </c>
      <c r="B541" s="37">
        <f>VLOOKUP(Table534567910[[#This Row],[Date]],Database!A:E,MATCH($A$1,Database!$A$1:$E$1,),)</f>
        <v>85.164000000000001</v>
      </c>
      <c r="C541" s="9">
        <f t="shared" si="8"/>
        <v>1.3992592157093277E-3</v>
      </c>
      <c r="D541" s="7">
        <f>(Table534567910[[#This Row],[Value]]-B529)/B529</f>
        <v>1.4654371291729263E-2</v>
      </c>
      <c r="E541" s="16">
        <v>0.02</v>
      </c>
      <c r="F541" s="15">
        <v>1</v>
      </c>
    </row>
    <row r="542" spans="1:6" x14ac:dyDescent="0.2">
      <c r="A542" s="38">
        <v>37895</v>
      </c>
      <c r="B542" s="37">
        <f>VLOOKUP(Table534567910[[#This Row],[Date]],Database!A:E,MATCH($A$1,Database!$A$1:$E$1,),)</f>
        <v>85.32</v>
      </c>
      <c r="C542" s="9">
        <f t="shared" si="8"/>
        <v>1.831759898548585E-3</v>
      </c>
      <c r="D542" s="7">
        <f>(Table534567910[[#This Row],[Value]]-B530)/B530</f>
        <v>1.5653830129158951E-2</v>
      </c>
      <c r="E542" s="16">
        <v>0.02</v>
      </c>
      <c r="F542" s="15">
        <v>1</v>
      </c>
    </row>
    <row r="543" spans="1:6" x14ac:dyDescent="0.2">
      <c r="A543" s="38">
        <v>37926</v>
      </c>
      <c r="B543" s="37">
        <f>VLOOKUP(Table534567910[[#This Row],[Date]],Database!A:E,MATCH($A$1,Database!$A$1:$E$1,),)</f>
        <v>85.436999999999998</v>
      </c>
      <c r="C543" s="9">
        <f t="shared" si="8"/>
        <v>1.3713080168776893E-3</v>
      </c>
      <c r="D543" s="7">
        <f>(Table534567910[[#This Row],[Value]]-B531)/B531</f>
        <v>1.6054800385315142E-2</v>
      </c>
      <c r="E543" s="16">
        <v>0.02</v>
      </c>
      <c r="F543" s="15">
        <v>1</v>
      </c>
    </row>
    <row r="544" spans="1:6" x14ac:dyDescent="0.2">
      <c r="A544" s="38">
        <v>37956</v>
      </c>
      <c r="B544" s="37">
        <f>VLOOKUP(Table534567910[[#This Row],[Date]],Database!A:E,MATCH($A$1,Database!$A$1:$E$1,),)</f>
        <v>85.543999999999997</v>
      </c>
      <c r="C544" s="9">
        <f t="shared" si="8"/>
        <v>1.252384798155358E-3</v>
      </c>
      <c r="D544" s="7">
        <f>(Table534567910[[#This Row],[Value]]-B532)/B532</f>
        <v>1.6384482861046643E-2</v>
      </c>
      <c r="E544" s="16">
        <v>0.02</v>
      </c>
      <c r="F544" s="15">
        <v>1</v>
      </c>
    </row>
    <row r="545" spans="1:6" x14ac:dyDescent="0.2">
      <c r="A545" s="38">
        <v>37987</v>
      </c>
      <c r="B545" s="37">
        <f>VLOOKUP(Table534567910[[#This Row],[Date]],Database!A:E,MATCH($A$1,Database!$A$1:$E$1,),)</f>
        <v>85.763000000000005</v>
      </c>
      <c r="C545" s="9">
        <f t="shared" si="8"/>
        <v>2.5600860375947854E-3</v>
      </c>
      <c r="D545" s="7">
        <f>(Table534567910[[#This Row],[Value]]-B533)/B533</f>
        <v>1.828479156524947E-2</v>
      </c>
      <c r="E545" s="16">
        <v>0.02</v>
      </c>
      <c r="F545" s="15">
        <v>1</v>
      </c>
    </row>
    <row r="546" spans="1:6" x14ac:dyDescent="0.2">
      <c r="A546" s="38">
        <v>38018</v>
      </c>
      <c r="B546" s="37">
        <f>VLOOKUP(Table534567910[[#This Row],[Date]],Database!A:E,MATCH($A$1,Database!$A$1:$E$1,),)</f>
        <v>85.902000000000001</v>
      </c>
      <c r="C546" s="9">
        <f t="shared" si="8"/>
        <v>1.6207455429497078E-3</v>
      </c>
      <c r="D546" s="7">
        <f>(Table534567910[[#This Row],[Value]]-B534)/B534</f>
        <v>1.8532351581119082E-2</v>
      </c>
      <c r="E546" s="16">
        <v>0.02</v>
      </c>
      <c r="F546" s="15">
        <v>1</v>
      </c>
    </row>
    <row r="547" spans="1:6" x14ac:dyDescent="0.2">
      <c r="A547" s="38">
        <v>38047</v>
      </c>
      <c r="B547" s="37">
        <f>VLOOKUP(Table534567910[[#This Row],[Date]],Database!A:E,MATCH($A$1,Database!$A$1:$E$1,),)</f>
        <v>86.046000000000006</v>
      </c>
      <c r="C547" s="9">
        <f t="shared" si="8"/>
        <v>1.6763288398408123E-3</v>
      </c>
      <c r="D547" s="7">
        <f>(Table534567910[[#This Row],[Value]]-B535)/B535</f>
        <v>1.8609276227004791E-2</v>
      </c>
      <c r="E547" s="16">
        <v>0.02</v>
      </c>
      <c r="F547" s="15">
        <v>1</v>
      </c>
    </row>
    <row r="548" spans="1:6" x14ac:dyDescent="0.2">
      <c r="A548" s="38">
        <v>38078</v>
      </c>
      <c r="B548" s="37">
        <f>VLOOKUP(Table534567910[[#This Row],[Date]],Database!A:E,MATCH($A$1,Database!$A$1:$E$1,),)</f>
        <v>86.27</v>
      </c>
      <c r="C548" s="9">
        <f t="shared" si="8"/>
        <v>2.6032587220787664E-3</v>
      </c>
      <c r="D548" s="7">
        <f>(Table534567910[[#This Row],[Value]]-B536)/B536</f>
        <v>2.012581591145585E-2</v>
      </c>
      <c r="E548" s="16">
        <v>0.02</v>
      </c>
      <c r="F548" s="15">
        <v>1</v>
      </c>
    </row>
    <row r="549" spans="1:6" x14ac:dyDescent="0.2">
      <c r="A549" s="38">
        <v>38108</v>
      </c>
      <c r="B549" s="37">
        <f>VLOOKUP(Table534567910[[#This Row],[Date]],Database!A:E,MATCH($A$1,Database!$A$1:$E$1,),)</f>
        <v>86.388000000000005</v>
      </c>
      <c r="C549" s="9">
        <f t="shared" si="8"/>
        <v>1.3677987712995157E-3</v>
      </c>
      <c r="D549" s="7">
        <f>(Table534567910[[#This Row],[Value]]-B537)/B537</f>
        <v>2.0049592631951912E-2</v>
      </c>
      <c r="E549" s="16">
        <v>0.02</v>
      </c>
      <c r="F549" s="15">
        <v>1</v>
      </c>
    </row>
    <row r="550" spans="1:6" x14ac:dyDescent="0.2">
      <c r="A550" s="38">
        <v>38139</v>
      </c>
      <c r="B550" s="37">
        <f>VLOOKUP(Table534567910[[#This Row],[Date]],Database!A:E,MATCH($A$1,Database!$A$1:$E$1,),)</f>
        <v>86.525000000000006</v>
      </c>
      <c r="C550" s="9">
        <f t="shared" si="8"/>
        <v>1.5858684076492156E-3</v>
      </c>
      <c r="D550" s="7">
        <f>(Table534567910[[#This Row],[Value]]-B538)/B538</f>
        <v>2.1088531709504664E-2</v>
      </c>
      <c r="E550" s="16">
        <v>0.02</v>
      </c>
      <c r="F550" s="15">
        <v>1.25</v>
      </c>
    </row>
    <row r="551" spans="1:6" x14ac:dyDescent="0.2">
      <c r="A551" s="38">
        <v>38169</v>
      </c>
      <c r="B551" s="37">
        <f>VLOOKUP(Table534567910[[#This Row],[Date]],Database!A:E,MATCH($A$1,Database!$A$1:$E$1,),)</f>
        <v>86.628</v>
      </c>
      <c r="C551" s="9">
        <f t="shared" si="8"/>
        <v>1.1904073967060897E-3</v>
      </c>
      <c r="D551" s="7">
        <f>(Table534567910[[#This Row],[Value]]-B539)/B539</f>
        <v>1.9764800056504515E-2</v>
      </c>
      <c r="E551" s="16">
        <v>0.02</v>
      </c>
      <c r="F551" s="15">
        <v>1.25</v>
      </c>
    </row>
    <row r="552" spans="1:6" x14ac:dyDescent="0.2">
      <c r="A552" s="38">
        <v>38200</v>
      </c>
      <c r="B552" s="37">
        <f>VLOOKUP(Table534567910[[#This Row],[Date]],Database!A:E,MATCH($A$1,Database!$A$1:$E$1,),)</f>
        <v>86.661000000000001</v>
      </c>
      <c r="C552" s="9">
        <f t="shared" si="8"/>
        <v>3.8093918825323511E-4</v>
      </c>
      <c r="D552" s="7">
        <f>(Table534567910[[#This Row],[Value]]-B540)/B540</f>
        <v>1.9001704979716615E-2</v>
      </c>
      <c r="E552" s="16">
        <v>0.02</v>
      </c>
      <c r="F552" s="15">
        <v>1.5</v>
      </c>
    </row>
    <row r="553" spans="1:6" x14ac:dyDescent="0.2">
      <c r="A553" s="38">
        <v>38231</v>
      </c>
      <c r="B553" s="37">
        <f>VLOOKUP(Table534567910[[#This Row],[Date]],Database!A:E,MATCH($A$1,Database!$A$1:$E$1,),)</f>
        <v>86.822999999999993</v>
      </c>
      <c r="C553" s="9">
        <f t="shared" si="8"/>
        <v>1.8693529961573479E-3</v>
      </c>
      <c r="D553" s="7">
        <f>(Table534567910[[#This Row],[Value]]-B541)/B541</f>
        <v>1.9480061998027241E-2</v>
      </c>
      <c r="E553" s="16">
        <v>0.02</v>
      </c>
      <c r="F553" s="15">
        <v>1.75</v>
      </c>
    </row>
    <row r="554" spans="1:6" x14ac:dyDescent="0.2">
      <c r="A554" s="38">
        <v>38261</v>
      </c>
      <c r="B554" s="37">
        <f>VLOOKUP(Table534567910[[#This Row],[Date]],Database!A:E,MATCH($A$1,Database!$A$1:$E$1,),)</f>
        <v>87.012</v>
      </c>
      <c r="C554" s="9">
        <f t="shared" si="8"/>
        <v>2.1768425417228979E-3</v>
      </c>
      <c r="D554" s="7">
        <f>(Table534567910[[#This Row],[Value]]-B542)/B542</f>
        <v>1.9831223628692069E-2</v>
      </c>
      <c r="E554" s="16">
        <v>0.02</v>
      </c>
      <c r="F554" s="15">
        <v>1.75</v>
      </c>
    </row>
    <row r="555" spans="1:6" x14ac:dyDescent="0.2">
      <c r="A555" s="38">
        <v>38292</v>
      </c>
      <c r="B555" s="37">
        <f>VLOOKUP(Table534567910[[#This Row],[Date]],Database!A:E,MATCH($A$1,Database!$A$1:$E$1,),)</f>
        <v>87.198999999999998</v>
      </c>
      <c r="C555" s="9">
        <f t="shared" si="8"/>
        <v>2.1491288557899785E-3</v>
      </c>
      <c r="D555" s="7">
        <f>(Table534567910[[#This Row],[Value]]-B543)/B543</f>
        <v>2.0623383311679958E-2</v>
      </c>
      <c r="E555" s="16">
        <v>0.02</v>
      </c>
      <c r="F555" s="15">
        <v>2</v>
      </c>
    </row>
    <row r="556" spans="1:6" x14ac:dyDescent="0.2">
      <c r="A556" s="38">
        <v>38322</v>
      </c>
      <c r="B556" s="37">
        <f>VLOOKUP(Table534567910[[#This Row],[Date]],Database!A:E,MATCH($A$1,Database!$A$1:$E$1,),)</f>
        <v>87.311000000000007</v>
      </c>
      <c r="C556" s="9">
        <f t="shared" si="8"/>
        <v>1.2844183992936728E-3</v>
      </c>
      <c r="D556" s="7">
        <f>(Table534567910[[#This Row],[Value]]-B544)/B544</f>
        <v>2.0656036659496987E-2</v>
      </c>
      <c r="E556" s="16">
        <v>0.02</v>
      </c>
      <c r="F556" s="15">
        <v>2.25</v>
      </c>
    </row>
    <row r="557" spans="1:6" x14ac:dyDescent="0.2">
      <c r="A557" s="38">
        <v>38353</v>
      </c>
      <c r="B557" s="37">
        <f>VLOOKUP(Table534567910[[#This Row],[Date]],Database!A:E,MATCH($A$1,Database!$A$1:$E$1,),)</f>
        <v>87.625</v>
      </c>
      <c r="C557" s="9">
        <f t="shared" si="8"/>
        <v>3.5963395219387353E-3</v>
      </c>
      <c r="D557" s="7">
        <f>(Table534567910[[#This Row],[Value]]-B545)/B545</f>
        <v>2.171099425160028E-2</v>
      </c>
      <c r="E557" s="16">
        <v>0.02</v>
      </c>
      <c r="F557" s="15">
        <v>2.25</v>
      </c>
    </row>
    <row r="558" spans="1:6" x14ac:dyDescent="0.2">
      <c r="A558" s="38">
        <v>38384</v>
      </c>
      <c r="B558" s="37">
        <f>VLOOKUP(Table534567910[[#This Row],[Date]],Database!A:E,MATCH($A$1,Database!$A$1:$E$1,),)</f>
        <v>87.77</v>
      </c>
      <c r="C558" s="9">
        <f t="shared" si="8"/>
        <v>1.6547788873038061E-3</v>
      </c>
      <c r="D558" s="7">
        <f>(Table534567910[[#This Row],[Value]]-B546)/B546</f>
        <v>2.17457102279341E-2</v>
      </c>
      <c r="E558" s="16">
        <v>0.02</v>
      </c>
      <c r="F558" s="15">
        <v>2.5</v>
      </c>
    </row>
    <row r="559" spans="1:6" x14ac:dyDescent="0.2">
      <c r="A559" s="38">
        <v>38412</v>
      </c>
      <c r="B559" s="37">
        <f>VLOOKUP(Table534567910[[#This Row],[Date]],Database!A:E,MATCH($A$1,Database!$A$1:$E$1,),)</f>
        <v>87.986999999999995</v>
      </c>
      <c r="C559" s="9">
        <f t="shared" si="8"/>
        <v>2.4723709695795688E-3</v>
      </c>
      <c r="D559" s="7">
        <f>(Table534567910[[#This Row],[Value]]-B547)/B547</f>
        <v>2.2557701694442371E-2</v>
      </c>
      <c r="E559" s="16">
        <v>0.02</v>
      </c>
      <c r="F559" s="15">
        <v>2.75</v>
      </c>
    </row>
    <row r="560" spans="1:6" x14ac:dyDescent="0.2">
      <c r="A560" s="38">
        <v>38443</v>
      </c>
      <c r="B560" s="37">
        <f>VLOOKUP(Table534567910[[#This Row],[Date]],Database!A:E,MATCH($A$1,Database!$A$1:$E$1,),)</f>
        <v>88.088999999999999</v>
      </c>
      <c r="C560" s="9">
        <f t="shared" si="8"/>
        <v>1.1592621637287767E-3</v>
      </c>
      <c r="D560" s="7">
        <f>(Table534567910[[#This Row],[Value]]-B548)/B548</f>
        <v>2.1084965805030748E-2</v>
      </c>
      <c r="E560" s="16">
        <v>0.02</v>
      </c>
      <c r="F560" s="15">
        <v>2.75</v>
      </c>
    </row>
    <row r="561" spans="1:6" x14ac:dyDescent="0.2">
      <c r="A561" s="38">
        <v>38473</v>
      </c>
      <c r="B561" s="37">
        <f>VLOOKUP(Table534567910[[#This Row],[Date]],Database!A:E,MATCH($A$1,Database!$A$1:$E$1,),)</f>
        <v>88.269000000000005</v>
      </c>
      <c r="C561" s="9">
        <f t="shared" si="8"/>
        <v>2.043387937199955E-3</v>
      </c>
      <c r="D561" s="7">
        <f>(Table534567910[[#This Row],[Value]]-B549)/B549</f>
        <v>2.1773857480205584E-2</v>
      </c>
      <c r="E561" s="16">
        <v>0.02</v>
      </c>
      <c r="F561" s="15">
        <v>3</v>
      </c>
    </row>
    <row r="562" spans="1:6" x14ac:dyDescent="0.2">
      <c r="A562" s="38">
        <v>38504</v>
      </c>
      <c r="B562" s="37">
        <f>VLOOKUP(Table534567910[[#This Row],[Date]],Database!A:E,MATCH($A$1,Database!$A$1:$E$1,),)</f>
        <v>88.33</v>
      </c>
      <c r="C562" s="9">
        <f t="shared" si="8"/>
        <v>6.910693448435219E-4</v>
      </c>
      <c r="D562" s="7">
        <f>(Table534567910[[#This Row],[Value]]-B550)/B550</f>
        <v>2.0861022825772811E-2</v>
      </c>
      <c r="E562" s="16">
        <v>0.02</v>
      </c>
      <c r="F562" s="15">
        <v>3.25</v>
      </c>
    </row>
    <row r="563" spans="1:6" x14ac:dyDescent="0.2">
      <c r="A563" s="38">
        <v>38534</v>
      </c>
      <c r="B563" s="37">
        <f>VLOOKUP(Table534567910[[#This Row],[Date]],Database!A:E,MATCH($A$1,Database!$A$1:$E$1,),)</f>
        <v>88.46</v>
      </c>
      <c r="C563" s="9">
        <f t="shared" si="8"/>
        <v>1.4717536510811214E-3</v>
      </c>
      <c r="D563" s="7">
        <f>(Table534567910[[#This Row],[Value]]-B551)/B551</f>
        <v>2.1147896753936298E-2</v>
      </c>
      <c r="E563" s="16">
        <v>0.02</v>
      </c>
      <c r="F563" s="15">
        <v>3.25</v>
      </c>
    </row>
    <row r="564" spans="1:6" x14ac:dyDescent="0.2">
      <c r="A564" s="38">
        <v>38565</v>
      </c>
      <c r="B564" s="37">
        <f>VLOOKUP(Table534567910[[#This Row],[Date]],Database!A:E,MATCH($A$1,Database!$A$1:$E$1,),)</f>
        <v>88.531999999999996</v>
      </c>
      <c r="C564" s="9">
        <f t="shared" si="8"/>
        <v>8.1392719873392189E-4</v>
      </c>
      <c r="D564" s="7">
        <f>(Table534567910[[#This Row],[Value]]-B552)/B552</f>
        <v>2.1589873184015822E-2</v>
      </c>
      <c r="E564" s="16">
        <v>0.02</v>
      </c>
      <c r="F564" s="15">
        <v>3.5</v>
      </c>
    </row>
    <row r="565" spans="1:6" x14ac:dyDescent="0.2">
      <c r="A565" s="38">
        <v>38596</v>
      </c>
      <c r="B565" s="37">
        <f>VLOOKUP(Table534567910[[#This Row],[Date]],Database!A:E,MATCH($A$1,Database!$A$1:$E$1,),)</f>
        <v>88.727999999999994</v>
      </c>
      <c r="C565" s="9">
        <f t="shared" si="8"/>
        <v>2.2138887633849679E-3</v>
      </c>
      <c r="D565" s="7">
        <f>(Table534567910[[#This Row],[Value]]-B553)/B553</f>
        <v>2.1941190698317282E-2</v>
      </c>
      <c r="E565" s="16">
        <v>0.02</v>
      </c>
      <c r="F565" s="15">
        <v>3.75</v>
      </c>
    </row>
    <row r="566" spans="1:6" x14ac:dyDescent="0.2">
      <c r="A566" s="38">
        <v>38626</v>
      </c>
      <c r="B566" s="37">
        <f>VLOOKUP(Table534567910[[#This Row],[Date]],Database!A:E,MATCH($A$1,Database!$A$1:$E$1,),)</f>
        <v>88.981999999999999</v>
      </c>
      <c r="C566" s="9">
        <f t="shared" si="8"/>
        <v>2.8626814534307649E-3</v>
      </c>
      <c r="D566" s="7">
        <f>(Table534567910[[#This Row],[Value]]-B554)/B554</f>
        <v>2.2640555325702187E-2</v>
      </c>
      <c r="E566" s="16">
        <v>0.02</v>
      </c>
      <c r="F566" s="15">
        <v>3.75</v>
      </c>
    </row>
    <row r="567" spans="1:6" x14ac:dyDescent="0.2">
      <c r="A567" s="38">
        <v>38657</v>
      </c>
      <c r="B567" s="37">
        <f>VLOOKUP(Table534567910[[#This Row],[Date]],Database!A:E,MATCH($A$1,Database!$A$1:$E$1,),)</f>
        <v>89.21</v>
      </c>
      <c r="C567" s="9">
        <f t="shared" si="8"/>
        <v>2.5623159740171546E-3</v>
      </c>
      <c r="D567" s="7">
        <f>(Table534567910[[#This Row],[Value]]-B555)/B555</f>
        <v>2.3062191080172888E-2</v>
      </c>
      <c r="E567" s="16">
        <v>0.02</v>
      </c>
      <c r="F567" s="15">
        <v>4</v>
      </c>
    </row>
    <row r="568" spans="1:6" x14ac:dyDescent="0.2">
      <c r="A568" s="38">
        <v>38687</v>
      </c>
      <c r="B568" s="37">
        <f>VLOOKUP(Table534567910[[#This Row],[Date]],Database!A:E,MATCH($A$1,Database!$A$1:$E$1,),)</f>
        <v>89.302000000000007</v>
      </c>
      <c r="C568" s="9">
        <f t="shared" si="8"/>
        <v>1.0312745207937783E-3</v>
      </c>
      <c r="D568" s="7">
        <f>(Table534567910[[#This Row],[Value]]-B556)/B556</f>
        <v>2.2803541363631153E-2</v>
      </c>
      <c r="E568" s="16">
        <v>0.02</v>
      </c>
      <c r="F568" s="15">
        <v>4.25</v>
      </c>
    </row>
    <row r="569" spans="1:6" x14ac:dyDescent="0.2">
      <c r="A569" s="38">
        <v>38718</v>
      </c>
      <c r="B569" s="37">
        <f>VLOOKUP(Table534567910[[#This Row],[Date]],Database!A:E,MATCH($A$1,Database!$A$1:$E$1,),)</f>
        <v>89.503</v>
      </c>
      <c r="C569" s="9">
        <f t="shared" si="8"/>
        <v>2.250789456003151E-3</v>
      </c>
      <c r="D569" s="7">
        <f>(Table534567910[[#This Row],[Value]]-B557)/B557</f>
        <v>2.1432239657631955E-2</v>
      </c>
      <c r="E569" s="16">
        <v>0.02</v>
      </c>
      <c r="F569" s="15">
        <v>4.5</v>
      </c>
    </row>
    <row r="570" spans="1:6" x14ac:dyDescent="0.2">
      <c r="A570" s="38">
        <v>38749</v>
      </c>
      <c r="B570" s="37">
        <f>VLOOKUP(Table534567910[[#This Row],[Date]],Database!A:E,MATCH($A$1,Database!$A$1:$E$1,),)</f>
        <v>89.647000000000006</v>
      </c>
      <c r="C570" s="9">
        <f t="shared" si="8"/>
        <v>1.6088846183927405E-3</v>
      </c>
      <c r="D570" s="7">
        <f>(Table534567910[[#This Row],[Value]]-B558)/B558</f>
        <v>2.1385439216133183E-2</v>
      </c>
      <c r="E570" s="16">
        <v>0.02</v>
      </c>
      <c r="F570" s="15">
        <v>4.5</v>
      </c>
    </row>
    <row r="571" spans="1:6" x14ac:dyDescent="0.2">
      <c r="A571" s="38">
        <v>38777</v>
      </c>
      <c r="B571" s="37">
        <f>VLOOKUP(Table534567910[[#This Row],[Date]],Database!A:E,MATCH($A$1,Database!$A$1:$E$1,),)</f>
        <v>89.894000000000005</v>
      </c>
      <c r="C571" s="9">
        <f t="shared" si="8"/>
        <v>2.7552511517395994E-3</v>
      </c>
      <c r="D571" s="7">
        <f>(Table534567910[[#This Row],[Value]]-B559)/B559</f>
        <v>2.1673656335595155E-2</v>
      </c>
      <c r="E571" s="16">
        <v>0.02</v>
      </c>
      <c r="F571" s="15">
        <v>4.75</v>
      </c>
    </row>
    <row r="572" spans="1:6" x14ac:dyDescent="0.2">
      <c r="A572" s="38">
        <v>38808</v>
      </c>
      <c r="B572" s="37">
        <f>VLOOKUP(Table534567910[[#This Row],[Date]],Database!A:E,MATCH($A$1,Database!$A$1:$E$1,),)</f>
        <v>90.168999999999997</v>
      </c>
      <c r="C572" s="9">
        <f t="shared" si="8"/>
        <v>3.0591585645314643E-3</v>
      </c>
      <c r="D572" s="7">
        <f>(Table534567910[[#This Row],[Value]]-B560)/B560</f>
        <v>2.3612482829865229E-2</v>
      </c>
      <c r="E572" s="16">
        <v>0.02</v>
      </c>
      <c r="F572" s="15">
        <v>4.75</v>
      </c>
    </row>
    <row r="573" spans="1:6" x14ac:dyDescent="0.2">
      <c r="A573" s="38">
        <v>38838</v>
      </c>
      <c r="B573" s="37">
        <f>VLOOKUP(Table534567910[[#This Row],[Date]],Database!A:E,MATCH($A$1,Database!$A$1:$E$1,),)</f>
        <v>90.394999999999996</v>
      </c>
      <c r="C573" s="9">
        <f t="shared" si="8"/>
        <v>2.5064046401756601E-3</v>
      </c>
      <c r="D573" s="7">
        <f>(Table534567910[[#This Row],[Value]]-B561)/B561</f>
        <v>2.4085466018647434E-2</v>
      </c>
      <c r="E573" s="16">
        <v>0.02</v>
      </c>
      <c r="F573" s="15">
        <v>5</v>
      </c>
    </row>
    <row r="574" spans="1:6" x14ac:dyDescent="0.2">
      <c r="A574" s="38">
        <v>38869</v>
      </c>
      <c r="B574" s="37">
        <f>VLOOKUP(Table534567910[[#This Row],[Date]],Database!A:E,MATCH($A$1,Database!$A$1:$E$1,),)</f>
        <v>90.623000000000005</v>
      </c>
      <c r="C574" s="9">
        <f t="shared" si="8"/>
        <v>2.5222633995244056E-3</v>
      </c>
      <c r="D574" s="7">
        <f>(Table534567910[[#This Row],[Value]]-B562)/B562</f>
        <v>2.5959470168685682E-2</v>
      </c>
      <c r="E574" s="16">
        <v>0.02</v>
      </c>
      <c r="F574" s="15">
        <v>5.25</v>
      </c>
    </row>
    <row r="575" spans="1:6" x14ac:dyDescent="0.2">
      <c r="A575" s="38">
        <v>38899</v>
      </c>
      <c r="B575" s="37">
        <f>VLOOKUP(Table534567910[[#This Row],[Date]],Database!A:E,MATCH($A$1,Database!$A$1:$E$1,),)</f>
        <v>90.712000000000003</v>
      </c>
      <c r="C575" s="9">
        <f t="shared" si="8"/>
        <v>9.820906392416786E-4</v>
      </c>
      <c r="D575" s="7">
        <f>(Table534567910[[#This Row],[Value]]-B563)/B563</f>
        <v>2.5457834049287923E-2</v>
      </c>
      <c r="E575" s="16">
        <v>0.02</v>
      </c>
      <c r="F575" s="15">
        <v>5.25</v>
      </c>
    </row>
    <row r="576" spans="1:6" x14ac:dyDescent="0.2">
      <c r="A576" s="38">
        <v>38930</v>
      </c>
      <c r="B576" s="37">
        <f>VLOOKUP(Table534567910[[#This Row],[Date]],Database!A:E,MATCH($A$1,Database!$A$1:$E$1,),)</f>
        <v>90.896000000000001</v>
      </c>
      <c r="C576" s="9">
        <f t="shared" si="8"/>
        <v>2.0283975659228931E-3</v>
      </c>
      <c r="D576" s="7">
        <f>(Table534567910[[#This Row],[Value]]-B564)/B564</f>
        <v>2.6702209370623103E-2</v>
      </c>
      <c r="E576" s="16">
        <v>0.02</v>
      </c>
      <c r="F576" s="15">
        <v>5.25</v>
      </c>
    </row>
    <row r="577" spans="1:6" x14ac:dyDescent="0.2">
      <c r="A577" s="38">
        <v>38961</v>
      </c>
      <c r="B577" s="37">
        <f>VLOOKUP(Table534567910[[#This Row],[Date]],Database!A:E,MATCH($A$1,Database!$A$1:$E$1,),)</f>
        <v>91.04</v>
      </c>
      <c r="C577" s="9">
        <f t="shared" si="8"/>
        <v>1.5842281288506144E-3</v>
      </c>
      <c r="D577" s="7">
        <f>(Table534567910[[#This Row],[Value]]-B565)/B565</f>
        <v>2.6057163465873365E-2</v>
      </c>
      <c r="E577" s="16">
        <v>0.02</v>
      </c>
      <c r="F577" s="15">
        <v>5.25</v>
      </c>
    </row>
    <row r="578" spans="1:6" x14ac:dyDescent="0.2">
      <c r="A578" s="38">
        <v>38991</v>
      </c>
      <c r="B578" s="37">
        <f>VLOOKUP(Table534567910[[#This Row],[Date]],Database!A:E,MATCH($A$1,Database!$A$1:$E$1,),)</f>
        <v>91.203999999999994</v>
      </c>
      <c r="C578" s="9">
        <f t="shared" si="8"/>
        <v>1.8014059753952906E-3</v>
      </c>
      <c r="D578" s="7">
        <f>(Table534567910[[#This Row],[Value]]-B566)/B566</f>
        <v>2.4971342518711585E-2</v>
      </c>
      <c r="E578" s="16">
        <v>0.02</v>
      </c>
      <c r="F578" s="15">
        <v>5.25</v>
      </c>
    </row>
    <row r="579" spans="1:6" x14ac:dyDescent="0.2">
      <c r="A579" s="38">
        <v>39022</v>
      </c>
      <c r="B579" s="37">
        <f>VLOOKUP(Table534567910[[#This Row],[Date]],Database!A:E,MATCH($A$1,Database!$A$1:$E$1,),)</f>
        <v>91.248000000000005</v>
      </c>
      <c r="C579" s="9">
        <f t="shared" si="8"/>
        <v>4.824349809220116E-4</v>
      </c>
      <c r="D579" s="7">
        <f>(Table534567910[[#This Row],[Value]]-B567)/B567</f>
        <v>2.2844972536711253E-2</v>
      </c>
      <c r="E579" s="16">
        <v>0.02</v>
      </c>
      <c r="F579" s="15">
        <v>5.25</v>
      </c>
    </row>
    <row r="580" spans="1:6" x14ac:dyDescent="0.2">
      <c r="A580" s="38">
        <v>39052</v>
      </c>
      <c r="B580" s="37">
        <f>VLOOKUP(Table534567910[[#This Row],[Date]],Database!A:E,MATCH($A$1,Database!$A$1:$E$1,),)</f>
        <v>91.37</v>
      </c>
      <c r="C580" s="9">
        <f t="shared" si="8"/>
        <v>1.337015605821496E-3</v>
      </c>
      <c r="D580" s="7">
        <f>(Table534567910[[#This Row],[Value]]-B568)/B568</f>
        <v>2.3157376094600318E-2</v>
      </c>
      <c r="E580" s="16">
        <v>0.02</v>
      </c>
      <c r="F580" s="15">
        <v>5.25</v>
      </c>
    </row>
    <row r="581" spans="1:6" x14ac:dyDescent="0.2">
      <c r="A581" s="38">
        <v>39083</v>
      </c>
      <c r="B581" s="37">
        <f>VLOOKUP(Table534567910[[#This Row],[Date]],Database!A:E,MATCH($A$1,Database!$A$1:$E$1,),)</f>
        <v>91.741</v>
      </c>
      <c r="C581" s="9">
        <f t="shared" si="8"/>
        <v>4.0604137025281282E-3</v>
      </c>
      <c r="D581" s="7">
        <f>(Table534567910[[#This Row],[Value]]-B569)/B569</f>
        <v>2.5004748444186223E-2</v>
      </c>
      <c r="E581" s="16">
        <v>0.02</v>
      </c>
      <c r="F581" s="15">
        <v>5.25</v>
      </c>
    </row>
    <row r="582" spans="1:6" x14ac:dyDescent="0.2">
      <c r="A582" s="38">
        <v>39114</v>
      </c>
      <c r="B582" s="37">
        <f>VLOOKUP(Table534567910[[#This Row],[Date]],Database!A:E,MATCH($A$1,Database!$A$1:$E$1,),)</f>
        <v>91.938999999999993</v>
      </c>
      <c r="C582" s="9">
        <f t="shared" ref="C582:C645" si="9">(B582-B581)/B581</f>
        <v>2.1582498555715907E-3</v>
      </c>
      <c r="D582" s="7">
        <f>(Table534567910[[#This Row],[Value]]-B570)/B570</f>
        <v>2.5566945910069354E-2</v>
      </c>
      <c r="E582" s="16">
        <v>0.02</v>
      </c>
      <c r="F582" s="15">
        <v>5.25</v>
      </c>
    </row>
    <row r="583" spans="1:6" x14ac:dyDescent="0.2">
      <c r="A583" s="38">
        <v>39142</v>
      </c>
      <c r="B583" s="37">
        <f>VLOOKUP(Table534567910[[#This Row],[Date]],Database!A:E,MATCH($A$1,Database!$A$1:$E$1,),)</f>
        <v>92.031999999999996</v>
      </c>
      <c r="C583" s="9">
        <f t="shared" si="9"/>
        <v>1.0115402603900797E-3</v>
      </c>
      <c r="D583" s="7">
        <f>(Table534567910[[#This Row],[Value]]-B571)/B571</f>
        <v>2.3783567312612532E-2</v>
      </c>
      <c r="E583" s="16">
        <v>0.02</v>
      </c>
      <c r="F583" s="15">
        <v>5.25</v>
      </c>
    </row>
    <row r="584" spans="1:6" x14ac:dyDescent="0.2">
      <c r="A584" s="38">
        <v>39173</v>
      </c>
      <c r="B584" s="37">
        <f>VLOOKUP(Table534567910[[#This Row],[Date]],Database!A:E,MATCH($A$1,Database!$A$1:$E$1,),)</f>
        <v>92.162999999999997</v>
      </c>
      <c r="C584" s="9">
        <f t="shared" si="9"/>
        <v>1.423417941585538E-3</v>
      </c>
      <c r="D584" s="7">
        <f>(Table534567910[[#This Row],[Value]]-B572)/B572</f>
        <v>2.2114030320841974E-2</v>
      </c>
      <c r="E584" s="16">
        <v>0.02</v>
      </c>
      <c r="F584" s="15">
        <v>5.25</v>
      </c>
    </row>
    <row r="585" spans="1:6" x14ac:dyDescent="0.2">
      <c r="A585" s="38">
        <v>39203</v>
      </c>
      <c r="B585" s="37">
        <f>VLOOKUP(Table534567910[[#This Row],[Date]],Database!A:E,MATCH($A$1,Database!$A$1:$E$1,),)</f>
        <v>92.272000000000006</v>
      </c>
      <c r="C585" s="9">
        <f t="shared" si="9"/>
        <v>1.1826871955123951E-3</v>
      </c>
      <c r="D585" s="7">
        <f>(Table534567910[[#This Row],[Value]]-B573)/B573</f>
        <v>2.0764422810996289E-2</v>
      </c>
      <c r="E585" s="16">
        <v>0.02</v>
      </c>
      <c r="F585" s="15">
        <v>5.25</v>
      </c>
    </row>
    <row r="586" spans="1:6" x14ac:dyDescent="0.2">
      <c r="A586" s="38">
        <v>39234</v>
      </c>
      <c r="B586" s="37">
        <f>VLOOKUP(Table534567910[[#This Row],[Date]],Database!A:E,MATCH($A$1,Database!$A$1:$E$1,),)</f>
        <v>92.424000000000007</v>
      </c>
      <c r="C586" s="9">
        <f t="shared" si="9"/>
        <v>1.6473036240679838E-3</v>
      </c>
      <c r="D586" s="7">
        <f>(Table534567910[[#This Row],[Value]]-B574)/B574</f>
        <v>1.9873542036789798E-2</v>
      </c>
      <c r="E586" s="16">
        <v>0.02</v>
      </c>
      <c r="F586" s="15">
        <v>5.25</v>
      </c>
    </row>
    <row r="587" spans="1:6" x14ac:dyDescent="0.2">
      <c r="A587" s="38">
        <v>39264</v>
      </c>
      <c r="B587" s="37">
        <f>VLOOKUP(Table534567910[[#This Row],[Date]],Database!A:E,MATCH($A$1,Database!$A$1:$E$1,),)</f>
        <v>92.563000000000002</v>
      </c>
      <c r="C587" s="9">
        <f t="shared" si="9"/>
        <v>1.5039383709858456E-3</v>
      </c>
      <c r="D587" s="7">
        <f>(Table534567910[[#This Row],[Value]]-B575)/B575</f>
        <v>2.0405238557191983E-2</v>
      </c>
      <c r="E587" s="16">
        <v>0.02</v>
      </c>
      <c r="F587" s="15">
        <v>5.25</v>
      </c>
    </row>
    <row r="588" spans="1:6" x14ac:dyDescent="0.2">
      <c r="A588" s="38">
        <v>39295</v>
      </c>
      <c r="B588" s="37">
        <f>VLOOKUP(Table534567910[[#This Row],[Date]],Database!A:E,MATCH($A$1,Database!$A$1:$E$1,),)</f>
        <v>92.700999999999993</v>
      </c>
      <c r="C588" s="9">
        <f t="shared" si="9"/>
        <v>1.4908764841242291E-3</v>
      </c>
      <c r="D588" s="7">
        <f>(Table534567910[[#This Row],[Value]]-B576)/B576</f>
        <v>1.9857859531772493E-2</v>
      </c>
      <c r="E588" s="16">
        <v>0.02</v>
      </c>
      <c r="F588" s="15">
        <v>5.25</v>
      </c>
    </row>
    <row r="589" spans="1:6" x14ac:dyDescent="0.2">
      <c r="A589" s="38">
        <v>39326</v>
      </c>
      <c r="B589" s="37">
        <f>VLOOKUP(Table534567910[[#This Row],[Date]],Database!A:E,MATCH($A$1,Database!$A$1:$E$1,),)</f>
        <v>92.953999999999994</v>
      </c>
      <c r="C589" s="9">
        <f t="shared" si="9"/>
        <v>2.7292046471990607E-3</v>
      </c>
      <c r="D589" s="7">
        <f>(Table534567910[[#This Row],[Value]]-B577)/B577</f>
        <v>2.1023725834797748E-2</v>
      </c>
      <c r="E589" s="16">
        <v>0.02</v>
      </c>
      <c r="F589" s="15">
        <v>4.75</v>
      </c>
    </row>
    <row r="590" spans="1:6" x14ac:dyDescent="0.2">
      <c r="A590" s="38">
        <v>39356</v>
      </c>
      <c r="B590" s="37">
        <f>VLOOKUP(Table534567910[[#This Row],[Date]],Database!A:E,MATCH($A$1,Database!$A$1:$E$1,),)</f>
        <v>93.195999999999998</v>
      </c>
      <c r="C590" s="9">
        <f t="shared" si="9"/>
        <v>2.6034382597844574E-3</v>
      </c>
      <c r="D590" s="7">
        <f>(Table534567910[[#This Row],[Value]]-B578)/B578</f>
        <v>2.1841147318100135E-2</v>
      </c>
      <c r="E590" s="16">
        <v>0.02</v>
      </c>
      <c r="F590" s="15">
        <v>4.5</v>
      </c>
    </row>
    <row r="591" spans="1:6" x14ac:dyDescent="0.2">
      <c r="A591" s="38">
        <v>39387</v>
      </c>
      <c r="B591" s="37">
        <f>VLOOKUP(Table534567910[[#This Row],[Date]],Database!A:E,MATCH($A$1,Database!$A$1:$E$1,),)</f>
        <v>93.379000000000005</v>
      </c>
      <c r="C591" s="9">
        <f t="shared" si="9"/>
        <v>1.9636035881369042E-3</v>
      </c>
      <c r="D591" s="7">
        <f>(Table534567910[[#This Row],[Value]]-B579)/B579</f>
        <v>2.3353936524636156E-2</v>
      </c>
      <c r="E591" s="16">
        <v>0.02</v>
      </c>
      <c r="F591" s="15">
        <v>4.5</v>
      </c>
    </row>
    <row r="592" spans="1:6" x14ac:dyDescent="0.2">
      <c r="A592" s="38">
        <v>39417</v>
      </c>
      <c r="B592" s="37">
        <f>VLOOKUP(Table534567910[[#This Row],[Date]],Database!A:E,MATCH($A$1,Database!$A$1:$E$1,),)</f>
        <v>93.566999999999993</v>
      </c>
      <c r="C592" s="9">
        <f t="shared" si="9"/>
        <v>2.0133006350462968E-3</v>
      </c>
      <c r="D592" s="7">
        <f>(Table534567910[[#This Row],[Value]]-B580)/B580</f>
        <v>2.4045091386669458E-2</v>
      </c>
      <c r="E592" s="16">
        <v>0.02</v>
      </c>
      <c r="F592" s="15">
        <v>4.25</v>
      </c>
    </row>
    <row r="593" spans="1:6" x14ac:dyDescent="0.2">
      <c r="A593" s="38">
        <v>39448</v>
      </c>
      <c r="B593" s="37">
        <f>VLOOKUP(Table534567910[[#This Row],[Date]],Database!A:E,MATCH($A$1,Database!$A$1:$E$1,),)</f>
        <v>93.753</v>
      </c>
      <c r="C593" s="9">
        <f t="shared" si="9"/>
        <v>1.9878803424284957E-3</v>
      </c>
      <c r="D593" s="7">
        <f>(Table534567910[[#This Row],[Value]]-B581)/B581</f>
        <v>2.193130661318277E-2</v>
      </c>
      <c r="E593" s="16">
        <v>0.02</v>
      </c>
      <c r="F593" s="15">
        <v>3</v>
      </c>
    </row>
    <row r="594" spans="1:6" x14ac:dyDescent="0.2">
      <c r="A594" s="38">
        <v>39479</v>
      </c>
      <c r="B594" s="37">
        <f>VLOOKUP(Table534567910[[#This Row],[Date]],Database!A:E,MATCH($A$1,Database!$A$1:$E$1,),)</f>
        <v>93.843999999999994</v>
      </c>
      <c r="C594" s="9">
        <f t="shared" si="9"/>
        <v>9.7063560632719989E-4</v>
      </c>
      <c r="D594" s="7">
        <f>(Table534567910[[#This Row],[Value]]-B582)/B582</f>
        <v>2.0720260172505698E-2</v>
      </c>
      <c r="E594" s="16">
        <v>0.02</v>
      </c>
      <c r="F594" s="15">
        <v>3</v>
      </c>
    </row>
    <row r="595" spans="1:6" x14ac:dyDescent="0.2">
      <c r="A595" s="38">
        <v>39508</v>
      </c>
      <c r="B595" s="37">
        <f>VLOOKUP(Table534567910[[#This Row],[Date]],Database!A:E,MATCH($A$1,Database!$A$1:$E$1,),)</f>
        <v>94.028000000000006</v>
      </c>
      <c r="C595" s="9">
        <f t="shared" si="9"/>
        <v>1.9607007373940977E-3</v>
      </c>
      <c r="D595" s="7">
        <f>(Table534567910[[#This Row],[Value]]-B583)/B583</f>
        <v>2.1688108484005666E-2</v>
      </c>
      <c r="E595" s="16">
        <v>0.02</v>
      </c>
      <c r="F595" s="15">
        <v>2.25</v>
      </c>
    </row>
    <row r="596" spans="1:6" x14ac:dyDescent="0.2">
      <c r="A596" s="38">
        <v>39539</v>
      </c>
      <c r="B596" s="37">
        <f>VLOOKUP(Table534567910[[#This Row],[Date]],Database!A:E,MATCH($A$1,Database!$A$1:$E$1,),)</f>
        <v>94.082999999999998</v>
      </c>
      <c r="C596" s="9">
        <f t="shared" si="9"/>
        <v>5.8493214787076839E-4</v>
      </c>
      <c r="D596" s="7">
        <f>(Table534567910[[#This Row],[Value]]-B584)/B584</f>
        <v>2.0832655187005649E-2</v>
      </c>
      <c r="E596" s="16">
        <v>0.02</v>
      </c>
      <c r="F596" s="15">
        <v>2</v>
      </c>
    </row>
    <row r="597" spans="1:6" x14ac:dyDescent="0.2">
      <c r="A597" s="38">
        <v>39569</v>
      </c>
      <c r="B597" s="37">
        <f>VLOOKUP(Table534567910[[#This Row],[Date]],Database!A:E,MATCH($A$1,Database!$A$1:$E$1,),)</f>
        <v>94.254999999999995</v>
      </c>
      <c r="C597" s="9">
        <f t="shared" si="9"/>
        <v>1.8281729961841888E-3</v>
      </c>
      <c r="D597" s="7">
        <f>(Table534567910[[#This Row],[Value]]-B585)/B585</f>
        <v>2.1490809779781406E-2</v>
      </c>
      <c r="E597" s="16">
        <v>0.02</v>
      </c>
      <c r="F597" s="15">
        <v>2</v>
      </c>
    </row>
    <row r="598" spans="1:6" x14ac:dyDescent="0.2">
      <c r="A598" s="38">
        <v>39600</v>
      </c>
      <c r="B598" s="37">
        <f>VLOOKUP(Table534567910[[#This Row],[Date]],Database!A:E,MATCH($A$1,Database!$A$1:$E$1,),)</f>
        <v>94.471000000000004</v>
      </c>
      <c r="C598" s="9">
        <f t="shared" si="9"/>
        <v>2.2916556150868197E-3</v>
      </c>
      <c r="D598" s="7">
        <f>(Table534567910[[#This Row],[Value]]-B586)/B586</f>
        <v>2.2147926945382118E-2</v>
      </c>
      <c r="E598" s="16">
        <v>0.02</v>
      </c>
      <c r="F598" s="15">
        <v>2</v>
      </c>
    </row>
    <row r="599" spans="1:6" x14ac:dyDescent="0.2">
      <c r="A599" s="38">
        <v>39630</v>
      </c>
      <c r="B599" s="37">
        <f>VLOOKUP(Table534567910[[#This Row],[Date]],Database!A:E,MATCH($A$1,Database!$A$1:$E$1,),)</f>
        <v>94.641000000000005</v>
      </c>
      <c r="C599" s="9">
        <f t="shared" si="9"/>
        <v>1.7994940246213304E-3</v>
      </c>
      <c r="D599" s="7">
        <f>(Table534567910[[#This Row],[Value]]-B587)/B587</f>
        <v>2.2449574884132999E-2</v>
      </c>
      <c r="E599" s="16">
        <v>0.02</v>
      </c>
      <c r="F599" s="15">
        <v>2</v>
      </c>
    </row>
    <row r="600" spans="1:6" x14ac:dyDescent="0.2">
      <c r="A600" s="38">
        <v>39661</v>
      </c>
      <c r="B600" s="37">
        <f>VLOOKUP(Table534567910[[#This Row],[Date]],Database!A:E,MATCH($A$1,Database!$A$1:$E$1,),)</f>
        <v>94.757000000000005</v>
      </c>
      <c r="C600" s="9">
        <f t="shared" si="9"/>
        <v>1.2256844285246315E-3</v>
      </c>
      <c r="D600" s="7">
        <f>(Table534567910[[#This Row],[Value]]-B588)/B588</f>
        <v>2.2178833022297621E-2</v>
      </c>
      <c r="E600" s="16">
        <v>0.02</v>
      </c>
      <c r="F600" s="15">
        <v>2</v>
      </c>
    </row>
    <row r="601" spans="1:6" x14ac:dyDescent="0.2">
      <c r="A601" s="38">
        <v>39692</v>
      </c>
      <c r="B601" s="37">
        <f>VLOOKUP(Table534567910[[#This Row],[Date]],Database!A:E,MATCH($A$1,Database!$A$1:$E$1,),)</f>
        <v>94.853999999999999</v>
      </c>
      <c r="C601" s="9">
        <f t="shared" si="9"/>
        <v>1.0236710744324345E-3</v>
      </c>
      <c r="D601" s="7">
        <f>(Table534567910[[#This Row],[Value]]-B589)/B589</f>
        <v>2.0440217742109062E-2</v>
      </c>
      <c r="E601" s="16">
        <v>0.02</v>
      </c>
      <c r="F601" s="15">
        <v>2</v>
      </c>
    </row>
    <row r="602" spans="1:6" x14ac:dyDescent="0.2">
      <c r="A602" s="38">
        <v>39722</v>
      </c>
      <c r="B602" s="37">
        <f>VLOOKUP(Table534567910[[#This Row],[Date]],Database!A:E,MATCH($A$1,Database!$A$1:$E$1,),)</f>
        <v>94.718999999999994</v>
      </c>
      <c r="C602" s="9">
        <f t="shared" si="9"/>
        <v>-1.4232399266241287E-3</v>
      </c>
      <c r="D602" s="7">
        <f>(Table534567910[[#This Row],[Value]]-B590)/B590</f>
        <v>1.6341903085969313E-2</v>
      </c>
      <c r="E602" s="16">
        <v>0.02</v>
      </c>
      <c r="F602" s="15">
        <v>1</v>
      </c>
    </row>
    <row r="603" spans="1:6" x14ac:dyDescent="0.2">
      <c r="A603" s="38">
        <v>39753</v>
      </c>
      <c r="B603" s="37">
        <f>VLOOKUP(Table534567910[[#This Row],[Date]],Database!A:E,MATCH($A$1,Database!$A$1:$E$1,),)</f>
        <v>94.677000000000007</v>
      </c>
      <c r="C603" s="9">
        <f t="shared" si="9"/>
        <v>-4.4341684350539365E-4</v>
      </c>
      <c r="D603" s="7">
        <f>(Table534567910[[#This Row],[Value]]-B591)/B591</f>
        <v>1.390034161856522E-2</v>
      </c>
      <c r="E603" s="16">
        <v>0.02</v>
      </c>
      <c r="F603" s="15">
        <v>1</v>
      </c>
    </row>
    <row r="604" spans="1:6" x14ac:dyDescent="0.2">
      <c r="A604" s="38">
        <v>39783</v>
      </c>
      <c r="B604" s="37">
        <f>VLOOKUP(Table534567910[[#This Row],[Date]],Database!A:E,MATCH($A$1,Database!$A$1:$E$1,),)</f>
        <v>94.631</v>
      </c>
      <c r="C604" s="9">
        <f t="shared" si="9"/>
        <v>-4.8586245867535387E-4</v>
      </c>
      <c r="D604" s="7">
        <f>(Table534567910[[#This Row],[Value]]-B592)/B592</f>
        <v>1.137153056098846E-2</v>
      </c>
      <c r="E604" s="16">
        <v>0.02</v>
      </c>
      <c r="F604" s="15">
        <v>0.25</v>
      </c>
    </row>
    <row r="605" spans="1:6" x14ac:dyDescent="0.2">
      <c r="A605" s="38">
        <v>39814</v>
      </c>
      <c r="B605" s="37">
        <f>VLOOKUP(Table534567910[[#This Row],[Date]],Database!A:E,MATCH($A$1,Database!$A$1:$E$1,),)</f>
        <v>94.602000000000004</v>
      </c>
      <c r="C605" s="9">
        <f t="shared" si="9"/>
        <v>-3.0645348775767311E-4</v>
      </c>
      <c r="D605" s="7">
        <f>(Table534567910[[#This Row],[Value]]-B593)/B593</f>
        <v>9.0557102172730865E-3</v>
      </c>
      <c r="E605" s="16">
        <v>0.02</v>
      </c>
      <c r="F605" s="15">
        <f>VLOOKUP(Table534567910[[#This Row],[Date]],Database!A:E,4)</f>
        <v>0.25</v>
      </c>
    </row>
    <row r="606" spans="1:6" x14ac:dyDescent="0.2">
      <c r="A606" s="38">
        <v>39845</v>
      </c>
      <c r="B606" s="37">
        <f>VLOOKUP(Table534567910[[#This Row],[Date]],Database!A:E,MATCH($A$1,Database!$A$1:$E$1,),)</f>
        <v>94.677000000000007</v>
      </c>
      <c r="C606" s="9">
        <f t="shared" si="9"/>
        <v>7.9279507832818378E-4</v>
      </c>
      <c r="D606" s="7">
        <f>(Table534567910[[#This Row],[Value]]-B594)/B594</f>
        <v>8.8764332296152413E-3</v>
      </c>
      <c r="E606" s="16">
        <v>0.02</v>
      </c>
      <c r="F606" s="15">
        <f>VLOOKUP(Table534567910[[#This Row],[Date]],Database!A:E,4)</f>
        <v>0.25</v>
      </c>
    </row>
    <row r="607" spans="1:6" x14ac:dyDescent="0.2">
      <c r="A607" s="38">
        <v>39873</v>
      </c>
      <c r="B607" s="37">
        <f>VLOOKUP(Table534567910[[#This Row],[Date]],Database!A:E,MATCH($A$1,Database!$A$1:$E$1,),)</f>
        <v>94.745000000000005</v>
      </c>
      <c r="C607" s="9">
        <f t="shared" si="9"/>
        <v>7.1823146065039907E-4</v>
      </c>
      <c r="D607" s="7">
        <f>(Table534567910[[#This Row],[Value]]-B595)/B595</f>
        <v>7.625388182243573E-3</v>
      </c>
      <c r="E607" s="16">
        <v>0.02</v>
      </c>
      <c r="F607" s="15">
        <f>VLOOKUP(Table534567910[[#This Row],[Date]],Database!A:E,4)</f>
        <v>0.25</v>
      </c>
    </row>
    <row r="608" spans="1:6" x14ac:dyDescent="0.2">
      <c r="A608" s="38">
        <v>39904</v>
      </c>
      <c r="B608" s="37">
        <f>VLOOKUP(Table534567910[[#This Row],[Date]],Database!A:E,MATCH($A$1,Database!$A$1:$E$1,),)</f>
        <v>94.956999999999994</v>
      </c>
      <c r="C608" s="9">
        <f t="shared" si="9"/>
        <v>2.2375850968387682E-3</v>
      </c>
      <c r="D608" s="7">
        <f>(Table534567910[[#This Row],[Value]]-B596)/B596</f>
        <v>9.2896697596802323E-3</v>
      </c>
      <c r="E608" s="16">
        <v>0.02</v>
      </c>
      <c r="F608" s="15">
        <f>VLOOKUP(Table534567910[[#This Row],[Date]],Database!A:E,4)</f>
        <v>0.25</v>
      </c>
    </row>
    <row r="609" spans="1:6" x14ac:dyDescent="0.2">
      <c r="A609" s="38">
        <v>39934</v>
      </c>
      <c r="B609" s="37">
        <f>VLOOKUP(Table534567910[[#This Row],[Date]],Database!A:E,MATCH($A$1,Database!$A$1:$E$1,),)</f>
        <v>95.03</v>
      </c>
      <c r="C609" s="9">
        <f t="shared" si="9"/>
        <v>7.6876902176782657E-4</v>
      </c>
      <c r="D609" s="7">
        <f>(Table534567910[[#This Row],[Value]]-B597)/B597</f>
        <v>8.2223754707973652E-3</v>
      </c>
      <c r="E609" s="16">
        <v>0.02</v>
      </c>
      <c r="F609" s="15">
        <f>VLOOKUP(Table534567910[[#This Row],[Date]],Database!A:E,4)</f>
        <v>0.25</v>
      </c>
    </row>
    <row r="610" spans="1:6" x14ac:dyDescent="0.2">
      <c r="A610" s="38">
        <v>39965</v>
      </c>
      <c r="B610" s="37">
        <f>VLOOKUP(Table534567910[[#This Row],[Date]],Database!A:E,MATCH($A$1,Database!$A$1:$E$1,),)</f>
        <v>95.150999999999996</v>
      </c>
      <c r="C610" s="9">
        <f t="shared" si="9"/>
        <v>1.2732821214352847E-3</v>
      </c>
      <c r="D610" s="7">
        <f>(Table534567910[[#This Row],[Value]]-B598)/B598</f>
        <v>7.1979760984851706E-3</v>
      </c>
      <c r="E610" s="16">
        <v>0.02</v>
      </c>
      <c r="F610" s="15">
        <f>VLOOKUP(Table534567910[[#This Row],[Date]],Database!A:E,4)</f>
        <v>0.25</v>
      </c>
    </row>
    <row r="611" spans="1:6" x14ac:dyDescent="0.2">
      <c r="A611" s="38">
        <v>39995</v>
      </c>
      <c r="B611" s="37">
        <f>VLOOKUP(Table534567910[[#This Row],[Date]],Database!A:E,MATCH($A$1,Database!$A$1:$E$1,),)</f>
        <v>95.233000000000004</v>
      </c>
      <c r="C611" s="9">
        <f t="shared" si="9"/>
        <v>8.6178810522230824E-4</v>
      </c>
      <c r="D611" s="7">
        <f>(Table534567910[[#This Row],[Value]]-B599)/B599</f>
        <v>6.255217083505021E-3</v>
      </c>
      <c r="E611" s="16">
        <v>0.02</v>
      </c>
      <c r="F611" s="15">
        <f>VLOOKUP(Table534567910[[#This Row],[Date]],Database!A:E,4)</f>
        <v>0.25</v>
      </c>
    </row>
    <row r="612" spans="1:6" x14ac:dyDescent="0.2">
      <c r="A612" s="38">
        <v>40026</v>
      </c>
      <c r="B612" s="37">
        <f>VLOOKUP(Table534567910[[#This Row],[Date]],Database!A:E,MATCH($A$1,Database!$A$1:$E$1,),)</f>
        <v>95.373999999999995</v>
      </c>
      <c r="C612" s="9">
        <f t="shared" si="9"/>
        <v>1.4805792109876946E-3</v>
      </c>
      <c r="D612" s="7">
        <f>(Table534567910[[#This Row],[Value]]-B600)/B600</f>
        <v>6.5113922981942249E-3</v>
      </c>
      <c r="E612" s="16">
        <v>0.02</v>
      </c>
      <c r="F612" s="15">
        <f>VLOOKUP(Table534567910[[#This Row],[Date]],Database!A:E,4)</f>
        <v>0.25</v>
      </c>
    </row>
    <row r="613" spans="1:6" x14ac:dyDescent="0.2">
      <c r="A613" s="38">
        <v>40057</v>
      </c>
      <c r="B613" s="37">
        <f>VLOOKUP(Table534567910[[#This Row],[Date]],Database!A:E,MATCH($A$1,Database!$A$1:$E$1,),)</f>
        <v>95.540999999999997</v>
      </c>
      <c r="C613" s="9">
        <f t="shared" si="9"/>
        <v>1.7510013211147861E-3</v>
      </c>
      <c r="D613" s="7">
        <f>(Table534567910[[#This Row],[Value]]-B601)/B601</f>
        <v>7.2427098488202675E-3</v>
      </c>
      <c r="E613" s="16">
        <v>0.02</v>
      </c>
      <c r="F613" s="15">
        <f>VLOOKUP(Table534567910[[#This Row],[Date]],Database!A:E,4)</f>
        <v>0.25</v>
      </c>
    </row>
    <row r="614" spans="1:6" x14ac:dyDescent="0.2">
      <c r="A614" s="38">
        <v>40087</v>
      </c>
      <c r="B614" s="37">
        <f>VLOOKUP(Table534567910[[#This Row],[Date]],Database!A:E,MATCH($A$1,Database!$A$1:$E$1,),)</f>
        <v>95.893000000000001</v>
      </c>
      <c r="C614" s="9">
        <f t="shared" si="9"/>
        <v>3.6842821406516978E-3</v>
      </c>
      <c r="D614" s="7">
        <f>(Table534567910[[#This Row],[Value]]-B602)/B602</f>
        <v>1.2394556530368845E-2</v>
      </c>
      <c r="E614" s="16">
        <v>0.02</v>
      </c>
      <c r="F614" s="15">
        <f>VLOOKUP(Table534567910[[#This Row],[Date]],Database!A:E,4)</f>
        <v>0.25</v>
      </c>
    </row>
    <row r="615" spans="1:6" x14ac:dyDescent="0.2">
      <c r="A615" s="38">
        <v>40118</v>
      </c>
      <c r="B615" s="37">
        <f>VLOOKUP(Table534567910[[#This Row],[Date]],Database!A:E,MATCH($A$1,Database!$A$1:$E$1,),)</f>
        <v>95.977999999999994</v>
      </c>
      <c r="C615" s="9">
        <f t="shared" si="9"/>
        <v>8.8640463850326668E-4</v>
      </c>
      <c r="D615" s="7">
        <f>(Table534567910[[#This Row],[Value]]-B603)/B603</f>
        <v>1.3741457798620443E-2</v>
      </c>
      <c r="E615" s="16">
        <v>0.02</v>
      </c>
      <c r="F615" s="15">
        <f>VLOOKUP(Table534567910[[#This Row],[Date]],Database!A:E,4)</f>
        <v>0.25</v>
      </c>
    </row>
    <row r="616" spans="1:6" x14ac:dyDescent="0.2">
      <c r="A616" s="38">
        <v>40148</v>
      </c>
      <c r="B616" s="37">
        <f>VLOOKUP(Table534567910[[#This Row],[Date]],Database!A:E,MATCH($A$1,Database!$A$1:$E$1,),)</f>
        <v>96.06</v>
      </c>
      <c r="C616" s="9">
        <f t="shared" si="9"/>
        <v>8.54362458063388E-4</v>
      </c>
      <c r="D616" s="7">
        <f>(Table534567910[[#This Row],[Value]]-B604)/B604</f>
        <v>1.5100759793302427E-2</v>
      </c>
      <c r="E616" s="16">
        <v>0.02</v>
      </c>
      <c r="F616" s="15">
        <f>VLOOKUP(Table534567910[[#This Row],[Date]],Database!A:E,4)</f>
        <v>0.25</v>
      </c>
    </row>
    <row r="617" spans="1:6" x14ac:dyDescent="0.2">
      <c r="A617" s="38">
        <v>40179</v>
      </c>
      <c r="B617" s="37">
        <f>VLOOKUP(Table534567910[[#This Row],[Date]],Database!A:E,MATCH($A$1,Database!$A$1:$E$1,),)</f>
        <v>96.200999999999993</v>
      </c>
      <c r="C617" s="9">
        <f t="shared" si="9"/>
        <v>1.4678326046220188E-3</v>
      </c>
      <c r="D617" s="7">
        <f>(Table534567910[[#This Row],[Value]]-B605)/B605</f>
        <v>1.6902391069956127E-2</v>
      </c>
      <c r="E617" s="16">
        <v>0.02</v>
      </c>
      <c r="F617" s="15">
        <f>VLOOKUP(Table534567910[[#This Row],[Date]],Database!A:E,4)</f>
        <v>0.25</v>
      </c>
    </row>
    <row r="618" spans="1:6" x14ac:dyDescent="0.2">
      <c r="A618" s="38">
        <v>40210</v>
      </c>
      <c r="B618" s="37">
        <f>VLOOKUP(Table534567910[[#This Row],[Date]],Database!A:E,MATCH($A$1,Database!$A$1:$E$1,),)</f>
        <v>96.284999999999997</v>
      </c>
      <c r="C618" s="9">
        <f t="shared" si="9"/>
        <v>8.7317179655100458E-4</v>
      </c>
      <c r="D618" s="7">
        <f>(Table534567910[[#This Row],[Value]]-B606)/B606</f>
        <v>1.6984061598909871E-2</v>
      </c>
      <c r="E618" s="16">
        <v>0.02</v>
      </c>
      <c r="F618" s="15">
        <f>VLOOKUP(Table534567910[[#This Row],[Date]],Database!A:E,4)</f>
        <v>0.25</v>
      </c>
    </row>
    <row r="619" spans="1:6" x14ac:dyDescent="0.2">
      <c r="A619" s="38">
        <v>40238</v>
      </c>
      <c r="B619" s="37">
        <f>VLOOKUP(Table534567910[[#This Row],[Date]],Database!A:E,MATCH($A$1,Database!$A$1:$E$1,),)</f>
        <v>96.429000000000002</v>
      </c>
      <c r="C619" s="9">
        <f t="shared" si="9"/>
        <v>1.4955600560835587E-3</v>
      </c>
      <c r="D619" s="7">
        <f>(Table534567910[[#This Row],[Value]]-B607)/B607</f>
        <v>1.7774025014512612E-2</v>
      </c>
      <c r="E619" s="16">
        <v>0.02</v>
      </c>
      <c r="F619" s="15">
        <f>VLOOKUP(Table534567910[[#This Row],[Date]],Database!A:E,4)</f>
        <v>0.25</v>
      </c>
    </row>
    <row r="620" spans="1:6" x14ac:dyDescent="0.2">
      <c r="A620" s="38">
        <v>40269</v>
      </c>
      <c r="B620" s="37">
        <f>VLOOKUP(Table534567910[[#This Row],[Date]],Database!A:E,MATCH($A$1,Database!$A$1:$E$1,),)</f>
        <v>96.477999999999994</v>
      </c>
      <c r="C620" s="9">
        <f t="shared" si="9"/>
        <v>5.0814588972189262E-4</v>
      </c>
      <c r="D620" s="7">
        <f>(Table534567910[[#This Row],[Value]]-B608)/B608</f>
        <v>1.6017776467243078E-2</v>
      </c>
      <c r="E620" s="16">
        <v>0.02</v>
      </c>
      <c r="F620" s="15">
        <f>VLOOKUP(Table534567910[[#This Row],[Date]],Database!A:E,4)</f>
        <v>0.25</v>
      </c>
    </row>
    <row r="621" spans="1:6" x14ac:dyDescent="0.2">
      <c r="A621" s="38">
        <v>40299</v>
      </c>
      <c r="B621" s="37">
        <f>VLOOKUP(Table534567910[[#This Row],[Date]],Database!A:E,MATCH($A$1,Database!$A$1:$E$1,),)</f>
        <v>96.584999999999994</v>
      </c>
      <c r="C621" s="9">
        <f t="shared" si="9"/>
        <v>1.109061133108059E-3</v>
      </c>
      <c r="D621" s="7">
        <f>(Table534567910[[#This Row],[Value]]-B609)/B609</f>
        <v>1.6363253709354864E-2</v>
      </c>
      <c r="E621" s="16">
        <v>0.02</v>
      </c>
      <c r="F621" s="15">
        <f>VLOOKUP(Table534567910[[#This Row],[Date]],Database!A:E,4)</f>
        <v>0.25</v>
      </c>
    </row>
    <row r="622" spans="1:6" x14ac:dyDescent="0.2">
      <c r="A622" s="38">
        <v>40330</v>
      </c>
      <c r="B622" s="37">
        <f>VLOOKUP(Table534567910[[#This Row],[Date]],Database!A:E,MATCH($A$1,Database!$A$1:$E$1,),)</f>
        <v>96.632000000000005</v>
      </c>
      <c r="C622" s="9">
        <f t="shared" si="9"/>
        <v>4.8661800486629662E-4</v>
      </c>
      <c r="D622" s="7">
        <f>(Table534567910[[#This Row],[Value]]-B610)/B610</f>
        <v>1.5564733949196633E-2</v>
      </c>
      <c r="E622" s="16">
        <v>0.02</v>
      </c>
      <c r="F622" s="15">
        <f>VLOOKUP(Table534567910[[#This Row],[Date]],Database!A:E,4)</f>
        <v>0.25</v>
      </c>
    </row>
    <row r="623" spans="1:6" x14ac:dyDescent="0.2">
      <c r="A623" s="38">
        <v>40360</v>
      </c>
      <c r="B623" s="37">
        <f>VLOOKUP(Table534567910[[#This Row],[Date]],Database!A:E,MATCH($A$1,Database!$A$1:$E$1,),)</f>
        <v>96.632999999999996</v>
      </c>
      <c r="C623" s="9">
        <f t="shared" si="9"/>
        <v>1.0348538786225722E-5</v>
      </c>
      <c r="D623" s="7">
        <f>(Table534567910[[#This Row],[Value]]-B611)/B611</f>
        <v>1.4700786492077235E-2</v>
      </c>
      <c r="E623" s="16">
        <v>0.02</v>
      </c>
      <c r="F623" s="15">
        <f>VLOOKUP(Table534567910[[#This Row],[Date]],Database!A:E,4)</f>
        <v>0.25</v>
      </c>
    </row>
    <row r="624" spans="1:6" x14ac:dyDescent="0.2">
      <c r="A624" s="38">
        <v>40391</v>
      </c>
      <c r="B624" s="37">
        <f>VLOOKUP(Table534567910[[#This Row],[Date]],Database!A:E,MATCH($A$1,Database!$A$1:$E$1,),)</f>
        <v>96.725999999999999</v>
      </c>
      <c r="C624" s="9">
        <f t="shared" si="9"/>
        <v>9.6240414765145989E-4</v>
      </c>
      <c r="D624" s="7">
        <f>(Table534567910[[#This Row],[Value]]-B612)/B612</f>
        <v>1.4175771174533981E-2</v>
      </c>
      <c r="E624" s="16">
        <v>0.02</v>
      </c>
      <c r="F624" s="15">
        <f>VLOOKUP(Table534567910[[#This Row],[Date]],Database!A:E,4)</f>
        <v>0.25</v>
      </c>
    </row>
    <row r="625" spans="1:6" x14ac:dyDescent="0.2">
      <c r="A625" s="38">
        <v>40422</v>
      </c>
      <c r="B625" s="37">
        <f>VLOOKUP(Table534567910[[#This Row],[Date]],Database!A:E,MATCH($A$1,Database!$A$1:$E$1,),)</f>
        <v>96.781000000000006</v>
      </c>
      <c r="C625" s="9">
        <f t="shared" si="9"/>
        <v>5.686165043525714E-4</v>
      </c>
      <c r="D625" s="7">
        <f>(Table534567910[[#This Row],[Value]]-B613)/B613</f>
        <v>1.2978721177295706E-2</v>
      </c>
      <c r="E625" s="16">
        <v>0.02</v>
      </c>
      <c r="F625" s="15">
        <f>VLOOKUP(Table534567910[[#This Row],[Date]],Database!A:E,4)</f>
        <v>0.25</v>
      </c>
    </row>
    <row r="626" spans="1:6" x14ac:dyDescent="0.2">
      <c r="A626" s="38">
        <v>40452</v>
      </c>
      <c r="B626" s="37">
        <f>VLOOKUP(Table534567910[[#This Row],[Date]],Database!A:E,MATCH($A$1,Database!$A$1:$E$1,),)</f>
        <v>96.927999999999997</v>
      </c>
      <c r="C626" s="9">
        <f t="shared" si="9"/>
        <v>1.5188931711802042E-3</v>
      </c>
      <c r="D626" s="7">
        <f>(Table534567910[[#This Row],[Value]]-B614)/B614</f>
        <v>1.0793280010011123E-2</v>
      </c>
      <c r="E626" s="16">
        <v>0.02</v>
      </c>
      <c r="F626" s="15">
        <f>VLOOKUP(Table534567910[[#This Row],[Date]],Database!A:E,4)</f>
        <v>0.25</v>
      </c>
    </row>
    <row r="627" spans="1:6" x14ac:dyDescent="0.2">
      <c r="A627" s="38">
        <v>40483</v>
      </c>
      <c r="B627" s="37">
        <f>VLOOKUP(Table534567910[[#This Row],[Date]],Database!A:E,MATCH($A$1,Database!$A$1:$E$1,),)</f>
        <v>97.054000000000002</v>
      </c>
      <c r="C627" s="9">
        <f t="shared" si="9"/>
        <v>1.2999339716078407E-3</v>
      </c>
      <c r="D627" s="7">
        <f>(Table534567910[[#This Row],[Value]]-B615)/B615</f>
        <v>1.1210902498489318E-2</v>
      </c>
      <c r="E627" s="16">
        <v>0.02</v>
      </c>
      <c r="F627" s="15">
        <f>VLOOKUP(Table534567910[[#This Row],[Date]],Database!A:E,4)</f>
        <v>0.25</v>
      </c>
    </row>
    <row r="628" spans="1:6" x14ac:dyDescent="0.2">
      <c r="A628" s="38">
        <v>40513</v>
      </c>
      <c r="B628" s="37">
        <f>VLOOKUP(Table534567910[[#This Row],[Date]],Database!A:E,MATCH($A$1,Database!$A$1:$E$1,),)</f>
        <v>97.073999999999998</v>
      </c>
      <c r="C628" s="9">
        <f t="shared" si="9"/>
        <v>2.0607084715721166E-4</v>
      </c>
      <c r="D628" s="7">
        <f>(Table534567910[[#This Row],[Value]]-B616)/B616</f>
        <v>1.0555902560899394E-2</v>
      </c>
      <c r="E628" s="16">
        <v>0.02</v>
      </c>
      <c r="F628" s="15">
        <f>VLOOKUP(Table534567910[[#This Row],[Date]],Database!A:E,4)</f>
        <v>0.25</v>
      </c>
    </row>
    <row r="629" spans="1:6" x14ac:dyDescent="0.2">
      <c r="A629" s="38">
        <v>40544</v>
      </c>
      <c r="B629" s="37">
        <f>VLOOKUP(Table534567910[[#This Row],[Date]],Database!A:E,MATCH($A$1,Database!$A$1:$E$1,),)</f>
        <v>97.283000000000001</v>
      </c>
      <c r="C629" s="9">
        <f t="shared" si="9"/>
        <v>2.1529966829429426E-3</v>
      </c>
      <c r="D629" s="7">
        <f>(Table534567910[[#This Row],[Value]]-B617)/B617</f>
        <v>1.1247284331763785E-2</v>
      </c>
      <c r="E629" s="16">
        <v>0.02</v>
      </c>
      <c r="F629" s="15">
        <f>VLOOKUP(Table534567910[[#This Row],[Date]],Database!A:E,4)</f>
        <v>0.25</v>
      </c>
    </row>
    <row r="630" spans="1:6" x14ac:dyDescent="0.2">
      <c r="A630" s="38">
        <v>40575</v>
      </c>
      <c r="B630" s="37">
        <f>VLOOKUP(Table534567910[[#This Row],[Date]],Database!A:E,MATCH($A$1,Database!$A$1:$E$1,),)</f>
        <v>97.453000000000003</v>
      </c>
      <c r="C630" s="9">
        <f t="shared" si="9"/>
        <v>1.7474790045537423E-3</v>
      </c>
      <c r="D630" s="7">
        <f>(Table534567910[[#This Row],[Value]]-B618)/B618</f>
        <v>1.2130653788232916E-2</v>
      </c>
      <c r="E630" s="16">
        <v>0.02</v>
      </c>
      <c r="F630" s="15">
        <f>VLOOKUP(Table534567910[[#This Row],[Date]],Database!A:E,4)</f>
        <v>0.25</v>
      </c>
    </row>
    <row r="631" spans="1:6" x14ac:dyDescent="0.2">
      <c r="A631" s="38">
        <v>40603</v>
      </c>
      <c r="B631" s="37">
        <f>VLOOKUP(Table534567910[[#This Row],[Date]],Database!A:E,MATCH($A$1,Database!$A$1:$E$1,),)</f>
        <v>97.6</v>
      </c>
      <c r="C631" s="9">
        <f t="shared" si="9"/>
        <v>1.5084194432186937E-3</v>
      </c>
      <c r="D631" s="7">
        <f>(Table534567910[[#This Row],[Value]]-B619)/B619</f>
        <v>1.2143649731927037E-2</v>
      </c>
      <c r="E631" s="16">
        <v>0.02</v>
      </c>
      <c r="F631" s="15">
        <f>VLOOKUP(Table534567910[[#This Row],[Date]],Database!A:E,4)</f>
        <v>0.25</v>
      </c>
    </row>
    <row r="632" spans="1:6" x14ac:dyDescent="0.2">
      <c r="A632" s="38">
        <v>40634</v>
      </c>
      <c r="B632" s="37">
        <f>VLOOKUP(Table534567910[[#This Row],[Date]],Database!A:E,MATCH($A$1,Database!$A$1:$E$1,),)</f>
        <v>97.823999999999998</v>
      </c>
      <c r="C632" s="9">
        <f t="shared" si="9"/>
        <v>2.2950819672131533E-3</v>
      </c>
      <c r="D632" s="7">
        <f>(Table534567910[[#This Row],[Value]]-B620)/B620</f>
        <v>1.3951367151060384E-2</v>
      </c>
      <c r="E632" s="16">
        <v>0.02</v>
      </c>
      <c r="F632" s="15">
        <f>VLOOKUP(Table534567910[[#This Row],[Date]],Database!A:E,4)</f>
        <v>0.25</v>
      </c>
    </row>
    <row r="633" spans="1:6" x14ac:dyDescent="0.2">
      <c r="A633" s="38">
        <v>40664</v>
      </c>
      <c r="B633" s="37">
        <f>VLOOKUP(Table534567910[[#This Row],[Date]],Database!A:E,MATCH($A$1,Database!$A$1:$E$1,),)</f>
        <v>98.057000000000002</v>
      </c>
      <c r="C633" s="9">
        <f t="shared" si="9"/>
        <v>2.3818285901210756E-3</v>
      </c>
      <c r="D633" s="7">
        <f>(Table534567910[[#This Row],[Value]]-B621)/B621</f>
        <v>1.5240461769425982E-2</v>
      </c>
      <c r="E633" s="16">
        <v>0.02</v>
      </c>
      <c r="F633" s="15">
        <f>VLOOKUP(Table534567910[[#This Row],[Date]],Database!A:E,4)</f>
        <v>0.25</v>
      </c>
    </row>
    <row r="634" spans="1:6" x14ac:dyDescent="0.2">
      <c r="A634" s="38">
        <v>40695</v>
      </c>
      <c r="B634" s="37">
        <f>VLOOKUP(Table534567910[[#This Row],[Date]],Database!A:E,MATCH($A$1,Database!$A$1:$E$1,),)</f>
        <v>98.164000000000001</v>
      </c>
      <c r="C634" s="9">
        <f t="shared" si="9"/>
        <v>1.0912020559470442E-3</v>
      </c>
      <c r="D634" s="7">
        <f>(Table534567910[[#This Row],[Value]]-B622)/B622</f>
        <v>1.5853961420647367E-2</v>
      </c>
      <c r="E634" s="16">
        <v>0.02</v>
      </c>
      <c r="F634" s="15">
        <f>VLOOKUP(Table534567910[[#This Row],[Date]],Database!A:E,4)</f>
        <v>0.25</v>
      </c>
    </row>
    <row r="635" spans="1:6" x14ac:dyDescent="0.2">
      <c r="A635" s="38">
        <v>40725</v>
      </c>
      <c r="B635" s="37">
        <f>VLOOKUP(Table534567910[[#This Row],[Date]],Database!A:E,MATCH($A$1,Database!$A$1:$E$1,),)</f>
        <v>98.308999999999997</v>
      </c>
      <c r="C635" s="9">
        <f t="shared" si="9"/>
        <v>1.4771199217635388E-3</v>
      </c>
      <c r="D635" s="7">
        <f>(Table534567910[[#This Row],[Value]]-B623)/B623</f>
        <v>1.7343971521115997E-2</v>
      </c>
      <c r="E635" s="16">
        <v>0.02</v>
      </c>
      <c r="F635" s="15">
        <f>VLOOKUP(Table534567910[[#This Row],[Date]],Database!A:E,4)</f>
        <v>0.25</v>
      </c>
    </row>
    <row r="636" spans="1:6" x14ac:dyDescent="0.2">
      <c r="A636" s="38">
        <v>40756</v>
      </c>
      <c r="B636" s="37">
        <f>VLOOKUP(Table534567910[[#This Row],[Date]],Database!A:E,MATCH($A$1,Database!$A$1:$E$1,),)</f>
        <v>98.504999999999995</v>
      </c>
      <c r="C636" s="9">
        <f t="shared" si="9"/>
        <v>1.9937136986440504E-3</v>
      </c>
      <c r="D636" s="7">
        <f>(Table534567910[[#This Row],[Value]]-B624)/B624</f>
        <v>1.8392159295329037E-2</v>
      </c>
      <c r="E636" s="16">
        <v>0.02</v>
      </c>
      <c r="F636" s="15">
        <f>VLOOKUP(Table534567910[[#This Row],[Date]],Database!A:E,4)</f>
        <v>0.25</v>
      </c>
    </row>
    <row r="637" spans="1:6" x14ac:dyDescent="0.2">
      <c r="A637" s="38">
        <v>40787</v>
      </c>
      <c r="B637" s="37">
        <f>VLOOKUP(Table534567910[[#This Row],[Date]],Database!A:E,MATCH($A$1,Database!$A$1:$E$1,),)</f>
        <v>98.572000000000003</v>
      </c>
      <c r="C637" s="9">
        <f t="shared" si="9"/>
        <v>6.8016851936457314E-4</v>
      </c>
      <c r="D637" s="7">
        <f>(Table534567910[[#This Row],[Value]]-B625)/B625</f>
        <v>1.8505698432543544E-2</v>
      </c>
      <c r="E637" s="16">
        <v>0.02</v>
      </c>
      <c r="F637" s="15">
        <f>VLOOKUP(Table534567910[[#This Row],[Date]],Database!A:E,4)</f>
        <v>0.25</v>
      </c>
    </row>
    <row r="638" spans="1:6" x14ac:dyDescent="0.2">
      <c r="A638" s="38">
        <v>40817</v>
      </c>
      <c r="B638" s="37">
        <f>VLOOKUP(Table534567910[[#This Row],[Date]],Database!A:E,MATCH($A$1,Database!$A$1:$E$1,),)</f>
        <v>98.619</v>
      </c>
      <c r="C638" s="9">
        <f t="shared" si="9"/>
        <v>4.7680883009370857E-4</v>
      </c>
      <c r="D638" s="7">
        <f>(Table534567910[[#This Row],[Value]]-B626)/B626</f>
        <v>1.7445939253879196E-2</v>
      </c>
      <c r="E638" s="16">
        <v>0.02</v>
      </c>
      <c r="F638" s="15">
        <f>VLOOKUP(Table534567910[[#This Row],[Date]],Database!A:E,4)</f>
        <v>0.25</v>
      </c>
    </row>
    <row r="639" spans="1:6" x14ac:dyDescent="0.2">
      <c r="A639" s="38">
        <v>40848</v>
      </c>
      <c r="B639" s="37">
        <f>VLOOKUP(Table534567910[[#This Row],[Date]],Database!A:E,MATCH($A$1,Database!$A$1:$E$1,),)</f>
        <v>98.828000000000003</v>
      </c>
      <c r="C639" s="9">
        <f t="shared" si="9"/>
        <v>2.1192670783520742E-3</v>
      </c>
      <c r="D639" s="7">
        <f>(Table534567910[[#This Row],[Value]]-B627)/B627</f>
        <v>1.8278484142848321E-2</v>
      </c>
      <c r="E639" s="16">
        <v>0.02</v>
      </c>
      <c r="F639" s="15">
        <f>VLOOKUP(Table534567910[[#This Row],[Date]],Database!A:E,4)</f>
        <v>0.25</v>
      </c>
    </row>
    <row r="640" spans="1:6" x14ac:dyDescent="0.2">
      <c r="A640" s="38">
        <v>40878</v>
      </c>
      <c r="B640" s="37">
        <f>VLOOKUP(Table534567910[[#This Row],[Date]],Database!A:E,MATCH($A$1,Database!$A$1:$E$1,),)</f>
        <v>98.992000000000004</v>
      </c>
      <c r="C640" s="9">
        <f t="shared" si="9"/>
        <v>1.6594487392237167E-3</v>
      </c>
      <c r="D640" s="7">
        <f>(Table534567910[[#This Row],[Value]]-B628)/B628</f>
        <v>1.9758122669303897E-2</v>
      </c>
      <c r="E640" s="16">
        <v>0.02</v>
      </c>
      <c r="F640" s="15">
        <f>VLOOKUP(Table534567910[[#This Row],[Date]],Database!A:E,4)</f>
        <v>0.25</v>
      </c>
    </row>
    <row r="641" spans="1:6" x14ac:dyDescent="0.2">
      <c r="A641" s="38">
        <v>40909</v>
      </c>
      <c r="B641" s="37">
        <f>VLOOKUP(Table534567910[[#This Row],[Date]],Database!A:E,MATCH($A$1,Database!$A$1:$E$1,),)</f>
        <v>99.287999999999997</v>
      </c>
      <c r="C641" s="9">
        <f t="shared" si="9"/>
        <v>2.990140617423552E-3</v>
      </c>
      <c r="D641" s="7">
        <f>(Table534567910[[#This Row],[Value]]-B629)/B629</f>
        <v>2.0609972965471825E-2</v>
      </c>
      <c r="E641" s="16">
        <v>0.02</v>
      </c>
      <c r="F641" s="15">
        <f>VLOOKUP(Table534567910[[#This Row],[Date]],Database!A:E,4)</f>
        <v>0.25</v>
      </c>
    </row>
    <row r="642" spans="1:6" x14ac:dyDescent="0.2">
      <c r="A642" s="38">
        <v>40940</v>
      </c>
      <c r="B642" s="37">
        <f>VLOOKUP(Table534567910[[#This Row],[Date]],Database!A:E,MATCH($A$1,Database!$A$1:$E$1,),)</f>
        <v>99.426000000000002</v>
      </c>
      <c r="C642" s="9">
        <f t="shared" si="9"/>
        <v>1.3898960599468741E-3</v>
      </c>
      <c r="D642" s="7">
        <f>(Table534567910[[#This Row],[Value]]-B630)/B630</f>
        <v>2.0245656880752763E-2</v>
      </c>
      <c r="E642" s="16">
        <v>0.02</v>
      </c>
      <c r="F642" s="15">
        <f>VLOOKUP(Table534567910[[#This Row],[Date]],Database!A:E,4)</f>
        <v>0.25</v>
      </c>
    </row>
    <row r="643" spans="1:6" x14ac:dyDescent="0.2">
      <c r="A643" s="38">
        <v>40969</v>
      </c>
      <c r="B643" s="37">
        <f>VLOOKUP(Table534567910[[#This Row],[Date]],Database!A:E,MATCH($A$1,Database!$A$1:$E$1,),)</f>
        <v>99.594999999999999</v>
      </c>
      <c r="C643" s="9">
        <f t="shared" si="9"/>
        <v>1.6997566029006187E-3</v>
      </c>
      <c r="D643" s="7">
        <f>(Table534567910[[#This Row],[Value]]-B631)/B631</f>
        <v>2.0440573770491851E-2</v>
      </c>
      <c r="E643" s="16">
        <v>0.02</v>
      </c>
      <c r="F643" s="15">
        <f>VLOOKUP(Table534567910[[#This Row],[Date]],Database!A:E,4)</f>
        <v>0.25</v>
      </c>
    </row>
    <row r="644" spans="1:6" x14ac:dyDescent="0.2">
      <c r="A644" s="38">
        <v>41000</v>
      </c>
      <c r="B644" s="37">
        <f>VLOOKUP(Table534567910[[#This Row],[Date]],Database!A:E,MATCH($A$1,Database!$A$1:$E$1,),)</f>
        <v>99.745999999999995</v>
      </c>
      <c r="C644" s="9">
        <f t="shared" si="9"/>
        <v>1.5161403684923564E-3</v>
      </c>
      <c r="D644" s="7">
        <f>(Table534567910[[#This Row],[Value]]-B632)/B632</f>
        <v>1.9647530258423262E-2</v>
      </c>
      <c r="E644" s="16">
        <v>0.02</v>
      </c>
      <c r="F644" s="15">
        <f>VLOOKUP(Table534567910[[#This Row],[Date]],Database!A:E,4)</f>
        <v>0.25</v>
      </c>
    </row>
    <row r="645" spans="1:6" x14ac:dyDescent="0.2">
      <c r="A645" s="38">
        <v>41030</v>
      </c>
      <c r="B645" s="37">
        <f>VLOOKUP(Table534567910[[#This Row],[Date]],Database!A:E,MATCH($A$1,Database!$A$1:$E$1,),)</f>
        <v>99.846999999999994</v>
      </c>
      <c r="C645" s="9">
        <f t="shared" si="9"/>
        <v>1.012571932709072E-3</v>
      </c>
      <c r="D645" s="7">
        <f>(Table534567910[[#This Row],[Value]]-B633)/B633</f>
        <v>1.8254688599487971E-2</v>
      </c>
      <c r="E645" s="16">
        <v>0.02</v>
      </c>
      <c r="F645" s="15">
        <f>VLOOKUP(Table534567910[[#This Row],[Date]],Database!A:E,4)</f>
        <v>0.25</v>
      </c>
    </row>
    <row r="646" spans="1:6" x14ac:dyDescent="0.2">
      <c r="A646" s="38">
        <v>41061</v>
      </c>
      <c r="B646" s="37">
        <f>VLOOKUP(Table534567910[[#This Row],[Date]],Database!A:E,MATCH($A$1,Database!$A$1:$E$1,),)</f>
        <v>99.95</v>
      </c>
      <c r="C646" s="9">
        <f t="shared" ref="C646:C709" si="10">(B646-B645)/B645</f>
        <v>1.0315783148217637E-3</v>
      </c>
      <c r="D646" s="7">
        <f>(Table534567910[[#This Row],[Value]]-B634)/B634</f>
        <v>1.8194042622550033E-2</v>
      </c>
      <c r="E646" s="16">
        <v>0.02</v>
      </c>
      <c r="F646" s="15">
        <f>VLOOKUP(Table534567910[[#This Row],[Date]],Database!A:E,4)</f>
        <v>0.25</v>
      </c>
    </row>
    <row r="647" spans="1:6" x14ac:dyDescent="0.2">
      <c r="A647" s="38">
        <v>41091</v>
      </c>
      <c r="B647" s="37">
        <f>VLOOKUP(Table534567910[[#This Row],[Date]],Database!A:E,MATCH($A$1,Database!$A$1:$E$1,),)</f>
        <v>100.053</v>
      </c>
      <c r="C647" s="9">
        <f t="shared" si="10"/>
        <v>1.0305152576287587E-3</v>
      </c>
      <c r="D647" s="7">
        <f>(Table534567910[[#This Row],[Value]]-B635)/B635</f>
        <v>1.7739983114465611E-2</v>
      </c>
      <c r="E647" s="16">
        <v>0.02</v>
      </c>
      <c r="F647" s="15">
        <f>VLOOKUP(Table534567910[[#This Row],[Date]],Database!A:E,4)</f>
        <v>0.25</v>
      </c>
    </row>
    <row r="648" spans="1:6" x14ac:dyDescent="0.2">
      <c r="A648" s="38">
        <v>41122</v>
      </c>
      <c r="B648" s="37">
        <f>VLOOKUP(Table534567910[[#This Row],[Date]],Database!A:E,MATCH($A$1,Database!$A$1:$E$1,),)</f>
        <v>100.116</v>
      </c>
      <c r="C648" s="9">
        <f t="shared" si="10"/>
        <v>6.29666276873281E-4</v>
      </c>
      <c r="D648" s="7">
        <f>(Table534567910[[#This Row],[Value]]-B636)/B636</f>
        <v>1.6354499771585242E-2</v>
      </c>
      <c r="E648" s="16">
        <v>0.02</v>
      </c>
      <c r="F648" s="15">
        <f>VLOOKUP(Table534567910[[#This Row],[Date]],Database!A:E,4)</f>
        <v>0.25</v>
      </c>
    </row>
    <row r="649" spans="1:6" x14ac:dyDescent="0.2">
      <c r="A649" s="38">
        <v>41153</v>
      </c>
      <c r="B649" s="37">
        <f>VLOOKUP(Table534567910[[#This Row],[Date]],Database!A:E,MATCH($A$1,Database!$A$1:$E$1,),)</f>
        <v>100.24</v>
      </c>
      <c r="C649" s="9">
        <f t="shared" si="10"/>
        <v>1.2385632666106839E-3</v>
      </c>
      <c r="D649" s="7">
        <f>(Table534567910[[#This Row],[Value]]-B637)/B637</f>
        <v>1.692164103396494E-2</v>
      </c>
      <c r="E649" s="16">
        <v>0.02</v>
      </c>
      <c r="F649" s="15">
        <f>VLOOKUP(Table534567910[[#This Row],[Date]],Database!A:E,4)</f>
        <v>0.25</v>
      </c>
    </row>
    <row r="650" spans="1:6" x14ac:dyDescent="0.2">
      <c r="A650" s="38">
        <v>41183</v>
      </c>
      <c r="B650" s="37">
        <f>VLOOKUP(Table534567910[[#This Row],[Date]],Database!A:E,MATCH($A$1,Database!$A$1:$E$1,),)</f>
        <v>100.482</v>
      </c>
      <c r="C650" s="9">
        <f t="shared" si="10"/>
        <v>2.4142059058260617E-3</v>
      </c>
      <c r="D650" s="7">
        <f>(Table534567910[[#This Row],[Value]]-B638)/B638</f>
        <v>1.8890883095549534E-2</v>
      </c>
      <c r="E650" s="16">
        <v>0.02</v>
      </c>
      <c r="F650" s="15">
        <f>VLOOKUP(Table534567910[[#This Row],[Date]],Database!A:E,4)</f>
        <v>0.25</v>
      </c>
    </row>
    <row r="651" spans="1:6" x14ac:dyDescent="0.2">
      <c r="A651" s="38">
        <v>41214</v>
      </c>
      <c r="B651" s="37">
        <f>VLOOKUP(Table534567910[[#This Row],[Date]],Database!A:E,MATCH($A$1,Database!$A$1:$E$1,),)</f>
        <v>100.59099999999999</v>
      </c>
      <c r="C651" s="9">
        <f t="shared" si="10"/>
        <v>1.0847714018430629E-3</v>
      </c>
      <c r="D651" s="7">
        <f>(Table534567910[[#This Row],[Value]]-B639)/B639</f>
        <v>1.7839073946654703E-2</v>
      </c>
      <c r="E651" s="16">
        <v>0.02</v>
      </c>
      <c r="F651" s="15">
        <f>VLOOKUP(Table534567910[[#This Row],[Date]],Database!A:E,4)</f>
        <v>0.25</v>
      </c>
    </row>
    <row r="652" spans="1:6" x14ac:dyDescent="0.2">
      <c r="A652" s="38">
        <v>41244</v>
      </c>
      <c r="B652" s="37">
        <f>VLOOKUP(Table534567910[[#This Row],[Date]],Database!A:E,MATCH($A$1,Database!$A$1:$E$1,),)</f>
        <v>100.664</v>
      </c>
      <c r="C652" s="9">
        <f t="shared" si="10"/>
        <v>7.2571104770812009E-4</v>
      </c>
      <c r="D652" s="7">
        <f>(Table534567910[[#This Row],[Value]]-B640)/B640</f>
        <v>1.6890253757879396E-2</v>
      </c>
      <c r="E652" s="16">
        <v>0.02</v>
      </c>
      <c r="F652" s="15">
        <f>VLOOKUP(Table534567910[[#This Row],[Date]],Database!A:E,4)</f>
        <v>0.25</v>
      </c>
    </row>
    <row r="653" spans="1:6" x14ac:dyDescent="0.2">
      <c r="A653" s="38">
        <v>41275</v>
      </c>
      <c r="B653" s="37">
        <f>VLOOKUP(Table534567910[[#This Row],[Date]],Database!A:E,MATCH($A$1,Database!$A$1:$E$1,),)</f>
        <v>100.871</v>
      </c>
      <c r="C653" s="9">
        <f t="shared" si="10"/>
        <v>2.0563458634665186E-3</v>
      </c>
      <c r="D653" s="7">
        <f>(Table534567910[[#This Row],[Value]]-B641)/B641</f>
        <v>1.5943517847071133E-2</v>
      </c>
      <c r="E653" s="16">
        <v>0.02</v>
      </c>
      <c r="F653" s="15">
        <f>VLOOKUP(Table534567910[[#This Row],[Date]],Database!A:E,4)</f>
        <v>0.25</v>
      </c>
    </row>
    <row r="654" spans="1:6" x14ac:dyDescent="0.2">
      <c r="A654" s="38">
        <v>41306</v>
      </c>
      <c r="B654" s="37">
        <f>VLOOKUP(Table534567910[[#This Row],[Date]],Database!A:E,MATCH($A$1,Database!$A$1:$E$1,),)</f>
        <v>100.992</v>
      </c>
      <c r="C654" s="9">
        <f t="shared" si="10"/>
        <v>1.1995519029256111E-3</v>
      </c>
      <c r="D654" s="7">
        <f>(Table534567910[[#This Row],[Value]]-B642)/B642</f>
        <v>1.5750407338120838E-2</v>
      </c>
      <c r="E654" s="16">
        <v>0.02</v>
      </c>
      <c r="F654" s="15">
        <f>VLOOKUP(Table534567910[[#This Row],[Date]],Database!A:E,4)</f>
        <v>0.25</v>
      </c>
    </row>
    <row r="655" spans="1:6" x14ac:dyDescent="0.2">
      <c r="A655" s="38">
        <v>41334</v>
      </c>
      <c r="B655" s="37">
        <f>VLOOKUP(Table534567910[[#This Row],[Date]],Database!A:E,MATCH($A$1,Database!$A$1:$E$1,),)</f>
        <v>101.08499999999999</v>
      </c>
      <c r="C655" s="9">
        <f t="shared" si="10"/>
        <v>9.2086501901130098E-4</v>
      </c>
      <c r="D655" s="7">
        <f>(Table534567910[[#This Row],[Value]]-B643)/B643</f>
        <v>1.4960590391083838E-2</v>
      </c>
      <c r="E655" s="16">
        <v>0.02</v>
      </c>
      <c r="F655" s="15">
        <f>VLOOKUP(Table534567910[[#This Row],[Date]],Database!A:E,4)</f>
        <v>0.25</v>
      </c>
    </row>
    <row r="656" spans="1:6" x14ac:dyDescent="0.2">
      <c r="A656" s="38">
        <v>41365</v>
      </c>
      <c r="B656" s="37">
        <f>VLOOKUP(Table534567910[[#This Row],[Date]],Database!A:E,MATCH($A$1,Database!$A$1:$E$1,),)</f>
        <v>101.163</v>
      </c>
      <c r="C656" s="9">
        <f t="shared" si="10"/>
        <v>7.716278379581833E-4</v>
      </c>
      <c r="D656" s="7">
        <f>(Table534567910[[#This Row],[Value]]-B644)/B644</f>
        <v>1.4206083451968015E-2</v>
      </c>
      <c r="E656" s="16">
        <v>0.02</v>
      </c>
      <c r="F656" s="15">
        <f>VLOOKUP(Table534567910[[#This Row],[Date]],Database!A:E,4)</f>
        <v>0.25</v>
      </c>
    </row>
    <row r="657" spans="1:6" x14ac:dyDescent="0.2">
      <c r="A657" s="38">
        <v>41395</v>
      </c>
      <c r="B657" s="37">
        <f>VLOOKUP(Table534567910[[#This Row],[Date]],Database!A:E,MATCH($A$1,Database!$A$1:$E$1,),)</f>
        <v>101.27200000000001</v>
      </c>
      <c r="C657" s="9">
        <f t="shared" si="10"/>
        <v>1.0774690351216243E-3</v>
      </c>
      <c r="D657" s="7">
        <f>(Table534567910[[#This Row],[Value]]-B645)/B645</f>
        <v>1.4271835908940794E-2</v>
      </c>
      <c r="E657" s="16">
        <v>0.02</v>
      </c>
      <c r="F657" s="15">
        <f>VLOOKUP(Table534567910[[#This Row],[Date]],Database!A:E,4)</f>
        <v>0.25</v>
      </c>
    </row>
    <row r="658" spans="1:6" x14ac:dyDescent="0.2">
      <c r="A658" s="38">
        <v>41426</v>
      </c>
      <c r="B658" s="37">
        <f>VLOOKUP(Table534567910[[#This Row],[Date]],Database!A:E,MATCH($A$1,Database!$A$1:$E$1,),)</f>
        <v>101.438</v>
      </c>
      <c r="C658" s="9">
        <f t="shared" si="10"/>
        <v>1.6391500118492456E-3</v>
      </c>
      <c r="D658" s="7">
        <f>(Table534567910[[#This Row],[Value]]-B646)/B646</f>
        <v>1.4887443721860925E-2</v>
      </c>
      <c r="E658" s="16">
        <v>0.02</v>
      </c>
      <c r="F658" s="15">
        <f>VLOOKUP(Table534567910[[#This Row],[Date]],Database!A:E,4)</f>
        <v>0.25</v>
      </c>
    </row>
    <row r="659" spans="1:6" x14ac:dyDescent="0.2">
      <c r="A659" s="38">
        <v>41456</v>
      </c>
      <c r="B659" s="37">
        <f>VLOOKUP(Table534567910[[#This Row],[Date]],Database!A:E,MATCH($A$1,Database!$A$1:$E$1,),)</f>
        <v>101.56699999999999</v>
      </c>
      <c r="C659" s="9">
        <f t="shared" si="10"/>
        <v>1.2717127703620998E-3</v>
      </c>
      <c r="D659" s="7">
        <f>(Table534567910[[#This Row],[Value]]-B647)/B647</f>
        <v>1.5131980050573155E-2</v>
      </c>
      <c r="E659" s="16">
        <v>0.02</v>
      </c>
      <c r="F659" s="15">
        <f>VLOOKUP(Table534567910[[#This Row],[Date]],Database!A:E,4)</f>
        <v>0.25</v>
      </c>
    </row>
    <row r="660" spans="1:6" x14ac:dyDescent="0.2">
      <c r="A660" s="38">
        <v>41487</v>
      </c>
      <c r="B660" s="37">
        <f>VLOOKUP(Table534567910[[#This Row],[Date]],Database!A:E,MATCH($A$1,Database!$A$1:$E$1,),)</f>
        <v>101.685</v>
      </c>
      <c r="C660" s="9">
        <f t="shared" si="10"/>
        <v>1.1617946774051535E-3</v>
      </c>
      <c r="D660" s="7">
        <f>(Table534567910[[#This Row],[Value]]-B648)/B648</f>
        <v>1.5671820688001943E-2</v>
      </c>
      <c r="E660" s="16">
        <v>0.02</v>
      </c>
      <c r="F660" s="15">
        <f>VLOOKUP(Table534567910[[#This Row],[Date]],Database!A:E,4)</f>
        <v>0.25</v>
      </c>
    </row>
    <row r="661" spans="1:6" x14ac:dyDescent="0.2">
      <c r="A661" s="38">
        <v>41518</v>
      </c>
      <c r="B661" s="37">
        <f>VLOOKUP(Table534567910[[#This Row],[Date]],Database!A:E,MATCH($A$1,Database!$A$1:$E$1,),)</f>
        <v>101.79900000000001</v>
      </c>
      <c r="C661" s="9">
        <f t="shared" si="10"/>
        <v>1.1211093081575879E-3</v>
      </c>
      <c r="D661" s="7">
        <f>(Table534567910[[#This Row],[Value]]-B649)/B649</f>
        <v>1.5552673583399958E-2</v>
      </c>
      <c r="E661" s="16">
        <v>0.02</v>
      </c>
      <c r="F661" s="15">
        <f>VLOOKUP(Table534567910[[#This Row],[Date]],Database!A:E,4)</f>
        <v>0.25</v>
      </c>
    </row>
    <row r="662" spans="1:6" x14ac:dyDescent="0.2">
      <c r="A662" s="38">
        <v>41548</v>
      </c>
      <c r="B662" s="37">
        <f>VLOOKUP(Table534567910[[#This Row],[Date]],Database!A:E,MATCH($A$1,Database!$A$1:$E$1,),)</f>
        <v>102.015</v>
      </c>
      <c r="C662" s="9">
        <f t="shared" si="10"/>
        <v>2.1218283087259598E-3</v>
      </c>
      <c r="D662" s="7">
        <f>(Table534567910[[#This Row],[Value]]-B650)/B650</f>
        <v>1.5256463844270629E-2</v>
      </c>
      <c r="E662" s="16">
        <v>0.02</v>
      </c>
      <c r="F662" s="15">
        <f>VLOOKUP(Table534567910[[#This Row],[Date]],Database!A:E,4)</f>
        <v>0.25</v>
      </c>
    </row>
    <row r="663" spans="1:6" x14ac:dyDescent="0.2">
      <c r="A663" s="38">
        <v>41579</v>
      </c>
      <c r="B663" s="37">
        <f>VLOOKUP(Table534567910[[#This Row],[Date]],Database!A:E,MATCH($A$1,Database!$A$1:$E$1,),)</f>
        <v>102.194</v>
      </c>
      <c r="C663" s="9">
        <f t="shared" si="10"/>
        <v>1.7546439249130231E-3</v>
      </c>
      <c r="D663" s="7">
        <f>(Table534567910[[#This Row],[Value]]-B651)/B651</f>
        <v>1.5935819307890453E-2</v>
      </c>
      <c r="E663" s="16">
        <v>0.02</v>
      </c>
      <c r="F663" s="15">
        <f>VLOOKUP(Table534567910[[#This Row],[Date]],Database!A:E,4)</f>
        <v>0.25</v>
      </c>
    </row>
    <row r="664" spans="1:6" x14ac:dyDescent="0.2">
      <c r="A664" s="38">
        <v>41609</v>
      </c>
      <c r="B664" s="37">
        <f>VLOOKUP(Table534567910[[#This Row],[Date]],Database!A:E,MATCH($A$1,Database!$A$1:$E$1,),)</f>
        <v>102.333</v>
      </c>
      <c r="C664" s="9">
        <f t="shared" si="10"/>
        <v>1.3601581306142807E-3</v>
      </c>
      <c r="D664" s="7">
        <f>(Table534567910[[#This Row],[Value]]-B652)/B652</f>
        <v>1.6579909401573521E-2</v>
      </c>
      <c r="E664" s="16">
        <v>0.02</v>
      </c>
      <c r="F664" s="15">
        <f>VLOOKUP(Table534567910[[#This Row],[Date]],Database!A:E,4)</f>
        <v>0.25</v>
      </c>
    </row>
    <row r="665" spans="1:6" x14ac:dyDescent="0.2">
      <c r="A665" s="38">
        <v>41640</v>
      </c>
      <c r="B665" s="37">
        <f>VLOOKUP(Table534567910[[#This Row],[Date]],Database!A:E,MATCH($A$1,Database!$A$1:$E$1,),)</f>
        <v>102.426</v>
      </c>
      <c r="C665" s="9">
        <f t="shared" si="10"/>
        <v>9.087977485269026E-4</v>
      </c>
      <c r="D665" s="7">
        <f>(Table534567910[[#This Row],[Value]]-B653)/B653</f>
        <v>1.5415729000406529E-2</v>
      </c>
      <c r="E665" s="16">
        <v>0.02</v>
      </c>
      <c r="F665" s="15">
        <f>VLOOKUP(Table534567910[[#This Row],[Date]],Database!A:E,4)</f>
        <v>0.25</v>
      </c>
    </row>
    <row r="666" spans="1:6" x14ac:dyDescent="0.2">
      <c r="A666" s="38">
        <v>41671</v>
      </c>
      <c r="B666" s="37">
        <f>VLOOKUP(Table534567910[[#This Row],[Date]],Database!A:E,MATCH($A$1,Database!$A$1:$E$1,),)</f>
        <v>102.489</v>
      </c>
      <c r="C666" s="9">
        <f t="shared" si="10"/>
        <v>6.1507820280009358E-4</v>
      </c>
      <c r="D666" s="7">
        <f>(Table534567910[[#This Row],[Value]]-B654)/B654</f>
        <v>1.4822956273764256E-2</v>
      </c>
      <c r="E666" s="16">
        <v>0.02</v>
      </c>
      <c r="F666" s="15">
        <f>VLOOKUP(Table534567910[[#This Row],[Date]],Database!A:E,4)</f>
        <v>0.25</v>
      </c>
    </row>
    <row r="667" spans="1:6" x14ac:dyDescent="0.2">
      <c r="A667" s="38">
        <v>41699</v>
      </c>
      <c r="B667" s="37">
        <f>VLOOKUP(Table534567910[[#This Row],[Date]],Database!A:E,MATCH($A$1,Database!$A$1:$E$1,),)</f>
        <v>102.684</v>
      </c>
      <c r="C667" s="9">
        <f t="shared" si="10"/>
        <v>1.9026432104908154E-3</v>
      </c>
      <c r="D667" s="7">
        <f>(Table534567910[[#This Row],[Value]]-B655)/B655</f>
        <v>1.5818370678142197E-2</v>
      </c>
      <c r="E667" s="16">
        <v>0.02</v>
      </c>
      <c r="F667" s="15">
        <f>VLOOKUP(Table534567910[[#This Row],[Date]],Database!A:E,4)</f>
        <v>0.25</v>
      </c>
    </row>
    <row r="668" spans="1:6" x14ac:dyDescent="0.2">
      <c r="A668" s="38">
        <v>41730</v>
      </c>
      <c r="B668" s="37">
        <f>VLOOKUP(Table534567910[[#This Row],[Date]],Database!A:E,MATCH($A$1,Database!$A$1:$E$1,),)</f>
        <v>102.879</v>
      </c>
      <c r="C668" s="9">
        <f t="shared" si="10"/>
        <v>1.8990300338904541E-3</v>
      </c>
      <c r="D668" s="7">
        <f>(Table534567910[[#This Row],[Value]]-B656)/B656</f>
        <v>1.6962723525399685E-2</v>
      </c>
      <c r="E668" s="16">
        <v>0.02</v>
      </c>
      <c r="F668" s="15">
        <f>VLOOKUP(Table534567910[[#This Row],[Date]],Database!A:E,4)</f>
        <v>0.25</v>
      </c>
    </row>
    <row r="669" spans="1:6" x14ac:dyDescent="0.2">
      <c r="A669" s="38">
        <v>41760</v>
      </c>
      <c r="B669" s="37">
        <f>VLOOKUP(Table534567910[[#This Row],[Date]],Database!A:E,MATCH($A$1,Database!$A$1:$E$1,),)</f>
        <v>103.06100000000001</v>
      </c>
      <c r="C669" s="9">
        <f t="shared" si="10"/>
        <v>1.7690685173845212E-3</v>
      </c>
      <c r="D669" s="7">
        <f>(Table534567910[[#This Row],[Value]]-B657)/B657</f>
        <v>1.7665297416857587E-2</v>
      </c>
      <c r="E669" s="16">
        <v>0.02</v>
      </c>
      <c r="F669" s="15">
        <f>VLOOKUP(Table534567910[[#This Row],[Date]],Database!A:E,4)</f>
        <v>0.25</v>
      </c>
    </row>
    <row r="670" spans="1:6" x14ac:dyDescent="0.2">
      <c r="A670" s="38">
        <v>41791</v>
      </c>
      <c r="B670" s="37">
        <f>VLOOKUP(Table534567910[[#This Row],[Date]],Database!A:E,MATCH($A$1,Database!$A$1:$E$1,),)</f>
        <v>103.18</v>
      </c>
      <c r="C670" s="9">
        <f t="shared" si="10"/>
        <v>1.1546559804387669E-3</v>
      </c>
      <c r="D670" s="7">
        <f>(Table534567910[[#This Row],[Value]]-B658)/B658</f>
        <v>1.7173051519154599E-2</v>
      </c>
      <c r="E670" s="16">
        <v>0.02</v>
      </c>
      <c r="F670" s="15">
        <f>VLOOKUP(Table534567910[[#This Row],[Date]],Database!A:E,4)</f>
        <v>0.25</v>
      </c>
    </row>
    <row r="671" spans="1:6" x14ac:dyDescent="0.2">
      <c r="A671" s="38">
        <v>41821</v>
      </c>
      <c r="B671" s="37">
        <f>VLOOKUP(Table534567910[[#This Row],[Date]],Database!A:E,MATCH($A$1,Database!$A$1:$E$1,),)</f>
        <v>103.369</v>
      </c>
      <c r="C671" s="9">
        <f t="shared" si="10"/>
        <v>1.8317503392129572E-3</v>
      </c>
      <c r="D671" s="7">
        <f>(Table534567910[[#This Row],[Value]]-B659)/B659</f>
        <v>1.7741983124440093E-2</v>
      </c>
      <c r="E671" s="16">
        <v>0.02</v>
      </c>
      <c r="F671" s="15">
        <f>VLOOKUP(Table534567910[[#This Row],[Date]],Database!A:E,4)</f>
        <v>0.25</v>
      </c>
    </row>
    <row r="672" spans="1:6" x14ac:dyDescent="0.2">
      <c r="A672" s="38">
        <v>41852</v>
      </c>
      <c r="B672" s="37">
        <f>VLOOKUP(Table534567910[[#This Row],[Date]],Database!A:E,MATCH($A$1,Database!$A$1:$E$1,),)</f>
        <v>103.408</v>
      </c>
      <c r="C672" s="9">
        <f t="shared" si="10"/>
        <v>3.772891292360522E-4</v>
      </c>
      <c r="D672" s="7">
        <f>(Table534567910[[#This Row],[Value]]-B660)/B660</f>
        <v>1.6944485420661837E-2</v>
      </c>
      <c r="E672" s="16">
        <v>0.02</v>
      </c>
      <c r="F672" s="15">
        <f>VLOOKUP(Table534567910[[#This Row],[Date]],Database!A:E,4)</f>
        <v>0.25</v>
      </c>
    </row>
    <row r="673" spans="1:6" x14ac:dyDescent="0.2">
      <c r="A673" s="38">
        <v>41883</v>
      </c>
      <c r="B673" s="37">
        <f>VLOOKUP(Table534567910[[#This Row],[Date]],Database!A:E,MATCH($A$1,Database!$A$1:$E$1,),)</f>
        <v>103.536</v>
      </c>
      <c r="C673" s="9">
        <f t="shared" si="10"/>
        <v>1.2378152560730321E-3</v>
      </c>
      <c r="D673" s="7">
        <f>(Table534567910[[#This Row],[Value]]-B661)/B661</f>
        <v>1.7063035982671684E-2</v>
      </c>
      <c r="E673" s="16">
        <v>0.02</v>
      </c>
      <c r="F673" s="15">
        <f>VLOOKUP(Table534567910[[#This Row],[Date]],Database!A:E,4)</f>
        <v>0.25</v>
      </c>
    </row>
    <row r="674" spans="1:6" x14ac:dyDescent="0.2">
      <c r="A674" s="38">
        <v>41913</v>
      </c>
      <c r="B674" s="37">
        <f>VLOOKUP(Table534567910[[#This Row],[Date]],Database!A:E,MATCH($A$1,Database!$A$1:$E$1,),)</f>
        <v>103.629</v>
      </c>
      <c r="C674" s="9">
        <f t="shared" si="10"/>
        <v>8.9823829392678416E-4</v>
      </c>
      <c r="D674" s="7">
        <f>(Table534567910[[#This Row],[Value]]-B662)/B662</f>
        <v>1.5821202764299411E-2</v>
      </c>
      <c r="E674" s="16">
        <v>0.02</v>
      </c>
      <c r="F674" s="15">
        <f>VLOOKUP(Table534567910[[#This Row],[Date]],Database!A:E,4)</f>
        <v>0.25</v>
      </c>
    </row>
    <row r="675" spans="1:6" x14ac:dyDescent="0.2">
      <c r="A675" s="38">
        <v>41944</v>
      </c>
      <c r="B675" s="37">
        <f>VLOOKUP(Table534567910[[#This Row],[Date]],Database!A:E,MATCH($A$1,Database!$A$1:$E$1,),)</f>
        <v>103.74</v>
      </c>
      <c r="C675" s="9">
        <f t="shared" si="10"/>
        <v>1.0711287380944523E-3</v>
      </c>
      <c r="D675" s="7">
        <f>(Table534567910[[#This Row],[Value]]-B663)/B663</f>
        <v>1.5128089711724683E-2</v>
      </c>
      <c r="E675" s="16">
        <v>0.02</v>
      </c>
      <c r="F675" s="15">
        <f>VLOOKUP(Table534567910[[#This Row],[Date]],Database!A:E,4)</f>
        <v>0.25</v>
      </c>
    </row>
    <row r="676" spans="1:6" x14ac:dyDescent="0.2">
      <c r="A676" s="38">
        <v>41974</v>
      </c>
      <c r="B676" s="37">
        <f>VLOOKUP(Table534567910[[#This Row],[Date]],Database!A:E,MATCH($A$1,Database!$A$1:$E$1,),)</f>
        <v>103.837</v>
      </c>
      <c r="C676" s="9">
        <f t="shared" si="10"/>
        <v>9.3502988239838459E-4</v>
      </c>
      <c r="D676" s="7">
        <f>(Table534567910[[#This Row],[Value]]-B664)/B664</f>
        <v>1.4697116277251765E-2</v>
      </c>
      <c r="E676" s="16">
        <v>0.02</v>
      </c>
      <c r="F676" s="15">
        <f>VLOOKUP(Table534567910[[#This Row],[Date]],Database!A:E,4)</f>
        <v>0.25</v>
      </c>
    </row>
    <row r="677" spans="1:6" x14ac:dyDescent="0.2">
      <c r="A677" s="38">
        <v>42005</v>
      </c>
      <c r="B677" s="37">
        <f>VLOOKUP(Table534567910[[#This Row],[Date]],Database!A:E,MATCH($A$1,Database!$A$1:$E$1,),)</f>
        <v>103.816</v>
      </c>
      <c r="C677" s="9">
        <f t="shared" si="10"/>
        <v>-2.0224004930805779E-4</v>
      </c>
      <c r="D677" s="7">
        <f>(Table534567910[[#This Row],[Value]]-B665)/B665</f>
        <v>1.3570773045906318E-2</v>
      </c>
      <c r="E677" s="16">
        <v>0.02</v>
      </c>
      <c r="F677" s="15">
        <f>VLOOKUP(Table534567910[[#This Row],[Date]],Database!A:E,4)</f>
        <v>0.25</v>
      </c>
    </row>
    <row r="678" spans="1:6" x14ac:dyDescent="0.2">
      <c r="A678" s="38">
        <v>42036</v>
      </c>
      <c r="B678" s="37">
        <f>VLOOKUP(Table534567910[[#This Row],[Date]],Database!A:E,MATCH($A$1,Database!$A$1:$E$1,),)</f>
        <v>103.92</v>
      </c>
      <c r="C678" s="9">
        <f t="shared" si="10"/>
        <v>1.0017723664945597E-3</v>
      </c>
      <c r="D678" s="7">
        <f>(Table534567910[[#This Row],[Value]]-B666)/B666</f>
        <v>1.3962474021602292E-2</v>
      </c>
      <c r="E678" s="16">
        <v>0.02</v>
      </c>
      <c r="F678" s="15">
        <f>VLOOKUP(Table534567910[[#This Row],[Date]],Database!A:E,4)</f>
        <v>0.25</v>
      </c>
    </row>
    <row r="679" spans="1:6" x14ac:dyDescent="0.2">
      <c r="A679" s="38">
        <v>42064</v>
      </c>
      <c r="B679" s="37">
        <f>VLOOKUP(Table534567910[[#This Row],[Date]],Database!A:E,MATCH($A$1,Database!$A$1:$E$1,),)</f>
        <v>104.08</v>
      </c>
      <c r="C679" s="9">
        <f t="shared" si="10"/>
        <v>1.5396458814472343E-3</v>
      </c>
      <c r="D679" s="7">
        <f>(Table534567910[[#This Row],[Value]]-B667)/B667</f>
        <v>1.3595107319543462E-2</v>
      </c>
      <c r="E679" s="16">
        <v>0.02</v>
      </c>
      <c r="F679" s="15">
        <f>VLOOKUP(Table534567910[[#This Row],[Date]],Database!A:E,4)</f>
        <v>0.25</v>
      </c>
    </row>
    <row r="680" spans="1:6" x14ac:dyDescent="0.2">
      <c r="A680" s="38">
        <v>42095</v>
      </c>
      <c r="B680" s="37">
        <f>VLOOKUP(Table534567910[[#This Row],[Date]],Database!A:E,MATCH($A$1,Database!$A$1:$E$1,),)</f>
        <v>104.256</v>
      </c>
      <c r="C680" s="9">
        <f t="shared" si="10"/>
        <v>1.6910069177555912E-3</v>
      </c>
      <c r="D680" s="7">
        <f>(Table534567910[[#This Row],[Value]]-B668)/B668</f>
        <v>1.3384655760650815E-2</v>
      </c>
      <c r="E680" s="16">
        <v>0.02</v>
      </c>
      <c r="F680" s="15">
        <f>VLOOKUP(Table534567910[[#This Row],[Date]],Database!A:E,4)</f>
        <v>0.25</v>
      </c>
    </row>
    <row r="681" spans="1:6" x14ac:dyDescent="0.2">
      <c r="A681" s="38">
        <v>42125</v>
      </c>
      <c r="B681" s="37">
        <f>VLOOKUP(Table534567910[[#This Row],[Date]],Database!A:E,MATCH($A$1,Database!$A$1:$E$1,),)</f>
        <v>104.38500000000001</v>
      </c>
      <c r="C681" s="9">
        <f t="shared" si="10"/>
        <v>1.2373388581952587E-3</v>
      </c>
      <c r="D681" s="7">
        <f>(Table534567910[[#This Row],[Value]]-B669)/B669</f>
        <v>1.2846760656310321E-2</v>
      </c>
      <c r="E681" s="16">
        <v>0.02</v>
      </c>
      <c r="F681" s="15">
        <f>VLOOKUP(Table534567910[[#This Row],[Date]],Database!A:E,4)</f>
        <v>0.25</v>
      </c>
    </row>
    <row r="682" spans="1:6" x14ac:dyDescent="0.2">
      <c r="A682" s="38">
        <v>42156</v>
      </c>
      <c r="B682" s="37">
        <f>VLOOKUP(Table534567910[[#This Row],[Date]],Database!A:E,MATCH($A$1,Database!$A$1:$E$1,),)</f>
        <v>104.511</v>
      </c>
      <c r="C682" s="9">
        <f t="shared" si="10"/>
        <v>1.2070699813190647E-3</v>
      </c>
      <c r="D682" s="7">
        <f>(Table534567910[[#This Row],[Value]]-B670)/B670</f>
        <v>1.2899786780383686E-2</v>
      </c>
      <c r="E682" s="16">
        <v>0.02</v>
      </c>
      <c r="F682" s="15">
        <f>VLOOKUP(Table534567910[[#This Row],[Date]],Database!A:E,4)</f>
        <v>0.25</v>
      </c>
    </row>
    <row r="683" spans="1:6" x14ac:dyDescent="0.2">
      <c r="A683" s="38">
        <v>42186</v>
      </c>
      <c r="B683" s="37">
        <f>VLOOKUP(Table534567910[[#This Row],[Date]],Database!A:E,MATCH($A$1,Database!$A$1:$E$1,),)</f>
        <v>104.60299999999999</v>
      </c>
      <c r="C683" s="9">
        <f t="shared" si="10"/>
        <v>8.8029011300244718E-4</v>
      </c>
      <c r="D683" s="7">
        <f>(Table534567910[[#This Row],[Value]]-B671)/B671</f>
        <v>1.193781501223766E-2</v>
      </c>
      <c r="E683" s="16">
        <v>0.02</v>
      </c>
      <c r="F683" s="15">
        <f>VLOOKUP(Table534567910[[#This Row],[Date]],Database!A:E,4)</f>
        <v>0.25</v>
      </c>
    </row>
    <row r="684" spans="1:6" x14ac:dyDescent="0.2">
      <c r="A684" s="38">
        <v>42217</v>
      </c>
      <c r="B684" s="37">
        <f>VLOOKUP(Table534567910[[#This Row],[Date]],Database!A:E,MATCH($A$1,Database!$A$1:$E$1,),)</f>
        <v>104.679</v>
      </c>
      <c r="C684" s="9">
        <f t="shared" si="10"/>
        <v>7.265565997151862E-4</v>
      </c>
      <c r="D684" s="7">
        <f>(Table534567910[[#This Row],[Value]]-B672)/B672</f>
        <v>1.2291118675537683E-2</v>
      </c>
      <c r="E684" s="16">
        <v>0.02</v>
      </c>
      <c r="F684" s="15">
        <f>VLOOKUP(Table534567910[[#This Row],[Date]],Database!A:E,4)</f>
        <v>0.25</v>
      </c>
    </row>
    <row r="685" spans="1:6" x14ac:dyDescent="0.2">
      <c r="A685" s="38">
        <v>42248</v>
      </c>
      <c r="B685" s="37">
        <f>VLOOKUP(Table534567910[[#This Row],[Date]],Database!A:E,MATCH($A$1,Database!$A$1:$E$1,),)</f>
        <v>104.81399999999999</v>
      </c>
      <c r="C685" s="9">
        <f t="shared" si="10"/>
        <v>1.2896569512508803E-3</v>
      </c>
      <c r="D685" s="7">
        <f>(Table534567910[[#This Row],[Value]]-B673)/B673</f>
        <v>1.2343532684283646E-2</v>
      </c>
      <c r="E685" s="16">
        <v>0.02</v>
      </c>
      <c r="F685" s="15">
        <f>VLOOKUP(Table534567910[[#This Row],[Date]],Database!A:E,4)</f>
        <v>0.25</v>
      </c>
    </row>
    <row r="686" spans="1:6" x14ac:dyDescent="0.2">
      <c r="A686" s="38">
        <v>42278</v>
      </c>
      <c r="B686" s="37">
        <f>VLOOKUP(Table534567910[[#This Row],[Date]],Database!A:E,MATCH($A$1,Database!$A$1:$E$1,),)</f>
        <v>104.82899999999999</v>
      </c>
      <c r="C686" s="9">
        <f t="shared" si="10"/>
        <v>1.4311065315702643E-4</v>
      </c>
      <c r="D686" s="7">
        <f>(Table534567910[[#This Row],[Value]]-B674)/B674</f>
        <v>1.1579770141562579E-2</v>
      </c>
      <c r="E686" s="16">
        <v>0.02</v>
      </c>
      <c r="F686" s="15">
        <f>VLOOKUP(Table534567910[[#This Row],[Date]],Database!A:E,4)</f>
        <v>0.25</v>
      </c>
    </row>
    <row r="687" spans="1:6" x14ac:dyDescent="0.2">
      <c r="A687" s="38">
        <v>42309</v>
      </c>
      <c r="B687" s="37">
        <f>VLOOKUP(Table534567910[[#This Row],[Date]],Database!A:E,MATCH($A$1,Database!$A$1:$E$1,),)</f>
        <v>104.94</v>
      </c>
      <c r="C687" s="9">
        <f t="shared" si="10"/>
        <v>1.0588672981713476E-3</v>
      </c>
      <c r="D687" s="7">
        <f>(Table534567910[[#This Row],[Value]]-B675)/B675</f>
        <v>1.1567379988432647E-2</v>
      </c>
      <c r="E687" s="16">
        <v>0.02</v>
      </c>
      <c r="F687" s="15">
        <f>VLOOKUP(Table534567910[[#This Row],[Date]],Database!A:E,4)</f>
        <v>0.25</v>
      </c>
    </row>
    <row r="688" spans="1:6" x14ac:dyDescent="0.2">
      <c r="A688" s="38">
        <v>42339</v>
      </c>
      <c r="B688" s="37">
        <f>VLOOKUP(Table534567910[[#This Row],[Date]],Database!A:E,MATCH($A$1,Database!$A$1:$E$1,),)</f>
        <v>105.009</v>
      </c>
      <c r="C688" s="9">
        <f t="shared" si="10"/>
        <v>6.5751858204690888E-4</v>
      </c>
      <c r="D688" s="7">
        <f>(Table534567910[[#This Row],[Value]]-B676)/B676</f>
        <v>1.1286920847096864E-2</v>
      </c>
      <c r="E688" s="16">
        <v>0.02</v>
      </c>
      <c r="F688" s="15">
        <f>VLOOKUP(Table534567910[[#This Row],[Date]],Database!A:E,4)</f>
        <v>0.25</v>
      </c>
    </row>
    <row r="689" spans="1:6" x14ac:dyDescent="0.2">
      <c r="A689" s="38">
        <v>42370</v>
      </c>
      <c r="B689" s="37">
        <f>VLOOKUP(Table534567910[[#This Row],[Date]],Database!A:E,MATCH($A$1,Database!$A$1:$E$1,),)</f>
        <v>105.20399999999999</v>
      </c>
      <c r="C689" s="9">
        <f t="shared" si="10"/>
        <v>1.8569836871124683E-3</v>
      </c>
      <c r="D689" s="7">
        <f>(Table534567910[[#This Row],[Value]]-B677)/B677</f>
        <v>1.3369808122062022E-2</v>
      </c>
      <c r="E689" s="16">
        <v>0.02</v>
      </c>
      <c r="F689" s="15">
        <f>VLOOKUP(Table534567910[[#This Row],[Date]],Database!A:E,4)</f>
        <v>0.5</v>
      </c>
    </row>
    <row r="690" spans="1:6" x14ac:dyDescent="0.2">
      <c r="A690" s="38">
        <v>42401</v>
      </c>
      <c r="B690" s="37">
        <f>VLOOKUP(Table534567910[[#This Row],[Date]],Database!A:E,MATCH($A$1,Database!$A$1:$E$1,),)</f>
        <v>105.369</v>
      </c>
      <c r="C690" s="9">
        <f t="shared" si="10"/>
        <v>1.568381430363924E-3</v>
      </c>
      <c r="D690" s="7">
        <f>(Table534567910[[#This Row],[Value]]-B678)/B678</f>
        <v>1.3943418013856793E-2</v>
      </c>
      <c r="E690" s="16">
        <v>0.02</v>
      </c>
      <c r="F690" s="15">
        <f>VLOOKUP(Table534567910[[#This Row],[Date]],Database!A:E,4)</f>
        <v>0.5</v>
      </c>
    </row>
    <row r="691" spans="1:6" x14ac:dyDescent="0.2">
      <c r="A691" s="38">
        <v>42430</v>
      </c>
      <c r="B691" s="37">
        <f>VLOOKUP(Table534567910[[#This Row],[Date]],Database!A:E,MATCH($A$1,Database!$A$1:$E$1,),)</f>
        <v>105.521</v>
      </c>
      <c r="C691" s="9">
        <f t="shared" si="10"/>
        <v>1.442549516461208E-3</v>
      </c>
      <c r="D691" s="7">
        <f>(Table534567910[[#This Row],[Value]]-B679)/B679</f>
        <v>1.3845119139123774E-2</v>
      </c>
      <c r="E691" s="16">
        <v>0.02</v>
      </c>
      <c r="F691" s="15">
        <f>VLOOKUP(Table534567910[[#This Row],[Date]],Database!A:E,4)</f>
        <v>0.5</v>
      </c>
    </row>
    <row r="692" spans="1:6" x14ac:dyDescent="0.2">
      <c r="A692" s="38">
        <v>42461</v>
      </c>
      <c r="B692" s="37">
        <f>VLOOKUP(Table534567910[[#This Row],[Date]],Database!A:E,MATCH($A$1,Database!$A$1:$E$1,),)</f>
        <v>105.786</v>
      </c>
      <c r="C692" s="9">
        <f t="shared" si="10"/>
        <v>2.5113484519669123E-3</v>
      </c>
      <c r="D692" s="7">
        <f>(Table534567910[[#This Row],[Value]]-B680)/B680</f>
        <v>1.4675414364640895E-2</v>
      </c>
      <c r="E692" s="16">
        <v>0.02</v>
      </c>
      <c r="F692" s="15">
        <f>VLOOKUP(Table534567910[[#This Row],[Date]],Database!A:E,4)</f>
        <v>0.5</v>
      </c>
    </row>
    <row r="693" spans="1:6" x14ac:dyDescent="0.2">
      <c r="A693" s="38">
        <v>42491</v>
      </c>
      <c r="B693" s="37">
        <f>VLOOKUP(Table534567910[[#This Row],[Date]],Database!A:E,MATCH($A$1,Database!$A$1:$E$1,),)</f>
        <v>105.94799999999999</v>
      </c>
      <c r="C693" s="9">
        <f t="shared" si="10"/>
        <v>1.5313935681469375E-3</v>
      </c>
      <c r="D693" s="7">
        <f>(Table534567910[[#This Row],[Value]]-B681)/B681</f>
        <v>1.4973415720649405E-2</v>
      </c>
      <c r="E693" s="16">
        <v>0.02</v>
      </c>
      <c r="F693" s="15">
        <f>VLOOKUP(Table534567910[[#This Row],[Date]],Database!A:E,4)</f>
        <v>0.5</v>
      </c>
    </row>
    <row r="694" spans="1:6" x14ac:dyDescent="0.2">
      <c r="A694" s="38">
        <v>42522</v>
      </c>
      <c r="B694" s="37">
        <f>VLOOKUP(Table534567910[[#This Row],[Date]],Database!A:E,MATCH($A$1,Database!$A$1:$E$1,),)</f>
        <v>106.077</v>
      </c>
      <c r="C694" s="9">
        <f t="shared" si="10"/>
        <v>1.2175784347038632E-3</v>
      </c>
      <c r="D694" s="7">
        <f>(Table534567910[[#This Row],[Value]]-B682)/B682</f>
        <v>1.4984068662628839E-2</v>
      </c>
      <c r="E694" s="16">
        <v>0.02</v>
      </c>
      <c r="F694" s="15">
        <f>VLOOKUP(Table534567910[[#This Row],[Date]],Database!A:E,4)</f>
        <v>0.5</v>
      </c>
    </row>
    <row r="695" spans="1:6" x14ac:dyDescent="0.2">
      <c r="A695" s="38">
        <v>42552</v>
      </c>
      <c r="B695" s="37">
        <f>VLOOKUP(Table534567910[[#This Row],[Date]],Database!A:E,MATCH($A$1,Database!$A$1:$E$1,),)</f>
        <v>106.25700000000001</v>
      </c>
      <c r="C695" s="9">
        <f t="shared" si="10"/>
        <v>1.6968805678894278E-3</v>
      </c>
      <c r="D695" s="7">
        <f>(Table534567910[[#This Row],[Value]]-B683)/B683</f>
        <v>1.5812165999063228E-2</v>
      </c>
      <c r="E695" s="16">
        <v>0.02</v>
      </c>
      <c r="F695" s="15">
        <f>VLOOKUP(Table534567910[[#This Row],[Date]],Database!A:E,4)</f>
        <v>0.5</v>
      </c>
    </row>
    <row r="696" spans="1:6" x14ac:dyDescent="0.2">
      <c r="A696" s="38">
        <v>42583</v>
      </c>
      <c r="B696" s="37">
        <f>VLOOKUP(Table534567910[[#This Row],[Date]],Database!A:E,MATCH($A$1,Database!$A$1:$E$1,),)</f>
        <v>106.456</v>
      </c>
      <c r="C696" s="9">
        <f t="shared" si="10"/>
        <v>1.8728177908278801E-3</v>
      </c>
      <c r="D696" s="7">
        <f>(Table534567910[[#This Row],[Value]]-B684)/B684</f>
        <v>1.6975706684244224E-2</v>
      </c>
      <c r="E696" s="16">
        <v>0.02</v>
      </c>
      <c r="F696" s="15">
        <f>VLOOKUP(Table534567910[[#This Row],[Date]],Database!A:E,4)</f>
        <v>0.5</v>
      </c>
    </row>
    <row r="697" spans="1:6" x14ac:dyDescent="0.2">
      <c r="A697" s="38">
        <v>42614</v>
      </c>
      <c r="B697" s="37">
        <f>VLOOKUP(Table534567910[[#This Row],[Date]],Database!A:E,MATCH($A$1,Database!$A$1:$E$1,),)</f>
        <v>106.57899999999999</v>
      </c>
      <c r="C697" s="9">
        <f t="shared" si="10"/>
        <v>1.1554069286840614E-3</v>
      </c>
      <c r="D697" s="7">
        <f>(Table534567910[[#This Row],[Value]]-B685)/B685</f>
        <v>1.6839353521476145E-2</v>
      </c>
      <c r="E697" s="16">
        <v>0.02</v>
      </c>
      <c r="F697" s="15">
        <f>VLOOKUP(Table534567910[[#This Row],[Date]],Database!A:E,4)</f>
        <v>0.5</v>
      </c>
    </row>
    <row r="698" spans="1:6" x14ac:dyDescent="0.2">
      <c r="A698" s="38">
        <v>42644</v>
      </c>
      <c r="B698" s="37">
        <f>VLOOKUP(Table534567910[[#This Row],[Date]],Database!A:E,MATCH($A$1,Database!$A$1:$E$1,),)</f>
        <v>106.73699999999999</v>
      </c>
      <c r="C698" s="9">
        <f t="shared" si="10"/>
        <v>1.4824684037193186E-3</v>
      </c>
      <c r="D698" s="7">
        <f>(Table534567910[[#This Row],[Value]]-B686)/B686</f>
        <v>1.8201070314512218E-2</v>
      </c>
      <c r="E698" s="16">
        <v>0.02</v>
      </c>
      <c r="F698" s="15">
        <f>VLOOKUP(Table534567910[[#This Row],[Date]],Database!A:E,4)</f>
        <v>0.5</v>
      </c>
    </row>
    <row r="699" spans="1:6" x14ac:dyDescent="0.2">
      <c r="A699" s="38">
        <v>42675</v>
      </c>
      <c r="B699" s="37">
        <f>VLOOKUP(Table534567910[[#This Row],[Date]],Database!A:E,MATCH($A$1,Database!$A$1:$E$1,),)</f>
        <v>106.789</v>
      </c>
      <c r="C699" s="9">
        <f t="shared" si="10"/>
        <v>4.8717876650090138E-4</v>
      </c>
      <c r="D699" s="7">
        <f>(Table534567910[[#This Row],[Value]]-B687)/B687</f>
        <v>1.7619592147894072E-2</v>
      </c>
      <c r="E699" s="16">
        <v>0.02</v>
      </c>
      <c r="F699" s="15">
        <f>VLOOKUP(Table534567910[[#This Row],[Date]],Database!A:E,4)</f>
        <v>0.5</v>
      </c>
    </row>
    <row r="700" spans="1:6" x14ac:dyDescent="0.2">
      <c r="A700" s="38">
        <v>42705</v>
      </c>
      <c r="B700" s="37">
        <f>VLOOKUP(Table534567910[[#This Row],[Date]],Database!A:E,MATCH($A$1,Database!$A$1:$E$1,),)</f>
        <v>106.929</v>
      </c>
      <c r="C700" s="9">
        <f t="shared" si="10"/>
        <v>1.3109964509453273E-3</v>
      </c>
      <c r="D700" s="7">
        <f>(Table534567910[[#This Row],[Value]]-B688)/B688</f>
        <v>1.8284147073108034E-2</v>
      </c>
      <c r="E700" s="16">
        <v>0.02</v>
      </c>
      <c r="F700" s="15">
        <f>VLOOKUP(Table534567910[[#This Row],[Date]],Database!A:E,4)</f>
        <v>0.5</v>
      </c>
    </row>
    <row r="701" spans="1:6" x14ac:dyDescent="0.2">
      <c r="A701" s="38">
        <v>42736</v>
      </c>
      <c r="B701" s="37">
        <f>VLOOKUP(Table534567910[[#This Row],[Date]],Database!A:E,MATCH($A$1,Database!$A$1:$E$1,),)</f>
        <v>107.20399999999999</v>
      </c>
      <c r="C701" s="9">
        <f t="shared" si="10"/>
        <v>2.5717999794255203E-3</v>
      </c>
      <c r="D701" s="7">
        <f>(Table534567910[[#This Row],[Value]]-B689)/B689</f>
        <v>1.9010684004410479E-2</v>
      </c>
      <c r="E701" s="16">
        <v>0.02</v>
      </c>
      <c r="F701" s="15">
        <f>VLOOKUP(Table534567910[[#This Row],[Date]],Database!A:E,4)</f>
        <v>0.75</v>
      </c>
    </row>
    <row r="702" spans="1:6" x14ac:dyDescent="0.2">
      <c r="A702" s="38">
        <v>42767</v>
      </c>
      <c r="B702" s="37">
        <f>VLOOKUP(Table534567910[[#This Row],[Date]],Database!A:E,MATCH($A$1,Database!$A$1:$E$1,),)</f>
        <v>107.357</v>
      </c>
      <c r="C702" s="9">
        <f t="shared" si="10"/>
        <v>1.4271855527779355E-3</v>
      </c>
      <c r="D702" s="7">
        <f>(Table534567910[[#This Row],[Value]]-B690)/B690</f>
        <v>1.8867029202137248E-2</v>
      </c>
      <c r="E702" s="16">
        <v>0.02</v>
      </c>
      <c r="F702" s="15">
        <f>VLOOKUP(Table534567910[[#This Row],[Date]],Database!A:E,4)</f>
        <v>0.75</v>
      </c>
    </row>
    <row r="703" spans="1:6" x14ac:dyDescent="0.2">
      <c r="A703" s="38">
        <v>42795</v>
      </c>
      <c r="B703" s="37">
        <f>VLOOKUP(Table534567910[[#This Row],[Date]],Database!A:E,MATCH($A$1,Database!$A$1:$E$1,),)</f>
        <v>107.307</v>
      </c>
      <c r="C703" s="9">
        <f t="shared" si="10"/>
        <v>-4.6573581601569674E-4</v>
      </c>
      <c r="D703" s="7">
        <f>(Table534567910[[#This Row],[Value]]-B691)/B691</f>
        <v>1.6925540887595847E-2</v>
      </c>
      <c r="E703" s="16">
        <v>0.02</v>
      </c>
      <c r="F703" s="15">
        <f>VLOOKUP(Table534567910[[#This Row],[Date]],Database!A:E,4)</f>
        <v>0.75</v>
      </c>
    </row>
    <row r="704" spans="1:6" x14ac:dyDescent="0.2">
      <c r="A704" s="38">
        <v>42826</v>
      </c>
      <c r="B704" s="37">
        <f>VLOOKUP(Table534567910[[#This Row],[Date]],Database!A:E,MATCH($A$1,Database!$A$1:$E$1,),)</f>
        <v>107.587</v>
      </c>
      <c r="C704" s="9">
        <f t="shared" si="10"/>
        <v>2.6093358308404962E-3</v>
      </c>
      <c r="D704" s="7">
        <f>(Table534567910[[#This Row],[Value]]-B692)/B692</f>
        <v>1.7024937137239349E-2</v>
      </c>
      <c r="E704" s="16">
        <v>0.02</v>
      </c>
      <c r="F704" s="15">
        <f>VLOOKUP(Table534567910[[#This Row],[Date]],Database!A:E,4)</f>
        <v>1</v>
      </c>
    </row>
    <row r="705" spans="1:6" x14ac:dyDescent="0.2">
      <c r="A705" s="38">
        <v>42856</v>
      </c>
      <c r="B705" s="37">
        <f>VLOOKUP(Table534567910[[#This Row],[Date]],Database!A:E,MATCH($A$1,Database!$A$1:$E$1,),)</f>
        <v>107.699</v>
      </c>
      <c r="C705" s="9">
        <f t="shared" si="10"/>
        <v>1.0410179668546829E-3</v>
      </c>
      <c r="D705" s="7">
        <f>(Table534567910[[#This Row],[Value]]-B693)/B693</f>
        <v>1.6526975497413873E-2</v>
      </c>
      <c r="E705" s="16">
        <v>0.02</v>
      </c>
      <c r="F705" s="15">
        <f>VLOOKUP(Table534567910[[#This Row],[Date]],Database!A:E,4)</f>
        <v>1</v>
      </c>
    </row>
    <row r="706" spans="1:6" x14ac:dyDescent="0.2">
      <c r="A706" s="38">
        <v>42887</v>
      </c>
      <c r="B706" s="37">
        <f>VLOOKUP(Table534567910[[#This Row],[Date]],Database!A:E,MATCH($A$1,Database!$A$1:$E$1,),)</f>
        <v>107.876</v>
      </c>
      <c r="C706" s="9">
        <f t="shared" si="10"/>
        <v>1.6434692986936434E-3</v>
      </c>
      <c r="D706" s="7">
        <f>(Table534567910[[#This Row],[Value]]-B694)/B694</f>
        <v>1.6959378564627644E-2</v>
      </c>
      <c r="E706" s="16">
        <v>0.02</v>
      </c>
      <c r="F706" s="15">
        <f>VLOOKUP(Table534567910[[#This Row],[Date]],Database!A:E,4)</f>
        <v>1</v>
      </c>
    </row>
    <row r="707" spans="1:6" x14ac:dyDescent="0.2">
      <c r="A707" s="38">
        <v>42917</v>
      </c>
      <c r="B707" s="37">
        <f>VLOOKUP(Table534567910[[#This Row],[Date]],Database!A:E,MATCH($A$1,Database!$A$1:$E$1,),)</f>
        <v>107.944</v>
      </c>
      <c r="C707" s="9">
        <f t="shared" si="10"/>
        <v>6.3035336868254137E-4</v>
      </c>
      <c r="D707" s="7">
        <f>(Table534567910[[#This Row],[Value]]-B695)/B695</f>
        <v>1.587660107098824E-2</v>
      </c>
      <c r="E707" s="16">
        <v>0.02</v>
      </c>
      <c r="F707" s="15">
        <f>VLOOKUP(Table534567910[[#This Row],[Date]],Database!A:E,4)</f>
        <v>1.25</v>
      </c>
    </row>
    <row r="708" spans="1:6" x14ac:dyDescent="0.2">
      <c r="A708" s="38">
        <v>42948</v>
      </c>
      <c r="B708" s="37">
        <f>VLOOKUP(Table534567910[[#This Row],[Date]],Database!A:E,MATCH($A$1,Database!$A$1:$E$1,),)</f>
        <v>108.05800000000001</v>
      </c>
      <c r="C708" s="9">
        <f t="shared" si="10"/>
        <v>1.0561031646039087E-3</v>
      </c>
      <c r="D708" s="7">
        <f>(Table534567910[[#This Row],[Value]]-B696)/B696</f>
        <v>1.5048470729691175E-2</v>
      </c>
      <c r="E708" s="16">
        <v>0.02</v>
      </c>
      <c r="F708" s="15">
        <f>VLOOKUP(Table534567910[[#This Row],[Date]],Database!A:E,4)</f>
        <v>1.25</v>
      </c>
    </row>
    <row r="709" spans="1:6" x14ac:dyDescent="0.2">
      <c r="A709" s="38">
        <v>42979</v>
      </c>
      <c r="B709" s="37">
        <f>VLOOKUP(Table534567910[[#This Row],[Date]],Database!A:E,MATCH($A$1,Database!$A$1:$E$1,),)</f>
        <v>108.267</v>
      </c>
      <c r="C709" s="9">
        <f t="shared" si="10"/>
        <v>1.9341464768919373E-3</v>
      </c>
      <c r="D709" s="7">
        <f>(Table534567910[[#This Row],[Value]]-B697)/B697</f>
        <v>1.583801687011515E-2</v>
      </c>
      <c r="E709" s="16">
        <v>0.02</v>
      </c>
      <c r="F709" s="15">
        <f>VLOOKUP(Table534567910[[#This Row],[Date]],Database!A:E,4)</f>
        <v>1.25</v>
      </c>
    </row>
    <row r="710" spans="1:6" x14ac:dyDescent="0.2">
      <c r="A710" s="38">
        <v>43009</v>
      </c>
      <c r="B710" s="37">
        <f>VLOOKUP(Table534567910[[#This Row],[Date]],Database!A:E,MATCH($A$1,Database!$A$1:$E$1,),)</f>
        <v>108.54600000000001</v>
      </c>
      <c r="C710" s="9">
        <f t="shared" ref="C710:C758" si="11">(B710-B709)/B709</f>
        <v>2.5769625093519776E-3</v>
      </c>
      <c r="D710" s="7">
        <f>(Table534567910[[#This Row],[Value]]-B698)/B698</f>
        <v>1.6948199780769665E-2</v>
      </c>
      <c r="E710" s="16">
        <v>0.02</v>
      </c>
      <c r="F710" s="15">
        <f>VLOOKUP(Table534567910[[#This Row],[Date]],Database!A:E,4)</f>
        <v>1.25</v>
      </c>
    </row>
    <row r="711" spans="1:6" x14ac:dyDescent="0.2">
      <c r="A711" s="38">
        <v>43040</v>
      </c>
      <c r="B711" s="37">
        <f>VLOOKUP(Table534567910[[#This Row],[Date]],Database!A:E,MATCH($A$1,Database!$A$1:$E$1,),)</f>
        <v>108.601</v>
      </c>
      <c r="C711" s="9">
        <f t="shared" si="11"/>
        <v>5.0669762128491703E-4</v>
      </c>
      <c r="D711" s="7">
        <f>(Table534567910[[#This Row],[Value]]-B699)/B699</f>
        <v>1.6968039779378004E-2</v>
      </c>
      <c r="E711" s="16">
        <v>0.02</v>
      </c>
      <c r="F711" s="15">
        <f>VLOOKUP(Table534567910[[#This Row],[Date]],Database!A:E,4)</f>
        <v>1.25</v>
      </c>
    </row>
    <row r="712" spans="1:6" x14ac:dyDescent="0.2">
      <c r="A712" s="38">
        <v>43070</v>
      </c>
      <c r="B712" s="37">
        <f>VLOOKUP(Table534567910[[#This Row],[Date]],Database!A:E,MATCH($A$1,Database!$A$1:$E$1,),)</f>
        <v>108.76900000000001</v>
      </c>
      <c r="C712" s="9">
        <f t="shared" si="11"/>
        <v>1.546947081518645E-3</v>
      </c>
      <c r="D712" s="7">
        <f>(Table534567910[[#This Row],[Value]]-B700)/B700</f>
        <v>1.7207679862338593E-2</v>
      </c>
      <c r="E712" s="16">
        <v>0.02</v>
      </c>
      <c r="F712" s="15">
        <f>VLOOKUP(Table534567910[[#This Row],[Date]],Database!A:E,4)</f>
        <v>1.25</v>
      </c>
    </row>
    <row r="713" spans="1:6" x14ac:dyDescent="0.2">
      <c r="A713" s="38">
        <v>43101</v>
      </c>
      <c r="B713" s="37">
        <f>VLOOKUP(Table534567910[[#This Row],[Date]],Database!A:E,MATCH($A$1,Database!$A$1:$E$1,),)</f>
        <v>109.06</v>
      </c>
      <c r="C713" s="9">
        <f t="shared" si="11"/>
        <v>2.6753946436944057E-3</v>
      </c>
      <c r="D713" s="7">
        <f>(Table534567910[[#This Row],[Value]]-B701)/B701</f>
        <v>1.7312786836312162E-2</v>
      </c>
      <c r="E713" s="16">
        <v>0.02</v>
      </c>
      <c r="F713" s="15">
        <f>VLOOKUP(Table534567910[[#This Row],[Date]],Database!A:E,4)</f>
        <v>1.5</v>
      </c>
    </row>
    <row r="714" spans="1:6" x14ac:dyDescent="0.2">
      <c r="A714" s="38">
        <v>43132</v>
      </c>
      <c r="B714" s="37">
        <f>VLOOKUP(Table534567910[[#This Row],[Date]],Database!A:E,MATCH($A$1,Database!$A$1:$E$1,),)</f>
        <v>109.273</v>
      </c>
      <c r="C714" s="9">
        <f t="shared" si="11"/>
        <v>1.9530533651200611E-3</v>
      </c>
      <c r="D714" s="7">
        <f>(Table534567910[[#This Row],[Value]]-B702)/B702</f>
        <v>1.7846996469722484E-2</v>
      </c>
      <c r="E714" s="16">
        <v>0.02</v>
      </c>
      <c r="F714" s="15">
        <f>VLOOKUP(Table534567910[[#This Row],[Date]],Database!A:E,4)</f>
        <v>1.5</v>
      </c>
    </row>
    <row r="715" spans="1:6" x14ac:dyDescent="0.2">
      <c r="A715" s="38">
        <v>43160</v>
      </c>
      <c r="B715" s="37">
        <f>VLOOKUP(Table534567910[[#This Row],[Date]],Database!A:E,MATCH($A$1,Database!$A$1:$E$1,),)</f>
        <v>109.542</v>
      </c>
      <c r="C715" s="9">
        <f t="shared" si="11"/>
        <v>2.4617243051806527E-3</v>
      </c>
      <c r="D715" s="7">
        <f>(Table534567910[[#This Row],[Value]]-B703)/B703</f>
        <v>2.0828091364030299E-2</v>
      </c>
      <c r="E715" s="16">
        <v>0.02</v>
      </c>
      <c r="F715" s="15">
        <f>VLOOKUP(Table534567910[[#This Row],[Date]],Database!A:E,4)</f>
        <v>1.5</v>
      </c>
    </row>
    <row r="716" spans="1:6" x14ac:dyDescent="0.2">
      <c r="A716" s="38">
        <v>43191</v>
      </c>
      <c r="B716" s="37">
        <f>VLOOKUP(Table534567910[[#This Row],[Date]],Database!A:E,MATCH($A$1,Database!$A$1:$E$1,),)</f>
        <v>109.752</v>
      </c>
      <c r="C716" s="9">
        <f t="shared" si="11"/>
        <v>1.9170729035437892E-3</v>
      </c>
      <c r="D716" s="7">
        <f>(Table534567910[[#This Row],[Value]]-B704)/B704</f>
        <v>2.0123249091432906E-2</v>
      </c>
      <c r="E716" s="16">
        <v>0.02</v>
      </c>
      <c r="F716" s="15">
        <f>VLOOKUP(Table534567910[[#This Row],[Date]],Database!A:E,4)</f>
        <v>1.75</v>
      </c>
    </row>
    <row r="717" spans="1:6" x14ac:dyDescent="0.2">
      <c r="A717" s="38">
        <v>43221</v>
      </c>
      <c r="B717" s="37">
        <f>VLOOKUP(Table534567910[[#This Row],[Date]],Database!A:E,MATCH($A$1,Database!$A$1:$E$1,),)</f>
        <v>109.96899999999999</v>
      </c>
      <c r="C717" s="9">
        <f t="shared" si="11"/>
        <v>1.9771849260150041E-3</v>
      </c>
      <c r="D717" s="7">
        <f>(Table534567910[[#This Row],[Value]]-B705)/B705</f>
        <v>2.1077261627313125E-2</v>
      </c>
      <c r="E717" s="16">
        <v>0.02</v>
      </c>
      <c r="F717" s="15">
        <f>VLOOKUP(Table534567910[[#This Row],[Date]],Database!A:E,4)</f>
        <v>1.75</v>
      </c>
    </row>
    <row r="718" spans="1:6" x14ac:dyDescent="0.2">
      <c r="A718" s="38">
        <v>43252</v>
      </c>
      <c r="B718" s="37">
        <f>VLOOKUP(Table534567910[[#This Row],[Date]],Database!A:E,MATCH($A$1,Database!$A$1:$E$1,),)</f>
        <v>110.10599999999999</v>
      </c>
      <c r="C718" s="9">
        <f t="shared" si="11"/>
        <v>1.2458056361338238E-3</v>
      </c>
      <c r="D718" s="7">
        <f>(Table534567910[[#This Row],[Value]]-B706)/B706</f>
        <v>2.0671882531795669E-2</v>
      </c>
      <c r="E718" s="16">
        <v>0.02</v>
      </c>
      <c r="F718" s="15">
        <f>VLOOKUP(Table534567910[[#This Row],[Date]],Database!A:E,4)</f>
        <v>1.75</v>
      </c>
    </row>
    <row r="719" spans="1:6" x14ac:dyDescent="0.2">
      <c r="A719" s="38">
        <v>43282</v>
      </c>
      <c r="B719" s="37">
        <f>VLOOKUP(Table534567910[[#This Row],[Date]],Database!A:E,MATCH($A$1,Database!$A$1:$E$1,),)</f>
        <v>110.238</v>
      </c>
      <c r="C719" s="9">
        <f t="shared" si="11"/>
        <v>1.1988447496049718E-3</v>
      </c>
      <c r="D719" s="7">
        <f>(Table534567910[[#This Row],[Value]]-B707)/B707</f>
        <v>2.1251760171940977E-2</v>
      </c>
      <c r="E719" s="16">
        <v>0.02</v>
      </c>
      <c r="F719" s="15">
        <f>VLOOKUP(Table534567910[[#This Row],[Date]],Database!A:E,4)</f>
        <v>2</v>
      </c>
    </row>
    <row r="720" spans="1:6" x14ac:dyDescent="0.2">
      <c r="A720" s="38">
        <v>43313</v>
      </c>
      <c r="B720" s="37">
        <f>VLOOKUP(Table534567910[[#This Row],[Date]],Database!A:E,MATCH($A$1,Database!$A$1:$E$1,),)</f>
        <v>110.247</v>
      </c>
      <c r="C720" s="9">
        <f t="shared" si="11"/>
        <v>8.1641539215155761E-5</v>
      </c>
      <c r="D720" s="7">
        <f>(Table534567910[[#This Row],[Value]]-B708)/B708</f>
        <v>2.0257639415869187E-2</v>
      </c>
      <c r="E720" s="16">
        <v>0.02</v>
      </c>
      <c r="F720" s="15">
        <f>VLOOKUP(Table534567910[[#This Row],[Date]],Database!A:E,4)</f>
        <v>2</v>
      </c>
    </row>
    <row r="721" spans="1:6" x14ac:dyDescent="0.2">
      <c r="A721" s="38">
        <v>43344</v>
      </c>
      <c r="B721" s="37">
        <f>VLOOKUP(Table534567910[[#This Row],[Date]],Database!A:E,MATCH($A$1,Database!$A$1:$E$1,),)</f>
        <v>110.47499999999999</v>
      </c>
      <c r="C721" s="9">
        <f t="shared" si="11"/>
        <v>2.0680834852648548E-3</v>
      </c>
      <c r="D721" s="7">
        <f>(Table534567910[[#This Row],[Value]]-B709)/B709</f>
        <v>2.0394025880462175E-2</v>
      </c>
      <c r="E721" s="16">
        <v>0.02</v>
      </c>
      <c r="F721" s="15">
        <f>VLOOKUP(Table534567910[[#This Row],[Date]],Database!A:E,4)</f>
        <v>2</v>
      </c>
    </row>
    <row r="722" spans="1:6" x14ac:dyDescent="0.2">
      <c r="A722" s="38">
        <v>43374</v>
      </c>
      <c r="B722" s="37">
        <f>VLOOKUP(Table534567910[[#This Row],[Date]],Database!A:E,MATCH($A$1,Database!$A$1:$E$1,),)</f>
        <v>110.64100000000001</v>
      </c>
      <c r="C722" s="9">
        <f t="shared" si="11"/>
        <v>1.5026023987328449E-3</v>
      </c>
      <c r="D722" s="7">
        <f>(Table534567910[[#This Row],[Value]]-B710)/B710</f>
        <v>1.9300573028946243E-2</v>
      </c>
      <c r="E722" s="16">
        <v>0.02</v>
      </c>
      <c r="F722" s="15">
        <f>VLOOKUP(Table534567910[[#This Row],[Date]],Database!A:E,4)</f>
        <v>2.25</v>
      </c>
    </row>
    <row r="723" spans="1:6" x14ac:dyDescent="0.2">
      <c r="A723" s="38">
        <v>43405</v>
      </c>
      <c r="B723" s="37">
        <f>VLOOKUP(Table534567910[[#This Row],[Date]],Database!A:E,MATCH($A$1,Database!$A$1:$E$1,),)</f>
        <v>110.83799999999999</v>
      </c>
      <c r="C723" s="9">
        <f t="shared" si="11"/>
        <v>1.7805334369717239E-3</v>
      </c>
      <c r="D723" s="7">
        <f>(Table534567910[[#This Row],[Value]]-B711)/B711</f>
        <v>2.059833703188732E-2</v>
      </c>
      <c r="E723" s="16">
        <v>0.02</v>
      </c>
      <c r="F723" s="15">
        <f>VLOOKUP(Table534567910[[#This Row],[Date]],Database!A:E,4)</f>
        <v>2.25</v>
      </c>
    </row>
    <row r="724" spans="1:6" x14ac:dyDescent="0.2">
      <c r="A724" s="38">
        <v>43435</v>
      </c>
      <c r="B724" s="37">
        <f>VLOOKUP(Table534567910[[#This Row],[Date]],Database!A:E,MATCH($A$1,Database!$A$1:$E$1,),)</f>
        <v>111.006</v>
      </c>
      <c r="C724" s="9">
        <f t="shared" si="11"/>
        <v>1.5157256536567456E-3</v>
      </c>
      <c r="D724" s="7">
        <f>(Table534567910[[#This Row],[Value]]-B712)/B712</f>
        <v>2.0566521711149269E-2</v>
      </c>
      <c r="E724" s="16">
        <v>0.02</v>
      </c>
      <c r="F724" s="15">
        <f>VLOOKUP(Table534567910[[#This Row],[Date]],Database!A:E,4)</f>
        <v>2.25</v>
      </c>
    </row>
    <row r="725" spans="1:6" x14ac:dyDescent="0.2">
      <c r="A725" s="38">
        <v>43466</v>
      </c>
      <c r="B725" s="37">
        <f>VLOOKUP(Table534567910[[#This Row],[Date]],Database!A:E,MATCH($A$1,Database!$A$1:$E$1,),)</f>
        <v>111.06</v>
      </c>
      <c r="C725" s="9">
        <f t="shared" si="11"/>
        <v>4.8646019134102704E-4</v>
      </c>
      <c r="D725" s="7">
        <f>(Table534567910[[#This Row],[Value]]-B713)/B713</f>
        <v>1.8338529249954154E-2</v>
      </c>
      <c r="E725" s="16">
        <v>0.02</v>
      </c>
      <c r="F725" s="15">
        <f>VLOOKUP(Table534567910[[#This Row],[Date]],Database!A:E,4)</f>
        <v>2.5</v>
      </c>
    </row>
    <row r="726" spans="1:6" x14ac:dyDescent="0.2">
      <c r="A726" s="38">
        <v>43497</v>
      </c>
      <c r="B726" s="37">
        <f>VLOOKUP(Table534567910[[#This Row],[Date]],Database!A:E,MATCH($A$1,Database!$A$1:$E$1,),)</f>
        <v>111.096</v>
      </c>
      <c r="C726" s="9">
        <f t="shared" si="11"/>
        <v>3.2414910858996366E-4</v>
      </c>
      <c r="D726" s="7">
        <f>(Table534567910[[#This Row],[Value]]-B714)/B714</f>
        <v>1.6682986648119916E-2</v>
      </c>
      <c r="E726" s="16">
        <v>0.02</v>
      </c>
      <c r="F726" s="15">
        <f>VLOOKUP(Table534567910[[#This Row],[Date]],Database!A:E,4)</f>
        <v>2.5</v>
      </c>
    </row>
    <row r="727" spans="1:6" x14ac:dyDescent="0.2">
      <c r="A727" s="38">
        <v>43525</v>
      </c>
      <c r="B727" s="37">
        <f>VLOOKUP(Table534567910[[#This Row],[Date]],Database!A:E,MATCH($A$1,Database!$A$1:$E$1,),)</f>
        <v>111.254</v>
      </c>
      <c r="C727" s="9">
        <f t="shared" si="11"/>
        <v>1.4221934183049007E-3</v>
      </c>
      <c r="D727" s="7">
        <f>(Table534567910[[#This Row],[Value]]-B715)/B715</f>
        <v>1.5628708623176529E-2</v>
      </c>
      <c r="E727" s="16">
        <v>0.02</v>
      </c>
      <c r="F727" s="15">
        <f>VLOOKUP(Table534567910[[#This Row],[Date]],Database!A:E,4)</f>
        <v>2.5</v>
      </c>
    </row>
    <row r="728" spans="1:6" x14ac:dyDescent="0.2">
      <c r="A728" s="38">
        <v>43556</v>
      </c>
      <c r="B728" s="37">
        <f>VLOOKUP(Table534567910[[#This Row],[Date]],Database!A:E,MATCH($A$1,Database!$A$1:$E$1,),)</f>
        <v>111.607</v>
      </c>
      <c r="C728" s="9">
        <f t="shared" si="11"/>
        <v>3.1729196253617344E-3</v>
      </c>
      <c r="D728" s="7">
        <f>(Table534567910[[#This Row],[Value]]-B716)/B716</f>
        <v>1.6901742109483236E-2</v>
      </c>
      <c r="E728" s="16">
        <v>0.02</v>
      </c>
      <c r="F728" s="15">
        <f>VLOOKUP(Table534567910[[#This Row],[Date]],Database!A:E,4)</f>
        <v>2.5</v>
      </c>
    </row>
    <row r="729" spans="1:6" x14ac:dyDescent="0.2">
      <c r="A729" s="38">
        <v>43586</v>
      </c>
      <c r="B729" s="37">
        <f>VLOOKUP(Table534567910[[#This Row],[Date]],Database!A:E,MATCH($A$1,Database!$A$1:$E$1,),)</f>
        <v>111.744</v>
      </c>
      <c r="C729" s="9">
        <f t="shared" si="11"/>
        <v>1.2275215712276152E-3</v>
      </c>
      <c r="D729" s="7">
        <f>(Table534567910[[#This Row],[Value]]-B717)/B717</f>
        <v>1.6140912438960122E-2</v>
      </c>
      <c r="E729" s="16">
        <v>0.02</v>
      </c>
      <c r="F729" s="15">
        <f>VLOOKUP(Table534567910[[#This Row],[Date]],Database!A:E,4)</f>
        <v>2.5</v>
      </c>
    </row>
    <row r="730" spans="1:6" x14ac:dyDescent="0.2">
      <c r="A730" s="38">
        <v>43617</v>
      </c>
      <c r="B730" s="37">
        <f>VLOOKUP(Table534567910[[#This Row],[Date]],Database!A:E,MATCH($A$1,Database!$A$1:$E$1,),)</f>
        <v>111.997</v>
      </c>
      <c r="C730" s="9">
        <f t="shared" si="11"/>
        <v>2.2641036655211924E-3</v>
      </c>
      <c r="D730" s="7">
        <f>(Table534567910[[#This Row],[Value]]-B718)/B718</f>
        <v>1.7174359253810015E-2</v>
      </c>
      <c r="E730" s="16">
        <v>0.02</v>
      </c>
      <c r="F730" s="15">
        <f>VLOOKUP(Table534567910[[#This Row],[Date]],Database!A:E,4)</f>
        <v>2.5</v>
      </c>
    </row>
    <row r="731" spans="1:6" x14ac:dyDescent="0.2">
      <c r="A731" s="38">
        <v>43647</v>
      </c>
      <c r="B731" s="37">
        <f>VLOOKUP(Table534567910[[#This Row],[Date]],Database!A:E,MATCH($A$1,Database!$A$1:$E$1,),)</f>
        <v>112.15</v>
      </c>
      <c r="C731" s="9">
        <f t="shared" si="11"/>
        <v>1.3661080207506076E-3</v>
      </c>
      <c r="D731" s="7">
        <f>(Table534567910[[#This Row],[Value]]-B719)/B719</f>
        <v>1.7344291442152489E-2</v>
      </c>
      <c r="E731" s="16">
        <v>0.02</v>
      </c>
      <c r="F731" s="15">
        <f>VLOOKUP(Table534567910[[#This Row],[Date]],Database!A:E,4)</f>
        <v>2.5</v>
      </c>
    </row>
    <row r="732" spans="1:6" s="42" customFormat="1" x14ac:dyDescent="0.2">
      <c r="A732" s="38">
        <v>43678</v>
      </c>
      <c r="B732" s="37">
        <f>VLOOKUP(Table534567910[[#This Row],[Date]],Database!A:E,MATCH($A$1,Database!$A$1:$E$1,),)</f>
        <v>112.289</v>
      </c>
      <c r="C732" s="9">
        <f t="shared" si="11"/>
        <v>1.2394115024520356E-3</v>
      </c>
      <c r="D732" s="7">
        <f>(Table534567910[[#This Row],[Value]]-B720)/B720</f>
        <v>1.852204595136377E-2</v>
      </c>
      <c r="E732" s="16">
        <v>0.02</v>
      </c>
      <c r="F732" s="15">
        <f>VLOOKUP(Table534567910[[#This Row],[Date]],Database!A:E,4)</f>
        <v>2.25</v>
      </c>
    </row>
    <row r="733" spans="1:6" s="42" customFormat="1" x14ac:dyDescent="0.2">
      <c r="A733" s="38">
        <v>43709</v>
      </c>
      <c r="B733" s="37">
        <f>VLOOKUP(Table534567910[[#This Row],[Date]],Database!A:E,MATCH($A$1,Database!$A$1:$E$1,),)</f>
        <v>112.367</v>
      </c>
      <c r="C733" s="9">
        <f t="shared" si="11"/>
        <v>6.9463616204617508E-4</v>
      </c>
      <c r="D733" s="7">
        <f>(Table534567910[[#This Row],[Value]]-B721)/B721</f>
        <v>1.7126046616881739E-2</v>
      </c>
      <c r="E733" s="16">
        <v>0.02</v>
      </c>
      <c r="F733" s="15">
        <f>VLOOKUP(Table534567910[[#This Row],[Date]],Database!A:E,4)</f>
        <v>2.25</v>
      </c>
    </row>
    <row r="734" spans="1:6" s="42" customFormat="1" x14ac:dyDescent="0.2">
      <c r="A734" s="38">
        <v>43739</v>
      </c>
      <c r="B734" s="37">
        <f>VLOOKUP(Table534567910[[#This Row],[Date]],Database!A:E,MATCH($A$1,Database!$A$1:$E$1,),)</f>
        <v>112.54</v>
      </c>
      <c r="C734" s="9">
        <f t="shared" si="11"/>
        <v>1.5395979246576113E-3</v>
      </c>
      <c r="D734" s="7">
        <f>(Table534567910[[#This Row],[Value]]-B722)/B722</f>
        <v>1.7163619273144682E-2</v>
      </c>
      <c r="E734" s="16">
        <v>0.02</v>
      </c>
      <c r="F734" s="15">
        <f>VLOOKUP(Table534567910[[#This Row],[Date]],Database!A:E,4)</f>
        <v>2</v>
      </c>
    </row>
    <row r="735" spans="1:6" s="42" customFormat="1" x14ac:dyDescent="0.2">
      <c r="A735" s="38">
        <v>43770</v>
      </c>
      <c r="B735" s="37">
        <f>VLOOKUP(Table534567910[[#This Row],[Date]],Database!A:E,MATCH($A$1,Database!$A$1:$E$1,),)</f>
        <v>112.57599999999999</v>
      </c>
      <c r="C735" s="9">
        <f t="shared" si="11"/>
        <v>3.1988626266205039E-4</v>
      </c>
      <c r="D735" s="7">
        <f>(Table534567910[[#This Row],[Value]]-B723)/B723</f>
        <v>1.5680542774138832E-2</v>
      </c>
      <c r="E735" s="16">
        <v>0.02</v>
      </c>
      <c r="F735" s="15">
        <f>VLOOKUP(Table534567910[[#This Row],[Date]],Database!A:E,4)</f>
        <v>1.75</v>
      </c>
    </row>
    <row r="736" spans="1:6" s="42" customFormat="1" x14ac:dyDescent="0.2">
      <c r="A736" s="38">
        <v>43800</v>
      </c>
      <c r="B736" s="37">
        <f>VLOOKUP(Table534567910[[#This Row],[Date]],Database!A:E,MATCH($A$1,Database!$A$1:$E$1,),)</f>
        <v>112.824</v>
      </c>
      <c r="C736" s="9">
        <f t="shared" si="11"/>
        <v>2.2029562251279552E-3</v>
      </c>
      <c r="D736" s="7">
        <f>(Table534567910[[#This Row],[Value]]-B724)/B724</f>
        <v>1.6377493108480603E-2</v>
      </c>
      <c r="E736" s="16">
        <v>0.02</v>
      </c>
      <c r="F736" s="15">
        <f>VLOOKUP(Table534567910[[#This Row],[Date]],Database!A:E,4)</f>
        <v>1.75</v>
      </c>
    </row>
    <row r="737" spans="1:6" s="42" customFormat="1" x14ac:dyDescent="0.2">
      <c r="A737" s="38">
        <v>43831</v>
      </c>
      <c r="B737" s="37">
        <f>VLOOKUP(Table534567910[[#This Row],[Date]],Database!A:E,MATCH($A$1,Database!$A$1:$E$1,),)</f>
        <v>113.04</v>
      </c>
      <c r="C737" s="9">
        <f t="shared" si="11"/>
        <v>1.9144862795150695E-3</v>
      </c>
      <c r="D737" s="7">
        <f>(Table534567910[[#This Row],[Value]]-B725)/B725</f>
        <v>1.7828200972447361E-2</v>
      </c>
      <c r="E737" s="16">
        <v>0.02</v>
      </c>
      <c r="F737" s="15">
        <f>VLOOKUP(Table534567910[[#This Row],[Date]],Database!A:E,4)</f>
        <v>1.75</v>
      </c>
    </row>
    <row r="738" spans="1:6" s="42" customFormat="1" x14ac:dyDescent="0.2">
      <c r="A738" s="38">
        <v>43862</v>
      </c>
      <c r="B738" s="37">
        <f>VLOOKUP(Table534567910[[#This Row],[Date]],Database!A:E,MATCH($A$1,Database!$A$1:$E$1,),)</f>
        <v>113.215</v>
      </c>
      <c r="C738" s="9">
        <f t="shared" si="11"/>
        <v>1.5481245576786727E-3</v>
      </c>
      <c r="D738" s="7">
        <f>(Table534567910[[#This Row],[Value]]-B726)/B726</f>
        <v>1.9073594008785191E-2</v>
      </c>
      <c r="E738" s="16">
        <v>0.02</v>
      </c>
      <c r="F738" s="15">
        <f>VLOOKUP(Table534567910[[#This Row],[Date]],Database!A:E,4)</f>
        <v>1.75</v>
      </c>
    </row>
    <row r="739" spans="1:6" s="42" customFormat="1" x14ac:dyDescent="0.2">
      <c r="A739" s="38">
        <v>43891</v>
      </c>
      <c r="B739" s="37">
        <f>VLOOKUP(Table534567910[[#This Row],[Date]],Database!A:E,MATCH($A$1,Database!$A$1:$E$1,),)</f>
        <v>113.15</v>
      </c>
      <c r="C739" s="9">
        <f t="shared" si="11"/>
        <v>-5.7412886984938146E-4</v>
      </c>
      <c r="D739" s="7">
        <f>(Table534567910[[#This Row],[Value]]-B727)/B727</f>
        <v>1.7042083880130159E-2</v>
      </c>
      <c r="E739" s="16">
        <v>0.02</v>
      </c>
      <c r="F739" s="15">
        <f>VLOOKUP(Table534567910[[#This Row],[Date]],Database!A:E,4)</f>
        <v>1.75</v>
      </c>
    </row>
    <row r="740" spans="1:6" s="42" customFormat="1" x14ac:dyDescent="0.2">
      <c r="A740" s="38">
        <v>43922</v>
      </c>
      <c r="B740" s="37">
        <f>VLOOKUP(Table534567910[[#This Row],[Date]],Database!A:E,MATCH($A$1,Database!$A$1:$E$1,),)</f>
        <v>112.628</v>
      </c>
      <c r="C740" s="9">
        <f t="shared" si="11"/>
        <v>-4.6133451171012424E-3</v>
      </c>
      <c r="D740" s="7">
        <f>(Table534567910[[#This Row],[Value]]-B728)/B728</f>
        <v>9.1481717096597963E-3</v>
      </c>
      <c r="E740" s="16">
        <v>0.02</v>
      </c>
      <c r="F740" s="15">
        <f>VLOOKUP(Table534567910[[#This Row],[Date]],Database!A:E,4)</f>
        <v>0.25</v>
      </c>
    </row>
    <row r="741" spans="1:6" s="42" customFormat="1" x14ac:dyDescent="0.2">
      <c r="A741" s="38">
        <v>43952</v>
      </c>
      <c r="B741" s="37">
        <f>VLOOKUP(Table534567910[[#This Row],[Date]],Database!A:E,MATCH($A$1,Database!$A$1:$E$1,),)</f>
        <v>112.864</v>
      </c>
      <c r="C741" s="9">
        <f t="shared" si="11"/>
        <v>2.0953936854068633E-3</v>
      </c>
      <c r="D741" s="7">
        <f>(Table534567910[[#This Row],[Value]]-B729)/B729</f>
        <v>1.0022909507445631E-2</v>
      </c>
      <c r="E741" s="16">
        <v>0.02</v>
      </c>
      <c r="F741" s="15">
        <f>VLOOKUP(Table534567910[[#This Row],[Date]],Database!A:E,4)</f>
        <v>0.25</v>
      </c>
    </row>
    <row r="742" spans="1:6" s="42" customFormat="1" x14ac:dyDescent="0.2">
      <c r="A742" s="38">
        <v>43983</v>
      </c>
      <c r="B742" s="37">
        <f>VLOOKUP(Table534567910[[#This Row],[Date]],Database!A:E,MATCH($A$1,Database!$A$1:$E$1,),)</f>
        <v>113.265</v>
      </c>
      <c r="C742" s="9">
        <f t="shared" si="11"/>
        <v>3.5529486815990595E-3</v>
      </c>
      <c r="D742" s="7">
        <f>(Table534567910[[#This Row],[Value]]-B730)/B730</f>
        <v>1.1321731832102652E-2</v>
      </c>
      <c r="E742" s="16">
        <v>0.02</v>
      </c>
      <c r="F742" s="15">
        <f>VLOOKUP(Table534567910[[#This Row],[Date]],Database!A:E,4)</f>
        <v>0.25</v>
      </c>
    </row>
    <row r="743" spans="1:6" s="42" customFormat="1" x14ac:dyDescent="0.2">
      <c r="A743" s="38">
        <v>44013</v>
      </c>
      <c r="B743" s="37">
        <f>VLOOKUP(Table534567910[[#This Row],[Date]],Database!A:E,MATCH($A$1,Database!$A$1:$E$1,),)</f>
        <v>113.61</v>
      </c>
      <c r="C743" s="9">
        <f t="shared" si="11"/>
        <v>3.0459541782545257E-3</v>
      </c>
      <c r="D743" s="7">
        <f>(Table534567910[[#This Row],[Value]]-B731)/B731</f>
        <v>1.3018279090503734E-2</v>
      </c>
      <c r="E743" s="16">
        <v>0.02</v>
      </c>
      <c r="F743" s="15">
        <f>VLOOKUP(Table534567910[[#This Row],[Date]],Database!A:E,4)</f>
        <v>0.25</v>
      </c>
    </row>
    <row r="744" spans="1:6" s="42" customFormat="1" x14ac:dyDescent="0.2">
      <c r="A744" s="38">
        <v>44044</v>
      </c>
      <c r="B744" s="37">
        <f>VLOOKUP(Table534567910[[#This Row],[Date]],Database!A:E,MATCH($A$1,Database!$A$1:$E$1,),)</f>
        <v>113.971</v>
      </c>
      <c r="C744" s="9">
        <f t="shared" si="11"/>
        <v>3.1775371886277985E-3</v>
      </c>
      <c r="D744" s="7">
        <f>(Table534567910[[#This Row],[Value]]-B732)/B732</f>
        <v>1.497920544309774E-2</v>
      </c>
      <c r="E744" s="16">
        <v>0.02</v>
      </c>
      <c r="F744" s="15">
        <f>VLOOKUP(Table534567910[[#This Row],[Date]],Database!A:E,4)</f>
        <v>0.25</v>
      </c>
    </row>
    <row r="745" spans="1:6" s="42" customFormat="1" x14ac:dyDescent="0.2">
      <c r="A745" s="38">
        <v>44075</v>
      </c>
      <c r="B745" s="37">
        <f>VLOOKUP(Table534567910[[#This Row],[Date]],Database!A:E,MATCH($A$1,Database!$A$1:$E$1,),)</f>
        <v>114.131</v>
      </c>
      <c r="C745" s="9">
        <f t="shared" si="11"/>
        <v>1.4038658957102822E-3</v>
      </c>
      <c r="D745" s="7">
        <f>(Table534567910[[#This Row],[Value]]-B733)/B733</f>
        <v>1.569855918552596E-2</v>
      </c>
      <c r="E745" s="16">
        <v>0.02</v>
      </c>
      <c r="F745" s="15">
        <f>VLOOKUP(Table534567910[[#This Row],[Date]],Database!A:E,4)</f>
        <v>0.25</v>
      </c>
    </row>
    <row r="746" spans="1:6" s="42" customFormat="1" x14ac:dyDescent="0.2">
      <c r="A746" s="38">
        <v>44105</v>
      </c>
      <c r="B746" s="37">
        <f>VLOOKUP(Table534567910[[#This Row],[Date]],Database!A:E,MATCH($A$1,Database!$A$1:$E$1,),)</f>
        <v>114.137</v>
      </c>
      <c r="C746" s="9">
        <f t="shared" si="11"/>
        <v>5.2571168218978429E-5</v>
      </c>
      <c r="D746" s="7">
        <f>(Table534567910[[#This Row],[Value]]-B734)/B734</f>
        <v>1.4190510040874304E-2</v>
      </c>
      <c r="E746" s="16">
        <v>0.02</v>
      </c>
      <c r="F746" s="15">
        <f>VLOOKUP(Table534567910[[#This Row],[Date]],Database!A:E,4)</f>
        <v>0.25</v>
      </c>
    </row>
    <row r="747" spans="1:6" s="42" customFormat="1" x14ac:dyDescent="0.2">
      <c r="A747" s="38">
        <v>44136</v>
      </c>
      <c r="B747" s="37">
        <f>VLOOKUP(Table534567910[[#This Row],[Date]],Database!A:E,MATCH($A$1,Database!$A$1:$E$1,),)</f>
        <v>114.134</v>
      </c>
      <c r="C747" s="9">
        <f t="shared" si="11"/>
        <v>-2.628420231826764E-5</v>
      </c>
      <c r="D747" s="7">
        <f>(Table534567910[[#This Row],[Value]]-B735)/B735</f>
        <v>1.3839539511085906E-2</v>
      </c>
      <c r="E747" s="16">
        <v>0.02</v>
      </c>
      <c r="F747" s="15">
        <f>VLOOKUP(Table534567910[[#This Row],[Date]],Database!A:E,4)</f>
        <v>0.25</v>
      </c>
    </row>
    <row r="748" spans="1:6" s="42" customFormat="1" x14ac:dyDescent="0.2">
      <c r="A748" s="38">
        <v>44166</v>
      </c>
      <c r="B748" s="37">
        <f>VLOOKUP(Table534567910[[#This Row],[Date]],Database!A:E,MATCH($A$1,Database!$A$1:$E$1,),)</f>
        <v>114.494</v>
      </c>
      <c r="C748" s="9">
        <f t="shared" si="11"/>
        <v>3.1541871834860728E-3</v>
      </c>
      <c r="D748" s="7">
        <f>(Table534567910[[#This Row],[Value]]-B736)/B736</f>
        <v>1.4801815216620592E-2</v>
      </c>
      <c r="E748" s="16">
        <v>0.02</v>
      </c>
      <c r="F748" s="15">
        <f>VLOOKUP(Table534567910[[#This Row],[Date]],Database!A:E,4)</f>
        <v>0.25</v>
      </c>
    </row>
    <row r="749" spans="1:6" s="42" customFormat="1" x14ac:dyDescent="0.2">
      <c r="A749" s="38">
        <v>44197</v>
      </c>
      <c r="B749" s="37">
        <f>VLOOKUP(Table534567910[[#This Row],[Date]],Database!A:E,MATCH($A$1,Database!$A$1:$E$1,),)</f>
        <v>114.746</v>
      </c>
      <c r="C749" s="9">
        <f t="shared" si="11"/>
        <v>2.2009886980976761E-3</v>
      </c>
      <c r="D749" s="7">
        <f>(Table534567910[[#This Row],[Value]]-B737)/B737</f>
        <v>1.5092002830856235E-2</v>
      </c>
      <c r="E749" s="16">
        <v>0.02</v>
      </c>
      <c r="F749" s="15">
        <f>VLOOKUP(Table534567910[[#This Row],[Date]],Database!A:E,4)</f>
        <v>0.25</v>
      </c>
    </row>
    <row r="750" spans="1:6" s="42" customFormat="1" x14ac:dyDescent="0.2">
      <c r="A750" s="38">
        <v>44228</v>
      </c>
      <c r="B750" s="37">
        <f>VLOOKUP(Table534567910[[#This Row],[Date]],Database!A:E,MATCH($A$1,Database!$A$1:$E$1,),)</f>
        <v>114.899</v>
      </c>
      <c r="C750" s="9">
        <f t="shared" si="11"/>
        <v>1.3333798128039827E-3</v>
      </c>
      <c r="D750" s="7">
        <f>(Table534567910[[#This Row],[Value]]-B738)/B738</f>
        <v>1.4874354105021397E-2</v>
      </c>
      <c r="E750" s="16">
        <v>0.02</v>
      </c>
      <c r="F750" s="15">
        <f>VLOOKUP(Table534567910[[#This Row],[Date]],Database!A:E,4)</f>
        <v>0.25</v>
      </c>
    </row>
    <row r="751" spans="1:6" s="42" customFormat="1" x14ac:dyDescent="0.2">
      <c r="A751" s="38">
        <v>44256</v>
      </c>
      <c r="B751" s="37">
        <f>VLOOKUP(Table534567910[[#This Row],[Date]],Database!A:E,MATCH($A$1,Database!$A$1:$E$1,),)</f>
        <v>115.383</v>
      </c>
      <c r="C751" s="9">
        <f t="shared" si="11"/>
        <v>4.2123952340750977E-3</v>
      </c>
      <c r="D751" s="7">
        <f>(Table534567910[[#This Row],[Value]]-B739)/B739</f>
        <v>1.9734865223155013E-2</v>
      </c>
      <c r="E751" s="16">
        <v>0.02</v>
      </c>
      <c r="F751" s="15">
        <f>VLOOKUP(Table534567910[[#This Row],[Date]],Database!A:E,4)</f>
        <v>0.25</v>
      </c>
    </row>
    <row r="752" spans="1:6" s="42" customFormat="1" x14ac:dyDescent="0.2">
      <c r="A752" s="38">
        <v>44287</v>
      </c>
      <c r="B752" s="37">
        <f>VLOOKUP(Table534567910[[#This Row],[Date]],Database!A:E,MATCH($A$1,Database!$A$1:$E$1,),)</f>
        <v>116.1</v>
      </c>
      <c r="C752" s="9">
        <f t="shared" si="11"/>
        <v>6.2140869972179503E-3</v>
      </c>
      <c r="D752" s="7">
        <f>(Table534567910[[#This Row],[Value]]-B740)/B740</f>
        <v>3.0827147778527492E-2</v>
      </c>
      <c r="E752" s="16">
        <v>0.02</v>
      </c>
      <c r="F752" s="15">
        <f>VLOOKUP(Table534567910[[#This Row],[Date]],Database!A:E,4)</f>
        <v>0.25</v>
      </c>
    </row>
    <row r="753" spans="1:6" s="42" customFormat="1" x14ac:dyDescent="0.2">
      <c r="A753" s="38">
        <v>44317</v>
      </c>
      <c r="B753" s="37">
        <f>VLOOKUP(Table534567910[[#This Row],[Date]],Database!A:E,MATCH($A$1,Database!$A$1:$E$1,),)</f>
        <v>116.76600000000001</v>
      </c>
      <c r="C753" s="9">
        <f t="shared" si="11"/>
        <v>5.7364341085272275E-3</v>
      </c>
      <c r="D753" s="7">
        <f>(Table534567910[[#This Row],[Value]]-B741)/B741</f>
        <v>3.4572582931669982E-2</v>
      </c>
      <c r="E753" s="16">
        <v>0.02</v>
      </c>
      <c r="F753" s="15">
        <f>VLOOKUP(Table534567910[[#This Row],[Date]],Database!A:E,4)</f>
        <v>0.25</v>
      </c>
    </row>
    <row r="754" spans="1:6" s="42" customFormat="1" x14ac:dyDescent="0.2">
      <c r="A754" s="38">
        <v>44348</v>
      </c>
      <c r="B754" s="37">
        <f>VLOOKUP(Table534567910[[#This Row],[Date]],Database!A:E,MATCH($A$1,Database!$A$1:$E$1,),)</f>
        <v>117.327</v>
      </c>
      <c r="C754" s="9">
        <f t="shared" si="11"/>
        <v>4.8044807563845026E-3</v>
      </c>
      <c r="D754" s="7">
        <f>(Table534567910[[#This Row],[Value]]-B742)/B742</f>
        <v>3.5862799629188168E-2</v>
      </c>
      <c r="E754" s="16">
        <v>0.02</v>
      </c>
      <c r="F754" s="15">
        <f>VLOOKUP(Table534567910[[#This Row],[Date]],Database!A:E,4)</f>
        <v>0.25</v>
      </c>
    </row>
    <row r="755" spans="1:6" s="42" customFormat="1" x14ac:dyDescent="0.2">
      <c r="A755" s="38">
        <v>44378</v>
      </c>
      <c r="B755" s="37">
        <f>VLOOKUP(Table534567910[[#This Row],[Date]],Database!A:E,MATCH($A$1,Database!$A$1:$E$1,),)</f>
        <v>117.70399999999999</v>
      </c>
      <c r="C755" s="9">
        <f t="shared" si="11"/>
        <v>3.2132416238376108E-3</v>
      </c>
      <c r="D755" s="7">
        <f>(Table534567910[[#This Row],[Value]]-B743)/B743</f>
        <v>3.6035560249977942E-2</v>
      </c>
      <c r="E755" s="16">
        <v>0.02</v>
      </c>
      <c r="F755" s="15">
        <f>VLOOKUP(Table534567910[[#This Row],[Date]],Database!A:E,4)</f>
        <v>0.25</v>
      </c>
    </row>
    <row r="756" spans="1:6" s="42" customFormat="1" x14ac:dyDescent="0.2">
      <c r="A756" s="38">
        <v>44409</v>
      </c>
      <c r="B756" s="37">
        <f>VLOOKUP(Table534567910[[#This Row],[Date]],Database!A:E,MATCH($A$1,Database!$A$1:$E$1,),)</f>
        <v>118.07299999999999</v>
      </c>
      <c r="C756" s="9">
        <f t="shared" si="11"/>
        <v>3.1349826683884983E-3</v>
      </c>
      <c r="D756" s="7">
        <f>(Table534567910[[#This Row],[Value]]-B744)/B744</f>
        <v>3.5991611901273042E-2</v>
      </c>
      <c r="E756" s="16">
        <v>0.02</v>
      </c>
      <c r="F756" s="15">
        <f>VLOOKUP(Table534567910[[#This Row],[Date]],Database!A:E,4)</f>
        <v>0.25</v>
      </c>
    </row>
    <row r="757" spans="1:6" s="42" customFormat="1" x14ac:dyDescent="0.2">
      <c r="A757" s="38">
        <v>44440</v>
      </c>
      <c r="B757" s="37">
        <f>VLOOKUP(Table534567910[[#This Row],[Date]],Database!A:E,MATCH($A$1,Database!$A$1:$E$1,),)</f>
        <v>118.357</v>
      </c>
      <c r="C757" s="9">
        <f t="shared" si="11"/>
        <v>2.4052916416115967E-3</v>
      </c>
      <c r="D757" s="7">
        <f>(Table534567910[[#This Row],[Value]]-B745)/B745</f>
        <v>3.7027626148899061E-2</v>
      </c>
      <c r="E757" s="16">
        <v>0.02</v>
      </c>
      <c r="F757" s="15">
        <f>VLOOKUP(Table534567910[[#This Row],[Date]],Database!A:E,4)</f>
        <v>0.25</v>
      </c>
    </row>
    <row r="758" spans="1:6" s="42" customFormat="1" x14ac:dyDescent="0.2">
      <c r="A758" s="38">
        <v>44470</v>
      </c>
      <c r="B758" s="37">
        <f>VLOOKUP(Table534567910[[#This Row],[Date]],Database!A:E,MATCH($A$1,Database!$A$1:$E$1,),)</f>
        <v>118.92100000000001</v>
      </c>
      <c r="C758" s="9">
        <f t="shared" si="11"/>
        <v>4.7652441342717978E-3</v>
      </c>
      <c r="D758" s="7">
        <f>(Table534567910[[#This Row],[Value]]-B746)/B746</f>
        <v>4.1914541296862597E-2</v>
      </c>
      <c r="E758" s="16">
        <v>0.02</v>
      </c>
      <c r="F758" s="15">
        <f>VLOOKUP(Table534567910[[#This Row],[Date]],Database!A:E,4)</f>
        <v>0.25</v>
      </c>
    </row>
    <row r="759" spans="1:6" s="42" customFormat="1" x14ac:dyDescent="0.2">
      <c r="A759" s="6"/>
      <c r="B759" s="46"/>
      <c r="C759" s="4"/>
      <c r="D759" s="5"/>
      <c r="E759" s="12"/>
      <c r="F759" s="12"/>
    </row>
    <row r="760" spans="1:6" s="42" customFormat="1" x14ac:dyDescent="0.2">
      <c r="A760" s="6"/>
      <c r="B760" s="46"/>
      <c r="C760" s="4"/>
      <c r="D760" s="5"/>
      <c r="E760" s="12"/>
      <c r="F760" s="12"/>
    </row>
    <row r="761" spans="1:6" s="42" customFormat="1" x14ac:dyDescent="0.2">
      <c r="A761" s="6"/>
      <c r="B761" s="46"/>
      <c r="C761" s="4"/>
      <c r="D761" s="5"/>
      <c r="E761" s="12"/>
      <c r="F761" s="12"/>
    </row>
    <row r="762" spans="1:6" s="42" customFormat="1" x14ac:dyDescent="0.2">
      <c r="A762" s="6"/>
      <c r="B762" s="46"/>
      <c r="C762" s="4"/>
      <c r="D762" s="5"/>
      <c r="E762" s="12"/>
      <c r="F762" s="12"/>
    </row>
    <row r="763" spans="1:6" s="42" customFormat="1" x14ac:dyDescent="0.2">
      <c r="A763" s="6"/>
      <c r="B763" s="46"/>
      <c r="C763" s="4"/>
      <c r="D763" s="5"/>
      <c r="E763" s="12"/>
      <c r="F763" s="12"/>
    </row>
    <row r="764" spans="1:6" s="42" customFormat="1" x14ac:dyDescent="0.2">
      <c r="A764" s="6"/>
      <c r="B764" s="46"/>
      <c r="C764" s="4"/>
      <c r="D764" s="5"/>
      <c r="E764" s="12"/>
      <c r="F764" s="12"/>
    </row>
    <row r="765" spans="1:6" s="42" customFormat="1" x14ac:dyDescent="0.2">
      <c r="A765" s="6"/>
      <c r="B765" s="46"/>
      <c r="C765" s="4"/>
      <c r="D765" s="5"/>
      <c r="E765" s="12"/>
      <c r="F765" s="12"/>
    </row>
    <row r="766" spans="1:6" s="42" customFormat="1" x14ac:dyDescent="0.2">
      <c r="A766" s="6"/>
      <c r="B766" s="46"/>
      <c r="C766" s="4"/>
      <c r="D766" s="5"/>
      <c r="E766" s="12"/>
      <c r="F766" s="12"/>
    </row>
    <row r="767" spans="1:6" s="42" customFormat="1" x14ac:dyDescent="0.2">
      <c r="A767" s="6"/>
      <c r="B767" s="46"/>
      <c r="C767" s="4"/>
      <c r="D767" s="5"/>
      <c r="E767" s="12"/>
      <c r="F767" s="12"/>
    </row>
    <row r="768" spans="1:6" s="42" customFormat="1" x14ac:dyDescent="0.2">
      <c r="A768" s="6"/>
      <c r="B768" s="46"/>
      <c r="C768" s="4"/>
      <c r="D768" s="5"/>
      <c r="E768" s="12"/>
      <c r="F768" s="12"/>
    </row>
    <row r="769" spans="1:6" s="42" customFormat="1" x14ac:dyDescent="0.2">
      <c r="A769" s="6"/>
      <c r="B769" s="46"/>
      <c r="C769" s="4"/>
      <c r="D769" s="5"/>
      <c r="E769" s="12"/>
      <c r="F769" s="12"/>
    </row>
    <row r="770" spans="1:6" s="42" customFormat="1" x14ac:dyDescent="0.2">
      <c r="A770" s="6"/>
      <c r="B770" s="46"/>
      <c r="C770" s="4"/>
      <c r="D770" s="5"/>
      <c r="E770" s="12"/>
      <c r="F770" s="12"/>
    </row>
    <row r="771" spans="1:6" s="42" customFormat="1" x14ac:dyDescent="0.2">
      <c r="A771" s="6"/>
      <c r="B771" s="46"/>
      <c r="C771" s="4"/>
      <c r="D771" s="5"/>
      <c r="E771" s="12"/>
      <c r="F771" s="12"/>
    </row>
    <row r="772" spans="1:6" s="42" customFormat="1" x14ac:dyDescent="0.2">
      <c r="A772" s="6"/>
      <c r="B772" s="46"/>
      <c r="C772" s="4"/>
      <c r="D772" s="5"/>
      <c r="E772" s="12"/>
      <c r="F772" s="12"/>
    </row>
    <row r="773" spans="1:6" s="42" customFormat="1" x14ac:dyDescent="0.2">
      <c r="A773" s="6"/>
      <c r="B773" s="46"/>
      <c r="C773" s="4"/>
      <c r="D773" s="5"/>
      <c r="E773" s="12"/>
      <c r="F773" s="12"/>
    </row>
    <row r="774" spans="1:6" s="42" customFormat="1" x14ac:dyDescent="0.2">
      <c r="A774" s="6"/>
      <c r="B774" s="46"/>
      <c r="C774" s="4"/>
      <c r="D774" s="5"/>
      <c r="E774" s="12"/>
      <c r="F774" s="12"/>
    </row>
    <row r="775" spans="1:6" s="42" customFormat="1" x14ac:dyDescent="0.2">
      <c r="A775" s="6"/>
      <c r="B775" s="46"/>
      <c r="C775" s="4"/>
      <c r="D775" s="5"/>
      <c r="E775" s="12"/>
      <c r="F775" s="12"/>
    </row>
    <row r="776" spans="1:6" s="42" customFormat="1" x14ac:dyDescent="0.2">
      <c r="A776" s="6"/>
      <c r="B776" s="46"/>
      <c r="C776" s="4"/>
      <c r="D776" s="5"/>
      <c r="E776" s="12"/>
      <c r="F776" s="12"/>
    </row>
    <row r="777" spans="1:6" s="42" customFormat="1" x14ac:dyDescent="0.2">
      <c r="A777" s="6"/>
      <c r="B777" s="46"/>
      <c r="C777" s="4"/>
      <c r="D777" s="5"/>
      <c r="E777" s="12"/>
      <c r="F777" s="12"/>
    </row>
    <row r="778" spans="1:6" s="42" customFormat="1" x14ac:dyDescent="0.2">
      <c r="A778" s="6"/>
      <c r="B778" s="46"/>
      <c r="C778" s="4"/>
      <c r="D778" s="5"/>
      <c r="E778" s="12"/>
      <c r="F778" s="12"/>
    </row>
    <row r="779" spans="1:6" s="42" customFormat="1" x14ac:dyDescent="0.2">
      <c r="A779" s="6"/>
      <c r="B779" s="46"/>
      <c r="C779" s="4"/>
      <c r="D779" s="5"/>
      <c r="E779" s="12"/>
      <c r="F779" s="12"/>
    </row>
    <row r="780" spans="1:6" s="42" customFormat="1" x14ac:dyDescent="0.2">
      <c r="A780" s="6"/>
      <c r="B780" s="46"/>
      <c r="C780" s="4"/>
      <c r="D780" s="5"/>
      <c r="E780" s="12"/>
      <c r="F780" s="12"/>
    </row>
    <row r="781" spans="1:6" s="42" customFormat="1" x14ac:dyDescent="0.2">
      <c r="A781" s="6"/>
      <c r="B781" s="46"/>
      <c r="C781" s="4"/>
      <c r="D781" s="5"/>
      <c r="E781" s="12"/>
      <c r="F781" s="12"/>
    </row>
    <row r="782" spans="1:6" s="42" customFormat="1" x14ac:dyDescent="0.2">
      <c r="A782" s="6"/>
      <c r="B782" s="46"/>
      <c r="C782" s="4"/>
      <c r="D782" s="5"/>
      <c r="E782" s="12"/>
      <c r="F782" s="12"/>
    </row>
    <row r="783" spans="1:6" s="42" customFormat="1" x14ac:dyDescent="0.2">
      <c r="A783" s="6"/>
      <c r="B783" s="46"/>
      <c r="C783" s="4"/>
      <c r="D783" s="5"/>
      <c r="E783" s="12"/>
      <c r="F783" s="12"/>
    </row>
    <row r="784" spans="1:6" s="42" customFormat="1" x14ac:dyDescent="0.2">
      <c r="A784" s="6"/>
      <c r="B784" s="46"/>
      <c r="C784" s="4"/>
      <c r="D784" s="5"/>
      <c r="E784" s="12"/>
      <c r="F784" s="12"/>
    </row>
    <row r="785" spans="1:6" s="42" customFormat="1" x14ac:dyDescent="0.2">
      <c r="A785" s="6"/>
      <c r="B785" s="46"/>
      <c r="C785" s="4"/>
      <c r="D785" s="5"/>
      <c r="E785" s="12"/>
      <c r="F785" s="12"/>
    </row>
    <row r="786" spans="1:6" s="42" customFormat="1" x14ac:dyDescent="0.2">
      <c r="A786" s="6"/>
      <c r="B786" s="46"/>
      <c r="C786" s="4"/>
      <c r="D786" s="5"/>
      <c r="E786" s="12"/>
      <c r="F786" s="12"/>
    </row>
    <row r="787" spans="1:6" s="42" customFormat="1" x14ac:dyDescent="0.2">
      <c r="A787" s="6"/>
      <c r="B787" s="46"/>
      <c r="C787" s="4"/>
      <c r="D787" s="5"/>
      <c r="E787" s="12"/>
      <c r="F787" s="12"/>
    </row>
    <row r="788" spans="1:6" s="42" customFormat="1" x14ac:dyDescent="0.2">
      <c r="A788" s="6"/>
      <c r="B788" s="46"/>
      <c r="C788" s="4"/>
      <c r="D788" s="5"/>
      <c r="E788" s="12"/>
      <c r="F788" s="12"/>
    </row>
    <row r="789" spans="1:6" s="42" customFormat="1" x14ac:dyDescent="0.2">
      <c r="A789" s="6"/>
      <c r="B789" s="46"/>
      <c r="C789" s="4"/>
      <c r="D789" s="5"/>
      <c r="E789" s="12"/>
      <c r="F789" s="12"/>
    </row>
    <row r="790" spans="1:6" s="42" customFormat="1" x14ac:dyDescent="0.2">
      <c r="A790" s="6"/>
      <c r="B790" s="46"/>
      <c r="C790" s="4"/>
      <c r="D790" s="5"/>
      <c r="E790" s="12"/>
      <c r="F790" s="12"/>
    </row>
    <row r="791" spans="1:6" s="42" customFormat="1" x14ac:dyDescent="0.2">
      <c r="A791" s="6"/>
      <c r="B791" s="46"/>
      <c r="C791" s="4"/>
      <c r="D791" s="5"/>
      <c r="E791" s="12"/>
      <c r="F791" s="12"/>
    </row>
    <row r="792" spans="1:6" s="42" customFormat="1" x14ac:dyDescent="0.2">
      <c r="A792" s="6"/>
      <c r="B792" s="46"/>
      <c r="C792" s="4"/>
      <c r="D792" s="5"/>
      <c r="E792" s="12"/>
      <c r="F792" s="12"/>
    </row>
    <row r="793" spans="1:6" s="42" customFormat="1" x14ac:dyDescent="0.2">
      <c r="A793" s="6"/>
      <c r="B793" s="46"/>
      <c r="C793" s="4"/>
      <c r="D793" s="5"/>
      <c r="E793" s="12"/>
      <c r="F793" s="12"/>
    </row>
    <row r="794" spans="1:6" s="42" customFormat="1" x14ac:dyDescent="0.2">
      <c r="A794" s="6"/>
      <c r="B794" s="46"/>
      <c r="C794" s="4"/>
      <c r="D794" s="5"/>
      <c r="E794" s="12"/>
      <c r="F794" s="12"/>
    </row>
    <row r="795" spans="1:6" s="42" customFormat="1" x14ac:dyDescent="0.2">
      <c r="A795" s="6"/>
      <c r="B795" s="46"/>
      <c r="C795" s="4"/>
      <c r="D795" s="5"/>
      <c r="E795" s="12"/>
      <c r="F795" s="12"/>
    </row>
    <row r="796" spans="1:6" s="42" customFormat="1" x14ac:dyDescent="0.2">
      <c r="A796" s="6"/>
      <c r="B796" s="46"/>
      <c r="C796" s="4"/>
      <c r="D796" s="5"/>
      <c r="E796" s="12"/>
      <c r="F796" s="12"/>
    </row>
    <row r="797" spans="1:6" s="42" customFormat="1" x14ac:dyDescent="0.2">
      <c r="A797" s="6"/>
      <c r="B797" s="46"/>
      <c r="C797" s="4"/>
      <c r="D797" s="5"/>
      <c r="E797" s="12"/>
      <c r="F797" s="12"/>
    </row>
    <row r="798" spans="1:6" s="42" customFormat="1" x14ac:dyDescent="0.2">
      <c r="A798" s="6"/>
      <c r="B798" s="46"/>
      <c r="C798" s="4"/>
      <c r="D798" s="5"/>
      <c r="E798" s="12"/>
      <c r="F798" s="12"/>
    </row>
    <row r="799" spans="1:6" s="42" customFormat="1" x14ac:dyDescent="0.2">
      <c r="A799" s="6"/>
      <c r="B799" s="46"/>
      <c r="C799" s="4"/>
      <c r="D799" s="5"/>
      <c r="E799" s="12"/>
      <c r="F799" s="12"/>
    </row>
    <row r="800" spans="1:6" s="42" customFormat="1" x14ac:dyDescent="0.2">
      <c r="A800" s="6"/>
      <c r="B800" s="46"/>
      <c r="C800" s="4"/>
      <c r="D800" s="5"/>
      <c r="E800" s="12"/>
      <c r="F800" s="12"/>
    </row>
    <row r="801" spans="1:6" s="42" customFormat="1" x14ac:dyDescent="0.2">
      <c r="A801" s="6"/>
      <c r="B801" s="46"/>
      <c r="C801" s="4"/>
      <c r="D801" s="5"/>
      <c r="E801" s="12"/>
      <c r="F801" s="12"/>
    </row>
    <row r="802" spans="1:6" s="42" customFormat="1" x14ac:dyDescent="0.2">
      <c r="A802" s="6"/>
      <c r="B802" s="46"/>
      <c r="C802" s="4"/>
      <c r="D802" s="5"/>
      <c r="E802" s="12"/>
      <c r="F802" s="12"/>
    </row>
    <row r="803" spans="1:6" s="42" customFormat="1" x14ac:dyDescent="0.2">
      <c r="A803" s="6"/>
      <c r="B803" s="46"/>
      <c r="C803" s="4"/>
      <c r="D803" s="5"/>
      <c r="E803" s="12"/>
      <c r="F803" s="12"/>
    </row>
    <row r="804" spans="1:6" s="42" customFormat="1" x14ac:dyDescent="0.2">
      <c r="A804" s="6"/>
      <c r="B804" s="46"/>
      <c r="C804" s="4"/>
      <c r="D804" s="5"/>
      <c r="E804" s="12"/>
      <c r="F804" s="12"/>
    </row>
    <row r="805" spans="1:6" s="42" customFormat="1" x14ac:dyDescent="0.2">
      <c r="A805" s="6"/>
      <c r="B805" s="46"/>
      <c r="C805" s="4"/>
      <c r="D805" s="5"/>
      <c r="E805" s="12"/>
      <c r="F805" s="12"/>
    </row>
    <row r="806" spans="1:6" s="42" customFormat="1" x14ac:dyDescent="0.2">
      <c r="A806" s="6"/>
      <c r="B806" s="46"/>
      <c r="C806" s="4"/>
      <c r="D806" s="5"/>
      <c r="E806" s="12"/>
      <c r="F806" s="12"/>
    </row>
    <row r="807" spans="1:6" s="42" customFormat="1" x14ac:dyDescent="0.2">
      <c r="A807" s="6"/>
      <c r="B807" s="46"/>
      <c r="C807" s="4"/>
      <c r="D807" s="5"/>
      <c r="E807" s="12"/>
      <c r="F807" s="12"/>
    </row>
    <row r="808" spans="1:6" s="42" customFormat="1" x14ac:dyDescent="0.2">
      <c r="A808" s="6"/>
      <c r="B808" s="46"/>
      <c r="C808" s="4"/>
      <c r="D808" s="5"/>
      <c r="E808" s="12"/>
      <c r="F808" s="12"/>
    </row>
    <row r="809" spans="1:6" s="42" customFormat="1" x14ac:dyDescent="0.2">
      <c r="A809" s="6"/>
      <c r="B809" s="46"/>
      <c r="C809" s="4"/>
      <c r="D809" s="5"/>
      <c r="E809" s="12"/>
      <c r="F809" s="12"/>
    </row>
    <row r="810" spans="1:6" s="42" customFormat="1" x14ac:dyDescent="0.2">
      <c r="A810" s="6"/>
      <c r="B810" s="46"/>
      <c r="C810" s="4"/>
      <c r="D810" s="5"/>
      <c r="E810" s="12"/>
      <c r="F810" s="12"/>
    </row>
    <row r="811" spans="1:6" s="42" customFormat="1" x14ac:dyDescent="0.2">
      <c r="A811" s="6"/>
      <c r="B811" s="46"/>
      <c r="C811" s="4"/>
      <c r="D811" s="5"/>
      <c r="E811" s="12"/>
      <c r="F811" s="12"/>
    </row>
    <row r="812" spans="1:6" s="42" customFormat="1" x14ac:dyDescent="0.2">
      <c r="A812" s="6"/>
      <c r="B812" s="46"/>
      <c r="C812" s="4"/>
      <c r="D812" s="5"/>
      <c r="E812" s="12"/>
      <c r="F812" s="12"/>
    </row>
    <row r="813" spans="1:6" s="42" customFormat="1" x14ac:dyDescent="0.2">
      <c r="A813" s="6"/>
      <c r="B813" s="46"/>
      <c r="C813" s="4"/>
      <c r="D813" s="5"/>
      <c r="E813" s="12"/>
      <c r="F813" s="12"/>
    </row>
    <row r="814" spans="1:6" s="42" customFormat="1" x14ac:dyDescent="0.2">
      <c r="A814" s="6"/>
      <c r="B814" s="46"/>
      <c r="C814" s="4"/>
      <c r="D814" s="5"/>
      <c r="E814" s="12"/>
      <c r="F814" s="12"/>
    </row>
    <row r="815" spans="1:6" s="42" customFormat="1" x14ac:dyDescent="0.2">
      <c r="A815" s="6"/>
      <c r="B815" s="46"/>
      <c r="C815" s="4"/>
      <c r="D815" s="5"/>
      <c r="E815" s="12"/>
      <c r="F815" s="12"/>
    </row>
    <row r="816" spans="1:6" s="42" customFormat="1" x14ac:dyDescent="0.2">
      <c r="A816" s="6"/>
      <c r="B816" s="46"/>
      <c r="C816" s="4"/>
      <c r="D816" s="5"/>
      <c r="E816" s="12"/>
      <c r="F816" s="12"/>
    </row>
    <row r="817" spans="1:6" s="42" customFormat="1" x14ac:dyDescent="0.2">
      <c r="A817" s="6"/>
      <c r="B817" s="46"/>
      <c r="C817" s="4"/>
      <c r="D817" s="5"/>
      <c r="E817" s="12"/>
      <c r="F817" s="12"/>
    </row>
    <row r="818" spans="1:6" s="42" customFormat="1" x14ac:dyDescent="0.2">
      <c r="A818" s="6"/>
      <c r="B818" s="46"/>
      <c r="C818" s="4"/>
      <c r="D818" s="5"/>
      <c r="E818" s="12"/>
      <c r="F818" s="12"/>
    </row>
    <row r="819" spans="1:6" s="42" customFormat="1" x14ac:dyDescent="0.2">
      <c r="A819" s="6"/>
      <c r="B819" s="46"/>
      <c r="C819" s="4"/>
      <c r="D819" s="5"/>
      <c r="E819" s="12"/>
      <c r="F819" s="12"/>
    </row>
    <row r="820" spans="1:6" s="42" customFormat="1" x14ac:dyDescent="0.2">
      <c r="A820" s="6"/>
      <c r="B820" s="46"/>
      <c r="C820" s="4"/>
      <c r="D820" s="5"/>
      <c r="E820" s="12"/>
      <c r="F820" s="12"/>
    </row>
    <row r="821" spans="1:6" s="42" customFormat="1" x14ac:dyDescent="0.2">
      <c r="A821" s="6"/>
      <c r="B821" s="46"/>
      <c r="C821" s="4"/>
      <c r="D821" s="5"/>
      <c r="E821" s="12"/>
      <c r="F821" s="12"/>
    </row>
    <row r="822" spans="1:6" s="42" customFormat="1" x14ac:dyDescent="0.2">
      <c r="A822" s="6"/>
      <c r="B822" s="46"/>
      <c r="C822" s="4"/>
      <c r="D822" s="5"/>
      <c r="E822" s="12"/>
      <c r="F822" s="12"/>
    </row>
    <row r="823" spans="1:6" s="42" customFormat="1" x14ac:dyDescent="0.2">
      <c r="A823" s="6"/>
      <c r="B823" s="46"/>
      <c r="C823" s="4"/>
      <c r="D823" s="5"/>
      <c r="E823" s="12"/>
      <c r="F823" s="12"/>
    </row>
    <row r="824" spans="1:6" s="42" customFormat="1" x14ac:dyDescent="0.2">
      <c r="A824" s="6"/>
      <c r="B824" s="46"/>
      <c r="C824" s="4"/>
      <c r="D824" s="5"/>
      <c r="E824" s="12"/>
      <c r="F824" s="12"/>
    </row>
    <row r="825" spans="1:6" s="42" customFormat="1" x14ac:dyDescent="0.2">
      <c r="A825" s="6"/>
      <c r="B825" s="46"/>
      <c r="C825" s="4"/>
      <c r="D825" s="5"/>
      <c r="E825" s="12"/>
      <c r="F825" s="12"/>
    </row>
    <row r="826" spans="1:6" s="42" customFormat="1" x14ac:dyDescent="0.2">
      <c r="A826" s="6"/>
      <c r="B826" s="46"/>
      <c r="C826" s="4"/>
      <c r="D826" s="5"/>
      <c r="E826" s="12"/>
      <c r="F826" s="12"/>
    </row>
    <row r="827" spans="1:6" s="42" customFormat="1" x14ac:dyDescent="0.2">
      <c r="A827" s="6"/>
      <c r="B827" s="46"/>
      <c r="C827" s="4"/>
      <c r="D827" s="5"/>
      <c r="E827" s="12"/>
      <c r="F827" s="12"/>
    </row>
    <row r="828" spans="1:6" s="42" customFormat="1" x14ac:dyDescent="0.2">
      <c r="A828" s="6"/>
      <c r="B828" s="46"/>
      <c r="C828" s="4"/>
      <c r="D828" s="5"/>
      <c r="E828" s="12"/>
      <c r="F828" s="12"/>
    </row>
    <row r="829" spans="1:6" s="42" customFormat="1" x14ac:dyDescent="0.2">
      <c r="A829" s="6"/>
      <c r="B829" s="46"/>
      <c r="C829" s="4"/>
      <c r="D829" s="5"/>
      <c r="E829" s="12"/>
      <c r="F829" s="12"/>
    </row>
    <row r="830" spans="1:6" s="42" customFormat="1" x14ac:dyDescent="0.2">
      <c r="A830" s="6"/>
      <c r="B830" s="46"/>
      <c r="C830" s="4"/>
      <c r="D830" s="5"/>
      <c r="E830" s="12"/>
      <c r="F830" s="12"/>
    </row>
    <row r="831" spans="1:6" s="42" customFormat="1" x14ac:dyDescent="0.2">
      <c r="A831" s="6"/>
      <c r="B831" s="46"/>
      <c r="C831" s="4"/>
      <c r="D831" s="5"/>
      <c r="E831" s="12"/>
      <c r="F831" s="12"/>
    </row>
    <row r="832" spans="1:6" s="42" customFormat="1" x14ac:dyDescent="0.2">
      <c r="A832" s="6"/>
      <c r="B832" s="46"/>
      <c r="C832" s="4"/>
      <c r="D832" s="5"/>
      <c r="E832" s="12"/>
      <c r="F832" s="12"/>
    </row>
    <row r="833" spans="1:6" s="42" customFormat="1" x14ac:dyDescent="0.2">
      <c r="A833" s="6"/>
      <c r="B833" s="46"/>
      <c r="C833" s="4"/>
      <c r="D833" s="5"/>
      <c r="E833" s="12"/>
      <c r="F833" s="12"/>
    </row>
    <row r="834" spans="1:6" s="42" customFormat="1" x14ac:dyDescent="0.2">
      <c r="A834" s="6"/>
      <c r="B834" s="46"/>
      <c r="C834" s="4"/>
      <c r="D834" s="5"/>
      <c r="E834" s="12"/>
      <c r="F834" s="12"/>
    </row>
    <row r="835" spans="1:6" s="42" customFormat="1" x14ac:dyDescent="0.2">
      <c r="A835" s="6"/>
      <c r="B835" s="46"/>
      <c r="C835" s="4"/>
      <c r="D835" s="5"/>
      <c r="E835" s="12"/>
      <c r="F835" s="12"/>
    </row>
    <row r="836" spans="1:6" s="42" customFormat="1" x14ac:dyDescent="0.2">
      <c r="A836" s="6"/>
      <c r="B836" s="46"/>
      <c r="C836" s="4"/>
      <c r="D836" s="5"/>
      <c r="E836" s="12"/>
      <c r="F836" s="12"/>
    </row>
    <row r="837" spans="1:6" s="42" customFormat="1" x14ac:dyDescent="0.2">
      <c r="A837" s="6"/>
      <c r="B837" s="46"/>
      <c r="C837" s="4"/>
      <c r="D837" s="5"/>
      <c r="E837" s="12"/>
      <c r="F837" s="12"/>
    </row>
    <row r="838" spans="1:6" s="42" customFormat="1" x14ac:dyDescent="0.2">
      <c r="A838" s="6"/>
      <c r="B838" s="46"/>
      <c r="C838" s="4"/>
      <c r="D838" s="5"/>
      <c r="E838" s="12"/>
      <c r="F838" s="12"/>
    </row>
    <row r="839" spans="1:6" s="42" customFormat="1" x14ac:dyDescent="0.2">
      <c r="A839" s="6"/>
      <c r="B839" s="46"/>
      <c r="C839" s="4"/>
      <c r="D839" s="5"/>
      <c r="E839" s="12"/>
      <c r="F839" s="12"/>
    </row>
    <row r="840" spans="1:6" s="42" customFormat="1" x14ac:dyDescent="0.2">
      <c r="A840" s="6"/>
      <c r="B840" s="46"/>
      <c r="C840" s="4"/>
      <c r="D840" s="5"/>
      <c r="E840" s="12"/>
      <c r="F840" s="12"/>
    </row>
    <row r="841" spans="1:6" s="42" customFormat="1" x14ac:dyDescent="0.2">
      <c r="A841" s="6"/>
      <c r="B841" s="46"/>
      <c r="C841" s="4"/>
      <c r="D841" s="5"/>
      <c r="E841" s="12"/>
      <c r="F841" s="12"/>
    </row>
    <row r="842" spans="1:6" s="42" customFormat="1" x14ac:dyDescent="0.2">
      <c r="A842" s="6"/>
      <c r="B842" s="46"/>
      <c r="C842" s="4"/>
      <c r="D842" s="5"/>
      <c r="E842" s="12"/>
      <c r="F842" s="12"/>
    </row>
    <row r="843" spans="1:6" s="42" customFormat="1" x14ac:dyDescent="0.2">
      <c r="A843" s="6"/>
      <c r="B843" s="46"/>
      <c r="C843" s="4"/>
      <c r="D843" s="5"/>
      <c r="E843" s="12"/>
      <c r="F843" s="12"/>
    </row>
    <row r="844" spans="1:6" s="42" customFormat="1" x14ac:dyDescent="0.2">
      <c r="A844" s="6"/>
      <c r="B844" s="46"/>
      <c r="C844" s="4"/>
      <c r="D844" s="5"/>
      <c r="E844" s="12"/>
      <c r="F844" s="12"/>
    </row>
    <row r="845" spans="1:6" s="42" customFormat="1" x14ac:dyDescent="0.2">
      <c r="A845" s="6"/>
      <c r="B845" s="46"/>
      <c r="C845" s="4"/>
      <c r="D845" s="5"/>
      <c r="E845" s="12"/>
      <c r="F845" s="12"/>
    </row>
    <row r="846" spans="1:6" s="42" customFormat="1" x14ac:dyDescent="0.2">
      <c r="A846" s="6"/>
      <c r="B846" s="46"/>
      <c r="C846" s="4"/>
      <c r="D846" s="5"/>
      <c r="E846" s="12"/>
      <c r="F846" s="12"/>
    </row>
    <row r="847" spans="1:6" s="42" customFormat="1" x14ac:dyDescent="0.2">
      <c r="A847" s="6"/>
      <c r="B847" s="46"/>
      <c r="C847" s="4"/>
      <c r="D847" s="5"/>
      <c r="E847" s="12"/>
      <c r="F847" s="12"/>
    </row>
    <row r="848" spans="1:6" s="42" customFormat="1" x14ac:dyDescent="0.2">
      <c r="A848" s="6"/>
      <c r="B848" s="46"/>
      <c r="C848" s="4"/>
      <c r="D848" s="5"/>
      <c r="E848" s="12"/>
      <c r="F848" s="12"/>
    </row>
    <row r="849" spans="1:6" s="42" customFormat="1" x14ac:dyDescent="0.2">
      <c r="A849" s="6"/>
      <c r="B849" s="46"/>
      <c r="C849" s="4"/>
      <c r="D849" s="5"/>
      <c r="E849" s="12"/>
      <c r="F849" s="12"/>
    </row>
    <row r="850" spans="1:6" s="42" customFormat="1" x14ac:dyDescent="0.2">
      <c r="A850" s="6"/>
      <c r="B850" s="46"/>
      <c r="C850" s="4"/>
      <c r="D850" s="5"/>
      <c r="E850" s="12"/>
      <c r="F850" s="12"/>
    </row>
    <row r="851" spans="1:6" s="42" customFormat="1" x14ac:dyDescent="0.2">
      <c r="A851" s="6"/>
      <c r="B851" s="46"/>
      <c r="C851" s="4"/>
      <c r="D851" s="5"/>
      <c r="E851" s="12"/>
      <c r="F851" s="12"/>
    </row>
    <row r="852" spans="1:6" s="42" customFormat="1" x14ac:dyDescent="0.2">
      <c r="A852" s="6"/>
      <c r="B852" s="46"/>
      <c r="C852" s="4"/>
      <c r="D852" s="5"/>
      <c r="E852" s="12"/>
      <c r="F852" s="12"/>
    </row>
    <row r="853" spans="1:6" s="42" customFormat="1" x14ac:dyDescent="0.2">
      <c r="A853" s="6"/>
      <c r="B853" s="46"/>
      <c r="C853" s="4"/>
      <c r="D853" s="5"/>
      <c r="E853" s="12"/>
      <c r="F853" s="12"/>
    </row>
    <row r="854" spans="1:6" s="42" customFormat="1" x14ac:dyDescent="0.2">
      <c r="A854" s="6"/>
      <c r="B854" s="46"/>
      <c r="C854" s="4"/>
      <c r="D854" s="5"/>
      <c r="E854" s="12"/>
      <c r="F854" s="12"/>
    </row>
    <row r="855" spans="1:6" s="42" customFormat="1" x14ac:dyDescent="0.2">
      <c r="A855" s="6"/>
      <c r="B855" s="46"/>
      <c r="C855" s="4"/>
      <c r="D855" s="5"/>
      <c r="E855" s="12"/>
      <c r="F855" s="12"/>
    </row>
    <row r="856" spans="1:6" s="42" customFormat="1" x14ac:dyDescent="0.2">
      <c r="A856" s="6"/>
      <c r="B856" s="46"/>
      <c r="C856" s="4"/>
      <c r="D856" s="5"/>
      <c r="E856" s="12"/>
      <c r="F856" s="12"/>
    </row>
    <row r="857" spans="1:6" s="42" customFormat="1" x14ac:dyDescent="0.2">
      <c r="A857" s="6"/>
      <c r="B857" s="46"/>
      <c r="C857" s="4"/>
      <c r="D857" s="5"/>
      <c r="E857" s="12"/>
      <c r="F857" s="12"/>
    </row>
    <row r="858" spans="1:6" s="42" customFormat="1" x14ac:dyDescent="0.2">
      <c r="A858" s="6"/>
      <c r="B858" s="46"/>
      <c r="C858" s="4"/>
      <c r="D858" s="5"/>
      <c r="E858" s="12"/>
      <c r="F858" s="12"/>
    </row>
    <row r="859" spans="1:6" s="42" customFormat="1" x14ac:dyDescent="0.2">
      <c r="A859" s="6"/>
      <c r="B859" s="46"/>
      <c r="C859" s="4"/>
      <c r="D859" s="5"/>
      <c r="E859" s="12"/>
      <c r="F859" s="12"/>
    </row>
    <row r="860" spans="1:6" s="42" customFormat="1" x14ac:dyDescent="0.2">
      <c r="A860" s="6"/>
      <c r="B860" s="46"/>
      <c r="C860" s="4"/>
      <c r="D860" s="5"/>
      <c r="E860" s="12"/>
      <c r="F860" s="12"/>
    </row>
    <row r="861" spans="1:6" s="42" customFormat="1" x14ac:dyDescent="0.2">
      <c r="A861" s="6"/>
      <c r="B861" s="46"/>
      <c r="C861" s="4"/>
      <c r="D861" s="5"/>
      <c r="E861" s="12"/>
      <c r="F861" s="12"/>
    </row>
    <row r="862" spans="1:6" s="42" customFormat="1" x14ac:dyDescent="0.2">
      <c r="A862" s="6"/>
      <c r="B862" s="46"/>
      <c r="C862" s="4"/>
      <c r="D862" s="5"/>
      <c r="E862" s="12"/>
      <c r="F862" s="12"/>
    </row>
    <row r="863" spans="1:6" s="42" customFormat="1" x14ac:dyDescent="0.2">
      <c r="A863" s="6"/>
      <c r="B863" s="46"/>
      <c r="C863" s="4"/>
      <c r="D863" s="5"/>
      <c r="E863" s="12"/>
      <c r="F863" s="12"/>
    </row>
    <row r="864" spans="1:6" s="42" customFormat="1" x14ac:dyDescent="0.2">
      <c r="A864" s="6"/>
      <c r="B864" s="46"/>
      <c r="C864" s="4"/>
      <c r="D864" s="5"/>
      <c r="E864" s="12"/>
      <c r="F864" s="12"/>
    </row>
    <row r="865" spans="1:6" s="42" customFormat="1" x14ac:dyDescent="0.2">
      <c r="A865" s="6"/>
      <c r="B865" s="46"/>
      <c r="C865" s="4"/>
      <c r="D865" s="5"/>
      <c r="E865" s="12"/>
      <c r="F865" s="12"/>
    </row>
    <row r="866" spans="1:6" s="42" customFormat="1" x14ac:dyDescent="0.2">
      <c r="A866" s="6"/>
      <c r="B866" s="46"/>
      <c r="C866" s="4"/>
      <c r="D866" s="5"/>
      <c r="E866" s="12"/>
      <c r="F866" s="12"/>
    </row>
    <row r="867" spans="1:6" s="42" customFormat="1" x14ac:dyDescent="0.2">
      <c r="A867" s="6"/>
      <c r="B867" s="46"/>
      <c r="C867" s="4"/>
      <c r="D867" s="5"/>
      <c r="E867" s="12"/>
      <c r="F867" s="12"/>
    </row>
    <row r="868" spans="1:6" s="42" customFormat="1" x14ac:dyDescent="0.2">
      <c r="A868" s="6"/>
      <c r="B868" s="46"/>
      <c r="C868" s="4"/>
      <c r="D868" s="5"/>
      <c r="E868" s="12"/>
      <c r="F868" s="12"/>
    </row>
    <row r="869" spans="1:6" s="42" customFormat="1" x14ac:dyDescent="0.2">
      <c r="A869" s="6"/>
      <c r="B869" s="46"/>
      <c r="C869" s="4"/>
      <c r="D869" s="5"/>
      <c r="E869" s="12"/>
      <c r="F869" s="12"/>
    </row>
    <row r="870" spans="1:6" s="42" customFormat="1" x14ac:dyDescent="0.2">
      <c r="A870" s="6"/>
      <c r="B870" s="46"/>
      <c r="C870" s="4"/>
      <c r="D870" s="5"/>
      <c r="E870" s="12"/>
      <c r="F870" s="12"/>
    </row>
    <row r="871" spans="1:6" s="42" customFormat="1" x14ac:dyDescent="0.2">
      <c r="A871" s="6"/>
      <c r="B871" s="46"/>
      <c r="C871" s="4"/>
      <c r="D871" s="5"/>
      <c r="E871" s="12"/>
      <c r="F871" s="12"/>
    </row>
    <row r="872" spans="1:6" s="42" customFormat="1" x14ac:dyDescent="0.2">
      <c r="A872" s="6"/>
      <c r="B872" s="46"/>
      <c r="C872" s="4"/>
      <c r="D872" s="5"/>
      <c r="E872" s="12"/>
      <c r="F872" s="12"/>
    </row>
    <row r="873" spans="1:6" s="42" customFormat="1" x14ac:dyDescent="0.2">
      <c r="A873" s="6"/>
      <c r="B873" s="46"/>
      <c r="C873" s="4"/>
      <c r="D873" s="5"/>
      <c r="E873" s="12"/>
      <c r="F873" s="12"/>
    </row>
    <row r="874" spans="1:6" s="42" customFormat="1" x14ac:dyDescent="0.2">
      <c r="A874" s="6"/>
      <c r="B874" s="46"/>
      <c r="C874" s="4"/>
      <c r="D874" s="5"/>
      <c r="E874" s="12"/>
      <c r="F874" s="12"/>
    </row>
    <row r="875" spans="1:6" s="42" customFormat="1" x14ac:dyDescent="0.2">
      <c r="A875" s="6"/>
      <c r="B875" s="46"/>
      <c r="C875" s="4"/>
      <c r="D875" s="5"/>
      <c r="E875" s="12"/>
      <c r="F875" s="12"/>
    </row>
    <row r="876" spans="1:6" s="42" customFormat="1" x14ac:dyDescent="0.2">
      <c r="A876" s="6"/>
      <c r="B876" s="46"/>
      <c r="C876" s="4"/>
      <c r="D876" s="5"/>
      <c r="E876" s="12"/>
      <c r="F876" s="12"/>
    </row>
    <row r="877" spans="1:6" s="42" customFormat="1" x14ac:dyDescent="0.2">
      <c r="A877" s="6"/>
      <c r="B877" s="46"/>
      <c r="C877" s="4"/>
      <c r="D877" s="5"/>
      <c r="E877" s="12"/>
      <c r="F877" s="12"/>
    </row>
    <row r="878" spans="1:6" s="42" customFormat="1" x14ac:dyDescent="0.2">
      <c r="A878" s="6"/>
      <c r="B878" s="46"/>
      <c r="C878" s="4"/>
      <c r="D878" s="5"/>
      <c r="E878" s="12"/>
      <c r="F878" s="12"/>
    </row>
    <row r="879" spans="1:6" s="42" customFormat="1" x14ac:dyDescent="0.2">
      <c r="A879" s="6"/>
      <c r="B879" s="46"/>
      <c r="C879" s="4"/>
      <c r="D879" s="5"/>
      <c r="E879" s="12"/>
      <c r="F879" s="12"/>
    </row>
    <row r="880" spans="1:6" s="42" customFormat="1" x14ac:dyDescent="0.2">
      <c r="A880" s="6"/>
      <c r="B880" s="46"/>
      <c r="C880" s="4"/>
      <c r="D880" s="5"/>
      <c r="E880" s="12"/>
      <c r="F880" s="12"/>
    </row>
    <row r="881" spans="1:6" s="42" customFormat="1" x14ac:dyDescent="0.2">
      <c r="A881" s="6"/>
      <c r="B881" s="46"/>
      <c r="C881" s="4"/>
      <c r="D881" s="5"/>
      <c r="E881" s="12"/>
      <c r="F881" s="12"/>
    </row>
    <row r="882" spans="1:6" s="42" customFormat="1" x14ac:dyDescent="0.2">
      <c r="A882" s="6"/>
      <c r="B882" s="46"/>
      <c r="C882" s="4"/>
      <c r="D882" s="5"/>
      <c r="E882" s="12"/>
      <c r="F882" s="12"/>
    </row>
    <row r="883" spans="1:6" s="42" customFormat="1" x14ac:dyDescent="0.2">
      <c r="A883" s="6"/>
      <c r="B883" s="46"/>
      <c r="C883" s="4"/>
      <c r="D883" s="5"/>
      <c r="E883" s="12"/>
      <c r="F883" s="12"/>
    </row>
    <row r="884" spans="1:6" s="42" customFormat="1" x14ac:dyDescent="0.2">
      <c r="A884" s="6"/>
      <c r="B884" s="46"/>
      <c r="C884" s="4"/>
      <c r="D884" s="5"/>
      <c r="E884" s="12"/>
      <c r="F884" s="12"/>
    </row>
    <row r="885" spans="1:6" s="42" customFormat="1" x14ac:dyDescent="0.2">
      <c r="A885" s="6"/>
      <c r="B885" s="46"/>
      <c r="C885" s="4"/>
      <c r="D885" s="5"/>
      <c r="E885" s="12"/>
      <c r="F885" s="12"/>
    </row>
    <row r="886" spans="1:6" s="42" customFormat="1" x14ac:dyDescent="0.2">
      <c r="A886" s="6"/>
      <c r="B886" s="46"/>
      <c r="C886" s="4"/>
      <c r="D886" s="5"/>
      <c r="E886" s="12"/>
      <c r="F886" s="12"/>
    </row>
    <row r="887" spans="1:6" s="42" customFormat="1" x14ac:dyDescent="0.2">
      <c r="A887" s="6"/>
      <c r="B887" s="46"/>
      <c r="C887" s="4"/>
      <c r="D887" s="5"/>
      <c r="E887" s="12"/>
      <c r="F887" s="12"/>
    </row>
    <row r="888" spans="1:6" s="42" customFormat="1" x14ac:dyDescent="0.2">
      <c r="A888" s="6"/>
      <c r="B888" s="46"/>
      <c r="C888" s="4"/>
      <c r="D888" s="5"/>
      <c r="E888" s="12"/>
      <c r="F888" s="12"/>
    </row>
    <row r="889" spans="1:6" s="42" customFormat="1" x14ac:dyDescent="0.2">
      <c r="A889" s="6"/>
      <c r="B889" s="46"/>
      <c r="C889" s="4"/>
      <c r="D889" s="5"/>
      <c r="E889" s="12"/>
      <c r="F889" s="12"/>
    </row>
    <row r="890" spans="1:6" s="42" customFormat="1" x14ac:dyDescent="0.2">
      <c r="A890" s="6"/>
      <c r="B890" s="46"/>
      <c r="C890" s="4"/>
      <c r="D890" s="5"/>
      <c r="E890" s="12"/>
      <c r="F890" s="12"/>
    </row>
    <row r="891" spans="1:6" s="42" customFormat="1" x14ac:dyDescent="0.2">
      <c r="A891" s="6"/>
      <c r="B891" s="46"/>
      <c r="C891" s="4"/>
      <c r="D891" s="5"/>
      <c r="E891" s="12"/>
      <c r="F891" s="12"/>
    </row>
    <row r="892" spans="1:6" s="42" customFormat="1" x14ac:dyDescent="0.2">
      <c r="A892" s="6"/>
      <c r="B892" s="46"/>
      <c r="C892" s="4"/>
      <c r="D892" s="5"/>
      <c r="E892" s="12"/>
      <c r="F892" s="12"/>
    </row>
    <row r="893" spans="1:6" s="42" customFormat="1" x14ac:dyDescent="0.2">
      <c r="A893" s="6"/>
      <c r="B893" s="46"/>
      <c r="C893" s="4"/>
      <c r="D893" s="5"/>
      <c r="E893" s="12"/>
      <c r="F893" s="12"/>
    </row>
    <row r="894" spans="1:6" s="42" customFormat="1" x14ac:dyDescent="0.2">
      <c r="A894" s="6"/>
      <c r="B894" s="46"/>
      <c r="C894" s="4"/>
      <c r="D894" s="5"/>
      <c r="E894" s="12"/>
      <c r="F894" s="12"/>
    </row>
    <row r="895" spans="1:6" s="42" customFormat="1" x14ac:dyDescent="0.2">
      <c r="A895" s="6"/>
      <c r="B895" s="46"/>
      <c r="C895" s="4"/>
      <c r="D895" s="5"/>
      <c r="E895" s="12"/>
      <c r="F895" s="12"/>
    </row>
    <row r="896" spans="1:6" s="42" customFormat="1" x14ac:dyDescent="0.2">
      <c r="A896" s="6"/>
      <c r="B896" s="46"/>
      <c r="C896" s="4"/>
      <c r="D896" s="5"/>
      <c r="E896" s="12"/>
      <c r="F896" s="12"/>
    </row>
    <row r="897" spans="1:6" s="42" customFormat="1" x14ac:dyDescent="0.2">
      <c r="A897" s="6"/>
      <c r="B897" s="46"/>
      <c r="C897" s="4"/>
      <c r="D897" s="5"/>
      <c r="E897" s="12"/>
      <c r="F897" s="12"/>
    </row>
    <row r="898" spans="1:6" s="42" customFormat="1" x14ac:dyDescent="0.2">
      <c r="A898" s="6"/>
      <c r="B898" s="46"/>
      <c r="C898" s="4"/>
      <c r="D898" s="5"/>
      <c r="E898" s="12"/>
      <c r="F898" s="12"/>
    </row>
    <row r="899" spans="1:6" s="42" customFormat="1" x14ac:dyDescent="0.2">
      <c r="A899" s="6"/>
      <c r="B899" s="46"/>
      <c r="C899" s="4"/>
      <c r="D899" s="5"/>
      <c r="E899" s="12"/>
      <c r="F899" s="12"/>
    </row>
    <row r="900" spans="1:6" s="42" customFormat="1" x14ac:dyDescent="0.2">
      <c r="A900" s="6"/>
      <c r="B900" s="46"/>
      <c r="C900" s="4"/>
      <c r="D900" s="5"/>
      <c r="E900" s="12"/>
      <c r="F900" s="12"/>
    </row>
    <row r="901" spans="1:6" s="42" customFormat="1" x14ac:dyDescent="0.2">
      <c r="A901" s="6"/>
      <c r="B901" s="46"/>
      <c r="C901" s="4"/>
      <c r="D901" s="5"/>
      <c r="E901" s="12"/>
      <c r="F901" s="12"/>
    </row>
    <row r="902" spans="1:6" s="42" customFormat="1" x14ac:dyDescent="0.2">
      <c r="A902" s="6"/>
      <c r="B902" s="46"/>
      <c r="C902" s="4"/>
      <c r="D902" s="5"/>
      <c r="E902" s="12"/>
      <c r="F902" s="12"/>
    </row>
    <row r="903" spans="1:6" s="42" customFormat="1" x14ac:dyDescent="0.2">
      <c r="A903" s="6"/>
      <c r="B903" s="46"/>
      <c r="C903" s="4"/>
      <c r="D903" s="5"/>
      <c r="E903" s="12"/>
      <c r="F903" s="12"/>
    </row>
    <row r="904" spans="1:6" s="42" customFormat="1" x14ac:dyDescent="0.2">
      <c r="A904" s="6"/>
      <c r="B904" s="46"/>
      <c r="C904" s="4"/>
      <c r="D904" s="5"/>
      <c r="E904" s="12"/>
      <c r="F904" s="12"/>
    </row>
    <row r="905" spans="1:6" s="42" customFormat="1" x14ac:dyDescent="0.2">
      <c r="A905" s="6"/>
      <c r="B905" s="46"/>
      <c r="C905" s="4"/>
      <c r="D905" s="5"/>
      <c r="E905" s="12"/>
      <c r="F905" s="12"/>
    </row>
    <row r="906" spans="1:6" s="42" customFormat="1" x14ac:dyDescent="0.2">
      <c r="A906" s="6"/>
      <c r="B906" s="46"/>
      <c r="C906" s="4"/>
      <c r="D906" s="5"/>
      <c r="E906" s="12"/>
      <c r="F906" s="12"/>
    </row>
    <row r="907" spans="1:6" s="42" customFormat="1" x14ac:dyDescent="0.2">
      <c r="A907" s="6"/>
      <c r="B907" s="46"/>
      <c r="C907" s="4"/>
      <c r="D907" s="5"/>
      <c r="E907" s="12"/>
      <c r="F907" s="12"/>
    </row>
    <row r="908" spans="1:6" s="42" customFormat="1" x14ac:dyDescent="0.2">
      <c r="A908" s="6"/>
      <c r="B908" s="46"/>
      <c r="C908" s="4"/>
      <c r="D908" s="5"/>
      <c r="E908" s="12"/>
      <c r="F908" s="12"/>
    </row>
    <row r="909" spans="1:6" s="42" customFormat="1" x14ac:dyDescent="0.2">
      <c r="A909" s="6"/>
      <c r="B909" s="46"/>
      <c r="C909" s="4"/>
      <c r="D909" s="5"/>
      <c r="E909" s="12"/>
      <c r="F909" s="12"/>
    </row>
    <row r="910" spans="1:6" s="42" customFormat="1" x14ac:dyDescent="0.2">
      <c r="A910" s="6"/>
      <c r="B910" s="46"/>
      <c r="C910" s="4"/>
      <c r="D910" s="5"/>
      <c r="E910" s="12"/>
      <c r="F910" s="12"/>
    </row>
    <row r="911" spans="1:6" s="42" customFormat="1" x14ac:dyDescent="0.2">
      <c r="A911" s="6"/>
      <c r="B911" s="46"/>
      <c r="C911" s="4"/>
      <c r="D911" s="5"/>
      <c r="E911" s="12"/>
      <c r="F911" s="12"/>
    </row>
    <row r="912" spans="1:6" s="42" customFormat="1" x14ac:dyDescent="0.2">
      <c r="A912" s="6"/>
      <c r="B912" s="46"/>
      <c r="C912" s="4"/>
      <c r="D912" s="5"/>
      <c r="E912" s="12"/>
      <c r="F912" s="12"/>
    </row>
    <row r="913" spans="1:6" s="42" customFormat="1" x14ac:dyDescent="0.2">
      <c r="A913" s="6"/>
      <c r="B913" s="46"/>
      <c r="C913" s="4"/>
      <c r="D913" s="5"/>
      <c r="E913" s="12"/>
      <c r="F913" s="12"/>
    </row>
    <row r="914" spans="1:6" s="42" customFormat="1" x14ac:dyDescent="0.2">
      <c r="A914" s="6"/>
      <c r="B914" s="46"/>
      <c r="C914" s="4"/>
      <c r="D914" s="5"/>
      <c r="E914" s="12"/>
      <c r="F914" s="12"/>
    </row>
    <row r="915" spans="1:6" s="42" customFormat="1" x14ac:dyDescent="0.2">
      <c r="A915" s="6"/>
      <c r="B915" s="46"/>
      <c r="C915" s="4"/>
      <c r="D915" s="5"/>
      <c r="E915" s="12"/>
      <c r="F915" s="12"/>
    </row>
    <row r="916" spans="1:6" s="42" customFormat="1" x14ac:dyDescent="0.2">
      <c r="A916" s="6"/>
      <c r="B916" s="46"/>
      <c r="C916" s="4"/>
      <c r="D916" s="5"/>
      <c r="E916" s="12"/>
      <c r="F916" s="12"/>
    </row>
    <row r="917" spans="1:6" s="42" customFormat="1" x14ac:dyDescent="0.2">
      <c r="A917" s="6"/>
      <c r="B917" s="46"/>
      <c r="C917" s="4"/>
      <c r="D917" s="5"/>
      <c r="E917" s="12"/>
      <c r="F917" s="12"/>
    </row>
    <row r="918" spans="1:6" s="42" customFormat="1" x14ac:dyDescent="0.2">
      <c r="A918" s="6"/>
      <c r="B918" s="46"/>
      <c r="C918" s="4"/>
      <c r="D918" s="5"/>
      <c r="E918" s="12"/>
      <c r="F918" s="12"/>
    </row>
    <row r="919" spans="1:6" s="42" customFormat="1" x14ac:dyDescent="0.2">
      <c r="A919" s="6"/>
      <c r="B919" s="46"/>
      <c r="C919" s="4"/>
      <c r="D919" s="5"/>
      <c r="E919" s="12"/>
      <c r="F919" s="12"/>
    </row>
    <row r="920" spans="1:6" s="42" customFormat="1" x14ac:dyDescent="0.2">
      <c r="A920" s="6"/>
      <c r="B920" s="46"/>
      <c r="C920" s="4"/>
      <c r="D920" s="5"/>
      <c r="E920" s="12"/>
      <c r="F920" s="12"/>
    </row>
    <row r="921" spans="1:6" s="42" customFormat="1" x14ac:dyDescent="0.2">
      <c r="A921" s="6"/>
      <c r="B921" s="46"/>
      <c r="C921" s="4"/>
      <c r="D921" s="5"/>
      <c r="E921" s="12"/>
      <c r="F921" s="12"/>
    </row>
    <row r="922" spans="1:6" s="42" customFormat="1" x14ac:dyDescent="0.2">
      <c r="A922" s="6"/>
      <c r="B922" s="46"/>
      <c r="C922" s="4"/>
      <c r="D922" s="5"/>
      <c r="E922" s="12"/>
      <c r="F922" s="12"/>
    </row>
    <row r="923" spans="1:6" s="42" customFormat="1" x14ac:dyDescent="0.2">
      <c r="A923" s="6"/>
      <c r="B923" s="46"/>
      <c r="C923" s="4"/>
      <c r="D923" s="5"/>
      <c r="E923" s="12"/>
      <c r="F923" s="12"/>
    </row>
    <row r="924" spans="1:6" s="42" customFormat="1" x14ac:dyDescent="0.2">
      <c r="A924" s="6"/>
      <c r="B924" s="46"/>
      <c r="C924" s="4"/>
      <c r="D924" s="5"/>
      <c r="E924" s="12"/>
      <c r="F924" s="12"/>
    </row>
    <row r="925" spans="1:6" s="42" customFormat="1" x14ac:dyDescent="0.2">
      <c r="A925" s="6"/>
      <c r="B925" s="46"/>
      <c r="C925" s="4"/>
      <c r="D925" s="5"/>
      <c r="E925" s="12"/>
      <c r="F925" s="12"/>
    </row>
    <row r="926" spans="1:6" s="42" customFormat="1" x14ac:dyDescent="0.2">
      <c r="A926" s="6"/>
      <c r="B926" s="46"/>
      <c r="C926" s="4"/>
      <c r="D926" s="5"/>
      <c r="E926" s="12"/>
      <c r="F926" s="12"/>
    </row>
    <row r="927" spans="1:6" s="42" customFormat="1" x14ac:dyDescent="0.2">
      <c r="A927" s="6"/>
      <c r="B927" s="46"/>
      <c r="C927" s="4"/>
      <c r="D927" s="5"/>
      <c r="E927" s="12"/>
      <c r="F927" s="12"/>
    </row>
    <row r="928" spans="1:6" s="42" customFormat="1" x14ac:dyDescent="0.2">
      <c r="A928" s="6"/>
      <c r="B928" s="46"/>
      <c r="C928" s="4"/>
      <c r="D928" s="5"/>
      <c r="E928" s="12"/>
      <c r="F928" s="12"/>
    </row>
    <row r="929" spans="1:6" s="42" customFormat="1" x14ac:dyDescent="0.2">
      <c r="A929" s="6"/>
      <c r="B929" s="46"/>
      <c r="C929" s="4"/>
      <c r="D929" s="5"/>
      <c r="E929" s="12"/>
      <c r="F929" s="12"/>
    </row>
    <row r="930" spans="1:6" s="42" customFormat="1" x14ac:dyDescent="0.2">
      <c r="A930" s="6"/>
      <c r="B930" s="46"/>
      <c r="C930" s="4"/>
      <c r="D930" s="5"/>
      <c r="E930" s="12"/>
      <c r="F930" s="12"/>
    </row>
    <row r="931" spans="1:6" s="42" customFormat="1" x14ac:dyDescent="0.2">
      <c r="A931" s="6"/>
      <c r="B931" s="46"/>
      <c r="C931" s="4"/>
      <c r="D931" s="5"/>
      <c r="E931" s="12"/>
      <c r="F931" s="12"/>
    </row>
    <row r="932" spans="1:6" s="42" customFormat="1" x14ac:dyDescent="0.2">
      <c r="A932" s="6"/>
      <c r="B932" s="46"/>
      <c r="C932" s="4"/>
      <c r="D932" s="5"/>
      <c r="E932" s="12"/>
      <c r="F932" s="12"/>
    </row>
    <row r="933" spans="1:6" s="42" customFormat="1" x14ac:dyDescent="0.2">
      <c r="A933" s="6"/>
      <c r="B933" s="46"/>
      <c r="C933" s="4"/>
      <c r="D933" s="5"/>
      <c r="E933" s="12"/>
      <c r="F933" s="12"/>
    </row>
    <row r="934" spans="1:6" s="42" customFormat="1" x14ac:dyDescent="0.2">
      <c r="A934" s="6"/>
      <c r="B934" s="46"/>
      <c r="C934" s="4"/>
      <c r="D934" s="5"/>
      <c r="E934" s="12"/>
      <c r="F934" s="12"/>
    </row>
    <row r="935" spans="1:6" s="42" customFormat="1" x14ac:dyDescent="0.2">
      <c r="A935" s="6"/>
      <c r="B935" s="46"/>
      <c r="C935" s="4"/>
      <c r="D935" s="5"/>
      <c r="E935" s="12"/>
      <c r="F935" s="12"/>
    </row>
    <row r="936" spans="1:6" s="42" customFormat="1" x14ac:dyDescent="0.2">
      <c r="A936" s="6"/>
      <c r="B936" s="46"/>
      <c r="C936" s="4"/>
      <c r="D936" s="5"/>
      <c r="E936" s="12"/>
      <c r="F936" s="12"/>
    </row>
    <row r="937" spans="1:6" s="42" customFormat="1" x14ac:dyDescent="0.2">
      <c r="A937" s="6"/>
      <c r="B937" s="46"/>
      <c r="C937" s="4"/>
      <c r="D937" s="5"/>
      <c r="E937" s="12"/>
      <c r="F937" s="12"/>
    </row>
    <row r="938" spans="1:6" s="42" customFormat="1" x14ac:dyDescent="0.2">
      <c r="A938" s="6"/>
      <c r="B938" s="46"/>
      <c r="C938" s="4"/>
      <c r="D938" s="5"/>
      <c r="E938" s="12"/>
      <c r="F938" s="12"/>
    </row>
    <row r="939" spans="1:6" s="42" customFormat="1" x14ac:dyDescent="0.2">
      <c r="A939" s="6"/>
      <c r="B939" s="46"/>
      <c r="C939" s="4"/>
      <c r="D939" s="5"/>
      <c r="E939" s="12"/>
      <c r="F939" s="12"/>
    </row>
    <row r="940" spans="1:6" s="42" customFormat="1" x14ac:dyDescent="0.2">
      <c r="A940" s="6"/>
      <c r="B940" s="46"/>
      <c r="C940" s="4"/>
      <c r="D940" s="5"/>
      <c r="E940" s="12"/>
      <c r="F940" s="12"/>
    </row>
    <row r="941" spans="1:6" s="42" customFormat="1" x14ac:dyDescent="0.2">
      <c r="A941" s="6"/>
      <c r="B941" s="46"/>
      <c r="C941" s="4"/>
      <c r="D941" s="5"/>
      <c r="E941" s="12"/>
      <c r="F941" s="12"/>
    </row>
    <row r="942" spans="1:6" s="42" customFormat="1" x14ac:dyDescent="0.2">
      <c r="A942" s="6"/>
      <c r="B942" s="46"/>
      <c r="C942" s="4"/>
      <c r="D942" s="5"/>
      <c r="E942" s="12"/>
      <c r="F942" s="12"/>
    </row>
    <row r="943" spans="1:6" s="42" customFormat="1" x14ac:dyDescent="0.2">
      <c r="A943" s="6"/>
      <c r="B943" s="46"/>
      <c r="C943" s="4"/>
      <c r="D943" s="5"/>
      <c r="E943" s="12"/>
      <c r="F943" s="12"/>
    </row>
    <row r="944" spans="1:6" s="42" customFormat="1" x14ac:dyDescent="0.2">
      <c r="A944" s="6"/>
      <c r="B944" s="46"/>
      <c r="C944" s="4"/>
      <c r="D944" s="5"/>
      <c r="E944" s="12"/>
      <c r="F944" s="12"/>
    </row>
    <row r="945" spans="1:6" s="42" customFormat="1" x14ac:dyDescent="0.2">
      <c r="A945" s="6"/>
      <c r="B945" s="46"/>
      <c r="C945" s="4"/>
      <c r="D945" s="5"/>
      <c r="E945" s="12"/>
      <c r="F945" s="12"/>
    </row>
    <row r="946" spans="1:6" s="42" customFormat="1" x14ac:dyDescent="0.2">
      <c r="A946" s="6"/>
      <c r="B946" s="46"/>
      <c r="C946" s="4"/>
      <c r="D946" s="5"/>
      <c r="E946" s="12"/>
      <c r="F946" s="12"/>
    </row>
    <row r="947" spans="1:6" s="42" customFormat="1" x14ac:dyDescent="0.2">
      <c r="A947" s="6"/>
      <c r="B947" s="46"/>
      <c r="C947" s="4"/>
      <c r="D947" s="5"/>
      <c r="E947" s="12"/>
      <c r="F947" s="12"/>
    </row>
    <row r="948" spans="1:6" s="42" customFormat="1" x14ac:dyDescent="0.2">
      <c r="A948" s="6"/>
      <c r="B948" s="46"/>
      <c r="C948" s="4"/>
      <c r="D948" s="5"/>
      <c r="E948" s="12"/>
      <c r="F948" s="12"/>
    </row>
    <row r="949" spans="1:6" s="42" customFormat="1" x14ac:dyDescent="0.2">
      <c r="A949" s="6"/>
      <c r="B949" s="46"/>
      <c r="C949" s="4"/>
      <c r="D949" s="5"/>
      <c r="E949" s="12"/>
      <c r="F949" s="12"/>
    </row>
    <row r="950" spans="1:6" s="42" customFormat="1" x14ac:dyDescent="0.2">
      <c r="A950" s="6"/>
      <c r="B950" s="46"/>
      <c r="C950" s="4"/>
      <c r="D950" s="5"/>
      <c r="E950" s="12"/>
      <c r="F950" s="12"/>
    </row>
    <row r="951" spans="1:6" s="42" customFormat="1" x14ac:dyDescent="0.2">
      <c r="A951" s="6"/>
      <c r="B951" s="46"/>
      <c r="C951" s="4"/>
      <c r="D951" s="5"/>
      <c r="E951" s="12"/>
      <c r="F951" s="12"/>
    </row>
    <row r="952" spans="1:6" s="42" customFormat="1" x14ac:dyDescent="0.2">
      <c r="A952" s="6"/>
      <c r="B952" s="46"/>
      <c r="C952" s="4"/>
      <c r="D952" s="5"/>
      <c r="E952" s="12"/>
      <c r="F952" s="12"/>
    </row>
    <row r="953" spans="1:6" s="42" customFormat="1" x14ac:dyDescent="0.2">
      <c r="A953" s="6"/>
      <c r="B953" s="46"/>
      <c r="C953" s="4"/>
      <c r="D953" s="5"/>
      <c r="E953" s="12"/>
      <c r="F953" s="12"/>
    </row>
    <row r="954" spans="1:6" s="42" customFormat="1" x14ac:dyDescent="0.2">
      <c r="A954" s="6"/>
      <c r="B954" s="46"/>
      <c r="C954" s="4"/>
      <c r="D954" s="5"/>
      <c r="E954" s="12"/>
      <c r="F954" s="12"/>
    </row>
    <row r="955" spans="1:6" s="42" customFormat="1" x14ac:dyDescent="0.2">
      <c r="A955" s="6"/>
      <c r="B955" s="46"/>
      <c r="C955" s="4"/>
      <c r="D955" s="5"/>
      <c r="E955" s="12"/>
      <c r="F955" s="12"/>
    </row>
    <row r="956" spans="1:6" s="42" customFormat="1" x14ac:dyDescent="0.2">
      <c r="A956" s="6"/>
      <c r="B956" s="46"/>
      <c r="C956" s="4"/>
      <c r="D956" s="5"/>
      <c r="E956" s="12"/>
      <c r="F956" s="12"/>
    </row>
    <row r="957" spans="1:6" s="42" customFormat="1" x14ac:dyDescent="0.2">
      <c r="A957" s="6"/>
      <c r="B957" s="46"/>
      <c r="C957" s="4"/>
      <c r="D957" s="5"/>
      <c r="E957" s="12"/>
      <c r="F957" s="12"/>
    </row>
    <row r="958" spans="1:6" s="42" customFormat="1" x14ac:dyDescent="0.2">
      <c r="A958" s="6"/>
      <c r="B958" s="46"/>
      <c r="C958" s="4"/>
      <c r="D958" s="5"/>
      <c r="E958" s="12"/>
      <c r="F958" s="12"/>
    </row>
    <row r="959" spans="1:6" s="42" customFormat="1" x14ac:dyDescent="0.2">
      <c r="A959" s="6"/>
      <c r="B959" s="46"/>
      <c r="C959" s="4"/>
      <c r="D959" s="5"/>
      <c r="E959" s="12"/>
      <c r="F959" s="12"/>
    </row>
    <row r="960" spans="1:6" s="42" customFormat="1" x14ac:dyDescent="0.2">
      <c r="A960" s="6"/>
      <c r="B960" s="46"/>
      <c r="C960" s="4"/>
      <c r="D960" s="5"/>
      <c r="E960" s="12"/>
      <c r="F960" s="12"/>
    </row>
    <row r="961" spans="1:6" s="42" customFormat="1" x14ac:dyDescent="0.2">
      <c r="A961" s="6"/>
      <c r="B961" s="46"/>
      <c r="C961" s="4"/>
      <c r="D961" s="5"/>
      <c r="E961" s="12"/>
      <c r="F961" s="12"/>
    </row>
    <row r="962" spans="1:6" s="42" customFormat="1" x14ac:dyDescent="0.2">
      <c r="A962" s="6"/>
      <c r="B962" s="46"/>
      <c r="C962" s="4"/>
      <c r="D962" s="5"/>
      <c r="E962" s="12"/>
      <c r="F962" s="12"/>
    </row>
    <row r="963" spans="1:6" s="42" customFormat="1" x14ac:dyDescent="0.2">
      <c r="A963" s="6"/>
      <c r="B963" s="46"/>
      <c r="C963" s="4"/>
      <c r="D963" s="5"/>
      <c r="E963" s="12"/>
      <c r="F963" s="12"/>
    </row>
    <row r="964" spans="1:6" s="42" customFormat="1" x14ac:dyDescent="0.2">
      <c r="A964" s="6"/>
      <c r="B964" s="46"/>
      <c r="C964" s="4"/>
      <c r="D964" s="5"/>
      <c r="E964" s="12"/>
      <c r="F964" s="12"/>
    </row>
    <row r="965" spans="1:6" s="42" customFormat="1" x14ac:dyDescent="0.2">
      <c r="A965" s="6"/>
      <c r="B965" s="46"/>
      <c r="C965" s="4"/>
      <c r="D965" s="5"/>
      <c r="E965" s="12"/>
      <c r="F965" s="12"/>
    </row>
    <row r="966" spans="1:6" s="42" customFormat="1" x14ac:dyDescent="0.2">
      <c r="A966" s="6"/>
      <c r="B966" s="46"/>
      <c r="C966" s="4"/>
      <c r="D966" s="5"/>
      <c r="E966" s="12"/>
      <c r="F966" s="12"/>
    </row>
    <row r="967" spans="1:6" s="42" customFormat="1" x14ac:dyDescent="0.2">
      <c r="A967" s="6"/>
      <c r="B967" s="46"/>
      <c r="C967" s="4"/>
      <c r="D967" s="5"/>
      <c r="E967" s="12"/>
      <c r="F967" s="12"/>
    </row>
    <row r="968" spans="1:6" s="42" customFormat="1" x14ac:dyDescent="0.2">
      <c r="A968" s="6"/>
      <c r="B968" s="46"/>
      <c r="C968" s="4"/>
      <c r="D968" s="5"/>
      <c r="E968" s="12"/>
      <c r="F968" s="12"/>
    </row>
    <row r="969" spans="1:6" s="42" customFormat="1" x14ac:dyDescent="0.2">
      <c r="A969" s="6"/>
      <c r="B969" s="46"/>
      <c r="C969" s="4"/>
      <c r="D969" s="5"/>
      <c r="E969" s="12"/>
      <c r="F969" s="12"/>
    </row>
    <row r="970" spans="1:6" s="42" customFormat="1" x14ac:dyDescent="0.2">
      <c r="A970" s="6"/>
      <c r="B970" s="46"/>
      <c r="C970" s="4"/>
      <c r="D970" s="5"/>
      <c r="E970" s="12"/>
      <c r="F970" s="12"/>
    </row>
    <row r="971" spans="1:6" s="42" customFormat="1" x14ac:dyDescent="0.2">
      <c r="A971" s="6"/>
      <c r="B971" s="46"/>
      <c r="C971" s="4"/>
      <c r="D971" s="5"/>
      <c r="E971" s="12"/>
      <c r="F971" s="12"/>
    </row>
    <row r="972" spans="1:6" s="42" customFormat="1" x14ac:dyDescent="0.2">
      <c r="A972" s="6"/>
      <c r="B972" s="46"/>
      <c r="C972" s="4"/>
      <c r="D972" s="5"/>
      <c r="E972" s="12"/>
      <c r="F972" s="12"/>
    </row>
    <row r="973" spans="1:6" s="42" customFormat="1" x14ac:dyDescent="0.2">
      <c r="A973" s="6"/>
      <c r="B973" s="46"/>
      <c r="C973" s="4"/>
      <c r="D973" s="5"/>
      <c r="E973" s="12"/>
      <c r="F973" s="12"/>
    </row>
    <row r="974" spans="1:6" s="42" customFormat="1" x14ac:dyDescent="0.2">
      <c r="A974" s="6"/>
      <c r="B974" s="46"/>
      <c r="C974" s="4"/>
      <c r="D974" s="5"/>
      <c r="E974" s="12"/>
      <c r="F974" s="12"/>
    </row>
    <row r="975" spans="1:6" s="42" customFormat="1" x14ac:dyDescent="0.2">
      <c r="A975" s="6"/>
      <c r="B975" s="46"/>
      <c r="C975" s="4"/>
      <c r="D975" s="5"/>
      <c r="E975" s="12"/>
      <c r="F975" s="12"/>
    </row>
    <row r="976" spans="1:6" s="42" customFormat="1" x14ac:dyDescent="0.2">
      <c r="A976" s="6"/>
      <c r="B976" s="46"/>
      <c r="C976" s="4"/>
      <c r="D976" s="5"/>
      <c r="E976" s="12"/>
      <c r="F976" s="12"/>
    </row>
    <row r="977" spans="1:6" s="42" customFormat="1" x14ac:dyDescent="0.2">
      <c r="A977" s="6"/>
      <c r="B977" s="46"/>
      <c r="C977" s="4"/>
      <c r="D977" s="5"/>
      <c r="E977" s="12"/>
      <c r="F977" s="12"/>
    </row>
    <row r="978" spans="1:6" s="42" customFormat="1" x14ac:dyDescent="0.2">
      <c r="A978" s="6"/>
      <c r="B978" s="46"/>
      <c r="C978" s="4"/>
      <c r="D978" s="5"/>
      <c r="E978" s="12"/>
      <c r="F978" s="12"/>
    </row>
    <row r="979" spans="1:6" s="42" customFormat="1" x14ac:dyDescent="0.2">
      <c r="A979" s="6"/>
      <c r="B979" s="46"/>
      <c r="C979" s="4"/>
      <c r="D979" s="5"/>
      <c r="E979" s="12"/>
      <c r="F979" s="12"/>
    </row>
    <row r="980" spans="1:6" s="42" customFormat="1" x14ac:dyDescent="0.2">
      <c r="A980" s="6"/>
      <c r="B980" s="46"/>
      <c r="C980" s="4"/>
      <c r="D980" s="5"/>
      <c r="E980" s="12"/>
      <c r="F980" s="12"/>
    </row>
    <row r="981" spans="1:6" s="42" customFormat="1" x14ac:dyDescent="0.2">
      <c r="A981" s="6"/>
      <c r="B981" s="46"/>
      <c r="C981" s="4"/>
      <c r="D981" s="5"/>
      <c r="E981" s="12"/>
      <c r="F981" s="12"/>
    </row>
    <row r="982" spans="1:6" s="42" customFormat="1" x14ac:dyDescent="0.2">
      <c r="A982" s="6"/>
      <c r="B982" s="46"/>
      <c r="C982" s="4"/>
      <c r="D982" s="5"/>
      <c r="E982" s="12"/>
      <c r="F982" s="12"/>
    </row>
    <row r="983" spans="1:6" s="42" customFormat="1" x14ac:dyDescent="0.2">
      <c r="A983" s="6"/>
      <c r="B983" s="46"/>
      <c r="C983" s="4"/>
      <c r="D983" s="5"/>
      <c r="E983" s="12"/>
      <c r="F983" s="12"/>
    </row>
    <row r="984" spans="1:6" s="42" customFormat="1" x14ac:dyDescent="0.2">
      <c r="A984" s="6"/>
      <c r="B984" s="46"/>
      <c r="C984" s="4"/>
      <c r="D984" s="5"/>
      <c r="E984" s="12"/>
      <c r="F984" s="12"/>
    </row>
    <row r="985" spans="1:6" s="42" customFormat="1" x14ac:dyDescent="0.2">
      <c r="A985" s="6"/>
      <c r="B985" s="46"/>
      <c r="C985" s="4"/>
      <c r="D985" s="5"/>
      <c r="E985" s="12"/>
      <c r="F985" s="12"/>
    </row>
    <row r="986" spans="1:6" s="42" customFormat="1" x14ac:dyDescent="0.2">
      <c r="A986" s="6"/>
      <c r="B986" s="46"/>
      <c r="C986" s="4"/>
      <c r="D986" s="5"/>
      <c r="E986" s="12"/>
      <c r="F986" s="12"/>
    </row>
    <row r="987" spans="1:6" s="42" customFormat="1" x14ac:dyDescent="0.2">
      <c r="A987" s="6"/>
      <c r="B987" s="46"/>
      <c r="C987" s="4"/>
      <c r="D987" s="5"/>
      <c r="E987" s="12"/>
      <c r="F987" s="12"/>
    </row>
    <row r="988" spans="1:6" s="42" customFormat="1" x14ac:dyDescent="0.2">
      <c r="A988" s="6"/>
      <c r="B988" s="46"/>
      <c r="C988" s="4"/>
      <c r="D988" s="5"/>
      <c r="E988" s="12"/>
      <c r="F988" s="12"/>
    </row>
    <row r="989" spans="1:6" s="42" customFormat="1" x14ac:dyDescent="0.2">
      <c r="A989" s="6"/>
      <c r="B989" s="46"/>
      <c r="C989" s="4"/>
      <c r="D989" s="5"/>
      <c r="E989" s="12"/>
      <c r="F989" s="12"/>
    </row>
    <row r="990" spans="1:6" s="42" customFormat="1" x14ac:dyDescent="0.2">
      <c r="A990" s="6"/>
      <c r="B990" s="46"/>
      <c r="C990" s="4"/>
      <c r="D990" s="5"/>
      <c r="E990" s="12"/>
      <c r="F990" s="12"/>
    </row>
    <row r="991" spans="1:6" s="42" customFormat="1" x14ac:dyDescent="0.2">
      <c r="A991" s="6"/>
      <c r="B991" s="46"/>
      <c r="C991" s="4"/>
      <c r="D991" s="5"/>
      <c r="E991" s="12"/>
      <c r="F991" s="12"/>
    </row>
    <row r="992" spans="1:6" s="42" customFormat="1" x14ac:dyDescent="0.2">
      <c r="A992" s="6"/>
      <c r="B992" s="46"/>
      <c r="C992" s="4"/>
      <c r="D992" s="5"/>
      <c r="E992" s="12"/>
      <c r="F992" s="12"/>
    </row>
    <row r="993" spans="1:6" s="42" customFormat="1" x14ac:dyDescent="0.2">
      <c r="A993" s="6"/>
      <c r="B993" s="46"/>
      <c r="C993" s="4"/>
      <c r="D993" s="5"/>
      <c r="E993" s="12"/>
      <c r="F993" s="12"/>
    </row>
    <row r="994" spans="1:6" s="42" customFormat="1" x14ac:dyDescent="0.2">
      <c r="A994" s="6"/>
      <c r="B994" s="46"/>
      <c r="C994" s="4"/>
      <c r="D994" s="5"/>
      <c r="E994" s="12"/>
      <c r="F994" s="12"/>
    </row>
    <row r="995" spans="1:6" s="42" customFormat="1" x14ac:dyDescent="0.2">
      <c r="A995" s="6"/>
      <c r="B995" s="46"/>
      <c r="C995" s="4"/>
      <c r="D995" s="5"/>
      <c r="E995" s="12"/>
      <c r="F995" s="12"/>
    </row>
    <row r="996" spans="1:6" s="42" customFormat="1" x14ac:dyDescent="0.2">
      <c r="A996" s="6"/>
      <c r="B996" s="46"/>
      <c r="C996" s="4"/>
      <c r="D996" s="5"/>
      <c r="E996" s="12"/>
      <c r="F996" s="12"/>
    </row>
    <row r="997" spans="1:6" s="42" customFormat="1" x14ac:dyDescent="0.2">
      <c r="A997" s="6"/>
      <c r="B997" s="46"/>
      <c r="C997" s="4"/>
      <c r="D997" s="5"/>
      <c r="E997" s="12"/>
      <c r="F997" s="12"/>
    </row>
    <row r="998" spans="1:6" s="42" customFormat="1" x14ac:dyDescent="0.2">
      <c r="A998" s="6"/>
      <c r="B998" s="46"/>
      <c r="C998" s="4"/>
      <c r="D998" s="5"/>
      <c r="E998" s="12"/>
      <c r="F998" s="12"/>
    </row>
    <row r="999" spans="1:6" s="42" customFormat="1" x14ac:dyDescent="0.2">
      <c r="A999" s="6"/>
      <c r="B999" s="46"/>
      <c r="C999" s="4"/>
      <c r="D999" s="5"/>
      <c r="E999" s="12"/>
      <c r="F999" s="12"/>
    </row>
    <row r="1000" spans="1:6" s="42" customFormat="1" x14ac:dyDescent="0.2">
      <c r="A1000" s="6"/>
      <c r="B1000" s="46"/>
      <c r="C1000" s="4"/>
      <c r="D1000" s="5"/>
      <c r="E1000" s="12"/>
      <c r="F1000" s="12"/>
    </row>
    <row r="1001" spans="1:6" s="42" customFormat="1" x14ac:dyDescent="0.2">
      <c r="A1001" s="6"/>
      <c r="B1001" s="46"/>
      <c r="C1001" s="4"/>
      <c r="D1001" s="5"/>
      <c r="E1001" s="12"/>
      <c r="F1001" s="12"/>
    </row>
    <row r="1002" spans="1:6" s="42" customFormat="1" x14ac:dyDescent="0.2">
      <c r="A1002" s="6"/>
      <c r="B1002" s="46"/>
      <c r="C1002" s="4"/>
      <c r="D1002" s="5"/>
      <c r="E1002" s="12"/>
      <c r="F1002" s="12"/>
    </row>
    <row r="1003" spans="1:6" s="42" customFormat="1" x14ac:dyDescent="0.2">
      <c r="A1003" s="6"/>
      <c r="B1003" s="46"/>
      <c r="C1003" s="4"/>
      <c r="D1003" s="5"/>
      <c r="E1003" s="12"/>
      <c r="F1003" s="12"/>
    </row>
    <row r="1004" spans="1:6" s="42" customFormat="1" x14ac:dyDescent="0.2">
      <c r="A1004" s="6"/>
      <c r="B1004" s="46"/>
      <c r="C1004" s="4"/>
      <c r="D1004" s="5"/>
      <c r="E1004" s="12"/>
      <c r="F1004" s="12"/>
    </row>
    <row r="1005" spans="1:6" s="42" customFormat="1" x14ac:dyDescent="0.2">
      <c r="A1005" s="6"/>
      <c r="B1005" s="46"/>
      <c r="C1005" s="4"/>
      <c r="D1005" s="5"/>
      <c r="E1005" s="12"/>
      <c r="F1005" s="12"/>
    </row>
    <row r="1006" spans="1:6" s="42" customFormat="1" x14ac:dyDescent="0.2">
      <c r="A1006" s="6"/>
      <c r="B1006" s="46"/>
      <c r="C1006" s="4"/>
      <c r="D1006" s="5"/>
      <c r="E1006" s="12"/>
      <c r="F1006" s="12"/>
    </row>
    <row r="1007" spans="1:6" s="42" customFormat="1" x14ac:dyDescent="0.2">
      <c r="A1007" s="6"/>
      <c r="B1007" s="46"/>
      <c r="C1007" s="4"/>
      <c r="D1007" s="5"/>
      <c r="E1007" s="12"/>
      <c r="F1007" s="12"/>
    </row>
    <row r="1008" spans="1:6" s="42" customFormat="1" x14ac:dyDescent="0.2">
      <c r="A1008" s="6"/>
      <c r="B1008" s="46"/>
      <c r="C1008" s="4"/>
      <c r="D1008" s="5"/>
      <c r="E1008" s="12"/>
      <c r="F1008" s="12"/>
    </row>
    <row r="1009" spans="1:6" s="42" customFormat="1" x14ac:dyDescent="0.2">
      <c r="A1009" s="6"/>
      <c r="B1009" s="46"/>
      <c r="C1009" s="4"/>
      <c r="D1009" s="5"/>
      <c r="E1009" s="12"/>
      <c r="F1009" s="12"/>
    </row>
    <row r="1010" spans="1:6" s="42" customFormat="1" x14ac:dyDescent="0.2">
      <c r="A1010" s="6"/>
      <c r="B1010" s="46"/>
      <c r="C1010" s="4"/>
      <c r="D1010" s="5"/>
      <c r="E1010" s="12"/>
      <c r="F1010" s="12"/>
    </row>
    <row r="1011" spans="1:6" s="42" customFormat="1" x14ac:dyDescent="0.2">
      <c r="A1011" s="6"/>
      <c r="B1011" s="46"/>
      <c r="C1011" s="4"/>
      <c r="D1011" s="5"/>
      <c r="E1011" s="12"/>
      <c r="F1011" s="12"/>
    </row>
    <row r="1012" spans="1:6" s="42" customFormat="1" x14ac:dyDescent="0.2">
      <c r="A1012" s="6"/>
      <c r="B1012" s="46"/>
      <c r="C1012" s="4"/>
      <c r="D1012" s="5"/>
      <c r="E1012" s="12"/>
      <c r="F1012" s="12"/>
    </row>
    <row r="1013" spans="1:6" s="42" customFormat="1" x14ac:dyDescent="0.2">
      <c r="A1013" s="6"/>
      <c r="B1013" s="46"/>
      <c r="C1013" s="4"/>
      <c r="D1013" s="5"/>
      <c r="E1013" s="12"/>
      <c r="F1013" s="12"/>
    </row>
    <row r="1014" spans="1:6" s="42" customFormat="1" x14ac:dyDescent="0.2">
      <c r="A1014" s="6"/>
      <c r="B1014" s="46"/>
      <c r="C1014" s="4"/>
      <c r="D1014" s="5"/>
      <c r="E1014" s="12"/>
      <c r="F1014" s="12"/>
    </row>
    <row r="1015" spans="1:6" s="42" customFormat="1" x14ac:dyDescent="0.2">
      <c r="A1015" s="6"/>
      <c r="B1015" s="46"/>
      <c r="C1015" s="4"/>
      <c r="D1015" s="5"/>
      <c r="E1015" s="12"/>
      <c r="F1015" s="12"/>
    </row>
    <row r="1016" spans="1:6" s="42" customFormat="1" x14ac:dyDescent="0.2">
      <c r="A1016" s="6"/>
      <c r="B1016" s="46"/>
      <c r="C1016" s="4"/>
      <c r="D1016" s="5"/>
      <c r="E1016" s="12"/>
      <c r="F1016" s="12"/>
    </row>
    <row r="1017" spans="1:6" s="42" customFormat="1" x14ac:dyDescent="0.2">
      <c r="A1017" s="6"/>
      <c r="B1017" s="46"/>
      <c r="C1017" s="4"/>
      <c r="D1017" s="5"/>
      <c r="E1017" s="12"/>
      <c r="F1017" s="12"/>
    </row>
    <row r="1018" spans="1:6" s="42" customFormat="1" x14ac:dyDescent="0.2">
      <c r="A1018" s="6"/>
      <c r="B1018" s="46"/>
      <c r="C1018" s="4"/>
      <c r="D1018" s="5"/>
      <c r="E1018" s="12"/>
      <c r="F1018" s="12"/>
    </row>
    <row r="1019" spans="1:6" s="42" customFormat="1" x14ac:dyDescent="0.2">
      <c r="A1019" s="6"/>
      <c r="B1019" s="46"/>
      <c r="C1019" s="4"/>
      <c r="D1019" s="5"/>
      <c r="E1019" s="12"/>
      <c r="F1019" s="12"/>
    </row>
    <row r="1020" spans="1:6" s="42" customFormat="1" x14ac:dyDescent="0.2">
      <c r="A1020" s="6"/>
      <c r="B1020" s="46"/>
      <c r="C1020" s="4"/>
      <c r="D1020" s="5"/>
      <c r="E1020" s="12"/>
      <c r="F1020" s="12"/>
    </row>
    <row r="1021" spans="1:6" s="42" customFormat="1" x14ac:dyDescent="0.2">
      <c r="A1021" s="6"/>
      <c r="B1021" s="46"/>
      <c r="C1021" s="4"/>
      <c r="D1021" s="5"/>
      <c r="E1021" s="12"/>
      <c r="F1021" s="12"/>
    </row>
    <row r="1022" spans="1:6" s="42" customFormat="1" x14ac:dyDescent="0.2">
      <c r="A1022" s="6"/>
      <c r="B1022" s="46"/>
      <c r="C1022" s="4"/>
      <c r="D1022" s="5"/>
      <c r="E1022" s="12"/>
      <c r="F1022" s="12"/>
    </row>
    <row r="1023" spans="1:6" s="42" customFormat="1" x14ac:dyDescent="0.2">
      <c r="A1023" s="6"/>
      <c r="B1023" s="46"/>
      <c r="C1023" s="4"/>
      <c r="D1023" s="5"/>
      <c r="E1023" s="12"/>
      <c r="F1023" s="12"/>
    </row>
    <row r="1024" spans="1:6" s="42" customFormat="1" x14ac:dyDescent="0.2">
      <c r="A1024" s="6"/>
      <c r="B1024" s="46"/>
      <c r="C1024" s="4"/>
      <c r="D1024" s="5"/>
      <c r="E1024" s="12"/>
      <c r="F1024" s="12"/>
    </row>
    <row r="1025" spans="1:6" s="42" customFormat="1" x14ac:dyDescent="0.2">
      <c r="A1025" s="6"/>
      <c r="B1025" s="46"/>
      <c r="C1025" s="4"/>
      <c r="D1025" s="5"/>
      <c r="E1025" s="12"/>
      <c r="F1025" s="12"/>
    </row>
    <row r="1026" spans="1:6" s="42" customFormat="1" x14ac:dyDescent="0.2">
      <c r="A1026" s="6"/>
      <c r="B1026" s="46"/>
      <c r="C1026" s="4"/>
      <c r="D1026" s="5"/>
      <c r="E1026" s="12"/>
      <c r="F1026" s="12"/>
    </row>
    <row r="1027" spans="1:6" s="42" customFormat="1" x14ac:dyDescent="0.2">
      <c r="A1027" s="6"/>
      <c r="B1027" s="46"/>
      <c r="C1027" s="4"/>
      <c r="D1027" s="5"/>
      <c r="E1027" s="12"/>
      <c r="F1027" s="12"/>
    </row>
    <row r="1028" spans="1:6" s="42" customFormat="1" x14ac:dyDescent="0.2">
      <c r="A1028" s="6"/>
      <c r="B1028" s="46"/>
      <c r="C1028" s="4"/>
      <c r="D1028" s="5"/>
      <c r="E1028" s="12"/>
      <c r="F1028" s="12"/>
    </row>
    <row r="1029" spans="1:6" s="42" customFormat="1" x14ac:dyDescent="0.2">
      <c r="A1029" s="6"/>
      <c r="B1029" s="46"/>
      <c r="C1029" s="4"/>
      <c r="D1029" s="5"/>
      <c r="E1029" s="12"/>
      <c r="F1029" s="12"/>
    </row>
    <row r="1030" spans="1:6" s="42" customFormat="1" x14ac:dyDescent="0.2">
      <c r="A1030" s="6"/>
      <c r="B1030" s="46"/>
      <c r="C1030" s="4"/>
      <c r="D1030" s="5"/>
      <c r="E1030" s="12"/>
      <c r="F1030" s="12"/>
    </row>
    <row r="1031" spans="1:6" s="42" customFormat="1" x14ac:dyDescent="0.2">
      <c r="A1031" s="6"/>
      <c r="B1031" s="46"/>
      <c r="C1031" s="4"/>
      <c r="D1031" s="5"/>
      <c r="E1031" s="12"/>
      <c r="F1031" s="12"/>
    </row>
    <row r="1032" spans="1:6" s="42" customFormat="1" x14ac:dyDescent="0.2">
      <c r="A1032" s="6"/>
      <c r="B1032" s="46"/>
      <c r="C1032" s="4"/>
      <c r="D1032" s="5"/>
      <c r="E1032" s="12"/>
      <c r="F1032" s="12"/>
    </row>
    <row r="1033" spans="1:6" s="42" customFormat="1" x14ac:dyDescent="0.2">
      <c r="A1033" s="6"/>
      <c r="B1033" s="46"/>
      <c r="C1033" s="4"/>
      <c r="D1033" s="5"/>
      <c r="E1033" s="12"/>
      <c r="F1033" s="12"/>
    </row>
    <row r="1034" spans="1:6" s="42" customFormat="1" x14ac:dyDescent="0.2">
      <c r="A1034" s="6"/>
      <c r="B1034" s="46"/>
      <c r="C1034" s="4"/>
      <c r="D1034" s="5"/>
      <c r="E1034" s="12"/>
      <c r="F1034" s="12"/>
    </row>
    <row r="1035" spans="1:6" s="42" customFormat="1" x14ac:dyDescent="0.2">
      <c r="A1035" s="6"/>
      <c r="B1035" s="46"/>
      <c r="C1035" s="4"/>
      <c r="D1035" s="5"/>
      <c r="E1035" s="12"/>
      <c r="F1035" s="12"/>
    </row>
    <row r="1036" spans="1:6" s="42" customFormat="1" x14ac:dyDescent="0.2">
      <c r="A1036" s="6"/>
      <c r="B1036" s="46"/>
      <c r="C1036" s="4"/>
      <c r="D1036" s="5"/>
      <c r="E1036" s="12"/>
      <c r="F1036" s="12"/>
    </row>
    <row r="1037" spans="1:6" s="42" customFormat="1" x14ac:dyDescent="0.2">
      <c r="A1037" s="6"/>
      <c r="B1037" s="46"/>
      <c r="C1037" s="4"/>
      <c r="D1037" s="5"/>
      <c r="E1037" s="12"/>
      <c r="F1037" s="12"/>
    </row>
    <row r="1038" spans="1:6" s="42" customFormat="1" x14ac:dyDescent="0.2">
      <c r="A1038" s="6"/>
      <c r="B1038" s="46"/>
      <c r="C1038" s="4"/>
      <c r="D1038" s="5"/>
      <c r="E1038" s="12"/>
      <c r="F1038" s="12"/>
    </row>
    <row r="1039" spans="1:6" s="42" customFormat="1" x14ac:dyDescent="0.2">
      <c r="A1039" s="6"/>
      <c r="B1039" s="46"/>
      <c r="C1039" s="4"/>
      <c r="D1039" s="5"/>
      <c r="E1039" s="12"/>
      <c r="F1039" s="12"/>
    </row>
    <row r="1040" spans="1:6" s="42" customFormat="1" x14ac:dyDescent="0.2">
      <c r="A1040" s="6"/>
      <c r="B1040" s="46"/>
      <c r="C1040" s="4"/>
      <c r="D1040" s="5"/>
      <c r="E1040" s="12"/>
      <c r="F1040" s="12"/>
    </row>
    <row r="1041" spans="1:6" s="42" customFormat="1" x14ac:dyDescent="0.2">
      <c r="A1041" s="6"/>
      <c r="B1041" s="46"/>
      <c r="C1041" s="4"/>
      <c r="D1041" s="5"/>
      <c r="E1041" s="12"/>
      <c r="F1041" s="12"/>
    </row>
    <row r="1042" spans="1:6" s="42" customFormat="1" x14ac:dyDescent="0.2">
      <c r="A1042" s="6"/>
      <c r="B1042" s="46"/>
      <c r="C1042" s="4"/>
      <c r="D1042" s="5"/>
      <c r="E1042" s="12"/>
      <c r="F1042" s="12"/>
    </row>
    <row r="1043" spans="1:6" s="42" customFormat="1" x14ac:dyDescent="0.2">
      <c r="A1043" s="6"/>
      <c r="B1043" s="46"/>
      <c r="C1043" s="4"/>
      <c r="D1043" s="5"/>
      <c r="E1043" s="12"/>
      <c r="F1043" s="12"/>
    </row>
    <row r="1044" spans="1:6" s="42" customFormat="1" x14ac:dyDescent="0.2">
      <c r="A1044" s="6"/>
      <c r="B1044" s="46"/>
      <c r="C1044" s="4"/>
      <c r="D1044" s="5"/>
      <c r="E1044" s="12"/>
      <c r="F1044" s="12"/>
    </row>
    <row r="1045" spans="1:6" s="42" customFormat="1" x14ac:dyDescent="0.2">
      <c r="A1045" s="6"/>
      <c r="B1045" s="46"/>
      <c r="C1045" s="4"/>
      <c r="D1045" s="5"/>
      <c r="E1045" s="12"/>
      <c r="F1045" s="12"/>
    </row>
    <row r="1046" spans="1:6" s="42" customFormat="1" x14ac:dyDescent="0.2">
      <c r="A1046" s="6"/>
      <c r="B1046" s="46"/>
      <c r="C1046" s="4"/>
      <c r="D1046" s="5"/>
      <c r="E1046" s="12"/>
      <c r="F1046" s="12"/>
    </row>
    <row r="1047" spans="1:6" s="42" customFormat="1" x14ac:dyDescent="0.2">
      <c r="A1047" s="6"/>
      <c r="B1047" s="46"/>
      <c r="C1047" s="4"/>
      <c r="D1047" s="5"/>
      <c r="E1047" s="12"/>
      <c r="F1047" s="12"/>
    </row>
    <row r="1048" spans="1:6" s="42" customFormat="1" x14ac:dyDescent="0.2">
      <c r="A1048" s="6"/>
      <c r="B1048" s="46"/>
      <c r="C1048" s="4"/>
      <c r="D1048" s="5"/>
      <c r="E1048" s="12"/>
      <c r="F1048" s="12"/>
    </row>
    <row r="1049" spans="1:6" s="42" customFormat="1" x14ac:dyDescent="0.2">
      <c r="A1049" s="6"/>
      <c r="B1049" s="46"/>
      <c r="C1049" s="4"/>
      <c r="D1049" s="5"/>
      <c r="E1049" s="12"/>
      <c r="F1049" s="12"/>
    </row>
    <row r="1050" spans="1:6" s="42" customFormat="1" x14ac:dyDescent="0.2">
      <c r="A1050" s="6"/>
      <c r="B1050" s="46"/>
      <c r="C1050" s="4"/>
      <c r="D1050" s="5"/>
      <c r="E1050" s="12"/>
      <c r="F1050" s="12"/>
    </row>
    <row r="1051" spans="1:6" s="42" customFormat="1" x14ac:dyDescent="0.2">
      <c r="A1051" s="6"/>
      <c r="B1051" s="46"/>
      <c r="C1051" s="4"/>
      <c r="D1051" s="5"/>
      <c r="E1051" s="12"/>
      <c r="F1051" s="12"/>
    </row>
    <row r="1052" spans="1:6" s="42" customFormat="1" x14ac:dyDescent="0.2">
      <c r="A1052" s="6"/>
      <c r="B1052" s="46"/>
      <c r="C1052" s="4"/>
      <c r="D1052" s="5"/>
      <c r="E1052" s="12"/>
      <c r="F1052" s="12"/>
    </row>
    <row r="1053" spans="1:6" s="42" customFormat="1" x14ac:dyDescent="0.2">
      <c r="A1053" s="6"/>
      <c r="B1053" s="46"/>
      <c r="C1053" s="4"/>
      <c r="D1053" s="5"/>
      <c r="E1053" s="12"/>
      <c r="F1053" s="12"/>
    </row>
    <row r="1054" spans="1:6" s="42" customFormat="1" x14ac:dyDescent="0.2">
      <c r="A1054" s="6"/>
      <c r="B1054" s="46"/>
      <c r="C1054" s="4"/>
      <c r="D1054" s="5"/>
      <c r="E1054" s="12"/>
      <c r="F1054" s="12"/>
    </row>
    <row r="1055" spans="1:6" x14ac:dyDescent="0.2">
      <c r="A1055" s="6"/>
      <c r="B1055" s="46"/>
      <c r="C1055" s="4"/>
      <c r="D1055" s="5"/>
      <c r="E1055" s="12"/>
      <c r="F1055" s="12"/>
    </row>
    <row r="1056" spans="1:6" x14ac:dyDescent="0.2">
      <c r="A1056" s="6"/>
      <c r="B1056" s="46"/>
      <c r="C1056" s="4"/>
      <c r="D1056" s="5"/>
      <c r="E1056" s="12"/>
      <c r="F1056" s="12"/>
    </row>
    <row r="1057" spans="1:6" x14ac:dyDescent="0.2">
      <c r="A1057" s="6"/>
      <c r="B1057" s="46"/>
      <c r="C1057" s="4"/>
      <c r="D1057" s="5"/>
      <c r="E1057" s="12"/>
      <c r="F1057" s="12"/>
    </row>
    <row r="1058" spans="1:6" x14ac:dyDescent="0.2">
      <c r="A1058" s="6"/>
      <c r="B1058" s="46"/>
      <c r="C1058" s="4"/>
      <c r="D1058" s="5"/>
      <c r="E1058" s="12"/>
      <c r="F1058" s="12"/>
    </row>
    <row r="1059" spans="1:6" x14ac:dyDescent="0.2">
      <c r="A1059" s="6"/>
      <c r="B1059" s="46"/>
      <c r="C1059" s="4"/>
      <c r="D1059" s="5"/>
      <c r="E1059" s="12"/>
      <c r="F1059" s="12"/>
    </row>
    <row r="1060" spans="1:6" x14ac:dyDescent="0.2">
      <c r="A1060" s="6"/>
      <c r="B1060" s="46"/>
      <c r="C1060" s="4"/>
      <c r="D1060" s="5"/>
      <c r="E1060" s="12"/>
      <c r="F1060" s="12"/>
    </row>
    <row r="1061" spans="1:6" x14ac:dyDescent="0.2">
      <c r="A1061" s="6"/>
      <c r="B1061" s="46"/>
      <c r="C1061" s="4"/>
      <c r="D1061" s="5"/>
      <c r="E1061" s="12"/>
      <c r="F1061" s="12"/>
    </row>
    <row r="1062" spans="1:6" x14ac:dyDescent="0.2">
      <c r="A1062" s="6"/>
      <c r="B1062" s="46"/>
      <c r="C1062" s="4"/>
      <c r="D1062" s="5"/>
      <c r="E1062" s="12"/>
      <c r="F1062" s="12"/>
    </row>
    <row r="1063" spans="1:6" x14ac:dyDescent="0.2">
      <c r="A1063" s="6"/>
      <c r="B1063" s="46"/>
      <c r="C1063" s="4"/>
      <c r="D1063" s="5"/>
      <c r="E1063" s="12"/>
      <c r="F1063" s="12"/>
    </row>
    <row r="1064" spans="1:6" x14ac:dyDescent="0.2">
      <c r="A1064" s="6"/>
      <c r="B1064" s="46"/>
      <c r="C1064" s="4"/>
      <c r="D1064" s="5"/>
      <c r="E1064" s="12"/>
      <c r="F1064" s="12"/>
    </row>
    <row r="1065" spans="1:6" x14ac:dyDescent="0.2">
      <c r="A1065" s="6"/>
      <c r="B1065" s="46"/>
      <c r="C1065" s="4"/>
      <c r="D1065" s="5"/>
      <c r="E1065" s="12"/>
      <c r="F1065" s="12"/>
    </row>
    <row r="1066" spans="1:6" x14ac:dyDescent="0.2">
      <c r="A1066" s="6"/>
      <c r="B1066" s="46"/>
      <c r="C1066" s="4"/>
      <c r="D1066" s="5"/>
      <c r="E1066" s="12"/>
      <c r="F1066" s="12"/>
    </row>
    <row r="1067" spans="1:6" x14ac:dyDescent="0.2">
      <c r="A1067" s="6"/>
      <c r="B1067" s="46"/>
      <c r="C1067" s="4"/>
      <c r="D1067" s="5"/>
      <c r="E1067" s="12"/>
      <c r="F1067" s="12"/>
    </row>
    <row r="1068" spans="1:6" x14ac:dyDescent="0.2">
      <c r="A1068" s="6"/>
      <c r="B1068" s="46"/>
      <c r="C1068" s="4"/>
      <c r="D1068" s="5"/>
      <c r="E1068" s="12"/>
      <c r="F1068" s="12"/>
    </row>
    <row r="1069" spans="1:6" x14ac:dyDescent="0.2">
      <c r="A1069" s="6"/>
      <c r="B1069" s="46"/>
      <c r="C1069" s="4"/>
      <c r="D1069" s="5"/>
      <c r="E1069" s="12"/>
      <c r="F1069" s="12"/>
    </row>
    <row r="1070" spans="1:6" x14ac:dyDescent="0.2">
      <c r="A1070" s="6"/>
      <c r="B1070" s="46"/>
      <c r="C1070" s="4"/>
      <c r="D1070" s="5"/>
      <c r="E1070" s="12"/>
      <c r="F1070" s="12"/>
    </row>
    <row r="1071" spans="1:6" x14ac:dyDescent="0.2">
      <c r="A1071" s="6"/>
      <c r="B1071" s="46"/>
      <c r="C1071" s="4"/>
      <c r="D1071" s="5"/>
      <c r="E1071" s="12"/>
      <c r="F1071" s="12"/>
    </row>
    <row r="1072" spans="1:6" x14ac:dyDescent="0.2">
      <c r="A1072" s="6"/>
      <c r="B1072" s="46"/>
      <c r="C1072" s="4"/>
      <c r="D1072" s="5"/>
      <c r="E1072" s="12"/>
      <c r="F1072" s="12"/>
    </row>
    <row r="1073" spans="1:6" x14ac:dyDescent="0.2">
      <c r="A1073" s="6"/>
      <c r="B1073" s="46"/>
      <c r="C1073" s="4"/>
      <c r="D1073" s="5"/>
      <c r="E1073" s="12"/>
      <c r="F1073" s="12"/>
    </row>
    <row r="1074" spans="1:6" x14ac:dyDescent="0.2">
      <c r="A1074" s="6"/>
      <c r="B1074" s="46"/>
      <c r="C1074" s="4"/>
      <c r="D1074" s="5"/>
      <c r="E1074" s="12"/>
      <c r="F1074" s="12"/>
    </row>
    <row r="1075" spans="1:6" x14ac:dyDescent="0.2">
      <c r="A1075" s="6"/>
      <c r="B1075" s="46"/>
      <c r="C1075" s="4"/>
      <c r="D1075" s="5"/>
      <c r="E1075" s="12"/>
      <c r="F1075" s="12"/>
    </row>
    <row r="1076" spans="1:6" x14ac:dyDescent="0.2">
      <c r="A1076" s="6"/>
      <c r="B1076" s="46"/>
      <c r="C1076" s="4"/>
      <c r="D1076" s="5"/>
      <c r="E1076" s="12"/>
      <c r="F1076" s="12"/>
    </row>
    <row r="1077" spans="1:6" x14ac:dyDescent="0.2">
      <c r="A1077" s="6"/>
      <c r="B1077" s="46"/>
      <c r="C1077" s="4"/>
      <c r="D1077" s="5"/>
      <c r="E1077" s="12"/>
      <c r="F1077" s="12"/>
    </row>
    <row r="1078" spans="1:6" x14ac:dyDescent="0.2">
      <c r="A1078" s="6"/>
      <c r="B1078" s="46"/>
      <c r="C1078" s="4"/>
      <c r="D1078" s="5"/>
      <c r="E1078" s="12"/>
      <c r="F1078" s="12"/>
    </row>
    <row r="1079" spans="1:6" x14ac:dyDescent="0.2">
      <c r="A1079" s="6"/>
      <c r="B1079" s="46"/>
      <c r="C1079" s="4"/>
      <c r="D1079" s="5"/>
      <c r="E1079" s="12"/>
      <c r="F1079" s="12"/>
    </row>
    <row r="1080" spans="1:6" x14ac:dyDescent="0.2">
      <c r="A1080" s="6"/>
      <c r="B1080" s="46"/>
      <c r="C1080" s="4"/>
      <c r="D1080" s="5"/>
      <c r="E1080" s="12"/>
      <c r="F1080" s="12"/>
    </row>
    <row r="1081" spans="1:6" x14ac:dyDescent="0.2">
      <c r="A1081" s="6"/>
      <c r="B1081" s="46"/>
      <c r="C1081" s="4"/>
      <c r="D1081" s="5"/>
      <c r="E1081" s="12"/>
      <c r="F1081" s="12"/>
    </row>
    <row r="1082" spans="1:6" x14ac:dyDescent="0.2">
      <c r="A1082" s="6"/>
      <c r="B1082" s="46"/>
      <c r="C1082" s="4"/>
      <c r="D1082" s="5"/>
      <c r="E1082" s="12"/>
      <c r="F1082" s="12"/>
    </row>
    <row r="1083" spans="1:6" x14ac:dyDescent="0.2">
      <c r="A1083" s="6"/>
      <c r="B1083" s="46"/>
      <c r="C1083" s="4"/>
      <c r="D1083" s="5"/>
      <c r="E1083" s="12"/>
      <c r="F1083" s="12"/>
    </row>
  </sheetData>
  <conditionalFormatting sqref="D692:D75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S971"/>
  <sheetViews>
    <sheetView zoomScale="160" zoomScaleNormal="160" workbookViewId="0">
      <pane ySplit="4" topLeftCell="A717" activePane="bottomLeft" state="frozen"/>
      <selection pane="bottomLeft" activeCell="T726" sqref="T726"/>
    </sheetView>
  </sheetViews>
  <sheetFormatPr baseColWidth="10" defaultColWidth="8.83203125" defaultRowHeight="15" x14ac:dyDescent="0.2"/>
  <cols>
    <col min="1" max="1" width="15.6640625" style="13" customWidth="1"/>
    <col min="2" max="5" width="10.33203125" style="13" bestFit="1" customWidth="1"/>
    <col min="6" max="6" width="16.83203125" style="13" customWidth="1"/>
    <col min="7" max="7" width="10.33203125" style="13" bestFit="1" customWidth="1"/>
    <col min="8" max="71" width="9.1640625" style="42" customWidth="1"/>
  </cols>
  <sheetData>
    <row r="1" spans="1:7" s="42" customFormat="1" x14ac:dyDescent="0.2">
      <c r="A1" s="12"/>
      <c r="B1" s="12"/>
      <c r="C1" s="12"/>
      <c r="D1" s="12"/>
      <c r="E1" s="12"/>
      <c r="F1" s="12"/>
      <c r="G1" s="12"/>
    </row>
    <row r="2" spans="1:7" s="42" customFormat="1" x14ac:dyDescent="0.2">
      <c r="A2" s="12"/>
      <c r="B2" s="12"/>
      <c r="C2" s="12"/>
      <c r="D2" s="12"/>
      <c r="E2" s="12"/>
      <c r="F2" s="12"/>
      <c r="G2" s="12"/>
    </row>
    <row r="3" spans="1:7" s="42" customFormat="1" ht="16" customHeight="1" thickBot="1" x14ac:dyDescent="0.25">
      <c r="A3" s="12"/>
      <c r="B3" s="12"/>
      <c r="C3" s="12"/>
      <c r="D3" s="12"/>
      <c r="E3" s="12"/>
      <c r="F3" s="12"/>
      <c r="G3" s="12"/>
    </row>
    <row r="4" spans="1:7" ht="31" customHeight="1" thickBot="1" x14ac:dyDescent="0.25">
      <c r="A4" s="30" t="s">
        <v>6</v>
      </c>
      <c r="B4" s="31" t="s">
        <v>14</v>
      </c>
      <c r="C4" s="31" t="s">
        <v>15</v>
      </c>
      <c r="D4" s="31" t="s">
        <v>16</v>
      </c>
      <c r="E4" s="31" t="s">
        <v>17</v>
      </c>
      <c r="F4" s="31" t="s">
        <v>18</v>
      </c>
      <c r="G4" s="32" t="s">
        <v>19</v>
      </c>
    </row>
    <row r="5" spans="1:7" x14ac:dyDescent="0.2">
      <c r="A5" s="39">
        <v>21551</v>
      </c>
      <c r="B5" s="28">
        <f>VLOOKUP(Table3[[#This Row],[Date]],'PCE Core'!$A:$E,2,)</f>
        <v>16.687999999999999</v>
      </c>
      <c r="C5" s="28">
        <f>VLOOKUP(Table3[[#This Row],[Date]],Database!$A:$E,5)</f>
        <v>29.9</v>
      </c>
      <c r="D5" s="28">
        <f>(((Table3[[#This Row],[Core PCE]]-$B$496)/$B$496)*100)+100</f>
        <v>20.913328988921748</v>
      </c>
      <c r="E5" s="28">
        <f>(((Table3[[#This Row],[Core CPI]]-$C$496)/$C$496)*100)+100</f>
        <v>16.73195299384443</v>
      </c>
      <c r="F5" s="40"/>
      <c r="G5" s="29"/>
    </row>
    <row r="6" spans="1:7" x14ac:dyDescent="0.2">
      <c r="A6" s="38">
        <v>21582</v>
      </c>
      <c r="B6" s="28">
        <f>VLOOKUP(Table3[[#This Row],[Date]],'PCE Core'!$A:$E,2,)</f>
        <v>16.701000000000001</v>
      </c>
      <c r="C6" s="26">
        <f>VLOOKUP(Table3[[#This Row],[Date]],Database!$A:$E,5)</f>
        <v>29.9</v>
      </c>
      <c r="D6" s="26">
        <f>(((Table3[[#This Row],[Core PCE]]-$B$496)/$B$496)*100)+100</f>
        <v>20.929620532357504</v>
      </c>
      <c r="E6" s="26">
        <f>(((Table3[[#This Row],[Core CPI]]-$C$496)/$C$496)*100)+100</f>
        <v>16.73195299384443</v>
      </c>
      <c r="F6" s="38"/>
      <c r="G6" s="27"/>
    </row>
    <row r="7" spans="1:7" x14ac:dyDescent="0.2">
      <c r="A7" s="41">
        <v>21610</v>
      </c>
      <c r="B7" s="28">
        <f>VLOOKUP(Table3[[#This Row],[Date]],'PCE Core'!$A:$E,2,)</f>
        <v>16.719000000000001</v>
      </c>
      <c r="C7" s="28">
        <f>VLOOKUP(Table3[[#This Row],[Date]],Database!$A:$E,5)</f>
        <v>30</v>
      </c>
      <c r="D7" s="26">
        <f>(((Table3[[#This Row],[Core PCE]]-$B$496)/$B$496)*100)+100</f>
        <v>20.952178054037802</v>
      </c>
      <c r="E7" s="26">
        <f>(((Table3[[#This Row],[Core CPI]]-$C$496)/$C$496)*100)+100</f>
        <v>16.787912702853944</v>
      </c>
      <c r="F7" s="38"/>
      <c r="G7" s="27"/>
    </row>
    <row r="8" spans="1:7" x14ac:dyDescent="0.2">
      <c r="A8" s="38">
        <v>21641</v>
      </c>
      <c r="B8" s="28">
        <f>VLOOKUP(Table3[[#This Row],[Date]],'PCE Core'!$A:$E,2,)</f>
        <v>16.762</v>
      </c>
      <c r="C8" s="28">
        <f>VLOOKUP(Table3[[#This Row],[Date]],Database!$A:$E,5)</f>
        <v>30</v>
      </c>
      <c r="D8" s="26">
        <f>(((Table3[[#This Row],[Core PCE]]-$B$496)/$B$496)*100)+100</f>
        <v>21.006065466940697</v>
      </c>
      <c r="E8" s="26">
        <f>(((Table3[[#This Row],[Core CPI]]-$C$496)/$C$496)*100)+100</f>
        <v>16.787912702853944</v>
      </c>
      <c r="F8" s="38"/>
      <c r="G8" s="27"/>
    </row>
    <row r="9" spans="1:7" x14ac:dyDescent="0.2">
      <c r="A9" s="41">
        <v>21671</v>
      </c>
      <c r="B9" s="28">
        <f>VLOOKUP(Table3[[#This Row],[Date]],'PCE Core'!$A:$E,2,)</f>
        <v>16.783000000000001</v>
      </c>
      <c r="C9" s="26">
        <f>VLOOKUP(Table3[[#This Row],[Date]],Database!$A:$E,5)</f>
        <v>30.1</v>
      </c>
      <c r="D9" s="26">
        <f>(((Table3[[#This Row],[Core PCE]]-$B$496)/$B$496)*100)+100</f>
        <v>21.032382575567695</v>
      </c>
      <c r="E9" s="26">
        <f>(((Table3[[#This Row],[Core CPI]]-$C$496)/$C$496)*100)+100</f>
        <v>16.843872411863458</v>
      </c>
      <c r="F9" s="38"/>
      <c r="G9" s="27"/>
    </row>
    <row r="10" spans="1:7" x14ac:dyDescent="0.2">
      <c r="A10" s="38">
        <v>21702</v>
      </c>
      <c r="B10" s="28">
        <f>VLOOKUP(Table3[[#This Row],[Date]],'PCE Core'!$A:$E,2,)</f>
        <v>16.832000000000001</v>
      </c>
      <c r="C10" s="28">
        <f>VLOOKUP(Table3[[#This Row],[Date]],Database!$A:$E,5)</f>
        <v>30.2</v>
      </c>
      <c r="D10" s="26">
        <f>(((Table3[[#This Row],[Core PCE]]-$B$496)/$B$496)*100)+100</f>
        <v>21.093789162364033</v>
      </c>
      <c r="E10" s="26">
        <f>(((Table3[[#This Row],[Core CPI]]-$C$496)/$C$496)*100)+100</f>
        <v>16.899832120872972</v>
      </c>
      <c r="F10" s="38"/>
      <c r="G10" s="27"/>
    </row>
    <row r="11" spans="1:7" x14ac:dyDescent="0.2">
      <c r="A11" s="41">
        <v>21732</v>
      </c>
      <c r="B11" s="28">
        <f>VLOOKUP(Table3[[#This Row],[Date]],'PCE Core'!$A:$E,2,)</f>
        <v>16.870999999999999</v>
      </c>
      <c r="C11" s="28">
        <f>VLOOKUP(Table3[[#This Row],[Date]],Database!$A:$E,5)</f>
        <v>30.2</v>
      </c>
      <c r="D11" s="26">
        <f>(((Table3[[#This Row],[Core PCE]]-$B$496)/$B$496)*100)+100</f>
        <v>21.1426637926713</v>
      </c>
      <c r="E11" s="26">
        <f>(((Table3[[#This Row],[Core CPI]]-$C$496)/$C$496)*100)+100</f>
        <v>16.899832120872972</v>
      </c>
      <c r="F11" s="38"/>
      <c r="G11" s="27"/>
    </row>
    <row r="12" spans="1:7" x14ac:dyDescent="0.2">
      <c r="A12" s="38">
        <v>21763</v>
      </c>
      <c r="B12" s="28">
        <f>VLOOKUP(Table3[[#This Row],[Date]],'PCE Core'!$A:$E,2,)</f>
        <v>16.899000000000001</v>
      </c>
      <c r="C12" s="26">
        <f>VLOOKUP(Table3[[#This Row],[Date]],Database!$A:$E,5)</f>
        <v>30.2</v>
      </c>
      <c r="D12" s="26">
        <f>(((Table3[[#This Row],[Core PCE]]-$B$496)/$B$496)*100)+100</f>
        <v>21.17775327084064</v>
      </c>
      <c r="E12" s="26">
        <f>(((Table3[[#This Row],[Core CPI]]-$C$496)/$C$496)*100)+100</f>
        <v>16.899832120872972</v>
      </c>
      <c r="F12" s="38"/>
      <c r="G12" s="27"/>
    </row>
    <row r="13" spans="1:7" x14ac:dyDescent="0.2">
      <c r="A13" s="41">
        <v>21794</v>
      </c>
      <c r="B13" s="28">
        <f>VLOOKUP(Table3[[#This Row],[Date]],'PCE Core'!$A:$E,2,)</f>
        <v>16.943000000000001</v>
      </c>
      <c r="C13" s="28">
        <f>VLOOKUP(Table3[[#This Row],[Date]],Database!$A:$E,5)</f>
        <v>30.3</v>
      </c>
      <c r="D13" s="26">
        <f>(((Table3[[#This Row],[Core PCE]]-$B$496)/$B$496)*100)+100</f>
        <v>21.232893879392449</v>
      </c>
      <c r="E13" s="26">
        <f>(((Table3[[#This Row],[Core CPI]]-$C$496)/$C$496)*100)+100</f>
        <v>16.9557918298825</v>
      </c>
      <c r="F13" s="38"/>
      <c r="G13" s="27"/>
    </row>
    <row r="14" spans="1:7" x14ac:dyDescent="0.2">
      <c r="A14" s="38">
        <v>21824</v>
      </c>
      <c r="B14" s="28">
        <f>VLOOKUP(Table3[[#This Row],[Date]],'PCE Core'!$A:$E,2,)</f>
        <v>16.972000000000001</v>
      </c>
      <c r="C14" s="28">
        <f>VLOOKUP(Table3[[#This Row],[Date]],Database!$A:$E,5)</f>
        <v>30.4</v>
      </c>
      <c r="D14" s="26">
        <f>(((Table3[[#This Row],[Core PCE]]-$B$496)/$B$496)*100)+100</f>
        <v>21.269236553210689</v>
      </c>
      <c r="E14" s="26">
        <f>(((Table3[[#This Row],[Core CPI]]-$C$496)/$C$496)*100)+100</f>
        <v>17.011751538892</v>
      </c>
      <c r="F14" s="38"/>
      <c r="G14" s="27"/>
    </row>
    <row r="15" spans="1:7" x14ac:dyDescent="0.2">
      <c r="A15" s="41">
        <v>21855</v>
      </c>
      <c r="B15" s="28">
        <f>VLOOKUP(Table3[[#This Row],[Date]],'PCE Core'!$A:$E,2,)</f>
        <v>17.003</v>
      </c>
      <c r="C15" s="26">
        <f>VLOOKUP(Table3[[#This Row],[Date]],Database!$A:$E,5)</f>
        <v>30.4</v>
      </c>
      <c r="D15" s="26">
        <f>(((Table3[[#This Row],[Core PCE]]-$B$496)/$B$496)*100)+100</f>
        <v>21.308085618326729</v>
      </c>
      <c r="E15" s="26">
        <f>(((Table3[[#This Row],[Core CPI]]-$C$496)/$C$496)*100)+100</f>
        <v>17.011751538892</v>
      </c>
      <c r="F15" s="38"/>
      <c r="G15" s="27"/>
    </row>
    <row r="16" spans="1:7" x14ac:dyDescent="0.2">
      <c r="A16" s="38">
        <v>21885</v>
      </c>
      <c r="B16" s="28">
        <f>VLOOKUP(Table3[[#This Row],[Date]],'PCE Core'!$A:$E,2,)</f>
        <v>17.029</v>
      </c>
      <c r="C16" s="28">
        <f>VLOOKUP(Table3[[#This Row],[Date]],Database!$A:$E,5)</f>
        <v>30.5</v>
      </c>
      <c r="D16" s="26">
        <f>(((Table3[[#This Row],[Core PCE]]-$B$496)/$B$496)*100)+100</f>
        <v>21.340668705198254</v>
      </c>
      <c r="E16" s="26">
        <f>(((Table3[[#This Row],[Core CPI]]-$C$496)/$C$496)*100)+100</f>
        <v>17.067711247901514</v>
      </c>
      <c r="F16" s="38"/>
      <c r="G16" s="27"/>
    </row>
    <row r="17" spans="1:7" x14ac:dyDescent="0.2">
      <c r="A17" s="41">
        <v>21916</v>
      </c>
      <c r="B17" s="28">
        <f>VLOOKUP(Table3[[#This Row],[Date]],'PCE Core'!$A:$E,2,)</f>
        <v>17.033000000000001</v>
      </c>
      <c r="C17" s="28">
        <f>VLOOKUP(Table3[[#This Row],[Date]],Database!$A:$E,5)</f>
        <v>30.5</v>
      </c>
      <c r="D17" s="26">
        <f>(((Table3[[#This Row],[Core PCE]]-$B$496)/$B$496)*100)+100</f>
        <v>21.345681487793883</v>
      </c>
      <c r="E17" s="26">
        <f>(((Table3[[#This Row],[Core CPI]]-$C$496)/$C$496)*100)+100</f>
        <v>17.067711247901514</v>
      </c>
      <c r="F17" s="38"/>
      <c r="G17" s="27">
        <f>VLOOKUP(Table3[[#This Row],[Date]],'PCE Core'!A:D,4,)</f>
        <v>2.0673537871524594E-2</v>
      </c>
    </row>
    <row r="18" spans="1:7" x14ac:dyDescent="0.2">
      <c r="A18" s="38">
        <v>21947</v>
      </c>
      <c r="B18" s="28">
        <f>VLOOKUP(Table3[[#This Row],[Date]],'PCE Core'!$A:$E,2,)</f>
        <v>17.065000000000001</v>
      </c>
      <c r="C18" s="26">
        <f>VLOOKUP(Table3[[#This Row],[Date]],Database!$A:$E,5)</f>
        <v>30.6</v>
      </c>
      <c r="D18" s="26">
        <f>(((Table3[[#This Row],[Core PCE]]-$B$496)/$B$496)*100)+100</f>
        <v>21.385783748558822</v>
      </c>
      <c r="E18" s="26">
        <f>(((Table3[[#This Row],[Core CPI]]-$C$496)/$C$496)*100)+100</f>
        <v>17.123670956911013</v>
      </c>
      <c r="F18" s="38"/>
      <c r="G18" s="27">
        <f>VLOOKUP(Table3[[#This Row],[Date]],'PCE Core'!A:D,4,)</f>
        <v>2.1795102089695272E-2</v>
      </c>
    </row>
    <row r="19" spans="1:7" x14ac:dyDescent="0.2">
      <c r="A19" s="41">
        <v>21976</v>
      </c>
      <c r="B19" s="28">
        <f>VLOOKUP(Table3[[#This Row],[Date]],'PCE Core'!$A:$E,2,)</f>
        <v>17.067</v>
      </c>
      <c r="C19" s="28">
        <f>VLOOKUP(Table3[[#This Row],[Date]],Database!$A:$E,5)</f>
        <v>30.6</v>
      </c>
      <c r="D19" s="26">
        <f>(((Table3[[#This Row],[Core PCE]]-$B$496)/$B$496)*100)+100</f>
        <v>21.388290139856636</v>
      </c>
      <c r="E19" s="26">
        <f>(((Table3[[#This Row],[Core CPI]]-$C$496)/$C$496)*100)+100</f>
        <v>17.123670956911013</v>
      </c>
      <c r="F19" s="38"/>
      <c r="G19" s="27">
        <f>VLOOKUP(Table3[[#This Row],[Date]],'PCE Core'!A:D,4,)</f>
        <v>2.0814642024044438E-2</v>
      </c>
    </row>
    <row r="20" spans="1:7" x14ac:dyDescent="0.2">
      <c r="A20" s="38">
        <v>22007</v>
      </c>
      <c r="B20" s="28">
        <f>VLOOKUP(Table3[[#This Row],[Date]],'PCE Core'!$A:$E,2,)</f>
        <v>17.097999999999999</v>
      </c>
      <c r="C20" s="28">
        <f>VLOOKUP(Table3[[#This Row],[Date]],Database!$A:$E,5)</f>
        <v>30.6</v>
      </c>
      <c r="D20" s="26">
        <f>(((Table3[[#This Row],[Core PCE]]-$B$496)/$B$496)*100)+100</f>
        <v>21.427139204972676</v>
      </c>
      <c r="E20" s="26">
        <f>(((Table3[[#This Row],[Core CPI]]-$C$496)/$C$496)*100)+100</f>
        <v>17.123670956911013</v>
      </c>
      <c r="F20" s="38"/>
      <c r="G20" s="27">
        <f>VLOOKUP(Table3[[#This Row],[Date]],'PCE Core'!A:D,4,)</f>
        <v>2.0045340651473481E-2</v>
      </c>
    </row>
    <row r="21" spans="1:7" x14ac:dyDescent="0.2">
      <c r="A21" s="41">
        <v>22037</v>
      </c>
      <c r="B21" s="28">
        <f>VLOOKUP(Table3[[#This Row],[Date]],'PCE Core'!$A:$E,2,)</f>
        <v>17.125</v>
      </c>
      <c r="C21" s="26">
        <f>VLOOKUP(Table3[[#This Row],[Date]],Database!$A:$E,5)</f>
        <v>30.6</v>
      </c>
      <c r="D21" s="26">
        <f>(((Table3[[#This Row],[Core PCE]]-$B$496)/$B$496)*100)+100</f>
        <v>21.460975487493101</v>
      </c>
      <c r="E21" s="26">
        <f>(((Table3[[#This Row],[Core CPI]]-$C$496)/$C$496)*100)+100</f>
        <v>17.123670956911013</v>
      </c>
      <c r="F21" s="38"/>
      <c r="G21" s="27">
        <f>VLOOKUP(Table3[[#This Row],[Date]],'PCE Core'!A:D,4,)</f>
        <v>2.0377763212774756E-2</v>
      </c>
    </row>
    <row r="22" spans="1:7" x14ac:dyDescent="0.2">
      <c r="A22" s="38">
        <v>22068</v>
      </c>
      <c r="B22" s="28">
        <f>VLOOKUP(Table3[[#This Row],[Date]],'PCE Core'!$A:$E,2,)</f>
        <v>17.135999999999999</v>
      </c>
      <c r="C22" s="28">
        <f>VLOOKUP(Table3[[#This Row],[Date]],Database!$A:$E,5)</f>
        <v>30.7</v>
      </c>
      <c r="D22" s="26">
        <f>(((Table3[[#This Row],[Core PCE]]-$B$496)/$B$496)*100)+100</f>
        <v>21.474760639631057</v>
      </c>
      <c r="E22" s="26">
        <f>(((Table3[[#This Row],[Core CPI]]-$C$496)/$C$496)*100)+100</f>
        <v>17.179630665920527</v>
      </c>
      <c r="F22" s="38"/>
      <c r="G22" s="27">
        <f>VLOOKUP(Table3[[#This Row],[Date]],'PCE Core'!A:D,4,)</f>
        <v>1.8060836501901049E-2</v>
      </c>
    </row>
    <row r="23" spans="1:7" x14ac:dyDescent="0.2">
      <c r="A23" s="41">
        <v>22098</v>
      </c>
      <c r="B23" s="28">
        <f>VLOOKUP(Table3[[#This Row],[Date]],'PCE Core'!$A:$E,2,)</f>
        <v>17.166</v>
      </c>
      <c r="C23" s="28">
        <f>VLOOKUP(Table3[[#This Row],[Date]],Database!$A:$E,5)</f>
        <v>30.6</v>
      </c>
      <c r="D23" s="26">
        <f>(((Table3[[#This Row],[Core PCE]]-$B$496)/$B$496)*100)+100</f>
        <v>21.512356509098197</v>
      </c>
      <c r="E23" s="26">
        <f>(((Table3[[#This Row],[Core CPI]]-$C$496)/$C$496)*100)+100</f>
        <v>17.123670956911013</v>
      </c>
      <c r="F23" s="38"/>
      <c r="G23" s="27">
        <f>VLOOKUP(Table3[[#This Row],[Date]],'PCE Core'!A:D,4,)</f>
        <v>1.7485626222512107E-2</v>
      </c>
    </row>
    <row r="24" spans="1:7" x14ac:dyDescent="0.2">
      <c r="A24" s="38">
        <v>22129</v>
      </c>
      <c r="B24" s="28">
        <f>VLOOKUP(Table3[[#This Row],[Date]],'PCE Core'!$A:$E,2,)</f>
        <v>17.190999999999999</v>
      </c>
      <c r="C24" s="26">
        <f>VLOOKUP(Table3[[#This Row],[Date]],Database!$A:$E,5)</f>
        <v>30.6</v>
      </c>
      <c r="D24" s="26">
        <f>(((Table3[[#This Row],[Core PCE]]-$B$496)/$B$496)*100)+100</f>
        <v>21.543686400320823</v>
      </c>
      <c r="E24" s="26">
        <f>(((Table3[[#This Row],[Core CPI]]-$C$496)/$C$496)*100)+100</f>
        <v>17.123670956911013</v>
      </c>
      <c r="F24" s="38"/>
      <c r="G24" s="27">
        <f>VLOOKUP(Table3[[#This Row],[Date]],'PCE Core'!A:D,4,)</f>
        <v>1.7279128942540863E-2</v>
      </c>
    </row>
    <row r="25" spans="1:7" x14ac:dyDescent="0.2">
      <c r="A25" s="41">
        <v>22160</v>
      </c>
      <c r="B25" s="28">
        <f>VLOOKUP(Table3[[#This Row],[Date]],'PCE Core'!$A:$E,2,)</f>
        <v>17.204000000000001</v>
      </c>
      <c r="C25" s="28">
        <f>VLOOKUP(Table3[[#This Row],[Date]],Database!$A:$E,5)</f>
        <v>30.6</v>
      </c>
      <c r="D25" s="26">
        <f>(((Table3[[#This Row],[Core PCE]]-$B$496)/$B$496)*100)+100</f>
        <v>21.559977943756579</v>
      </c>
      <c r="E25" s="26">
        <f>(((Table3[[#This Row],[Core CPI]]-$C$496)/$C$496)*100)+100</f>
        <v>17.123670956911013</v>
      </c>
      <c r="F25" s="38"/>
      <c r="G25" s="27">
        <f>VLOOKUP(Table3[[#This Row],[Date]],'PCE Core'!A:D,4,)</f>
        <v>1.5404591866847618E-2</v>
      </c>
    </row>
    <row r="26" spans="1:7" x14ac:dyDescent="0.2">
      <c r="A26" s="38">
        <v>22190</v>
      </c>
      <c r="B26" s="28">
        <f>VLOOKUP(Table3[[#This Row],[Date]],'PCE Core'!$A:$E,2,)</f>
        <v>17.213999999999999</v>
      </c>
      <c r="C26" s="28">
        <f>VLOOKUP(Table3[[#This Row],[Date]],Database!$A:$E,5)</f>
        <v>30.8</v>
      </c>
      <c r="D26" s="26">
        <f>(((Table3[[#This Row],[Core PCE]]-$B$496)/$B$496)*100)+100</f>
        <v>21.57250990024562</v>
      </c>
      <c r="E26" s="26">
        <f>(((Table3[[#This Row],[Core CPI]]-$C$496)/$C$496)*100)+100</f>
        <v>17.235590374930055</v>
      </c>
      <c r="F26" s="38"/>
      <c r="G26" s="27">
        <f>VLOOKUP(Table3[[#This Row],[Date]],'PCE Core'!A:D,4,)</f>
        <v>1.4258779165684498E-2</v>
      </c>
    </row>
    <row r="27" spans="1:7" x14ac:dyDescent="0.2">
      <c r="A27" s="41">
        <v>22221</v>
      </c>
      <c r="B27" s="28">
        <f>VLOOKUP(Table3[[#This Row],[Date]],'PCE Core'!$A:$E,2,)</f>
        <v>17.260000000000002</v>
      </c>
      <c r="C27" s="26">
        <f>VLOOKUP(Table3[[#This Row],[Date]],Database!$A:$E,5)</f>
        <v>30.8</v>
      </c>
      <c r="D27" s="26">
        <f>(((Table3[[#This Row],[Core PCE]]-$B$496)/$B$496)*100)+100</f>
        <v>21.630156900095244</v>
      </c>
      <c r="E27" s="26">
        <f>(((Table3[[#This Row],[Core CPI]]-$C$496)/$C$496)*100)+100</f>
        <v>17.235590374930055</v>
      </c>
      <c r="F27" s="38"/>
      <c r="G27" s="27">
        <f>VLOOKUP(Table3[[#This Row],[Date]],'PCE Core'!A:D,4,)</f>
        <v>1.5114979709463121E-2</v>
      </c>
    </row>
    <row r="28" spans="1:7" x14ac:dyDescent="0.2">
      <c r="A28" s="38">
        <v>22251</v>
      </c>
      <c r="B28" s="28">
        <f>VLOOKUP(Table3[[#This Row],[Date]],'PCE Core'!$A:$E,2,)</f>
        <v>17.254999999999999</v>
      </c>
      <c r="C28" s="28">
        <f>VLOOKUP(Table3[[#This Row],[Date]],Database!$A:$E,5)</f>
        <v>30.7</v>
      </c>
      <c r="D28" s="26">
        <f>(((Table3[[#This Row],[Core PCE]]-$B$496)/$B$496)*100)+100</f>
        <v>21.623890921850702</v>
      </c>
      <c r="E28" s="26">
        <f>(((Table3[[#This Row],[Core CPI]]-$C$496)/$C$496)*100)+100</f>
        <v>17.179630665920527</v>
      </c>
      <c r="F28" s="38"/>
      <c r="G28" s="27">
        <f>VLOOKUP(Table3[[#This Row],[Date]],'PCE Core'!A:D,4,)</f>
        <v>1.3271478066827123E-2</v>
      </c>
    </row>
    <row r="29" spans="1:7" x14ac:dyDescent="0.2">
      <c r="A29" s="41">
        <v>22282</v>
      </c>
      <c r="B29" s="28">
        <f>VLOOKUP(Table3[[#This Row],[Date]],'PCE Core'!$A:$E,2,)</f>
        <v>17.259</v>
      </c>
      <c r="C29" s="28">
        <f>VLOOKUP(Table3[[#This Row],[Date]],Database!$A:$E,5)</f>
        <v>30.8</v>
      </c>
      <c r="D29" s="26">
        <f>(((Table3[[#This Row],[Core PCE]]-$B$496)/$B$496)*100)+100</f>
        <v>21.62890370444633</v>
      </c>
      <c r="E29" s="26">
        <f>(((Table3[[#This Row],[Core CPI]]-$C$496)/$C$496)*100)+100</f>
        <v>17.235590374930055</v>
      </c>
      <c r="F29" s="38"/>
      <c r="G29" s="27">
        <f>VLOOKUP(Table3[[#This Row],[Date]],'PCE Core'!A:D,4,)</f>
        <v>1.3268361416074624E-2</v>
      </c>
    </row>
    <row r="30" spans="1:7" x14ac:dyDescent="0.2">
      <c r="A30" s="38">
        <v>22313</v>
      </c>
      <c r="B30" s="28">
        <f>VLOOKUP(Table3[[#This Row],[Date]],'PCE Core'!$A:$E,2,)</f>
        <v>17.276</v>
      </c>
      <c r="C30" s="26">
        <f>VLOOKUP(Table3[[#This Row],[Date]],Database!$A:$E,5)</f>
        <v>30.8</v>
      </c>
      <c r="D30" s="26">
        <f>(((Table3[[#This Row],[Core PCE]]-$B$496)/$B$496)*100)+100</f>
        <v>21.650208030477714</v>
      </c>
      <c r="E30" s="26">
        <f>(((Table3[[#This Row],[Core CPI]]-$C$496)/$C$496)*100)+100</f>
        <v>17.235590374930055</v>
      </c>
      <c r="F30" s="38"/>
      <c r="G30" s="27">
        <f>VLOOKUP(Table3[[#This Row],[Date]],'PCE Core'!A:D,4,)</f>
        <v>1.2364488719601436E-2</v>
      </c>
    </row>
    <row r="31" spans="1:7" x14ac:dyDescent="0.2">
      <c r="A31" s="41">
        <v>22341</v>
      </c>
      <c r="B31" s="28">
        <f>VLOOKUP(Table3[[#This Row],[Date]],'PCE Core'!$A:$E,2,)</f>
        <v>17.282</v>
      </c>
      <c r="C31" s="28">
        <f>VLOOKUP(Table3[[#This Row],[Date]],Database!$A:$E,5)</f>
        <v>30.9</v>
      </c>
      <c r="D31" s="26">
        <f>(((Table3[[#This Row],[Core PCE]]-$B$496)/$B$496)*100)+100</f>
        <v>21.657727204371142</v>
      </c>
      <c r="E31" s="26">
        <f>(((Table3[[#This Row],[Core CPI]]-$C$496)/$C$496)*100)+100</f>
        <v>17.291550083939569</v>
      </c>
      <c r="F31" s="38"/>
      <c r="G31" s="27">
        <f>VLOOKUP(Table3[[#This Row],[Date]],'PCE Core'!A:D,4,)</f>
        <v>1.259741020683189E-2</v>
      </c>
    </row>
    <row r="32" spans="1:7" x14ac:dyDescent="0.2">
      <c r="A32" s="38">
        <v>22372</v>
      </c>
      <c r="B32" s="28">
        <f>VLOOKUP(Table3[[#This Row],[Date]],'PCE Core'!$A:$E,2,)</f>
        <v>17.306000000000001</v>
      </c>
      <c r="C32" s="28">
        <f>VLOOKUP(Table3[[#This Row],[Date]],Database!$A:$E,5)</f>
        <v>30.9</v>
      </c>
      <c r="D32" s="26">
        <f>(((Table3[[#This Row],[Core PCE]]-$B$496)/$B$496)*100)+100</f>
        <v>21.687803899944853</v>
      </c>
      <c r="E32" s="26">
        <f>(((Table3[[#This Row],[Core CPI]]-$C$496)/$C$496)*100)+100</f>
        <v>17.291550083939569</v>
      </c>
      <c r="F32" s="38"/>
      <c r="G32" s="27">
        <f>VLOOKUP(Table3[[#This Row],[Date]],'PCE Core'!A:D,4,)</f>
        <v>1.2165165516434786E-2</v>
      </c>
    </row>
    <row r="33" spans="1:7" x14ac:dyDescent="0.2">
      <c r="A33" s="41">
        <v>22402</v>
      </c>
      <c r="B33" s="28">
        <f>VLOOKUP(Table3[[#This Row],[Date]],'PCE Core'!$A:$E,2,)</f>
        <v>17.327999999999999</v>
      </c>
      <c r="C33" s="26">
        <f>VLOOKUP(Table3[[#This Row],[Date]],Database!$A:$E,5)</f>
        <v>30.9</v>
      </c>
      <c r="D33" s="26">
        <f>(((Table3[[#This Row],[Core PCE]]-$B$496)/$B$496)*100)+100</f>
        <v>21.715374204220765</v>
      </c>
      <c r="E33" s="26">
        <f>(((Table3[[#This Row],[Core CPI]]-$C$496)/$C$496)*100)+100</f>
        <v>17.291550083939569</v>
      </c>
      <c r="F33" s="38"/>
      <c r="G33" s="27">
        <f>VLOOKUP(Table3[[#This Row],[Date]],'PCE Core'!A:D,4,)</f>
        <v>1.1854014598540111E-2</v>
      </c>
    </row>
    <row r="34" spans="1:7" x14ac:dyDescent="0.2">
      <c r="A34" s="38">
        <v>22433</v>
      </c>
      <c r="B34" s="28">
        <f>VLOOKUP(Table3[[#This Row],[Date]],'PCE Core'!$A:$E,2,)</f>
        <v>17.353999999999999</v>
      </c>
      <c r="C34" s="28">
        <f>VLOOKUP(Table3[[#This Row],[Date]],Database!$A:$E,5)</f>
        <v>31</v>
      </c>
      <c r="D34" s="26">
        <f>(((Table3[[#This Row],[Core PCE]]-$B$496)/$B$496)*100)+100</f>
        <v>21.747957291092277</v>
      </c>
      <c r="E34" s="26">
        <f>(((Table3[[#This Row],[Core CPI]]-$C$496)/$C$496)*100)+100</f>
        <v>17.347509792949083</v>
      </c>
      <c r="F34" s="38"/>
      <c r="G34" s="27">
        <f>VLOOKUP(Table3[[#This Row],[Date]],'PCE Core'!A:D,4,)</f>
        <v>1.2721755368814191E-2</v>
      </c>
    </row>
    <row r="35" spans="1:7" x14ac:dyDescent="0.2">
      <c r="A35" s="41">
        <v>22463</v>
      </c>
      <c r="B35" s="28">
        <f>VLOOKUP(Table3[[#This Row],[Date]],'PCE Core'!$A:$E,2,)</f>
        <v>17.381</v>
      </c>
      <c r="C35" s="28">
        <f>VLOOKUP(Table3[[#This Row],[Date]],Database!$A:$E,5)</f>
        <v>31</v>
      </c>
      <c r="D35" s="26">
        <f>(((Table3[[#This Row],[Core PCE]]-$B$496)/$B$496)*100)+100</f>
        <v>21.781793573612703</v>
      </c>
      <c r="E35" s="26">
        <f>(((Table3[[#This Row],[Core CPI]]-$C$496)/$C$496)*100)+100</f>
        <v>17.347509792949083</v>
      </c>
      <c r="F35" s="38"/>
      <c r="G35" s="27">
        <f>VLOOKUP(Table3[[#This Row],[Date]],'PCE Core'!A:D,4,)</f>
        <v>1.2524758243038557E-2</v>
      </c>
    </row>
    <row r="36" spans="1:7" x14ac:dyDescent="0.2">
      <c r="A36" s="38">
        <v>22494</v>
      </c>
      <c r="B36" s="28">
        <f>VLOOKUP(Table3[[#This Row],[Date]],'PCE Core'!$A:$E,2,)</f>
        <v>17.399000000000001</v>
      </c>
      <c r="C36" s="26">
        <f>VLOOKUP(Table3[[#This Row],[Date]],Database!$A:$E,5)</f>
        <v>31.1</v>
      </c>
      <c r="D36" s="26">
        <f>(((Table3[[#This Row],[Core PCE]]-$B$496)/$B$496)*100)+100</f>
        <v>21.804351095293001</v>
      </c>
      <c r="E36" s="26">
        <f>(((Table3[[#This Row],[Core CPI]]-$C$496)/$C$496)*100)+100</f>
        <v>17.403469501958597</v>
      </c>
      <c r="F36" s="38"/>
      <c r="G36" s="27">
        <f>VLOOKUP(Table3[[#This Row],[Date]],'PCE Core'!A:D,4,)</f>
        <v>1.2099354313303588E-2</v>
      </c>
    </row>
    <row r="37" spans="1:7" x14ac:dyDescent="0.2">
      <c r="A37" s="41">
        <v>22525</v>
      </c>
      <c r="B37" s="28">
        <f>VLOOKUP(Table3[[#This Row],[Date]],'PCE Core'!$A:$E,2,)</f>
        <v>17.434000000000001</v>
      </c>
      <c r="C37" s="28">
        <f>VLOOKUP(Table3[[#This Row],[Date]],Database!$A:$E,5)</f>
        <v>31.1</v>
      </c>
      <c r="D37" s="26">
        <f>(((Table3[[#This Row],[Core PCE]]-$B$496)/$B$496)*100)+100</f>
        <v>21.848212943004654</v>
      </c>
      <c r="E37" s="26">
        <f>(((Table3[[#This Row],[Core CPI]]-$C$496)/$C$496)*100)+100</f>
        <v>17.403469501958597</v>
      </c>
      <c r="F37" s="38"/>
      <c r="G37" s="27">
        <f>VLOOKUP(Table3[[#This Row],[Date]],'PCE Core'!A:D,4,)</f>
        <v>1.3368983957219275E-2</v>
      </c>
    </row>
    <row r="38" spans="1:7" x14ac:dyDescent="0.2">
      <c r="A38" s="38">
        <v>22555</v>
      </c>
      <c r="B38" s="28">
        <f>VLOOKUP(Table3[[#This Row],[Date]],'PCE Core'!$A:$E,2,)</f>
        <v>17.440000000000001</v>
      </c>
      <c r="C38" s="28">
        <f>VLOOKUP(Table3[[#This Row],[Date]],Database!$A:$E,5)</f>
        <v>31.1</v>
      </c>
      <c r="D38" s="26">
        <f>(((Table3[[#This Row],[Core PCE]]-$B$496)/$B$496)*100)+100</f>
        <v>21.855732116898082</v>
      </c>
      <c r="E38" s="26">
        <f>(((Table3[[#This Row],[Core CPI]]-$C$496)/$C$496)*100)+100</f>
        <v>17.403469501958597</v>
      </c>
      <c r="F38" s="38"/>
      <c r="G38" s="27">
        <f>VLOOKUP(Table3[[#This Row],[Date]],'PCE Core'!A:D,4,)</f>
        <v>1.3128848611595368E-2</v>
      </c>
    </row>
    <row r="39" spans="1:7" x14ac:dyDescent="0.2">
      <c r="A39" s="41">
        <v>22586</v>
      </c>
      <c r="B39" s="28">
        <f>VLOOKUP(Table3[[#This Row],[Date]],'PCE Core'!$A:$E,2,)</f>
        <v>17.443000000000001</v>
      </c>
      <c r="C39" s="26">
        <f>VLOOKUP(Table3[[#This Row],[Date]],Database!$A:$E,5)</f>
        <v>31.2</v>
      </c>
      <c r="D39" s="26">
        <f>(((Table3[[#This Row],[Core PCE]]-$B$496)/$B$496)*100)+100</f>
        <v>21.859491703844796</v>
      </c>
      <c r="E39" s="26">
        <f>(((Table3[[#This Row],[Core CPI]]-$C$496)/$C$496)*100)+100</f>
        <v>17.459429210968096</v>
      </c>
      <c r="F39" s="38"/>
      <c r="G39" s="27">
        <f>VLOOKUP(Table3[[#This Row],[Date]],'PCE Core'!A:D,4,)</f>
        <v>1.060254924681343E-2</v>
      </c>
    </row>
    <row r="40" spans="1:7" x14ac:dyDescent="0.2">
      <c r="A40" s="38">
        <v>22616</v>
      </c>
      <c r="B40" s="28">
        <f>VLOOKUP(Table3[[#This Row],[Date]],'PCE Core'!$A:$E,2,)</f>
        <v>17.457999999999998</v>
      </c>
      <c r="C40" s="28">
        <f>VLOOKUP(Table3[[#This Row],[Date]],Database!$A:$E,5)</f>
        <v>31.2</v>
      </c>
      <c r="D40" s="26">
        <f>(((Table3[[#This Row],[Core PCE]]-$B$496)/$B$496)*100)+100</f>
        <v>21.87828963857838</v>
      </c>
      <c r="E40" s="26">
        <f>(((Table3[[#This Row],[Core CPI]]-$C$496)/$C$496)*100)+100</f>
        <v>17.459429210968096</v>
      </c>
      <c r="F40" s="38"/>
      <c r="G40" s="27">
        <f>VLOOKUP(Table3[[#This Row],[Date]],'PCE Core'!A:D,4,)</f>
        <v>1.1764705882352908E-2</v>
      </c>
    </row>
    <row r="41" spans="1:7" x14ac:dyDescent="0.2">
      <c r="A41" s="41">
        <v>22647</v>
      </c>
      <c r="B41" s="28">
        <f>VLOOKUP(Table3[[#This Row],[Date]],'PCE Core'!$A:$E,2,)</f>
        <v>17.478000000000002</v>
      </c>
      <c r="C41" s="28">
        <f>VLOOKUP(Table3[[#This Row],[Date]],Database!$A:$E,5)</f>
        <v>31.2</v>
      </c>
      <c r="D41" s="26">
        <f>(((Table3[[#This Row],[Core PCE]]-$B$496)/$B$496)*100)+100</f>
        <v>21.903353551556464</v>
      </c>
      <c r="E41" s="26">
        <f>(((Table3[[#This Row],[Core CPI]]-$C$496)/$C$496)*100)+100</f>
        <v>17.459429210968096</v>
      </c>
      <c r="F41" s="38"/>
      <c r="G41" s="27">
        <f>VLOOKUP(Table3[[#This Row],[Date]],'PCE Core'!A:D,4,)</f>
        <v>1.2689031809490769E-2</v>
      </c>
    </row>
    <row r="42" spans="1:7" x14ac:dyDescent="0.2">
      <c r="A42" s="38">
        <v>22678</v>
      </c>
      <c r="B42" s="28">
        <f>VLOOKUP(Table3[[#This Row],[Date]],'PCE Core'!$A:$E,2,)</f>
        <v>17.507000000000001</v>
      </c>
      <c r="C42" s="26">
        <f>VLOOKUP(Table3[[#This Row],[Date]],Database!$A:$E,5)</f>
        <v>31.2</v>
      </c>
      <c r="D42" s="26">
        <f>(((Table3[[#This Row],[Core PCE]]-$B$496)/$B$496)*100)+100</f>
        <v>21.939696225374703</v>
      </c>
      <c r="E42" s="26">
        <f>(((Table3[[#This Row],[Core CPI]]-$C$496)/$C$496)*100)+100</f>
        <v>17.459429210968096</v>
      </c>
      <c r="F42" s="38"/>
      <c r="G42" s="27">
        <f>VLOOKUP(Table3[[#This Row],[Date]],'PCE Core'!A:D,4,)</f>
        <v>1.337115072933559E-2</v>
      </c>
    </row>
    <row r="43" spans="1:7" x14ac:dyDescent="0.2">
      <c r="A43" s="41">
        <v>22706</v>
      </c>
      <c r="B43" s="28">
        <f>VLOOKUP(Table3[[#This Row],[Date]],'PCE Core'!$A:$E,2,)</f>
        <v>17.547999999999998</v>
      </c>
      <c r="C43" s="28">
        <f>VLOOKUP(Table3[[#This Row],[Date]],Database!$A:$E,5)</f>
        <v>31.3</v>
      </c>
      <c r="D43" s="26">
        <f>(((Table3[[#This Row],[Core PCE]]-$B$496)/$B$496)*100)+100</f>
        <v>21.991077246979799</v>
      </c>
      <c r="E43" s="26">
        <f>(((Table3[[#This Row],[Core CPI]]-$C$496)/$C$496)*100)+100</f>
        <v>17.515388919977624</v>
      </c>
      <c r="F43" s="38"/>
      <c r="G43" s="27">
        <f>VLOOKUP(Table3[[#This Row],[Date]],'PCE Core'!A:D,4,)</f>
        <v>1.5391737067468941E-2</v>
      </c>
    </row>
    <row r="44" spans="1:7" x14ac:dyDescent="0.2">
      <c r="A44" s="38">
        <v>22737</v>
      </c>
      <c r="B44" s="28">
        <f>VLOOKUP(Table3[[#This Row],[Date]],'PCE Core'!$A:$E,2,)</f>
        <v>17.550999999999998</v>
      </c>
      <c r="C44" s="28">
        <f>VLOOKUP(Table3[[#This Row],[Date]],Database!$A:$E,5)</f>
        <v>31.3</v>
      </c>
      <c r="D44" s="26">
        <f>(((Table3[[#This Row],[Core PCE]]-$B$496)/$B$496)*100)+100</f>
        <v>21.994836833926513</v>
      </c>
      <c r="E44" s="26">
        <f>(((Table3[[#This Row],[Core CPI]]-$C$496)/$C$496)*100)+100</f>
        <v>17.515388919977624</v>
      </c>
      <c r="F44" s="38"/>
      <c r="G44" s="27">
        <f>VLOOKUP(Table3[[#This Row],[Date]],'PCE Core'!A:D,4,)</f>
        <v>1.4156939789668175E-2</v>
      </c>
    </row>
    <row r="45" spans="1:7" x14ac:dyDescent="0.2">
      <c r="A45" s="41">
        <v>22767</v>
      </c>
      <c r="B45" s="28">
        <f>VLOOKUP(Table3[[#This Row],[Date]],'PCE Core'!$A:$E,2,)</f>
        <v>17.576000000000001</v>
      </c>
      <c r="C45" s="26">
        <f>VLOOKUP(Table3[[#This Row],[Date]],Database!$A:$E,5)</f>
        <v>31.4</v>
      </c>
      <c r="D45" s="26">
        <f>(((Table3[[#This Row],[Core PCE]]-$B$496)/$B$496)*100)+100</f>
        <v>22.026166725149139</v>
      </c>
      <c r="E45" s="26">
        <f>(((Table3[[#This Row],[Core CPI]]-$C$496)/$C$496)*100)+100</f>
        <v>17.571348628987138</v>
      </c>
      <c r="F45" s="38"/>
      <c r="G45" s="27">
        <f>VLOOKUP(Table3[[#This Row],[Date]],'PCE Core'!A:D,4,)</f>
        <v>1.4312096029547618E-2</v>
      </c>
    </row>
    <row r="46" spans="1:7" x14ac:dyDescent="0.2">
      <c r="A46" s="38">
        <v>22798</v>
      </c>
      <c r="B46" s="28">
        <f>VLOOKUP(Table3[[#This Row],[Date]],'PCE Core'!$A:$E,2,)</f>
        <v>17.608000000000001</v>
      </c>
      <c r="C46" s="28">
        <f>VLOOKUP(Table3[[#This Row],[Date]],Database!$A:$E,5)</f>
        <v>31.4</v>
      </c>
      <c r="D46" s="26">
        <f>(((Table3[[#This Row],[Core PCE]]-$B$496)/$B$496)*100)+100</f>
        <v>22.066268985914078</v>
      </c>
      <c r="E46" s="26">
        <f>(((Table3[[#This Row],[Core CPI]]-$C$496)/$C$496)*100)+100</f>
        <v>17.571348628987138</v>
      </c>
      <c r="F46" s="38"/>
      <c r="G46" s="27">
        <f>VLOOKUP(Table3[[#This Row],[Date]],'PCE Core'!A:D,4,)</f>
        <v>1.4636395067419693E-2</v>
      </c>
    </row>
    <row r="47" spans="1:7" x14ac:dyDescent="0.2">
      <c r="A47" s="41">
        <v>22828</v>
      </c>
      <c r="B47" s="28">
        <f>VLOOKUP(Table3[[#This Row],[Date]],'PCE Core'!$A:$E,2,)</f>
        <v>17.623000000000001</v>
      </c>
      <c r="C47" s="28">
        <f>VLOOKUP(Table3[[#This Row],[Date]],Database!$A:$E,5)</f>
        <v>31.4</v>
      </c>
      <c r="D47" s="26">
        <f>(((Table3[[#This Row],[Core PCE]]-$B$496)/$B$496)*100)+100</f>
        <v>22.085066920647662</v>
      </c>
      <c r="E47" s="26">
        <f>(((Table3[[#This Row],[Core CPI]]-$C$496)/$C$496)*100)+100</f>
        <v>17.571348628987138</v>
      </c>
      <c r="F47" s="38"/>
      <c r="G47" s="27">
        <f>VLOOKUP(Table3[[#This Row],[Date]],'PCE Core'!A:D,4,)</f>
        <v>1.3923249525343817E-2</v>
      </c>
    </row>
    <row r="48" spans="1:7" x14ac:dyDescent="0.2">
      <c r="A48" s="38">
        <v>22859</v>
      </c>
      <c r="B48" s="28">
        <f>VLOOKUP(Table3[[#This Row],[Date]],'PCE Core'!$A:$E,2,)</f>
        <v>17.626000000000001</v>
      </c>
      <c r="C48" s="26">
        <f>VLOOKUP(Table3[[#This Row],[Date]],Database!$A:$E,5)</f>
        <v>31.5</v>
      </c>
      <c r="D48" s="26">
        <f>(((Table3[[#This Row],[Core PCE]]-$B$496)/$B$496)*100)+100</f>
        <v>22.088826507594376</v>
      </c>
      <c r="E48" s="26">
        <f>(((Table3[[#This Row],[Core CPI]]-$C$496)/$C$496)*100)+100</f>
        <v>17.627308337996638</v>
      </c>
      <c r="F48" s="38"/>
      <c r="G48" s="27">
        <f>VLOOKUP(Table3[[#This Row],[Date]],'PCE Core'!A:D,4,)</f>
        <v>1.3046726823380671E-2</v>
      </c>
    </row>
    <row r="49" spans="1:7" x14ac:dyDescent="0.2">
      <c r="A49" s="41">
        <v>22890</v>
      </c>
      <c r="B49" s="28">
        <f>VLOOKUP(Table3[[#This Row],[Date]],'PCE Core'!$A:$E,2,)</f>
        <v>17.66</v>
      </c>
      <c r="C49" s="28">
        <f>VLOOKUP(Table3[[#This Row],[Date]],Database!$A:$E,5)</f>
        <v>31.5</v>
      </c>
      <c r="D49" s="26">
        <f>(((Table3[[#This Row],[Core PCE]]-$B$496)/$B$496)*100)+100</f>
        <v>22.131435159657116</v>
      </c>
      <c r="E49" s="26">
        <f>(((Table3[[#This Row],[Core CPI]]-$C$496)/$C$496)*100)+100</f>
        <v>17.627308337996638</v>
      </c>
      <c r="F49" s="38"/>
      <c r="G49" s="27">
        <f>VLOOKUP(Table3[[#This Row],[Date]],'PCE Core'!A:D,4,)</f>
        <v>1.2963175404382188E-2</v>
      </c>
    </row>
    <row r="50" spans="1:7" x14ac:dyDescent="0.2">
      <c r="A50" s="38">
        <v>22920</v>
      </c>
      <c r="B50" s="28">
        <f>VLOOKUP(Table3[[#This Row],[Date]],'PCE Core'!$A:$E,2,)</f>
        <v>17.658999999999999</v>
      </c>
      <c r="C50" s="28">
        <f>VLOOKUP(Table3[[#This Row],[Date]],Database!$A:$E,5)</f>
        <v>31.5</v>
      </c>
      <c r="D50" s="26">
        <f>(((Table3[[#This Row],[Core PCE]]-$B$496)/$B$496)*100)+100</f>
        <v>22.130181964008216</v>
      </c>
      <c r="E50" s="26">
        <f>(((Table3[[#This Row],[Core CPI]]-$C$496)/$C$496)*100)+100</f>
        <v>17.627308337996638</v>
      </c>
      <c r="F50" s="38"/>
      <c r="G50" s="27">
        <f>VLOOKUP(Table3[[#This Row],[Date]],'PCE Core'!A:D,4,)</f>
        <v>1.2557339449541148E-2</v>
      </c>
    </row>
    <row r="51" spans="1:7" x14ac:dyDescent="0.2">
      <c r="A51" s="41">
        <v>22951</v>
      </c>
      <c r="B51" s="28">
        <f>VLOOKUP(Table3[[#This Row],[Date]],'PCE Core'!$A:$E,2,)</f>
        <v>17.672000000000001</v>
      </c>
      <c r="C51" s="26">
        <f>VLOOKUP(Table3[[#This Row],[Date]],Database!$A:$E,5)</f>
        <v>31.5</v>
      </c>
      <c r="D51" s="26">
        <f>(((Table3[[#This Row],[Core PCE]]-$B$496)/$B$496)*100)+100</f>
        <v>22.146473507443972</v>
      </c>
      <c r="E51" s="26">
        <f>(((Table3[[#This Row],[Core CPI]]-$C$496)/$C$496)*100)+100</f>
        <v>17.627308337996638</v>
      </c>
      <c r="F51" s="38"/>
      <c r="G51" s="27">
        <f>VLOOKUP(Table3[[#This Row],[Date]],'PCE Core'!A:D,4,)</f>
        <v>1.3128475606260345E-2</v>
      </c>
    </row>
    <row r="52" spans="1:7" x14ac:dyDescent="0.2">
      <c r="A52" s="38">
        <v>22981</v>
      </c>
      <c r="B52" s="28">
        <f>VLOOKUP(Table3[[#This Row],[Date]],'PCE Core'!$A:$E,2,)</f>
        <v>17.677</v>
      </c>
      <c r="C52" s="28">
        <f>VLOOKUP(Table3[[#This Row],[Date]],Database!$A:$E,5)</f>
        <v>31.6</v>
      </c>
      <c r="D52" s="26">
        <f>(((Table3[[#This Row],[Core PCE]]-$B$496)/$B$496)*100)+100</f>
        <v>22.1527394856885</v>
      </c>
      <c r="E52" s="26">
        <f>(((Table3[[#This Row],[Core CPI]]-$C$496)/$C$496)*100)+100</f>
        <v>17.683268047006152</v>
      </c>
      <c r="F52" s="38"/>
      <c r="G52" s="27">
        <f>VLOOKUP(Table3[[#This Row],[Date]],'PCE Core'!A:D,4,)</f>
        <v>1.2544392255699463E-2</v>
      </c>
    </row>
    <row r="53" spans="1:7" x14ac:dyDescent="0.2">
      <c r="A53" s="41">
        <v>23012</v>
      </c>
      <c r="B53" s="28">
        <f>VLOOKUP(Table3[[#This Row],[Date]],'PCE Core'!$A:$E,2,)</f>
        <v>17.710999999999999</v>
      </c>
      <c r="C53" s="28">
        <f>VLOOKUP(Table3[[#This Row],[Date]],Database!$A:$E,5)</f>
        <v>31.5</v>
      </c>
      <c r="D53" s="26">
        <f>(((Table3[[#This Row],[Core PCE]]-$B$496)/$B$496)*100)+100</f>
        <v>22.195348137751253</v>
      </c>
      <c r="E53" s="26">
        <f>(((Table3[[#This Row],[Core CPI]]-$C$496)/$C$496)*100)+100</f>
        <v>17.627308337996638</v>
      </c>
      <c r="F53" s="38"/>
      <c r="G53" s="27">
        <f>VLOOKUP(Table3[[#This Row],[Date]],'PCE Core'!A:D,4,)</f>
        <v>1.3331044741961149E-2</v>
      </c>
    </row>
    <row r="54" spans="1:7" x14ac:dyDescent="0.2">
      <c r="A54" s="38">
        <v>23043</v>
      </c>
      <c r="B54" s="28">
        <f>VLOOKUP(Table3[[#This Row],[Date]],'PCE Core'!$A:$E,2,)</f>
        <v>17.731000000000002</v>
      </c>
      <c r="C54" s="26">
        <f>VLOOKUP(Table3[[#This Row],[Date]],Database!$A:$E,5)</f>
        <v>31.6</v>
      </c>
      <c r="D54" s="26">
        <f>(((Table3[[#This Row],[Core PCE]]-$B$496)/$B$496)*100)+100</f>
        <v>22.220412050729365</v>
      </c>
      <c r="E54" s="26">
        <f>(((Table3[[#This Row],[Core CPI]]-$C$496)/$C$496)*100)+100</f>
        <v>17.683268047006152</v>
      </c>
      <c r="F54" s="38"/>
      <c r="G54" s="27">
        <f>VLOOKUP(Table3[[#This Row],[Date]],'PCE Core'!A:D,4,)</f>
        <v>1.2794882047181138E-2</v>
      </c>
    </row>
    <row r="55" spans="1:7" x14ac:dyDescent="0.2">
      <c r="A55" s="41">
        <v>23071</v>
      </c>
      <c r="B55" s="28">
        <f>VLOOKUP(Table3[[#This Row],[Date]],'PCE Core'!$A:$E,2,)</f>
        <v>17.742000000000001</v>
      </c>
      <c r="C55" s="28">
        <f>VLOOKUP(Table3[[#This Row],[Date]],Database!$A:$E,5)</f>
        <v>31.7</v>
      </c>
      <c r="D55" s="26">
        <f>(((Table3[[#This Row],[Core PCE]]-$B$496)/$B$496)*100)+100</f>
        <v>22.234197202867307</v>
      </c>
      <c r="E55" s="26">
        <f>(((Table3[[#This Row],[Core CPI]]-$C$496)/$C$496)*100)+100</f>
        <v>17.739227756015666</v>
      </c>
      <c r="F55" s="38"/>
      <c r="G55" s="27">
        <f>VLOOKUP(Table3[[#This Row],[Date]],'PCE Core'!A:D,4,)</f>
        <v>1.1055390927741203E-2</v>
      </c>
    </row>
    <row r="56" spans="1:7" x14ac:dyDescent="0.2">
      <c r="A56" s="38">
        <v>23102</v>
      </c>
      <c r="B56" s="28">
        <f>VLOOKUP(Table3[[#This Row],[Date]],'PCE Core'!$A:$E,2,)</f>
        <v>17.763000000000002</v>
      </c>
      <c r="C56" s="28">
        <f>VLOOKUP(Table3[[#This Row],[Date]],Database!$A:$E,5)</f>
        <v>31.7</v>
      </c>
      <c r="D56" s="26">
        <f>(((Table3[[#This Row],[Core PCE]]-$B$496)/$B$496)*100)+100</f>
        <v>22.260514311494319</v>
      </c>
      <c r="E56" s="26">
        <f>(((Table3[[#This Row],[Core CPI]]-$C$496)/$C$496)*100)+100</f>
        <v>17.739227756015666</v>
      </c>
      <c r="F56" s="38"/>
      <c r="G56" s="27">
        <f>VLOOKUP(Table3[[#This Row],[Date]],'PCE Core'!A:D,4,)</f>
        <v>1.2079083812888344E-2</v>
      </c>
    </row>
    <row r="57" spans="1:7" x14ac:dyDescent="0.2">
      <c r="A57" s="41">
        <v>23132</v>
      </c>
      <c r="B57" s="28">
        <f>VLOOKUP(Table3[[#This Row],[Date]],'PCE Core'!$A:$E,2,)</f>
        <v>17.795000000000002</v>
      </c>
      <c r="C57" s="26">
        <f>VLOOKUP(Table3[[#This Row],[Date]],Database!$A:$E,5)</f>
        <v>31.7</v>
      </c>
      <c r="D57" s="26">
        <f>(((Table3[[#This Row],[Core PCE]]-$B$496)/$B$496)*100)+100</f>
        <v>22.300616572259258</v>
      </c>
      <c r="E57" s="26">
        <f>(((Table3[[#This Row],[Core CPI]]-$C$496)/$C$496)*100)+100</f>
        <v>17.739227756015666</v>
      </c>
      <c r="F57" s="38"/>
      <c r="G57" s="27">
        <f>VLOOKUP(Table3[[#This Row],[Date]],'PCE Core'!A:D,4,)</f>
        <v>1.2460172963131611E-2</v>
      </c>
    </row>
    <row r="58" spans="1:7" x14ac:dyDescent="0.2">
      <c r="A58" s="38">
        <v>23163</v>
      </c>
      <c r="B58" s="28">
        <f>VLOOKUP(Table3[[#This Row],[Date]],'PCE Core'!$A:$E,2,)</f>
        <v>17.826000000000001</v>
      </c>
      <c r="C58" s="28">
        <f>VLOOKUP(Table3[[#This Row],[Date]],Database!$A:$E,5)</f>
        <v>31.8</v>
      </c>
      <c r="D58" s="26">
        <f>(((Table3[[#This Row],[Core PCE]]-$B$496)/$B$496)*100)+100</f>
        <v>22.339465637375312</v>
      </c>
      <c r="E58" s="26">
        <f>(((Table3[[#This Row],[Core CPI]]-$C$496)/$C$496)*100)+100</f>
        <v>17.79518746502518</v>
      </c>
      <c r="F58" s="38"/>
      <c r="G58" s="27">
        <f>VLOOKUP(Table3[[#This Row],[Date]],'PCE Core'!A:D,4,)</f>
        <v>1.238073602907769E-2</v>
      </c>
    </row>
    <row r="59" spans="1:7" x14ac:dyDescent="0.2">
      <c r="A59" s="41">
        <v>23193</v>
      </c>
      <c r="B59" s="28">
        <f>VLOOKUP(Table3[[#This Row],[Date]],'PCE Core'!$A:$E,2,)</f>
        <v>17.841999999999999</v>
      </c>
      <c r="C59" s="28">
        <f>VLOOKUP(Table3[[#This Row],[Date]],Database!$A:$E,5)</f>
        <v>31.8</v>
      </c>
      <c r="D59" s="26">
        <f>(((Table3[[#This Row],[Core PCE]]-$B$496)/$B$496)*100)+100</f>
        <v>22.359516767757782</v>
      </c>
      <c r="E59" s="26">
        <f>(((Table3[[#This Row],[Core CPI]]-$C$496)/$C$496)*100)+100</f>
        <v>17.79518746502518</v>
      </c>
      <c r="F59" s="38"/>
      <c r="G59" s="27">
        <f>VLOOKUP(Table3[[#This Row],[Date]],'PCE Core'!A:D,4,)</f>
        <v>1.2426942064347593E-2</v>
      </c>
    </row>
    <row r="60" spans="1:7" x14ac:dyDescent="0.2">
      <c r="A60" s="38">
        <v>23224</v>
      </c>
      <c r="B60" s="28">
        <f>VLOOKUP(Table3[[#This Row],[Date]],'PCE Core'!$A:$E,2,)</f>
        <v>17.858000000000001</v>
      </c>
      <c r="C60" s="26">
        <f>VLOOKUP(Table3[[#This Row],[Date]],Database!$A:$E,5)</f>
        <v>31.9</v>
      </c>
      <c r="D60" s="26">
        <f>(((Table3[[#This Row],[Core PCE]]-$B$496)/$B$496)*100)+100</f>
        <v>22.379567898140266</v>
      </c>
      <c r="E60" s="26">
        <f>(((Table3[[#This Row],[Core CPI]]-$C$496)/$C$496)*100)+100</f>
        <v>17.851147174034693</v>
      </c>
      <c r="F60" s="38"/>
      <c r="G60" s="27">
        <f>VLOOKUP(Table3[[#This Row],[Date]],'PCE Core'!A:D,4,)</f>
        <v>1.316237376602742E-2</v>
      </c>
    </row>
    <row r="61" spans="1:7" x14ac:dyDescent="0.2">
      <c r="A61" s="41">
        <v>23255</v>
      </c>
      <c r="B61" s="28">
        <f>VLOOKUP(Table3[[#This Row],[Date]],'PCE Core'!$A:$E,2,)</f>
        <v>17.89</v>
      </c>
      <c r="C61" s="28">
        <f>VLOOKUP(Table3[[#This Row],[Date]],Database!$A:$E,5)</f>
        <v>31.9</v>
      </c>
      <c r="D61" s="26">
        <f>(((Table3[[#This Row],[Core PCE]]-$B$496)/$B$496)*100)+100</f>
        <v>22.419670158905205</v>
      </c>
      <c r="E61" s="26">
        <f>(((Table3[[#This Row],[Core CPI]]-$C$496)/$C$496)*100)+100</f>
        <v>17.851147174034693</v>
      </c>
      <c r="F61" s="38"/>
      <c r="G61" s="27">
        <f>VLOOKUP(Table3[[#This Row],[Date]],'PCE Core'!A:D,4,)</f>
        <v>1.3023782559456423E-2</v>
      </c>
    </row>
    <row r="62" spans="1:7" x14ac:dyDescent="0.2">
      <c r="A62" s="38">
        <v>23285</v>
      </c>
      <c r="B62" s="28">
        <f>VLOOKUP(Table3[[#This Row],[Date]],'PCE Core'!$A:$E,2,)</f>
        <v>17.93</v>
      </c>
      <c r="C62" s="28">
        <f>VLOOKUP(Table3[[#This Row],[Date]],Database!$A:$E,5)</f>
        <v>32</v>
      </c>
      <c r="D62" s="26">
        <f>(((Table3[[#This Row],[Core PCE]]-$B$496)/$B$496)*100)+100</f>
        <v>22.469797984861401</v>
      </c>
      <c r="E62" s="26">
        <f>(((Table3[[#This Row],[Core CPI]]-$C$496)/$C$496)*100)+100</f>
        <v>17.907106883044207</v>
      </c>
      <c r="F62" s="38"/>
      <c r="G62" s="27">
        <f>VLOOKUP(Table3[[#This Row],[Date]],'PCE Core'!A:D,4,)</f>
        <v>1.5346282348943927E-2</v>
      </c>
    </row>
    <row r="63" spans="1:7" x14ac:dyDescent="0.2">
      <c r="A63" s="41">
        <v>23316</v>
      </c>
      <c r="B63" s="28">
        <f>VLOOKUP(Table3[[#This Row],[Date]],'PCE Core'!$A:$E,2,)</f>
        <v>17.946999999999999</v>
      </c>
      <c r="C63" s="26">
        <f>VLOOKUP(Table3[[#This Row],[Date]],Database!$A:$E,5)</f>
        <v>32</v>
      </c>
      <c r="D63" s="26">
        <f>(((Table3[[#This Row],[Core PCE]]-$B$496)/$B$496)*100)+100</f>
        <v>22.491102310892771</v>
      </c>
      <c r="E63" s="26">
        <f>(((Table3[[#This Row],[Core CPI]]-$C$496)/$C$496)*100)+100</f>
        <v>17.907106883044207</v>
      </c>
      <c r="F63" s="38"/>
      <c r="G63" s="27">
        <f>VLOOKUP(Table3[[#This Row],[Date]],'PCE Core'!A:D,4,)</f>
        <v>1.5561339972838307E-2</v>
      </c>
    </row>
    <row r="64" spans="1:7" x14ac:dyDescent="0.2">
      <c r="A64" s="38">
        <v>23346</v>
      </c>
      <c r="B64" s="28">
        <f>VLOOKUP(Table3[[#This Row],[Date]],'PCE Core'!$A:$E,2,)</f>
        <v>17.972000000000001</v>
      </c>
      <c r="C64" s="28">
        <f>VLOOKUP(Table3[[#This Row],[Date]],Database!$A:$E,5)</f>
        <v>32.1</v>
      </c>
      <c r="D64" s="26">
        <f>(((Table3[[#This Row],[Core PCE]]-$B$496)/$B$496)*100)+100</f>
        <v>22.522432202115397</v>
      </c>
      <c r="E64" s="26">
        <f>(((Table3[[#This Row],[Core CPI]]-$C$496)/$C$496)*100)+100</f>
        <v>17.963066592053721</v>
      </c>
      <c r="F64" s="38"/>
      <c r="G64" s="27">
        <f>VLOOKUP(Table3[[#This Row],[Date]],'PCE Core'!A:D,4,)</f>
        <v>1.6688352095943979E-2</v>
      </c>
    </row>
    <row r="65" spans="1:7" x14ac:dyDescent="0.2">
      <c r="A65" s="41">
        <v>23377</v>
      </c>
      <c r="B65" s="28">
        <f>VLOOKUP(Table3[[#This Row],[Date]],'PCE Core'!$A:$E,2,)</f>
        <v>17.997</v>
      </c>
      <c r="C65" s="28">
        <f>VLOOKUP(Table3[[#This Row],[Date]],Database!$A:$E,5)</f>
        <v>32.200000000000003</v>
      </c>
      <c r="D65" s="26">
        <f>(((Table3[[#This Row],[Core PCE]]-$B$496)/$B$496)*100)+100</f>
        <v>22.553762093338008</v>
      </c>
      <c r="E65" s="26">
        <f>(((Table3[[#This Row],[Core CPI]]-$C$496)/$C$496)*100)+100</f>
        <v>18.019026301063235</v>
      </c>
      <c r="F65" s="38"/>
      <c r="G65" s="27">
        <f>VLOOKUP(Table3[[#This Row],[Date]],'PCE Core'!A:D,4,)</f>
        <v>1.6148156512901666E-2</v>
      </c>
    </row>
    <row r="66" spans="1:7" x14ac:dyDescent="0.2">
      <c r="A66" s="38">
        <v>23408</v>
      </c>
      <c r="B66" s="28">
        <f>VLOOKUP(Table3[[#This Row],[Date]],'PCE Core'!$A:$E,2,)</f>
        <v>18.030999999999999</v>
      </c>
      <c r="C66" s="26">
        <f>VLOOKUP(Table3[[#This Row],[Date]],Database!$A:$E,5)</f>
        <v>32.200000000000003</v>
      </c>
      <c r="D66" s="26">
        <f>(((Table3[[#This Row],[Core PCE]]-$B$496)/$B$496)*100)+100</f>
        <v>22.596370745400776</v>
      </c>
      <c r="E66" s="26">
        <f>(((Table3[[#This Row],[Core CPI]]-$C$496)/$C$496)*100)+100</f>
        <v>18.019026301063235</v>
      </c>
      <c r="F66" s="38"/>
      <c r="G66" s="27">
        <f>VLOOKUP(Table3[[#This Row],[Date]],'PCE Core'!A:D,4,)</f>
        <v>1.6919519485646444E-2</v>
      </c>
    </row>
    <row r="67" spans="1:7" x14ac:dyDescent="0.2">
      <c r="A67" s="41">
        <v>23437</v>
      </c>
      <c r="B67" s="28">
        <f>VLOOKUP(Table3[[#This Row],[Date]],'PCE Core'!$A:$E,2,)</f>
        <v>18.047999999999998</v>
      </c>
      <c r="C67" s="28">
        <f>VLOOKUP(Table3[[#This Row],[Date]],Database!$A:$E,5)</f>
        <v>32.200000000000003</v>
      </c>
      <c r="D67" s="26">
        <f>(((Table3[[#This Row],[Core PCE]]-$B$496)/$B$496)*100)+100</f>
        <v>22.61767507143216</v>
      </c>
      <c r="E67" s="26">
        <f>(((Table3[[#This Row],[Core CPI]]-$C$496)/$C$496)*100)+100</f>
        <v>18.019026301063235</v>
      </c>
      <c r="F67" s="38"/>
      <c r="G67" s="27">
        <f>VLOOKUP(Table3[[#This Row],[Date]],'PCE Core'!A:D,4,)</f>
        <v>1.7247210010145269E-2</v>
      </c>
    </row>
    <row r="68" spans="1:7" x14ac:dyDescent="0.2">
      <c r="A68" s="38">
        <v>23468</v>
      </c>
      <c r="B68" s="28">
        <f>VLOOKUP(Table3[[#This Row],[Date]],'PCE Core'!$A:$E,2,)</f>
        <v>18.065000000000001</v>
      </c>
      <c r="C68" s="28">
        <f>VLOOKUP(Table3[[#This Row],[Date]],Database!$A:$E,5)</f>
        <v>32.200000000000003</v>
      </c>
      <c r="D68" s="26">
        <f>(((Table3[[#This Row],[Core PCE]]-$B$496)/$B$496)*100)+100</f>
        <v>22.63897939746353</v>
      </c>
      <c r="E68" s="26">
        <f>(((Table3[[#This Row],[Core CPI]]-$C$496)/$C$496)*100)+100</f>
        <v>18.019026301063235</v>
      </c>
      <c r="F68" s="38"/>
      <c r="G68" s="27">
        <f>VLOOKUP(Table3[[#This Row],[Date]],'PCE Core'!A:D,4,)</f>
        <v>1.7001632607104633E-2</v>
      </c>
    </row>
    <row r="69" spans="1:7" x14ac:dyDescent="0.2">
      <c r="A69" s="41">
        <v>23498</v>
      </c>
      <c r="B69" s="28">
        <f>VLOOKUP(Table3[[#This Row],[Date]],'PCE Core'!$A:$E,2,)</f>
        <v>18.079999999999998</v>
      </c>
      <c r="C69" s="26">
        <f>VLOOKUP(Table3[[#This Row],[Date]],Database!$A:$E,5)</f>
        <v>32.200000000000003</v>
      </c>
      <c r="D69" s="26">
        <f>(((Table3[[#This Row],[Core PCE]]-$B$496)/$B$496)*100)+100</f>
        <v>22.657777332197099</v>
      </c>
      <c r="E69" s="26">
        <f>(((Table3[[#This Row],[Core CPI]]-$C$496)/$C$496)*100)+100</f>
        <v>18.019026301063235</v>
      </c>
      <c r="F69" s="38"/>
      <c r="G69" s="27">
        <f>VLOOKUP(Table3[[#This Row],[Date]],'PCE Core'!A:D,4,)</f>
        <v>1.6015734756954007E-2</v>
      </c>
    </row>
    <row r="70" spans="1:7" x14ac:dyDescent="0.2">
      <c r="A70" s="38">
        <v>23529</v>
      </c>
      <c r="B70" s="28">
        <f>VLOOKUP(Table3[[#This Row],[Date]],'PCE Core'!$A:$E,2,)</f>
        <v>18.093</v>
      </c>
      <c r="C70" s="28">
        <f>VLOOKUP(Table3[[#This Row],[Date]],Database!$A:$E,5)</f>
        <v>32.299999999999997</v>
      </c>
      <c r="D70" s="26">
        <f>(((Table3[[#This Row],[Core PCE]]-$B$496)/$B$496)*100)+100</f>
        <v>22.674068875632869</v>
      </c>
      <c r="E70" s="26">
        <f>(((Table3[[#This Row],[Core CPI]]-$C$496)/$C$496)*100)+100</f>
        <v>18.074986010072763</v>
      </c>
      <c r="F70" s="38"/>
      <c r="G70" s="27">
        <f>VLOOKUP(Table3[[#This Row],[Date]],'PCE Core'!A:D,4,)</f>
        <v>1.4978121844496772E-2</v>
      </c>
    </row>
    <row r="71" spans="1:7" x14ac:dyDescent="0.2">
      <c r="A71" s="41">
        <v>23559</v>
      </c>
      <c r="B71" s="28">
        <f>VLOOKUP(Table3[[#This Row],[Date]],'PCE Core'!$A:$E,2,)</f>
        <v>18.111000000000001</v>
      </c>
      <c r="C71" s="28">
        <f>VLOOKUP(Table3[[#This Row],[Date]],Database!$A:$E,5)</f>
        <v>32.299999999999997</v>
      </c>
      <c r="D71" s="26">
        <f>(((Table3[[#This Row],[Core PCE]]-$B$496)/$B$496)*100)+100</f>
        <v>22.696626397313153</v>
      </c>
      <c r="E71" s="26">
        <f>(((Table3[[#This Row],[Core CPI]]-$C$496)/$C$496)*100)+100</f>
        <v>18.074986010072763</v>
      </c>
      <c r="F71" s="38"/>
      <c r="G71" s="27">
        <f>VLOOKUP(Table3[[#This Row],[Date]],'PCE Core'!A:D,4,)</f>
        <v>1.5076785113776589E-2</v>
      </c>
    </row>
    <row r="72" spans="1:7" x14ac:dyDescent="0.2">
      <c r="A72" s="38">
        <v>23590</v>
      </c>
      <c r="B72" s="28">
        <f>VLOOKUP(Table3[[#This Row],[Date]],'PCE Core'!$A:$E,2,)</f>
        <v>18.135000000000002</v>
      </c>
      <c r="C72" s="26">
        <f>VLOOKUP(Table3[[#This Row],[Date]],Database!$A:$E,5)</f>
        <v>32.299999999999997</v>
      </c>
      <c r="D72" s="26">
        <f>(((Table3[[#This Row],[Core PCE]]-$B$496)/$B$496)*100)+100</f>
        <v>22.726703092886865</v>
      </c>
      <c r="E72" s="26">
        <f>(((Table3[[#This Row],[Core CPI]]-$C$496)/$C$496)*100)+100</f>
        <v>18.074986010072763</v>
      </c>
      <c r="F72" s="38"/>
      <c r="G72" s="27">
        <f>VLOOKUP(Table3[[#This Row],[Date]],'PCE Core'!A:D,4,)</f>
        <v>1.5511255459737989E-2</v>
      </c>
    </row>
    <row r="73" spans="1:7" x14ac:dyDescent="0.2">
      <c r="A73" s="41">
        <v>23621</v>
      </c>
      <c r="B73" s="28">
        <f>VLOOKUP(Table3[[#This Row],[Date]],'PCE Core'!$A:$E,2,)</f>
        <v>18.143000000000001</v>
      </c>
      <c r="C73" s="28">
        <f>VLOOKUP(Table3[[#This Row],[Date]],Database!$A:$E,5)</f>
        <v>32.299999999999997</v>
      </c>
      <c r="D73" s="26">
        <f>(((Table3[[#This Row],[Core PCE]]-$B$496)/$B$496)*100)+100</f>
        <v>22.736728658078093</v>
      </c>
      <c r="E73" s="26">
        <f>(((Table3[[#This Row],[Core CPI]]-$C$496)/$C$496)*100)+100</f>
        <v>18.074986010072763</v>
      </c>
      <c r="F73" s="38"/>
      <c r="G73" s="27">
        <f>VLOOKUP(Table3[[#This Row],[Date]],'PCE Core'!A:D,4,)</f>
        <v>1.4141978759083292E-2</v>
      </c>
    </row>
    <row r="74" spans="1:7" x14ac:dyDescent="0.2">
      <c r="A74" s="38">
        <v>23651</v>
      </c>
      <c r="B74" s="28">
        <f>VLOOKUP(Table3[[#This Row],[Date]],'PCE Core'!$A:$E,2,)</f>
        <v>18.149000000000001</v>
      </c>
      <c r="C74" s="28">
        <f>VLOOKUP(Table3[[#This Row],[Date]],Database!$A:$E,5)</f>
        <v>32.4</v>
      </c>
      <c r="D74" s="26">
        <f>(((Table3[[#This Row],[Core PCE]]-$B$496)/$B$496)*100)+100</f>
        <v>22.744247831971535</v>
      </c>
      <c r="E74" s="26">
        <f>(((Table3[[#This Row],[Core CPI]]-$C$496)/$C$496)*100)+100</f>
        <v>18.130945719082263</v>
      </c>
      <c r="F74" s="38"/>
      <c r="G74" s="27">
        <f>VLOOKUP(Table3[[#This Row],[Date]],'PCE Core'!A:D,4,)</f>
        <v>1.221416620189633E-2</v>
      </c>
    </row>
    <row r="75" spans="1:7" x14ac:dyDescent="0.2">
      <c r="A75" s="41">
        <v>23682</v>
      </c>
      <c r="B75" s="28">
        <f>VLOOKUP(Table3[[#This Row],[Date]],'PCE Core'!$A:$E,2,)</f>
        <v>18.175999999999998</v>
      </c>
      <c r="C75" s="26">
        <f>VLOOKUP(Table3[[#This Row],[Date]],Database!$A:$E,5)</f>
        <v>32.5</v>
      </c>
      <c r="D75" s="26">
        <f>(((Table3[[#This Row],[Core PCE]]-$B$496)/$B$496)*100)+100</f>
        <v>22.778084114491961</v>
      </c>
      <c r="E75" s="26">
        <f>(((Table3[[#This Row],[Core CPI]]-$C$496)/$C$496)*100)+100</f>
        <v>18.186905428091777</v>
      </c>
      <c r="F75" s="38"/>
      <c r="G75" s="27">
        <f>VLOOKUP(Table3[[#This Row],[Date]],'PCE Core'!A:D,4,)</f>
        <v>1.2759792723017731E-2</v>
      </c>
    </row>
    <row r="76" spans="1:7" x14ac:dyDescent="0.2">
      <c r="A76" s="38">
        <v>23712</v>
      </c>
      <c r="B76" s="28">
        <f>VLOOKUP(Table3[[#This Row],[Date]],'PCE Core'!$A:$E,2,)</f>
        <v>18.201000000000001</v>
      </c>
      <c r="C76" s="28">
        <f>VLOOKUP(Table3[[#This Row],[Date]],Database!$A:$E,5)</f>
        <v>32.5</v>
      </c>
      <c r="D76" s="26">
        <f>(((Table3[[#This Row],[Core PCE]]-$B$496)/$B$496)*100)+100</f>
        <v>22.809414005714572</v>
      </c>
      <c r="E76" s="26">
        <f>(((Table3[[#This Row],[Core CPI]]-$C$496)/$C$496)*100)+100</f>
        <v>18.186905428091777</v>
      </c>
      <c r="F76" s="38"/>
      <c r="G76" s="27">
        <f>VLOOKUP(Table3[[#This Row],[Date]],'PCE Core'!A:D,4,)</f>
        <v>1.2742043178277275E-2</v>
      </c>
    </row>
    <row r="77" spans="1:7" x14ac:dyDescent="0.2">
      <c r="A77" s="41">
        <v>23743</v>
      </c>
      <c r="B77" s="28">
        <f>VLOOKUP(Table3[[#This Row],[Date]],'PCE Core'!$A:$E,2,)</f>
        <v>18.225999999999999</v>
      </c>
      <c r="C77" s="28">
        <f>VLOOKUP(Table3[[#This Row],[Date]],Database!$A:$E,5)</f>
        <v>32.6</v>
      </c>
      <c r="D77" s="26">
        <f>(((Table3[[#This Row],[Core PCE]]-$B$496)/$B$496)*100)+100</f>
        <v>22.840743896937184</v>
      </c>
      <c r="E77" s="26">
        <f>(((Table3[[#This Row],[Core CPI]]-$C$496)/$C$496)*100)+100</f>
        <v>18.242865137101276</v>
      </c>
      <c r="F77" s="38"/>
      <c r="G77" s="27">
        <f>VLOOKUP(Table3[[#This Row],[Date]],'PCE Core'!A:D,4,)</f>
        <v>1.2724342946046518E-2</v>
      </c>
    </row>
    <row r="78" spans="1:7" x14ac:dyDescent="0.2">
      <c r="A78" s="38">
        <v>23774</v>
      </c>
      <c r="B78" s="28">
        <f>VLOOKUP(Table3[[#This Row],[Date]],'PCE Core'!$A:$E,2,)</f>
        <v>18.248000000000001</v>
      </c>
      <c r="C78" s="26">
        <f>VLOOKUP(Table3[[#This Row],[Date]],Database!$A:$E,5)</f>
        <v>32.6</v>
      </c>
      <c r="D78" s="26">
        <f>(((Table3[[#This Row],[Core PCE]]-$B$496)/$B$496)*100)+100</f>
        <v>22.868314201213096</v>
      </c>
      <c r="E78" s="26">
        <f>(((Table3[[#This Row],[Core CPI]]-$C$496)/$C$496)*100)+100</f>
        <v>18.242865137101276</v>
      </c>
      <c r="F78" s="38"/>
      <c r="G78" s="27">
        <f>VLOOKUP(Table3[[#This Row],[Date]],'PCE Core'!A:D,4,)</f>
        <v>1.203482890577352E-2</v>
      </c>
    </row>
    <row r="79" spans="1:7" x14ac:dyDescent="0.2">
      <c r="A79" s="41">
        <v>23802</v>
      </c>
      <c r="B79" s="28">
        <f>VLOOKUP(Table3[[#This Row],[Date]],'PCE Core'!$A:$E,2,)</f>
        <v>18.257999999999999</v>
      </c>
      <c r="C79" s="28">
        <f>VLOOKUP(Table3[[#This Row],[Date]],Database!$A:$E,5)</f>
        <v>32.6</v>
      </c>
      <c r="D79" s="26">
        <f>(((Table3[[#This Row],[Core PCE]]-$B$496)/$B$496)*100)+100</f>
        <v>22.880846157702123</v>
      </c>
      <c r="E79" s="26">
        <f>(((Table3[[#This Row],[Core CPI]]-$C$496)/$C$496)*100)+100</f>
        <v>18.242865137101276</v>
      </c>
      <c r="F79" s="38"/>
      <c r="G79" s="27">
        <f>VLOOKUP(Table3[[#This Row],[Date]],'PCE Core'!A:D,4,)</f>
        <v>1.1635638297872388E-2</v>
      </c>
    </row>
    <row r="80" spans="1:7" x14ac:dyDescent="0.2">
      <c r="A80" s="38">
        <v>23833</v>
      </c>
      <c r="B80" s="28">
        <f>VLOOKUP(Table3[[#This Row],[Date]],'PCE Core'!$A:$E,2,)</f>
        <v>18.28</v>
      </c>
      <c r="C80" s="28">
        <f>VLOOKUP(Table3[[#This Row],[Date]],Database!$A:$E,5)</f>
        <v>32.700000000000003</v>
      </c>
      <c r="D80" s="26">
        <f>(((Table3[[#This Row],[Core PCE]]-$B$496)/$B$496)*100)+100</f>
        <v>22.908416461978049</v>
      </c>
      <c r="E80" s="26">
        <f>(((Table3[[#This Row],[Core CPI]]-$C$496)/$C$496)*100)+100</f>
        <v>18.29882484611079</v>
      </c>
      <c r="F80" s="38"/>
      <c r="G80" s="27">
        <f>VLOOKUP(Table3[[#This Row],[Date]],'PCE Core'!A:D,4,)</f>
        <v>1.1901466924993071E-2</v>
      </c>
    </row>
    <row r="81" spans="1:7" x14ac:dyDescent="0.2">
      <c r="A81" s="41">
        <v>23863</v>
      </c>
      <c r="B81" s="28">
        <f>VLOOKUP(Table3[[#This Row],[Date]],'PCE Core'!$A:$E,2,)</f>
        <v>18.314</v>
      </c>
      <c r="C81" s="26">
        <f>VLOOKUP(Table3[[#This Row],[Date]],Database!$A:$E,5)</f>
        <v>32.700000000000003</v>
      </c>
      <c r="D81" s="26">
        <f>(((Table3[[#This Row],[Core PCE]]-$B$496)/$B$496)*100)+100</f>
        <v>22.951025114040803</v>
      </c>
      <c r="E81" s="26">
        <f>(((Table3[[#This Row],[Core CPI]]-$C$496)/$C$496)*100)+100</f>
        <v>18.29882484611079</v>
      </c>
      <c r="F81" s="38"/>
      <c r="G81" s="27">
        <f>VLOOKUP(Table3[[#This Row],[Date]],'PCE Core'!A:D,4,)</f>
        <v>1.2942477876106293E-2</v>
      </c>
    </row>
    <row r="82" spans="1:7" x14ac:dyDescent="0.2">
      <c r="A82" s="38">
        <v>23894</v>
      </c>
      <c r="B82" s="28">
        <f>VLOOKUP(Table3[[#This Row],[Date]],'PCE Core'!$A:$E,2,)</f>
        <v>18.309000000000001</v>
      </c>
      <c r="C82" s="28">
        <f>VLOOKUP(Table3[[#This Row],[Date]],Database!$A:$E,5)</f>
        <v>32.700000000000003</v>
      </c>
      <c r="D82" s="26">
        <f>(((Table3[[#This Row],[Core PCE]]-$B$496)/$B$496)*100)+100</f>
        <v>22.944759135796275</v>
      </c>
      <c r="E82" s="26">
        <f>(((Table3[[#This Row],[Core CPI]]-$C$496)/$C$496)*100)+100</f>
        <v>18.29882484611079</v>
      </c>
      <c r="F82" s="38"/>
      <c r="G82" s="27">
        <f>VLOOKUP(Table3[[#This Row],[Date]],'PCE Core'!A:D,4,)</f>
        <v>1.1938318686785004E-2</v>
      </c>
    </row>
    <row r="83" spans="1:7" x14ac:dyDescent="0.2">
      <c r="A83" s="41">
        <v>23924</v>
      </c>
      <c r="B83" s="28">
        <f>VLOOKUP(Table3[[#This Row],[Date]],'PCE Core'!$A:$E,2,)</f>
        <v>18.327000000000002</v>
      </c>
      <c r="C83" s="28">
        <f>VLOOKUP(Table3[[#This Row],[Date]],Database!$A:$E,5)</f>
        <v>32.700000000000003</v>
      </c>
      <c r="D83" s="26">
        <f>(((Table3[[#This Row],[Core PCE]]-$B$496)/$B$496)*100)+100</f>
        <v>22.967316657476573</v>
      </c>
      <c r="E83" s="26">
        <f>(((Table3[[#This Row],[Core CPI]]-$C$496)/$C$496)*100)+100</f>
        <v>18.29882484611079</v>
      </c>
      <c r="F83" s="38"/>
      <c r="G83" s="27">
        <f>VLOOKUP(Table3[[#This Row],[Date]],'PCE Core'!A:D,4,)</f>
        <v>1.1926453536524823E-2</v>
      </c>
    </row>
    <row r="84" spans="1:7" x14ac:dyDescent="0.2">
      <c r="A84" s="38">
        <v>23955</v>
      </c>
      <c r="B84" s="28">
        <f>VLOOKUP(Table3[[#This Row],[Date]],'PCE Core'!$A:$E,2,)</f>
        <v>18.361999999999998</v>
      </c>
      <c r="C84" s="26">
        <f>VLOOKUP(Table3[[#This Row],[Date]],Database!$A:$E,5)</f>
        <v>32.700000000000003</v>
      </c>
      <c r="D84" s="26">
        <f>(((Table3[[#This Row],[Core PCE]]-$B$496)/$B$496)*100)+100</f>
        <v>23.011178505188226</v>
      </c>
      <c r="E84" s="26">
        <f>(((Table3[[#This Row],[Core CPI]]-$C$496)/$C$496)*100)+100</f>
        <v>18.29882484611079</v>
      </c>
      <c r="F84" s="38"/>
      <c r="G84" s="27">
        <f>VLOOKUP(Table3[[#This Row],[Date]],'PCE Core'!A:D,4,)</f>
        <v>1.2517231872070402E-2</v>
      </c>
    </row>
    <row r="85" spans="1:7" x14ac:dyDescent="0.2">
      <c r="A85" s="41">
        <v>23986</v>
      </c>
      <c r="B85" s="28">
        <f>VLOOKUP(Table3[[#This Row],[Date]],'PCE Core'!$A:$E,2,)</f>
        <v>18.384</v>
      </c>
      <c r="C85" s="28">
        <f>VLOOKUP(Table3[[#This Row],[Date]],Database!$A:$E,5)</f>
        <v>32.799999999999997</v>
      </c>
      <c r="D85" s="26">
        <f>(((Table3[[#This Row],[Core PCE]]-$B$496)/$B$496)*100)+100</f>
        <v>23.038748809464124</v>
      </c>
      <c r="E85" s="26">
        <f>(((Table3[[#This Row],[Core CPI]]-$C$496)/$C$496)*100)+100</f>
        <v>18.354784555120318</v>
      </c>
      <c r="F85" s="38"/>
      <c r="G85" s="27">
        <f>VLOOKUP(Table3[[#This Row],[Date]],'PCE Core'!A:D,4,)</f>
        <v>1.3283359973543496E-2</v>
      </c>
    </row>
    <row r="86" spans="1:7" x14ac:dyDescent="0.2">
      <c r="A86" s="38">
        <v>24016</v>
      </c>
      <c r="B86" s="28">
        <f>VLOOKUP(Table3[[#This Row],[Date]],'PCE Core'!$A:$E,2,)</f>
        <v>18.376999999999999</v>
      </c>
      <c r="C86" s="28">
        <f>VLOOKUP(Table3[[#This Row],[Date]],Database!$A:$E,5)</f>
        <v>32.799999999999997</v>
      </c>
      <c r="D86" s="26">
        <f>(((Table3[[#This Row],[Core PCE]]-$B$496)/$B$496)*100)+100</f>
        <v>23.029976439921796</v>
      </c>
      <c r="E86" s="26">
        <f>(((Table3[[#This Row],[Core CPI]]-$C$496)/$C$496)*100)+100</f>
        <v>18.354784555120318</v>
      </c>
      <c r="F86" s="38"/>
      <c r="G86" s="27">
        <f>VLOOKUP(Table3[[#This Row],[Date]],'PCE Core'!A:D,4,)</f>
        <v>1.2562675629511156E-2</v>
      </c>
    </row>
    <row r="87" spans="1:7" x14ac:dyDescent="0.2">
      <c r="A87" s="41">
        <v>24047</v>
      </c>
      <c r="B87" s="28">
        <f>VLOOKUP(Table3[[#This Row],[Date]],'PCE Core'!$A:$E,2,)</f>
        <v>18.411000000000001</v>
      </c>
      <c r="C87" s="26">
        <f>VLOOKUP(Table3[[#This Row],[Date]],Database!$A:$E,5)</f>
        <v>32.9</v>
      </c>
      <c r="D87" s="26">
        <f>(((Table3[[#This Row],[Core PCE]]-$B$496)/$B$496)*100)+100</f>
        <v>23.072585091984564</v>
      </c>
      <c r="E87" s="26">
        <f>(((Table3[[#This Row],[Core CPI]]-$C$496)/$C$496)*100)+100</f>
        <v>18.410744264129832</v>
      </c>
      <c r="F87" s="38"/>
      <c r="G87" s="27">
        <f>VLOOKUP(Table3[[#This Row],[Date]],'PCE Core'!A:D,4,)</f>
        <v>1.2929137323943827E-2</v>
      </c>
    </row>
    <row r="88" spans="1:7" x14ac:dyDescent="0.2">
      <c r="A88" s="38">
        <v>24077</v>
      </c>
      <c r="B88" s="28">
        <f>VLOOKUP(Table3[[#This Row],[Date]],'PCE Core'!$A:$E,2,)</f>
        <v>18.466999999999999</v>
      </c>
      <c r="C88" s="28">
        <f>VLOOKUP(Table3[[#This Row],[Date]],Database!$A:$E,5)</f>
        <v>33</v>
      </c>
      <c r="D88" s="26">
        <f>(((Table3[[#This Row],[Core PCE]]-$B$496)/$B$496)*100)+100</f>
        <v>23.142764048323215</v>
      </c>
      <c r="E88" s="26">
        <f>(((Table3[[#This Row],[Core CPI]]-$C$496)/$C$496)*100)+100</f>
        <v>18.466703973139346</v>
      </c>
      <c r="F88" s="38"/>
      <c r="G88" s="27">
        <f>VLOOKUP(Table3[[#This Row],[Date]],'PCE Core'!A:D,4,)</f>
        <v>1.4614581616394607E-2</v>
      </c>
    </row>
    <row r="89" spans="1:7" x14ac:dyDescent="0.2">
      <c r="A89" s="41">
        <v>24108</v>
      </c>
      <c r="B89" s="28">
        <f>VLOOKUP(Table3[[#This Row],[Date]],'PCE Core'!$A:$E,2,)</f>
        <v>18.472999999999999</v>
      </c>
      <c r="C89" s="28">
        <f>VLOOKUP(Table3[[#This Row],[Date]],Database!$A:$E,5)</f>
        <v>33</v>
      </c>
      <c r="D89" s="26">
        <f>(((Table3[[#This Row],[Core PCE]]-$B$496)/$B$496)*100)+100</f>
        <v>23.150283222216643</v>
      </c>
      <c r="E89" s="26">
        <f>(((Table3[[#This Row],[Core CPI]]-$C$496)/$C$496)*100)+100</f>
        <v>18.466703973139346</v>
      </c>
      <c r="F89" s="38"/>
      <c r="G89" s="27">
        <f>VLOOKUP(Table3[[#This Row],[Date]],'PCE Core'!A:D,4,)</f>
        <v>1.3552068473609125E-2</v>
      </c>
    </row>
    <row r="90" spans="1:7" x14ac:dyDescent="0.2">
      <c r="A90" s="38">
        <v>24139</v>
      </c>
      <c r="B90" s="28">
        <f>VLOOKUP(Table3[[#This Row],[Date]],'PCE Core'!$A:$E,2,)</f>
        <v>18.518000000000001</v>
      </c>
      <c r="C90" s="26">
        <f>VLOOKUP(Table3[[#This Row],[Date]],Database!$A:$E,5)</f>
        <v>33.1</v>
      </c>
      <c r="D90" s="26">
        <f>(((Table3[[#This Row],[Core PCE]]-$B$496)/$B$496)*100)+100</f>
        <v>23.206677026417367</v>
      </c>
      <c r="E90" s="26">
        <f>(((Table3[[#This Row],[Core CPI]]-$C$496)/$C$496)*100)+100</f>
        <v>18.52266368214886</v>
      </c>
      <c r="F90" s="38"/>
      <c r="G90" s="27">
        <f>VLOOKUP(Table3[[#This Row],[Date]],'PCE Core'!A:D,4,)</f>
        <v>1.4796142042963588E-2</v>
      </c>
    </row>
    <row r="91" spans="1:7" x14ac:dyDescent="0.2">
      <c r="A91" s="41">
        <v>24167</v>
      </c>
      <c r="B91" s="28">
        <f>VLOOKUP(Table3[[#This Row],[Date]],'PCE Core'!$A:$E,2,)</f>
        <v>18.542000000000002</v>
      </c>
      <c r="C91" s="28">
        <f>VLOOKUP(Table3[[#This Row],[Date]],Database!$A:$E,5)</f>
        <v>33.1</v>
      </c>
      <c r="D91" s="26">
        <f>(((Table3[[#This Row],[Core PCE]]-$B$496)/$B$496)*100)+100</f>
        <v>23.236753721991079</v>
      </c>
      <c r="E91" s="26">
        <f>(((Table3[[#This Row],[Core CPI]]-$C$496)/$C$496)*100)+100</f>
        <v>18.52266368214886</v>
      </c>
      <c r="F91" s="38"/>
      <c r="G91" s="27">
        <f>VLOOKUP(Table3[[#This Row],[Date]],'PCE Core'!A:D,4,)</f>
        <v>1.5554825282068271E-2</v>
      </c>
    </row>
    <row r="92" spans="1:7" x14ac:dyDescent="0.2">
      <c r="A92" s="38">
        <v>24198</v>
      </c>
      <c r="B92" s="28">
        <f>VLOOKUP(Table3[[#This Row],[Date]],'PCE Core'!$A:$E,2,)</f>
        <v>18.608000000000001</v>
      </c>
      <c r="C92" s="28">
        <f>VLOOKUP(Table3[[#This Row],[Date]],Database!$A:$E,5)</f>
        <v>33.299999999999997</v>
      </c>
      <c r="D92" s="26">
        <f>(((Table3[[#This Row],[Core PCE]]-$B$496)/$B$496)*100)+100</f>
        <v>23.319464634818786</v>
      </c>
      <c r="E92" s="26">
        <f>(((Table3[[#This Row],[Core CPI]]-$C$496)/$C$496)*100)+100</f>
        <v>18.634583100167887</v>
      </c>
      <c r="F92" s="38"/>
      <c r="G92" s="27">
        <f>VLOOKUP(Table3[[#This Row],[Date]],'PCE Core'!A:D,4,)</f>
        <v>1.7943107221006532E-2</v>
      </c>
    </row>
    <row r="93" spans="1:7" x14ac:dyDescent="0.2">
      <c r="A93" s="41">
        <v>24228</v>
      </c>
      <c r="B93" s="28">
        <f>VLOOKUP(Table3[[#This Row],[Date]],'PCE Core'!$A:$E,2,)</f>
        <v>18.657</v>
      </c>
      <c r="C93" s="26">
        <f>VLOOKUP(Table3[[#This Row],[Date]],Database!$A:$E,5)</f>
        <v>33.4</v>
      </c>
      <c r="D93" s="26">
        <f>(((Table3[[#This Row],[Core PCE]]-$B$496)/$B$496)*100)+100</f>
        <v>23.380871221615109</v>
      </c>
      <c r="E93" s="26">
        <f>(((Table3[[#This Row],[Core CPI]]-$C$496)/$C$496)*100)+100</f>
        <v>18.690542809177401</v>
      </c>
      <c r="F93" s="38"/>
      <c r="G93" s="27">
        <f>VLOOKUP(Table3[[#This Row],[Date]],'PCE Core'!A:D,4,)</f>
        <v>1.8728841323577588E-2</v>
      </c>
    </row>
    <row r="94" spans="1:7" x14ac:dyDescent="0.2">
      <c r="A94" s="38">
        <v>24259</v>
      </c>
      <c r="B94" s="28">
        <f>VLOOKUP(Table3[[#This Row],[Date]],'PCE Core'!$A:$E,2,)</f>
        <v>18.718</v>
      </c>
      <c r="C94" s="28">
        <f>VLOOKUP(Table3[[#This Row],[Date]],Database!$A:$E,5)</f>
        <v>33.5</v>
      </c>
      <c r="D94" s="26">
        <f>(((Table3[[#This Row],[Core PCE]]-$B$496)/$B$496)*100)+100</f>
        <v>23.457316156198303</v>
      </c>
      <c r="E94" s="26">
        <f>(((Table3[[#This Row],[Core CPI]]-$C$496)/$C$496)*100)+100</f>
        <v>18.746502518186901</v>
      </c>
      <c r="F94" s="38"/>
      <c r="G94" s="27">
        <f>VLOOKUP(Table3[[#This Row],[Date]],'PCE Core'!A:D,4,)</f>
        <v>2.2338740510131568E-2</v>
      </c>
    </row>
    <row r="95" spans="1:7" x14ac:dyDescent="0.2">
      <c r="A95" s="41">
        <v>24289</v>
      </c>
      <c r="B95" s="28">
        <f>VLOOKUP(Table3[[#This Row],[Date]],'PCE Core'!$A:$E,2,)</f>
        <v>18.773</v>
      </c>
      <c r="C95" s="28">
        <f>VLOOKUP(Table3[[#This Row],[Date]],Database!$A:$E,5)</f>
        <v>33.6</v>
      </c>
      <c r="D95" s="26">
        <f>(((Table3[[#This Row],[Core PCE]]-$B$496)/$B$496)*100)+100</f>
        <v>23.526241916888054</v>
      </c>
      <c r="E95" s="26">
        <f>(((Table3[[#This Row],[Core CPI]]-$C$496)/$C$496)*100)+100</f>
        <v>18.802462227196415</v>
      </c>
      <c r="F95" s="38"/>
      <c r="G95" s="27">
        <f>VLOOKUP(Table3[[#This Row],[Date]],'PCE Core'!A:D,4,)</f>
        <v>2.4335679598406608E-2</v>
      </c>
    </row>
    <row r="96" spans="1:7" x14ac:dyDescent="0.2">
      <c r="A96" s="38">
        <v>24320</v>
      </c>
      <c r="B96" s="28">
        <f>VLOOKUP(Table3[[#This Row],[Date]],'PCE Core'!$A:$E,2,)</f>
        <v>18.806999999999999</v>
      </c>
      <c r="C96" s="26">
        <f>VLOOKUP(Table3[[#This Row],[Date]],Database!$A:$E,5)</f>
        <v>33.700000000000003</v>
      </c>
      <c r="D96" s="26">
        <f>(((Table3[[#This Row],[Core PCE]]-$B$496)/$B$496)*100)+100</f>
        <v>23.568850568950822</v>
      </c>
      <c r="E96" s="26">
        <f>(((Table3[[#This Row],[Core CPI]]-$C$496)/$C$496)*100)+100</f>
        <v>18.858421936205929</v>
      </c>
      <c r="F96" s="38"/>
      <c r="G96" s="27">
        <f>VLOOKUP(Table3[[#This Row],[Date]],'PCE Core'!A:D,4,)</f>
        <v>2.4234832806883801E-2</v>
      </c>
    </row>
    <row r="97" spans="1:7" x14ac:dyDescent="0.2">
      <c r="A97" s="41">
        <v>24351</v>
      </c>
      <c r="B97" s="28">
        <f>VLOOKUP(Table3[[#This Row],[Date]],'PCE Core'!$A:$E,2,)</f>
        <v>18.864999999999998</v>
      </c>
      <c r="C97" s="28">
        <f>VLOOKUP(Table3[[#This Row],[Date]],Database!$A:$E,5)</f>
        <v>33.799999999999997</v>
      </c>
      <c r="D97" s="26">
        <f>(((Table3[[#This Row],[Core PCE]]-$B$496)/$B$496)*100)+100</f>
        <v>23.641535916587287</v>
      </c>
      <c r="E97" s="26">
        <f>(((Table3[[#This Row],[Core CPI]]-$C$496)/$C$496)*100)+100</f>
        <v>18.914381645215457</v>
      </c>
      <c r="F97" s="38"/>
      <c r="G97" s="27">
        <f>VLOOKUP(Table3[[#This Row],[Date]],'PCE Core'!A:D,4,)</f>
        <v>2.6164055700609121E-2</v>
      </c>
    </row>
    <row r="98" spans="1:7" x14ac:dyDescent="0.2">
      <c r="A98" s="38">
        <v>24381</v>
      </c>
      <c r="B98" s="28">
        <f>VLOOKUP(Table3[[#This Row],[Date]],'PCE Core'!$A:$E,2,)</f>
        <v>18.927</v>
      </c>
      <c r="C98" s="28">
        <f>VLOOKUP(Table3[[#This Row],[Date]],Database!$A:$E,5)</f>
        <v>34</v>
      </c>
      <c r="D98" s="26">
        <f>(((Table3[[#This Row],[Core PCE]]-$B$496)/$B$496)*100)+100</f>
        <v>23.719234046819381</v>
      </c>
      <c r="E98" s="26">
        <f>(((Table3[[#This Row],[Core CPI]]-$C$496)/$C$496)*100)+100</f>
        <v>19.02630106323447</v>
      </c>
      <c r="F98" s="38"/>
      <c r="G98" s="27">
        <f>VLOOKUP(Table3[[#This Row],[Date]],'PCE Core'!A:D,4,)</f>
        <v>2.9928715241878477E-2</v>
      </c>
    </row>
    <row r="99" spans="1:7" x14ac:dyDescent="0.2">
      <c r="A99" s="41">
        <v>24412</v>
      </c>
      <c r="B99" s="28">
        <f>VLOOKUP(Table3[[#This Row],[Date]],'PCE Core'!$A:$E,2,)</f>
        <v>18.975000000000001</v>
      </c>
      <c r="C99" s="26">
        <f>VLOOKUP(Table3[[#This Row],[Date]],Database!$A:$E,5)</f>
        <v>34</v>
      </c>
      <c r="D99" s="26">
        <f>(((Table3[[#This Row],[Core PCE]]-$B$496)/$B$496)*100)+100</f>
        <v>23.779387437966818</v>
      </c>
      <c r="E99" s="26">
        <f>(((Table3[[#This Row],[Core CPI]]-$C$496)/$C$496)*100)+100</f>
        <v>19.02630106323447</v>
      </c>
      <c r="F99" s="38"/>
      <c r="G99" s="27">
        <f>VLOOKUP(Table3[[#This Row],[Date]],'PCE Core'!A:D,4,)</f>
        <v>3.0633860192276357E-2</v>
      </c>
    </row>
    <row r="100" spans="1:7" x14ac:dyDescent="0.2">
      <c r="A100" s="38">
        <v>24442</v>
      </c>
      <c r="B100" s="28">
        <f>VLOOKUP(Table3[[#This Row],[Date]],'PCE Core'!$A:$E,2,)</f>
        <v>19.032</v>
      </c>
      <c r="C100" s="28">
        <f>VLOOKUP(Table3[[#This Row],[Date]],Database!$A:$E,5)</f>
        <v>34.1</v>
      </c>
      <c r="D100" s="26">
        <f>(((Table3[[#This Row],[Core PCE]]-$B$496)/$B$496)*100)+100</f>
        <v>23.850819589954369</v>
      </c>
      <c r="E100" s="26">
        <f>(((Table3[[#This Row],[Core CPI]]-$C$496)/$C$496)*100)+100</f>
        <v>19.082260772243984</v>
      </c>
      <c r="F100" s="38"/>
      <c r="G100" s="27">
        <f>VLOOKUP(Table3[[#This Row],[Date]],'PCE Core'!A:D,4,)</f>
        <v>3.059511561163163E-2</v>
      </c>
    </row>
    <row r="101" spans="1:7" x14ac:dyDescent="0.2">
      <c r="A101" s="41">
        <v>24473</v>
      </c>
      <c r="B101" s="28">
        <f>VLOOKUP(Table3[[#This Row],[Date]],'PCE Core'!$A:$E,2,)</f>
        <v>19.05</v>
      </c>
      <c r="C101" s="28">
        <f>VLOOKUP(Table3[[#This Row],[Date]],Database!$A:$E,5)</f>
        <v>34.200000000000003</v>
      </c>
      <c r="D101" s="26">
        <f>(((Table3[[#This Row],[Core PCE]]-$B$496)/$B$496)*100)+100</f>
        <v>23.873377111634667</v>
      </c>
      <c r="E101" s="26">
        <f>(((Table3[[#This Row],[Core CPI]]-$C$496)/$C$496)*100)+100</f>
        <v>19.138220481253484</v>
      </c>
      <c r="F101" s="27"/>
      <c r="G101" s="27">
        <f>VLOOKUP(Table3[[#This Row],[Date]],'PCE Core'!A:D,4,)</f>
        <v>3.1234775077139704E-2</v>
      </c>
    </row>
    <row r="102" spans="1:7" x14ac:dyDescent="0.2">
      <c r="A102" s="38">
        <v>24504</v>
      </c>
      <c r="B102" s="28">
        <f>VLOOKUP(Table3[[#This Row],[Date]],'PCE Core'!$A:$E,2,)</f>
        <v>19.084</v>
      </c>
      <c r="C102" s="26">
        <f>VLOOKUP(Table3[[#This Row],[Date]],Database!$A:$E,5)</f>
        <v>34.200000000000003</v>
      </c>
      <c r="D102" s="26">
        <f>(((Table3[[#This Row],[Core PCE]]-$B$496)/$B$496)*100)+100</f>
        <v>23.915985763697435</v>
      </c>
      <c r="E102" s="26">
        <f>(((Table3[[#This Row],[Core CPI]]-$C$496)/$C$496)*100)+100</f>
        <v>19.138220481253484</v>
      </c>
      <c r="F102" s="27"/>
      <c r="G102" s="27">
        <f>VLOOKUP(Table3[[#This Row],[Date]],'PCE Core'!A:D,4,)</f>
        <v>3.0564855815962789E-2</v>
      </c>
    </row>
    <row r="103" spans="1:7" x14ac:dyDescent="0.2">
      <c r="A103" s="41">
        <v>24532</v>
      </c>
      <c r="B103" s="28">
        <f>VLOOKUP(Table3[[#This Row],[Date]],'PCE Core'!$A:$E,2,)</f>
        <v>19.113</v>
      </c>
      <c r="C103" s="28">
        <f>VLOOKUP(Table3[[#This Row],[Date]],Database!$A:$E,5)</f>
        <v>34.299999999999997</v>
      </c>
      <c r="D103" s="26">
        <f>(((Table3[[#This Row],[Core PCE]]-$B$496)/$B$496)*100)+100</f>
        <v>23.952328437515661</v>
      </c>
      <c r="E103" s="26">
        <f>(((Table3[[#This Row],[Core CPI]]-$C$496)/$C$496)*100)+100</f>
        <v>19.194180190263026</v>
      </c>
      <c r="F103" s="27"/>
      <c r="G103" s="27">
        <f>VLOOKUP(Table3[[#This Row],[Date]],'PCE Core'!A:D,4,)</f>
        <v>3.0794952000862793E-2</v>
      </c>
    </row>
    <row r="104" spans="1:7" x14ac:dyDescent="0.2">
      <c r="A104" s="38">
        <v>24563</v>
      </c>
      <c r="B104" s="28">
        <f>VLOOKUP(Table3[[#This Row],[Date]],'PCE Core'!$A:$E,2,)</f>
        <v>19.164999999999999</v>
      </c>
      <c r="C104" s="28">
        <f>VLOOKUP(Table3[[#This Row],[Date]],Database!$A:$E,5)</f>
        <v>34.4</v>
      </c>
      <c r="D104" s="26">
        <f>(((Table3[[#This Row],[Core PCE]]-$B$496)/$B$496)*100)+100</f>
        <v>24.017494611258712</v>
      </c>
      <c r="E104" s="26">
        <f>(((Table3[[#This Row],[Core CPI]]-$C$496)/$C$496)*100)+100</f>
        <v>19.25013989927254</v>
      </c>
      <c r="F104" s="27"/>
      <c r="G104" s="27">
        <f>VLOOKUP(Table3[[#This Row],[Date]],'PCE Core'!A:D,4,)</f>
        <v>2.9933361994840854E-2</v>
      </c>
    </row>
    <row r="105" spans="1:7" x14ac:dyDescent="0.2">
      <c r="A105" s="41">
        <v>24593</v>
      </c>
      <c r="B105" s="28">
        <f>VLOOKUP(Table3[[#This Row],[Date]],'PCE Core'!$A:$E,2,)</f>
        <v>19.207999999999998</v>
      </c>
      <c r="C105" s="26">
        <f>VLOOKUP(Table3[[#This Row],[Date]],Database!$A:$E,5)</f>
        <v>34.5</v>
      </c>
      <c r="D105" s="26">
        <f>(((Table3[[#This Row],[Core PCE]]-$B$496)/$B$496)*100)+100</f>
        <v>24.071382024161608</v>
      </c>
      <c r="E105" s="26">
        <f>(((Table3[[#This Row],[Core CPI]]-$C$496)/$C$496)*100)+100</f>
        <v>19.30609960828204</v>
      </c>
      <c r="F105" s="27"/>
      <c r="G105" s="27">
        <f>VLOOKUP(Table3[[#This Row],[Date]],'PCE Core'!A:D,4,)</f>
        <v>2.9533151096103251E-2</v>
      </c>
    </row>
    <row r="106" spans="1:7" x14ac:dyDescent="0.2">
      <c r="A106" s="38">
        <v>24624</v>
      </c>
      <c r="B106" s="28">
        <f>VLOOKUP(Table3[[#This Row],[Date]],'PCE Core'!$A:$E,2,)</f>
        <v>19.257000000000001</v>
      </c>
      <c r="C106" s="28">
        <f>VLOOKUP(Table3[[#This Row],[Date]],Database!$A:$E,5)</f>
        <v>34.6</v>
      </c>
      <c r="D106" s="26">
        <f>(((Table3[[#This Row],[Core PCE]]-$B$496)/$B$496)*100)+100</f>
        <v>24.132788610957945</v>
      </c>
      <c r="E106" s="26">
        <f>(((Table3[[#This Row],[Core CPI]]-$C$496)/$C$496)*100)+100</f>
        <v>19.362059317291553</v>
      </c>
      <c r="F106" s="27"/>
      <c r="G106" s="27">
        <f>VLOOKUP(Table3[[#This Row],[Date]],'PCE Core'!A:D,4,)</f>
        <v>2.8795811518324686E-2</v>
      </c>
    </row>
    <row r="107" spans="1:7" x14ac:dyDescent="0.2">
      <c r="A107" s="41">
        <v>24654</v>
      </c>
      <c r="B107" s="28">
        <f>VLOOKUP(Table3[[#This Row],[Date]],'PCE Core'!$A:$E,2,)</f>
        <v>19.321999999999999</v>
      </c>
      <c r="C107" s="28">
        <f>VLOOKUP(Table3[[#This Row],[Date]],Database!$A:$E,5)</f>
        <v>34.700000000000003</v>
      </c>
      <c r="D107" s="26">
        <f>(((Table3[[#This Row],[Core PCE]]-$B$496)/$B$496)*100)+100</f>
        <v>24.214246328136753</v>
      </c>
      <c r="E107" s="26">
        <f>(((Table3[[#This Row],[Core CPI]]-$C$496)/$C$496)*100)+100</f>
        <v>19.418019026301053</v>
      </c>
      <c r="F107" s="27"/>
      <c r="G107" s="27">
        <f>VLOOKUP(Table3[[#This Row],[Date]],'PCE Core'!A:D,4,)</f>
        <v>2.9244127203963112E-2</v>
      </c>
    </row>
    <row r="108" spans="1:7" x14ac:dyDescent="0.2">
      <c r="A108" s="38">
        <v>24685</v>
      </c>
      <c r="B108" s="28">
        <f>VLOOKUP(Table3[[#This Row],[Date]],'PCE Core'!$A:$E,2,)</f>
        <v>19.382000000000001</v>
      </c>
      <c r="C108" s="26">
        <f>VLOOKUP(Table3[[#This Row],[Date]],Database!$A:$E,5)</f>
        <v>34.9</v>
      </c>
      <c r="D108" s="26">
        <f>(((Table3[[#This Row],[Core PCE]]-$B$496)/$B$496)*100)+100</f>
        <v>24.289438067071032</v>
      </c>
      <c r="E108" s="26">
        <f>(((Table3[[#This Row],[Core CPI]]-$C$496)/$C$496)*100)+100</f>
        <v>19.529938444320095</v>
      </c>
      <c r="F108" s="27"/>
      <c r="G108" s="27">
        <f>VLOOKUP(Table3[[#This Row],[Date]],'PCE Core'!A:D,4,)</f>
        <v>3.0573722550114472E-2</v>
      </c>
    </row>
    <row r="109" spans="1:7" x14ac:dyDescent="0.2">
      <c r="A109" s="41">
        <v>24716</v>
      </c>
      <c r="B109" s="28">
        <f>VLOOKUP(Table3[[#This Row],[Date]],'PCE Core'!$A:$E,2,)</f>
        <v>19.45</v>
      </c>
      <c r="C109" s="28">
        <f>VLOOKUP(Table3[[#This Row],[Date]],Database!$A:$E,5)</f>
        <v>35</v>
      </c>
      <c r="D109" s="26">
        <f>(((Table3[[#This Row],[Core PCE]]-$B$496)/$B$496)*100)+100</f>
        <v>24.374655371196553</v>
      </c>
      <c r="E109" s="26">
        <f>(((Table3[[#This Row],[Core CPI]]-$C$496)/$C$496)*100)+100</f>
        <v>19.585898153329609</v>
      </c>
      <c r="F109" s="27"/>
      <c r="G109" s="27">
        <f>VLOOKUP(Table3[[#This Row],[Date]],'PCE Core'!A:D,4,)</f>
        <v>3.100980652001065E-2</v>
      </c>
    </row>
    <row r="110" spans="1:7" x14ac:dyDescent="0.2">
      <c r="A110" s="38">
        <v>24746</v>
      </c>
      <c r="B110" s="28">
        <f>VLOOKUP(Table3[[#This Row],[Date]],'PCE Core'!$A:$E,2,)</f>
        <v>19.523</v>
      </c>
      <c r="C110" s="28">
        <f>VLOOKUP(Table3[[#This Row],[Date]],Database!$A:$E,5)</f>
        <v>35.1</v>
      </c>
      <c r="D110" s="26">
        <f>(((Table3[[#This Row],[Core PCE]]-$B$496)/$B$496)*100)+100</f>
        <v>24.466138653566588</v>
      </c>
      <c r="E110" s="26">
        <f>(((Table3[[#This Row],[Core CPI]]-$C$496)/$C$496)*100)+100</f>
        <v>19.641857862339123</v>
      </c>
      <c r="F110" s="27"/>
      <c r="G110" s="27">
        <f>VLOOKUP(Table3[[#This Row],[Date]],'PCE Core'!A:D,4,)</f>
        <v>3.148940666772336E-2</v>
      </c>
    </row>
    <row r="111" spans="1:7" x14ac:dyDescent="0.2">
      <c r="A111" s="41">
        <v>24777</v>
      </c>
      <c r="B111" s="28">
        <f>VLOOKUP(Table3[[#This Row],[Date]],'PCE Core'!$A:$E,2,)</f>
        <v>19.585000000000001</v>
      </c>
      <c r="C111" s="26">
        <f>VLOOKUP(Table3[[#This Row],[Date]],Database!$A:$E,5)</f>
        <v>35.200000000000003</v>
      </c>
      <c r="D111" s="26">
        <f>(((Table3[[#This Row],[Core PCE]]-$B$496)/$B$496)*100)+100</f>
        <v>24.543836783798696</v>
      </c>
      <c r="E111" s="26">
        <f>(((Table3[[#This Row],[Core CPI]]-$C$496)/$C$496)*100)+100</f>
        <v>19.697817571348622</v>
      </c>
      <c r="F111" s="27"/>
      <c r="G111" s="27">
        <f>VLOOKUP(Table3[[#This Row],[Date]],'PCE Core'!A:D,4,)</f>
        <v>3.2147562582345156E-2</v>
      </c>
    </row>
    <row r="112" spans="1:7" x14ac:dyDescent="0.2">
      <c r="A112" s="38">
        <v>24807</v>
      </c>
      <c r="B112" s="28">
        <f>VLOOKUP(Table3[[#This Row],[Date]],'PCE Core'!$A:$E,2,)</f>
        <v>19.632999999999999</v>
      </c>
      <c r="C112" s="28">
        <f>VLOOKUP(Table3[[#This Row],[Date]],Database!$A:$E,5)</f>
        <v>35.4</v>
      </c>
      <c r="D112" s="26">
        <f>(((Table3[[#This Row],[Core PCE]]-$B$496)/$B$496)*100)+100</f>
        <v>24.603990174946105</v>
      </c>
      <c r="E112" s="26">
        <f>(((Table3[[#This Row],[Core CPI]]-$C$496)/$C$496)*100)+100</f>
        <v>19.80973698936765</v>
      </c>
      <c r="F112" s="27"/>
      <c r="G112" s="27">
        <f>VLOOKUP(Table3[[#This Row],[Date]],'PCE Core'!A:D,4,)</f>
        <v>3.1578394283312265E-2</v>
      </c>
    </row>
    <row r="113" spans="1:7" x14ac:dyDescent="0.2">
      <c r="A113" s="41">
        <v>24838</v>
      </c>
      <c r="B113" s="28">
        <f>VLOOKUP(Table3[[#This Row],[Date]],'PCE Core'!$A:$E,2,)</f>
        <v>19.72</v>
      </c>
      <c r="C113" s="28">
        <f>VLOOKUP(Table3[[#This Row],[Date]],Database!$A:$E,5)</f>
        <v>35.5</v>
      </c>
      <c r="D113" s="26">
        <f>(((Table3[[#This Row],[Core PCE]]-$B$496)/$B$496)*100)+100</f>
        <v>24.71301819640081</v>
      </c>
      <c r="E113" s="26">
        <f>(((Table3[[#This Row],[Core CPI]]-$C$496)/$C$496)*100)+100</f>
        <v>19.865696698377164</v>
      </c>
      <c r="F113" s="27">
        <v>3.8011695906432663E-2</v>
      </c>
      <c r="G113" s="27">
        <f>VLOOKUP(Table3[[#This Row],[Date]],'PCE Core'!A:D,4,)</f>
        <v>3.5170603674540585E-2</v>
      </c>
    </row>
    <row r="114" spans="1:7" x14ac:dyDescent="0.2">
      <c r="A114" s="38">
        <v>24869</v>
      </c>
      <c r="B114" s="28">
        <f>VLOOKUP(Table3[[#This Row],[Date]],'PCE Core'!$A:$E,2,)</f>
        <v>19.805</v>
      </c>
      <c r="C114" s="26">
        <f>VLOOKUP(Table3[[#This Row],[Date]],Database!$A:$E,5)</f>
        <v>35.700000000000003</v>
      </c>
      <c r="D114" s="26">
        <f>(((Table3[[#This Row],[Core PCE]]-$B$496)/$B$496)*100)+100</f>
        <v>24.81953982655773</v>
      </c>
      <c r="E114" s="26">
        <f>(((Table3[[#This Row],[Core CPI]]-$C$496)/$C$496)*100)+100</f>
        <v>19.977616116396192</v>
      </c>
      <c r="F114" s="27">
        <v>4.3859649122807022E-2</v>
      </c>
      <c r="G114" s="27">
        <f>VLOOKUP(Table3[[#This Row],[Date]],'PCE Core'!A:D,4,)</f>
        <v>3.7780339551456724E-2</v>
      </c>
    </row>
    <row r="115" spans="1:7" x14ac:dyDescent="0.2">
      <c r="A115" s="41">
        <v>24898</v>
      </c>
      <c r="B115" s="28">
        <f>VLOOKUP(Table3[[#This Row],[Date]],'PCE Core'!$A:$E,2,)</f>
        <v>19.884</v>
      </c>
      <c r="C115" s="28">
        <f>VLOOKUP(Table3[[#This Row],[Date]],Database!$A:$E,5)</f>
        <v>35.799999999999997</v>
      </c>
      <c r="D115" s="26">
        <f>(((Table3[[#This Row],[Core PCE]]-$B$496)/$B$496)*100)+100</f>
        <v>24.918542282821193</v>
      </c>
      <c r="E115" s="26">
        <f>(((Table3[[#This Row],[Core CPI]]-$C$496)/$C$496)*100)+100</f>
        <v>20.03357582540572</v>
      </c>
      <c r="F115" s="27">
        <v>4.3731778425655982E-2</v>
      </c>
      <c r="G115" s="27">
        <f>VLOOKUP(Table3[[#This Row],[Date]],'PCE Core'!A:D,4,)</f>
        <v>4.0339036258044303E-2</v>
      </c>
    </row>
    <row r="116" spans="1:7" x14ac:dyDescent="0.2">
      <c r="A116" s="38">
        <v>24929</v>
      </c>
      <c r="B116" s="28">
        <f>VLOOKUP(Table3[[#This Row],[Date]],'PCE Core'!$A:$E,2,)</f>
        <v>19.957000000000001</v>
      </c>
      <c r="C116" s="28">
        <f>VLOOKUP(Table3[[#This Row],[Date]],Database!$A:$E,5)</f>
        <v>35.9</v>
      </c>
      <c r="D116" s="26">
        <f>(((Table3[[#This Row],[Core PCE]]-$B$496)/$B$496)*100)+100</f>
        <v>25.010025565191242</v>
      </c>
      <c r="E116" s="26">
        <f>(((Table3[[#This Row],[Core CPI]]-$C$496)/$C$496)*100)+100</f>
        <v>20.089535534415219</v>
      </c>
      <c r="F116" s="27">
        <v>4.3604651162790699E-2</v>
      </c>
      <c r="G116" s="27">
        <f>VLOOKUP(Table3[[#This Row],[Date]],'PCE Core'!A:D,4,)</f>
        <v>4.1325332637620747E-2</v>
      </c>
    </row>
    <row r="117" spans="1:7" x14ac:dyDescent="0.2">
      <c r="A117" s="41">
        <v>24959</v>
      </c>
      <c r="B117" s="28">
        <f>VLOOKUP(Table3[[#This Row],[Date]],'PCE Core'!$A:$E,2,)</f>
        <v>20.033000000000001</v>
      </c>
      <c r="C117" s="26">
        <f>VLOOKUP(Table3[[#This Row],[Date]],Database!$A:$E,5)</f>
        <v>36</v>
      </c>
      <c r="D117" s="26">
        <f>(((Table3[[#This Row],[Core PCE]]-$B$496)/$B$496)*100)+100</f>
        <v>25.105268434508005</v>
      </c>
      <c r="E117" s="26">
        <f>(((Table3[[#This Row],[Core CPI]]-$C$496)/$C$496)*100)+100</f>
        <v>20.145495243424733</v>
      </c>
      <c r="F117" s="27">
        <v>4.3478260869565223E-2</v>
      </c>
      <c r="G117" s="27">
        <f>VLOOKUP(Table3[[#This Row],[Date]],'PCE Core'!A:D,4,)</f>
        <v>4.2950853810912272E-2</v>
      </c>
    </row>
    <row r="118" spans="1:7" x14ac:dyDescent="0.2">
      <c r="A118" s="38">
        <v>24990</v>
      </c>
      <c r="B118" s="28">
        <f>VLOOKUP(Table3[[#This Row],[Date]],'PCE Core'!$A:$E,2,)</f>
        <v>20.111000000000001</v>
      </c>
      <c r="C118" s="28">
        <f>VLOOKUP(Table3[[#This Row],[Date]],Database!$A:$E,5)</f>
        <v>36.200000000000003</v>
      </c>
      <c r="D118" s="26">
        <f>(((Table3[[#This Row],[Core PCE]]-$B$496)/$B$496)*100)+100</f>
        <v>25.203017695122568</v>
      </c>
      <c r="E118" s="26">
        <f>(((Table3[[#This Row],[Core CPI]]-$C$496)/$C$496)*100)+100</f>
        <v>20.257414661443747</v>
      </c>
      <c r="F118" s="27">
        <v>4.6242774566474028E-2</v>
      </c>
      <c r="G118" s="27">
        <f>VLOOKUP(Table3[[#This Row],[Date]],'PCE Core'!A:D,4,)</f>
        <v>4.4347509996364914E-2</v>
      </c>
    </row>
    <row r="119" spans="1:7" x14ac:dyDescent="0.2">
      <c r="A119" s="41">
        <v>25020</v>
      </c>
      <c r="B119" s="28">
        <f>VLOOKUP(Table3[[#This Row],[Date]],'PCE Core'!$A:$E,2,)</f>
        <v>20.178000000000001</v>
      </c>
      <c r="C119" s="28">
        <f>VLOOKUP(Table3[[#This Row],[Date]],Database!$A:$E,5)</f>
        <v>36.4</v>
      </c>
      <c r="D119" s="26">
        <f>(((Table3[[#This Row],[Core PCE]]-$B$496)/$B$496)*100)+100</f>
        <v>25.286981803599176</v>
      </c>
      <c r="E119" s="26">
        <f>(((Table3[[#This Row],[Core CPI]]-$C$496)/$C$496)*100)+100</f>
        <v>20.369334079462789</v>
      </c>
      <c r="F119" s="27">
        <v>4.8991354466858657E-2</v>
      </c>
      <c r="G119" s="27">
        <f>VLOOKUP(Table3[[#This Row],[Date]],'PCE Core'!A:D,4,)</f>
        <v>4.4301832108477469E-2</v>
      </c>
    </row>
    <row r="120" spans="1:7" x14ac:dyDescent="0.2">
      <c r="A120" s="38">
        <v>25051</v>
      </c>
      <c r="B120" s="28">
        <f>VLOOKUP(Table3[[#This Row],[Date]],'PCE Core'!$A:$E,2,)</f>
        <v>20.257000000000001</v>
      </c>
      <c r="C120" s="26">
        <f>VLOOKUP(Table3[[#This Row],[Date]],Database!$A:$E,5)</f>
        <v>36.5</v>
      </c>
      <c r="D120" s="26">
        <f>(((Table3[[#This Row],[Core PCE]]-$B$496)/$B$496)*100)+100</f>
        <v>25.385984259862653</v>
      </c>
      <c r="E120" s="26">
        <f>(((Table3[[#This Row],[Core CPI]]-$C$496)/$C$496)*100)+100</f>
        <v>20.425293788472302</v>
      </c>
      <c r="F120" s="27">
        <v>4.5845272206303772E-2</v>
      </c>
      <c r="G120" s="27">
        <f>VLOOKUP(Table3[[#This Row],[Date]],'PCE Core'!A:D,4,)</f>
        <v>4.514497987823754E-2</v>
      </c>
    </row>
    <row r="121" spans="1:7" x14ac:dyDescent="0.2">
      <c r="A121" s="41">
        <v>25082</v>
      </c>
      <c r="B121" s="28">
        <f>VLOOKUP(Table3[[#This Row],[Date]],'PCE Core'!$A:$E,2,)</f>
        <v>20.338999999999999</v>
      </c>
      <c r="C121" s="28">
        <f>VLOOKUP(Table3[[#This Row],[Date]],Database!$A:$E,5)</f>
        <v>36.700000000000003</v>
      </c>
      <c r="D121" s="26">
        <f>(((Table3[[#This Row],[Core PCE]]-$B$496)/$B$496)*100)+100</f>
        <v>25.48874630307283</v>
      </c>
      <c r="E121" s="26">
        <f>(((Table3[[#This Row],[Core CPI]]-$C$496)/$C$496)*100)+100</f>
        <v>20.537213206491316</v>
      </c>
      <c r="F121" s="27">
        <v>4.8571428571428647E-2</v>
      </c>
      <c r="G121" s="27">
        <f>VLOOKUP(Table3[[#This Row],[Date]],'PCE Core'!A:D,4,)</f>
        <v>4.5706940874035956E-2</v>
      </c>
    </row>
    <row r="122" spans="1:7" x14ac:dyDescent="0.2">
      <c r="A122" s="38">
        <v>25112</v>
      </c>
      <c r="B122" s="28">
        <f>VLOOKUP(Table3[[#This Row],[Date]],'PCE Core'!$A:$E,2,)</f>
        <v>20.422000000000001</v>
      </c>
      <c r="C122" s="28">
        <f>VLOOKUP(Table3[[#This Row],[Date]],Database!$A:$E,5)</f>
        <v>36.9</v>
      </c>
      <c r="D122" s="26">
        <f>(((Table3[[#This Row],[Core PCE]]-$B$496)/$B$496)*100)+100</f>
        <v>25.592761541931921</v>
      </c>
      <c r="E122" s="26">
        <f>(((Table3[[#This Row],[Core CPI]]-$C$496)/$C$496)*100)+100</f>
        <v>20.649132624510358</v>
      </c>
      <c r="F122" s="27">
        <v>5.1282051282051197E-2</v>
      </c>
      <c r="G122" s="27">
        <f>VLOOKUP(Table3[[#This Row],[Date]],'PCE Core'!A:D,4,)</f>
        <v>4.604825078113E-2</v>
      </c>
    </row>
    <row r="123" spans="1:7" x14ac:dyDescent="0.2">
      <c r="A123" s="41">
        <v>25143</v>
      </c>
      <c r="B123" s="28">
        <f>VLOOKUP(Table3[[#This Row],[Date]],'PCE Core'!$A:$E,2,)</f>
        <v>20.498000000000001</v>
      </c>
      <c r="C123" s="26">
        <f>VLOOKUP(Table3[[#This Row],[Date]],Database!$A:$E,5)</f>
        <v>37.1</v>
      </c>
      <c r="D123" s="26">
        <f>(((Table3[[#This Row],[Core PCE]]-$B$496)/$B$496)*100)+100</f>
        <v>25.688004411248684</v>
      </c>
      <c r="E123" s="26">
        <f>(((Table3[[#This Row],[Core CPI]]-$C$496)/$C$496)*100)+100</f>
        <v>20.761052042529386</v>
      </c>
      <c r="F123" s="27">
        <v>5.3977272727272679E-2</v>
      </c>
      <c r="G123" s="27">
        <f>VLOOKUP(Table3[[#This Row],[Date]],'PCE Core'!A:D,4,)</f>
        <v>4.6617309165177444E-2</v>
      </c>
    </row>
    <row r="124" spans="1:7" x14ac:dyDescent="0.2">
      <c r="A124" s="38">
        <v>25173</v>
      </c>
      <c r="B124" s="28">
        <f>VLOOKUP(Table3[[#This Row],[Date]],'PCE Core'!$A:$E,2,)</f>
        <v>20.56</v>
      </c>
      <c r="C124" s="28">
        <f>VLOOKUP(Table3[[#This Row],[Date]],Database!$A:$E,5)</f>
        <v>37.200000000000003</v>
      </c>
      <c r="D124" s="26">
        <f>(((Table3[[#This Row],[Core PCE]]-$B$496)/$B$496)*100)+100</f>
        <v>25.765702541480778</v>
      </c>
      <c r="E124" s="26">
        <f>(((Table3[[#This Row],[Core CPI]]-$C$496)/$C$496)*100)+100</f>
        <v>20.817011751538885</v>
      </c>
      <c r="F124" s="27">
        <v>5.0847457627118772E-2</v>
      </c>
      <c r="G124" s="27">
        <f>VLOOKUP(Table3[[#This Row],[Date]],'PCE Core'!A:D,4,)</f>
        <v>4.7216421331431752E-2</v>
      </c>
    </row>
    <row r="125" spans="1:7" x14ac:dyDescent="0.2">
      <c r="A125" s="41">
        <v>25204</v>
      </c>
      <c r="B125" s="28">
        <f>VLOOKUP(Table3[[#This Row],[Date]],'PCE Core'!$A:$E,2,)</f>
        <v>20.638000000000002</v>
      </c>
      <c r="C125" s="28">
        <f>VLOOKUP(Table3[[#This Row],[Date]],Database!$A:$E,5)</f>
        <v>37.299999999999997</v>
      </c>
      <c r="D125" s="26">
        <f>(((Table3[[#This Row],[Core PCE]]-$B$496)/$B$496)*100)+100</f>
        <v>25.863451802095355</v>
      </c>
      <c r="E125" s="26">
        <f>(((Table3[[#This Row],[Core CPI]]-$C$496)/$C$496)*100)+100</f>
        <v>20.872971460548413</v>
      </c>
      <c r="F125" s="27">
        <v>5.0704225352112588E-2</v>
      </c>
      <c r="G125" s="27">
        <f>VLOOKUP(Table3[[#This Row],[Date]],'PCE Core'!A:D,4,)</f>
        <v>4.6551724137931183E-2</v>
      </c>
    </row>
    <row r="126" spans="1:7" x14ac:dyDescent="0.2">
      <c r="A126" s="38">
        <v>25235</v>
      </c>
      <c r="B126" s="28">
        <f>VLOOKUP(Table3[[#This Row],[Date]],'PCE Core'!$A:$E,2,)</f>
        <v>20.709</v>
      </c>
      <c r="C126" s="26">
        <f>VLOOKUP(Table3[[#This Row],[Date]],Database!$A:$E,5)</f>
        <v>37.6</v>
      </c>
      <c r="D126" s="26">
        <f>(((Table3[[#This Row],[Core PCE]]-$B$496)/$B$496)*100)+100</f>
        <v>25.95242869316759</v>
      </c>
      <c r="E126" s="26">
        <f>(((Table3[[#This Row],[Core CPI]]-$C$496)/$C$496)*100)+100</f>
        <v>21.040850587576941</v>
      </c>
      <c r="F126" s="27">
        <v>5.3221288515406119E-2</v>
      </c>
      <c r="G126" s="27">
        <f>VLOOKUP(Table3[[#This Row],[Date]],'PCE Core'!A:D,4,)</f>
        <v>4.5645039131532436E-2</v>
      </c>
    </row>
    <row r="127" spans="1:7" x14ac:dyDescent="0.2">
      <c r="A127" s="41">
        <v>25263</v>
      </c>
      <c r="B127" s="28">
        <f>VLOOKUP(Table3[[#This Row],[Date]],'PCE Core'!$A:$E,2,)</f>
        <v>20.805</v>
      </c>
      <c r="C127" s="28">
        <f>VLOOKUP(Table3[[#This Row],[Date]],Database!$A:$E,5)</f>
        <v>37.799999999999997</v>
      </c>
      <c r="D127" s="26">
        <f>(((Table3[[#This Row],[Core PCE]]-$B$496)/$B$496)*100)+100</f>
        <v>26.072735475462423</v>
      </c>
      <c r="E127" s="26">
        <f>(((Table3[[#This Row],[Core CPI]]-$C$496)/$C$496)*100)+100</f>
        <v>21.152770005595983</v>
      </c>
      <c r="F127" s="27">
        <v>5.5865921787709501E-2</v>
      </c>
      <c r="G127" s="27">
        <f>VLOOKUP(Table3[[#This Row],[Date]],'PCE Core'!A:D,4,)</f>
        <v>4.6318648159324044E-2</v>
      </c>
    </row>
    <row r="128" spans="1:7" x14ac:dyDescent="0.2">
      <c r="A128" s="38">
        <v>25294</v>
      </c>
      <c r="B128" s="28">
        <f>VLOOKUP(Table3[[#This Row],[Date]],'PCE Core'!$A:$E,2,)</f>
        <v>20.885999999999999</v>
      </c>
      <c r="C128" s="28">
        <f>VLOOKUP(Table3[[#This Row],[Date]],Database!$A:$E,5)</f>
        <v>38.1</v>
      </c>
      <c r="D128" s="26">
        <f>(((Table3[[#This Row],[Core PCE]]-$B$496)/$B$496)*100)+100</f>
        <v>26.1742443230237</v>
      </c>
      <c r="E128" s="26">
        <f>(((Table3[[#This Row],[Core CPI]]-$C$496)/$C$496)*100)+100</f>
        <v>21.32064913262451</v>
      </c>
      <c r="F128" s="27">
        <v>6.1281337047353841E-2</v>
      </c>
      <c r="G128" s="27">
        <f>VLOOKUP(Table3[[#This Row],[Date]],'PCE Core'!A:D,4,)</f>
        <v>4.65500826777571E-2</v>
      </c>
    </row>
    <row r="129" spans="1:7" x14ac:dyDescent="0.2">
      <c r="A129" s="41">
        <v>25324</v>
      </c>
      <c r="B129" s="28">
        <f>VLOOKUP(Table3[[#This Row],[Date]],'PCE Core'!$A:$E,2,)</f>
        <v>20.969000000000001</v>
      </c>
      <c r="C129" s="26">
        <f>VLOOKUP(Table3[[#This Row],[Date]],Database!$A:$E,5)</f>
        <v>38.1</v>
      </c>
      <c r="D129" s="26">
        <f>(((Table3[[#This Row],[Core PCE]]-$B$496)/$B$496)*100)+100</f>
        <v>26.278259561882805</v>
      </c>
      <c r="E129" s="26">
        <f>(((Table3[[#This Row],[Core CPI]]-$C$496)/$C$496)*100)+100</f>
        <v>21.32064913262451</v>
      </c>
      <c r="F129" s="27">
        <v>5.8333333333333383E-2</v>
      </c>
      <c r="G129" s="27">
        <f>VLOOKUP(Table3[[#This Row],[Date]],'PCE Core'!A:D,4,)</f>
        <v>4.6722907203114852E-2</v>
      </c>
    </row>
    <row r="130" spans="1:7" x14ac:dyDescent="0.2">
      <c r="A130" s="38">
        <v>25355</v>
      </c>
      <c r="B130" s="28">
        <f>VLOOKUP(Table3[[#This Row],[Date]],'PCE Core'!$A:$E,2,)</f>
        <v>21.041</v>
      </c>
      <c r="C130" s="28">
        <f>VLOOKUP(Table3[[#This Row],[Date]],Database!$A:$E,5)</f>
        <v>38.299999999999997</v>
      </c>
      <c r="D130" s="26">
        <f>(((Table3[[#This Row],[Core PCE]]-$B$496)/$B$496)*100)+100</f>
        <v>26.368489648603926</v>
      </c>
      <c r="E130" s="26">
        <f>(((Table3[[#This Row],[Core CPI]]-$C$496)/$C$496)*100)+100</f>
        <v>21.432568550643552</v>
      </c>
      <c r="F130" s="27">
        <v>5.8011049723756737E-2</v>
      </c>
      <c r="G130" s="27">
        <f>VLOOKUP(Table3[[#This Row],[Date]],'PCE Core'!A:D,4,)</f>
        <v>4.6243349410770213E-2</v>
      </c>
    </row>
    <row r="131" spans="1:7" x14ac:dyDescent="0.2">
      <c r="A131" s="41">
        <v>25385</v>
      </c>
      <c r="B131" s="28">
        <f>VLOOKUP(Table3[[#This Row],[Date]],'PCE Core'!$A:$E,2,)</f>
        <v>21.138999999999999</v>
      </c>
      <c r="C131" s="28">
        <f>VLOOKUP(Table3[[#This Row],[Date]],Database!$A:$E,5)</f>
        <v>38.5</v>
      </c>
      <c r="D131" s="26">
        <f>(((Table3[[#This Row],[Core PCE]]-$B$496)/$B$496)*100)+100</f>
        <v>26.491302822196587</v>
      </c>
      <c r="E131" s="26">
        <f>(((Table3[[#This Row],[Core CPI]]-$C$496)/$C$496)*100)+100</f>
        <v>21.544487968662565</v>
      </c>
      <c r="F131" s="27">
        <v>5.769230769230773E-2</v>
      </c>
      <c r="G131" s="27">
        <f>VLOOKUP(Table3[[#This Row],[Date]],'PCE Core'!A:D,4,)</f>
        <v>4.7626127465556473E-2</v>
      </c>
    </row>
    <row r="132" spans="1:7" x14ac:dyDescent="0.2">
      <c r="A132" s="38">
        <v>25416</v>
      </c>
      <c r="B132" s="28">
        <f>VLOOKUP(Table3[[#This Row],[Date]],'PCE Core'!$A:$E,2,)</f>
        <v>21.199000000000002</v>
      </c>
      <c r="C132" s="26">
        <f>VLOOKUP(Table3[[#This Row],[Date]],Database!$A:$E,5)</f>
        <v>38.700000000000003</v>
      </c>
      <c r="D132" s="26">
        <f>(((Table3[[#This Row],[Core PCE]]-$B$496)/$B$496)*100)+100</f>
        <v>26.566494561130881</v>
      </c>
      <c r="E132" s="26">
        <f>(((Table3[[#This Row],[Core CPI]]-$C$496)/$C$496)*100)+100</f>
        <v>21.656407386681593</v>
      </c>
      <c r="F132" s="27">
        <v>6.0273972602739798E-2</v>
      </c>
      <c r="G132" s="27">
        <f>VLOOKUP(Table3[[#This Row],[Date]],'PCE Core'!A:D,4,)</f>
        <v>4.6502443599743301E-2</v>
      </c>
    </row>
    <row r="133" spans="1:7" x14ac:dyDescent="0.2">
      <c r="A133" s="41">
        <v>25447</v>
      </c>
      <c r="B133" s="28">
        <f>VLOOKUP(Table3[[#This Row],[Date]],'PCE Core'!$A:$E,2,)</f>
        <v>21.283999999999999</v>
      </c>
      <c r="C133" s="28">
        <f>VLOOKUP(Table3[[#This Row],[Date]],Database!$A:$E,5)</f>
        <v>38.9</v>
      </c>
      <c r="D133" s="26">
        <f>(((Table3[[#This Row],[Core PCE]]-$B$496)/$B$496)*100)+100</f>
        <v>26.673016191287786</v>
      </c>
      <c r="E133" s="26">
        <f>(((Table3[[#This Row],[Core CPI]]-$C$496)/$C$496)*100)+100</f>
        <v>21.768326804700621</v>
      </c>
      <c r="F133" s="27">
        <v>5.994550408719334E-2</v>
      </c>
      <c r="G133" s="27">
        <f>VLOOKUP(Table3[[#This Row],[Date]],'PCE Core'!A:D,4,)</f>
        <v>4.6462461281282286E-2</v>
      </c>
    </row>
    <row r="134" spans="1:7" x14ac:dyDescent="0.2">
      <c r="A134" s="38">
        <v>25477</v>
      </c>
      <c r="B134" s="28">
        <f>VLOOKUP(Table3[[#This Row],[Date]],'PCE Core'!$A:$E,2,)</f>
        <v>21.375</v>
      </c>
      <c r="C134" s="28">
        <f>VLOOKUP(Table3[[#This Row],[Date]],Database!$A:$E,5)</f>
        <v>39.1</v>
      </c>
      <c r="D134" s="26">
        <f>(((Table3[[#This Row],[Core PCE]]-$B$496)/$B$496)*100)+100</f>
        <v>26.787056995338105</v>
      </c>
      <c r="E134" s="26">
        <f>(((Table3[[#This Row],[Core CPI]]-$C$496)/$C$496)*100)+100</f>
        <v>21.880246222719634</v>
      </c>
      <c r="F134" s="27">
        <v>5.9620596205962141E-2</v>
      </c>
      <c r="G134" s="27">
        <f>VLOOKUP(Table3[[#This Row],[Date]],'PCE Core'!A:D,4,)</f>
        <v>4.6665360885319723E-2</v>
      </c>
    </row>
    <row r="135" spans="1:7" x14ac:dyDescent="0.2">
      <c r="A135" s="41">
        <v>25508</v>
      </c>
      <c r="B135" s="28">
        <f>VLOOKUP(Table3[[#This Row],[Date]],'PCE Core'!$A:$E,2,)</f>
        <v>21.457000000000001</v>
      </c>
      <c r="C135" s="26">
        <f>VLOOKUP(Table3[[#This Row],[Date]],Database!$A:$E,5)</f>
        <v>39.200000000000003</v>
      </c>
      <c r="D135" s="26">
        <f>(((Table3[[#This Row],[Core PCE]]-$B$496)/$B$496)*100)+100</f>
        <v>26.889819038548296</v>
      </c>
      <c r="E135" s="26">
        <f>(((Table3[[#This Row],[Core CPI]]-$C$496)/$C$496)*100)+100</f>
        <v>21.936205931729148</v>
      </c>
      <c r="F135" s="27">
        <v>5.6603773584905703E-2</v>
      </c>
      <c r="G135" s="27">
        <f>VLOOKUP(Table3[[#This Row],[Date]],'PCE Core'!A:D,4,)</f>
        <v>4.6785052200214637E-2</v>
      </c>
    </row>
    <row r="136" spans="1:7" x14ac:dyDescent="0.2">
      <c r="A136" s="38">
        <v>25538</v>
      </c>
      <c r="B136" s="28">
        <f>VLOOKUP(Table3[[#This Row],[Date]],'PCE Core'!$A:$E,2,)</f>
        <v>21.536999999999999</v>
      </c>
      <c r="C136" s="28">
        <f>VLOOKUP(Table3[[#This Row],[Date]],Database!$A:$E,5)</f>
        <v>39.4</v>
      </c>
      <c r="D136" s="26">
        <f>(((Table3[[#This Row],[Core PCE]]-$B$496)/$B$496)*100)+100</f>
        <v>26.990074690460673</v>
      </c>
      <c r="E136" s="26">
        <f>(((Table3[[#This Row],[Core CPI]]-$C$496)/$C$496)*100)+100</f>
        <v>22.048125349748176</v>
      </c>
      <c r="F136" s="27">
        <v>5.9139784946236437E-2</v>
      </c>
      <c r="G136" s="27">
        <f>VLOOKUP(Table3[[#This Row],[Date]],'PCE Core'!A:D,4,)</f>
        <v>4.7519455252918306E-2</v>
      </c>
    </row>
    <row r="137" spans="1:7" x14ac:dyDescent="0.2">
      <c r="A137" s="41">
        <v>25569</v>
      </c>
      <c r="B137" s="28">
        <f>VLOOKUP(Table3[[#This Row],[Date]],'PCE Core'!$A:$E,2,)</f>
        <v>21.608000000000001</v>
      </c>
      <c r="C137" s="28">
        <f>VLOOKUP(Table3[[#This Row],[Date]],Database!$A:$E,5)</f>
        <v>39.6</v>
      </c>
      <c r="D137" s="26">
        <f>(((Table3[[#This Row],[Core PCE]]-$B$496)/$B$496)*100)+100</f>
        <v>27.079051581532909</v>
      </c>
      <c r="E137" s="26">
        <f>(((Table3[[#This Row],[Core CPI]]-$C$496)/$C$496)*100)+100</f>
        <v>22.160044767767204</v>
      </c>
      <c r="F137" s="27">
        <v>6.1662198391421029E-2</v>
      </c>
      <c r="G137" s="27">
        <f>VLOOKUP(Table3[[#This Row],[Date]],'PCE Core'!A:D,4,)</f>
        <v>4.7000678360306171E-2</v>
      </c>
    </row>
    <row r="138" spans="1:7" x14ac:dyDescent="0.2">
      <c r="A138" s="38">
        <v>25600</v>
      </c>
      <c r="B138" s="28">
        <f>VLOOKUP(Table3[[#This Row],[Date]],'PCE Core'!$A:$E,2,)</f>
        <v>21.690999999999999</v>
      </c>
      <c r="C138" s="26">
        <f>VLOOKUP(Table3[[#This Row],[Date]],Database!$A:$E,5)</f>
        <v>39.799999999999997</v>
      </c>
      <c r="D138" s="26">
        <f>(((Table3[[#This Row],[Core PCE]]-$B$496)/$B$496)*100)+100</f>
        <v>27.183066820392</v>
      </c>
      <c r="E138" s="26">
        <f>(((Table3[[#This Row],[Core CPI]]-$C$496)/$C$496)*100)+100</f>
        <v>22.271964185786246</v>
      </c>
      <c r="F138" s="27">
        <v>5.8510638297872217E-2</v>
      </c>
      <c r="G138" s="27">
        <f>VLOOKUP(Table3[[#This Row],[Date]],'PCE Core'!A:D,4,)</f>
        <v>4.7418996571538911E-2</v>
      </c>
    </row>
    <row r="139" spans="1:7" x14ac:dyDescent="0.2">
      <c r="A139" s="41">
        <v>25628</v>
      </c>
      <c r="B139" s="28">
        <f>VLOOKUP(Table3[[#This Row],[Date]],'PCE Core'!$A:$E,2,)</f>
        <v>21.771999999999998</v>
      </c>
      <c r="C139" s="28">
        <f>VLOOKUP(Table3[[#This Row],[Date]],Database!$A:$E,5)</f>
        <v>40.1</v>
      </c>
      <c r="D139" s="26">
        <f>(((Table3[[#This Row],[Core PCE]]-$B$496)/$B$496)*100)+100</f>
        <v>27.284575667953277</v>
      </c>
      <c r="E139" s="26">
        <f>(((Table3[[#This Row],[Core CPI]]-$C$496)/$C$496)*100)+100</f>
        <v>22.439843312814773</v>
      </c>
      <c r="F139" s="27">
        <v>6.0846560846560961E-2</v>
      </c>
      <c r="G139" s="27">
        <f>VLOOKUP(Table3[[#This Row],[Date]],'PCE Core'!A:D,4,)</f>
        <v>4.647921172794995E-2</v>
      </c>
    </row>
    <row r="140" spans="1:7" x14ac:dyDescent="0.2">
      <c r="A140" s="38">
        <v>25659</v>
      </c>
      <c r="B140" s="28">
        <f>VLOOKUP(Table3[[#This Row],[Date]],'PCE Core'!$A:$E,2,)</f>
        <v>21.856999999999999</v>
      </c>
      <c r="C140" s="28">
        <f>VLOOKUP(Table3[[#This Row],[Date]],Database!$A:$E,5)</f>
        <v>40.4</v>
      </c>
      <c r="D140" s="26">
        <f>(((Table3[[#This Row],[Core PCE]]-$B$496)/$B$496)*100)+100</f>
        <v>27.391097298110182</v>
      </c>
      <c r="E140" s="26">
        <f>(((Table3[[#This Row],[Core CPI]]-$C$496)/$C$496)*100)+100</f>
        <v>22.607722439843315</v>
      </c>
      <c r="F140" s="27">
        <v>6.0367454068241393E-2</v>
      </c>
      <c r="G140" s="27">
        <f>VLOOKUP(Table3[[#This Row],[Date]],'PCE Core'!A:D,4,)</f>
        <v>4.649047208656517E-2</v>
      </c>
    </row>
    <row r="141" spans="1:7" x14ac:dyDescent="0.2">
      <c r="A141" s="41">
        <v>25689</v>
      </c>
      <c r="B141" s="28">
        <f>VLOOKUP(Table3[[#This Row],[Date]],'PCE Core'!$A:$E,2,)</f>
        <v>21.934000000000001</v>
      </c>
      <c r="C141" s="26">
        <f>VLOOKUP(Table3[[#This Row],[Date]],Database!$A:$E,5)</f>
        <v>40.5</v>
      </c>
      <c r="D141" s="26">
        <f>(((Table3[[#This Row],[Core PCE]]-$B$496)/$B$496)*100)+100</f>
        <v>27.487593363075831</v>
      </c>
      <c r="E141" s="26">
        <f>(((Table3[[#This Row],[Core CPI]]-$C$496)/$C$496)*100)+100</f>
        <v>22.663682148852828</v>
      </c>
      <c r="F141" s="27">
        <v>6.2992125984251926E-2</v>
      </c>
      <c r="G141" s="27">
        <f>VLOOKUP(Table3[[#This Row],[Date]],'PCE Core'!A:D,4,)</f>
        <v>4.6020315704134666E-2</v>
      </c>
    </row>
    <row r="142" spans="1:7" x14ac:dyDescent="0.2">
      <c r="A142" s="38">
        <v>25720</v>
      </c>
      <c r="B142" s="28">
        <f>VLOOKUP(Table3[[#This Row],[Date]],'PCE Core'!$A:$E,2,)</f>
        <v>22.013999999999999</v>
      </c>
      <c r="C142" s="28">
        <f>VLOOKUP(Table3[[#This Row],[Date]],Database!$A:$E,5)</f>
        <v>40.799999999999997</v>
      </c>
      <c r="D142" s="26">
        <f>(((Table3[[#This Row],[Core PCE]]-$B$496)/$B$496)*100)+100</f>
        <v>27.587849014988208</v>
      </c>
      <c r="E142" s="26">
        <f>(((Table3[[#This Row],[Core CPI]]-$C$496)/$C$496)*100)+100</f>
        <v>22.83156127588137</v>
      </c>
      <c r="F142" s="27">
        <v>6.5274151436031339E-2</v>
      </c>
      <c r="G142" s="27">
        <f>VLOOKUP(Table3[[#This Row],[Date]],'PCE Core'!A:D,4,)</f>
        <v>4.6243049284729762E-2</v>
      </c>
    </row>
    <row r="143" spans="1:7" x14ac:dyDescent="0.2">
      <c r="A143" s="41">
        <v>25750</v>
      </c>
      <c r="B143" s="28">
        <f>VLOOKUP(Table3[[#This Row],[Date]],'PCE Core'!$A:$E,2,)</f>
        <v>22.097999999999999</v>
      </c>
      <c r="C143" s="28">
        <f>VLOOKUP(Table3[[#This Row],[Date]],Database!$A:$E,5)</f>
        <v>40.9</v>
      </c>
      <c r="D143" s="26">
        <f>(((Table3[[#This Row],[Core PCE]]-$B$496)/$B$496)*100)+100</f>
        <v>27.693117449496214</v>
      </c>
      <c r="E143" s="26">
        <f>(((Table3[[#This Row],[Core CPI]]-$C$496)/$C$496)*100)+100</f>
        <v>22.887520984890884</v>
      </c>
      <c r="F143" s="27">
        <v>6.2337662337662303E-2</v>
      </c>
      <c r="G143" s="27">
        <f>VLOOKUP(Table3[[#This Row],[Date]],'PCE Core'!A:D,4,)</f>
        <v>4.5366384407966302E-2</v>
      </c>
    </row>
    <row r="144" spans="1:7" x14ac:dyDescent="0.2">
      <c r="A144" s="38">
        <v>25781</v>
      </c>
      <c r="B144" s="28">
        <f>VLOOKUP(Table3[[#This Row],[Date]],'PCE Core'!$A:$E,2,)</f>
        <v>22.173999999999999</v>
      </c>
      <c r="C144" s="26">
        <f>VLOOKUP(Table3[[#This Row],[Date]],Database!$A:$E,5)</f>
        <v>41.1</v>
      </c>
      <c r="D144" s="26">
        <f>(((Table3[[#This Row],[Core PCE]]-$B$496)/$B$496)*100)+100</f>
        <v>27.788360318812963</v>
      </c>
      <c r="E144" s="26">
        <f>(((Table3[[#This Row],[Core CPI]]-$C$496)/$C$496)*100)+100</f>
        <v>22.999440402909897</v>
      </c>
      <c r="F144" s="27">
        <v>6.201550387596895E-2</v>
      </c>
      <c r="G144" s="27">
        <f>VLOOKUP(Table3[[#This Row],[Date]],'PCE Core'!A:D,4,)</f>
        <v>4.5992735506391706E-2</v>
      </c>
    </row>
    <row r="145" spans="1:7" x14ac:dyDescent="0.2">
      <c r="A145" s="41">
        <v>25812</v>
      </c>
      <c r="B145" s="28">
        <f>VLOOKUP(Table3[[#This Row],[Date]],'PCE Core'!$A:$E,2,)</f>
        <v>22.266999999999999</v>
      </c>
      <c r="C145" s="28">
        <f>VLOOKUP(Table3[[#This Row],[Date]],Database!$A:$E,5)</f>
        <v>41.3</v>
      </c>
      <c r="D145" s="26">
        <f>(((Table3[[#This Row],[Core PCE]]-$B$496)/$B$496)*100)+100</f>
        <v>27.90490751416111</v>
      </c>
      <c r="E145" s="26">
        <f>(((Table3[[#This Row],[Core CPI]]-$C$496)/$C$496)*100)+100</f>
        <v>23.111359820928939</v>
      </c>
      <c r="F145" s="27">
        <v>6.169665809768634E-2</v>
      </c>
      <c r="G145" s="27">
        <f>VLOOKUP(Table3[[#This Row],[Date]],'PCE Core'!A:D,4,)</f>
        <v>4.6184927645179508E-2</v>
      </c>
    </row>
    <row r="146" spans="1:7" x14ac:dyDescent="0.2">
      <c r="A146" s="38">
        <v>25842</v>
      </c>
      <c r="B146" s="28">
        <f>VLOOKUP(Table3[[#This Row],[Date]],'PCE Core'!$A:$E,2,)</f>
        <v>22.376000000000001</v>
      </c>
      <c r="C146" s="28">
        <f>VLOOKUP(Table3[[#This Row],[Date]],Database!$A:$E,5)</f>
        <v>41.5</v>
      </c>
      <c r="D146" s="26">
        <f>(((Table3[[#This Row],[Core PCE]]-$B$496)/$B$496)*100)+100</f>
        <v>28.041505839891727</v>
      </c>
      <c r="E146" s="26">
        <f>(((Table3[[#This Row],[Core CPI]]-$C$496)/$C$496)*100)+100</f>
        <v>23.223279238947953</v>
      </c>
      <c r="F146" s="27">
        <v>6.1381074168797907E-2</v>
      </c>
      <c r="G146" s="27">
        <f>VLOOKUP(Table3[[#This Row],[Date]],'PCE Core'!A:D,4,)</f>
        <v>4.6830409356725201E-2</v>
      </c>
    </row>
    <row r="147" spans="1:7" x14ac:dyDescent="0.2">
      <c r="A147" s="41">
        <v>25873</v>
      </c>
      <c r="B147" s="28">
        <f>VLOOKUP(Table3[[#This Row],[Date]],'PCE Core'!$A:$E,2,)</f>
        <v>22.492000000000001</v>
      </c>
      <c r="C147" s="26">
        <f>VLOOKUP(Table3[[#This Row],[Date]],Database!$A:$E,5)</f>
        <v>41.8</v>
      </c>
      <c r="D147" s="26">
        <f>(((Table3[[#This Row],[Core PCE]]-$B$496)/$B$496)*100)+100</f>
        <v>28.186876535164672</v>
      </c>
      <c r="E147" s="26">
        <f>(((Table3[[#This Row],[Core CPI]]-$C$496)/$C$496)*100)+100</f>
        <v>23.391158365976509</v>
      </c>
      <c r="F147" s="27">
        <v>6.632653061224475E-2</v>
      </c>
      <c r="G147" s="27">
        <f>VLOOKUP(Table3[[#This Row],[Date]],'PCE Core'!A:D,4,)</f>
        <v>4.8236006897515969E-2</v>
      </c>
    </row>
    <row r="148" spans="1:7" x14ac:dyDescent="0.2">
      <c r="A148" s="38">
        <v>25903</v>
      </c>
      <c r="B148" s="28">
        <f>VLOOKUP(Table3[[#This Row],[Date]],'PCE Core'!$A:$E,2,)</f>
        <v>22.605</v>
      </c>
      <c r="C148" s="28">
        <f>VLOOKUP(Table3[[#This Row],[Date]],Database!$A:$E,5)</f>
        <v>42</v>
      </c>
      <c r="D148" s="26">
        <f>(((Table3[[#This Row],[Core PCE]]-$B$496)/$B$496)*100)+100</f>
        <v>28.328487643490902</v>
      </c>
      <c r="E148" s="26">
        <f>(((Table3[[#This Row],[Core CPI]]-$C$496)/$C$496)*100)+100</f>
        <v>23.503077783995536</v>
      </c>
      <c r="F148" s="27">
        <v>6.5989847715736086E-2</v>
      </c>
      <c r="G148" s="27">
        <f>VLOOKUP(Table3[[#This Row],[Date]],'PCE Core'!A:D,4,)</f>
        <v>4.9589079258949779E-2</v>
      </c>
    </row>
    <row r="149" spans="1:7" x14ac:dyDescent="0.2">
      <c r="A149" s="41">
        <v>25934</v>
      </c>
      <c r="B149" s="28">
        <f>VLOOKUP(Table3[[#This Row],[Date]],'PCE Core'!$A:$E,2,)</f>
        <v>22.693999999999999</v>
      </c>
      <c r="C149" s="28">
        <f>VLOOKUP(Table3[[#This Row],[Date]],Database!$A:$E,5)</f>
        <v>42.1</v>
      </c>
      <c r="D149" s="26">
        <f>(((Table3[[#This Row],[Core PCE]]-$B$496)/$B$496)*100)+100</f>
        <v>28.440022056243421</v>
      </c>
      <c r="E149" s="26">
        <f>(((Table3[[#This Row],[Core CPI]]-$C$496)/$C$496)*100)+100</f>
        <v>23.559037493005036</v>
      </c>
      <c r="F149" s="27">
        <v>6.3131313131313135E-2</v>
      </c>
      <c r="G149" s="27">
        <f>VLOOKUP(Table3[[#This Row],[Date]],'PCE Core'!A:D,4,)</f>
        <v>5.0259163272861833E-2</v>
      </c>
    </row>
    <row r="150" spans="1:7" x14ac:dyDescent="0.2">
      <c r="A150" s="38">
        <v>25965</v>
      </c>
      <c r="B150" s="28">
        <f>VLOOKUP(Table3[[#This Row],[Date]],'PCE Core'!$A:$E,2,)</f>
        <v>22.78</v>
      </c>
      <c r="C150" s="26">
        <f>VLOOKUP(Table3[[#This Row],[Date]],Database!$A:$E,5)</f>
        <v>42.2</v>
      </c>
      <c r="D150" s="26">
        <f>(((Table3[[#This Row],[Core PCE]]-$B$496)/$B$496)*100)+100</f>
        <v>28.547796882049226</v>
      </c>
      <c r="E150" s="26">
        <f>(((Table3[[#This Row],[Core CPI]]-$C$496)/$C$496)*100)+100</f>
        <v>23.614997202014536</v>
      </c>
      <c r="F150" s="27">
        <v>6.0301507537688592E-2</v>
      </c>
      <c r="G150" s="27">
        <f>VLOOKUP(Table3[[#This Row],[Date]],'PCE Core'!A:D,4,)</f>
        <v>5.0205154211424199E-2</v>
      </c>
    </row>
    <row r="151" spans="1:7" x14ac:dyDescent="0.2">
      <c r="A151" s="41">
        <v>25993</v>
      </c>
      <c r="B151" s="28">
        <f>VLOOKUP(Table3[[#This Row],[Date]],'PCE Core'!$A:$E,2,)</f>
        <v>22.853000000000002</v>
      </c>
      <c r="C151" s="28">
        <f>VLOOKUP(Table3[[#This Row],[Date]],Database!$A:$E,5)</f>
        <v>42.2</v>
      </c>
      <c r="D151" s="26">
        <f>(((Table3[[#This Row],[Core PCE]]-$B$496)/$B$496)*100)+100</f>
        <v>28.639280164419262</v>
      </c>
      <c r="E151" s="26">
        <f>(((Table3[[#This Row],[Core CPI]]-$C$496)/$C$496)*100)+100</f>
        <v>23.614997202014536</v>
      </c>
      <c r="F151" s="27">
        <v>5.2369077306733201E-2</v>
      </c>
      <c r="G151" s="27">
        <f>VLOOKUP(Table3[[#This Row],[Date]],'PCE Core'!A:D,4,)</f>
        <v>4.965092779717082E-2</v>
      </c>
    </row>
    <row r="152" spans="1:7" x14ac:dyDescent="0.2">
      <c r="A152" s="38">
        <v>26024</v>
      </c>
      <c r="B152" s="28">
        <f>VLOOKUP(Table3[[#This Row],[Date]],'PCE Core'!$A:$E,2,)</f>
        <v>22.939</v>
      </c>
      <c r="C152" s="28">
        <f>VLOOKUP(Table3[[#This Row],[Date]],Database!$A:$E,5)</f>
        <v>42.4</v>
      </c>
      <c r="D152" s="26">
        <f>(((Table3[[#This Row],[Core PCE]]-$B$496)/$B$496)*100)+100</f>
        <v>28.747054990225081</v>
      </c>
      <c r="E152" s="26">
        <f>(((Table3[[#This Row],[Core CPI]]-$C$496)/$C$496)*100)+100</f>
        <v>23.726916620033577</v>
      </c>
      <c r="F152" s="27">
        <v>4.9504950495049507E-2</v>
      </c>
      <c r="G152" s="27">
        <f>VLOOKUP(Table3[[#This Row],[Date]],'PCE Core'!A:D,4,)</f>
        <v>4.9503591526742038E-2</v>
      </c>
    </row>
    <row r="153" spans="1:7" x14ac:dyDescent="0.2">
      <c r="A153" s="41">
        <v>26054</v>
      </c>
      <c r="B153" s="28">
        <f>VLOOKUP(Table3[[#This Row],[Date]],'PCE Core'!$A:$E,2,)</f>
        <v>23.039000000000001</v>
      </c>
      <c r="C153" s="26">
        <f>VLOOKUP(Table3[[#This Row],[Date]],Database!$A:$E,5)</f>
        <v>42.6</v>
      </c>
      <c r="D153" s="26">
        <f>(((Table3[[#This Row],[Core PCE]]-$B$496)/$B$496)*100)+100</f>
        <v>28.872374555115542</v>
      </c>
      <c r="E153" s="26">
        <f>(((Table3[[#This Row],[Core CPI]]-$C$496)/$C$496)*100)+100</f>
        <v>23.838836038052605</v>
      </c>
      <c r="F153" s="27">
        <v>5.1851851851851892E-2</v>
      </c>
      <c r="G153" s="27">
        <f>VLOOKUP(Table3[[#This Row],[Date]],'PCE Core'!A:D,4,)</f>
        <v>5.0378407951126122E-2</v>
      </c>
    </row>
    <row r="154" spans="1:7" x14ac:dyDescent="0.2">
      <c r="A154" s="38">
        <v>26085</v>
      </c>
      <c r="B154" s="28">
        <f>VLOOKUP(Table3[[#This Row],[Date]],'PCE Core'!$A:$E,2,)</f>
        <v>23.129000000000001</v>
      </c>
      <c r="C154" s="28">
        <f>VLOOKUP(Table3[[#This Row],[Date]],Database!$A:$E,5)</f>
        <v>42.8</v>
      </c>
      <c r="D154" s="26">
        <f>(((Table3[[#This Row],[Core PCE]]-$B$496)/$B$496)*100)+100</f>
        <v>28.985162163516975</v>
      </c>
      <c r="E154" s="26">
        <f>(((Table3[[#This Row],[Core CPI]]-$C$496)/$C$496)*100)+100</f>
        <v>23.950755456071633</v>
      </c>
      <c r="F154" s="27">
        <v>4.9019607843137261E-2</v>
      </c>
      <c r="G154" s="27">
        <f>VLOOKUP(Table3[[#This Row],[Date]],'PCE Core'!A:D,4,)</f>
        <v>5.0649586626692195E-2</v>
      </c>
    </row>
    <row r="155" spans="1:7" x14ac:dyDescent="0.2">
      <c r="A155" s="41">
        <v>26115</v>
      </c>
      <c r="B155" s="28">
        <f>VLOOKUP(Table3[[#This Row],[Date]],'PCE Core'!$A:$E,2,)</f>
        <v>23.218</v>
      </c>
      <c r="C155" s="28">
        <f>VLOOKUP(Table3[[#This Row],[Date]],Database!$A:$E,5)</f>
        <v>42.9</v>
      </c>
      <c r="D155" s="26">
        <f>(((Table3[[#This Row],[Core PCE]]-$B$496)/$B$496)*100)+100</f>
        <v>29.096696576269494</v>
      </c>
      <c r="E155" s="26">
        <f>(((Table3[[#This Row],[Core CPI]]-$C$496)/$C$496)*100)+100</f>
        <v>24.006715165081147</v>
      </c>
      <c r="F155" s="27">
        <v>4.8899755501222497E-2</v>
      </c>
      <c r="G155" s="27">
        <f>VLOOKUP(Table3[[#This Row],[Date]],'PCE Core'!A:D,4,)</f>
        <v>5.068331975744416E-2</v>
      </c>
    </row>
    <row r="156" spans="1:7" x14ac:dyDescent="0.2">
      <c r="A156" s="38">
        <v>26146</v>
      </c>
      <c r="B156" s="28">
        <f>VLOOKUP(Table3[[#This Row],[Date]],'PCE Core'!$A:$E,2,)</f>
        <v>23.251000000000001</v>
      </c>
      <c r="C156" s="26">
        <f>VLOOKUP(Table3[[#This Row],[Date]],Database!$A:$E,5)</f>
        <v>43</v>
      </c>
      <c r="D156" s="26">
        <f>(((Table3[[#This Row],[Core PCE]]-$B$496)/$B$496)*100)+100</f>
        <v>29.138052032683348</v>
      </c>
      <c r="E156" s="26">
        <f>(((Table3[[#This Row],[Core CPI]]-$C$496)/$C$496)*100)+100</f>
        <v>24.062674874090661</v>
      </c>
      <c r="F156" s="27">
        <v>4.6228710462287069E-2</v>
      </c>
      <c r="G156" s="27">
        <f>VLOOKUP(Table3[[#This Row],[Date]],'PCE Core'!A:D,4,)</f>
        <v>4.8570397763146103E-2</v>
      </c>
    </row>
    <row r="157" spans="1:7" x14ac:dyDescent="0.2">
      <c r="A157" s="41">
        <v>26177</v>
      </c>
      <c r="B157" s="28">
        <f>VLOOKUP(Table3[[#This Row],[Date]],'PCE Core'!$A:$E,2,)</f>
        <v>23.289000000000001</v>
      </c>
      <c r="C157" s="28">
        <f>VLOOKUP(Table3[[#This Row],[Date]],Database!$A:$E,5)</f>
        <v>43</v>
      </c>
      <c r="D157" s="26">
        <f>(((Table3[[#This Row],[Core PCE]]-$B$496)/$B$496)*100)+100</f>
        <v>29.185673467341715</v>
      </c>
      <c r="E157" s="26">
        <f>(((Table3[[#This Row],[Core CPI]]-$C$496)/$C$496)*100)+100</f>
        <v>24.062674874090661</v>
      </c>
      <c r="F157" s="27">
        <v>4.1162227602905638E-2</v>
      </c>
      <c r="G157" s="27">
        <f>VLOOKUP(Table3[[#This Row],[Date]],'PCE Core'!A:D,4,)</f>
        <v>4.5897516504244042E-2</v>
      </c>
    </row>
    <row r="158" spans="1:7" x14ac:dyDescent="0.2">
      <c r="A158" s="38">
        <v>26207</v>
      </c>
      <c r="B158" s="28">
        <f>VLOOKUP(Table3[[#This Row],[Date]],'PCE Core'!$A:$E,2,)</f>
        <v>23.326000000000001</v>
      </c>
      <c r="C158" s="28">
        <f>VLOOKUP(Table3[[#This Row],[Date]],Database!$A:$E,5)</f>
        <v>43.1</v>
      </c>
      <c r="D158" s="26">
        <f>(((Table3[[#This Row],[Core PCE]]-$B$496)/$B$496)*100)+100</f>
        <v>29.232041706351197</v>
      </c>
      <c r="E158" s="26">
        <f>(((Table3[[#This Row],[Core CPI]]-$C$496)/$C$496)*100)+100</f>
        <v>24.11863458310016</v>
      </c>
      <c r="F158" s="27">
        <v>3.8554216867469911E-2</v>
      </c>
      <c r="G158" s="27">
        <f>VLOOKUP(Table3[[#This Row],[Date]],'PCE Core'!A:D,4,)</f>
        <v>4.2456203074722886E-2</v>
      </c>
    </row>
    <row r="159" spans="1:7" x14ac:dyDescent="0.2">
      <c r="A159" s="41">
        <v>26238</v>
      </c>
      <c r="B159" s="28">
        <f>VLOOKUP(Table3[[#This Row],[Date]],'PCE Core'!$A:$E,2,)</f>
        <v>23.379000000000001</v>
      </c>
      <c r="C159" s="26">
        <f>VLOOKUP(Table3[[#This Row],[Date]],Database!$A:$E,5)</f>
        <v>43.2</v>
      </c>
      <c r="D159" s="26">
        <f>(((Table3[[#This Row],[Core PCE]]-$B$496)/$B$496)*100)+100</f>
        <v>29.298461075743148</v>
      </c>
      <c r="E159" s="26">
        <f>(((Table3[[#This Row],[Core CPI]]-$C$496)/$C$496)*100)+100</f>
        <v>24.174594292109674</v>
      </c>
      <c r="F159" s="27">
        <v>3.3492822966507317E-2</v>
      </c>
      <c r="G159" s="27">
        <f>VLOOKUP(Table3[[#This Row],[Date]],'PCE Core'!A:D,4,)</f>
        <v>3.9436243997865925E-2</v>
      </c>
    </row>
    <row r="160" spans="1:7" x14ac:dyDescent="0.2">
      <c r="A160" s="38">
        <v>26268</v>
      </c>
      <c r="B160" s="28">
        <f>VLOOKUP(Table3[[#This Row],[Date]],'PCE Core'!$A:$E,2,)</f>
        <v>23.452000000000002</v>
      </c>
      <c r="C160" s="28">
        <f>VLOOKUP(Table3[[#This Row],[Date]],Database!$A:$E,5)</f>
        <v>43.3</v>
      </c>
      <c r="D160" s="26">
        <f>(((Table3[[#This Row],[Core PCE]]-$B$496)/$B$496)*100)+100</f>
        <v>29.389944358113183</v>
      </c>
      <c r="E160" s="26">
        <f>(((Table3[[#This Row],[Core CPI]]-$C$496)/$C$496)*100)+100</f>
        <v>24.230554001119202</v>
      </c>
      <c r="F160" s="27">
        <v>3.0952380952380881E-2</v>
      </c>
      <c r="G160" s="27">
        <f>VLOOKUP(Table3[[#This Row],[Date]],'PCE Core'!A:D,4,)</f>
        <v>3.7469586374695919E-2</v>
      </c>
    </row>
    <row r="161" spans="1:7" x14ac:dyDescent="0.2">
      <c r="A161" s="41">
        <v>26299</v>
      </c>
      <c r="B161" s="28">
        <f>VLOOKUP(Table3[[#This Row],[Date]],'PCE Core'!$A:$E,2,)</f>
        <v>23.552</v>
      </c>
      <c r="C161" s="28">
        <f>VLOOKUP(Table3[[#This Row],[Date]],Database!$A:$E,5)</f>
        <v>43.5</v>
      </c>
      <c r="D161" s="26">
        <f>(((Table3[[#This Row],[Core PCE]]-$B$496)/$B$496)*100)+100</f>
        <v>29.515263923003658</v>
      </c>
      <c r="E161" s="26">
        <f>(((Table3[[#This Row],[Core CPI]]-$C$496)/$C$496)*100)+100</f>
        <v>24.342473419138216</v>
      </c>
      <c r="F161" s="27">
        <v>3.3254156769596158E-2</v>
      </c>
      <c r="G161" s="27">
        <f>VLOOKUP(Table3[[#This Row],[Date]],'PCE Core'!A:D,4,)</f>
        <v>3.7807349960341963E-2</v>
      </c>
    </row>
    <row r="162" spans="1:7" x14ac:dyDescent="0.2">
      <c r="A162" s="38">
        <v>26330</v>
      </c>
      <c r="B162" s="28">
        <f>VLOOKUP(Table3[[#This Row],[Date]],'PCE Core'!$A:$E,2,)</f>
        <v>23.614999999999998</v>
      </c>
      <c r="C162" s="26">
        <f>VLOOKUP(Table3[[#This Row],[Date]],Database!$A:$E,5)</f>
        <v>43.6</v>
      </c>
      <c r="D162" s="26">
        <f>(((Table3[[#This Row],[Core PCE]]-$B$496)/$B$496)*100)+100</f>
        <v>29.594215248884652</v>
      </c>
      <c r="E162" s="26">
        <f>(((Table3[[#This Row],[Core CPI]]-$C$496)/$C$496)*100)+100</f>
        <v>24.39843312814773</v>
      </c>
      <c r="F162" s="27">
        <v>3.3175355450236928E-2</v>
      </c>
      <c r="G162" s="27">
        <f>VLOOKUP(Table3[[#This Row],[Date]],'PCE Core'!A:D,4,)</f>
        <v>3.6654960491659228E-2</v>
      </c>
    </row>
    <row r="163" spans="1:7" x14ac:dyDescent="0.2">
      <c r="A163" s="41">
        <v>26359</v>
      </c>
      <c r="B163" s="28">
        <f>VLOOKUP(Table3[[#This Row],[Date]],'PCE Core'!$A:$E,2,)</f>
        <v>23.661999999999999</v>
      </c>
      <c r="C163" s="28">
        <f>VLOOKUP(Table3[[#This Row],[Date]],Database!$A:$E,5)</f>
        <v>43.6</v>
      </c>
      <c r="D163" s="26">
        <f>(((Table3[[#This Row],[Core PCE]]-$B$496)/$B$496)*100)+100</f>
        <v>29.653115444383175</v>
      </c>
      <c r="E163" s="26">
        <f>(((Table3[[#This Row],[Core CPI]]-$C$496)/$C$496)*100)+100</f>
        <v>24.39843312814773</v>
      </c>
      <c r="F163" s="27">
        <v>3.3175355450236928E-2</v>
      </c>
      <c r="G163" s="27">
        <f>VLOOKUP(Table3[[#This Row],[Date]],'PCE Core'!A:D,4,)</f>
        <v>3.5400166280138166E-2</v>
      </c>
    </row>
    <row r="164" spans="1:7" x14ac:dyDescent="0.2">
      <c r="A164" s="38">
        <v>26390</v>
      </c>
      <c r="B164" s="28">
        <f>VLOOKUP(Table3[[#This Row],[Date]],'PCE Core'!$A:$E,2,)</f>
        <v>23.716999999999999</v>
      </c>
      <c r="C164" s="28">
        <f>VLOOKUP(Table3[[#This Row],[Date]],Database!$A:$E,5)</f>
        <v>43.8</v>
      </c>
      <c r="D164" s="26">
        <f>(((Table3[[#This Row],[Core PCE]]-$B$496)/$B$496)*100)+100</f>
        <v>29.722041205072941</v>
      </c>
      <c r="E164" s="26">
        <f>(((Table3[[#This Row],[Core CPI]]-$C$496)/$C$496)*100)+100</f>
        <v>24.510352546166772</v>
      </c>
      <c r="F164" s="27">
        <v>3.3018867924528267E-2</v>
      </c>
      <c r="G164" s="27">
        <f>VLOOKUP(Table3[[#This Row],[Date]],'PCE Core'!A:D,4,)</f>
        <v>3.3916038188238316E-2</v>
      </c>
    </row>
    <row r="165" spans="1:7" x14ac:dyDescent="0.2">
      <c r="A165" s="41">
        <v>26420</v>
      </c>
      <c r="B165" s="28">
        <f>VLOOKUP(Table3[[#This Row],[Date]],'PCE Core'!$A:$E,2,)</f>
        <v>23.771999999999998</v>
      </c>
      <c r="C165" s="26">
        <f>VLOOKUP(Table3[[#This Row],[Date]],Database!$A:$E,5)</f>
        <v>43.9</v>
      </c>
      <c r="D165" s="26">
        <f>(((Table3[[#This Row],[Core PCE]]-$B$496)/$B$496)*100)+100</f>
        <v>29.790966965762692</v>
      </c>
      <c r="E165" s="26">
        <f>(((Table3[[#This Row],[Core CPI]]-$C$496)/$C$496)*100)+100</f>
        <v>24.566312255176285</v>
      </c>
      <c r="F165" s="27">
        <v>3.051643192488256E-2</v>
      </c>
      <c r="G165" s="27">
        <f>VLOOKUP(Table3[[#This Row],[Date]],'PCE Core'!A:D,4,)</f>
        <v>3.1815616997265372E-2</v>
      </c>
    </row>
    <row r="166" spans="1:7" x14ac:dyDescent="0.2">
      <c r="A166" s="38">
        <v>26451</v>
      </c>
      <c r="B166" s="28">
        <f>VLOOKUP(Table3[[#This Row],[Date]],'PCE Core'!$A:$E,2,)</f>
        <v>23.818999999999999</v>
      </c>
      <c r="C166" s="28">
        <f>VLOOKUP(Table3[[#This Row],[Date]],Database!$A:$E,5)</f>
        <v>44</v>
      </c>
      <c r="D166" s="26">
        <f>(((Table3[[#This Row],[Core PCE]]-$B$496)/$B$496)*100)+100</f>
        <v>29.849867161261216</v>
      </c>
      <c r="E166" s="26">
        <f>(((Table3[[#This Row],[Core CPI]]-$C$496)/$C$496)*100)+100</f>
        <v>24.622271964185785</v>
      </c>
      <c r="F166" s="27">
        <v>2.8037383177570159E-2</v>
      </c>
      <c r="G166" s="27">
        <f>VLOOKUP(Table3[[#This Row],[Date]],'PCE Core'!A:D,4,)</f>
        <v>2.9832677590903096E-2</v>
      </c>
    </row>
    <row r="167" spans="1:7" x14ac:dyDescent="0.2">
      <c r="A167" s="41">
        <v>26481</v>
      </c>
      <c r="B167" s="28">
        <f>VLOOKUP(Table3[[#This Row],[Date]],'PCE Core'!$A:$E,2,)</f>
        <v>23.888000000000002</v>
      </c>
      <c r="C167" s="28">
        <f>VLOOKUP(Table3[[#This Row],[Date]],Database!$A:$E,5)</f>
        <v>44.1</v>
      </c>
      <c r="D167" s="26">
        <f>(((Table3[[#This Row],[Core PCE]]-$B$496)/$B$496)*100)+100</f>
        <v>29.936337661035651</v>
      </c>
      <c r="E167" s="26">
        <f>(((Table3[[#This Row],[Core CPI]]-$C$496)/$C$496)*100)+100</f>
        <v>24.678231673195299</v>
      </c>
      <c r="F167" s="27">
        <v>2.7972027972028041E-2</v>
      </c>
      <c r="G167" s="27">
        <f>VLOOKUP(Table3[[#This Row],[Date]],'PCE Core'!A:D,4,)</f>
        <v>2.8856921354121875E-2</v>
      </c>
    </row>
    <row r="168" spans="1:7" x14ac:dyDescent="0.2">
      <c r="A168" s="38">
        <v>26512</v>
      </c>
      <c r="B168" s="28">
        <f>VLOOKUP(Table3[[#This Row],[Date]],'PCE Core'!$A:$E,2,)</f>
        <v>23.937999999999999</v>
      </c>
      <c r="C168" s="26">
        <f>VLOOKUP(Table3[[#This Row],[Date]],Database!$A:$E,5)</f>
        <v>44.3</v>
      </c>
      <c r="D168" s="26">
        <f>(((Table3[[#This Row],[Core PCE]]-$B$496)/$B$496)*100)+100</f>
        <v>29.998997443480874</v>
      </c>
      <c r="E168" s="26">
        <f>(((Table3[[#This Row],[Core CPI]]-$C$496)/$C$496)*100)+100</f>
        <v>24.790151091214327</v>
      </c>
      <c r="F168" s="27">
        <v>3.0232558139534821E-2</v>
      </c>
      <c r="G168" s="27">
        <f>VLOOKUP(Table3[[#This Row],[Date]],'PCE Core'!A:D,4,)</f>
        <v>2.954711625306428E-2</v>
      </c>
    </row>
    <row r="169" spans="1:7" x14ac:dyDescent="0.2">
      <c r="A169" s="41">
        <v>26543</v>
      </c>
      <c r="B169" s="28">
        <f>VLOOKUP(Table3[[#This Row],[Date]],'PCE Core'!$A:$E,2,)</f>
        <v>24.018000000000001</v>
      </c>
      <c r="C169" s="28">
        <f>VLOOKUP(Table3[[#This Row],[Date]],Database!$A:$E,5)</f>
        <v>44.3</v>
      </c>
      <c r="D169" s="26">
        <f>(((Table3[[#This Row],[Core PCE]]-$B$496)/$B$496)*100)+100</f>
        <v>30.099253095393252</v>
      </c>
      <c r="E169" s="26">
        <f>(((Table3[[#This Row],[Core CPI]]-$C$496)/$C$496)*100)+100</f>
        <v>24.790151091214327</v>
      </c>
      <c r="F169" s="27">
        <v>3.0232558139534821E-2</v>
      </c>
      <c r="G169" s="27">
        <f>VLOOKUP(Table3[[#This Row],[Date]],'PCE Core'!A:D,4,)</f>
        <v>3.130233157284551E-2</v>
      </c>
    </row>
    <row r="170" spans="1:7" x14ac:dyDescent="0.2">
      <c r="A170" s="38">
        <v>26573</v>
      </c>
      <c r="B170" s="28">
        <f>VLOOKUP(Table3[[#This Row],[Date]],'PCE Core'!$A:$E,2,)</f>
        <v>24.032</v>
      </c>
      <c r="C170" s="28">
        <f>VLOOKUP(Table3[[#This Row],[Date]],Database!$A:$E,5)</f>
        <v>44.4</v>
      </c>
      <c r="D170" s="26">
        <f>(((Table3[[#This Row],[Core PCE]]-$B$496)/$B$496)*100)+100</f>
        <v>30.116797834477921</v>
      </c>
      <c r="E170" s="26">
        <f>(((Table3[[#This Row],[Core CPI]]-$C$496)/$C$496)*100)+100</f>
        <v>24.84611080022384</v>
      </c>
      <c r="F170" s="27">
        <v>3.0162412993039379E-2</v>
      </c>
      <c r="G170" s="27">
        <f>VLOOKUP(Table3[[#This Row],[Date]],'PCE Core'!A:D,4,)</f>
        <v>3.0266655234502251E-2</v>
      </c>
    </row>
    <row r="171" spans="1:7" x14ac:dyDescent="0.2">
      <c r="A171" s="41">
        <v>26604</v>
      </c>
      <c r="B171" s="28">
        <f>VLOOKUP(Table3[[#This Row],[Date]],'PCE Core'!$A:$E,2,)</f>
        <v>24.094999999999999</v>
      </c>
      <c r="C171" s="26">
        <f>VLOOKUP(Table3[[#This Row],[Date]],Database!$A:$E,5)</f>
        <v>44.4</v>
      </c>
      <c r="D171" s="26">
        <f>(((Table3[[#This Row],[Core PCE]]-$B$496)/$B$496)*100)+100</f>
        <v>30.195749160358915</v>
      </c>
      <c r="E171" s="26">
        <f>(((Table3[[#This Row],[Core CPI]]-$C$496)/$C$496)*100)+100</f>
        <v>24.84611080022384</v>
      </c>
      <c r="F171" s="27">
        <v>2.7777777777777679E-2</v>
      </c>
      <c r="G171" s="27">
        <f>VLOOKUP(Table3[[#This Row],[Date]],'PCE Core'!A:D,4,)</f>
        <v>3.0625775268403162E-2</v>
      </c>
    </row>
    <row r="172" spans="1:7" x14ac:dyDescent="0.2">
      <c r="A172" s="38">
        <v>26634</v>
      </c>
      <c r="B172" s="28">
        <f>VLOOKUP(Table3[[#This Row],[Date]],'PCE Core'!$A:$E,2,)</f>
        <v>24.167999999999999</v>
      </c>
      <c r="C172" s="28">
        <f>VLOOKUP(Table3[[#This Row],[Date]],Database!$A:$E,5)</f>
        <v>44.6</v>
      </c>
      <c r="D172" s="26">
        <f>(((Table3[[#This Row],[Core PCE]]-$B$496)/$B$496)*100)+100</f>
        <v>30.28723244272895</v>
      </c>
      <c r="E172" s="26">
        <f>(((Table3[[#This Row],[Core CPI]]-$C$496)/$C$496)*100)+100</f>
        <v>24.958030218242868</v>
      </c>
      <c r="F172" s="27">
        <v>3.002309468822181E-2</v>
      </c>
      <c r="G172" s="27">
        <f>VLOOKUP(Table3[[#This Row],[Date]],'PCE Core'!A:D,4,)</f>
        <v>3.0530445164591399E-2</v>
      </c>
    </row>
    <row r="173" spans="1:7" x14ac:dyDescent="0.2">
      <c r="A173" s="41">
        <v>26665</v>
      </c>
      <c r="B173" s="28">
        <f>VLOOKUP(Table3[[#This Row],[Date]],'PCE Core'!$A:$E,2,)</f>
        <v>24.183</v>
      </c>
      <c r="C173" s="28">
        <f>VLOOKUP(Table3[[#This Row],[Date]],Database!$A:$E,5)</f>
        <v>44.6</v>
      </c>
      <c r="D173" s="26">
        <f>(((Table3[[#This Row],[Core PCE]]-$B$496)/$B$496)*100)+100</f>
        <v>30.30603037746252</v>
      </c>
      <c r="E173" s="26">
        <f>(((Table3[[#This Row],[Core CPI]]-$C$496)/$C$496)*100)+100</f>
        <v>24.958030218242868</v>
      </c>
      <c r="F173" s="27">
        <v>2.5287356321839111E-2</v>
      </c>
      <c r="G173" s="27">
        <f>VLOOKUP(Table3[[#This Row],[Date]],'PCE Core'!A:D,4,)</f>
        <v>2.6791779891304358E-2</v>
      </c>
    </row>
    <row r="174" spans="1:7" x14ac:dyDescent="0.2">
      <c r="A174" s="38">
        <v>26696</v>
      </c>
      <c r="B174" s="28">
        <f>VLOOKUP(Table3[[#This Row],[Date]],'PCE Core'!$A:$E,2,)</f>
        <v>24.259</v>
      </c>
      <c r="C174" s="26">
        <f>VLOOKUP(Table3[[#This Row],[Date]],Database!$A:$E,5)</f>
        <v>44.8</v>
      </c>
      <c r="D174" s="26">
        <f>(((Table3[[#This Row],[Core PCE]]-$B$496)/$B$496)*100)+100</f>
        <v>30.401273246779283</v>
      </c>
      <c r="E174" s="26">
        <f>(((Table3[[#This Row],[Core CPI]]-$C$496)/$C$496)*100)+100</f>
        <v>25.069949636261896</v>
      </c>
      <c r="F174" s="27">
        <v>2.7522935779816411E-2</v>
      </c>
      <c r="G174" s="27">
        <f>VLOOKUP(Table3[[#This Row],[Date]],'PCE Core'!A:D,4,)</f>
        <v>2.7270802456066143E-2</v>
      </c>
    </row>
    <row r="175" spans="1:7" x14ac:dyDescent="0.2">
      <c r="A175" s="41">
        <v>26724</v>
      </c>
      <c r="B175" s="28">
        <f>VLOOKUP(Table3[[#This Row],[Date]],'PCE Core'!$A:$E,2,)</f>
        <v>24.356999999999999</v>
      </c>
      <c r="C175" s="28">
        <f>VLOOKUP(Table3[[#This Row],[Date]],Database!$A:$E,5)</f>
        <v>45</v>
      </c>
      <c r="D175" s="26">
        <f>(((Table3[[#This Row],[Core PCE]]-$B$496)/$B$496)*100)+100</f>
        <v>30.524086420371944</v>
      </c>
      <c r="E175" s="26">
        <f>(((Table3[[#This Row],[Core CPI]]-$C$496)/$C$496)*100)+100</f>
        <v>25.181869054280909</v>
      </c>
      <c r="F175" s="27">
        <v>3.2110091743119233E-2</v>
      </c>
      <c r="G175" s="27">
        <f>VLOOKUP(Table3[[#This Row],[Date]],'PCE Core'!A:D,4,)</f>
        <v>2.9371988842870438E-2</v>
      </c>
    </row>
    <row r="176" spans="1:7" x14ac:dyDescent="0.2">
      <c r="A176" s="38">
        <v>26755</v>
      </c>
      <c r="B176" s="28">
        <f>VLOOKUP(Table3[[#This Row],[Date]],'PCE Core'!$A:$E,2,)</f>
        <v>24.498000000000001</v>
      </c>
      <c r="C176" s="28">
        <f>VLOOKUP(Table3[[#This Row],[Date]],Database!$A:$E,5)</f>
        <v>45.1</v>
      </c>
      <c r="D176" s="26">
        <f>(((Table3[[#This Row],[Core PCE]]-$B$496)/$B$496)*100)+100</f>
        <v>30.700787006867515</v>
      </c>
      <c r="E176" s="26">
        <f>(((Table3[[#This Row],[Core CPI]]-$C$496)/$C$496)*100)+100</f>
        <v>25.237828763290423</v>
      </c>
      <c r="F176" s="27">
        <v>2.9680365296803748E-2</v>
      </c>
      <c r="G176" s="27">
        <f>VLOOKUP(Table3[[#This Row],[Date]],'PCE Core'!A:D,4,)</f>
        <v>3.2929965847282638E-2</v>
      </c>
    </row>
    <row r="177" spans="1:7" x14ac:dyDescent="0.2">
      <c r="A177" s="41">
        <v>26785</v>
      </c>
      <c r="B177" s="28">
        <f>VLOOKUP(Table3[[#This Row],[Date]],'PCE Core'!$A:$E,2,)</f>
        <v>24.593</v>
      </c>
      <c r="C177" s="26">
        <f>VLOOKUP(Table3[[#This Row],[Date]],Database!$A:$E,5)</f>
        <v>45.3</v>
      </c>
      <c r="D177" s="26">
        <f>(((Table3[[#This Row],[Core PCE]]-$B$496)/$B$496)*100)+100</f>
        <v>30.819840593513462</v>
      </c>
      <c r="E177" s="26">
        <f>(((Table3[[#This Row],[Core CPI]]-$C$496)/$C$496)*100)+100</f>
        <v>25.349748181309465</v>
      </c>
      <c r="F177" s="27">
        <v>3.1890660592255093E-2</v>
      </c>
      <c r="G177" s="27">
        <f>VLOOKUP(Table3[[#This Row],[Date]],'PCE Core'!A:D,4,)</f>
        <v>3.4536429412754567E-2</v>
      </c>
    </row>
    <row r="178" spans="1:7" x14ac:dyDescent="0.2">
      <c r="A178" s="38">
        <v>26816</v>
      </c>
      <c r="B178" s="28">
        <f>VLOOKUP(Table3[[#This Row],[Date]],'PCE Core'!$A:$E,2,)</f>
        <v>24.699000000000002</v>
      </c>
      <c r="C178" s="28">
        <f>VLOOKUP(Table3[[#This Row],[Date]],Database!$A:$E,5)</f>
        <v>45.4</v>
      </c>
      <c r="D178" s="26">
        <f>(((Table3[[#This Row],[Core PCE]]-$B$496)/$B$496)*100)+100</f>
        <v>30.95267933229735</v>
      </c>
      <c r="E178" s="26">
        <f>(((Table3[[#This Row],[Core CPI]]-$C$496)/$C$496)*100)+100</f>
        <v>25.405707890318979</v>
      </c>
      <c r="F178" s="27">
        <v>3.1818181818181787E-2</v>
      </c>
      <c r="G178" s="27">
        <f>VLOOKUP(Table3[[#This Row],[Date]],'PCE Core'!A:D,4,)</f>
        <v>3.6945295772282741E-2</v>
      </c>
    </row>
    <row r="179" spans="1:7" x14ac:dyDescent="0.2">
      <c r="A179" s="41">
        <v>26846</v>
      </c>
      <c r="B179" s="28">
        <f>VLOOKUP(Table3[[#This Row],[Date]],'PCE Core'!$A:$E,2,)</f>
        <v>24.805</v>
      </c>
      <c r="C179" s="28">
        <f>VLOOKUP(Table3[[#This Row],[Date]],Database!$A:$E,5)</f>
        <v>45.5</v>
      </c>
      <c r="D179" s="26">
        <f>(((Table3[[#This Row],[Core PCE]]-$B$496)/$B$496)*100)+100</f>
        <v>31.085518071081253</v>
      </c>
      <c r="E179" s="26">
        <f>(((Table3[[#This Row],[Core CPI]]-$C$496)/$C$496)*100)+100</f>
        <v>25.461667599328479</v>
      </c>
      <c r="F179" s="27">
        <v>3.174603174603171E-2</v>
      </c>
      <c r="G179" s="27">
        <f>VLOOKUP(Table3[[#This Row],[Date]],'PCE Core'!A:D,4,)</f>
        <v>3.8387474882786252E-2</v>
      </c>
    </row>
    <row r="180" spans="1:7" x14ac:dyDescent="0.2">
      <c r="A180" s="38">
        <v>26877</v>
      </c>
      <c r="B180" s="28">
        <f>VLOOKUP(Table3[[#This Row],[Date]],'PCE Core'!$A:$E,2,)</f>
        <v>24.920999999999999</v>
      </c>
      <c r="C180" s="26">
        <f>VLOOKUP(Table3[[#This Row],[Date]],Database!$A:$E,5)</f>
        <v>45.7</v>
      </c>
      <c r="D180" s="26">
        <f>(((Table3[[#This Row],[Core PCE]]-$B$496)/$B$496)*100)+100</f>
        <v>31.230888766354198</v>
      </c>
      <c r="E180" s="26">
        <f>(((Table3[[#This Row],[Core CPI]]-$C$496)/$C$496)*100)+100</f>
        <v>25.573587017347506</v>
      </c>
      <c r="F180" s="27">
        <v>3.1602708803611872E-2</v>
      </c>
      <c r="G180" s="27">
        <f>VLOOKUP(Table3[[#This Row],[Date]],'PCE Core'!A:D,4,)</f>
        <v>4.1064416409056753E-2</v>
      </c>
    </row>
    <row r="181" spans="1:7" x14ac:dyDescent="0.2">
      <c r="A181" s="41">
        <v>26908</v>
      </c>
      <c r="B181" s="28">
        <f>VLOOKUP(Table3[[#This Row],[Date]],'PCE Core'!$A:$E,2,)</f>
        <v>25.045999999999999</v>
      </c>
      <c r="C181" s="28">
        <f>VLOOKUP(Table3[[#This Row],[Date]],Database!$A:$E,5)</f>
        <v>46</v>
      </c>
      <c r="D181" s="26">
        <f>(((Table3[[#This Row],[Core PCE]]-$B$496)/$B$496)*100)+100</f>
        <v>31.387538222467299</v>
      </c>
      <c r="E181" s="26">
        <f>(((Table3[[#This Row],[Core CPI]]-$C$496)/$C$496)*100)+100</f>
        <v>25.741466144376048</v>
      </c>
      <c r="F181" s="27">
        <v>3.8374717832957178E-2</v>
      </c>
      <c r="G181" s="27">
        <f>VLOOKUP(Table3[[#This Row],[Date]],'PCE Core'!A:D,4,)</f>
        <v>4.2801232409026509E-2</v>
      </c>
    </row>
    <row r="182" spans="1:7" x14ac:dyDescent="0.2">
      <c r="A182" s="38">
        <v>26938</v>
      </c>
      <c r="B182" s="28">
        <f>VLOOKUP(Table3[[#This Row],[Date]],'PCE Core'!$A:$E,2,)</f>
        <v>25.143000000000001</v>
      </c>
      <c r="C182" s="28">
        <f>VLOOKUP(Table3[[#This Row],[Date]],Database!$A:$E,5)</f>
        <v>46.3</v>
      </c>
      <c r="D182" s="26">
        <f>(((Table3[[#This Row],[Core PCE]]-$B$496)/$B$496)*100)+100</f>
        <v>31.509098200411046</v>
      </c>
      <c r="E182" s="26">
        <f>(((Table3[[#This Row],[Core CPI]]-$C$496)/$C$496)*100)+100</f>
        <v>25.90934527140459</v>
      </c>
      <c r="F182" s="27">
        <v>4.2792792792792772E-2</v>
      </c>
      <c r="G182" s="27">
        <f>VLOOKUP(Table3[[#This Row],[Date]],'PCE Core'!A:D,4,)</f>
        <v>4.623002663115848E-2</v>
      </c>
    </row>
    <row r="183" spans="1:7" x14ac:dyDescent="0.2">
      <c r="A183" s="41">
        <v>26969</v>
      </c>
      <c r="B183" s="28">
        <f>VLOOKUP(Table3[[#This Row],[Date]],'PCE Core'!$A:$E,2,)</f>
        <v>25.263999999999999</v>
      </c>
      <c r="C183" s="26">
        <f>VLOOKUP(Table3[[#This Row],[Date]],Database!$A:$E,5)</f>
        <v>46.5</v>
      </c>
      <c r="D183" s="26">
        <f>(((Table3[[#This Row],[Core PCE]]-$B$496)/$B$496)*100)+100</f>
        <v>31.660734873928504</v>
      </c>
      <c r="E183" s="26">
        <f>(((Table3[[#This Row],[Core CPI]]-$C$496)/$C$496)*100)+100</f>
        <v>26.021264689423617</v>
      </c>
      <c r="F183" s="27">
        <v>4.7297297297297328E-2</v>
      </c>
      <c r="G183" s="27">
        <f>VLOOKUP(Table3[[#This Row],[Date]],'PCE Core'!A:D,4,)</f>
        <v>4.8516289686657006E-2</v>
      </c>
    </row>
    <row r="184" spans="1:7" x14ac:dyDescent="0.2">
      <c r="A184" s="38">
        <v>26999</v>
      </c>
      <c r="B184" s="28">
        <f>VLOOKUP(Table3[[#This Row],[Date]],'PCE Core'!$A:$E,2,)</f>
        <v>25.404</v>
      </c>
      <c r="C184" s="28">
        <f>VLOOKUP(Table3[[#This Row],[Date]],Database!$A:$E,5)</f>
        <v>46.7</v>
      </c>
      <c r="D184" s="26">
        <f>(((Table3[[#This Row],[Core PCE]]-$B$496)/$B$496)*100)+100</f>
        <v>31.836182264775175</v>
      </c>
      <c r="E184" s="26">
        <f>(((Table3[[#This Row],[Core CPI]]-$C$496)/$C$496)*100)+100</f>
        <v>26.133184107442645</v>
      </c>
      <c r="F184" s="27">
        <v>4.7085201793721998E-2</v>
      </c>
      <c r="G184" s="27">
        <f>VLOOKUP(Table3[[#This Row],[Date]],'PCE Core'!A:D,4,)</f>
        <v>5.1142005958291985E-2</v>
      </c>
    </row>
    <row r="185" spans="1:7" x14ac:dyDescent="0.2">
      <c r="A185" s="41">
        <v>27030</v>
      </c>
      <c r="B185" s="28">
        <f>VLOOKUP(Table3[[#This Row],[Date]],'PCE Core'!$A:$E,2,)</f>
        <v>25.529</v>
      </c>
      <c r="C185" s="28">
        <f>VLOOKUP(Table3[[#This Row],[Date]],Database!$A:$E,5)</f>
        <v>46.9</v>
      </c>
      <c r="D185" s="26">
        <f>(((Table3[[#This Row],[Core PCE]]-$B$496)/$B$496)*100)+100</f>
        <v>31.992831720888262</v>
      </c>
      <c r="E185" s="26">
        <f>(((Table3[[#This Row],[Core CPI]]-$C$496)/$C$496)*100)+100</f>
        <v>26.245103525461673</v>
      </c>
      <c r="F185" s="27">
        <v>5.1569506726457333E-2</v>
      </c>
      <c r="G185" s="27">
        <f>VLOOKUP(Table3[[#This Row],[Date]],'PCE Core'!A:D,4,)</f>
        <v>5.5658933961874046E-2</v>
      </c>
    </row>
    <row r="186" spans="1:7" x14ac:dyDescent="0.2">
      <c r="A186" s="38">
        <v>27061</v>
      </c>
      <c r="B186" s="28">
        <f>VLOOKUP(Table3[[#This Row],[Date]],'PCE Core'!$A:$E,2,)</f>
        <v>25.692</v>
      </c>
      <c r="C186" s="26">
        <f>VLOOKUP(Table3[[#This Row],[Date]],Database!$A:$E,5)</f>
        <v>47.2</v>
      </c>
      <c r="D186" s="26">
        <f>(((Table3[[#This Row],[Core PCE]]-$B$496)/$B$496)*100)+100</f>
        <v>32.19710261165973</v>
      </c>
      <c r="E186" s="26">
        <f>(((Table3[[#This Row],[Core CPI]]-$C$496)/$C$496)*100)+100</f>
        <v>26.4129826524902</v>
      </c>
      <c r="F186" s="27">
        <v>5.35714285714287E-2</v>
      </c>
      <c r="G186" s="27">
        <f>VLOOKUP(Table3[[#This Row],[Date]],'PCE Core'!A:D,4,)</f>
        <v>5.9070860299270368E-2</v>
      </c>
    </row>
    <row r="187" spans="1:7" x14ac:dyDescent="0.2">
      <c r="A187" s="41">
        <v>27089</v>
      </c>
      <c r="B187" s="28">
        <f>VLOOKUP(Table3[[#This Row],[Date]],'PCE Core'!$A:$E,2,)</f>
        <v>25.891999999999999</v>
      </c>
      <c r="C187" s="28">
        <f>VLOOKUP(Table3[[#This Row],[Date]],Database!$A:$E,5)</f>
        <v>47.6</v>
      </c>
      <c r="D187" s="26">
        <f>(((Table3[[#This Row],[Core PCE]]-$B$496)/$B$496)*100)+100</f>
        <v>32.447741741440666</v>
      </c>
      <c r="E187" s="26">
        <f>(((Table3[[#This Row],[Core CPI]]-$C$496)/$C$496)*100)+100</f>
        <v>26.636821488528255</v>
      </c>
      <c r="F187" s="27">
        <v>5.777777777777781E-2</v>
      </c>
      <c r="G187" s="27">
        <f>VLOOKUP(Table3[[#This Row],[Date]],'PCE Core'!A:D,4,)</f>
        <v>6.3020897483269708E-2</v>
      </c>
    </row>
    <row r="188" spans="1:7" x14ac:dyDescent="0.2">
      <c r="A188" s="38">
        <v>27120</v>
      </c>
      <c r="B188" s="28">
        <f>VLOOKUP(Table3[[#This Row],[Date]],'PCE Core'!$A:$E,2,)</f>
        <v>26.085999999999999</v>
      </c>
      <c r="C188" s="28">
        <f>VLOOKUP(Table3[[#This Row],[Date]],Database!$A:$E,5)</f>
        <v>47.9</v>
      </c>
      <c r="D188" s="26">
        <f>(((Table3[[#This Row],[Core PCE]]-$B$496)/$B$496)*100)+100</f>
        <v>32.690861697328174</v>
      </c>
      <c r="E188" s="26">
        <f>(((Table3[[#This Row],[Core CPI]]-$C$496)/$C$496)*100)+100</f>
        <v>26.804700615556811</v>
      </c>
      <c r="F188" s="27">
        <v>6.208425720620836E-2</v>
      </c>
      <c r="G188" s="27">
        <f>VLOOKUP(Table3[[#This Row],[Date]],'PCE Core'!A:D,4,)</f>
        <v>6.4821618091272654E-2</v>
      </c>
    </row>
    <row r="189" spans="1:7" x14ac:dyDescent="0.2">
      <c r="A189" s="41">
        <v>27150</v>
      </c>
      <c r="B189" s="28">
        <f>VLOOKUP(Table3[[#This Row],[Date]],'PCE Core'!$A:$E,2,)</f>
        <v>26.337</v>
      </c>
      <c r="C189" s="26">
        <f>VLOOKUP(Table3[[#This Row],[Date]],Database!$A:$E,5)</f>
        <v>48.5</v>
      </c>
      <c r="D189" s="26">
        <f>(((Table3[[#This Row],[Core PCE]]-$B$496)/$B$496)*100)+100</f>
        <v>33.005413805203261</v>
      </c>
      <c r="E189" s="26">
        <f>(((Table3[[#This Row],[Core CPI]]-$C$496)/$C$496)*100)+100</f>
        <v>27.14045886961388</v>
      </c>
      <c r="F189" s="27">
        <v>7.064017660044157E-2</v>
      </c>
      <c r="G189" s="27">
        <f>VLOOKUP(Table3[[#This Row],[Date]],'PCE Core'!A:D,4,)</f>
        <v>7.0914487862399858E-2</v>
      </c>
    </row>
    <row r="190" spans="1:7" x14ac:dyDescent="0.2">
      <c r="A190" s="38">
        <v>27181</v>
      </c>
      <c r="B190" s="28">
        <f>VLOOKUP(Table3[[#This Row],[Date]],'PCE Core'!$A:$E,2,)</f>
        <v>26.606999999999999</v>
      </c>
      <c r="C190" s="28">
        <f>VLOOKUP(Table3[[#This Row],[Date]],Database!$A:$E,5)</f>
        <v>49</v>
      </c>
      <c r="D190" s="26">
        <f>(((Table3[[#This Row],[Core PCE]]-$B$496)/$B$496)*100)+100</f>
        <v>33.343776630407547</v>
      </c>
      <c r="E190" s="26">
        <f>(((Table3[[#This Row],[Core CPI]]-$C$496)/$C$496)*100)+100</f>
        <v>27.420257414661435</v>
      </c>
      <c r="F190" s="27">
        <v>7.929515418502206E-2</v>
      </c>
      <c r="G190" s="27">
        <f>VLOOKUP(Table3[[#This Row],[Date]],'PCE Core'!A:D,4,)</f>
        <v>7.7250091096805446E-2</v>
      </c>
    </row>
    <row r="191" spans="1:7" x14ac:dyDescent="0.2">
      <c r="A191" s="41">
        <v>27211</v>
      </c>
      <c r="B191" s="28">
        <f>VLOOKUP(Table3[[#This Row],[Date]],'PCE Core'!$A:$E,2,)</f>
        <v>26.843</v>
      </c>
      <c r="C191" s="28">
        <f>VLOOKUP(Table3[[#This Row],[Date]],Database!$A:$E,5)</f>
        <v>49.5</v>
      </c>
      <c r="D191" s="26">
        <f>(((Table3[[#This Row],[Core PCE]]-$B$496)/$B$496)*100)+100</f>
        <v>33.63953080354905</v>
      </c>
      <c r="E191" s="26">
        <f>(((Table3[[#This Row],[Core CPI]]-$C$496)/$C$496)*100)+100</f>
        <v>27.700055959709019</v>
      </c>
      <c r="F191" s="27">
        <v>8.7912087912087919E-2</v>
      </c>
      <c r="G191" s="27">
        <f>VLOOKUP(Table3[[#This Row],[Date]],'PCE Core'!A:D,4,)</f>
        <v>8.2160854666397914E-2</v>
      </c>
    </row>
    <row r="192" spans="1:7" x14ac:dyDescent="0.2">
      <c r="A192" s="38">
        <v>27242</v>
      </c>
      <c r="B192" s="28">
        <f>VLOOKUP(Table3[[#This Row],[Date]],'PCE Core'!$A:$E,2,)</f>
        <v>27.100999999999999</v>
      </c>
      <c r="C192" s="26">
        <f>VLOOKUP(Table3[[#This Row],[Date]],Database!$A:$E,5)</f>
        <v>50.2</v>
      </c>
      <c r="D192" s="26">
        <f>(((Table3[[#This Row],[Core PCE]]-$B$496)/$B$496)*100)+100</f>
        <v>33.962855280966465</v>
      </c>
      <c r="E192" s="26">
        <f>(((Table3[[#This Row],[Core CPI]]-$C$496)/$C$496)*100)+100</f>
        <v>28.091773922775602</v>
      </c>
      <c r="F192" s="27">
        <v>9.8468271334792121E-2</v>
      </c>
      <c r="G192" s="27">
        <f>VLOOKUP(Table3[[#This Row],[Date]],'PCE Core'!A:D,4,)</f>
        <v>8.7476425504594515E-2</v>
      </c>
    </row>
    <row r="193" spans="1:7" x14ac:dyDescent="0.2">
      <c r="A193" s="41">
        <v>27273</v>
      </c>
      <c r="B193" s="28">
        <f>VLOOKUP(Table3[[#This Row],[Date]],'PCE Core'!$A:$E,2,)</f>
        <v>27.344999999999999</v>
      </c>
      <c r="C193" s="28">
        <f>VLOOKUP(Table3[[#This Row],[Date]],Database!$A:$E,5)</f>
        <v>50.7</v>
      </c>
      <c r="D193" s="26">
        <f>(((Table3[[#This Row],[Core PCE]]-$B$496)/$B$496)*100)+100</f>
        <v>34.268635019299211</v>
      </c>
      <c r="E193" s="26">
        <f>(((Table3[[#This Row],[Core CPI]]-$C$496)/$C$496)*100)+100</f>
        <v>28.371572467823171</v>
      </c>
      <c r="F193" s="27">
        <v>0.1021739130434783</v>
      </c>
      <c r="G193" s="27">
        <f>VLOOKUP(Table3[[#This Row],[Date]],'PCE Core'!A:D,4,)</f>
        <v>9.1791104367962936E-2</v>
      </c>
    </row>
    <row r="194" spans="1:7" x14ac:dyDescent="0.2">
      <c r="A194" s="38">
        <v>27303</v>
      </c>
      <c r="B194" s="28">
        <f>VLOOKUP(Table3[[#This Row],[Date]],'PCE Core'!$A:$E,2,)</f>
        <v>27.559000000000001</v>
      </c>
      <c r="C194" s="28">
        <f>VLOOKUP(Table3[[#This Row],[Date]],Database!$A:$E,5)</f>
        <v>51.2</v>
      </c>
      <c r="D194" s="26">
        <f>(((Table3[[#This Row],[Core PCE]]-$B$496)/$B$496)*100)+100</f>
        <v>34.536818888164817</v>
      </c>
      <c r="E194" s="26">
        <f>(((Table3[[#This Row],[Core CPI]]-$C$496)/$C$496)*100)+100</f>
        <v>28.65137101287074</v>
      </c>
      <c r="F194" s="27">
        <v>0.1058315334773219</v>
      </c>
      <c r="G194" s="27">
        <f>VLOOKUP(Table3[[#This Row],[Date]],'PCE Core'!A:D,4,)</f>
        <v>9.6090363122936812E-2</v>
      </c>
    </row>
    <row r="195" spans="1:7" x14ac:dyDescent="0.2">
      <c r="A195" s="41">
        <v>27334</v>
      </c>
      <c r="B195" s="28">
        <f>VLOOKUP(Table3[[#This Row],[Date]],'PCE Core'!$A:$E,2,)</f>
        <v>27.76</v>
      </c>
      <c r="C195" s="26">
        <f>VLOOKUP(Table3[[#This Row],[Date]],Database!$A:$E,5)</f>
        <v>51.6</v>
      </c>
      <c r="D195" s="26">
        <f>(((Table3[[#This Row],[Core PCE]]-$B$496)/$B$496)*100)+100</f>
        <v>34.788711213594667</v>
      </c>
      <c r="E195" s="26">
        <f>(((Table3[[#This Row],[Core CPI]]-$C$496)/$C$496)*100)+100</f>
        <v>28.875209848908796</v>
      </c>
      <c r="F195" s="27">
        <v>0.1096774193548387</v>
      </c>
      <c r="G195" s="27">
        <f>VLOOKUP(Table3[[#This Row],[Date]],'PCE Core'!A:D,4,)</f>
        <v>9.8796706776440882E-2</v>
      </c>
    </row>
    <row r="196" spans="1:7" x14ac:dyDescent="0.2">
      <c r="A196" s="38">
        <v>27364</v>
      </c>
      <c r="B196" s="28">
        <f>VLOOKUP(Table3[[#This Row],[Date]],'PCE Core'!$A:$E,2,)</f>
        <v>27.956</v>
      </c>
      <c r="C196" s="28">
        <f>VLOOKUP(Table3[[#This Row],[Date]],Database!$A:$E,5)</f>
        <v>52</v>
      </c>
      <c r="D196" s="26">
        <f>(((Table3[[#This Row],[Core PCE]]-$B$496)/$B$496)*100)+100</f>
        <v>35.034337560779989</v>
      </c>
      <c r="E196" s="26">
        <f>(((Table3[[#This Row],[Core CPI]]-$C$496)/$C$496)*100)+100</f>
        <v>29.099048684946837</v>
      </c>
      <c r="F196" s="27">
        <v>0.1134903640256959</v>
      </c>
      <c r="G196" s="27">
        <f>VLOOKUP(Table3[[#This Row],[Date]],'PCE Core'!A:D,4,)</f>
        <v>0.10045662100456619</v>
      </c>
    </row>
    <row r="197" spans="1:7" x14ac:dyDescent="0.2">
      <c r="A197" s="41">
        <v>27395</v>
      </c>
      <c r="B197" s="28">
        <f>VLOOKUP(Table3[[#This Row],[Date]],'PCE Core'!$A:$E,2,)</f>
        <v>28.119</v>
      </c>
      <c r="C197" s="28">
        <f>VLOOKUP(Table3[[#This Row],[Date]],Database!$A:$E,5)</f>
        <v>52.3</v>
      </c>
      <c r="D197" s="26">
        <f>(((Table3[[#This Row],[Core PCE]]-$B$496)/$B$496)*100)+100</f>
        <v>35.238608451551457</v>
      </c>
      <c r="E197" s="26">
        <f>(((Table3[[#This Row],[Core CPI]]-$C$496)/$C$496)*100)+100</f>
        <v>29.266927811975378</v>
      </c>
      <c r="F197" s="27">
        <v>0.11513859275053299</v>
      </c>
      <c r="G197" s="27">
        <f>VLOOKUP(Table3[[#This Row],[Date]],'PCE Core'!A:D,4,)</f>
        <v>0.10145324924595557</v>
      </c>
    </row>
    <row r="198" spans="1:7" x14ac:dyDescent="0.2">
      <c r="A198" s="38">
        <v>27426</v>
      </c>
      <c r="B198" s="28">
        <f>VLOOKUP(Table3[[#This Row],[Date]],'PCE Core'!$A:$E,2,)</f>
        <v>28.318000000000001</v>
      </c>
      <c r="C198" s="26">
        <f>VLOOKUP(Table3[[#This Row],[Date]],Database!$A:$E,5)</f>
        <v>52.8</v>
      </c>
      <c r="D198" s="26">
        <f>(((Table3[[#This Row],[Core PCE]]-$B$496)/$B$496)*100)+100</f>
        <v>35.487994385683493</v>
      </c>
      <c r="E198" s="26">
        <f>(((Table3[[#This Row],[Core CPI]]-$C$496)/$C$496)*100)+100</f>
        <v>29.546726357022948</v>
      </c>
      <c r="F198" s="27">
        <v>0.11864406779661001</v>
      </c>
      <c r="G198" s="27">
        <f>VLOOKUP(Table3[[#This Row],[Date]],'PCE Core'!A:D,4,)</f>
        <v>0.10221080491981945</v>
      </c>
    </row>
    <row r="199" spans="1:7" x14ac:dyDescent="0.2">
      <c r="A199" s="41">
        <v>27454</v>
      </c>
      <c r="B199" s="28">
        <f>VLOOKUP(Table3[[#This Row],[Date]],'PCE Core'!$A:$E,2,)</f>
        <v>28.466000000000001</v>
      </c>
      <c r="C199" s="28">
        <f>VLOOKUP(Table3[[#This Row],[Date]],Database!$A:$E,5)</f>
        <v>53</v>
      </c>
      <c r="D199" s="26">
        <f>(((Table3[[#This Row],[Core PCE]]-$B$496)/$B$496)*100)+100</f>
        <v>35.673467341721391</v>
      </c>
      <c r="E199" s="26">
        <f>(((Table3[[#This Row],[Core CPI]]-$C$496)/$C$496)*100)+100</f>
        <v>29.658645775041975</v>
      </c>
      <c r="F199" s="27">
        <v>0.1134453781512605</v>
      </c>
      <c r="G199" s="27">
        <f>VLOOKUP(Table3[[#This Row],[Date]],'PCE Core'!A:D,4,)</f>
        <v>9.9412946083732495E-2</v>
      </c>
    </row>
    <row r="200" spans="1:7" x14ac:dyDescent="0.2">
      <c r="A200" s="38">
        <v>27485</v>
      </c>
      <c r="B200" s="28">
        <f>VLOOKUP(Table3[[#This Row],[Date]],'PCE Core'!$A:$E,2,)</f>
        <v>28.603999999999999</v>
      </c>
      <c r="C200" s="28">
        <f>VLOOKUP(Table3[[#This Row],[Date]],Database!$A:$E,5)</f>
        <v>53.3</v>
      </c>
      <c r="D200" s="26">
        <f>(((Table3[[#This Row],[Core PCE]]-$B$496)/$B$496)*100)+100</f>
        <v>35.846408341270234</v>
      </c>
      <c r="E200" s="26">
        <f>(((Table3[[#This Row],[Core CPI]]-$C$496)/$C$496)*100)+100</f>
        <v>29.826524902070503</v>
      </c>
      <c r="F200" s="27">
        <v>0.11273486430062631</v>
      </c>
      <c r="G200" s="27">
        <f>VLOOKUP(Table3[[#This Row],[Date]],'PCE Core'!A:D,4,)</f>
        <v>9.6526872651997275E-2</v>
      </c>
    </row>
    <row r="201" spans="1:7" x14ac:dyDescent="0.2">
      <c r="A201" s="41">
        <v>27515</v>
      </c>
      <c r="B201" s="28">
        <f>VLOOKUP(Table3[[#This Row],[Date]],'PCE Core'!$A:$E,2,)</f>
        <v>28.725000000000001</v>
      </c>
      <c r="C201" s="26">
        <f>VLOOKUP(Table3[[#This Row],[Date]],Database!$A:$E,5)</f>
        <v>53.5</v>
      </c>
      <c r="D201" s="26">
        <f>(((Table3[[#This Row],[Core PCE]]-$B$496)/$B$496)*100)+100</f>
        <v>35.998045014787706</v>
      </c>
      <c r="E201" s="26">
        <f>(((Table3[[#This Row],[Core CPI]]-$C$496)/$C$496)*100)+100</f>
        <v>29.938444320089545</v>
      </c>
      <c r="F201" s="27">
        <v>0.10309278350515461</v>
      </c>
      <c r="G201" s="27">
        <f>VLOOKUP(Table3[[#This Row],[Date]],'PCE Core'!A:D,4,)</f>
        <v>9.0670919239093359E-2</v>
      </c>
    </row>
    <row r="202" spans="1:7" x14ac:dyDescent="0.2">
      <c r="A202" s="38">
        <v>27546</v>
      </c>
      <c r="B202" s="28">
        <f>VLOOKUP(Table3[[#This Row],[Date]],'PCE Core'!$A:$E,2,)</f>
        <v>28.866</v>
      </c>
      <c r="C202" s="28">
        <f>VLOOKUP(Table3[[#This Row],[Date]],Database!$A:$E,5)</f>
        <v>53.8</v>
      </c>
      <c r="D202" s="26">
        <f>(((Table3[[#This Row],[Core PCE]]-$B$496)/$B$496)*100)+100</f>
        <v>36.174745601283263</v>
      </c>
      <c r="E202" s="26">
        <f>(((Table3[[#This Row],[Core CPI]]-$C$496)/$C$496)*100)+100</f>
        <v>30.106323447118072</v>
      </c>
      <c r="F202" s="27">
        <v>9.7959183673469327E-2</v>
      </c>
      <c r="G202" s="27">
        <f>VLOOKUP(Table3[[#This Row],[Date]],'PCE Core'!A:D,4,)</f>
        <v>8.4902469275002834E-2</v>
      </c>
    </row>
    <row r="203" spans="1:7" x14ac:dyDescent="0.2">
      <c r="A203" s="41">
        <v>27576</v>
      </c>
      <c r="B203" s="28">
        <f>VLOOKUP(Table3[[#This Row],[Date]],'PCE Core'!$A:$E,2,)</f>
        <v>29.044</v>
      </c>
      <c r="C203" s="28">
        <f>VLOOKUP(Table3[[#This Row],[Date]],Database!$A:$E,5)</f>
        <v>54</v>
      </c>
      <c r="D203" s="26">
        <f>(((Table3[[#This Row],[Core PCE]]-$B$496)/$B$496)*100)+100</f>
        <v>36.397814426788301</v>
      </c>
      <c r="E203" s="26">
        <f>(((Table3[[#This Row],[Core CPI]]-$C$496)/$C$496)*100)+100</f>
        <v>30.2182428651371</v>
      </c>
      <c r="F203" s="27">
        <v>9.0909090909090912E-2</v>
      </c>
      <c r="G203" s="27">
        <f>VLOOKUP(Table3[[#This Row],[Date]],'PCE Core'!A:D,4,)</f>
        <v>8.1995306038818327E-2</v>
      </c>
    </row>
    <row r="204" spans="1:7" x14ac:dyDescent="0.2">
      <c r="A204" s="38">
        <v>27607</v>
      </c>
      <c r="B204" s="28">
        <f>VLOOKUP(Table3[[#This Row],[Date]],'PCE Core'!$A:$E,2,)</f>
        <v>29.143999999999998</v>
      </c>
      <c r="C204" s="26">
        <f>VLOOKUP(Table3[[#This Row],[Date]],Database!$A:$E,5)</f>
        <v>54.2</v>
      </c>
      <c r="D204" s="26">
        <f>(((Table3[[#This Row],[Core PCE]]-$B$496)/$B$496)*100)+100</f>
        <v>36.523133991678783</v>
      </c>
      <c r="E204" s="26">
        <f>(((Table3[[#This Row],[Core CPI]]-$C$496)/$C$496)*100)+100</f>
        <v>30.330162283156128</v>
      </c>
      <c r="F204" s="27">
        <v>7.9681274900398405E-2</v>
      </c>
      <c r="G204" s="27">
        <f>VLOOKUP(Table3[[#This Row],[Date]],'PCE Core'!A:D,4,)</f>
        <v>7.5384672152319074E-2</v>
      </c>
    </row>
    <row r="205" spans="1:7" x14ac:dyDescent="0.2">
      <c r="A205" s="41">
        <v>27638</v>
      </c>
      <c r="B205" s="28">
        <f>VLOOKUP(Table3[[#This Row],[Date]],'PCE Core'!$A:$E,2,)</f>
        <v>29.302</v>
      </c>
      <c r="C205" s="28">
        <f>VLOOKUP(Table3[[#This Row],[Date]],Database!$A:$E,5)</f>
        <v>54.5</v>
      </c>
      <c r="D205" s="26">
        <f>(((Table3[[#This Row],[Core PCE]]-$B$496)/$B$496)*100)+100</f>
        <v>36.721138904205716</v>
      </c>
      <c r="E205" s="26">
        <f>(((Table3[[#This Row],[Core CPI]]-$C$496)/$C$496)*100)+100</f>
        <v>30.498041410184669</v>
      </c>
      <c r="F205" s="27">
        <v>7.4950690335305659E-2</v>
      </c>
      <c r="G205" s="27">
        <f>VLOOKUP(Table3[[#This Row],[Date]],'PCE Core'!A:D,4,)</f>
        <v>7.1567014079356409E-2</v>
      </c>
    </row>
    <row r="206" spans="1:7" x14ac:dyDescent="0.2">
      <c r="A206" s="38">
        <v>27668</v>
      </c>
      <c r="B206" s="28">
        <f>VLOOKUP(Table3[[#This Row],[Date]],'PCE Core'!$A:$E,2,)</f>
        <v>29.448</v>
      </c>
      <c r="C206" s="28">
        <f>VLOOKUP(Table3[[#This Row],[Date]],Database!$A:$E,5)</f>
        <v>54.8</v>
      </c>
      <c r="D206" s="26">
        <f>(((Table3[[#This Row],[Core PCE]]-$B$496)/$B$496)*100)+100</f>
        <v>36.904105468945815</v>
      </c>
      <c r="E206" s="26">
        <f>(((Table3[[#This Row],[Core CPI]]-$C$496)/$C$496)*100)+100</f>
        <v>30.665920537213211</v>
      </c>
      <c r="F206" s="27">
        <v>7.0312499999999889E-2</v>
      </c>
      <c r="G206" s="27">
        <f>VLOOKUP(Table3[[#This Row],[Date]],'PCE Core'!A:D,4,)</f>
        <v>6.8543851373417009E-2</v>
      </c>
    </row>
    <row r="207" spans="1:7" x14ac:dyDescent="0.2">
      <c r="A207" s="41">
        <v>27699</v>
      </c>
      <c r="B207" s="28">
        <f>VLOOKUP(Table3[[#This Row],[Date]],'PCE Core'!$A:$E,2,)</f>
        <v>29.643000000000001</v>
      </c>
      <c r="C207" s="26">
        <f>VLOOKUP(Table3[[#This Row],[Date]],Database!$A:$E,5)</f>
        <v>55.2</v>
      </c>
      <c r="D207" s="26">
        <f>(((Table3[[#This Row],[Core PCE]]-$B$496)/$B$496)*100)+100</f>
        <v>37.14847862048223</v>
      </c>
      <c r="E207" s="26">
        <f>(((Table3[[#This Row],[Core CPI]]-$C$496)/$C$496)*100)+100</f>
        <v>30.889759373251252</v>
      </c>
      <c r="F207" s="27">
        <v>6.9767441860465143E-2</v>
      </c>
      <c r="G207" s="27">
        <f>VLOOKUP(Table3[[#This Row],[Date]],'PCE Core'!A:D,4,)</f>
        <v>6.7831412103746366E-2</v>
      </c>
    </row>
    <row r="208" spans="1:7" x14ac:dyDescent="0.2">
      <c r="A208" s="38">
        <v>27729</v>
      </c>
      <c r="B208" s="28">
        <f>VLOOKUP(Table3[[#This Row],[Date]],'PCE Core'!$A:$E,2,)</f>
        <v>29.823</v>
      </c>
      <c r="C208" s="28">
        <f>VLOOKUP(Table3[[#This Row],[Date]],Database!$A:$E,5)</f>
        <v>55.5</v>
      </c>
      <c r="D208" s="26">
        <f>(((Table3[[#This Row],[Core PCE]]-$B$496)/$B$496)*100)+100</f>
        <v>37.374053837285068</v>
      </c>
      <c r="E208" s="26">
        <f>(((Table3[[#This Row],[Core CPI]]-$C$496)/$C$496)*100)+100</f>
        <v>31.057638500279808</v>
      </c>
      <c r="F208" s="27">
        <v>6.7307692307692304E-2</v>
      </c>
      <c r="G208" s="27">
        <f>VLOOKUP(Table3[[#This Row],[Date]],'PCE Core'!A:D,4,)</f>
        <v>6.6783516955215366E-2</v>
      </c>
    </row>
    <row r="209" spans="1:7" x14ac:dyDescent="0.2">
      <c r="A209" s="41">
        <v>27760</v>
      </c>
      <c r="B209" s="28">
        <f>VLOOKUP(Table3[[#This Row],[Date]],'PCE Core'!$A:$E,2,)</f>
        <v>29.975999999999999</v>
      </c>
      <c r="C209" s="28">
        <f>VLOOKUP(Table3[[#This Row],[Date]],Database!$A:$E,5)</f>
        <v>55.9</v>
      </c>
      <c r="D209" s="26">
        <f>(((Table3[[#This Row],[Core PCE]]-$B$496)/$B$496)*100)+100</f>
        <v>37.565792771567494</v>
      </c>
      <c r="E209" s="26">
        <f>(((Table3[[#This Row],[Core CPI]]-$C$496)/$C$496)*100)+100</f>
        <v>31.281477336317849</v>
      </c>
      <c r="F209" s="27">
        <v>6.8833652007648211E-2</v>
      </c>
      <c r="G209" s="27">
        <f>VLOOKUP(Table3[[#This Row],[Date]],'PCE Core'!A:D,4,)</f>
        <v>6.6040755361143691E-2</v>
      </c>
    </row>
    <row r="210" spans="1:7" x14ac:dyDescent="0.2">
      <c r="A210" s="38">
        <v>27791</v>
      </c>
      <c r="B210" s="28">
        <f>VLOOKUP(Table3[[#This Row],[Date]],'PCE Core'!$A:$E,2,)</f>
        <v>30.094999999999999</v>
      </c>
      <c r="C210" s="26">
        <f>VLOOKUP(Table3[[#This Row],[Date]],Database!$A:$E,5)</f>
        <v>56.2</v>
      </c>
      <c r="D210" s="26">
        <f>(((Table3[[#This Row],[Core PCE]]-$B$496)/$B$496)*100)+100</f>
        <v>37.714923053787153</v>
      </c>
      <c r="E210" s="26">
        <f>(((Table3[[#This Row],[Core CPI]]-$C$496)/$C$496)*100)+100</f>
        <v>31.44935646334639</v>
      </c>
      <c r="F210" s="27">
        <v>6.4393939393939503E-2</v>
      </c>
      <c r="G210" s="27">
        <f>VLOOKUP(Table3[[#This Row],[Date]],'PCE Core'!A:D,4,)</f>
        <v>6.2751606751889163E-2</v>
      </c>
    </row>
    <row r="211" spans="1:7" x14ac:dyDescent="0.2">
      <c r="A211" s="41">
        <v>27820</v>
      </c>
      <c r="B211" s="28">
        <f>VLOOKUP(Table3[[#This Row],[Date]],'PCE Core'!$A:$E,2,)</f>
        <v>30.195</v>
      </c>
      <c r="C211" s="28">
        <f>VLOOKUP(Table3[[#This Row],[Date]],Database!$A:$E,5)</f>
        <v>56.5</v>
      </c>
      <c r="D211" s="26">
        <f>(((Table3[[#This Row],[Core PCE]]-$B$496)/$B$496)*100)+100</f>
        <v>37.840242618677621</v>
      </c>
      <c r="E211" s="26">
        <f>(((Table3[[#This Row],[Core CPI]]-$C$496)/$C$496)*100)+100</f>
        <v>31.617235590374932</v>
      </c>
      <c r="F211" s="27">
        <v>6.6037735849056603E-2</v>
      </c>
      <c r="G211" s="27">
        <f>VLOOKUP(Table3[[#This Row],[Date]],'PCE Core'!A:D,4,)</f>
        <v>6.0739127380032287E-2</v>
      </c>
    </row>
    <row r="212" spans="1:7" x14ac:dyDescent="0.2">
      <c r="A212" s="38">
        <v>27851</v>
      </c>
      <c r="B212" s="28">
        <f>VLOOKUP(Table3[[#This Row],[Date]],'PCE Core'!$A:$E,2,)</f>
        <v>30.312000000000001</v>
      </c>
      <c r="C212" s="28">
        <f>VLOOKUP(Table3[[#This Row],[Date]],Database!$A:$E,5)</f>
        <v>56.7</v>
      </c>
      <c r="D212" s="26">
        <f>(((Table3[[#This Row],[Core PCE]]-$B$496)/$B$496)*100)+100</f>
        <v>37.986866509599473</v>
      </c>
      <c r="E212" s="26">
        <f>(((Table3[[#This Row],[Core CPI]]-$C$496)/$C$496)*100)+100</f>
        <v>31.72915500839396</v>
      </c>
      <c r="F212" s="27">
        <v>6.3789868667917554E-2</v>
      </c>
      <c r="G212" s="27">
        <f>VLOOKUP(Table3[[#This Row],[Date]],'PCE Core'!A:D,4,)</f>
        <v>5.9711928401622219E-2</v>
      </c>
    </row>
    <row r="213" spans="1:7" x14ac:dyDescent="0.2">
      <c r="A213" s="41">
        <v>27881</v>
      </c>
      <c r="B213" s="28">
        <f>VLOOKUP(Table3[[#This Row],[Date]],'PCE Core'!$A:$E,2,)</f>
        <v>30.456</v>
      </c>
      <c r="C213" s="26">
        <f>VLOOKUP(Table3[[#This Row],[Date]],Database!$A:$E,5)</f>
        <v>57</v>
      </c>
      <c r="D213" s="26">
        <f>(((Table3[[#This Row],[Core PCE]]-$B$496)/$B$496)*100)+100</f>
        <v>38.167326683041757</v>
      </c>
      <c r="E213" s="26">
        <f>(((Table3[[#This Row],[Core CPI]]-$C$496)/$C$496)*100)+100</f>
        <v>31.897034135422501</v>
      </c>
      <c r="F213" s="27">
        <v>6.5420560747663545E-2</v>
      </c>
      <c r="G213" s="27">
        <f>VLOOKUP(Table3[[#This Row],[Date]],'PCE Core'!A:D,4,)</f>
        <v>6.0261096605744059E-2</v>
      </c>
    </row>
    <row r="214" spans="1:7" x14ac:dyDescent="0.2">
      <c r="A214" s="38">
        <v>27912</v>
      </c>
      <c r="B214" s="28">
        <f>VLOOKUP(Table3[[#This Row],[Date]],'PCE Core'!$A:$E,2,)</f>
        <v>30.579000000000001</v>
      </c>
      <c r="C214" s="28">
        <f>VLOOKUP(Table3[[#This Row],[Date]],Database!$A:$E,5)</f>
        <v>57.2</v>
      </c>
      <c r="D214" s="26">
        <f>(((Table3[[#This Row],[Core PCE]]-$B$496)/$B$496)*100)+100</f>
        <v>38.32146974785703</v>
      </c>
      <c r="E214" s="26">
        <f>(((Table3[[#This Row],[Core CPI]]-$C$496)/$C$496)*100)+100</f>
        <v>32.008953553441515</v>
      </c>
      <c r="F214" s="27">
        <v>6.3197026022304939E-2</v>
      </c>
      <c r="G214" s="27">
        <f>VLOOKUP(Table3[[#This Row],[Date]],'PCE Core'!A:D,4,)</f>
        <v>5.9343171897734394E-2</v>
      </c>
    </row>
    <row r="215" spans="1:7" x14ac:dyDescent="0.2">
      <c r="A215" s="41">
        <v>27942</v>
      </c>
      <c r="B215" s="28">
        <f>VLOOKUP(Table3[[#This Row],[Date]],'PCE Core'!$A:$E,2,)</f>
        <v>30.748000000000001</v>
      </c>
      <c r="C215" s="28">
        <f>VLOOKUP(Table3[[#This Row],[Date]],Database!$A:$E,5)</f>
        <v>57.6</v>
      </c>
      <c r="D215" s="26">
        <f>(((Table3[[#This Row],[Core PCE]]-$B$496)/$B$496)*100)+100</f>
        <v>38.533259812521933</v>
      </c>
      <c r="E215" s="26">
        <f>(((Table3[[#This Row],[Core CPI]]-$C$496)/$C$496)*100)+100</f>
        <v>32.23279238947957</v>
      </c>
      <c r="F215" s="27">
        <v>6.6666666666666693E-2</v>
      </c>
      <c r="G215" s="27">
        <f>VLOOKUP(Table3[[#This Row],[Date]],'PCE Core'!A:D,4,)</f>
        <v>5.8669604737639464E-2</v>
      </c>
    </row>
    <row r="216" spans="1:7" x14ac:dyDescent="0.2">
      <c r="A216" s="38">
        <v>27973</v>
      </c>
      <c r="B216" s="28">
        <f>VLOOKUP(Table3[[#This Row],[Date]],'PCE Core'!$A:$E,2,)</f>
        <v>30.925000000000001</v>
      </c>
      <c r="C216" s="26">
        <f>VLOOKUP(Table3[[#This Row],[Date]],Database!$A:$E,5)</f>
        <v>57.9</v>
      </c>
      <c r="D216" s="26">
        <f>(((Table3[[#This Row],[Core PCE]]-$B$496)/$B$496)*100)+100</f>
        <v>38.755075442378065</v>
      </c>
      <c r="E216" s="26">
        <f>(((Table3[[#This Row],[Core CPI]]-$C$496)/$C$496)*100)+100</f>
        <v>32.400671516508112</v>
      </c>
      <c r="F216" s="27">
        <v>6.826568265682649E-2</v>
      </c>
      <c r="G216" s="27">
        <f>VLOOKUP(Table3[[#This Row],[Date]],'PCE Core'!A:D,4,)</f>
        <v>6.1110348613779938E-2</v>
      </c>
    </row>
    <row r="217" spans="1:7" x14ac:dyDescent="0.2">
      <c r="A217" s="41">
        <v>28004</v>
      </c>
      <c r="B217" s="28">
        <f>VLOOKUP(Table3[[#This Row],[Date]],'PCE Core'!$A:$E,2,)</f>
        <v>31.106000000000002</v>
      </c>
      <c r="C217" s="28">
        <f>VLOOKUP(Table3[[#This Row],[Date]],Database!$A:$E,5)</f>
        <v>58.2</v>
      </c>
      <c r="D217" s="26">
        <f>(((Table3[[#This Row],[Core PCE]]-$B$496)/$B$496)*100)+100</f>
        <v>38.981903854829817</v>
      </c>
      <c r="E217" s="26">
        <f>(((Table3[[#This Row],[Core CPI]]-$C$496)/$C$496)*100)+100</f>
        <v>32.568550643536653</v>
      </c>
      <c r="F217" s="27">
        <v>6.7889908256880779E-2</v>
      </c>
      <c r="G217" s="27">
        <f>VLOOKUP(Table3[[#This Row],[Date]],'PCE Core'!A:D,4,)</f>
        <v>6.1565763429117536E-2</v>
      </c>
    </row>
    <row r="218" spans="1:7" x14ac:dyDescent="0.2">
      <c r="A218" s="38">
        <v>28034</v>
      </c>
      <c r="B218" s="28">
        <f>VLOOKUP(Table3[[#This Row],[Date]],'PCE Core'!$A:$E,2,)</f>
        <v>31.257999999999999</v>
      </c>
      <c r="C218" s="28">
        <f>VLOOKUP(Table3[[#This Row],[Date]],Database!$A:$E,5)</f>
        <v>58.5</v>
      </c>
      <c r="D218" s="26">
        <f>(((Table3[[#This Row],[Core PCE]]-$B$496)/$B$496)*100)+100</f>
        <v>39.172389593463322</v>
      </c>
      <c r="E218" s="26">
        <f>(((Table3[[#This Row],[Core CPI]]-$C$496)/$C$496)*100)+100</f>
        <v>32.736429770565195</v>
      </c>
      <c r="F218" s="27">
        <v>6.7518248175182538E-2</v>
      </c>
      <c r="G218" s="27">
        <f>VLOOKUP(Table3[[#This Row],[Date]],'PCE Core'!A:D,4,)</f>
        <v>6.1464276011953228E-2</v>
      </c>
    </row>
    <row r="219" spans="1:7" x14ac:dyDescent="0.2">
      <c r="A219" s="41">
        <v>28065</v>
      </c>
      <c r="B219" s="28">
        <f>VLOOKUP(Table3[[#This Row],[Date]],'PCE Core'!$A:$E,2,)</f>
        <v>31.401</v>
      </c>
      <c r="C219" s="26">
        <f>VLOOKUP(Table3[[#This Row],[Date]],Database!$A:$E,5)</f>
        <v>58.7</v>
      </c>
      <c r="D219" s="26">
        <f>(((Table3[[#This Row],[Core PCE]]-$B$496)/$B$496)*100)+100</f>
        <v>39.3515965712567</v>
      </c>
      <c r="E219" s="26">
        <f>(((Table3[[#This Row],[Core CPI]]-$C$496)/$C$496)*100)+100</f>
        <v>32.848349188584223</v>
      </c>
      <c r="F219" s="27">
        <v>6.3405797101449266E-2</v>
      </c>
      <c r="G219" s="27">
        <f>VLOOKUP(Table3[[#This Row],[Date]],'PCE Core'!A:D,4,)</f>
        <v>5.930573828559859E-2</v>
      </c>
    </row>
    <row r="220" spans="1:7" x14ac:dyDescent="0.2">
      <c r="A220" s="38">
        <v>28095</v>
      </c>
      <c r="B220" s="28">
        <f>VLOOKUP(Table3[[#This Row],[Date]],'PCE Core'!$A:$E,2,)</f>
        <v>31.571000000000002</v>
      </c>
      <c r="C220" s="28">
        <f>VLOOKUP(Table3[[#This Row],[Date]],Database!$A:$E,5)</f>
        <v>58.9</v>
      </c>
      <c r="D220" s="26">
        <f>(((Table3[[#This Row],[Core PCE]]-$B$496)/$B$496)*100)+100</f>
        <v>39.564639831570503</v>
      </c>
      <c r="E220" s="26">
        <f>(((Table3[[#This Row],[Core CPI]]-$C$496)/$C$496)*100)+100</f>
        <v>32.96026860660325</v>
      </c>
      <c r="F220" s="27">
        <v>6.1261261261261232E-2</v>
      </c>
      <c r="G220" s="27">
        <f>VLOOKUP(Table3[[#This Row],[Date]],'PCE Core'!A:D,4,)</f>
        <v>5.8612480300439293E-2</v>
      </c>
    </row>
    <row r="221" spans="1:7" x14ac:dyDescent="0.2">
      <c r="A221" s="41">
        <v>28126</v>
      </c>
      <c r="B221" s="28">
        <f>VLOOKUP(Table3[[#This Row],[Date]],'PCE Core'!$A:$E,2,)</f>
        <v>31.763000000000002</v>
      </c>
      <c r="C221" s="28">
        <f>VLOOKUP(Table3[[#This Row],[Date]],Database!$A:$E,5)</f>
        <v>59.3</v>
      </c>
      <c r="D221" s="26">
        <f>(((Table3[[#This Row],[Core PCE]]-$B$496)/$B$496)*100)+100</f>
        <v>39.805253396160211</v>
      </c>
      <c r="E221" s="26">
        <f>(((Table3[[#This Row],[Core CPI]]-$C$496)/$C$496)*100)+100</f>
        <v>33.184107442641292</v>
      </c>
      <c r="F221" s="27">
        <v>6.0822898032200333E-2</v>
      </c>
      <c r="G221" s="27">
        <f>VLOOKUP(Table3[[#This Row],[Date]],'PCE Core'!A:D,4,)</f>
        <v>5.9614358153189308E-2</v>
      </c>
    </row>
    <row r="222" spans="1:7" x14ac:dyDescent="0.2">
      <c r="A222" s="38">
        <v>28157</v>
      </c>
      <c r="B222" s="28">
        <f>VLOOKUP(Table3[[#This Row],[Date]],'PCE Core'!$A:$E,2,)</f>
        <v>31.957999999999998</v>
      </c>
      <c r="C222" s="26">
        <f>VLOOKUP(Table3[[#This Row],[Date]],Database!$A:$E,5)</f>
        <v>59.7</v>
      </c>
      <c r="D222" s="26">
        <f>(((Table3[[#This Row],[Core PCE]]-$B$496)/$B$496)*100)+100</f>
        <v>40.049626547696626</v>
      </c>
      <c r="E222" s="26">
        <f>(((Table3[[#This Row],[Core CPI]]-$C$496)/$C$496)*100)+100</f>
        <v>33.407946278679361</v>
      </c>
      <c r="F222" s="27">
        <v>6.2277580071174371E-2</v>
      </c>
      <c r="G222" s="27">
        <f>VLOOKUP(Table3[[#This Row],[Date]],'PCE Core'!A:D,4,)</f>
        <v>6.1903970759262322E-2</v>
      </c>
    </row>
    <row r="223" spans="1:7" x14ac:dyDescent="0.2">
      <c r="A223" s="41">
        <v>28185</v>
      </c>
      <c r="B223" s="28">
        <f>VLOOKUP(Table3[[#This Row],[Date]],'PCE Core'!$A:$E,2,)</f>
        <v>32.094000000000001</v>
      </c>
      <c r="C223" s="28">
        <f>VLOOKUP(Table3[[#This Row],[Date]],Database!$A:$E,5)</f>
        <v>60</v>
      </c>
      <c r="D223" s="26">
        <f>(((Table3[[#This Row],[Core PCE]]-$B$496)/$B$496)*100)+100</f>
        <v>40.220061155947661</v>
      </c>
      <c r="E223" s="26">
        <f>(((Table3[[#This Row],[Core CPI]]-$C$496)/$C$496)*100)+100</f>
        <v>33.575825405707889</v>
      </c>
      <c r="F223" s="27">
        <v>6.1946902654867263E-2</v>
      </c>
      <c r="G223" s="27">
        <f>VLOOKUP(Table3[[#This Row],[Date]],'PCE Core'!A:D,4,)</f>
        <v>6.2891207153502271E-2</v>
      </c>
    </row>
    <row r="224" spans="1:7" x14ac:dyDescent="0.2">
      <c r="A224" s="38">
        <v>28216</v>
      </c>
      <c r="B224" s="28">
        <f>VLOOKUP(Table3[[#This Row],[Date]],'PCE Core'!$A:$E,2,)</f>
        <v>32.253</v>
      </c>
      <c r="C224" s="28">
        <f>VLOOKUP(Table3[[#This Row],[Date]],Database!$A:$E,5)</f>
        <v>60.3</v>
      </c>
      <c r="D224" s="26">
        <f>(((Table3[[#This Row],[Core PCE]]-$B$496)/$B$496)*100)+100</f>
        <v>40.419319264123509</v>
      </c>
      <c r="E224" s="26">
        <f>(((Table3[[#This Row],[Core CPI]]-$C$496)/$C$496)*100)+100</f>
        <v>33.74370453273643</v>
      </c>
      <c r="F224" s="27">
        <v>6.3492063492063391E-2</v>
      </c>
      <c r="G224" s="27">
        <f>VLOOKUP(Table3[[#This Row],[Date]],'PCE Core'!A:D,4,)</f>
        <v>6.4034045922406926E-2</v>
      </c>
    </row>
    <row r="225" spans="1:7" x14ac:dyDescent="0.2">
      <c r="A225" s="41">
        <v>28246</v>
      </c>
      <c r="B225" s="28">
        <f>VLOOKUP(Table3[[#This Row],[Date]],'PCE Core'!$A:$E,2,)</f>
        <v>32.417000000000002</v>
      </c>
      <c r="C225" s="26">
        <f>VLOOKUP(Table3[[#This Row],[Date]],Database!$A:$E,5)</f>
        <v>60.6</v>
      </c>
      <c r="D225" s="26">
        <f>(((Table3[[#This Row],[Core PCE]]-$B$496)/$B$496)*100)+100</f>
        <v>40.624843350543884</v>
      </c>
      <c r="E225" s="26">
        <f>(((Table3[[#This Row],[Core CPI]]-$C$496)/$C$496)*100)+100</f>
        <v>33.911583659764972</v>
      </c>
      <c r="F225" s="27">
        <v>6.3157894736842135E-2</v>
      </c>
      <c r="G225" s="27">
        <f>VLOOKUP(Table3[[#This Row],[Date]],'PCE Core'!A:D,4,)</f>
        <v>6.4387969529813571E-2</v>
      </c>
    </row>
    <row r="226" spans="1:7" x14ac:dyDescent="0.2">
      <c r="A226" s="38">
        <v>28277</v>
      </c>
      <c r="B226" s="28">
        <f>VLOOKUP(Table3[[#This Row],[Date]],'PCE Core'!$A:$E,2,)</f>
        <v>32.610999999999997</v>
      </c>
      <c r="C226" s="28">
        <f>VLOOKUP(Table3[[#This Row],[Date]],Database!$A:$E,5)</f>
        <v>61</v>
      </c>
      <c r="D226" s="26">
        <f>(((Table3[[#This Row],[Core PCE]]-$B$496)/$B$496)*100)+100</f>
        <v>40.867963306431399</v>
      </c>
      <c r="E226" s="26">
        <f>(((Table3[[#This Row],[Core CPI]]-$C$496)/$C$496)*100)+100</f>
        <v>34.135422495803027</v>
      </c>
      <c r="F226" s="27">
        <v>6.6433566433566377E-2</v>
      </c>
      <c r="G226" s="27">
        <f>VLOOKUP(Table3[[#This Row],[Date]],'PCE Core'!A:D,4,)</f>
        <v>6.6450832270512322E-2</v>
      </c>
    </row>
    <row r="227" spans="1:7" x14ac:dyDescent="0.2">
      <c r="A227" s="41">
        <v>28307</v>
      </c>
      <c r="B227" s="28">
        <f>VLOOKUP(Table3[[#This Row],[Date]],'PCE Core'!$A:$E,2,)</f>
        <v>32.813000000000002</v>
      </c>
      <c r="C227" s="28">
        <f>VLOOKUP(Table3[[#This Row],[Date]],Database!$A:$E,5)</f>
        <v>61.2</v>
      </c>
      <c r="D227" s="26">
        <f>(((Table3[[#This Row],[Core PCE]]-$B$496)/$B$496)*100)+100</f>
        <v>41.121108827510156</v>
      </c>
      <c r="E227" s="26">
        <f>(((Table3[[#This Row],[Core CPI]]-$C$496)/$C$496)*100)+100</f>
        <v>34.247341913822055</v>
      </c>
      <c r="F227" s="27">
        <v>6.2500000000000028E-2</v>
      </c>
      <c r="G227" s="27">
        <f>VLOOKUP(Table3[[#This Row],[Date]],'PCE Core'!A:D,4,)</f>
        <v>6.7158839599323575E-2</v>
      </c>
    </row>
    <row r="228" spans="1:7" x14ac:dyDescent="0.2">
      <c r="A228" s="38">
        <v>28338</v>
      </c>
      <c r="B228" s="28">
        <f>VLOOKUP(Table3[[#This Row],[Date]],'PCE Core'!$A:$E,2,)</f>
        <v>32.972999999999999</v>
      </c>
      <c r="C228" s="26">
        <f>VLOOKUP(Table3[[#This Row],[Date]],Database!$A:$E,5)</f>
        <v>61.5</v>
      </c>
      <c r="D228" s="26">
        <f>(((Table3[[#This Row],[Core PCE]]-$B$496)/$B$496)*100)+100</f>
        <v>41.321620131334903</v>
      </c>
      <c r="E228" s="26">
        <f>(((Table3[[#This Row],[Core CPI]]-$C$496)/$C$496)*100)+100</f>
        <v>34.415221040850582</v>
      </c>
      <c r="F228" s="27">
        <v>6.2176165803108828E-2</v>
      </c>
      <c r="G228" s="27">
        <f>VLOOKUP(Table3[[#This Row],[Date]],'PCE Core'!A:D,4,)</f>
        <v>6.6224737267582809E-2</v>
      </c>
    </row>
    <row r="229" spans="1:7" x14ac:dyDescent="0.2">
      <c r="A229" s="41">
        <v>28369</v>
      </c>
      <c r="B229" s="28">
        <f>VLOOKUP(Table3[[#This Row],[Date]],'PCE Core'!$A:$E,2,)</f>
        <v>33.113</v>
      </c>
      <c r="C229" s="28">
        <f>VLOOKUP(Table3[[#This Row],[Date]],Database!$A:$E,5)</f>
        <v>61.8</v>
      </c>
      <c r="D229" s="26">
        <f>(((Table3[[#This Row],[Core PCE]]-$B$496)/$B$496)*100)+100</f>
        <v>41.497067522181567</v>
      </c>
      <c r="E229" s="26">
        <f>(((Table3[[#This Row],[Core CPI]]-$C$496)/$C$496)*100)+100</f>
        <v>34.583100167879138</v>
      </c>
      <c r="F229" s="27">
        <v>6.1855670103092682E-2</v>
      </c>
      <c r="G229" s="27">
        <f>VLOOKUP(Table3[[#This Row],[Date]],'PCE Core'!A:D,4,)</f>
        <v>6.452131421590683E-2</v>
      </c>
    </row>
    <row r="230" spans="1:7" x14ac:dyDescent="0.2">
      <c r="A230" s="38">
        <v>28399</v>
      </c>
      <c r="B230" s="28">
        <f>VLOOKUP(Table3[[#This Row],[Date]],'PCE Core'!$A:$E,2,)</f>
        <v>33.273000000000003</v>
      </c>
      <c r="C230" s="28">
        <f>VLOOKUP(Table3[[#This Row],[Date]],Database!$A:$E,5)</f>
        <v>62</v>
      </c>
      <c r="D230" s="26">
        <f>(((Table3[[#This Row],[Core PCE]]-$B$496)/$B$496)*100)+100</f>
        <v>41.697578826006321</v>
      </c>
      <c r="E230" s="26">
        <f>(((Table3[[#This Row],[Core CPI]]-$C$496)/$C$496)*100)+100</f>
        <v>34.695019585898152</v>
      </c>
      <c r="F230" s="27">
        <v>5.9829059829059832E-2</v>
      </c>
      <c r="G230" s="27">
        <f>VLOOKUP(Table3[[#This Row],[Date]],'PCE Core'!A:D,4,)</f>
        <v>6.446349734467989E-2</v>
      </c>
    </row>
    <row r="231" spans="1:7" x14ac:dyDescent="0.2">
      <c r="A231" s="41">
        <v>28430</v>
      </c>
      <c r="B231" s="28">
        <f>VLOOKUP(Table3[[#This Row],[Date]],'PCE Core'!$A:$E,2,)</f>
        <v>33.445</v>
      </c>
      <c r="C231" s="26">
        <f>VLOOKUP(Table3[[#This Row],[Date]],Database!$A:$E,5)</f>
        <v>62.3</v>
      </c>
      <c r="D231" s="26">
        <f>(((Table3[[#This Row],[Core PCE]]-$B$496)/$B$496)*100)+100</f>
        <v>41.913128477617924</v>
      </c>
      <c r="E231" s="26">
        <f>(((Table3[[#This Row],[Core CPI]]-$C$496)/$C$496)*100)+100</f>
        <v>34.862898712926693</v>
      </c>
      <c r="F231" s="27">
        <v>6.132879045996583E-2</v>
      </c>
      <c r="G231" s="27">
        <f>VLOOKUP(Table3[[#This Row],[Date]],'PCE Core'!A:D,4,)</f>
        <v>6.5093468360880244E-2</v>
      </c>
    </row>
    <row r="232" spans="1:7" x14ac:dyDescent="0.2">
      <c r="A232" s="38">
        <v>28460</v>
      </c>
      <c r="B232" s="28">
        <f>VLOOKUP(Table3[[#This Row],[Date]],'PCE Core'!$A:$E,2,)</f>
        <v>33.618000000000002</v>
      </c>
      <c r="C232" s="28">
        <f>VLOOKUP(Table3[[#This Row],[Date]],Database!$A:$E,5)</f>
        <v>62.7</v>
      </c>
      <c r="D232" s="26">
        <f>(((Table3[[#This Row],[Core PCE]]-$B$496)/$B$496)*100)+100</f>
        <v>42.129931324878442</v>
      </c>
      <c r="E232" s="26">
        <f>(((Table3[[#This Row],[Core CPI]]-$C$496)/$C$496)*100)+100</f>
        <v>35.086737548964749</v>
      </c>
      <c r="F232" s="27">
        <v>6.4516129032258132E-2</v>
      </c>
      <c r="G232" s="27">
        <f>VLOOKUP(Table3[[#This Row],[Date]],'PCE Core'!A:D,4,)</f>
        <v>6.4837984226030237E-2</v>
      </c>
    </row>
    <row r="233" spans="1:7" x14ac:dyDescent="0.2">
      <c r="A233" s="41">
        <v>28491</v>
      </c>
      <c r="B233" s="28">
        <f>VLOOKUP(Table3[[#This Row],[Date]],'PCE Core'!$A:$E,2,)</f>
        <v>33.819000000000003</v>
      </c>
      <c r="C233" s="28">
        <f>VLOOKUP(Table3[[#This Row],[Date]],Database!$A:$E,5)</f>
        <v>63.1</v>
      </c>
      <c r="D233" s="26">
        <f>(((Table3[[#This Row],[Core PCE]]-$B$496)/$B$496)*100)+100</f>
        <v>42.381823650308284</v>
      </c>
      <c r="E233" s="26">
        <f>(((Table3[[#This Row],[Core CPI]]-$C$496)/$C$496)*100)+100</f>
        <v>35.310576385002804</v>
      </c>
      <c r="F233" s="27">
        <v>6.4080944350758923E-2</v>
      </c>
      <c r="G233" s="27">
        <f>VLOOKUP(Table3[[#This Row],[Date]],'PCE Core'!A:D,4,)</f>
        <v>6.4729402134559105E-2</v>
      </c>
    </row>
    <row r="234" spans="1:7" x14ac:dyDescent="0.2">
      <c r="A234" s="38">
        <v>28522</v>
      </c>
      <c r="B234" s="28">
        <f>VLOOKUP(Table3[[#This Row],[Date]],'PCE Core'!$A:$E,2,)</f>
        <v>33.948999999999998</v>
      </c>
      <c r="C234" s="26">
        <f>VLOOKUP(Table3[[#This Row],[Date]],Database!$A:$E,5)</f>
        <v>63.4</v>
      </c>
      <c r="D234" s="26">
        <f>(((Table3[[#This Row],[Core PCE]]-$B$496)/$B$496)*100)+100</f>
        <v>42.544739084665892</v>
      </c>
      <c r="E234" s="26">
        <f>(((Table3[[#This Row],[Core CPI]]-$C$496)/$C$496)*100)+100</f>
        <v>35.478455512031346</v>
      </c>
      <c r="F234" s="27">
        <v>6.1976549413735267E-2</v>
      </c>
      <c r="G234" s="27">
        <f>VLOOKUP(Table3[[#This Row],[Date]],'PCE Core'!A:D,4,)</f>
        <v>6.2300519431754173E-2</v>
      </c>
    </row>
    <row r="235" spans="1:7" x14ac:dyDescent="0.2">
      <c r="A235" s="41">
        <v>28550</v>
      </c>
      <c r="B235" s="28">
        <f>VLOOKUP(Table3[[#This Row],[Date]],'PCE Core'!$A:$E,2,)</f>
        <v>34.133000000000003</v>
      </c>
      <c r="C235" s="28">
        <f>VLOOKUP(Table3[[#This Row],[Date]],Database!$A:$E,5)</f>
        <v>63.8</v>
      </c>
      <c r="D235" s="26">
        <f>(((Table3[[#This Row],[Core PCE]]-$B$496)/$B$496)*100)+100</f>
        <v>42.775327084064365</v>
      </c>
      <c r="E235" s="26">
        <f>(((Table3[[#This Row],[Core CPI]]-$C$496)/$C$496)*100)+100</f>
        <v>35.702294348069387</v>
      </c>
      <c r="F235" s="27">
        <v>6.3333333333333283E-2</v>
      </c>
      <c r="G235" s="27">
        <f>VLOOKUP(Table3[[#This Row],[Date]],'PCE Core'!A:D,4,)</f>
        <v>6.353212438462022E-2</v>
      </c>
    </row>
    <row r="236" spans="1:7" x14ac:dyDescent="0.2">
      <c r="A236" s="38">
        <v>28581</v>
      </c>
      <c r="B236" s="28">
        <f>VLOOKUP(Table3[[#This Row],[Date]],'PCE Core'!$A:$E,2,)</f>
        <v>34.353999999999999</v>
      </c>
      <c r="C236" s="28">
        <f>VLOOKUP(Table3[[#This Row],[Date]],Database!$A:$E,5)</f>
        <v>64.3</v>
      </c>
      <c r="D236" s="26">
        <f>(((Table3[[#This Row],[Core PCE]]-$B$496)/$B$496)*100)+100</f>
        <v>43.052283322472299</v>
      </c>
      <c r="E236" s="26">
        <f>(((Table3[[#This Row],[Core CPI]]-$C$496)/$C$496)*100)+100</f>
        <v>35.982092893116956</v>
      </c>
      <c r="F236" s="27">
        <v>6.633499170812604E-2</v>
      </c>
      <c r="G236" s="27">
        <f>VLOOKUP(Table3[[#This Row],[Date]],'PCE Core'!A:D,4,)</f>
        <v>6.5141227172666086E-2</v>
      </c>
    </row>
    <row r="237" spans="1:7" x14ac:dyDescent="0.2">
      <c r="A237" s="41">
        <v>28611</v>
      </c>
      <c r="B237" s="28">
        <f>VLOOKUP(Table3[[#This Row],[Date]],'PCE Core'!$A:$E,2,)</f>
        <v>34.555999999999997</v>
      </c>
      <c r="C237" s="26">
        <f>VLOOKUP(Table3[[#This Row],[Date]],Database!$A:$E,5)</f>
        <v>64.7</v>
      </c>
      <c r="D237" s="26">
        <f>(((Table3[[#This Row],[Core PCE]]-$B$496)/$B$496)*100)+100</f>
        <v>43.305428843551056</v>
      </c>
      <c r="E237" s="26">
        <f>(((Table3[[#This Row],[Core CPI]]-$C$496)/$C$496)*100)+100</f>
        <v>36.205931729155019</v>
      </c>
      <c r="F237" s="27">
        <v>6.7656765676567684E-2</v>
      </c>
      <c r="G237" s="27">
        <f>VLOOKUP(Table3[[#This Row],[Date]],'PCE Core'!A:D,4,)</f>
        <v>6.5983897337816441E-2</v>
      </c>
    </row>
    <row r="238" spans="1:7" x14ac:dyDescent="0.2">
      <c r="A238" s="38">
        <v>28642</v>
      </c>
      <c r="B238" s="28">
        <f>VLOOKUP(Table3[[#This Row],[Date]],'PCE Core'!$A:$E,2,)</f>
        <v>34.749000000000002</v>
      </c>
      <c r="C238" s="28">
        <f>VLOOKUP(Table3[[#This Row],[Date]],Database!$A:$E,5)</f>
        <v>65.2</v>
      </c>
      <c r="D238" s="26">
        <f>(((Table3[[#This Row],[Core PCE]]-$B$496)/$B$496)*100)+100</f>
        <v>43.547295603789657</v>
      </c>
      <c r="E238" s="26">
        <f>(((Table3[[#This Row],[Core CPI]]-$C$496)/$C$496)*100)+100</f>
        <v>36.485730274202574</v>
      </c>
      <c r="F238" s="27">
        <v>6.8852459016393489E-2</v>
      </c>
      <c r="G238" s="27">
        <f>VLOOKUP(Table3[[#This Row],[Date]],'PCE Core'!A:D,4,)</f>
        <v>6.5560700377173514E-2</v>
      </c>
    </row>
    <row r="239" spans="1:7" x14ac:dyDescent="0.2">
      <c r="A239" s="41">
        <v>28672</v>
      </c>
      <c r="B239" s="28">
        <f>VLOOKUP(Table3[[#This Row],[Date]],'PCE Core'!$A:$E,2,)</f>
        <v>34.953000000000003</v>
      </c>
      <c r="C239" s="28">
        <f>VLOOKUP(Table3[[#This Row],[Date]],Database!$A:$E,5)</f>
        <v>65.599999999999994</v>
      </c>
      <c r="D239" s="26">
        <f>(((Table3[[#This Row],[Core PCE]]-$B$496)/$B$496)*100)+100</f>
        <v>43.802947516166228</v>
      </c>
      <c r="E239" s="26">
        <f>(((Table3[[#This Row],[Core CPI]]-$C$496)/$C$496)*100)+100</f>
        <v>36.709569110240622</v>
      </c>
      <c r="F239" s="27">
        <v>7.1895424836601163E-2</v>
      </c>
      <c r="G239" s="27">
        <f>VLOOKUP(Table3[[#This Row],[Date]],'PCE Core'!A:D,4,)</f>
        <v>6.521805382013228E-2</v>
      </c>
    </row>
    <row r="240" spans="1:7" x14ac:dyDescent="0.2">
      <c r="A240" s="38">
        <v>28703</v>
      </c>
      <c r="B240" s="28">
        <f>VLOOKUP(Table3[[#This Row],[Date]],'PCE Core'!$A:$E,2,)</f>
        <v>35.140999999999998</v>
      </c>
      <c r="C240" s="26">
        <f>VLOOKUP(Table3[[#This Row],[Date]],Database!$A:$E,5)</f>
        <v>66.099999999999994</v>
      </c>
      <c r="D240" s="26">
        <f>(((Table3[[#This Row],[Core PCE]]-$B$496)/$B$496)*100)+100</f>
        <v>44.038548298160308</v>
      </c>
      <c r="E240" s="26">
        <f>(((Table3[[#This Row],[Core CPI]]-$C$496)/$C$496)*100)+100</f>
        <v>36.989367655288198</v>
      </c>
      <c r="F240" s="27">
        <v>7.4796747967479579E-2</v>
      </c>
      <c r="G240" s="27">
        <f>VLOOKUP(Table3[[#This Row],[Date]],'PCE Core'!A:D,4,)</f>
        <v>6.5750765778060813E-2</v>
      </c>
    </row>
    <row r="241" spans="1:7" x14ac:dyDescent="0.2">
      <c r="A241" s="41">
        <v>28734</v>
      </c>
      <c r="B241" s="28">
        <f>VLOOKUP(Table3[[#This Row],[Date]],'PCE Core'!$A:$E,2,)</f>
        <v>35.343000000000004</v>
      </c>
      <c r="C241" s="28">
        <f>VLOOKUP(Table3[[#This Row],[Date]],Database!$A:$E,5)</f>
        <v>66.7</v>
      </c>
      <c r="D241" s="26">
        <f>(((Table3[[#This Row],[Core PCE]]-$B$496)/$B$496)*100)+100</f>
        <v>44.291693819239065</v>
      </c>
      <c r="E241" s="26">
        <f>(((Table3[[#This Row],[Core CPI]]-$C$496)/$C$496)*100)+100</f>
        <v>37.325125909345282</v>
      </c>
      <c r="F241" s="27">
        <v>7.9288025889967736E-2</v>
      </c>
      <c r="G241" s="27">
        <f>VLOOKUP(Table3[[#This Row],[Date]],'PCE Core'!A:D,4,)</f>
        <v>6.7345151451091836E-2</v>
      </c>
    </row>
    <row r="242" spans="1:7" x14ac:dyDescent="0.2">
      <c r="A242" s="38">
        <v>28764</v>
      </c>
      <c r="B242" s="28">
        <f>VLOOKUP(Table3[[#This Row],[Date]],'PCE Core'!$A:$E,2,)</f>
        <v>35.603000000000002</v>
      </c>
      <c r="C242" s="28">
        <f>VLOOKUP(Table3[[#This Row],[Date]],Database!$A:$E,5)</f>
        <v>67.2</v>
      </c>
      <c r="D242" s="26">
        <f>(((Table3[[#This Row],[Core PCE]]-$B$496)/$B$496)*100)+100</f>
        <v>44.61752468795428</v>
      </c>
      <c r="E242" s="26">
        <f>(((Table3[[#This Row],[Core CPI]]-$C$496)/$C$496)*100)+100</f>
        <v>37.604924454392844</v>
      </c>
      <c r="F242" s="27">
        <v>8.3870967741935532E-2</v>
      </c>
      <c r="G242" s="27">
        <f>VLOOKUP(Table3[[#This Row],[Date]],'PCE Core'!A:D,4,)</f>
        <v>7.0026748414630427E-2</v>
      </c>
    </row>
    <row r="243" spans="1:7" x14ac:dyDescent="0.2">
      <c r="A243" s="41">
        <v>28795</v>
      </c>
      <c r="B243" s="28">
        <f>VLOOKUP(Table3[[#This Row],[Date]],'PCE Core'!$A:$E,2,)</f>
        <v>35.793999999999997</v>
      </c>
      <c r="C243" s="26">
        <f>VLOOKUP(Table3[[#This Row],[Date]],Database!$A:$E,5)</f>
        <v>67.599999999999994</v>
      </c>
      <c r="D243" s="26">
        <f>(((Table3[[#This Row],[Core PCE]]-$B$496)/$B$496)*100)+100</f>
        <v>44.856885056895081</v>
      </c>
      <c r="E243" s="26">
        <f>(((Table3[[#This Row],[Core CPI]]-$C$496)/$C$496)*100)+100</f>
        <v>37.828763290430892</v>
      </c>
      <c r="F243" s="27">
        <v>8.5072231139646834E-2</v>
      </c>
      <c r="G243" s="27">
        <f>VLOOKUP(Table3[[#This Row],[Date]],'PCE Core'!A:D,4,)</f>
        <v>7.0234713709074498E-2</v>
      </c>
    </row>
    <row r="244" spans="1:7" x14ac:dyDescent="0.2">
      <c r="A244" s="38">
        <v>28825</v>
      </c>
      <c r="B244" s="28">
        <f>VLOOKUP(Table3[[#This Row],[Date]],'PCE Core'!$A:$E,2,)</f>
        <v>35.933999999999997</v>
      </c>
      <c r="C244" s="28">
        <f>VLOOKUP(Table3[[#This Row],[Date]],Database!$A:$E,5)</f>
        <v>68</v>
      </c>
      <c r="D244" s="26">
        <f>(((Table3[[#This Row],[Core PCE]]-$B$496)/$B$496)*100)+100</f>
        <v>45.03233244774173</v>
      </c>
      <c r="E244" s="26">
        <f>(((Table3[[#This Row],[Core CPI]]-$C$496)/$C$496)*100)+100</f>
        <v>38.052602126468948</v>
      </c>
      <c r="F244" s="27">
        <v>8.4529505582137107E-2</v>
      </c>
      <c r="G244" s="27">
        <f>VLOOKUP(Table3[[#This Row],[Date]],'PCE Core'!A:D,4,)</f>
        <v>6.8891665179368053E-2</v>
      </c>
    </row>
    <row r="245" spans="1:7" x14ac:dyDescent="0.2">
      <c r="A245" s="41">
        <v>28856</v>
      </c>
      <c r="B245" s="28">
        <f>VLOOKUP(Table3[[#This Row],[Date]],'PCE Core'!$A:$E,2,)</f>
        <v>36.118000000000002</v>
      </c>
      <c r="C245" s="28">
        <f>VLOOKUP(Table3[[#This Row],[Date]],Database!$A:$E,5)</f>
        <v>68.5</v>
      </c>
      <c r="D245" s="26">
        <f>(((Table3[[#This Row],[Core PCE]]-$B$496)/$B$496)*100)+100</f>
        <v>45.26292044714021</v>
      </c>
      <c r="E245" s="26">
        <f>(((Table3[[#This Row],[Core CPI]]-$C$496)/$C$496)*100)+100</f>
        <v>38.33240067151651</v>
      </c>
      <c r="F245" s="27">
        <v>8.5578446909667177E-2</v>
      </c>
      <c r="G245" s="27">
        <f>VLOOKUP(Table3[[#This Row],[Date]],'PCE Core'!A:D,4,)</f>
        <v>6.7979538129453843E-2</v>
      </c>
    </row>
    <row r="246" spans="1:7" x14ac:dyDescent="0.2">
      <c r="A246" s="38">
        <v>28887</v>
      </c>
      <c r="B246" s="28">
        <f>VLOOKUP(Table3[[#This Row],[Date]],'PCE Core'!$A:$E,2,)</f>
        <v>36.234999999999999</v>
      </c>
      <c r="C246" s="26">
        <f>VLOOKUP(Table3[[#This Row],[Date]],Database!$A:$E,5)</f>
        <v>69.2</v>
      </c>
      <c r="D246" s="26">
        <f>(((Table3[[#This Row],[Core PCE]]-$B$496)/$B$496)*100)+100</f>
        <v>45.409544338062055</v>
      </c>
      <c r="E246" s="26">
        <f>(((Table3[[#This Row],[Core CPI]]-$C$496)/$C$496)*100)+100</f>
        <v>38.724118634583107</v>
      </c>
      <c r="F246" s="27">
        <v>9.1482649842271363E-2</v>
      </c>
      <c r="G246" s="27">
        <f>VLOOKUP(Table3[[#This Row],[Date]],'PCE Core'!A:D,4,)</f>
        <v>6.7336298565495348E-2</v>
      </c>
    </row>
    <row r="247" spans="1:7" x14ac:dyDescent="0.2">
      <c r="A247" s="41">
        <v>28915</v>
      </c>
      <c r="B247" s="28">
        <f>VLOOKUP(Table3[[#This Row],[Date]],'PCE Core'!$A:$E,2,)</f>
        <v>36.444000000000003</v>
      </c>
      <c r="C247" s="28">
        <f>VLOOKUP(Table3[[#This Row],[Date]],Database!$A:$E,5)</f>
        <v>69.8</v>
      </c>
      <c r="D247" s="26">
        <f>(((Table3[[#This Row],[Core PCE]]-$B$496)/$B$496)*100)+100</f>
        <v>45.671462228683147</v>
      </c>
      <c r="E247" s="26">
        <f>(((Table3[[#This Row],[Core CPI]]-$C$496)/$C$496)*100)+100</f>
        <v>39.059876888640176</v>
      </c>
      <c r="F247" s="27">
        <v>9.4043887147335428E-2</v>
      </c>
      <c r="G247" s="27">
        <f>VLOOKUP(Table3[[#This Row],[Date]],'PCE Core'!A:D,4,)</f>
        <v>6.770573931386048E-2</v>
      </c>
    </row>
    <row r="248" spans="1:7" x14ac:dyDescent="0.2">
      <c r="A248" s="38">
        <v>28946</v>
      </c>
      <c r="B248" s="28">
        <f>VLOOKUP(Table3[[#This Row],[Date]],'PCE Core'!$A:$E,2,)</f>
        <v>36.78</v>
      </c>
      <c r="C248" s="28">
        <f>VLOOKUP(Table3[[#This Row],[Date]],Database!$A:$E,5)</f>
        <v>70.3</v>
      </c>
      <c r="D248" s="26">
        <f>(((Table3[[#This Row],[Core PCE]]-$B$496)/$B$496)*100)+100</f>
        <v>46.092535966715118</v>
      </c>
      <c r="E248" s="26">
        <f>(((Table3[[#This Row],[Core CPI]]-$C$496)/$C$496)*100)+100</f>
        <v>39.339675433687745</v>
      </c>
      <c r="F248" s="27">
        <v>9.3312597200622086E-2</v>
      </c>
      <c r="G248" s="27">
        <f>VLOOKUP(Table3[[#This Row],[Date]],'PCE Core'!A:D,4,)</f>
        <v>7.061768644117139E-2</v>
      </c>
    </row>
    <row r="249" spans="1:7" x14ac:dyDescent="0.2">
      <c r="A249" s="41">
        <v>28976</v>
      </c>
      <c r="B249" s="28">
        <f>VLOOKUP(Table3[[#This Row],[Date]],'PCE Core'!$A:$E,2,)</f>
        <v>37.1</v>
      </c>
      <c r="C249" s="26">
        <f>VLOOKUP(Table3[[#This Row],[Date]],Database!$A:$E,5)</f>
        <v>70.8</v>
      </c>
      <c r="D249" s="26">
        <f>(((Table3[[#This Row],[Core PCE]]-$B$496)/$B$496)*100)+100</f>
        <v>46.493558574364627</v>
      </c>
      <c r="E249" s="26">
        <f>(((Table3[[#This Row],[Core CPI]]-$C$496)/$C$496)*100)+100</f>
        <v>39.619473978735307</v>
      </c>
      <c r="F249" s="27">
        <v>9.4281298299845342E-2</v>
      </c>
      <c r="G249" s="27">
        <f>VLOOKUP(Table3[[#This Row],[Date]],'PCE Core'!A:D,4,)</f>
        <v>7.3619631901840607E-2</v>
      </c>
    </row>
    <row r="250" spans="1:7" x14ac:dyDescent="0.2">
      <c r="A250" s="38">
        <v>29007</v>
      </c>
      <c r="B250" s="28">
        <f>VLOOKUP(Table3[[#This Row],[Date]],'PCE Core'!$A:$E,2,)</f>
        <v>37.308</v>
      </c>
      <c r="C250" s="28">
        <f>VLOOKUP(Table3[[#This Row],[Date]],Database!$A:$E,5)</f>
        <v>71.3</v>
      </c>
      <c r="D250" s="26">
        <f>(((Table3[[#This Row],[Core PCE]]-$B$496)/$B$496)*100)+100</f>
        <v>46.754223269336805</v>
      </c>
      <c r="E250" s="26">
        <f>(((Table3[[#This Row],[Core CPI]]-$C$496)/$C$496)*100)+100</f>
        <v>39.899272523782884</v>
      </c>
      <c r="F250" s="27">
        <v>9.3558282208588861E-2</v>
      </c>
      <c r="G250" s="27">
        <f>VLOOKUP(Table3[[#This Row],[Date]],'PCE Core'!A:D,4,)</f>
        <v>7.3642406975740232E-2</v>
      </c>
    </row>
    <row r="251" spans="1:7" x14ac:dyDescent="0.2">
      <c r="A251" s="41">
        <v>29037</v>
      </c>
      <c r="B251" s="28">
        <f>VLOOKUP(Table3[[#This Row],[Date]],'PCE Core'!$A:$E,2,)</f>
        <v>37.494999999999997</v>
      </c>
      <c r="C251" s="28">
        <f>VLOOKUP(Table3[[#This Row],[Date]],Database!$A:$E,5)</f>
        <v>71.900000000000006</v>
      </c>
      <c r="D251" s="26">
        <f>(((Table3[[#This Row],[Core PCE]]-$B$496)/$B$496)*100)+100</f>
        <v>46.988570855681978</v>
      </c>
      <c r="E251" s="26">
        <f>(((Table3[[#This Row],[Core CPI]]-$C$496)/$C$496)*100)+100</f>
        <v>40.235030777839967</v>
      </c>
      <c r="F251" s="27">
        <v>9.6036585365853841E-2</v>
      </c>
      <c r="G251" s="27">
        <f>VLOOKUP(Table3[[#This Row],[Date]],'PCE Core'!A:D,4,)</f>
        <v>7.2726232369181312E-2</v>
      </c>
    </row>
    <row r="252" spans="1:7" x14ac:dyDescent="0.2">
      <c r="A252" s="38">
        <v>29068</v>
      </c>
      <c r="B252" s="28">
        <f>VLOOKUP(Table3[[#This Row],[Date]],'PCE Core'!$A:$E,2,)</f>
        <v>37.744</v>
      </c>
      <c r="C252" s="26">
        <f>VLOOKUP(Table3[[#This Row],[Date]],Database!$A:$E,5)</f>
        <v>72.7</v>
      </c>
      <c r="D252" s="26">
        <f>(((Table3[[#This Row],[Core PCE]]-$B$496)/$B$496)*100)+100</f>
        <v>47.300616572259258</v>
      </c>
      <c r="E252" s="26">
        <f>(((Table3[[#This Row],[Core CPI]]-$C$496)/$C$496)*100)+100</f>
        <v>40.682708449916063</v>
      </c>
      <c r="F252" s="27">
        <v>9.9848714069591671E-2</v>
      </c>
      <c r="G252" s="27">
        <f>VLOOKUP(Table3[[#This Row],[Date]],'PCE Core'!A:D,4,)</f>
        <v>7.4073020118949423E-2</v>
      </c>
    </row>
    <row r="253" spans="1:7" x14ac:dyDescent="0.2">
      <c r="A253" s="41">
        <v>29099</v>
      </c>
      <c r="B253" s="28">
        <f>VLOOKUP(Table3[[#This Row],[Date]],'PCE Core'!$A:$E,2,)</f>
        <v>38.002000000000002</v>
      </c>
      <c r="C253" s="28">
        <f>VLOOKUP(Table3[[#This Row],[Date]],Database!$A:$E,5)</f>
        <v>73.3</v>
      </c>
      <c r="D253" s="26">
        <f>(((Table3[[#This Row],[Core PCE]]-$B$496)/$B$496)*100)+100</f>
        <v>47.623941049676674</v>
      </c>
      <c r="E253" s="26">
        <f>(((Table3[[#This Row],[Core CPI]]-$C$496)/$C$496)*100)+100</f>
        <v>41.018466703973147</v>
      </c>
      <c r="F253" s="27">
        <v>9.8950524737631093E-2</v>
      </c>
      <c r="G253" s="27">
        <f>VLOOKUP(Table3[[#This Row],[Date]],'PCE Core'!A:D,4,)</f>
        <v>7.5234134057663438E-2</v>
      </c>
    </row>
    <row r="254" spans="1:7" x14ac:dyDescent="0.2">
      <c r="A254" s="38">
        <v>29129</v>
      </c>
      <c r="B254" s="28">
        <f>VLOOKUP(Table3[[#This Row],[Date]],'PCE Core'!$A:$E,2,)</f>
        <v>38.279000000000003</v>
      </c>
      <c r="C254" s="28">
        <f>VLOOKUP(Table3[[#This Row],[Date]],Database!$A:$E,5)</f>
        <v>74</v>
      </c>
      <c r="D254" s="26">
        <f>(((Table3[[#This Row],[Core PCE]]-$B$496)/$B$496)*100)+100</f>
        <v>47.97107624442328</v>
      </c>
      <c r="E254" s="26">
        <f>(((Table3[[#This Row],[Core CPI]]-$C$496)/$C$496)*100)+100</f>
        <v>41.410184667039729</v>
      </c>
      <c r="F254" s="27">
        <v>0.10119047619047621</v>
      </c>
      <c r="G254" s="27">
        <f>VLOOKUP(Table3[[#This Row],[Date]],'PCE Core'!A:D,4,)</f>
        <v>7.5162205432126553E-2</v>
      </c>
    </row>
    <row r="255" spans="1:7" x14ac:dyDescent="0.2">
      <c r="A255" s="41">
        <v>29160</v>
      </c>
      <c r="B255" s="28">
        <f>VLOOKUP(Table3[[#This Row],[Date]],'PCE Core'!$A:$E,2,)</f>
        <v>38.524000000000001</v>
      </c>
      <c r="C255" s="26">
        <f>VLOOKUP(Table3[[#This Row],[Date]],Database!$A:$E,5)</f>
        <v>74.8</v>
      </c>
      <c r="D255" s="26">
        <f>(((Table3[[#This Row],[Core PCE]]-$B$496)/$B$496)*100)+100</f>
        <v>48.278109178404925</v>
      </c>
      <c r="E255" s="26">
        <f>(((Table3[[#This Row],[Core CPI]]-$C$496)/$C$496)*100)+100</f>
        <v>41.85786233911584</v>
      </c>
      <c r="F255" s="27">
        <v>0.106508875739645</v>
      </c>
      <c r="G255" s="27">
        <f>VLOOKUP(Table3[[#This Row],[Date]],'PCE Core'!A:D,4,)</f>
        <v>7.6269765882550272E-2</v>
      </c>
    </row>
    <row r="256" spans="1:7" x14ac:dyDescent="0.2">
      <c r="A256" s="38">
        <v>29190</v>
      </c>
      <c r="B256" s="28">
        <f>VLOOKUP(Table3[[#This Row],[Date]],'PCE Core'!$A:$E,2,)</f>
        <v>38.801000000000002</v>
      </c>
      <c r="C256" s="28">
        <f>VLOOKUP(Table3[[#This Row],[Date]],Database!$A:$E,5)</f>
        <v>75.7</v>
      </c>
      <c r="D256" s="26">
        <f>(((Table3[[#This Row],[Core PCE]]-$B$496)/$B$496)*100)+100</f>
        <v>48.625244373151531</v>
      </c>
      <c r="E256" s="26">
        <f>(((Table3[[#This Row],[Core CPI]]-$C$496)/$C$496)*100)+100</f>
        <v>42.361499720201458</v>
      </c>
      <c r="F256" s="27">
        <v>0.1132352941176471</v>
      </c>
      <c r="G256" s="27">
        <f>VLOOKUP(Table3[[#This Row],[Date]],'PCE Core'!A:D,4,)</f>
        <v>7.9785161685312092E-2</v>
      </c>
    </row>
    <row r="257" spans="1:7" x14ac:dyDescent="0.2">
      <c r="A257" s="41">
        <v>29221</v>
      </c>
      <c r="B257" s="28">
        <f>VLOOKUP(Table3[[#This Row],[Date]],'PCE Core'!$A:$E,2,)</f>
        <v>39.094999999999999</v>
      </c>
      <c r="C257" s="28">
        <f>VLOOKUP(Table3[[#This Row],[Date]],Database!$A:$E,5)</f>
        <v>76.7</v>
      </c>
      <c r="D257" s="26">
        <f>(((Table3[[#This Row],[Core PCE]]-$B$496)/$B$496)*100)+100</f>
        <v>48.993683893929521</v>
      </c>
      <c r="E257" s="26">
        <f>(((Table3[[#This Row],[Core CPI]]-$C$496)/$C$496)*100)+100</f>
        <v>42.921096810296589</v>
      </c>
      <c r="F257" s="27">
        <v>0.1197080291970803</v>
      </c>
      <c r="G257" s="27">
        <f>VLOOKUP(Table3[[#This Row],[Date]],'PCE Core'!A:D,4,)</f>
        <v>8.2424275984273682E-2</v>
      </c>
    </row>
    <row r="258" spans="1:7" x14ac:dyDescent="0.2">
      <c r="A258" s="38">
        <v>29252</v>
      </c>
      <c r="B258" s="28">
        <f>VLOOKUP(Table3[[#This Row],[Date]],'PCE Core'!$A:$E,2,)</f>
        <v>39.484999999999999</v>
      </c>
      <c r="C258" s="26">
        <f>VLOOKUP(Table3[[#This Row],[Date]],Database!$A:$E,5)</f>
        <v>77.5</v>
      </c>
      <c r="D258" s="26">
        <f>(((Table3[[#This Row],[Core PCE]]-$B$496)/$B$496)*100)+100</f>
        <v>49.482430197002344</v>
      </c>
      <c r="E258" s="26">
        <f>(((Table3[[#This Row],[Core CPI]]-$C$496)/$C$496)*100)+100</f>
        <v>43.368774482372693</v>
      </c>
      <c r="F258" s="27">
        <v>0.1199421965317919</v>
      </c>
      <c r="G258" s="27">
        <f>VLOOKUP(Table3[[#This Row],[Date]],'PCE Core'!A:D,4,)</f>
        <v>8.9692286463364149E-2</v>
      </c>
    </row>
    <row r="259" spans="1:7" x14ac:dyDescent="0.2">
      <c r="A259" s="41">
        <v>29281</v>
      </c>
      <c r="B259" s="28">
        <f>VLOOKUP(Table3[[#This Row],[Date]],'PCE Core'!$A:$E,2,)</f>
        <v>39.850999999999999</v>
      </c>
      <c r="C259" s="28">
        <f>VLOOKUP(Table3[[#This Row],[Date]],Database!$A:$E,5)</f>
        <v>78.599999999999994</v>
      </c>
      <c r="D259" s="26">
        <f>(((Table3[[#This Row],[Core PCE]]-$B$496)/$B$496)*100)+100</f>
        <v>49.941099804501476</v>
      </c>
      <c r="E259" s="26">
        <f>(((Table3[[#This Row],[Core CPI]]-$C$496)/$C$496)*100)+100</f>
        <v>43.984331281477338</v>
      </c>
      <c r="F259" s="27">
        <v>0.12607449856733521</v>
      </c>
      <c r="G259" s="27">
        <f>VLOOKUP(Table3[[#This Row],[Date]],'PCE Core'!A:D,4,)</f>
        <v>9.3485896169465371E-2</v>
      </c>
    </row>
    <row r="260" spans="1:7" x14ac:dyDescent="0.2">
      <c r="A260" s="38">
        <v>29312</v>
      </c>
      <c r="B260" s="28">
        <f>VLOOKUP(Table3[[#This Row],[Date]],'PCE Core'!$A:$E,2,)</f>
        <v>40.055999999999997</v>
      </c>
      <c r="C260" s="28">
        <f>VLOOKUP(Table3[[#This Row],[Date]],Database!$A:$E,5)</f>
        <v>79.5</v>
      </c>
      <c r="D260" s="26">
        <f>(((Table3[[#This Row],[Core PCE]]-$B$496)/$B$496)*100)+100</f>
        <v>50.19800491252694</v>
      </c>
      <c r="E260" s="26">
        <f>(((Table3[[#This Row],[Core CPI]]-$C$496)/$C$496)*100)+100</f>
        <v>44.487968662562963</v>
      </c>
      <c r="F260" s="27">
        <v>0.13086770981507831</v>
      </c>
      <c r="G260" s="27">
        <f>VLOOKUP(Table3[[#This Row],[Date]],'PCE Core'!A:D,4,)</f>
        <v>8.9070146818923224E-2</v>
      </c>
    </row>
    <row r="261" spans="1:7" x14ac:dyDescent="0.2">
      <c r="A261" s="41">
        <v>29342</v>
      </c>
      <c r="B261" s="28">
        <f>VLOOKUP(Table3[[#This Row],[Date]],'PCE Core'!$A:$E,2,)</f>
        <v>40.378</v>
      </c>
      <c r="C261" s="26">
        <f>VLOOKUP(Table3[[#This Row],[Date]],Database!$A:$E,5)</f>
        <v>80.099999999999994</v>
      </c>
      <c r="D261" s="26">
        <f>(((Table3[[#This Row],[Core PCE]]-$B$496)/$B$496)*100)+100</f>
        <v>50.601533911474256</v>
      </c>
      <c r="E261" s="26">
        <f>(((Table3[[#This Row],[Core CPI]]-$C$496)/$C$496)*100)+100</f>
        <v>44.823726916620032</v>
      </c>
      <c r="F261" s="27">
        <v>0.13135593220338981</v>
      </c>
      <c r="G261" s="27">
        <f>VLOOKUP(Table3[[#This Row],[Date]],'PCE Core'!A:D,4,)</f>
        <v>8.8355795148247943E-2</v>
      </c>
    </row>
    <row r="262" spans="1:7" x14ac:dyDescent="0.2">
      <c r="A262" s="38">
        <v>29373</v>
      </c>
      <c r="B262" s="28">
        <f>VLOOKUP(Table3[[#This Row],[Date]],'PCE Core'!$A:$E,2,)</f>
        <v>40.646000000000001</v>
      </c>
      <c r="C262" s="28">
        <f>VLOOKUP(Table3[[#This Row],[Date]],Database!$A:$E,5)</f>
        <v>81</v>
      </c>
      <c r="D262" s="26">
        <f>(((Table3[[#This Row],[Core PCE]]-$B$496)/$B$496)*100)+100</f>
        <v>50.93739034538072</v>
      </c>
      <c r="E262" s="26">
        <f>(((Table3[[#This Row],[Core CPI]]-$C$496)/$C$496)*100)+100</f>
        <v>45.32736429770565</v>
      </c>
      <c r="F262" s="27">
        <v>0.1360448807854138</v>
      </c>
      <c r="G262" s="27">
        <f>VLOOKUP(Table3[[#This Row],[Date]],'PCE Core'!A:D,4,)</f>
        <v>8.9471427039777021E-2</v>
      </c>
    </row>
    <row r="263" spans="1:7" x14ac:dyDescent="0.2">
      <c r="A263" s="41">
        <v>29403</v>
      </c>
      <c r="B263" s="28">
        <f>VLOOKUP(Table3[[#This Row],[Date]],'PCE Core'!$A:$E,2,)</f>
        <v>40.932000000000002</v>
      </c>
      <c r="C263" s="28">
        <f>VLOOKUP(Table3[[#This Row],[Date]],Database!$A:$E,5)</f>
        <v>80.8</v>
      </c>
      <c r="D263" s="26">
        <f>(((Table3[[#This Row],[Core PCE]]-$B$496)/$B$496)*100)+100</f>
        <v>51.295804300967468</v>
      </c>
      <c r="E263" s="26">
        <f>(((Table3[[#This Row],[Core CPI]]-$C$496)/$C$496)*100)+100</f>
        <v>45.215444879686629</v>
      </c>
      <c r="F263" s="27">
        <v>0.1237830319888733</v>
      </c>
      <c r="G263" s="27">
        <f>VLOOKUP(Table3[[#This Row],[Date]],'PCE Core'!A:D,4,)</f>
        <v>9.1665555407387786E-2</v>
      </c>
    </row>
    <row r="264" spans="1:7" x14ac:dyDescent="0.2">
      <c r="A264" s="38">
        <v>29434</v>
      </c>
      <c r="B264" s="28">
        <f>VLOOKUP(Table3[[#This Row],[Date]],'PCE Core'!$A:$E,2,)</f>
        <v>41.228000000000002</v>
      </c>
      <c r="C264" s="26">
        <f>VLOOKUP(Table3[[#This Row],[Date]],Database!$A:$E,5)</f>
        <v>81.3</v>
      </c>
      <c r="D264" s="26">
        <f>(((Table3[[#This Row],[Core PCE]]-$B$496)/$B$496)*100)+100</f>
        <v>51.666750213043258</v>
      </c>
      <c r="E264" s="26">
        <f>(((Table3[[#This Row],[Core CPI]]-$C$496)/$C$496)*100)+100</f>
        <v>45.495243424734191</v>
      </c>
      <c r="F264" s="27">
        <v>0.11829436038514431</v>
      </c>
      <c r="G264" s="27">
        <f>VLOOKUP(Table3[[#This Row],[Date]],'PCE Core'!A:D,4,)</f>
        <v>9.2306061890631674E-2</v>
      </c>
    </row>
    <row r="265" spans="1:7" x14ac:dyDescent="0.2">
      <c r="A265" s="41">
        <v>29465</v>
      </c>
      <c r="B265" s="28">
        <f>VLOOKUP(Table3[[#This Row],[Date]],'PCE Core'!$A:$E,2,)</f>
        <v>41.616</v>
      </c>
      <c r="C265" s="28">
        <f>VLOOKUP(Table3[[#This Row],[Date]],Database!$A:$E,5)</f>
        <v>82.1</v>
      </c>
      <c r="D265" s="26">
        <f>(((Table3[[#This Row],[Core PCE]]-$B$496)/$B$496)*100)+100</f>
        <v>52.152990124818281</v>
      </c>
      <c r="E265" s="26">
        <f>(((Table3[[#This Row],[Core CPI]]-$C$496)/$C$496)*100)+100</f>
        <v>45.942921096810295</v>
      </c>
      <c r="F265" s="27">
        <v>0.1200545702592087</v>
      </c>
      <c r="G265" s="27">
        <f>VLOOKUP(Table3[[#This Row],[Date]],'PCE Core'!A:D,4,)</f>
        <v>9.5100257881164066E-2</v>
      </c>
    </row>
    <row r="266" spans="1:7" x14ac:dyDescent="0.2">
      <c r="A266" s="38">
        <v>29495</v>
      </c>
      <c r="B266" s="28">
        <f>VLOOKUP(Table3[[#This Row],[Date]],'PCE Core'!$A:$E,2,)</f>
        <v>41.959000000000003</v>
      </c>
      <c r="C266" s="28">
        <f>VLOOKUP(Table3[[#This Row],[Date]],Database!$A:$E,5)</f>
        <v>83</v>
      </c>
      <c r="D266" s="26">
        <f>(((Table3[[#This Row],[Core PCE]]-$B$496)/$B$496)*100)+100</f>
        <v>52.582836232392602</v>
      </c>
      <c r="E266" s="26">
        <f>(((Table3[[#This Row],[Core CPI]]-$C$496)/$C$496)*100)+100</f>
        <v>46.44655847789592</v>
      </c>
      <c r="F266" s="27">
        <v>0.1216216216216216</v>
      </c>
      <c r="G266" s="27">
        <f>VLOOKUP(Table3[[#This Row],[Date]],'PCE Core'!A:D,4,)</f>
        <v>9.6136262702787412E-2</v>
      </c>
    </row>
    <row r="267" spans="1:7" x14ac:dyDescent="0.2">
      <c r="A267" s="41">
        <v>29526</v>
      </c>
      <c r="B267" s="28">
        <f>VLOOKUP(Table3[[#This Row],[Date]],'PCE Core'!$A:$E,2,)</f>
        <v>42.289000000000001</v>
      </c>
      <c r="C267" s="26">
        <f>VLOOKUP(Table3[[#This Row],[Date]],Database!$A:$E,5)</f>
        <v>83.9</v>
      </c>
      <c r="D267" s="26">
        <f>(((Table3[[#This Row],[Core PCE]]-$B$496)/$B$496)*100)+100</f>
        <v>52.996390796531152</v>
      </c>
      <c r="E267" s="26">
        <f>(((Table3[[#This Row],[Core CPI]]-$C$496)/$C$496)*100)+100</f>
        <v>46.950195858981537</v>
      </c>
      <c r="F267" s="27">
        <v>0.1216577540106953</v>
      </c>
      <c r="G267" s="27">
        <f>VLOOKUP(Table3[[#This Row],[Date]],'PCE Core'!A:D,4,)</f>
        <v>9.7731284394143927E-2</v>
      </c>
    </row>
    <row r="268" spans="1:7" x14ac:dyDescent="0.2">
      <c r="A268" s="38">
        <v>29556</v>
      </c>
      <c r="B268" s="28">
        <f>VLOOKUP(Table3[[#This Row],[Date]],'PCE Core'!$A:$E,2,)</f>
        <v>42.543999999999997</v>
      </c>
      <c r="C268" s="28">
        <f>VLOOKUP(Table3[[#This Row],[Date]],Database!$A:$E,5)</f>
        <v>84.9</v>
      </c>
      <c r="D268" s="26">
        <f>(((Table3[[#This Row],[Core PCE]]-$B$496)/$B$496)*100)+100</f>
        <v>53.315955687001846</v>
      </c>
      <c r="E268" s="26">
        <f>(((Table3[[#This Row],[Core CPI]]-$C$496)/$C$496)*100)+100</f>
        <v>47.509792949076669</v>
      </c>
      <c r="F268" s="27">
        <v>0.12153236459709379</v>
      </c>
      <c r="G268" s="27">
        <f>VLOOKUP(Table3[[#This Row],[Date]],'PCE Core'!A:D,4,)</f>
        <v>9.6466585912734076E-2</v>
      </c>
    </row>
    <row r="269" spans="1:7" x14ac:dyDescent="0.2">
      <c r="A269" s="41">
        <v>29587</v>
      </c>
      <c r="B269" s="28">
        <f>VLOOKUP(Table3[[#This Row],[Date]],'PCE Core'!$A:$E,2,)</f>
        <v>42.911999999999999</v>
      </c>
      <c r="C269" s="28">
        <f>VLOOKUP(Table3[[#This Row],[Date]],Database!$A:$E,5)</f>
        <v>85.4</v>
      </c>
      <c r="D269" s="26">
        <f>(((Table3[[#This Row],[Core PCE]]-$B$496)/$B$496)*100)+100</f>
        <v>53.777131685798778</v>
      </c>
      <c r="E269" s="26">
        <f>(((Table3[[#This Row],[Core CPI]]-$C$496)/$C$496)*100)+100</f>
        <v>47.789591494124238</v>
      </c>
      <c r="F269" s="27">
        <v>0.11342894393741849</v>
      </c>
      <c r="G269" s="27">
        <f>VLOOKUP(Table3[[#This Row],[Date]],'PCE Core'!A:D,4,)</f>
        <v>9.7633968538176241E-2</v>
      </c>
    </row>
    <row r="270" spans="1:7" x14ac:dyDescent="0.2">
      <c r="A270" s="38">
        <v>29618</v>
      </c>
      <c r="B270" s="28">
        <f>VLOOKUP(Table3[[#This Row],[Date]],'PCE Core'!$A:$E,2,)</f>
        <v>43.225999999999999</v>
      </c>
      <c r="C270" s="26">
        <f>VLOOKUP(Table3[[#This Row],[Date]],Database!$A:$E,5)</f>
        <v>85.9</v>
      </c>
      <c r="D270" s="26">
        <f>(((Table3[[#This Row],[Core PCE]]-$B$496)/$B$496)*100)+100</f>
        <v>54.170635119554859</v>
      </c>
      <c r="E270" s="26">
        <f>(((Table3[[#This Row],[Core CPI]]-$C$496)/$C$496)*100)+100</f>
        <v>48.0693900391718</v>
      </c>
      <c r="F270" s="27">
        <v>0.1083870967741936</v>
      </c>
      <c r="G270" s="27">
        <f>VLOOKUP(Table3[[#This Row],[Date]],'PCE Core'!A:D,4,)</f>
        <v>9.4744839812587051E-2</v>
      </c>
    </row>
    <row r="271" spans="1:7" x14ac:dyDescent="0.2">
      <c r="A271" s="41">
        <v>29646</v>
      </c>
      <c r="B271" s="28">
        <f>VLOOKUP(Table3[[#This Row],[Date]],'PCE Core'!$A:$E,2,)</f>
        <v>43.466000000000001</v>
      </c>
      <c r="C271" s="28">
        <f>VLOOKUP(Table3[[#This Row],[Date]],Database!$A:$E,5)</f>
        <v>86.4</v>
      </c>
      <c r="D271" s="26">
        <f>(((Table3[[#This Row],[Core PCE]]-$B$496)/$B$496)*100)+100</f>
        <v>54.471402075291991</v>
      </c>
      <c r="E271" s="26">
        <f>(((Table3[[#This Row],[Core CPI]]-$C$496)/$C$496)*100)+100</f>
        <v>48.34918858421937</v>
      </c>
      <c r="F271" s="27">
        <v>9.9236641221374197E-2</v>
      </c>
      <c r="G271" s="27">
        <f>VLOOKUP(Table3[[#This Row],[Date]],'PCE Core'!A:D,4,)</f>
        <v>9.0712905573260449E-2</v>
      </c>
    </row>
    <row r="272" spans="1:7" x14ac:dyDescent="0.2">
      <c r="A272" s="38">
        <v>29677</v>
      </c>
      <c r="B272" s="28">
        <f>VLOOKUP(Table3[[#This Row],[Date]],'PCE Core'!$A:$E,2,)</f>
        <v>43.744</v>
      </c>
      <c r="C272" s="28">
        <f>VLOOKUP(Table3[[#This Row],[Date]],Database!$A:$E,5)</f>
        <v>87</v>
      </c>
      <c r="D272" s="26">
        <f>(((Table3[[#This Row],[Core PCE]]-$B$496)/$B$496)*100)+100</f>
        <v>54.819790465687497</v>
      </c>
      <c r="E272" s="26">
        <f>(((Table3[[#This Row],[Core CPI]]-$C$496)/$C$496)*100)+100</f>
        <v>48.684946838276446</v>
      </c>
      <c r="F272" s="27">
        <v>9.4339622641509441E-2</v>
      </c>
      <c r="G272" s="27">
        <f>VLOOKUP(Table3[[#This Row],[Date]],'PCE Core'!A:D,4,)</f>
        <v>9.2071100459356972E-2</v>
      </c>
    </row>
    <row r="273" spans="1:7" x14ac:dyDescent="0.2">
      <c r="A273" s="41">
        <v>29707</v>
      </c>
      <c r="B273" s="28">
        <f>VLOOKUP(Table3[[#This Row],[Date]],'PCE Core'!$A:$E,2,)</f>
        <v>44.045000000000002</v>
      </c>
      <c r="C273" s="26">
        <f>VLOOKUP(Table3[[#This Row],[Date]],Database!$A:$E,5)</f>
        <v>87.8</v>
      </c>
      <c r="D273" s="26">
        <f>(((Table3[[#This Row],[Core PCE]]-$B$496)/$B$496)*100)+100</f>
        <v>55.197002356007815</v>
      </c>
      <c r="E273" s="26">
        <f>(((Table3[[#This Row],[Core CPI]]-$C$496)/$C$496)*100)+100</f>
        <v>49.132624510352549</v>
      </c>
      <c r="F273" s="27">
        <v>9.6129837702871451E-2</v>
      </c>
      <c r="G273" s="27">
        <f>VLOOKUP(Table3[[#This Row],[Date]],'PCE Core'!A:D,4,)</f>
        <v>9.0816781415622411E-2</v>
      </c>
    </row>
    <row r="274" spans="1:7" x14ac:dyDescent="0.2">
      <c r="A274" s="38">
        <v>29738</v>
      </c>
      <c r="B274" s="28">
        <f>VLOOKUP(Table3[[#This Row],[Date]],'PCE Core'!$A:$E,2,)</f>
        <v>44.265000000000001</v>
      </c>
      <c r="C274" s="28">
        <f>VLOOKUP(Table3[[#This Row],[Date]],Database!$A:$E,5)</f>
        <v>88.6</v>
      </c>
      <c r="D274" s="26">
        <f>(((Table3[[#This Row],[Core PCE]]-$B$496)/$B$496)*100)+100</f>
        <v>55.472705398766855</v>
      </c>
      <c r="E274" s="26">
        <f>(((Table3[[#This Row],[Core CPI]]-$C$496)/$C$496)*100)+100</f>
        <v>49.580302182428646</v>
      </c>
      <c r="F274" s="27">
        <v>9.3827160493827097E-2</v>
      </c>
      <c r="G274" s="27">
        <f>VLOOKUP(Table3[[#This Row],[Date]],'PCE Core'!A:D,4,)</f>
        <v>8.9037051616395205E-2</v>
      </c>
    </row>
    <row r="275" spans="1:7" x14ac:dyDescent="0.2">
      <c r="A275" s="41">
        <v>29768</v>
      </c>
      <c r="B275" s="28">
        <f>VLOOKUP(Table3[[#This Row],[Date]],'PCE Core'!$A:$E,2,)</f>
        <v>44.531999999999996</v>
      </c>
      <c r="C275" s="28">
        <f>VLOOKUP(Table3[[#This Row],[Date]],Database!$A:$E,5)</f>
        <v>89.8</v>
      </c>
      <c r="D275" s="26">
        <f>(((Table3[[#This Row],[Core PCE]]-$B$496)/$B$496)*100)+100</f>
        <v>55.807308637024406</v>
      </c>
      <c r="E275" s="26">
        <f>(((Table3[[#This Row],[Core CPI]]-$C$496)/$C$496)*100)+100</f>
        <v>50.251818690542812</v>
      </c>
      <c r="F275" s="27">
        <v>0.1113861386138614</v>
      </c>
      <c r="G275" s="27">
        <f>VLOOKUP(Table3[[#This Row],[Date]],'PCE Core'!A:D,4,)</f>
        <v>8.7950747581354294E-2</v>
      </c>
    </row>
    <row r="276" spans="1:7" x14ac:dyDescent="0.2">
      <c r="A276" s="38">
        <v>29799</v>
      </c>
      <c r="B276" s="28">
        <f>VLOOKUP(Table3[[#This Row],[Date]],'PCE Core'!$A:$E,2,)</f>
        <v>44.83</v>
      </c>
      <c r="C276" s="26">
        <f>VLOOKUP(Table3[[#This Row],[Date]],Database!$A:$E,5)</f>
        <v>90.7</v>
      </c>
      <c r="D276" s="26">
        <f>(((Table3[[#This Row],[Core PCE]]-$B$496)/$B$496)*100)+100</f>
        <v>56.180760940398002</v>
      </c>
      <c r="E276" s="26">
        <f>(((Table3[[#This Row],[Core CPI]]-$C$496)/$C$496)*100)+100</f>
        <v>50.75545607162843</v>
      </c>
      <c r="F276" s="27">
        <v>0.1156211562115622</v>
      </c>
      <c r="G276" s="27">
        <f>VLOOKUP(Table3[[#This Row],[Date]],'PCE Core'!A:D,4,)</f>
        <v>8.7367808285631038E-2</v>
      </c>
    </row>
    <row r="277" spans="1:7" x14ac:dyDescent="0.2">
      <c r="A277" s="41">
        <v>29830</v>
      </c>
      <c r="B277" s="28">
        <f>VLOOKUP(Table3[[#This Row],[Date]],'PCE Core'!$A:$E,2,)</f>
        <v>45.124000000000002</v>
      </c>
      <c r="C277" s="28">
        <f>VLOOKUP(Table3[[#This Row],[Date]],Database!$A:$E,5)</f>
        <v>91.8</v>
      </c>
      <c r="D277" s="26">
        <f>(((Table3[[#This Row],[Core PCE]]-$B$496)/$B$496)*100)+100</f>
        <v>56.549200461176</v>
      </c>
      <c r="E277" s="26">
        <f>(((Table3[[#This Row],[Core CPI]]-$C$496)/$C$496)*100)+100</f>
        <v>51.371012870733075</v>
      </c>
      <c r="F277" s="27">
        <v>0.118148599269184</v>
      </c>
      <c r="G277" s="27">
        <f>VLOOKUP(Table3[[#This Row],[Date]],'PCE Core'!A:D,4,)</f>
        <v>8.4294502114571387E-2</v>
      </c>
    </row>
    <row r="278" spans="1:7" x14ac:dyDescent="0.2">
      <c r="A278" s="38">
        <v>29860</v>
      </c>
      <c r="B278" s="28">
        <f>VLOOKUP(Table3[[#This Row],[Date]],'PCE Core'!$A:$E,2,)</f>
        <v>45.393000000000001</v>
      </c>
      <c r="C278" s="28">
        <f>VLOOKUP(Table3[[#This Row],[Date]],Database!$A:$E,5)</f>
        <v>92.1</v>
      </c>
      <c r="D278" s="26">
        <f>(((Table3[[#This Row],[Core PCE]]-$B$496)/$B$496)*100)+100</f>
        <v>56.886310090731364</v>
      </c>
      <c r="E278" s="26">
        <f>(((Table3[[#This Row],[Core CPI]]-$C$496)/$C$496)*100)+100</f>
        <v>51.53889199776161</v>
      </c>
      <c r="F278" s="27">
        <v>0.1096385542168674</v>
      </c>
      <c r="G278" s="27">
        <f>VLOOKUP(Table3[[#This Row],[Date]],'PCE Core'!A:D,4,)</f>
        <v>8.1841797945613512E-2</v>
      </c>
    </row>
    <row r="279" spans="1:7" x14ac:dyDescent="0.2">
      <c r="A279" s="41">
        <v>29891</v>
      </c>
      <c r="B279" s="28">
        <f>VLOOKUP(Table3[[#This Row],[Date]],'PCE Core'!$A:$E,2,)</f>
        <v>45.658000000000001</v>
      </c>
      <c r="C279" s="26">
        <f>VLOOKUP(Table3[[#This Row],[Date]],Database!$A:$E,5)</f>
        <v>92.5</v>
      </c>
      <c r="D279" s="26">
        <f>(((Table3[[#This Row],[Core PCE]]-$B$496)/$B$496)*100)+100</f>
        <v>57.218406937691107</v>
      </c>
      <c r="E279" s="26">
        <f>(((Table3[[#This Row],[Core CPI]]-$C$496)/$C$496)*100)+100</f>
        <v>51.762730833799672</v>
      </c>
      <c r="F279" s="27">
        <v>0.102502979737783</v>
      </c>
      <c r="G279" s="27">
        <f>VLOOKUP(Table3[[#This Row],[Date]],'PCE Core'!A:D,4,)</f>
        <v>7.9666107025467614E-2</v>
      </c>
    </row>
    <row r="280" spans="1:7" x14ac:dyDescent="0.2">
      <c r="A280" s="38">
        <v>29921</v>
      </c>
      <c r="B280" s="28">
        <f>VLOOKUP(Table3[[#This Row],[Date]],'PCE Core'!$A:$E,2,)</f>
        <v>45.826000000000001</v>
      </c>
      <c r="C280" s="28">
        <f>VLOOKUP(Table3[[#This Row],[Date]],Database!$A:$E,5)</f>
        <v>93</v>
      </c>
      <c r="D280" s="26">
        <f>(((Table3[[#This Row],[Core PCE]]-$B$496)/$B$496)*100)+100</f>
        <v>57.428943806707103</v>
      </c>
      <c r="E280" s="26">
        <f>(((Table3[[#This Row],[Core CPI]]-$C$496)/$C$496)*100)+100</f>
        <v>52.042529378847235</v>
      </c>
      <c r="F280" s="27">
        <v>9.5406360424028197E-2</v>
      </c>
      <c r="G280" s="27">
        <f>VLOOKUP(Table3[[#This Row],[Date]],'PCE Core'!A:D,4,)</f>
        <v>7.7143663031214837E-2</v>
      </c>
    </row>
    <row r="281" spans="1:7" x14ac:dyDescent="0.2">
      <c r="A281" s="41">
        <v>29952</v>
      </c>
      <c r="B281" s="28">
        <f>VLOOKUP(Table3[[#This Row],[Date]],'PCE Core'!$A:$E,2,)</f>
        <v>46.107999999999997</v>
      </c>
      <c r="C281" s="28">
        <f>VLOOKUP(Table3[[#This Row],[Date]],Database!$A:$E,5)</f>
        <v>93.3</v>
      </c>
      <c r="D281" s="26">
        <f>(((Table3[[#This Row],[Core PCE]]-$B$496)/$B$496)*100)+100</f>
        <v>57.782344979698223</v>
      </c>
      <c r="E281" s="26">
        <f>(((Table3[[#This Row],[Core CPI]]-$C$496)/$C$496)*100)+100</f>
        <v>52.210408505875769</v>
      </c>
      <c r="F281" s="27">
        <v>9.2505854800936663E-2</v>
      </c>
      <c r="G281" s="27">
        <f>VLOOKUP(Table3[[#This Row],[Date]],'PCE Core'!A:D,4,)</f>
        <v>7.4478001491424264E-2</v>
      </c>
    </row>
    <row r="282" spans="1:7" x14ac:dyDescent="0.2">
      <c r="A282" s="38">
        <v>29983</v>
      </c>
      <c r="B282" s="28">
        <f>VLOOKUP(Table3[[#This Row],[Date]],'PCE Core'!$A:$E,2,)</f>
        <v>46.286000000000001</v>
      </c>
      <c r="C282" s="26">
        <f>VLOOKUP(Table3[[#This Row],[Date]],Database!$A:$E,5)</f>
        <v>93.8</v>
      </c>
      <c r="D282" s="26">
        <f>(((Table3[[#This Row],[Core PCE]]-$B$496)/$B$496)*100)+100</f>
        <v>58.005413805203268</v>
      </c>
      <c r="E282" s="26">
        <f>(((Table3[[#This Row],[Core CPI]]-$C$496)/$C$496)*100)+100</f>
        <v>52.490207050923338</v>
      </c>
      <c r="F282" s="27">
        <v>9.1967403958090693E-2</v>
      </c>
      <c r="G282" s="27">
        <f>VLOOKUP(Table3[[#This Row],[Date]],'PCE Core'!A:D,4,)</f>
        <v>7.0790727802711381E-2</v>
      </c>
    </row>
    <row r="283" spans="1:7" x14ac:dyDescent="0.2">
      <c r="A283" s="41">
        <v>30011</v>
      </c>
      <c r="B283" s="28">
        <f>VLOOKUP(Table3[[#This Row],[Date]],'PCE Core'!$A:$E,2,)</f>
        <v>46.488</v>
      </c>
      <c r="C283" s="28">
        <f>VLOOKUP(Table3[[#This Row],[Date]],Database!$A:$E,5)</f>
        <v>93.9</v>
      </c>
      <c r="D283" s="26">
        <f>(((Table3[[#This Row],[Core PCE]]-$B$496)/$B$496)*100)+100</f>
        <v>58.258559326282011</v>
      </c>
      <c r="E283" s="26">
        <f>(((Table3[[#This Row],[Core CPI]]-$C$496)/$C$496)*100)+100</f>
        <v>52.546166759932852</v>
      </c>
      <c r="F283" s="27">
        <v>8.6805555555555552E-2</v>
      </c>
      <c r="G283" s="27">
        <f>VLOOKUP(Table3[[#This Row],[Date]],'PCE Core'!A:D,4,)</f>
        <v>6.9525606220954272E-2</v>
      </c>
    </row>
    <row r="284" spans="1:7" x14ac:dyDescent="0.2">
      <c r="A284" s="38">
        <v>30042</v>
      </c>
      <c r="B284" s="28">
        <f>VLOOKUP(Table3[[#This Row],[Date]],'PCE Core'!$A:$E,2,)</f>
        <v>46.671999999999997</v>
      </c>
      <c r="C284" s="28">
        <f>VLOOKUP(Table3[[#This Row],[Date]],Database!$A:$E,5)</f>
        <v>94.7</v>
      </c>
      <c r="D284" s="26">
        <f>(((Table3[[#This Row],[Core PCE]]-$B$496)/$B$496)*100)+100</f>
        <v>58.489147325680477</v>
      </c>
      <c r="E284" s="26">
        <f>(((Table3[[#This Row],[Core CPI]]-$C$496)/$C$496)*100)+100</f>
        <v>52.993844432008956</v>
      </c>
      <c r="F284" s="27">
        <v>8.8505747126436815E-2</v>
      </c>
      <c r="G284" s="27">
        <f>VLOOKUP(Table3[[#This Row],[Date]],'PCE Core'!A:D,4,)</f>
        <v>6.6934893928310105E-2</v>
      </c>
    </row>
    <row r="285" spans="1:7" x14ac:dyDescent="0.2">
      <c r="A285" s="41">
        <v>30072</v>
      </c>
      <c r="B285" s="28">
        <f>VLOOKUP(Table3[[#This Row],[Date]],'PCE Core'!$A:$E,2,)</f>
        <v>46.927</v>
      </c>
      <c r="C285" s="26">
        <f>VLOOKUP(Table3[[#This Row],[Date]],Database!$A:$E,5)</f>
        <v>95.4</v>
      </c>
      <c r="D285" s="26">
        <f>(((Table3[[#This Row],[Core PCE]]-$B$496)/$B$496)*100)+100</f>
        <v>58.808712216151179</v>
      </c>
      <c r="E285" s="26">
        <f>(((Table3[[#This Row],[Core CPI]]-$C$496)/$C$496)*100)+100</f>
        <v>53.385562395075553</v>
      </c>
      <c r="F285" s="27">
        <v>8.6560364464692577E-2</v>
      </c>
      <c r="G285" s="27">
        <f>VLOOKUP(Table3[[#This Row],[Date]],'PCE Core'!A:D,4,)</f>
        <v>6.5433079804745095E-2</v>
      </c>
    </row>
    <row r="286" spans="1:7" x14ac:dyDescent="0.2">
      <c r="A286" s="38">
        <v>30103</v>
      </c>
      <c r="B286" s="28">
        <f>VLOOKUP(Table3[[#This Row],[Date]],'PCE Core'!$A:$E,2,)</f>
        <v>47.161999999999999</v>
      </c>
      <c r="C286" s="28">
        <f>VLOOKUP(Table3[[#This Row],[Date]],Database!$A:$E,5)</f>
        <v>96.1</v>
      </c>
      <c r="D286" s="26">
        <f>(((Table3[[#This Row],[Core PCE]]-$B$496)/$B$496)*100)+100</f>
        <v>59.103213193643782</v>
      </c>
      <c r="E286" s="26">
        <f>(((Table3[[#This Row],[Core CPI]]-$C$496)/$C$496)*100)+100</f>
        <v>53.777280358142136</v>
      </c>
      <c r="F286" s="27">
        <v>8.4650112866817159E-2</v>
      </c>
      <c r="G286" s="27">
        <f>VLOOKUP(Table3[[#This Row],[Date]],'PCE Core'!A:D,4,)</f>
        <v>6.544674121766629E-2</v>
      </c>
    </row>
    <row r="287" spans="1:7" x14ac:dyDescent="0.2">
      <c r="A287" s="41">
        <v>30133</v>
      </c>
      <c r="B287" s="28">
        <f>VLOOKUP(Table3[[#This Row],[Date]],'PCE Core'!$A:$E,2,)</f>
        <v>47.468000000000004</v>
      </c>
      <c r="C287" s="28">
        <f>VLOOKUP(Table3[[#This Row],[Date]],Database!$A:$E,5)</f>
        <v>96.7</v>
      </c>
      <c r="D287" s="26">
        <f>(((Table3[[#This Row],[Core PCE]]-$B$496)/$B$496)*100)+100</f>
        <v>59.486691062208628</v>
      </c>
      <c r="E287" s="26">
        <f>(((Table3[[#This Row],[Core CPI]]-$C$496)/$C$496)*100)+100</f>
        <v>54.113038612199219</v>
      </c>
      <c r="F287" s="27">
        <v>7.6837416481069107E-2</v>
      </c>
      <c r="G287" s="27">
        <f>VLOOKUP(Table3[[#This Row],[Date]],'PCE Core'!A:D,4,)</f>
        <v>6.5930117668193816E-2</v>
      </c>
    </row>
    <row r="288" spans="1:7" x14ac:dyDescent="0.2">
      <c r="A288" s="38">
        <v>30164</v>
      </c>
      <c r="B288" s="28">
        <f>VLOOKUP(Table3[[#This Row],[Date]],'PCE Core'!$A:$E,2,)</f>
        <v>47.686</v>
      </c>
      <c r="C288" s="26">
        <f>VLOOKUP(Table3[[#This Row],[Date]],Database!$A:$E,5)</f>
        <v>97.1</v>
      </c>
      <c r="D288" s="26">
        <f>(((Table3[[#This Row],[Core PCE]]-$B$496)/$B$496)*100)+100</f>
        <v>59.759887713669855</v>
      </c>
      <c r="E288" s="26">
        <f>(((Table3[[#This Row],[Core CPI]]-$C$496)/$C$496)*100)+100</f>
        <v>54.336877448237267</v>
      </c>
      <c r="F288" s="27">
        <v>7.0562293274531326E-2</v>
      </c>
      <c r="G288" s="27">
        <f>VLOOKUP(Table3[[#This Row],[Date]],'PCE Core'!A:D,4,)</f>
        <v>6.3707338835601202E-2</v>
      </c>
    </row>
    <row r="289" spans="1:7" x14ac:dyDescent="0.2">
      <c r="A289" s="41">
        <v>30195</v>
      </c>
      <c r="B289" s="28">
        <f>VLOOKUP(Table3[[#This Row],[Date]],'PCE Core'!$A:$E,2,)</f>
        <v>47.863</v>
      </c>
      <c r="C289" s="28">
        <f>VLOOKUP(Table3[[#This Row],[Date]],Database!$A:$E,5)</f>
        <v>97.2</v>
      </c>
      <c r="D289" s="26">
        <f>(((Table3[[#This Row],[Core PCE]]-$B$496)/$B$496)*100)+100</f>
        <v>59.981703343525986</v>
      </c>
      <c r="E289" s="26">
        <f>(((Table3[[#This Row],[Core CPI]]-$C$496)/$C$496)*100)+100</f>
        <v>54.392837157246788</v>
      </c>
      <c r="F289" s="27">
        <v>5.8823529411764768E-2</v>
      </c>
      <c r="G289" s="27">
        <f>VLOOKUP(Table3[[#This Row],[Date]],'PCE Core'!A:D,4,)</f>
        <v>6.0699406081021118E-2</v>
      </c>
    </row>
    <row r="290" spans="1:7" x14ac:dyDescent="0.2">
      <c r="A290" s="38">
        <v>30225</v>
      </c>
      <c r="B290" s="28">
        <f>VLOOKUP(Table3[[#This Row],[Date]],'PCE Core'!$A:$E,2,)</f>
        <v>48.165999999999997</v>
      </c>
      <c r="C290" s="28">
        <f>VLOOKUP(Table3[[#This Row],[Date]],Database!$A:$E,5)</f>
        <v>97.5</v>
      </c>
      <c r="D290" s="26">
        <f>(((Table3[[#This Row],[Core PCE]]-$B$496)/$B$496)*100)+100</f>
        <v>60.361421625144104</v>
      </c>
      <c r="E290" s="26">
        <f>(((Table3[[#This Row],[Core CPI]]-$C$496)/$C$496)*100)+100</f>
        <v>54.560716284275323</v>
      </c>
      <c r="F290" s="27">
        <v>5.8631921824104302E-2</v>
      </c>
      <c r="G290" s="27">
        <f>VLOOKUP(Table3[[#This Row],[Date]],'PCE Core'!A:D,4,)</f>
        <v>6.1088714118916927E-2</v>
      </c>
    </row>
    <row r="291" spans="1:7" x14ac:dyDescent="0.2">
      <c r="A291" s="41">
        <v>30256</v>
      </c>
      <c r="B291" s="28">
        <f>VLOOKUP(Table3[[#This Row],[Date]],'PCE Core'!$A:$E,2,)</f>
        <v>48.344000000000001</v>
      </c>
      <c r="C291" s="26">
        <f>VLOOKUP(Table3[[#This Row],[Date]],Database!$A:$E,5)</f>
        <v>97.3</v>
      </c>
      <c r="D291" s="26">
        <f>(((Table3[[#This Row],[Core PCE]]-$B$496)/$B$496)*100)+100</f>
        <v>60.584490450649156</v>
      </c>
      <c r="E291" s="26">
        <f>(((Table3[[#This Row],[Core CPI]]-$C$496)/$C$496)*100)+100</f>
        <v>54.448796866256302</v>
      </c>
      <c r="F291" s="27">
        <v>5.1891891891891861E-2</v>
      </c>
      <c r="G291" s="27">
        <f>VLOOKUP(Table3[[#This Row],[Date]],'PCE Core'!A:D,4,)</f>
        <v>5.8828682815716848E-2</v>
      </c>
    </row>
    <row r="292" spans="1:7" x14ac:dyDescent="0.2">
      <c r="A292" s="38">
        <v>30286</v>
      </c>
      <c r="B292" s="28">
        <f>VLOOKUP(Table3[[#This Row],[Date]],'PCE Core'!$A:$E,2,)</f>
        <v>48.497999999999998</v>
      </c>
      <c r="C292" s="28">
        <f>VLOOKUP(Table3[[#This Row],[Date]],Database!$A:$E,5)</f>
        <v>97.2</v>
      </c>
      <c r="D292" s="26">
        <f>(((Table3[[#This Row],[Core PCE]]-$B$496)/$B$496)*100)+100</f>
        <v>60.777482580580475</v>
      </c>
      <c r="E292" s="26">
        <f>(((Table3[[#This Row],[Core CPI]]-$C$496)/$C$496)*100)+100</f>
        <v>54.392837157246788</v>
      </c>
      <c r="F292" s="27">
        <v>4.5161290322580677E-2</v>
      </c>
      <c r="G292" s="27">
        <f>VLOOKUP(Table3[[#This Row],[Date]],'PCE Core'!A:D,4,)</f>
        <v>5.8307511019944941E-2</v>
      </c>
    </row>
    <row r="293" spans="1:7" x14ac:dyDescent="0.2">
      <c r="A293" s="41">
        <v>30317</v>
      </c>
      <c r="B293" s="28">
        <f>VLOOKUP(Table3[[#This Row],[Date]],'PCE Core'!$A:$E,2,)</f>
        <v>48.83</v>
      </c>
      <c r="C293" s="28">
        <f>VLOOKUP(Table3[[#This Row],[Date]],Database!$A:$E,5)</f>
        <v>97.6</v>
      </c>
      <c r="D293" s="26">
        <f>(((Table3[[#This Row],[Core PCE]]-$B$496)/$B$496)*100)+100</f>
        <v>61.19354353601684</v>
      </c>
      <c r="E293" s="26">
        <f>(((Table3[[#This Row],[Core CPI]]-$C$496)/$C$496)*100)+100</f>
        <v>54.616675993284836</v>
      </c>
      <c r="F293" s="27">
        <v>4.6087888531618409E-2</v>
      </c>
      <c r="G293" s="27">
        <f>VLOOKUP(Table3[[#This Row],[Date]],'PCE Core'!A:D,4,)</f>
        <v>5.9035308406350337E-2</v>
      </c>
    </row>
    <row r="294" spans="1:7" x14ac:dyDescent="0.2">
      <c r="A294" s="38">
        <v>30348</v>
      </c>
      <c r="B294" s="28">
        <f>VLOOKUP(Table3[[#This Row],[Date]],'PCE Core'!$A:$E,2,)</f>
        <v>49.011000000000003</v>
      </c>
      <c r="C294" s="26">
        <f>VLOOKUP(Table3[[#This Row],[Date]],Database!$A:$E,5)</f>
        <v>98</v>
      </c>
      <c r="D294" s="26">
        <f>(((Table3[[#This Row],[Core PCE]]-$B$496)/$B$496)*100)+100</f>
        <v>61.420371948468592</v>
      </c>
      <c r="E294" s="26">
        <f>(((Table3[[#This Row],[Core CPI]]-$C$496)/$C$496)*100)+100</f>
        <v>54.840514829322892</v>
      </c>
      <c r="F294" s="27">
        <v>4.4776119402985107E-2</v>
      </c>
      <c r="G294" s="27">
        <f>VLOOKUP(Table3[[#This Row],[Date]],'PCE Core'!A:D,4,)</f>
        <v>5.8873093375966842E-2</v>
      </c>
    </row>
    <row r="295" spans="1:7" x14ac:dyDescent="0.2">
      <c r="A295" s="41">
        <v>30376</v>
      </c>
      <c r="B295" s="28">
        <f>VLOOKUP(Table3[[#This Row],[Date]],'PCE Core'!$A:$E,2,)</f>
        <v>49.073</v>
      </c>
      <c r="C295" s="28">
        <f>VLOOKUP(Table3[[#This Row],[Date]],Database!$A:$E,5)</f>
        <v>98.2</v>
      </c>
      <c r="D295" s="26">
        <f>(((Table3[[#This Row],[Core PCE]]-$B$496)/$B$496)*100)+100</f>
        <v>61.498070078700685</v>
      </c>
      <c r="E295" s="26">
        <f>(((Table3[[#This Row],[Core CPI]]-$C$496)/$C$496)*100)+100</f>
        <v>54.95243424734192</v>
      </c>
      <c r="F295" s="27">
        <v>4.5793397231096877E-2</v>
      </c>
      <c r="G295" s="27">
        <f>VLOOKUP(Table3[[#This Row],[Date]],'PCE Core'!A:D,4,)</f>
        <v>5.5605747719841697E-2</v>
      </c>
    </row>
    <row r="296" spans="1:7" x14ac:dyDescent="0.2">
      <c r="A296" s="38">
        <v>30407</v>
      </c>
      <c r="B296" s="28">
        <f>VLOOKUP(Table3[[#This Row],[Date]],'PCE Core'!$A:$E,2,)</f>
        <v>49.222000000000001</v>
      </c>
      <c r="C296" s="28">
        <f>VLOOKUP(Table3[[#This Row],[Date]],Database!$A:$E,5)</f>
        <v>98.6</v>
      </c>
      <c r="D296" s="26">
        <f>(((Table3[[#This Row],[Core PCE]]-$B$496)/$B$496)*100)+100</f>
        <v>61.684796230387484</v>
      </c>
      <c r="E296" s="26">
        <f>(((Table3[[#This Row],[Core CPI]]-$C$496)/$C$496)*100)+100</f>
        <v>55.176273083379968</v>
      </c>
      <c r="F296" s="27">
        <v>4.1182682154170973E-2</v>
      </c>
      <c r="G296" s="27">
        <f>VLOOKUP(Table3[[#This Row],[Date]],'PCE Core'!A:D,4,)</f>
        <v>5.4636612958519119E-2</v>
      </c>
    </row>
    <row r="297" spans="1:7" x14ac:dyDescent="0.2">
      <c r="A297" s="41">
        <v>30437</v>
      </c>
      <c r="B297" s="28">
        <f>VLOOKUP(Table3[[#This Row],[Date]],'PCE Core'!$A:$E,2,)</f>
        <v>49.292999999999999</v>
      </c>
      <c r="C297" s="26">
        <f>VLOOKUP(Table3[[#This Row],[Date]],Database!$A:$E,5)</f>
        <v>98.9</v>
      </c>
      <c r="D297" s="26">
        <f>(((Table3[[#This Row],[Core PCE]]-$B$496)/$B$496)*100)+100</f>
        <v>61.773773121459719</v>
      </c>
      <c r="E297" s="26">
        <f>(((Table3[[#This Row],[Core CPI]]-$C$496)/$C$496)*100)+100</f>
        <v>55.344152210408517</v>
      </c>
      <c r="F297" s="27">
        <v>3.668763102725367E-2</v>
      </c>
      <c r="G297" s="27">
        <f>VLOOKUP(Table3[[#This Row],[Date]],'PCE Core'!A:D,4,)</f>
        <v>5.0418735482771107E-2</v>
      </c>
    </row>
    <row r="298" spans="1:7" x14ac:dyDescent="0.2">
      <c r="A298" s="38">
        <v>30468</v>
      </c>
      <c r="B298" s="28">
        <f>VLOOKUP(Table3[[#This Row],[Date]],'PCE Core'!$A:$E,2,)</f>
        <v>49.523000000000003</v>
      </c>
      <c r="C298" s="28">
        <f>VLOOKUP(Table3[[#This Row],[Date]],Database!$A:$E,5)</f>
        <v>99.2</v>
      </c>
      <c r="D298" s="26">
        <f>(((Table3[[#This Row],[Core PCE]]-$B$496)/$B$496)*100)+100</f>
        <v>62.062008120707802</v>
      </c>
      <c r="E298" s="26">
        <f>(((Table3[[#This Row],[Core CPI]]-$C$496)/$C$496)*100)+100</f>
        <v>55.512031337437051</v>
      </c>
      <c r="F298" s="27">
        <v>3.2258064516129122E-2</v>
      </c>
      <c r="G298" s="27">
        <f>VLOOKUP(Table3[[#This Row],[Date]],'PCE Core'!A:D,4,)</f>
        <v>5.0061490182774358E-2</v>
      </c>
    </row>
    <row r="299" spans="1:7" x14ac:dyDescent="0.2">
      <c r="A299" s="41">
        <v>30498</v>
      </c>
      <c r="B299" s="28">
        <f>VLOOKUP(Table3[[#This Row],[Date]],'PCE Core'!$A:$E,2,)</f>
        <v>49.856000000000002</v>
      </c>
      <c r="C299" s="28">
        <f>VLOOKUP(Table3[[#This Row],[Date]],Database!$A:$E,5)</f>
        <v>99.8</v>
      </c>
      <c r="D299" s="26">
        <f>(((Table3[[#This Row],[Core PCE]]-$B$496)/$B$496)*100)+100</f>
        <v>62.479322271793066</v>
      </c>
      <c r="E299" s="26">
        <f>(((Table3[[#This Row],[Core CPI]]-$C$496)/$C$496)*100)+100</f>
        <v>55.84778959149412</v>
      </c>
      <c r="F299" s="27">
        <v>3.2057911065149887E-2</v>
      </c>
      <c r="G299" s="27">
        <f>VLOOKUP(Table3[[#This Row],[Date]],'PCE Core'!A:D,4,)</f>
        <v>5.0307575629897995E-2</v>
      </c>
    </row>
    <row r="300" spans="1:7" x14ac:dyDescent="0.2">
      <c r="A300" s="38">
        <v>30529</v>
      </c>
      <c r="B300" s="28">
        <f>VLOOKUP(Table3[[#This Row],[Date]],'PCE Core'!$A:$E,2,)</f>
        <v>50.113</v>
      </c>
      <c r="C300" s="26">
        <f>VLOOKUP(Table3[[#This Row],[Date]],Database!$A:$E,5)</f>
        <v>100.1</v>
      </c>
      <c r="D300" s="26">
        <f>(((Table3[[#This Row],[Core PCE]]-$B$496)/$B$496)*100)+100</f>
        <v>62.801393553561574</v>
      </c>
      <c r="E300" s="26">
        <f>(((Table3[[#This Row],[Core CPI]]-$C$496)/$C$496)*100)+100</f>
        <v>56.015668718522669</v>
      </c>
      <c r="F300" s="27">
        <v>3.089598352214212E-2</v>
      </c>
      <c r="G300" s="27">
        <f>VLOOKUP(Table3[[#This Row],[Date]],'PCE Core'!A:D,4,)</f>
        <v>5.0895441009940014E-2</v>
      </c>
    </row>
    <row r="301" spans="1:7" x14ac:dyDescent="0.2">
      <c r="A301" s="41">
        <v>30560</v>
      </c>
      <c r="B301" s="28">
        <f>VLOOKUP(Table3[[#This Row],[Date]],'PCE Core'!$A:$E,2,)</f>
        <v>50.316000000000003</v>
      </c>
      <c r="C301" s="28">
        <f>VLOOKUP(Table3[[#This Row],[Date]],Database!$A:$E,5)</f>
        <v>100.5</v>
      </c>
      <c r="D301" s="26">
        <f>(((Table3[[#This Row],[Core PCE]]-$B$496)/$B$496)*100)+100</f>
        <v>63.055792270289231</v>
      </c>
      <c r="E301" s="26">
        <f>(((Table3[[#This Row],[Core CPI]]-$C$496)/$C$496)*100)+100</f>
        <v>56.239507554560717</v>
      </c>
      <c r="F301" s="27">
        <v>3.3950617283950588E-2</v>
      </c>
      <c r="G301" s="27">
        <f>VLOOKUP(Table3[[#This Row],[Date]],'PCE Core'!A:D,4,)</f>
        <v>5.125044397551351E-2</v>
      </c>
    </row>
    <row r="302" spans="1:7" x14ac:dyDescent="0.2">
      <c r="A302" s="38">
        <v>30590</v>
      </c>
      <c r="B302" s="28">
        <f>VLOOKUP(Table3[[#This Row],[Date]],'PCE Core'!$A:$E,2,)</f>
        <v>50.405000000000001</v>
      </c>
      <c r="C302" s="28">
        <f>VLOOKUP(Table3[[#This Row],[Date]],Database!$A:$E,5)</f>
        <v>101</v>
      </c>
      <c r="D302" s="26">
        <f>(((Table3[[#This Row],[Core PCE]]-$B$496)/$B$496)*100)+100</f>
        <v>63.16732668304175</v>
      </c>
      <c r="E302" s="26">
        <f>(((Table3[[#This Row],[Core CPI]]-$C$496)/$C$496)*100)+100</f>
        <v>56.519306099608286</v>
      </c>
      <c r="F302" s="27">
        <v>3.5897435897435888E-2</v>
      </c>
      <c r="G302" s="27">
        <f>VLOOKUP(Table3[[#This Row],[Date]],'PCE Core'!A:D,4,)</f>
        <v>4.6485072457750375E-2</v>
      </c>
    </row>
    <row r="303" spans="1:7" x14ac:dyDescent="0.2">
      <c r="A303" s="41">
        <v>30621</v>
      </c>
      <c r="B303" s="28">
        <f>VLOOKUP(Table3[[#This Row],[Date]],'PCE Core'!$A:$E,2,)</f>
        <v>50.523000000000003</v>
      </c>
      <c r="C303" s="26">
        <f>VLOOKUP(Table3[[#This Row],[Date]],Database!$A:$E,5)</f>
        <v>101.5</v>
      </c>
      <c r="D303" s="26">
        <f>(((Table3[[#This Row],[Core PCE]]-$B$496)/$B$496)*100)+100</f>
        <v>63.315203769612509</v>
      </c>
      <c r="E303" s="26">
        <f>(((Table3[[#This Row],[Core CPI]]-$C$496)/$C$496)*100)+100</f>
        <v>56.799104644655849</v>
      </c>
      <c r="F303" s="27">
        <v>4.3165467625899311E-2</v>
      </c>
      <c r="G303" s="27">
        <f>VLOOKUP(Table3[[#This Row],[Date]],'PCE Core'!A:D,4,)</f>
        <v>4.5072811517458254E-2</v>
      </c>
    </row>
    <row r="304" spans="1:7" x14ac:dyDescent="0.2">
      <c r="A304" s="38">
        <v>30651</v>
      </c>
      <c r="B304" s="28">
        <f>VLOOKUP(Table3[[#This Row],[Date]],'PCE Core'!$A:$E,2,)</f>
        <v>50.56</v>
      </c>
      <c r="C304" s="28">
        <f>VLOOKUP(Table3[[#This Row],[Date]],Database!$A:$E,5)</f>
        <v>101.8</v>
      </c>
      <c r="D304" s="26">
        <f>(((Table3[[#This Row],[Core PCE]]-$B$496)/$B$496)*100)+100</f>
        <v>63.361572008621984</v>
      </c>
      <c r="E304" s="26">
        <f>(((Table3[[#This Row],[Core CPI]]-$C$496)/$C$496)*100)+100</f>
        <v>56.96698377168439</v>
      </c>
      <c r="F304" s="27">
        <v>4.7325102880658373E-2</v>
      </c>
      <c r="G304" s="27">
        <f>VLOOKUP(Table3[[#This Row],[Date]],'PCE Core'!A:D,4,)</f>
        <v>4.2517217204833285E-2</v>
      </c>
    </row>
    <row r="305" spans="1:7" x14ac:dyDescent="0.2">
      <c r="A305" s="41">
        <v>30682</v>
      </c>
      <c r="B305" s="28">
        <f>VLOOKUP(Table3[[#This Row],[Date]],'PCE Core'!$A:$E,2,)</f>
        <v>50.728999999999999</v>
      </c>
      <c r="C305" s="28">
        <f>VLOOKUP(Table3[[#This Row],[Date]],Database!$A:$E,5)</f>
        <v>102.5</v>
      </c>
      <c r="D305" s="26">
        <f>(((Table3[[#This Row],[Core PCE]]-$B$496)/$B$496)*100)+100</f>
        <v>63.573362073286873</v>
      </c>
      <c r="E305" s="26">
        <f>(((Table3[[#This Row],[Core CPI]]-$C$496)/$C$496)*100)+100</f>
        <v>57.35870173475098</v>
      </c>
      <c r="F305" s="27">
        <v>5.0204918032786948E-2</v>
      </c>
      <c r="G305" s="27">
        <f>VLOOKUP(Table3[[#This Row],[Date]],'PCE Core'!A:D,4,)</f>
        <v>3.8890026622977698E-2</v>
      </c>
    </row>
    <row r="306" spans="1:7" x14ac:dyDescent="0.2">
      <c r="A306" s="38">
        <v>30713</v>
      </c>
      <c r="B306" s="28">
        <f>VLOOKUP(Table3[[#This Row],[Date]],'PCE Core'!$A:$E,2,)</f>
        <v>51.048999999999999</v>
      </c>
      <c r="C306" s="26">
        <f>VLOOKUP(Table3[[#This Row],[Date]],Database!$A:$E,5)</f>
        <v>102.8</v>
      </c>
      <c r="D306" s="26">
        <f>(((Table3[[#This Row],[Core PCE]]-$B$496)/$B$496)*100)+100</f>
        <v>63.974384680936382</v>
      </c>
      <c r="E306" s="26">
        <f>(((Table3[[#This Row],[Core CPI]]-$C$496)/$C$496)*100)+100</f>
        <v>57.526580861779522</v>
      </c>
      <c r="F306" s="27">
        <v>4.8979591836734657E-2</v>
      </c>
      <c r="G306" s="27">
        <f>VLOOKUP(Table3[[#This Row],[Date]],'PCE Core'!A:D,4,)</f>
        <v>4.1582501887331348E-2</v>
      </c>
    </row>
    <row r="307" spans="1:7" x14ac:dyDescent="0.2">
      <c r="A307" s="41">
        <v>30742</v>
      </c>
      <c r="B307" s="28">
        <f>VLOOKUP(Table3[[#This Row],[Date]],'PCE Core'!$A:$E,2,)</f>
        <v>51.241999999999997</v>
      </c>
      <c r="C307" s="28">
        <f>VLOOKUP(Table3[[#This Row],[Date]],Database!$A:$E,5)</f>
        <v>103.2</v>
      </c>
      <c r="D307" s="26">
        <f>(((Table3[[#This Row],[Core PCE]]-$B$496)/$B$496)*100)+100</f>
        <v>64.21625144117499</v>
      </c>
      <c r="E307" s="26">
        <f>(((Table3[[#This Row],[Core CPI]]-$C$496)/$C$496)*100)+100</f>
        <v>57.750419697817577</v>
      </c>
      <c r="F307" s="27">
        <v>5.091649694501018E-2</v>
      </c>
      <c r="G307" s="27">
        <f>VLOOKUP(Table3[[#This Row],[Date]],'PCE Core'!A:D,4,)</f>
        <v>4.419945795040036E-2</v>
      </c>
    </row>
    <row r="308" spans="1:7" x14ac:dyDescent="0.2">
      <c r="A308" s="38">
        <v>30773</v>
      </c>
      <c r="B308" s="28">
        <f>VLOOKUP(Table3[[#This Row],[Date]],'PCE Core'!$A:$E,2,)</f>
        <v>51.482999999999997</v>
      </c>
      <c r="C308" s="28">
        <f>VLOOKUP(Table3[[#This Row],[Date]],Database!$A:$E,5)</f>
        <v>103.7</v>
      </c>
      <c r="D308" s="26">
        <f>(((Table3[[#This Row],[Core PCE]]-$B$496)/$B$496)*100)+100</f>
        <v>64.518271592561021</v>
      </c>
      <c r="E308" s="26">
        <f>(((Table3[[#This Row],[Core CPI]]-$C$496)/$C$496)*100)+100</f>
        <v>58.030218242865146</v>
      </c>
      <c r="F308" s="27">
        <v>5.1724137931034572E-2</v>
      </c>
      <c r="G308" s="27">
        <f>VLOOKUP(Table3[[#This Row],[Date]],'PCE Core'!A:D,4,)</f>
        <v>4.5934744626386484E-2</v>
      </c>
    </row>
    <row r="309" spans="1:7" x14ac:dyDescent="0.2">
      <c r="A309" s="41">
        <v>30803</v>
      </c>
      <c r="B309" s="28">
        <f>VLOOKUP(Table3[[#This Row],[Date]],'PCE Core'!$A:$E,2,)</f>
        <v>51.601999999999997</v>
      </c>
      <c r="C309" s="26">
        <f>VLOOKUP(Table3[[#This Row],[Date]],Database!$A:$E,5)</f>
        <v>104.1</v>
      </c>
      <c r="D309" s="26">
        <f>(((Table3[[#This Row],[Core PCE]]-$B$496)/$B$496)*100)+100</f>
        <v>64.66740187478068</v>
      </c>
      <c r="E309" s="26">
        <f>(((Table3[[#This Row],[Core CPI]]-$C$496)/$C$496)*100)+100</f>
        <v>58.254057078903188</v>
      </c>
      <c r="F309" s="27">
        <v>5.257836198179968E-2</v>
      </c>
      <c r="G309" s="27">
        <f>VLOOKUP(Table3[[#This Row],[Date]],'PCE Core'!A:D,4,)</f>
        <v>4.684235084089014E-2</v>
      </c>
    </row>
    <row r="310" spans="1:7" x14ac:dyDescent="0.2">
      <c r="A310" s="38">
        <v>30834</v>
      </c>
      <c r="B310" s="28">
        <f>VLOOKUP(Table3[[#This Row],[Date]],'PCE Core'!$A:$E,2,)</f>
        <v>51.723999999999997</v>
      </c>
      <c r="C310" s="28">
        <f>VLOOKUP(Table3[[#This Row],[Date]],Database!$A:$E,5)</f>
        <v>104.5</v>
      </c>
      <c r="D310" s="26">
        <f>(((Table3[[#This Row],[Core PCE]]-$B$496)/$B$496)*100)+100</f>
        <v>64.820291743947053</v>
      </c>
      <c r="E310" s="26">
        <f>(((Table3[[#This Row],[Core CPI]]-$C$496)/$C$496)*100)+100</f>
        <v>58.47789591494125</v>
      </c>
      <c r="F310" s="27">
        <v>5.3427419354838683E-2</v>
      </c>
      <c r="G310" s="27">
        <f>VLOOKUP(Table3[[#This Row],[Date]],'PCE Core'!A:D,4,)</f>
        <v>4.4443995719160655E-2</v>
      </c>
    </row>
    <row r="311" spans="1:7" x14ac:dyDescent="0.2">
      <c r="A311" s="41">
        <v>30864</v>
      </c>
      <c r="B311" s="28">
        <f>VLOOKUP(Table3[[#This Row],[Date]],'PCE Core'!$A:$E,2,)</f>
        <v>51.947000000000003</v>
      </c>
      <c r="C311" s="28">
        <f>VLOOKUP(Table3[[#This Row],[Date]],Database!$A:$E,5)</f>
        <v>105</v>
      </c>
      <c r="D311" s="26">
        <f>(((Table3[[#This Row],[Core PCE]]-$B$496)/$B$496)*100)+100</f>
        <v>65.099754373652814</v>
      </c>
      <c r="E311" s="26">
        <f>(((Table3[[#This Row],[Core CPI]]-$C$496)/$C$496)*100)+100</f>
        <v>58.757694459988812</v>
      </c>
      <c r="F311" s="27">
        <v>5.2104208416833699E-2</v>
      </c>
      <c r="G311" s="27">
        <f>VLOOKUP(Table3[[#This Row],[Date]],'PCE Core'!A:D,4,)</f>
        <v>4.194078947368423E-2</v>
      </c>
    </row>
    <row r="312" spans="1:7" x14ac:dyDescent="0.2">
      <c r="A312" s="38">
        <v>30895</v>
      </c>
      <c r="B312" s="28">
        <f>VLOOKUP(Table3[[#This Row],[Date]],'PCE Core'!$A:$E,2,)</f>
        <v>52.118000000000002</v>
      </c>
      <c r="C312" s="26">
        <f>VLOOKUP(Table3[[#This Row],[Date]],Database!$A:$E,5)</f>
        <v>105.4</v>
      </c>
      <c r="D312" s="26">
        <f>(((Table3[[#This Row],[Core PCE]]-$B$496)/$B$496)*100)+100</f>
        <v>65.314050829615525</v>
      </c>
      <c r="E312" s="26">
        <f>(((Table3[[#This Row],[Core CPI]]-$C$496)/$C$496)*100)+100</f>
        <v>58.981533296026868</v>
      </c>
      <c r="F312" s="27">
        <v>5.2947052947053062E-2</v>
      </c>
      <c r="G312" s="27">
        <f>VLOOKUP(Table3[[#This Row],[Date]],'PCE Core'!A:D,4,)</f>
        <v>4.0009578352922445E-2</v>
      </c>
    </row>
    <row r="313" spans="1:7" x14ac:dyDescent="0.2">
      <c r="A313" s="41">
        <v>30926</v>
      </c>
      <c r="B313" s="28">
        <f>VLOOKUP(Table3[[#This Row],[Date]],'PCE Core'!$A:$E,2,)</f>
        <v>52.198</v>
      </c>
      <c r="C313" s="28">
        <f>VLOOKUP(Table3[[#This Row],[Date]],Database!$A:$E,5)</f>
        <v>105.8</v>
      </c>
      <c r="D313" s="26">
        <f>(((Table3[[#This Row],[Core PCE]]-$B$496)/$B$496)*100)+100</f>
        <v>65.414306481527888</v>
      </c>
      <c r="E313" s="26">
        <f>(((Table3[[#This Row],[Core CPI]]-$C$496)/$C$496)*100)+100</f>
        <v>59.205372132064916</v>
      </c>
      <c r="F313" s="27">
        <v>5.273631840796017E-2</v>
      </c>
      <c r="G313" s="27">
        <f>VLOOKUP(Table3[[#This Row],[Date]],'PCE Core'!A:D,4,)</f>
        <v>3.7403609189919661E-2</v>
      </c>
    </row>
    <row r="314" spans="1:7" x14ac:dyDescent="0.2">
      <c r="A314" s="38">
        <v>30956</v>
      </c>
      <c r="B314" s="28">
        <f>VLOOKUP(Table3[[#This Row],[Date]],'PCE Core'!$A:$E,2,)</f>
        <v>52.314999999999998</v>
      </c>
      <c r="C314" s="28">
        <f>VLOOKUP(Table3[[#This Row],[Date]],Database!$A:$E,5)</f>
        <v>106.2</v>
      </c>
      <c r="D314" s="26">
        <f>(((Table3[[#This Row],[Core PCE]]-$B$496)/$B$496)*100)+100</f>
        <v>65.560930372449747</v>
      </c>
      <c r="E314" s="26">
        <f>(((Table3[[#This Row],[Core CPI]]-$C$496)/$C$496)*100)+100</f>
        <v>59.429210968102971</v>
      </c>
      <c r="F314" s="27">
        <v>5.148514851485151E-2</v>
      </c>
      <c r="G314" s="27">
        <f>VLOOKUP(Table3[[#This Row],[Date]],'PCE Core'!A:D,4,)</f>
        <v>3.7893066164070954E-2</v>
      </c>
    </row>
    <row r="315" spans="1:7" x14ac:dyDescent="0.2">
      <c r="A315" s="41">
        <v>30987</v>
      </c>
      <c r="B315" s="28">
        <f>VLOOKUP(Table3[[#This Row],[Date]],'PCE Core'!$A:$E,2,)</f>
        <v>52.426000000000002</v>
      </c>
      <c r="C315" s="26">
        <f>VLOOKUP(Table3[[#This Row],[Date]],Database!$A:$E,5)</f>
        <v>106.4</v>
      </c>
      <c r="D315" s="26">
        <f>(((Table3[[#This Row],[Core PCE]]-$B$496)/$B$496)*100)+100</f>
        <v>65.700035089478163</v>
      </c>
      <c r="E315" s="26">
        <f>(((Table3[[#This Row],[Core CPI]]-$C$496)/$C$496)*100)+100</f>
        <v>59.541130386121999</v>
      </c>
      <c r="F315" s="27">
        <v>4.8275862068965572E-2</v>
      </c>
      <c r="G315" s="27">
        <f>VLOOKUP(Table3[[#This Row],[Date]],'PCE Core'!A:D,4,)</f>
        <v>3.7666013498802497E-2</v>
      </c>
    </row>
    <row r="316" spans="1:7" x14ac:dyDescent="0.2">
      <c r="A316" s="38">
        <v>31017</v>
      </c>
      <c r="B316" s="28">
        <f>VLOOKUP(Table3[[#This Row],[Date]],'PCE Core'!$A:$E,2,)</f>
        <v>52.634</v>
      </c>
      <c r="C316" s="28">
        <f>VLOOKUP(Table3[[#This Row],[Date]],Database!$A:$E,5)</f>
        <v>106.8</v>
      </c>
      <c r="D316" s="26">
        <f>(((Table3[[#This Row],[Core PCE]]-$B$496)/$B$496)*100)+100</f>
        <v>65.960699784450341</v>
      </c>
      <c r="E316" s="26">
        <f>(((Table3[[#This Row],[Core CPI]]-$C$496)/$C$496)*100)+100</f>
        <v>59.764969222160047</v>
      </c>
      <c r="F316" s="27">
        <v>4.9115913555992152E-2</v>
      </c>
      <c r="G316" s="27">
        <f>VLOOKUP(Table3[[#This Row],[Date]],'PCE Core'!A:D,4,)</f>
        <v>4.1020569620253126E-2</v>
      </c>
    </row>
    <row r="317" spans="1:7" x14ac:dyDescent="0.2">
      <c r="A317" s="41">
        <v>31048</v>
      </c>
      <c r="B317" s="28">
        <f>VLOOKUP(Table3[[#This Row],[Date]],'PCE Core'!$A:$E,2,)</f>
        <v>52.927999999999997</v>
      </c>
      <c r="C317" s="28">
        <f>VLOOKUP(Table3[[#This Row],[Date]],Database!$A:$E,5)</f>
        <v>107.1</v>
      </c>
      <c r="D317" s="26">
        <f>(((Table3[[#This Row],[Core PCE]]-$B$496)/$B$496)*100)+100</f>
        <v>66.329139305228324</v>
      </c>
      <c r="E317" s="26">
        <f>(((Table3[[#This Row],[Core CPI]]-$C$496)/$C$496)*100)+100</f>
        <v>59.932848349188582</v>
      </c>
      <c r="F317" s="27">
        <v>4.4878048780487748E-2</v>
      </c>
      <c r="G317" s="27">
        <f>VLOOKUP(Table3[[#This Row],[Date]],'PCE Core'!A:D,4,)</f>
        <v>4.3347986358887383E-2</v>
      </c>
    </row>
    <row r="318" spans="1:7" x14ac:dyDescent="0.2">
      <c r="A318" s="38">
        <v>31079</v>
      </c>
      <c r="B318" s="28">
        <f>VLOOKUP(Table3[[#This Row],[Date]],'PCE Core'!$A:$E,2,)</f>
        <v>53.204000000000001</v>
      </c>
      <c r="C318" s="26">
        <f>VLOOKUP(Table3[[#This Row],[Date]],Database!$A:$E,5)</f>
        <v>107.7</v>
      </c>
      <c r="D318" s="26">
        <f>(((Table3[[#This Row],[Core PCE]]-$B$496)/$B$496)*100)+100</f>
        <v>66.675021304326023</v>
      </c>
      <c r="E318" s="26">
        <f>(((Table3[[#This Row],[Core CPI]]-$C$496)/$C$496)*100)+100</f>
        <v>60.268606603245665</v>
      </c>
      <c r="F318" s="27">
        <v>4.7665369649805507E-2</v>
      </c>
      <c r="G318" s="27">
        <f>VLOOKUP(Table3[[#This Row],[Date]],'PCE Core'!A:D,4,)</f>
        <v>4.2214343082136792E-2</v>
      </c>
    </row>
    <row r="319" spans="1:7" x14ac:dyDescent="0.2">
      <c r="A319" s="41">
        <v>31107</v>
      </c>
      <c r="B319" s="28">
        <f>VLOOKUP(Table3[[#This Row],[Date]],'PCE Core'!$A:$E,2,)</f>
        <v>53.39</v>
      </c>
      <c r="C319" s="28">
        <f>VLOOKUP(Table3[[#This Row],[Date]],Database!$A:$E,5)</f>
        <v>108.1</v>
      </c>
      <c r="D319" s="26">
        <f>(((Table3[[#This Row],[Core PCE]]-$B$496)/$B$496)*100)+100</f>
        <v>66.908115695022303</v>
      </c>
      <c r="E319" s="26">
        <f>(((Table3[[#This Row],[Core CPI]]-$C$496)/$C$496)*100)+100</f>
        <v>60.492445439283713</v>
      </c>
      <c r="F319" s="27">
        <v>4.7480620155038677E-2</v>
      </c>
      <c r="G319" s="27">
        <f>VLOOKUP(Table3[[#This Row],[Date]],'PCE Core'!A:D,4,)</f>
        <v>4.1918738534795739E-2</v>
      </c>
    </row>
    <row r="320" spans="1:7" x14ac:dyDescent="0.2">
      <c r="A320" s="38">
        <v>31138</v>
      </c>
      <c r="B320" s="28">
        <f>VLOOKUP(Table3[[#This Row],[Date]],'PCE Core'!$A:$E,2,)</f>
        <v>53.453000000000003</v>
      </c>
      <c r="C320" s="28">
        <f>VLOOKUP(Table3[[#This Row],[Date]],Database!$A:$E,5)</f>
        <v>108.4</v>
      </c>
      <c r="D320" s="26">
        <f>(((Table3[[#This Row],[Core PCE]]-$B$496)/$B$496)*100)+100</f>
        <v>66.987067020903311</v>
      </c>
      <c r="E320" s="26">
        <f>(((Table3[[#This Row],[Core CPI]]-$C$496)/$C$496)*100)+100</f>
        <v>60.660324566312262</v>
      </c>
      <c r="F320" s="27">
        <v>4.5323047251687593E-2</v>
      </c>
      <c r="G320" s="27">
        <f>VLOOKUP(Table3[[#This Row],[Date]],'PCE Core'!A:D,4,)</f>
        <v>3.8265058368782044E-2</v>
      </c>
    </row>
    <row r="321" spans="1:7" x14ac:dyDescent="0.2">
      <c r="A321" s="41">
        <v>31168</v>
      </c>
      <c r="B321" s="28">
        <f>VLOOKUP(Table3[[#This Row],[Date]],'PCE Core'!$A:$E,2,)</f>
        <v>53.637999999999998</v>
      </c>
      <c r="C321" s="26">
        <f>VLOOKUP(Table3[[#This Row],[Date]],Database!$A:$E,5)</f>
        <v>108.8</v>
      </c>
      <c r="D321" s="26">
        <f>(((Table3[[#This Row],[Core PCE]]-$B$496)/$B$496)*100)+100</f>
        <v>67.218908215950677</v>
      </c>
      <c r="E321" s="26">
        <f>(((Table3[[#This Row],[Core CPI]]-$C$496)/$C$496)*100)+100</f>
        <v>60.88416340235031</v>
      </c>
      <c r="F321" s="27">
        <v>4.5148895292987538E-2</v>
      </c>
      <c r="G321" s="27">
        <f>VLOOKUP(Table3[[#This Row],[Date]],'PCE Core'!A:D,4,)</f>
        <v>3.945583504515332E-2</v>
      </c>
    </row>
    <row r="322" spans="1:7" x14ac:dyDescent="0.2">
      <c r="A322" s="38">
        <v>31199</v>
      </c>
      <c r="B322" s="28">
        <f>VLOOKUP(Table3[[#This Row],[Date]],'PCE Core'!$A:$E,2,)</f>
        <v>53.814999999999998</v>
      </c>
      <c r="C322" s="28">
        <f>VLOOKUP(Table3[[#This Row],[Date]],Database!$A:$E,5)</f>
        <v>109.1</v>
      </c>
      <c r="D322" s="26">
        <f>(((Table3[[#This Row],[Core PCE]]-$B$496)/$B$496)*100)+100</f>
        <v>67.440723845806801</v>
      </c>
      <c r="E322" s="26">
        <f>(((Table3[[#This Row],[Core CPI]]-$C$496)/$C$496)*100)+100</f>
        <v>61.052042529378845</v>
      </c>
      <c r="F322" s="27">
        <v>4.4019138755980812E-2</v>
      </c>
      <c r="G322" s="27">
        <f>VLOOKUP(Table3[[#This Row],[Date]],'PCE Core'!A:D,4,)</f>
        <v>4.0426107802954164E-2</v>
      </c>
    </row>
    <row r="323" spans="1:7" x14ac:dyDescent="0.2">
      <c r="A323" s="41">
        <v>31229</v>
      </c>
      <c r="B323" s="28">
        <f>VLOOKUP(Table3[[#This Row],[Date]],'PCE Core'!$A:$E,2,)</f>
        <v>53.972999999999999</v>
      </c>
      <c r="C323" s="28">
        <f>VLOOKUP(Table3[[#This Row],[Date]],Database!$A:$E,5)</f>
        <v>109.4</v>
      </c>
      <c r="D323" s="26">
        <f>(((Table3[[#This Row],[Core PCE]]-$B$496)/$B$496)*100)+100</f>
        <v>67.638728758333741</v>
      </c>
      <c r="E323" s="26">
        <f>(((Table3[[#This Row],[Core CPI]]-$C$496)/$C$496)*100)+100</f>
        <v>61.219921656407394</v>
      </c>
      <c r="F323" s="27">
        <v>4.1904761904761959E-2</v>
      </c>
      <c r="G323" s="27">
        <f>VLOOKUP(Table3[[#This Row],[Date]],'PCE Core'!A:D,4,)</f>
        <v>3.9001289776117894E-2</v>
      </c>
    </row>
    <row r="324" spans="1:7" x14ac:dyDescent="0.2">
      <c r="A324" s="38">
        <v>31260</v>
      </c>
      <c r="B324" s="28">
        <f>VLOOKUP(Table3[[#This Row],[Date]],'PCE Core'!$A:$E,2,)</f>
        <v>54.237000000000002</v>
      </c>
      <c r="C324" s="26">
        <f>VLOOKUP(Table3[[#This Row],[Date]],Database!$A:$E,5)</f>
        <v>109.8</v>
      </c>
      <c r="D324" s="26">
        <f>(((Table3[[#This Row],[Core PCE]]-$B$496)/$B$496)*100)+100</f>
        <v>67.969572409644599</v>
      </c>
      <c r="E324" s="26">
        <f>(((Table3[[#This Row],[Core CPI]]-$C$496)/$C$496)*100)+100</f>
        <v>61.443760492445442</v>
      </c>
      <c r="F324" s="27">
        <v>4.1745730550284549E-2</v>
      </c>
      <c r="G324" s="27">
        <f>VLOOKUP(Table3[[#This Row],[Date]],'PCE Core'!A:D,4,)</f>
        <v>4.0657738209447784E-2</v>
      </c>
    </row>
    <row r="325" spans="1:7" x14ac:dyDescent="0.2">
      <c r="A325" s="41">
        <v>31291</v>
      </c>
      <c r="B325" s="28">
        <f>VLOOKUP(Table3[[#This Row],[Date]],'PCE Core'!$A:$E,2,)</f>
        <v>54.348999999999997</v>
      </c>
      <c r="C325" s="28">
        <f>VLOOKUP(Table3[[#This Row],[Date]],Database!$A:$E,5)</f>
        <v>110</v>
      </c>
      <c r="D325" s="26">
        <f>(((Table3[[#This Row],[Core PCE]]-$B$496)/$B$496)*100)+100</f>
        <v>68.109930322321901</v>
      </c>
      <c r="E325" s="26">
        <f>(((Table3[[#This Row],[Core CPI]]-$C$496)/$C$496)*100)+100</f>
        <v>61.55567991046447</v>
      </c>
      <c r="F325" s="27">
        <v>3.9697542533081311E-2</v>
      </c>
      <c r="G325" s="27">
        <f>VLOOKUP(Table3[[#This Row],[Date]],'PCE Core'!A:D,4,)</f>
        <v>4.1208475420514125E-2</v>
      </c>
    </row>
    <row r="326" spans="1:7" x14ac:dyDescent="0.2">
      <c r="A326" s="38">
        <v>31321</v>
      </c>
      <c r="B326" s="28">
        <f>VLOOKUP(Table3[[#This Row],[Date]],'PCE Core'!$A:$E,2,)</f>
        <v>54.436</v>
      </c>
      <c r="C326" s="28">
        <f>VLOOKUP(Table3[[#This Row],[Date]],Database!$A:$E,5)</f>
        <v>110.5</v>
      </c>
      <c r="D326" s="26">
        <f>(((Table3[[#This Row],[Core PCE]]-$B$496)/$B$496)*100)+100</f>
        <v>68.21895834377662</v>
      </c>
      <c r="E326" s="26">
        <f>(((Table3[[#This Row],[Core CPI]]-$C$496)/$C$496)*100)+100</f>
        <v>61.835478455512032</v>
      </c>
      <c r="F326" s="27">
        <v>4.048964218455741E-2</v>
      </c>
      <c r="G326" s="27">
        <f>VLOOKUP(Table3[[#This Row],[Date]],'PCE Core'!A:D,4,)</f>
        <v>4.0542865334990005E-2</v>
      </c>
    </row>
    <row r="327" spans="1:7" x14ac:dyDescent="0.2">
      <c r="A327" s="41">
        <v>31352</v>
      </c>
      <c r="B327" s="28">
        <f>VLOOKUP(Table3[[#This Row],[Date]],'PCE Core'!$A:$E,2,)</f>
        <v>54.57</v>
      </c>
      <c r="C327" s="26">
        <f>VLOOKUP(Table3[[#This Row],[Date]],Database!$A:$E,5)</f>
        <v>111.1</v>
      </c>
      <c r="D327" s="26">
        <f>(((Table3[[#This Row],[Core PCE]]-$B$496)/$B$496)*100)+100</f>
        <v>68.386886560729849</v>
      </c>
      <c r="E327" s="26">
        <f>(((Table3[[#This Row],[Core CPI]]-$C$496)/$C$496)*100)+100</f>
        <v>62.171236709569108</v>
      </c>
      <c r="F327" s="27">
        <v>4.4172932330826961E-2</v>
      </c>
      <c r="G327" s="27">
        <f>VLOOKUP(Table3[[#This Row],[Date]],'PCE Core'!A:D,4,)</f>
        <v>4.089573875557926E-2</v>
      </c>
    </row>
    <row r="328" spans="1:7" x14ac:dyDescent="0.2">
      <c r="A328" s="38">
        <v>31382</v>
      </c>
      <c r="B328" s="28">
        <f>VLOOKUP(Table3[[#This Row],[Date]],'PCE Core'!$A:$E,2,)</f>
        <v>54.718000000000004</v>
      </c>
      <c r="C328" s="28">
        <f>VLOOKUP(Table3[[#This Row],[Date]],Database!$A:$E,5)</f>
        <v>111.4</v>
      </c>
      <c r="D328" s="26">
        <f>(((Table3[[#This Row],[Core PCE]]-$B$496)/$B$496)*100)+100</f>
        <v>68.572359516767762</v>
      </c>
      <c r="E328" s="26">
        <f>(((Table3[[#This Row],[Core CPI]]-$C$496)/$C$496)*100)+100</f>
        <v>62.339115836597657</v>
      </c>
      <c r="F328" s="27">
        <v>4.3071161048689223E-2</v>
      </c>
      <c r="G328" s="27">
        <f>VLOOKUP(Table3[[#This Row],[Date]],'PCE Core'!A:D,4,)</f>
        <v>3.9594178667781345E-2</v>
      </c>
    </row>
    <row r="329" spans="1:7" x14ac:dyDescent="0.2">
      <c r="A329" s="41">
        <v>31413</v>
      </c>
      <c r="B329" s="28">
        <f>VLOOKUP(Table3[[#This Row],[Date]],'PCE Core'!$A:$E,2,)</f>
        <v>55.014000000000003</v>
      </c>
      <c r="C329" s="28">
        <f>VLOOKUP(Table3[[#This Row],[Date]],Database!$A:$E,5)</f>
        <v>111.9</v>
      </c>
      <c r="D329" s="26">
        <f>(((Table3[[#This Row],[Core PCE]]-$B$496)/$B$496)*100)+100</f>
        <v>68.943305428843544</v>
      </c>
      <c r="E329" s="26">
        <f>(((Table3[[#This Row],[Core CPI]]-$C$496)/$C$496)*100)+100</f>
        <v>62.618914381645226</v>
      </c>
      <c r="F329" s="27">
        <v>4.4817927170868459E-2</v>
      </c>
      <c r="G329" s="27">
        <f>VLOOKUP(Table3[[#This Row],[Date]],'PCE Core'!A:D,4,)</f>
        <v>3.941203143893602E-2</v>
      </c>
    </row>
    <row r="330" spans="1:7" x14ac:dyDescent="0.2">
      <c r="A330" s="38">
        <v>31444</v>
      </c>
      <c r="B330" s="28">
        <f>VLOOKUP(Table3[[#This Row],[Date]],'PCE Core'!$A:$E,2,)</f>
        <v>55.155999999999999</v>
      </c>
      <c r="C330" s="26">
        <f>VLOOKUP(Table3[[#This Row],[Date]],Database!$A:$E,5)</f>
        <v>112.2</v>
      </c>
      <c r="D330" s="26">
        <f>(((Table3[[#This Row],[Core PCE]]-$B$496)/$B$496)*100)+100</f>
        <v>69.121259210988015</v>
      </c>
      <c r="E330" s="26">
        <f>(((Table3[[#This Row],[Core CPI]]-$C$496)/$C$496)*100)+100</f>
        <v>62.78679350867376</v>
      </c>
      <c r="F330" s="27">
        <v>4.1782729805013928E-2</v>
      </c>
      <c r="G330" s="27">
        <f>VLOOKUP(Table3[[#This Row],[Date]],'PCE Core'!A:D,4,)</f>
        <v>3.6688970754078606E-2</v>
      </c>
    </row>
    <row r="331" spans="1:7" x14ac:dyDescent="0.2">
      <c r="A331" s="41">
        <v>31472</v>
      </c>
      <c r="B331" s="28">
        <f>VLOOKUP(Table3[[#This Row],[Date]],'PCE Core'!$A:$E,2,)</f>
        <v>55.323999999999998</v>
      </c>
      <c r="C331" s="28">
        <f>VLOOKUP(Table3[[#This Row],[Date]],Database!$A:$E,5)</f>
        <v>112.5</v>
      </c>
      <c r="D331" s="26">
        <f>(((Table3[[#This Row],[Core PCE]]-$B$496)/$B$496)*100)+100</f>
        <v>69.331796080004011</v>
      </c>
      <c r="E331" s="26">
        <f>(((Table3[[#This Row],[Core CPI]]-$C$496)/$C$496)*100)+100</f>
        <v>62.954672635702295</v>
      </c>
      <c r="F331" s="27">
        <v>4.0703052728954733E-2</v>
      </c>
      <c r="G331" s="27">
        <f>VLOOKUP(Table3[[#This Row],[Date]],'PCE Core'!A:D,4,)</f>
        <v>3.6224011987263487E-2</v>
      </c>
    </row>
    <row r="332" spans="1:7" x14ac:dyDescent="0.2">
      <c r="A332" s="38">
        <v>31503</v>
      </c>
      <c r="B332" s="28">
        <f>VLOOKUP(Table3[[#This Row],[Date]],'PCE Core'!$A:$E,2,)</f>
        <v>55.423999999999999</v>
      </c>
      <c r="C332" s="28">
        <f>VLOOKUP(Table3[[#This Row],[Date]],Database!$A:$E,5)</f>
        <v>112.9</v>
      </c>
      <c r="D332" s="26">
        <f>(((Table3[[#This Row],[Core PCE]]-$B$496)/$B$496)*100)+100</f>
        <v>69.457115644894472</v>
      </c>
      <c r="E332" s="26">
        <f>(((Table3[[#This Row],[Core CPI]]-$C$496)/$C$496)*100)+100</f>
        <v>63.178511471740357</v>
      </c>
      <c r="F332" s="27">
        <v>4.1512915129151291E-2</v>
      </c>
      <c r="G332" s="27">
        <f>VLOOKUP(Table3[[#This Row],[Date]],'PCE Core'!A:D,4,)</f>
        <v>3.6873515050605141E-2</v>
      </c>
    </row>
    <row r="333" spans="1:7" x14ac:dyDescent="0.2">
      <c r="A333" s="41">
        <v>31533</v>
      </c>
      <c r="B333" s="28">
        <f>VLOOKUP(Table3[[#This Row],[Date]],'PCE Core'!$A:$E,2,)</f>
        <v>55.518000000000001</v>
      </c>
      <c r="C333" s="26">
        <f>VLOOKUP(Table3[[#This Row],[Date]],Database!$A:$E,5)</f>
        <v>113.1</v>
      </c>
      <c r="D333" s="26">
        <f>(((Table3[[#This Row],[Core PCE]]-$B$496)/$B$496)*100)+100</f>
        <v>69.574916035891519</v>
      </c>
      <c r="E333" s="26">
        <f>(((Table3[[#This Row],[Core CPI]]-$C$496)/$C$496)*100)+100</f>
        <v>63.290430889759378</v>
      </c>
      <c r="F333" s="27">
        <v>3.9522058823529389E-2</v>
      </c>
      <c r="G333" s="27">
        <f>VLOOKUP(Table3[[#This Row],[Date]],'PCE Core'!A:D,4,)</f>
        <v>3.5049778142361807E-2</v>
      </c>
    </row>
    <row r="334" spans="1:7" x14ac:dyDescent="0.2">
      <c r="A334" s="38">
        <v>31564</v>
      </c>
      <c r="B334" s="28">
        <f>VLOOKUP(Table3[[#This Row],[Date]],'PCE Core'!$A:$E,2,)</f>
        <v>55.685000000000002</v>
      </c>
      <c r="C334" s="28">
        <f>VLOOKUP(Table3[[#This Row],[Date]],Database!$A:$E,5)</f>
        <v>113.4</v>
      </c>
      <c r="D334" s="26">
        <f>(((Table3[[#This Row],[Core PCE]]-$B$496)/$B$496)*100)+100</f>
        <v>69.784199709258601</v>
      </c>
      <c r="E334" s="26">
        <f>(((Table3[[#This Row],[Core CPI]]-$C$496)/$C$496)*100)+100</f>
        <v>63.458310016787919</v>
      </c>
      <c r="F334" s="27">
        <v>3.9413382218148593E-2</v>
      </c>
      <c r="G334" s="27">
        <f>VLOOKUP(Table3[[#This Row],[Date]],'PCE Core'!A:D,4,)</f>
        <v>3.4748676019697194E-2</v>
      </c>
    </row>
    <row r="335" spans="1:7" x14ac:dyDescent="0.2">
      <c r="A335" s="41">
        <v>31594</v>
      </c>
      <c r="B335" s="28">
        <f>VLOOKUP(Table3[[#This Row],[Date]],'PCE Core'!$A:$E,2,)</f>
        <v>55.786000000000001</v>
      </c>
      <c r="C335" s="28">
        <f>VLOOKUP(Table3[[#This Row],[Date]],Database!$A:$E,5)</f>
        <v>113.8</v>
      </c>
      <c r="D335" s="26">
        <f>(((Table3[[#This Row],[Core PCE]]-$B$496)/$B$496)*100)+100</f>
        <v>69.91077246979799</v>
      </c>
      <c r="E335" s="26">
        <f>(((Table3[[#This Row],[Core CPI]]-$C$496)/$C$496)*100)+100</f>
        <v>63.682148852825968</v>
      </c>
      <c r="F335" s="27">
        <v>4.0219378427787847E-2</v>
      </c>
      <c r="G335" s="27">
        <f>VLOOKUP(Table3[[#This Row],[Date]],'PCE Core'!A:D,4,)</f>
        <v>3.359086950882853E-2</v>
      </c>
    </row>
    <row r="336" spans="1:7" x14ac:dyDescent="0.2">
      <c r="A336" s="38">
        <v>31625</v>
      </c>
      <c r="B336" s="28">
        <f>VLOOKUP(Table3[[#This Row],[Date]],'PCE Core'!$A:$E,2,)</f>
        <v>55.901000000000003</v>
      </c>
      <c r="C336" s="26">
        <f>VLOOKUP(Table3[[#This Row],[Date]],Database!$A:$E,5)</f>
        <v>114.2</v>
      </c>
      <c r="D336" s="26">
        <f>(((Table3[[#This Row],[Core PCE]]-$B$496)/$B$496)*100)+100</f>
        <v>70.054889969422021</v>
      </c>
      <c r="E336" s="26">
        <f>(((Table3[[#This Row],[Core CPI]]-$C$496)/$C$496)*100)+100</f>
        <v>63.905987688864023</v>
      </c>
      <c r="F336" s="27">
        <v>4.0072859744990953E-2</v>
      </c>
      <c r="G336" s="27">
        <f>VLOOKUP(Table3[[#This Row],[Date]],'PCE Core'!A:D,4,)</f>
        <v>3.0680162988365903E-2</v>
      </c>
    </row>
    <row r="337" spans="1:7" x14ac:dyDescent="0.2">
      <c r="A337" s="41">
        <v>31656</v>
      </c>
      <c r="B337" s="28">
        <f>VLOOKUP(Table3[[#This Row],[Date]],'PCE Core'!$A:$E,2,)</f>
        <v>56.085000000000001</v>
      </c>
      <c r="C337" s="28">
        <f>VLOOKUP(Table3[[#This Row],[Date]],Database!$A:$E,5)</f>
        <v>114.6</v>
      </c>
      <c r="D337" s="26">
        <f>(((Table3[[#This Row],[Core PCE]]-$B$496)/$B$496)*100)+100</f>
        <v>70.285477968820487</v>
      </c>
      <c r="E337" s="26">
        <f>(((Table3[[#This Row],[Core CPI]]-$C$496)/$C$496)*100)+100</f>
        <v>64.129826524902072</v>
      </c>
      <c r="F337" s="27">
        <v>4.1818181818181768E-2</v>
      </c>
      <c r="G337" s="27">
        <f>VLOOKUP(Table3[[#This Row],[Date]],'PCE Core'!A:D,4,)</f>
        <v>3.1941710059062801E-2</v>
      </c>
    </row>
    <row r="338" spans="1:7" x14ac:dyDescent="0.2">
      <c r="A338" s="38">
        <v>31686</v>
      </c>
      <c r="B338" s="28">
        <f>VLOOKUP(Table3[[#This Row],[Date]],'PCE Core'!$A:$E,2,)</f>
        <v>56.274000000000001</v>
      </c>
      <c r="C338" s="28">
        <f>VLOOKUP(Table3[[#This Row],[Date]],Database!$A:$E,5)</f>
        <v>115</v>
      </c>
      <c r="D338" s="26">
        <f>(((Table3[[#This Row],[Core PCE]]-$B$496)/$B$496)*100)+100</f>
        <v>70.522331946463481</v>
      </c>
      <c r="E338" s="26">
        <f>(((Table3[[#This Row],[Core CPI]]-$C$496)/$C$496)*100)+100</f>
        <v>64.353665360940127</v>
      </c>
      <c r="F338" s="27">
        <v>4.072398190045249E-2</v>
      </c>
      <c r="G338" s="27">
        <f>VLOOKUP(Table3[[#This Row],[Date]],'PCE Core'!A:D,4,)</f>
        <v>3.3764420604012066E-2</v>
      </c>
    </row>
    <row r="339" spans="1:7" x14ac:dyDescent="0.2">
      <c r="A339" s="41">
        <v>31717</v>
      </c>
      <c r="B339" s="28">
        <f>VLOOKUP(Table3[[#This Row],[Date]],'PCE Core'!$A:$E,2,)</f>
        <v>56.393999999999998</v>
      </c>
      <c r="C339" s="26">
        <f>VLOOKUP(Table3[[#This Row],[Date]],Database!$A:$E,5)</f>
        <v>115.3</v>
      </c>
      <c r="D339" s="26">
        <f>(((Table3[[#This Row],[Core PCE]]-$B$496)/$B$496)*100)+100</f>
        <v>70.67271542433204</v>
      </c>
      <c r="E339" s="26">
        <f>(((Table3[[#This Row],[Core CPI]]-$C$496)/$C$496)*100)+100</f>
        <v>64.521544487968669</v>
      </c>
      <c r="F339" s="27">
        <v>3.7803780378037832E-2</v>
      </c>
      <c r="G339" s="27">
        <f>VLOOKUP(Table3[[#This Row],[Date]],'PCE Core'!A:D,4,)</f>
        <v>3.3424958768554114E-2</v>
      </c>
    </row>
    <row r="340" spans="1:7" x14ac:dyDescent="0.2">
      <c r="A340" s="38">
        <v>31747</v>
      </c>
      <c r="B340" s="28">
        <f>VLOOKUP(Table3[[#This Row],[Date]],'PCE Core'!$A:$E,2,)</f>
        <v>56.466000000000001</v>
      </c>
      <c r="C340" s="28">
        <f>VLOOKUP(Table3[[#This Row],[Date]],Database!$A:$E,5)</f>
        <v>115.6</v>
      </c>
      <c r="D340" s="26">
        <f>(((Table3[[#This Row],[Core PCE]]-$B$496)/$B$496)*100)+100</f>
        <v>70.762945511053175</v>
      </c>
      <c r="E340" s="26">
        <f>(((Table3[[#This Row],[Core CPI]]-$C$496)/$C$496)*100)+100</f>
        <v>64.689423614997196</v>
      </c>
      <c r="F340" s="27">
        <v>3.7701974865349992E-2</v>
      </c>
      <c r="G340" s="27">
        <f>VLOOKUP(Table3[[#This Row],[Date]],'PCE Core'!A:D,4,)</f>
        <v>3.1945612047223904E-2</v>
      </c>
    </row>
    <row r="341" spans="1:7" x14ac:dyDescent="0.2">
      <c r="A341" s="41">
        <v>31778</v>
      </c>
      <c r="B341" s="28">
        <f>VLOOKUP(Table3[[#This Row],[Date]],'PCE Core'!$A:$E,2,)</f>
        <v>56.600999999999999</v>
      </c>
      <c r="C341" s="28">
        <f>VLOOKUP(Table3[[#This Row],[Date]],Database!$A:$E,5)</f>
        <v>115.9</v>
      </c>
      <c r="D341" s="26">
        <f>(((Table3[[#This Row],[Core PCE]]-$B$496)/$B$496)*100)+100</f>
        <v>70.932126923655318</v>
      </c>
      <c r="E341" s="26">
        <f>(((Table3[[#This Row],[Core CPI]]-$C$496)/$C$496)*100)+100</f>
        <v>64.857302742025752</v>
      </c>
      <c r="F341" s="27">
        <v>3.5746201966041113E-2</v>
      </c>
      <c r="G341" s="27">
        <f>VLOOKUP(Table3[[#This Row],[Date]],'PCE Core'!A:D,4,)</f>
        <v>2.8847202530264952E-2</v>
      </c>
    </row>
    <row r="342" spans="1:7" x14ac:dyDescent="0.2">
      <c r="A342" s="38">
        <v>31809</v>
      </c>
      <c r="B342" s="28">
        <f>VLOOKUP(Table3[[#This Row],[Date]],'PCE Core'!$A:$E,2,)</f>
        <v>56.713999999999999</v>
      </c>
      <c r="C342" s="26">
        <f>VLOOKUP(Table3[[#This Row],[Date]],Database!$A:$E,5)</f>
        <v>116.2</v>
      </c>
      <c r="D342" s="26">
        <f>(((Table3[[#This Row],[Core PCE]]-$B$496)/$B$496)*100)+100</f>
        <v>71.073738031981549</v>
      </c>
      <c r="E342" s="26">
        <f>(((Table3[[#This Row],[Core CPI]]-$C$496)/$C$496)*100)+100</f>
        <v>65.025181869054279</v>
      </c>
      <c r="F342" s="27">
        <v>3.5650623885917998E-2</v>
      </c>
      <c r="G342" s="27">
        <f>VLOOKUP(Table3[[#This Row],[Date]],'PCE Core'!A:D,4,)</f>
        <v>2.824715352817463E-2</v>
      </c>
    </row>
    <row r="343" spans="1:7" x14ac:dyDescent="0.2">
      <c r="A343" s="41">
        <v>31837</v>
      </c>
      <c r="B343" s="28">
        <f>VLOOKUP(Table3[[#This Row],[Date]],'PCE Core'!$A:$E,2,)</f>
        <v>56.881999999999998</v>
      </c>
      <c r="C343" s="28">
        <f>VLOOKUP(Table3[[#This Row],[Date]],Database!$A:$E,5)</f>
        <v>116.6</v>
      </c>
      <c r="D343" s="26">
        <f>(((Table3[[#This Row],[Core PCE]]-$B$496)/$B$496)*100)+100</f>
        <v>71.284274900997531</v>
      </c>
      <c r="E343" s="26">
        <f>(((Table3[[#This Row],[Core CPI]]-$C$496)/$C$496)*100)+100</f>
        <v>65.249020705092335</v>
      </c>
      <c r="F343" s="27">
        <v>3.644444444444439E-2</v>
      </c>
      <c r="G343" s="27">
        <f>VLOOKUP(Table3[[#This Row],[Date]],'PCE Core'!A:D,4,)</f>
        <v>2.8161376617742751E-2</v>
      </c>
    </row>
    <row r="344" spans="1:7" x14ac:dyDescent="0.2">
      <c r="A344" s="38">
        <v>31868</v>
      </c>
      <c r="B344" s="28">
        <f>VLOOKUP(Table3[[#This Row],[Date]],'PCE Core'!$A:$E,2,)</f>
        <v>57.122999999999998</v>
      </c>
      <c r="C344" s="28">
        <f>VLOOKUP(Table3[[#This Row],[Date]],Database!$A:$E,5)</f>
        <v>117.3</v>
      </c>
      <c r="D344" s="26">
        <f>(((Table3[[#This Row],[Core PCE]]-$B$496)/$B$496)*100)+100</f>
        <v>71.586295052383576</v>
      </c>
      <c r="E344" s="26">
        <f>(((Table3[[#This Row],[Core CPI]]-$C$496)/$C$496)*100)+100</f>
        <v>65.640738668158917</v>
      </c>
      <c r="F344" s="27">
        <v>3.8972542072630567E-2</v>
      </c>
      <c r="G344" s="27">
        <f>VLOOKUP(Table3[[#This Row],[Date]],'PCE Core'!A:D,4,)</f>
        <v>3.0654590069284029E-2</v>
      </c>
    </row>
    <row r="345" spans="1:7" x14ac:dyDescent="0.2">
      <c r="A345" s="41">
        <v>31898</v>
      </c>
      <c r="B345" s="28">
        <f>VLOOKUP(Table3[[#This Row],[Date]],'PCE Core'!$A:$E,2,)</f>
        <v>57.283000000000001</v>
      </c>
      <c r="C345" s="26">
        <f>VLOOKUP(Table3[[#This Row],[Date]],Database!$A:$E,5)</f>
        <v>117.7</v>
      </c>
      <c r="D345" s="26">
        <f>(((Table3[[#This Row],[Core PCE]]-$B$496)/$B$496)*100)+100</f>
        <v>71.786806356208331</v>
      </c>
      <c r="E345" s="26">
        <f>(((Table3[[#This Row],[Core CPI]]-$C$496)/$C$496)*100)+100</f>
        <v>65.864577504196987</v>
      </c>
      <c r="F345" s="27">
        <v>4.0671971706454542E-2</v>
      </c>
      <c r="G345" s="27">
        <f>VLOOKUP(Table3[[#This Row],[Date]],'PCE Core'!A:D,4,)</f>
        <v>3.1791491047948421E-2</v>
      </c>
    </row>
    <row r="346" spans="1:7" x14ac:dyDescent="0.2">
      <c r="A346" s="38">
        <v>31929</v>
      </c>
      <c r="B346" s="28">
        <f>VLOOKUP(Table3[[#This Row],[Date]],'PCE Core'!$A:$E,2,)</f>
        <v>57.441000000000003</v>
      </c>
      <c r="C346" s="28">
        <f>VLOOKUP(Table3[[#This Row],[Date]],Database!$A:$E,5)</f>
        <v>117.9</v>
      </c>
      <c r="D346" s="26">
        <f>(((Table3[[#This Row],[Core PCE]]-$B$496)/$B$496)*100)+100</f>
        <v>71.984811268735271</v>
      </c>
      <c r="E346" s="26">
        <f>(((Table3[[#This Row],[Core CPI]]-$C$496)/$C$496)*100)+100</f>
        <v>65.976496922216</v>
      </c>
      <c r="F346" s="27">
        <v>3.968253968253968E-2</v>
      </c>
      <c r="G346" s="27">
        <f>VLOOKUP(Table3[[#This Row],[Date]],'PCE Core'!A:D,4,)</f>
        <v>3.1534524557780372E-2</v>
      </c>
    </row>
    <row r="347" spans="1:7" x14ac:dyDescent="0.2">
      <c r="A347" s="41">
        <v>31959</v>
      </c>
      <c r="B347" s="28">
        <f>VLOOKUP(Table3[[#This Row],[Date]],'PCE Core'!$A:$E,2,)</f>
        <v>57.588999999999999</v>
      </c>
      <c r="C347" s="28">
        <f>VLOOKUP(Table3[[#This Row],[Date]],Database!$A:$E,5)</f>
        <v>118.3</v>
      </c>
      <c r="D347" s="26">
        <f>(((Table3[[#This Row],[Core PCE]]-$B$496)/$B$496)*100)+100</f>
        <v>72.170284224773155</v>
      </c>
      <c r="E347" s="26">
        <f>(((Table3[[#This Row],[Core CPI]]-$C$496)/$C$496)*100)+100</f>
        <v>66.200335758254056</v>
      </c>
      <c r="F347" s="27">
        <v>3.9543057996485061E-2</v>
      </c>
      <c r="G347" s="27">
        <f>VLOOKUP(Table3[[#This Row],[Date]],'PCE Core'!A:D,4,)</f>
        <v>3.2319936901731565E-2</v>
      </c>
    </row>
    <row r="348" spans="1:7" x14ac:dyDescent="0.2">
      <c r="A348" s="38">
        <v>31990</v>
      </c>
      <c r="B348" s="28">
        <f>VLOOKUP(Table3[[#This Row],[Date]],'PCE Core'!$A:$E,2,)</f>
        <v>57.783000000000001</v>
      </c>
      <c r="C348" s="26">
        <f>VLOOKUP(Table3[[#This Row],[Date]],Database!$A:$E,5)</f>
        <v>118.7</v>
      </c>
      <c r="D348" s="26">
        <f>(((Table3[[#This Row],[Core PCE]]-$B$496)/$B$496)*100)+100</f>
        <v>72.413404180660677</v>
      </c>
      <c r="E348" s="26">
        <f>(((Table3[[#This Row],[Core CPI]]-$C$496)/$C$496)*100)+100</f>
        <v>66.424174594292111</v>
      </c>
      <c r="F348" s="27">
        <v>3.9404553415061293E-2</v>
      </c>
      <c r="G348" s="27">
        <f>VLOOKUP(Table3[[#This Row],[Date]],'PCE Core'!A:D,4,)</f>
        <v>3.3666660703744078E-2</v>
      </c>
    </row>
    <row r="349" spans="1:7" x14ac:dyDescent="0.2">
      <c r="A349" s="41">
        <v>32021</v>
      </c>
      <c r="B349" s="28">
        <f>VLOOKUP(Table3[[#This Row],[Date]],'PCE Core'!$A:$E,2,)</f>
        <v>58.012</v>
      </c>
      <c r="C349" s="28">
        <f>VLOOKUP(Table3[[#This Row],[Date]],Database!$A:$E,5)</f>
        <v>119.2</v>
      </c>
      <c r="D349" s="26">
        <f>(((Table3[[#This Row],[Core PCE]]-$B$496)/$B$496)*100)+100</f>
        <v>72.700385984259853</v>
      </c>
      <c r="E349" s="26">
        <f>(((Table3[[#This Row],[Core CPI]]-$C$496)/$C$496)*100)+100</f>
        <v>66.703973139339681</v>
      </c>
      <c r="F349" s="27">
        <v>4.0139616055846497E-2</v>
      </c>
      <c r="G349" s="27">
        <f>VLOOKUP(Table3[[#This Row],[Date]],'PCE Core'!A:D,4,)</f>
        <v>3.4358562895604877E-2</v>
      </c>
    </row>
    <row r="350" spans="1:7" x14ac:dyDescent="0.2">
      <c r="A350" s="38">
        <v>32051</v>
      </c>
      <c r="B350" s="28">
        <f>VLOOKUP(Table3[[#This Row],[Date]],'PCE Core'!$A:$E,2,)</f>
        <v>58.26</v>
      </c>
      <c r="C350" s="28">
        <f>VLOOKUP(Table3[[#This Row],[Date]],Database!$A:$E,5)</f>
        <v>119.8</v>
      </c>
      <c r="D350" s="26">
        <f>(((Table3[[#This Row],[Core PCE]]-$B$496)/$B$496)*100)+100</f>
        <v>73.011178505188226</v>
      </c>
      <c r="E350" s="26">
        <f>(((Table3[[#This Row],[Core CPI]]-$C$496)/$C$496)*100)+100</f>
        <v>67.03973139339675</v>
      </c>
      <c r="F350" s="27">
        <v>4.1739130434782577E-2</v>
      </c>
      <c r="G350" s="27">
        <f>VLOOKUP(Table3[[#This Row],[Date]],'PCE Core'!A:D,4,)</f>
        <v>3.5291608913530177E-2</v>
      </c>
    </row>
    <row r="351" spans="1:7" x14ac:dyDescent="0.2">
      <c r="A351" s="41">
        <v>32082</v>
      </c>
      <c r="B351" s="28">
        <f>VLOOKUP(Table3[[#This Row],[Date]],'PCE Core'!$A:$E,2,)</f>
        <v>58.381999999999998</v>
      </c>
      <c r="C351" s="26">
        <f>VLOOKUP(Table3[[#This Row],[Date]],Database!$A:$E,5)</f>
        <v>120.1</v>
      </c>
      <c r="D351" s="26">
        <f>(((Table3[[#This Row],[Core PCE]]-$B$496)/$B$496)*100)+100</f>
        <v>73.164068374354599</v>
      </c>
      <c r="E351" s="26">
        <f>(((Table3[[#This Row],[Core CPI]]-$C$496)/$C$496)*100)+100</f>
        <v>67.207610520425291</v>
      </c>
      <c r="F351" s="27">
        <v>4.1630529054640049E-2</v>
      </c>
      <c r="G351" s="27">
        <f>VLOOKUP(Table3[[#This Row],[Date]],'PCE Core'!A:D,4,)</f>
        <v>3.5251977160690846E-2</v>
      </c>
    </row>
    <row r="352" spans="1:7" x14ac:dyDescent="0.2">
      <c r="A352" s="38">
        <v>32112</v>
      </c>
      <c r="B352" s="28">
        <f>VLOOKUP(Table3[[#This Row],[Date]],'PCE Core'!$A:$E,2,)</f>
        <v>58.505000000000003</v>
      </c>
      <c r="C352" s="28">
        <f>VLOOKUP(Table3[[#This Row],[Date]],Database!$A:$E,5)</f>
        <v>120.4</v>
      </c>
      <c r="D352" s="26">
        <f>(((Table3[[#This Row],[Core PCE]]-$B$496)/$B$496)*100)+100</f>
        <v>73.318211439169886</v>
      </c>
      <c r="E352" s="26">
        <f>(((Table3[[#This Row],[Core CPI]]-$C$496)/$C$496)*100)+100</f>
        <v>67.375489647453833</v>
      </c>
      <c r="F352" s="27">
        <v>4.1522491349481071E-2</v>
      </c>
      <c r="G352" s="27">
        <f>VLOOKUP(Table3[[#This Row],[Date]],'PCE Core'!A:D,4,)</f>
        <v>3.6110225622498521E-2</v>
      </c>
    </row>
    <row r="353" spans="1:7" x14ac:dyDescent="0.2">
      <c r="A353" s="41">
        <v>32143</v>
      </c>
      <c r="B353" s="28">
        <f>VLOOKUP(Table3[[#This Row],[Date]],'PCE Core'!$A:$E,2,)</f>
        <v>58.780999999999999</v>
      </c>
      <c r="C353" s="28">
        <f>VLOOKUP(Table3[[#This Row],[Date]],Database!$A:$E,5)</f>
        <v>120.9</v>
      </c>
      <c r="D353" s="26">
        <f>(((Table3[[#This Row],[Core PCE]]-$B$496)/$B$496)*100)+100</f>
        <v>73.664093438267571</v>
      </c>
      <c r="E353" s="26">
        <f>(((Table3[[#This Row],[Core CPI]]-$C$496)/$C$496)*100)+100</f>
        <v>67.655288192501416</v>
      </c>
      <c r="F353" s="27">
        <v>4.3140638481449521E-2</v>
      </c>
      <c r="G353" s="27">
        <f>VLOOKUP(Table3[[#This Row],[Date]],'PCE Core'!A:D,4,)</f>
        <v>3.851522057914171E-2</v>
      </c>
    </row>
    <row r="354" spans="1:7" x14ac:dyDescent="0.2">
      <c r="A354" s="38">
        <v>32174</v>
      </c>
      <c r="B354" s="28">
        <f>VLOOKUP(Table3[[#This Row],[Date]],'PCE Core'!$A:$E,2,)</f>
        <v>58.902000000000001</v>
      </c>
      <c r="C354" s="26">
        <f>VLOOKUP(Table3[[#This Row],[Date]],Database!$A:$E,5)</f>
        <v>121.2</v>
      </c>
      <c r="D354" s="26">
        <f>(((Table3[[#This Row],[Core PCE]]-$B$496)/$B$496)*100)+100</f>
        <v>73.815730111785058</v>
      </c>
      <c r="E354" s="26">
        <f>(((Table3[[#This Row],[Core CPI]]-$C$496)/$C$496)*100)+100</f>
        <v>67.823167319529944</v>
      </c>
      <c r="F354" s="27">
        <v>4.3029259896729767E-2</v>
      </c>
      <c r="G354" s="27">
        <f>VLOOKUP(Table3[[#This Row],[Date]],'PCE Core'!A:D,4,)</f>
        <v>3.8579539443523686E-2</v>
      </c>
    </row>
    <row r="355" spans="1:7" x14ac:dyDescent="0.2">
      <c r="A355" s="41">
        <v>32203</v>
      </c>
      <c r="B355" s="28">
        <f>VLOOKUP(Table3[[#This Row],[Date]],'PCE Core'!$A:$E,2,)</f>
        <v>59.154000000000003</v>
      </c>
      <c r="C355" s="28">
        <f>VLOOKUP(Table3[[#This Row],[Date]],Database!$A:$E,5)</f>
        <v>121.7</v>
      </c>
      <c r="D355" s="26">
        <f>(((Table3[[#This Row],[Core PCE]]-$B$496)/$B$496)*100)+100</f>
        <v>74.131535415309031</v>
      </c>
      <c r="E355" s="26">
        <f>(((Table3[[#This Row],[Core CPI]]-$C$496)/$C$496)*100)+100</f>
        <v>68.102965864577513</v>
      </c>
      <c r="F355" s="27">
        <v>4.3739279588336268E-2</v>
      </c>
      <c r="G355" s="27">
        <f>VLOOKUP(Table3[[#This Row],[Date]],'PCE Core'!A:D,4,)</f>
        <v>3.9942336767343017E-2</v>
      </c>
    </row>
    <row r="356" spans="1:7" x14ac:dyDescent="0.2">
      <c r="A356" s="38">
        <v>32234</v>
      </c>
      <c r="B356" s="28">
        <f>VLOOKUP(Table3[[#This Row],[Date]],'PCE Core'!$A:$E,2,)</f>
        <v>59.441000000000003</v>
      </c>
      <c r="C356" s="28">
        <f>VLOOKUP(Table3[[#This Row],[Date]],Database!$A:$E,5)</f>
        <v>122.3</v>
      </c>
      <c r="D356" s="26">
        <f>(((Table3[[#This Row],[Core PCE]]-$B$496)/$B$496)*100)+100</f>
        <v>74.491202566544686</v>
      </c>
      <c r="E356" s="26">
        <f>(((Table3[[#This Row],[Core CPI]]-$C$496)/$C$496)*100)+100</f>
        <v>68.438724118634582</v>
      </c>
      <c r="F356" s="27">
        <v>4.2625745950554142E-2</v>
      </c>
      <c r="G356" s="27">
        <f>VLOOKUP(Table3[[#This Row],[Date]],'PCE Core'!A:D,4,)</f>
        <v>4.057910123768018E-2</v>
      </c>
    </row>
    <row r="357" spans="1:7" x14ac:dyDescent="0.2">
      <c r="A357" s="41">
        <v>32264</v>
      </c>
      <c r="B357" s="28">
        <f>VLOOKUP(Table3[[#This Row],[Date]],'PCE Core'!$A:$E,2,)</f>
        <v>59.643999999999998</v>
      </c>
      <c r="C357" s="26">
        <f>VLOOKUP(Table3[[#This Row],[Date]],Database!$A:$E,5)</f>
        <v>122.7</v>
      </c>
      <c r="D357" s="26">
        <f>(((Table3[[#This Row],[Core PCE]]-$B$496)/$B$496)*100)+100</f>
        <v>74.745601283272336</v>
      </c>
      <c r="E357" s="26">
        <f>(((Table3[[#This Row],[Core CPI]]-$C$496)/$C$496)*100)+100</f>
        <v>68.662562954672637</v>
      </c>
      <c r="F357" s="27">
        <v>4.2480883602378929E-2</v>
      </c>
      <c r="G357" s="27">
        <f>VLOOKUP(Table3[[#This Row],[Date]],'PCE Core'!A:D,4,)</f>
        <v>4.1216416737950123E-2</v>
      </c>
    </row>
    <row r="358" spans="1:7" x14ac:dyDescent="0.2">
      <c r="A358" s="38">
        <v>32295</v>
      </c>
      <c r="B358" s="28">
        <f>VLOOKUP(Table3[[#This Row],[Date]],'PCE Core'!$A:$E,2,)</f>
        <v>59.896000000000001</v>
      </c>
      <c r="C358" s="28">
        <f>VLOOKUP(Table3[[#This Row],[Date]],Database!$A:$E,5)</f>
        <v>123.2</v>
      </c>
      <c r="D358" s="26">
        <f>(((Table3[[#This Row],[Core PCE]]-$B$496)/$B$496)*100)+100</f>
        <v>75.061406586796323</v>
      </c>
      <c r="E358" s="26">
        <f>(((Table3[[#This Row],[Core CPI]]-$C$496)/$C$496)*100)+100</f>
        <v>68.942361499720207</v>
      </c>
      <c r="F358" s="27">
        <v>4.4953350296861719E-2</v>
      </c>
      <c r="G358" s="27">
        <f>VLOOKUP(Table3[[#This Row],[Date]],'PCE Core'!A:D,4,)</f>
        <v>4.2739506624188267E-2</v>
      </c>
    </row>
    <row r="359" spans="1:7" x14ac:dyDescent="0.2">
      <c r="A359" s="41">
        <v>32325</v>
      </c>
      <c r="B359" s="28">
        <f>VLOOKUP(Table3[[#This Row],[Date]],'PCE Core'!$A:$E,2,)</f>
        <v>60.14</v>
      </c>
      <c r="C359" s="28">
        <f>VLOOKUP(Table3[[#This Row],[Date]],Database!$A:$E,5)</f>
        <v>123.6</v>
      </c>
      <c r="D359" s="26">
        <f>(((Table3[[#This Row],[Core PCE]]-$B$496)/$B$496)*100)+100</f>
        <v>75.367186325129069</v>
      </c>
      <c r="E359" s="26">
        <f>(((Table3[[#This Row],[Core CPI]]-$C$496)/$C$496)*100)+100</f>
        <v>69.166200335758248</v>
      </c>
      <c r="F359" s="27">
        <v>4.4801352493660157E-2</v>
      </c>
      <c r="G359" s="27">
        <f>VLOOKUP(Table3[[#This Row],[Date]],'PCE Core'!A:D,4,)</f>
        <v>4.4296653874871972E-2</v>
      </c>
    </row>
    <row r="360" spans="1:7" x14ac:dyDescent="0.2">
      <c r="A360" s="38">
        <v>32356</v>
      </c>
      <c r="B360" s="28">
        <f>VLOOKUP(Table3[[#This Row],[Date]],'PCE Core'!$A:$E,2,)</f>
        <v>60.289000000000001</v>
      </c>
      <c r="C360" s="26">
        <f>VLOOKUP(Table3[[#This Row],[Date]],Database!$A:$E,5)</f>
        <v>124</v>
      </c>
      <c r="D360" s="26">
        <f>(((Table3[[#This Row],[Core PCE]]-$B$496)/$B$496)*100)+100</f>
        <v>75.553912476815881</v>
      </c>
      <c r="E360" s="26">
        <f>(((Table3[[#This Row],[Core CPI]]-$C$496)/$C$496)*100)+100</f>
        <v>69.390039171796303</v>
      </c>
      <c r="F360" s="27">
        <v>4.4650379106992391E-2</v>
      </c>
      <c r="G360" s="27">
        <f>VLOOKUP(Table3[[#This Row],[Date]],'PCE Core'!A:D,4,)</f>
        <v>4.3369157018500255E-2</v>
      </c>
    </row>
    <row r="361" spans="1:7" x14ac:dyDescent="0.2">
      <c r="A361" s="41">
        <v>32387</v>
      </c>
      <c r="B361" s="28">
        <f>VLOOKUP(Table3[[#This Row],[Date]],'PCE Core'!$A:$E,2,)</f>
        <v>60.613</v>
      </c>
      <c r="C361" s="28">
        <f>VLOOKUP(Table3[[#This Row],[Date]],Database!$A:$E,5)</f>
        <v>124.7</v>
      </c>
      <c r="D361" s="26">
        <f>(((Table3[[#This Row],[Core PCE]]-$B$496)/$B$496)*100)+100</f>
        <v>75.959947867061004</v>
      </c>
      <c r="E361" s="26">
        <f>(((Table3[[#This Row],[Core CPI]]-$C$496)/$C$496)*100)+100</f>
        <v>69.7817571348629</v>
      </c>
      <c r="F361" s="27">
        <v>4.6140939597315432E-2</v>
      </c>
      <c r="G361" s="27">
        <f>VLOOKUP(Table3[[#This Row],[Date]],'PCE Core'!A:D,4,)</f>
        <v>4.4835551265255451E-2</v>
      </c>
    </row>
    <row r="362" spans="1:7" x14ac:dyDescent="0.2">
      <c r="A362" s="38">
        <v>32417</v>
      </c>
      <c r="B362" s="28">
        <f>VLOOKUP(Table3[[#This Row],[Date]],'PCE Core'!$A:$E,2,)</f>
        <v>60.843000000000004</v>
      </c>
      <c r="C362" s="28">
        <f>VLOOKUP(Table3[[#This Row],[Date]],Database!$A:$E,5)</f>
        <v>125.2</v>
      </c>
      <c r="D362" s="26">
        <f>(((Table3[[#This Row],[Core PCE]]-$B$496)/$B$496)*100)+100</f>
        <v>76.248182866309094</v>
      </c>
      <c r="E362" s="26">
        <f>(((Table3[[#This Row],[Core CPI]]-$C$496)/$C$496)*100)+100</f>
        <v>70.06155567991047</v>
      </c>
      <c r="F362" s="27">
        <v>4.5075125208681177E-2</v>
      </c>
      <c r="G362" s="27">
        <f>VLOOKUP(Table3[[#This Row],[Date]],'PCE Core'!A:D,4,)</f>
        <v>4.4335736354274041E-2</v>
      </c>
    </row>
    <row r="363" spans="1:7" x14ac:dyDescent="0.2">
      <c r="A363" s="41">
        <v>32448</v>
      </c>
      <c r="B363" s="28">
        <f>VLOOKUP(Table3[[#This Row],[Date]],'PCE Core'!$A:$E,2,)</f>
        <v>61.01</v>
      </c>
      <c r="C363" s="26">
        <f>VLOOKUP(Table3[[#This Row],[Date]],Database!$A:$E,5)</f>
        <v>125.6</v>
      </c>
      <c r="D363" s="26">
        <f>(((Table3[[#This Row],[Core PCE]]-$B$496)/$B$496)*100)+100</f>
        <v>76.457466539676162</v>
      </c>
      <c r="E363" s="26">
        <f>(((Table3[[#This Row],[Core CPI]]-$C$496)/$C$496)*100)+100</f>
        <v>70.285394515948525</v>
      </c>
      <c r="F363" s="27">
        <v>4.5795170691090757E-2</v>
      </c>
      <c r="G363" s="27">
        <f>VLOOKUP(Table3[[#This Row],[Date]],'PCE Core'!A:D,4,)</f>
        <v>4.5013874139289513E-2</v>
      </c>
    </row>
    <row r="364" spans="1:7" x14ac:dyDescent="0.2">
      <c r="A364" s="38">
        <v>32478</v>
      </c>
      <c r="B364" s="28">
        <f>VLOOKUP(Table3[[#This Row],[Date]],'PCE Core'!$A:$E,2,)</f>
        <v>61.212000000000003</v>
      </c>
      <c r="C364" s="28">
        <f>VLOOKUP(Table3[[#This Row],[Date]],Database!$A:$E,5)</f>
        <v>126</v>
      </c>
      <c r="D364" s="26">
        <f>(((Table3[[#This Row],[Core PCE]]-$B$496)/$B$496)*100)+100</f>
        <v>76.710612060754926</v>
      </c>
      <c r="E364" s="26">
        <f>(((Table3[[#This Row],[Core CPI]]-$C$496)/$C$496)*100)+100</f>
        <v>70.50923335198658</v>
      </c>
      <c r="F364" s="27">
        <v>4.6511627906976688E-2</v>
      </c>
      <c r="G364" s="27">
        <f>VLOOKUP(Table3[[#This Row],[Date]],'PCE Core'!A:D,4,)</f>
        <v>4.6269549611144357E-2</v>
      </c>
    </row>
    <row r="365" spans="1:7" x14ac:dyDescent="0.2">
      <c r="A365" s="41">
        <v>32509</v>
      </c>
      <c r="B365" s="28">
        <f>VLOOKUP(Table3[[#This Row],[Date]],'PCE Core'!$A:$E,2,)</f>
        <v>61.521999999999998</v>
      </c>
      <c r="C365" s="28">
        <f>VLOOKUP(Table3[[#This Row],[Date]],Database!$A:$E,5)</f>
        <v>126.5</v>
      </c>
      <c r="D365" s="26">
        <f>(((Table3[[#This Row],[Core PCE]]-$B$496)/$B$496)*100)+100</f>
        <v>77.099102711915378</v>
      </c>
      <c r="E365" s="26">
        <f>(((Table3[[#This Row],[Core CPI]]-$C$496)/$C$496)*100)+100</f>
        <v>70.789031897034135</v>
      </c>
      <c r="F365" s="27">
        <v>4.631927212572369E-2</v>
      </c>
      <c r="G365" s="27">
        <f>VLOOKUP(Table3[[#This Row],[Date]],'PCE Core'!A:D,4,)</f>
        <v>4.6630714006226495E-2</v>
      </c>
    </row>
    <row r="366" spans="1:7" x14ac:dyDescent="0.2">
      <c r="A366" s="38">
        <v>32540</v>
      </c>
      <c r="B366" s="28">
        <f>VLOOKUP(Table3[[#This Row],[Date]],'PCE Core'!$A:$E,2,)</f>
        <v>61.677999999999997</v>
      </c>
      <c r="C366" s="26">
        <f>VLOOKUP(Table3[[#This Row],[Date]],Database!$A:$E,5)</f>
        <v>126.9</v>
      </c>
      <c r="D366" s="26">
        <f>(((Table3[[#This Row],[Core PCE]]-$B$496)/$B$496)*100)+100</f>
        <v>77.294601233144505</v>
      </c>
      <c r="E366" s="26">
        <f>(((Table3[[#This Row],[Core CPI]]-$C$496)/$C$496)*100)+100</f>
        <v>71.012870733072191</v>
      </c>
      <c r="F366" s="27">
        <v>4.7029702970297051E-2</v>
      </c>
      <c r="G366" s="27">
        <f>VLOOKUP(Table3[[#This Row],[Date]],'PCE Core'!A:D,4,)</f>
        <v>4.7129129740925542E-2</v>
      </c>
    </row>
    <row r="367" spans="1:7" x14ac:dyDescent="0.2">
      <c r="A367" s="41">
        <v>32568</v>
      </c>
      <c r="B367" s="28">
        <f>VLOOKUP(Table3[[#This Row],[Date]],'PCE Core'!$A:$E,2,)</f>
        <v>61.863</v>
      </c>
      <c r="C367" s="28">
        <f>VLOOKUP(Table3[[#This Row],[Date]],Database!$A:$E,5)</f>
        <v>127.4</v>
      </c>
      <c r="D367" s="26">
        <f>(((Table3[[#This Row],[Core PCE]]-$B$496)/$B$496)*100)+100</f>
        <v>77.526442428191885</v>
      </c>
      <c r="E367" s="26">
        <f>(((Table3[[#This Row],[Core CPI]]-$C$496)/$C$496)*100)+100</f>
        <v>71.29266927811976</v>
      </c>
      <c r="F367" s="27">
        <v>4.6836483155299938E-2</v>
      </c>
      <c r="G367" s="27">
        <f>VLOOKUP(Table3[[#This Row],[Date]],'PCE Core'!A:D,4,)</f>
        <v>4.5795719647022955E-2</v>
      </c>
    </row>
    <row r="368" spans="1:7" x14ac:dyDescent="0.2">
      <c r="A368" s="38">
        <v>32599</v>
      </c>
      <c r="B368" s="28">
        <f>VLOOKUP(Table3[[#This Row],[Date]],'PCE Core'!$A:$E,2,)</f>
        <v>62.07</v>
      </c>
      <c r="C368" s="28">
        <f>VLOOKUP(Table3[[#This Row],[Date]],Database!$A:$E,5)</f>
        <v>127.8</v>
      </c>
      <c r="D368" s="26">
        <f>(((Table3[[#This Row],[Core PCE]]-$B$496)/$B$496)*100)+100</f>
        <v>77.785853927515163</v>
      </c>
      <c r="E368" s="26">
        <f>(((Table3[[#This Row],[Core CPI]]-$C$496)/$C$496)*100)+100</f>
        <v>71.516508114157816</v>
      </c>
      <c r="F368" s="27">
        <v>4.4971381847914972E-2</v>
      </c>
      <c r="G368" s="27">
        <f>VLOOKUP(Table3[[#This Row],[Date]],'PCE Core'!A:D,4,)</f>
        <v>4.4228731010581883E-2</v>
      </c>
    </row>
    <row r="369" spans="1:7" x14ac:dyDescent="0.2">
      <c r="A369" s="41">
        <v>32629</v>
      </c>
      <c r="B369" s="28">
        <f>VLOOKUP(Table3[[#This Row],[Date]],'PCE Core'!$A:$E,2,)</f>
        <v>62.256</v>
      </c>
      <c r="C369" s="26">
        <f>VLOOKUP(Table3[[#This Row],[Date]],Database!$A:$E,5)</f>
        <v>128.30000000000001</v>
      </c>
      <c r="D369" s="26">
        <f>(((Table3[[#This Row],[Core PCE]]-$B$496)/$B$496)*100)+100</f>
        <v>78.018948318211443</v>
      </c>
      <c r="E369" s="26">
        <f>(((Table3[[#This Row],[Core CPI]]-$C$496)/$C$496)*100)+100</f>
        <v>71.796306659205385</v>
      </c>
      <c r="F369" s="27">
        <v>4.5639771801141073E-2</v>
      </c>
      <c r="G369" s="27">
        <f>VLOOKUP(Table3[[#This Row],[Date]],'PCE Core'!A:D,4,)</f>
        <v>4.3793172825430923E-2</v>
      </c>
    </row>
    <row r="370" spans="1:7" x14ac:dyDescent="0.2">
      <c r="A370" s="38">
        <v>32660</v>
      </c>
      <c r="B370" s="28">
        <f>VLOOKUP(Table3[[#This Row],[Date]],'PCE Core'!$A:$E,2,)</f>
        <v>62.42</v>
      </c>
      <c r="C370" s="28">
        <f>VLOOKUP(Table3[[#This Row],[Date]],Database!$A:$E,5)</f>
        <v>128.80000000000001</v>
      </c>
      <c r="D370" s="26">
        <f>(((Table3[[#This Row],[Core PCE]]-$B$496)/$B$496)*100)+100</f>
        <v>78.224472404631811</v>
      </c>
      <c r="E370" s="26">
        <f>(((Table3[[#This Row],[Core CPI]]-$C$496)/$C$496)*100)+100</f>
        <v>72.076105204252954</v>
      </c>
      <c r="F370" s="27">
        <v>4.5454545454545532E-2</v>
      </c>
      <c r="G370" s="27">
        <f>VLOOKUP(Table3[[#This Row],[Date]],'PCE Core'!A:D,4,)</f>
        <v>4.2139708828636317E-2</v>
      </c>
    </row>
    <row r="371" spans="1:7" x14ac:dyDescent="0.2">
      <c r="A371" s="41">
        <v>32690</v>
      </c>
      <c r="B371" s="28">
        <f>VLOOKUP(Table3[[#This Row],[Date]],'PCE Core'!$A:$E,2,)</f>
        <v>62.581000000000003</v>
      </c>
      <c r="C371" s="28">
        <f>VLOOKUP(Table3[[#This Row],[Date]],Database!$A:$E,5)</f>
        <v>129.19999999999999</v>
      </c>
      <c r="D371" s="26">
        <f>(((Table3[[#This Row],[Core PCE]]-$B$496)/$B$496)*100)+100</f>
        <v>78.426236904105465</v>
      </c>
      <c r="E371" s="26">
        <f>(((Table3[[#This Row],[Core CPI]]-$C$496)/$C$496)*100)+100</f>
        <v>72.299944040290995</v>
      </c>
      <c r="F371" s="27">
        <v>4.5307443365695747E-2</v>
      </c>
      <c r="G371" s="27">
        <f>VLOOKUP(Table3[[#This Row],[Date]],'PCE Core'!A:D,4,)</f>
        <v>4.0588626538077863E-2</v>
      </c>
    </row>
    <row r="372" spans="1:7" x14ac:dyDescent="0.2">
      <c r="A372" s="38">
        <v>32721</v>
      </c>
      <c r="B372" s="28">
        <f>VLOOKUP(Table3[[#This Row],[Date]],'PCE Core'!$A:$E,2,)</f>
        <v>62.668999999999997</v>
      </c>
      <c r="C372" s="26">
        <f>VLOOKUP(Table3[[#This Row],[Date]],Database!$A:$E,5)</f>
        <v>129.5</v>
      </c>
      <c r="D372" s="26">
        <f>(((Table3[[#This Row],[Core PCE]]-$B$496)/$B$496)*100)+100</f>
        <v>78.53651812120907</v>
      </c>
      <c r="E372" s="26">
        <f>(((Table3[[#This Row],[Core CPI]]-$C$496)/$C$496)*100)+100</f>
        <v>72.467823167319537</v>
      </c>
      <c r="F372" s="27">
        <v>4.4354838709677422E-2</v>
      </c>
      <c r="G372" s="27">
        <f>VLOOKUP(Table3[[#This Row],[Date]],'PCE Core'!A:D,4,)</f>
        <v>3.9476521421818164E-2</v>
      </c>
    </row>
    <row r="373" spans="1:7" x14ac:dyDescent="0.2">
      <c r="A373" s="41">
        <v>32752</v>
      </c>
      <c r="B373" s="28">
        <f>VLOOKUP(Table3[[#This Row],[Date]],'PCE Core'!$A:$E,2,)</f>
        <v>62.886000000000003</v>
      </c>
      <c r="C373" s="28">
        <f>VLOOKUP(Table3[[#This Row],[Date]],Database!$A:$E,5)</f>
        <v>129.9</v>
      </c>
      <c r="D373" s="26">
        <f>(((Table3[[#This Row],[Core PCE]]-$B$496)/$B$496)*100)+100</f>
        <v>78.808461577021404</v>
      </c>
      <c r="E373" s="26">
        <f>(((Table3[[#This Row],[Core CPI]]-$C$496)/$C$496)*100)+100</f>
        <v>72.691662003357592</v>
      </c>
      <c r="F373" s="27">
        <v>4.1700080192461929E-2</v>
      </c>
      <c r="G373" s="27">
        <f>VLOOKUP(Table3[[#This Row],[Date]],'PCE Core'!A:D,4,)</f>
        <v>3.7500206226387132E-2</v>
      </c>
    </row>
    <row r="374" spans="1:7" x14ac:dyDescent="0.2">
      <c r="A374" s="38">
        <v>32782</v>
      </c>
      <c r="B374" s="28">
        <f>VLOOKUP(Table3[[#This Row],[Date]],'PCE Core'!$A:$E,2,)</f>
        <v>63.113999999999997</v>
      </c>
      <c r="C374" s="28">
        <f>VLOOKUP(Table3[[#This Row],[Date]],Database!$A:$E,5)</f>
        <v>130.6</v>
      </c>
      <c r="D374" s="26">
        <f>(((Table3[[#This Row],[Core PCE]]-$B$496)/$B$496)*100)+100</f>
        <v>79.094190184971666</v>
      </c>
      <c r="E374" s="26">
        <f>(((Table3[[#This Row],[Core CPI]]-$C$496)/$C$496)*100)+100</f>
        <v>73.083379966424175</v>
      </c>
      <c r="F374" s="27">
        <v>4.3130990415335392E-2</v>
      </c>
      <c r="G374" s="27">
        <f>VLOOKUP(Table3[[#This Row],[Date]],'PCE Core'!A:D,4,)</f>
        <v>3.7325575661949502E-2</v>
      </c>
    </row>
    <row r="375" spans="1:7" x14ac:dyDescent="0.2">
      <c r="A375" s="41">
        <v>32813</v>
      </c>
      <c r="B375" s="28">
        <f>VLOOKUP(Table3[[#This Row],[Date]],'PCE Core'!$A:$E,2,)</f>
        <v>63.281999999999996</v>
      </c>
      <c r="C375" s="26">
        <f>VLOOKUP(Table3[[#This Row],[Date]],Database!$A:$E,5)</f>
        <v>131.1</v>
      </c>
      <c r="D375" s="26">
        <f>(((Table3[[#This Row],[Core PCE]]-$B$496)/$B$496)*100)+100</f>
        <v>79.304727053987662</v>
      </c>
      <c r="E375" s="26">
        <f>(((Table3[[#This Row],[Core CPI]]-$C$496)/$C$496)*100)+100</f>
        <v>73.363178511471745</v>
      </c>
      <c r="F375" s="27">
        <v>4.3789808917197463E-2</v>
      </c>
      <c r="G375" s="27">
        <f>VLOOKUP(Table3[[#This Row],[Date]],'PCE Core'!A:D,4,)</f>
        <v>3.7239796754630364E-2</v>
      </c>
    </row>
    <row r="376" spans="1:7" x14ac:dyDescent="0.2">
      <c r="A376" s="38">
        <v>32843</v>
      </c>
      <c r="B376" s="28">
        <f>VLOOKUP(Table3[[#This Row],[Date]],'PCE Core'!$A:$E,2,)</f>
        <v>63.462000000000003</v>
      </c>
      <c r="C376" s="28">
        <f>VLOOKUP(Table3[[#This Row],[Date]],Database!$A:$E,5)</f>
        <v>131.6</v>
      </c>
      <c r="D376" s="26">
        <f>(((Table3[[#This Row],[Core PCE]]-$B$496)/$B$496)*100)+100</f>
        <v>79.530302270790514</v>
      </c>
      <c r="E376" s="26">
        <f>(((Table3[[#This Row],[Core CPI]]-$C$496)/$C$496)*100)+100</f>
        <v>73.642977056519314</v>
      </c>
      <c r="F376" s="27">
        <v>4.4444444444444398E-2</v>
      </c>
      <c r="G376" s="27">
        <f>VLOOKUP(Table3[[#This Row],[Date]],'PCE Core'!A:D,4,)</f>
        <v>3.6757498529700054E-2</v>
      </c>
    </row>
    <row r="377" spans="1:7" x14ac:dyDescent="0.2">
      <c r="A377" s="41">
        <v>32874</v>
      </c>
      <c r="B377" s="28">
        <f>VLOOKUP(Table3[[#This Row],[Date]],'PCE Core'!$A:$E,2,)</f>
        <v>63.706000000000003</v>
      </c>
      <c r="C377" s="28">
        <f>VLOOKUP(Table3[[#This Row],[Date]],Database!$A:$E,5)</f>
        <v>132.1</v>
      </c>
      <c r="D377" s="26">
        <f>(((Table3[[#This Row],[Core PCE]]-$B$496)/$B$496)*100)+100</f>
        <v>79.83608200912326</v>
      </c>
      <c r="E377" s="26">
        <f>(((Table3[[#This Row],[Core CPI]]-$C$496)/$C$496)*100)+100</f>
        <v>73.922775601566883</v>
      </c>
      <c r="F377" s="27">
        <v>4.4268774703557258E-2</v>
      </c>
      <c r="G377" s="27">
        <f>VLOOKUP(Table3[[#This Row],[Date]],'PCE Core'!A:D,4,)</f>
        <v>3.5499496115210895E-2</v>
      </c>
    </row>
    <row r="378" spans="1:7" x14ac:dyDescent="0.2">
      <c r="A378" s="38">
        <v>32905</v>
      </c>
      <c r="B378" s="28">
        <f>VLOOKUP(Table3[[#This Row],[Date]],'PCE Core'!$A:$E,2,)</f>
        <v>64.016000000000005</v>
      </c>
      <c r="C378" s="26">
        <f>VLOOKUP(Table3[[#This Row],[Date]],Database!$A:$E,5)</f>
        <v>132.69999999999999</v>
      </c>
      <c r="D378" s="26">
        <f>(((Table3[[#This Row],[Core PCE]]-$B$496)/$B$496)*100)+100</f>
        <v>80.224572660283727</v>
      </c>
      <c r="E378" s="26">
        <f>(((Table3[[#This Row],[Core CPI]]-$C$496)/$C$496)*100)+100</f>
        <v>74.258533855623952</v>
      </c>
      <c r="F378" s="27">
        <v>4.5705279747832797E-2</v>
      </c>
      <c r="G378" s="27">
        <f>VLOOKUP(Table3[[#This Row],[Date]],'PCE Core'!A:D,4,)</f>
        <v>3.7906546904893285E-2</v>
      </c>
    </row>
    <row r="379" spans="1:7" x14ac:dyDescent="0.2">
      <c r="A379" s="41">
        <v>32933</v>
      </c>
      <c r="B379" s="28">
        <f>VLOOKUP(Table3[[#This Row],[Date]],'PCE Core'!$A:$E,2,)</f>
        <v>64.322999999999993</v>
      </c>
      <c r="C379" s="28">
        <f>VLOOKUP(Table3[[#This Row],[Date]],Database!$A:$E,5)</f>
        <v>133.5</v>
      </c>
      <c r="D379" s="26">
        <f>(((Table3[[#This Row],[Core PCE]]-$B$496)/$B$496)*100)+100</f>
        <v>80.609303724497451</v>
      </c>
      <c r="E379" s="26">
        <f>(((Table3[[#This Row],[Core CPI]]-$C$496)/$C$496)*100)+100</f>
        <v>74.706211527700063</v>
      </c>
      <c r="F379" s="27">
        <v>4.7880690737833548E-2</v>
      </c>
      <c r="G379" s="27">
        <f>VLOOKUP(Table3[[#This Row],[Date]],'PCE Core'!A:D,4,)</f>
        <v>3.9765287813394015E-2</v>
      </c>
    </row>
    <row r="380" spans="1:7" x14ac:dyDescent="0.2">
      <c r="A380" s="38">
        <v>32964</v>
      </c>
      <c r="B380" s="28">
        <f>VLOOKUP(Table3[[#This Row],[Date]],'PCE Core'!$A:$E,2,)</f>
        <v>64.515000000000001</v>
      </c>
      <c r="C380" s="28">
        <f>VLOOKUP(Table3[[#This Row],[Date]],Database!$A:$E,5)</f>
        <v>134</v>
      </c>
      <c r="D380" s="26">
        <f>(((Table3[[#This Row],[Core PCE]]-$B$496)/$B$496)*100)+100</f>
        <v>80.849917289087159</v>
      </c>
      <c r="E380" s="26">
        <f>(((Table3[[#This Row],[Core CPI]]-$C$496)/$C$496)*100)+100</f>
        <v>74.986010072747632</v>
      </c>
      <c r="F380" s="27">
        <v>4.8513302034428822E-2</v>
      </c>
      <c r="G380" s="27">
        <f>VLOOKUP(Table3[[#This Row],[Date]],'PCE Core'!A:D,4,)</f>
        <v>3.9391010149830839E-2</v>
      </c>
    </row>
    <row r="381" spans="1:7" x14ac:dyDescent="0.2">
      <c r="A381" s="41">
        <v>32994</v>
      </c>
      <c r="B381" s="28">
        <f>VLOOKUP(Table3[[#This Row],[Date]],'PCE Core'!$A:$E,2,)</f>
        <v>64.712000000000003</v>
      </c>
      <c r="C381" s="26">
        <f>VLOOKUP(Table3[[#This Row],[Date]],Database!$A:$E,5)</f>
        <v>134.4</v>
      </c>
      <c r="D381" s="26">
        <f>(((Table3[[#This Row],[Core PCE]]-$B$496)/$B$496)*100)+100</f>
        <v>81.096796831921395</v>
      </c>
      <c r="E381" s="26">
        <f>(((Table3[[#This Row],[Core CPI]]-$C$496)/$C$496)*100)+100</f>
        <v>75.209848908785688</v>
      </c>
      <c r="F381" s="27">
        <v>4.7544816835541653E-2</v>
      </c>
      <c r="G381" s="27">
        <f>VLOOKUP(Table3[[#This Row],[Date]],'PCE Core'!A:D,4,)</f>
        <v>3.9450012850167103E-2</v>
      </c>
    </row>
    <row r="382" spans="1:7" x14ac:dyDescent="0.2">
      <c r="A382" s="38">
        <v>33025</v>
      </c>
      <c r="B382" s="28">
        <f>VLOOKUP(Table3[[#This Row],[Date]],'PCE Core'!$A:$E,2,)</f>
        <v>64.962999999999994</v>
      </c>
      <c r="C382" s="28">
        <f>VLOOKUP(Table3[[#This Row],[Date]],Database!$A:$E,5)</f>
        <v>135.1</v>
      </c>
      <c r="D382" s="26">
        <f>(((Table3[[#This Row],[Core PCE]]-$B$496)/$B$496)*100)+100</f>
        <v>81.411348939796468</v>
      </c>
      <c r="E382" s="26">
        <f>(((Table3[[#This Row],[Core CPI]]-$C$496)/$C$496)*100)+100</f>
        <v>75.60156687185227</v>
      </c>
      <c r="F382" s="27">
        <v>4.8913043478260733E-2</v>
      </c>
      <c r="G382" s="27">
        <f>VLOOKUP(Table3[[#This Row],[Date]],'PCE Core'!A:D,4,)</f>
        <v>4.0740147388657354E-2</v>
      </c>
    </row>
    <row r="383" spans="1:7" x14ac:dyDescent="0.2">
      <c r="A383" s="41">
        <v>33055</v>
      </c>
      <c r="B383" s="28">
        <f>VLOOKUP(Table3[[#This Row],[Date]],'PCE Core'!$A:$E,2,)</f>
        <v>65.128</v>
      </c>
      <c r="C383" s="28">
        <f>VLOOKUP(Table3[[#This Row],[Date]],Database!$A:$E,5)</f>
        <v>135.80000000000001</v>
      </c>
      <c r="D383" s="26">
        <f>(((Table3[[#This Row],[Core PCE]]-$B$496)/$B$496)*100)+100</f>
        <v>81.618126221865751</v>
      </c>
      <c r="E383" s="26">
        <f>(((Table3[[#This Row],[Core CPI]]-$C$496)/$C$496)*100)+100</f>
        <v>75.993284834918867</v>
      </c>
      <c r="F383" s="27">
        <v>5.108359133126953E-2</v>
      </c>
      <c r="G383" s="27">
        <f>VLOOKUP(Table3[[#This Row],[Date]],'PCE Core'!A:D,4,)</f>
        <v>4.0699253767117763E-2</v>
      </c>
    </row>
    <row r="384" spans="1:7" x14ac:dyDescent="0.2">
      <c r="A384" s="38">
        <v>33086</v>
      </c>
      <c r="B384" s="28">
        <f>VLOOKUP(Table3[[#This Row],[Date]],'PCE Core'!$A:$E,2,)</f>
        <v>65.397999999999996</v>
      </c>
      <c r="C384" s="26">
        <f>VLOOKUP(Table3[[#This Row],[Date]],Database!$A:$E,5)</f>
        <v>136.6</v>
      </c>
      <c r="D384" s="26">
        <f>(((Table3[[#This Row],[Core PCE]]-$B$496)/$B$496)*100)+100</f>
        <v>81.956489047070022</v>
      </c>
      <c r="E384" s="26">
        <f>(((Table3[[#This Row],[Core CPI]]-$C$496)/$C$496)*100)+100</f>
        <v>76.440962506994964</v>
      </c>
      <c r="F384" s="27">
        <v>5.4826254826254778E-2</v>
      </c>
      <c r="G384" s="27">
        <f>VLOOKUP(Table3[[#This Row],[Date]],'PCE Core'!A:D,4,)</f>
        <v>4.3546250937465086E-2</v>
      </c>
    </row>
    <row r="385" spans="1:7" x14ac:dyDescent="0.2">
      <c r="A385" s="41">
        <v>33117</v>
      </c>
      <c r="B385" s="28">
        <f>VLOOKUP(Table3[[#This Row],[Date]],'PCE Core'!$A:$E,2,)</f>
        <v>65.626999999999995</v>
      </c>
      <c r="C385" s="28">
        <f>VLOOKUP(Table3[[#This Row],[Date]],Database!$A:$E,5)</f>
        <v>137.1</v>
      </c>
      <c r="D385" s="26">
        <f>(((Table3[[#This Row],[Core PCE]]-$B$496)/$B$496)*100)+100</f>
        <v>82.243470850669198</v>
      </c>
      <c r="E385" s="26">
        <f>(((Table3[[#This Row],[Core CPI]]-$C$496)/$C$496)*100)+100</f>
        <v>76.720761052042533</v>
      </c>
      <c r="F385" s="27">
        <v>5.5427251732101529E-2</v>
      </c>
      <c r="G385" s="27">
        <f>VLOOKUP(Table3[[#This Row],[Date]],'PCE Core'!A:D,4,)</f>
        <v>4.3586807874566556E-2</v>
      </c>
    </row>
    <row r="386" spans="1:7" x14ac:dyDescent="0.2">
      <c r="A386" s="38">
        <v>33147</v>
      </c>
      <c r="B386" s="28">
        <f>VLOOKUP(Table3[[#This Row],[Date]],'PCE Core'!$A:$E,2,)</f>
        <v>65.849999999999994</v>
      </c>
      <c r="C386" s="28">
        <f>VLOOKUP(Table3[[#This Row],[Date]],Database!$A:$E,5)</f>
        <v>137.6</v>
      </c>
      <c r="D386" s="26">
        <f>(((Table3[[#This Row],[Core PCE]]-$B$496)/$B$496)*100)+100</f>
        <v>82.522933480374945</v>
      </c>
      <c r="E386" s="26">
        <f>(((Table3[[#This Row],[Core CPI]]-$C$496)/$C$496)*100)+100</f>
        <v>77.000559597090103</v>
      </c>
      <c r="F386" s="27">
        <v>5.3598774885145493E-2</v>
      </c>
      <c r="G386" s="27">
        <f>VLOOKUP(Table3[[#This Row],[Date]],'PCE Core'!A:D,4,)</f>
        <v>4.3350128339195694E-2</v>
      </c>
    </row>
    <row r="387" spans="1:7" x14ac:dyDescent="0.2">
      <c r="A387" s="41">
        <v>33178</v>
      </c>
      <c r="B387" s="28">
        <f>VLOOKUP(Table3[[#This Row],[Date]],'PCE Core'!$A:$E,2,)</f>
        <v>65.929000000000002</v>
      </c>
      <c r="C387" s="26">
        <f>VLOOKUP(Table3[[#This Row],[Date]],Database!$A:$E,5)</f>
        <v>138</v>
      </c>
      <c r="D387" s="26">
        <f>(((Table3[[#This Row],[Core PCE]]-$B$496)/$B$496)*100)+100</f>
        <v>82.621935936638423</v>
      </c>
      <c r="E387" s="26">
        <f>(((Table3[[#This Row],[Core CPI]]-$C$496)/$C$496)*100)+100</f>
        <v>77.224398433128158</v>
      </c>
      <c r="F387" s="27">
        <v>5.2631578947368467E-2</v>
      </c>
      <c r="G387" s="27">
        <f>VLOOKUP(Table3[[#This Row],[Date]],'PCE Core'!A:D,4,)</f>
        <v>4.1828640055624124E-2</v>
      </c>
    </row>
    <row r="388" spans="1:7" x14ac:dyDescent="0.2">
      <c r="A388" s="38">
        <v>33208</v>
      </c>
      <c r="B388" s="28">
        <f>VLOOKUP(Table3[[#This Row],[Date]],'PCE Core'!$A:$E,2,)</f>
        <v>66.021000000000001</v>
      </c>
      <c r="C388" s="28">
        <f>VLOOKUP(Table3[[#This Row],[Date]],Database!$A:$E,5)</f>
        <v>138.6</v>
      </c>
      <c r="D388" s="26">
        <f>(((Table3[[#This Row],[Core PCE]]-$B$496)/$B$496)*100)+100</f>
        <v>82.737229936337656</v>
      </c>
      <c r="E388" s="26">
        <f>(((Table3[[#This Row],[Core CPI]]-$C$496)/$C$496)*100)+100</f>
        <v>77.560156687185227</v>
      </c>
      <c r="F388" s="27">
        <v>5.3191489361702128E-2</v>
      </c>
      <c r="G388" s="27">
        <f>VLOOKUP(Table3[[#This Row],[Date]],'PCE Core'!A:D,4,)</f>
        <v>4.0323343102959208E-2</v>
      </c>
    </row>
    <row r="389" spans="1:7" x14ac:dyDescent="0.2">
      <c r="A389" s="41">
        <v>33239</v>
      </c>
      <c r="B389" s="28">
        <f>VLOOKUP(Table3[[#This Row],[Date]],'PCE Core'!$A:$E,2,)</f>
        <v>66.349999999999994</v>
      </c>
      <c r="C389" s="28">
        <f>VLOOKUP(Table3[[#This Row],[Date]],Database!$A:$E,5)</f>
        <v>139.5</v>
      </c>
      <c r="D389" s="26">
        <f>(((Table3[[#This Row],[Core PCE]]-$B$496)/$B$496)*100)+100</f>
        <v>83.149531304827292</v>
      </c>
      <c r="E389" s="26">
        <f>(((Table3[[#This Row],[Core CPI]]-$C$496)/$C$496)*100)+100</f>
        <v>78.063794068270852</v>
      </c>
      <c r="F389" s="27">
        <v>5.6018168054504207E-2</v>
      </c>
      <c r="G389" s="27">
        <f>VLOOKUP(Table3[[#This Row],[Date]],'PCE Core'!A:D,4,)</f>
        <v>4.1503155118826976E-2</v>
      </c>
    </row>
    <row r="390" spans="1:7" x14ac:dyDescent="0.2">
      <c r="A390" s="38">
        <v>33270</v>
      </c>
      <c r="B390" s="28">
        <f>VLOOKUP(Table3[[#This Row],[Date]],'PCE Core'!$A:$E,2,)</f>
        <v>66.533000000000001</v>
      </c>
      <c r="C390" s="26">
        <f>VLOOKUP(Table3[[#This Row],[Date]],Database!$A:$E,5)</f>
        <v>140.19999999999999</v>
      </c>
      <c r="D390" s="26">
        <f>(((Table3[[#This Row],[Core PCE]]-$B$496)/$B$496)*100)+100</f>
        <v>83.378866108576858</v>
      </c>
      <c r="E390" s="26">
        <f>(((Table3[[#This Row],[Core CPI]]-$C$496)/$C$496)*100)+100</f>
        <v>78.455512031337435</v>
      </c>
      <c r="F390" s="27">
        <v>5.6518462697814617E-2</v>
      </c>
      <c r="G390" s="27">
        <f>VLOOKUP(Table3[[#This Row],[Date]],'PCE Core'!A:D,4,)</f>
        <v>3.9318295426143395E-2</v>
      </c>
    </row>
    <row r="391" spans="1:7" x14ac:dyDescent="0.2">
      <c r="A391" s="41">
        <v>33298</v>
      </c>
      <c r="B391" s="28">
        <f>VLOOKUP(Table3[[#This Row],[Date]],'PCE Core'!$A:$E,2,)</f>
        <v>66.671999999999997</v>
      </c>
      <c r="C391" s="28">
        <f>VLOOKUP(Table3[[#This Row],[Date]],Database!$A:$E,5)</f>
        <v>140.5</v>
      </c>
      <c r="D391" s="26">
        <f>(((Table3[[#This Row],[Core PCE]]-$B$496)/$B$496)*100)+100</f>
        <v>83.553060303774615</v>
      </c>
      <c r="E391" s="26">
        <f>(((Table3[[#This Row],[Core CPI]]-$C$496)/$C$496)*100)+100</f>
        <v>78.62339115836599</v>
      </c>
      <c r="F391" s="27">
        <v>5.2434456928838948E-2</v>
      </c>
      <c r="G391" s="27">
        <f>VLOOKUP(Table3[[#This Row],[Date]],'PCE Core'!A:D,4,)</f>
        <v>3.6518819084930799E-2</v>
      </c>
    </row>
    <row r="392" spans="1:7" x14ac:dyDescent="0.2">
      <c r="A392" s="38">
        <v>33329</v>
      </c>
      <c r="B392" s="28">
        <f>VLOOKUP(Table3[[#This Row],[Date]],'PCE Core'!$A:$E,2,)</f>
        <v>66.805000000000007</v>
      </c>
      <c r="C392" s="28">
        <f>VLOOKUP(Table3[[#This Row],[Date]],Database!$A:$E,5)</f>
        <v>140.9</v>
      </c>
      <c r="D392" s="26">
        <f>(((Table3[[#This Row],[Core PCE]]-$B$496)/$B$496)*100)+100</f>
        <v>83.719735325078958</v>
      </c>
      <c r="E392" s="26">
        <f>(((Table3[[#This Row],[Core CPI]]-$C$496)/$C$496)*100)+100</f>
        <v>78.847229994404032</v>
      </c>
      <c r="F392" s="27">
        <v>5.1492537313432868E-2</v>
      </c>
      <c r="G392" s="27">
        <f>VLOOKUP(Table3[[#This Row],[Date]],'PCE Core'!A:D,4,)</f>
        <v>3.5495621173370628E-2</v>
      </c>
    </row>
    <row r="393" spans="1:7" x14ac:dyDescent="0.2">
      <c r="A393" s="41">
        <v>33359</v>
      </c>
      <c r="B393" s="28">
        <f>VLOOKUP(Table3[[#This Row],[Date]],'PCE Core'!$A:$E,2,)</f>
        <v>67.072000000000003</v>
      </c>
      <c r="C393" s="26">
        <f>VLOOKUP(Table3[[#This Row],[Date]],Database!$A:$E,5)</f>
        <v>141.30000000000001</v>
      </c>
      <c r="D393" s="26">
        <f>(((Table3[[#This Row],[Core PCE]]-$B$496)/$B$496)*100)+100</f>
        <v>84.054338563336501</v>
      </c>
      <c r="E393" s="26">
        <f>(((Table3[[#This Row],[Core CPI]]-$C$496)/$C$496)*100)+100</f>
        <v>79.071068830442101</v>
      </c>
      <c r="F393" s="27">
        <v>5.1339285714285747E-2</v>
      </c>
      <c r="G393" s="27">
        <f>VLOOKUP(Table3[[#This Row],[Date]],'PCE Core'!A:D,4,)</f>
        <v>3.6469279268141912E-2</v>
      </c>
    </row>
    <row r="394" spans="1:7" x14ac:dyDescent="0.2">
      <c r="A394" s="38">
        <v>33390</v>
      </c>
      <c r="B394" s="28">
        <f>VLOOKUP(Table3[[#This Row],[Date]],'PCE Core'!$A:$E,2,)</f>
        <v>67.215999999999994</v>
      </c>
      <c r="C394" s="28">
        <f>VLOOKUP(Table3[[#This Row],[Date]],Database!$A:$E,5)</f>
        <v>141.80000000000001</v>
      </c>
      <c r="D394" s="26">
        <f>(((Table3[[#This Row],[Core PCE]]-$B$496)/$B$496)*100)+100</f>
        <v>84.234798736778771</v>
      </c>
      <c r="E394" s="26">
        <f>(((Table3[[#This Row],[Core CPI]]-$C$496)/$C$496)*100)+100</f>
        <v>79.350867375489656</v>
      </c>
      <c r="F394" s="27">
        <v>4.959289415247977E-2</v>
      </c>
      <c r="G394" s="27">
        <f>VLOOKUP(Table3[[#This Row],[Date]],'PCE Core'!A:D,4,)</f>
        <v>3.4681280113295264E-2</v>
      </c>
    </row>
    <row r="395" spans="1:7" x14ac:dyDescent="0.2">
      <c r="A395" s="41">
        <v>33420</v>
      </c>
      <c r="B395" s="28">
        <f>VLOOKUP(Table3[[#This Row],[Date]],'PCE Core'!$A:$E,2,)</f>
        <v>67.421000000000006</v>
      </c>
      <c r="C395" s="28">
        <f>VLOOKUP(Table3[[#This Row],[Date]],Database!$A:$E,5)</f>
        <v>142.30000000000001</v>
      </c>
      <c r="D395" s="26">
        <f>(((Table3[[#This Row],[Core PCE]]-$B$496)/$B$496)*100)+100</f>
        <v>84.491703844804249</v>
      </c>
      <c r="E395" s="26">
        <f>(((Table3[[#This Row],[Core CPI]]-$C$496)/$C$496)*100)+100</f>
        <v>79.630665920537226</v>
      </c>
      <c r="F395" s="27">
        <v>4.7864506627393222E-2</v>
      </c>
      <c r="G395" s="27">
        <f>VLOOKUP(Table3[[#This Row],[Date]],'PCE Core'!A:D,4,)</f>
        <v>3.5207591205011768E-2</v>
      </c>
    </row>
    <row r="396" spans="1:7" x14ac:dyDescent="0.2">
      <c r="A396" s="38">
        <v>33451</v>
      </c>
      <c r="B396" s="28">
        <f>VLOOKUP(Table3[[#This Row],[Date]],'PCE Core'!$A:$E,2,)</f>
        <v>67.605999999999995</v>
      </c>
      <c r="C396" s="26">
        <f>VLOOKUP(Table3[[#This Row],[Date]],Database!$A:$E,5)</f>
        <v>142.9</v>
      </c>
      <c r="D396" s="26">
        <f>(((Table3[[#This Row],[Core PCE]]-$B$496)/$B$496)*100)+100</f>
        <v>84.723545039851615</v>
      </c>
      <c r="E396" s="26">
        <f>(((Table3[[#This Row],[Core CPI]]-$C$496)/$C$496)*100)+100</f>
        <v>79.966424174594295</v>
      </c>
      <c r="F396" s="27">
        <v>4.6120058565153818E-2</v>
      </c>
      <c r="G396" s="27">
        <f>VLOOKUP(Table3[[#This Row],[Date]],'PCE Core'!A:D,4,)</f>
        <v>3.3762500382274664E-2</v>
      </c>
    </row>
    <row r="397" spans="1:7" x14ac:dyDescent="0.2">
      <c r="A397" s="41">
        <v>33482</v>
      </c>
      <c r="B397" s="28">
        <f>VLOOKUP(Table3[[#This Row],[Date]],'PCE Core'!$A:$E,2,)</f>
        <v>67.876999999999995</v>
      </c>
      <c r="C397" s="28">
        <f>VLOOKUP(Table3[[#This Row],[Date]],Database!$A:$E,5)</f>
        <v>143.4</v>
      </c>
      <c r="D397" s="26">
        <f>(((Table3[[#This Row],[Core PCE]]-$B$496)/$B$496)*100)+100</f>
        <v>85.063161060704786</v>
      </c>
      <c r="E397" s="26">
        <f>(((Table3[[#This Row],[Core CPI]]-$C$496)/$C$496)*100)+100</f>
        <v>80.246222719641864</v>
      </c>
      <c r="F397" s="27">
        <v>4.5951859956236407E-2</v>
      </c>
      <c r="G397" s="27">
        <f>VLOOKUP(Table3[[#This Row],[Date]],'PCE Core'!A:D,4,)</f>
        <v>3.4284669419598644E-2</v>
      </c>
    </row>
    <row r="398" spans="1:7" x14ac:dyDescent="0.2">
      <c r="A398" s="38">
        <v>33512</v>
      </c>
      <c r="B398" s="28">
        <f>VLOOKUP(Table3[[#This Row],[Date]],'PCE Core'!$A:$E,2,)</f>
        <v>68.025999999999996</v>
      </c>
      <c r="C398" s="28">
        <f>VLOOKUP(Table3[[#This Row],[Date]],Database!$A:$E,5)</f>
        <v>143.69999999999999</v>
      </c>
      <c r="D398" s="26">
        <f>(((Table3[[#This Row],[Core PCE]]-$B$496)/$B$496)*100)+100</f>
        <v>85.249887212391585</v>
      </c>
      <c r="E398" s="26">
        <f>(((Table3[[#This Row],[Core CPI]]-$C$496)/$C$496)*100)+100</f>
        <v>80.414101846670405</v>
      </c>
      <c r="F398" s="27">
        <v>4.433139534883717E-2</v>
      </c>
      <c r="G398" s="27">
        <f>VLOOKUP(Table3[[#This Row],[Date]],'PCE Core'!A:D,4,)</f>
        <v>3.3044798785117721E-2</v>
      </c>
    </row>
    <row r="399" spans="1:7" x14ac:dyDescent="0.2">
      <c r="A399" s="41">
        <v>33543</v>
      </c>
      <c r="B399" s="28">
        <f>VLOOKUP(Table3[[#This Row],[Date]],'PCE Core'!$A:$E,2,)</f>
        <v>68.153000000000006</v>
      </c>
      <c r="C399" s="26">
        <f>VLOOKUP(Table3[[#This Row],[Date]],Database!$A:$E,5)</f>
        <v>144.19999999999999</v>
      </c>
      <c r="D399" s="26">
        <f>(((Table3[[#This Row],[Core PCE]]-$B$496)/$B$496)*100)+100</f>
        <v>85.409043059802499</v>
      </c>
      <c r="E399" s="26">
        <f>(((Table3[[#This Row],[Core CPI]]-$C$496)/$C$496)*100)+100</f>
        <v>80.69390039171796</v>
      </c>
      <c r="F399" s="27">
        <v>4.4927536231883967E-2</v>
      </c>
      <c r="G399" s="27">
        <f>VLOOKUP(Table3[[#This Row],[Date]],'PCE Core'!A:D,4,)</f>
        <v>3.3733258505361886E-2</v>
      </c>
    </row>
    <row r="400" spans="1:7" x14ac:dyDescent="0.2">
      <c r="A400" s="38">
        <v>33573</v>
      </c>
      <c r="B400" s="28">
        <f>VLOOKUP(Table3[[#This Row],[Date]],'PCE Core'!$A:$E,2,)</f>
        <v>68.320999999999998</v>
      </c>
      <c r="C400" s="28">
        <f>VLOOKUP(Table3[[#This Row],[Date]],Database!$A:$E,5)</f>
        <v>144.69999999999999</v>
      </c>
      <c r="D400" s="26">
        <f>(((Table3[[#This Row],[Core PCE]]-$B$496)/$B$496)*100)+100</f>
        <v>85.619579928818482</v>
      </c>
      <c r="E400" s="26">
        <f>(((Table3[[#This Row],[Core CPI]]-$C$496)/$C$496)*100)+100</f>
        <v>80.97369893676553</v>
      </c>
      <c r="F400" s="27">
        <v>4.4011544011543967E-2</v>
      </c>
      <c r="G400" s="27">
        <f>VLOOKUP(Table3[[#This Row],[Date]],'PCE Core'!A:D,4,)</f>
        <v>3.4837400221141714E-2</v>
      </c>
    </row>
    <row r="401" spans="1:7" x14ac:dyDescent="0.2">
      <c r="A401" s="41">
        <v>33604</v>
      </c>
      <c r="B401" s="28">
        <f>VLOOKUP(Table3[[#This Row],[Date]],'PCE Core'!$A:$E,2,)</f>
        <v>68.507000000000005</v>
      </c>
      <c r="C401" s="28">
        <f>VLOOKUP(Table3[[#This Row],[Date]],Database!$A:$E,5)</f>
        <v>145.1</v>
      </c>
      <c r="D401" s="26">
        <f>(((Table3[[#This Row],[Core PCE]]-$B$496)/$B$496)*100)+100</f>
        <v>85.852674319514762</v>
      </c>
      <c r="E401" s="26">
        <f>(((Table3[[#This Row],[Core CPI]]-$C$496)/$C$496)*100)+100</f>
        <v>81.197537772803585</v>
      </c>
      <c r="F401" s="27">
        <v>4.0143369175627198E-2</v>
      </c>
      <c r="G401" s="27">
        <f>VLOOKUP(Table3[[#This Row],[Date]],'PCE Core'!A:D,4,)</f>
        <v>3.250941974378313E-2</v>
      </c>
    </row>
    <row r="402" spans="1:7" x14ac:dyDescent="0.2">
      <c r="A402" s="38">
        <v>33635</v>
      </c>
      <c r="B402" s="28">
        <f>VLOOKUP(Table3[[#This Row],[Date]],'PCE Core'!$A:$E,2,)</f>
        <v>68.692999999999998</v>
      </c>
      <c r="C402" s="26">
        <f>VLOOKUP(Table3[[#This Row],[Date]],Database!$A:$E,5)</f>
        <v>145.4</v>
      </c>
      <c r="D402" s="26">
        <f>(((Table3[[#This Row],[Core PCE]]-$B$496)/$B$496)*100)+100</f>
        <v>86.085768710211028</v>
      </c>
      <c r="E402" s="26">
        <f>(((Table3[[#This Row],[Core CPI]]-$C$496)/$C$496)*100)+100</f>
        <v>81.365416899832127</v>
      </c>
      <c r="F402" s="27">
        <v>3.7089871611983009E-2</v>
      </c>
      <c r="G402" s="27">
        <f>VLOOKUP(Table3[[#This Row],[Date]],'PCE Core'!A:D,4,)</f>
        <v>3.2465092510483469E-2</v>
      </c>
    </row>
    <row r="403" spans="1:7" x14ac:dyDescent="0.2">
      <c r="A403" s="41">
        <v>33664</v>
      </c>
      <c r="B403" s="28">
        <f>VLOOKUP(Table3[[#This Row],[Date]],'PCE Core'!$A:$E,2,)</f>
        <v>68.864999999999995</v>
      </c>
      <c r="C403" s="28">
        <f>VLOOKUP(Table3[[#This Row],[Date]],Database!$A:$E,5)</f>
        <v>145.9</v>
      </c>
      <c r="D403" s="26">
        <f>(((Table3[[#This Row],[Core PCE]]-$B$496)/$B$496)*100)+100</f>
        <v>86.301318361822638</v>
      </c>
      <c r="E403" s="26">
        <f>(((Table3[[#This Row],[Core CPI]]-$C$496)/$C$496)*100)+100</f>
        <v>81.645215444879696</v>
      </c>
      <c r="F403" s="27">
        <v>3.8434163701067663E-2</v>
      </c>
      <c r="G403" s="27">
        <f>VLOOKUP(Table3[[#This Row],[Date]],'PCE Core'!A:D,4,)</f>
        <v>3.2892368610511126E-2</v>
      </c>
    </row>
    <row r="404" spans="1:7" x14ac:dyDescent="0.2">
      <c r="A404" s="38">
        <v>33695</v>
      </c>
      <c r="B404" s="28">
        <f>VLOOKUP(Table3[[#This Row],[Date]],'PCE Core'!$A:$E,2,)</f>
        <v>69.090999999999994</v>
      </c>
      <c r="C404" s="28">
        <f>VLOOKUP(Table3[[#This Row],[Date]],Database!$A:$E,5)</f>
        <v>146.30000000000001</v>
      </c>
      <c r="D404" s="26">
        <f>(((Table3[[#This Row],[Core PCE]]-$B$496)/$B$496)*100)+100</f>
        <v>86.584540578475099</v>
      </c>
      <c r="E404" s="26">
        <f>(((Table3[[#This Row],[Core CPI]]-$C$496)/$C$496)*100)+100</f>
        <v>81.869054280917751</v>
      </c>
      <c r="F404" s="27">
        <v>3.8325053229240638E-2</v>
      </c>
      <c r="G404" s="27">
        <f>VLOOKUP(Table3[[#This Row],[Date]],'PCE Core'!A:D,4,)</f>
        <v>3.4218995584162665E-2</v>
      </c>
    </row>
    <row r="405" spans="1:7" x14ac:dyDescent="0.2">
      <c r="A405" s="41">
        <v>33725</v>
      </c>
      <c r="B405" s="28">
        <f>VLOOKUP(Table3[[#This Row],[Date]],'PCE Core'!$A:$E,2,)</f>
        <v>69.188000000000002</v>
      </c>
      <c r="C405" s="26">
        <f>VLOOKUP(Table3[[#This Row],[Date]],Database!$A:$E,5)</f>
        <v>146.80000000000001</v>
      </c>
      <c r="D405" s="26">
        <f>(((Table3[[#This Row],[Core PCE]]-$B$496)/$B$496)*100)+100</f>
        <v>86.70610055641886</v>
      </c>
      <c r="E405" s="26">
        <f>(((Table3[[#This Row],[Core CPI]]-$C$496)/$C$496)*100)+100</f>
        <v>82.148852825965321</v>
      </c>
      <c r="F405" s="27">
        <v>3.8924274593064398E-2</v>
      </c>
      <c r="G405" s="27">
        <f>VLOOKUP(Table3[[#This Row],[Date]],'PCE Core'!A:D,4,)</f>
        <v>3.1548187022900756E-2</v>
      </c>
    </row>
    <row r="406" spans="1:7" x14ac:dyDescent="0.2">
      <c r="A406" s="38">
        <v>33756</v>
      </c>
      <c r="B406" s="28">
        <f>VLOOKUP(Table3[[#This Row],[Date]],'PCE Core'!$A:$E,2,)</f>
        <v>69.242000000000004</v>
      </c>
      <c r="C406" s="28">
        <f>VLOOKUP(Table3[[#This Row],[Date]],Database!$A:$E,5)</f>
        <v>147.1</v>
      </c>
      <c r="D406" s="26">
        <f>(((Table3[[#This Row],[Core PCE]]-$B$496)/$B$496)*100)+100</f>
        <v>86.773773121459726</v>
      </c>
      <c r="E406" s="26">
        <f>(((Table3[[#This Row],[Core CPI]]-$C$496)/$C$496)*100)+100</f>
        <v>82.316731952993848</v>
      </c>
      <c r="F406" s="27">
        <v>3.7376586741889872E-2</v>
      </c>
      <c r="G406" s="27">
        <f>VLOOKUP(Table3[[#This Row],[Date]],'PCE Core'!A:D,4,)</f>
        <v>3.0141632944537172E-2</v>
      </c>
    </row>
    <row r="407" spans="1:7" x14ac:dyDescent="0.2">
      <c r="A407" s="41">
        <v>33786</v>
      </c>
      <c r="B407" s="28">
        <f>VLOOKUP(Table3[[#This Row],[Date]],'PCE Core'!$A:$E,2,)</f>
        <v>69.503</v>
      </c>
      <c r="C407" s="28">
        <f>VLOOKUP(Table3[[#This Row],[Date]],Database!$A:$E,5)</f>
        <v>147.6</v>
      </c>
      <c r="D407" s="26">
        <f>(((Table3[[#This Row],[Core PCE]]-$B$496)/$B$496)*100)+100</f>
        <v>87.100857185823841</v>
      </c>
      <c r="E407" s="26">
        <f>(((Table3[[#This Row],[Core CPI]]-$C$496)/$C$496)*100)+100</f>
        <v>82.596530498041417</v>
      </c>
      <c r="F407" s="27">
        <v>3.7245256500351251E-2</v>
      </c>
      <c r="G407" s="27">
        <f>VLOOKUP(Table3[[#This Row],[Date]],'PCE Core'!A:D,4,)</f>
        <v>3.0880586167514476E-2</v>
      </c>
    </row>
    <row r="408" spans="1:7" x14ac:dyDescent="0.2">
      <c r="A408" s="38">
        <v>33817</v>
      </c>
      <c r="B408" s="28">
        <f>VLOOKUP(Table3[[#This Row],[Date]],'PCE Core'!$A:$E,2,)</f>
        <v>69.566999999999993</v>
      </c>
      <c r="C408" s="26">
        <f>VLOOKUP(Table3[[#This Row],[Date]],Database!$A:$E,5)</f>
        <v>147.9</v>
      </c>
      <c r="D408" s="26">
        <f>(((Table3[[#This Row],[Core PCE]]-$B$496)/$B$496)*100)+100</f>
        <v>87.181061707353734</v>
      </c>
      <c r="E408" s="26">
        <f>(((Table3[[#This Row],[Core CPI]]-$C$496)/$C$496)*100)+100</f>
        <v>82.764409625069959</v>
      </c>
      <c r="F408" s="27">
        <v>3.498950314905528E-2</v>
      </c>
      <c r="G408" s="27">
        <f>VLOOKUP(Table3[[#This Row],[Date]],'PCE Core'!A:D,4,)</f>
        <v>2.9006301215868394E-2</v>
      </c>
    </row>
    <row r="409" spans="1:7" x14ac:dyDescent="0.2">
      <c r="A409" s="41">
        <v>33848</v>
      </c>
      <c r="B409" s="28">
        <f>VLOOKUP(Table3[[#This Row],[Date]],'PCE Core'!$A:$E,2,)</f>
        <v>69.680000000000007</v>
      </c>
      <c r="C409" s="28">
        <f>VLOOKUP(Table3[[#This Row],[Date]],Database!$A:$E,5)</f>
        <v>148.1</v>
      </c>
      <c r="D409" s="26">
        <f>(((Table3[[#This Row],[Core PCE]]-$B$496)/$B$496)*100)+100</f>
        <v>87.322672815679994</v>
      </c>
      <c r="E409" s="26">
        <f>(((Table3[[#This Row],[Core CPI]]-$C$496)/$C$496)*100)+100</f>
        <v>82.876329043088987</v>
      </c>
      <c r="F409" s="27">
        <v>3.2775453277545247E-2</v>
      </c>
      <c r="G409" s="27">
        <f>VLOOKUP(Table3[[#This Row],[Date]],'PCE Core'!A:D,4,)</f>
        <v>2.6562753215375039E-2</v>
      </c>
    </row>
    <row r="410" spans="1:7" x14ac:dyDescent="0.2">
      <c r="A410" s="38">
        <v>33878</v>
      </c>
      <c r="B410" s="28">
        <f>VLOOKUP(Table3[[#This Row],[Date]],'PCE Core'!$A:$E,2,)</f>
        <v>69.947999999999993</v>
      </c>
      <c r="C410" s="28">
        <f>VLOOKUP(Table3[[#This Row],[Date]],Database!$A:$E,5)</f>
        <v>148.80000000000001</v>
      </c>
      <c r="D410" s="26">
        <f>(((Table3[[#This Row],[Core PCE]]-$B$496)/$B$496)*100)+100</f>
        <v>87.658529249586422</v>
      </c>
      <c r="E410" s="26">
        <f>(((Table3[[#This Row],[Core CPI]]-$C$496)/$C$496)*100)+100</f>
        <v>83.268047006155584</v>
      </c>
      <c r="F410" s="27">
        <v>3.5490605427975108E-2</v>
      </c>
      <c r="G410" s="27">
        <f>VLOOKUP(Table3[[#This Row],[Date]],'PCE Core'!A:D,4,)</f>
        <v>2.8253902919471923E-2</v>
      </c>
    </row>
    <row r="411" spans="1:7" x14ac:dyDescent="0.2">
      <c r="A411" s="41">
        <v>33909</v>
      </c>
      <c r="B411" s="28">
        <f>VLOOKUP(Table3[[#This Row],[Date]],'PCE Core'!$A:$E,2,)</f>
        <v>70.100999999999999</v>
      </c>
      <c r="C411" s="26">
        <f>VLOOKUP(Table3[[#This Row],[Date]],Database!$A:$E,5)</f>
        <v>149.19999999999999</v>
      </c>
      <c r="D411" s="26">
        <f>(((Table3[[#This Row],[Core PCE]]-$B$496)/$B$496)*100)+100</f>
        <v>87.850268183868863</v>
      </c>
      <c r="E411" s="26">
        <f>(((Table3[[#This Row],[Core CPI]]-$C$496)/$C$496)*100)+100</f>
        <v>83.491885842193625</v>
      </c>
      <c r="F411" s="27">
        <v>3.4674063800277398E-2</v>
      </c>
      <c r="G411" s="27">
        <f>VLOOKUP(Table3[[#This Row],[Date]],'PCE Core'!A:D,4,)</f>
        <v>2.8582747641336306E-2</v>
      </c>
    </row>
    <row r="412" spans="1:7" x14ac:dyDescent="0.2">
      <c r="A412" s="38">
        <v>33939</v>
      </c>
      <c r="B412" s="28">
        <f>VLOOKUP(Table3[[#This Row],[Date]],'PCE Core'!$A:$E,2,)</f>
        <v>70.230999999999995</v>
      </c>
      <c r="C412" s="28">
        <f>VLOOKUP(Table3[[#This Row],[Date]],Database!$A:$E,5)</f>
        <v>149.6</v>
      </c>
      <c r="D412" s="26">
        <f>(((Table3[[#This Row],[Core PCE]]-$B$496)/$B$496)*100)+100</f>
        <v>88.013183618226464</v>
      </c>
      <c r="E412" s="26">
        <f>(((Table3[[#This Row],[Core CPI]]-$C$496)/$C$496)*100)+100</f>
        <v>83.71572467823168</v>
      </c>
      <c r="F412" s="27">
        <v>3.3863165169315868E-2</v>
      </c>
      <c r="G412" s="27">
        <f>VLOOKUP(Table3[[#This Row],[Date]],'PCE Core'!A:D,4,)</f>
        <v>2.7956265277147535E-2</v>
      </c>
    </row>
    <row r="413" spans="1:7" x14ac:dyDescent="0.2">
      <c r="A413" s="41">
        <v>33970</v>
      </c>
      <c r="B413" s="28">
        <f>VLOOKUP(Table3[[#This Row],[Date]],'PCE Core'!$A:$E,2,)</f>
        <v>70.435000000000002</v>
      </c>
      <c r="C413" s="28">
        <f>VLOOKUP(Table3[[#This Row],[Date]],Database!$A:$E,5)</f>
        <v>150.1</v>
      </c>
      <c r="D413" s="26">
        <f>(((Table3[[#This Row],[Core PCE]]-$B$496)/$B$496)*100)+100</f>
        <v>88.268835530603027</v>
      </c>
      <c r="E413" s="26">
        <f>(((Table3[[#This Row],[Core CPI]]-$C$496)/$C$496)*100)+100</f>
        <v>83.995523223279235</v>
      </c>
      <c r="F413" s="27">
        <v>3.445899379738112E-2</v>
      </c>
      <c r="G413" s="27">
        <f>VLOOKUP(Table3[[#This Row],[Date]],'PCE Core'!A:D,4,)</f>
        <v>2.8143109463266487E-2</v>
      </c>
    </row>
    <row r="414" spans="1:7" x14ac:dyDescent="0.2">
      <c r="A414" s="38">
        <v>34001</v>
      </c>
      <c r="B414" s="28">
        <f>VLOOKUP(Table3[[#This Row],[Date]],'PCE Core'!$A:$E,2,)</f>
        <v>70.569999999999993</v>
      </c>
      <c r="C414" s="26">
        <f>VLOOKUP(Table3[[#This Row],[Date]],Database!$A:$E,5)</f>
        <v>150.6</v>
      </c>
      <c r="D414" s="26">
        <f>(((Table3[[#This Row],[Core PCE]]-$B$496)/$B$496)*100)+100</f>
        <v>88.438016943205156</v>
      </c>
      <c r="E414" s="26">
        <f>(((Table3[[#This Row],[Core CPI]]-$C$496)/$C$496)*100)+100</f>
        <v>84.275321768326805</v>
      </c>
      <c r="F414" s="27">
        <v>3.5763411279229627E-2</v>
      </c>
      <c r="G414" s="27">
        <f>VLOOKUP(Table3[[#This Row],[Date]],'PCE Core'!A:D,4,)</f>
        <v>2.7324472653690993E-2</v>
      </c>
    </row>
    <row r="415" spans="1:7" x14ac:dyDescent="0.2">
      <c r="A415" s="41">
        <v>34029</v>
      </c>
      <c r="B415" s="28">
        <f>VLOOKUP(Table3[[#This Row],[Date]],'PCE Core'!$A:$E,2,)</f>
        <v>70.722999999999999</v>
      </c>
      <c r="C415" s="28">
        <f>VLOOKUP(Table3[[#This Row],[Date]],Database!$A:$E,5)</f>
        <v>150.80000000000001</v>
      </c>
      <c r="D415" s="26">
        <f>(((Table3[[#This Row],[Core PCE]]-$B$496)/$B$496)*100)+100</f>
        <v>88.629755877487582</v>
      </c>
      <c r="E415" s="26">
        <f>(((Table3[[#This Row],[Core CPI]]-$C$496)/$C$496)*100)+100</f>
        <v>84.387241186345847</v>
      </c>
      <c r="F415" s="27">
        <v>3.3584647018505873E-2</v>
      </c>
      <c r="G415" s="27">
        <f>VLOOKUP(Table3[[#This Row],[Date]],'PCE Core'!A:D,4,)</f>
        <v>2.6980323821970582E-2</v>
      </c>
    </row>
    <row r="416" spans="1:7" x14ac:dyDescent="0.2">
      <c r="A416" s="38">
        <v>34060</v>
      </c>
      <c r="B416" s="28">
        <f>VLOOKUP(Table3[[#This Row],[Date]],'PCE Core'!$A:$E,2,)</f>
        <v>70.929000000000002</v>
      </c>
      <c r="C416" s="28">
        <f>VLOOKUP(Table3[[#This Row],[Date]],Database!$A:$E,5)</f>
        <v>151.4</v>
      </c>
      <c r="D416" s="26">
        <f>(((Table3[[#This Row],[Core PCE]]-$B$496)/$B$496)*100)+100</f>
        <v>88.88791418116196</v>
      </c>
      <c r="E416" s="26">
        <f>(((Table3[[#This Row],[Core CPI]]-$C$496)/$C$496)*100)+100</f>
        <v>84.722999440402916</v>
      </c>
      <c r="F416" s="27">
        <v>3.4859876965140077E-2</v>
      </c>
      <c r="G416" s="27">
        <f>VLOOKUP(Table3[[#This Row],[Date]],'PCE Core'!A:D,4,)</f>
        <v>2.6602596575530942E-2</v>
      </c>
    </row>
    <row r="417" spans="1:7" x14ac:dyDescent="0.2">
      <c r="A417" s="41">
        <v>34090</v>
      </c>
      <c r="B417" s="28">
        <f>VLOOKUP(Table3[[#This Row],[Date]],'PCE Core'!$A:$E,2,)</f>
        <v>71.168999999999997</v>
      </c>
      <c r="C417" s="26">
        <f>VLOOKUP(Table3[[#This Row],[Date]],Database!$A:$E,5)</f>
        <v>151.80000000000001</v>
      </c>
      <c r="D417" s="26">
        <f>(((Table3[[#This Row],[Core PCE]]-$B$496)/$B$496)*100)+100</f>
        <v>89.188681136899078</v>
      </c>
      <c r="E417" s="26">
        <f>(((Table3[[#This Row],[Core CPI]]-$C$496)/$C$496)*100)+100</f>
        <v>84.946838276440971</v>
      </c>
      <c r="F417" s="27">
        <v>3.405994550408719E-2</v>
      </c>
      <c r="G417" s="27">
        <f>VLOOKUP(Table3[[#This Row],[Date]],'PCE Core'!A:D,4,)</f>
        <v>2.8632132739781387E-2</v>
      </c>
    </row>
    <row r="418" spans="1:7" x14ac:dyDescent="0.2">
      <c r="A418" s="38">
        <v>34121</v>
      </c>
      <c r="B418" s="28">
        <f>VLOOKUP(Table3[[#This Row],[Date]],'PCE Core'!$A:$E,2,)</f>
        <v>71.236999999999995</v>
      </c>
      <c r="C418" s="28">
        <f>VLOOKUP(Table3[[#This Row],[Date]],Database!$A:$E,5)</f>
        <v>152.1</v>
      </c>
      <c r="D418" s="26">
        <f>(((Table3[[#This Row],[Core PCE]]-$B$496)/$B$496)*100)+100</f>
        <v>89.273898441024599</v>
      </c>
      <c r="E418" s="26">
        <f>(((Table3[[#This Row],[Core CPI]]-$C$496)/$C$496)*100)+100</f>
        <v>85.114717403469498</v>
      </c>
      <c r="F418" s="27">
        <v>3.3990482664853841E-2</v>
      </c>
      <c r="G418" s="27">
        <f>VLOOKUP(Table3[[#This Row],[Date]],'PCE Core'!A:D,4,)</f>
        <v>2.8811992721180645E-2</v>
      </c>
    </row>
    <row r="419" spans="1:7" x14ac:dyDescent="0.2">
      <c r="A419" s="41">
        <v>34151</v>
      </c>
      <c r="B419" s="28">
        <f>VLOOKUP(Table3[[#This Row],[Date]],'PCE Core'!$A:$E,2,)</f>
        <v>71.385000000000005</v>
      </c>
      <c r="C419" s="28">
        <f>VLOOKUP(Table3[[#This Row],[Date]],Database!$A:$E,5)</f>
        <v>152.30000000000001</v>
      </c>
      <c r="D419" s="26">
        <f>(((Table3[[#This Row],[Core PCE]]-$B$496)/$B$496)*100)+100</f>
        <v>89.459371397062512</v>
      </c>
      <c r="E419" s="26">
        <f>(((Table3[[#This Row],[Core CPI]]-$C$496)/$C$496)*100)+100</f>
        <v>85.22663682148854</v>
      </c>
      <c r="F419" s="27">
        <v>3.18428184281844E-2</v>
      </c>
      <c r="G419" s="27">
        <f>VLOOKUP(Table3[[#This Row],[Date]],'PCE Core'!A:D,4,)</f>
        <v>2.7077967857502626E-2</v>
      </c>
    </row>
    <row r="420" spans="1:7" x14ac:dyDescent="0.2">
      <c r="A420" s="38">
        <v>34182</v>
      </c>
      <c r="B420" s="28">
        <f>VLOOKUP(Table3[[#This Row],[Date]],'PCE Core'!$A:$E,2,)</f>
        <v>71.518000000000001</v>
      </c>
      <c r="C420" s="26">
        <f>VLOOKUP(Table3[[#This Row],[Date]],Database!$A:$E,5)</f>
        <v>152.80000000000001</v>
      </c>
      <c r="D420" s="26">
        <f>(((Table3[[#This Row],[Core PCE]]-$B$496)/$B$496)*100)+100</f>
        <v>89.626046418366826</v>
      </c>
      <c r="E420" s="26">
        <f>(((Table3[[#This Row],[Core CPI]]-$C$496)/$C$496)*100)+100</f>
        <v>85.50643536653611</v>
      </c>
      <c r="F420" s="27">
        <v>3.3130493576741082E-2</v>
      </c>
      <c r="G420" s="27">
        <f>VLOOKUP(Table3[[#This Row],[Date]],'PCE Core'!A:D,4,)</f>
        <v>2.8044906349274912E-2</v>
      </c>
    </row>
    <row r="421" spans="1:7" x14ac:dyDescent="0.2">
      <c r="A421" s="41">
        <v>34213</v>
      </c>
      <c r="B421" s="28">
        <f>VLOOKUP(Table3[[#This Row],[Date]],'PCE Core'!$A:$E,2,)</f>
        <v>71.625</v>
      </c>
      <c r="C421" s="28">
        <f>VLOOKUP(Table3[[#This Row],[Date]],Database!$A:$E,5)</f>
        <v>152.9</v>
      </c>
      <c r="D421" s="26">
        <f>(((Table3[[#This Row],[Core PCE]]-$B$496)/$B$496)*100)+100</f>
        <v>89.760138352799629</v>
      </c>
      <c r="E421" s="26">
        <f>(((Table3[[#This Row],[Core CPI]]-$C$496)/$C$496)*100)+100</f>
        <v>85.562395075545624</v>
      </c>
      <c r="F421" s="27">
        <v>3.241053342336267E-2</v>
      </c>
      <c r="G421" s="27">
        <f>VLOOKUP(Table3[[#This Row],[Date]],'PCE Core'!A:D,4,)</f>
        <v>2.7913318025258222E-2</v>
      </c>
    </row>
    <row r="422" spans="1:7" x14ac:dyDescent="0.2">
      <c r="A422" s="38">
        <v>34243</v>
      </c>
      <c r="B422" s="28">
        <f>VLOOKUP(Table3[[#This Row],[Date]],'PCE Core'!$A:$E,2,)</f>
        <v>71.744</v>
      </c>
      <c r="C422" s="28">
        <f>VLOOKUP(Table3[[#This Row],[Date]],Database!$A:$E,5)</f>
        <v>153.4</v>
      </c>
      <c r="D422" s="26">
        <f>(((Table3[[#This Row],[Core PCE]]-$B$496)/$B$496)*100)+100</f>
        <v>89.909268635019288</v>
      </c>
      <c r="E422" s="26">
        <f>(((Table3[[#This Row],[Core CPI]]-$C$496)/$C$496)*100)+100</f>
        <v>85.842193620593179</v>
      </c>
      <c r="F422" s="27">
        <v>3.0913978494623611E-2</v>
      </c>
      <c r="G422" s="27">
        <f>VLOOKUP(Table3[[#This Row],[Date]],'PCE Core'!A:D,4,)</f>
        <v>2.5676216618059224E-2</v>
      </c>
    </row>
    <row r="423" spans="1:7" x14ac:dyDescent="0.2">
      <c r="A423" s="41">
        <v>34274</v>
      </c>
      <c r="B423" s="28">
        <f>VLOOKUP(Table3[[#This Row],[Date]],'PCE Core'!$A:$E,2,)</f>
        <v>71.927999999999997</v>
      </c>
      <c r="C423" s="26">
        <f>VLOOKUP(Table3[[#This Row],[Date]],Database!$A:$E,5)</f>
        <v>153.9</v>
      </c>
      <c r="D423" s="26">
        <f>(((Table3[[#This Row],[Core PCE]]-$B$496)/$B$496)*100)+100</f>
        <v>90.139856634417754</v>
      </c>
      <c r="E423" s="26">
        <f>(((Table3[[#This Row],[Core CPI]]-$C$496)/$C$496)*100)+100</f>
        <v>86.121992165640748</v>
      </c>
      <c r="F423" s="27">
        <v>3.1501340482573838E-2</v>
      </c>
      <c r="G423" s="27">
        <f>VLOOKUP(Table3[[#This Row],[Date]],'PCE Core'!A:D,4,)</f>
        <v>2.6062395686224135E-2</v>
      </c>
    </row>
    <row r="424" spans="1:7" x14ac:dyDescent="0.2">
      <c r="A424" s="38">
        <v>34304</v>
      </c>
      <c r="B424" s="28">
        <f>VLOOKUP(Table3[[#This Row],[Date]],'PCE Core'!$A:$E,2,)</f>
        <v>71.959999999999994</v>
      </c>
      <c r="C424" s="28">
        <f>VLOOKUP(Table3[[#This Row],[Date]],Database!$A:$E,5)</f>
        <v>154.30000000000001</v>
      </c>
      <c r="D424" s="26">
        <f>(((Table3[[#This Row],[Core PCE]]-$B$496)/$B$496)*100)+100</f>
        <v>90.179958895182693</v>
      </c>
      <c r="E424" s="26">
        <f>(((Table3[[#This Row],[Core CPI]]-$C$496)/$C$496)*100)+100</f>
        <v>86.345831001678803</v>
      </c>
      <c r="F424" s="27">
        <v>3.1417112299465359E-2</v>
      </c>
      <c r="G424" s="27">
        <f>VLOOKUP(Table3[[#This Row],[Date]],'PCE Core'!A:D,4,)</f>
        <v>2.461875809827568E-2</v>
      </c>
    </row>
    <row r="425" spans="1:7" x14ac:dyDescent="0.2">
      <c r="A425" s="41">
        <v>34335</v>
      </c>
      <c r="B425" s="28">
        <f>VLOOKUP(Table3[[#This Row],[Date]],'PCE Core'!$A:$E,2,)</f>
        <v>72.018000000000001</v>
      </c>
      <c r="C425" s="28">
        <f>VLOOKUP(Table3[[#This Row],[Date]],Database!$A:$E,5)</f>
        <v>154.5</v>
      </c>
      <c r="D425" s="26">
        <f>(((Table3[[#This Row],[Core PCE]]-$B$496)/$B$496)*100)+100</f>
        <v>90.252644242819187</v>
      </c>
      <c r="E425" s="26">
        <f>(((Table3[[#This Row],[Core CPI]]-$C$496)/$C$496)*100)+100</f>
        <v>86.457750419697817</v>
      </c>
      <c r="F425" s="27">
        <v>2.9313790806129291E-2</v>
      </c>
      <c r="G425" s="27">
        <f>VLOOKUP(Table3[[#This Row],[Date]],'PCE Core'!A:D,4,)</f>
        <v>2.2474621991907411E-2</v>
      </c>
    </row>
    <row r="426" spans="1:7" x14ac:dyDescent="0.2">
      <c r="A426" s="38">
        <v>34366</v>
      </c>
      <c r="B426" s="28">
        <f>VLOOKUP(Table3[[#This Row],[Date]],'PCE Core'!$A:$E,2,)</f>
        <v>72.173000000000002</v>
      </c>
      <c r="C426" s="26">
        <f>VLOOKUP(Table3[[#This Row],[Date]],Database!$A:$E,5)</f>
        <v>154.80000000000001</v>
      </c>
      <c r="D426" s="26">
        <f>(((Table3[[#This Row],[Core PCE]]-$B$496)/$B$496)*100)+100</f>
        <v>90.446889568399413</v>
      </c>
      <c r="E426" s="26">
        <f>(((Table3[[#This Row],[Core CPI]]-$C$496)/$C$496)*100)+100</f>
        <v>86.625629546726373</v>
      </c>
      <c r="F426" s="27">
        <v>2.788844621513956E-2</v>
      </c>
      <c r="G426" s="27">
        <f>VLOOKUP(Table3[[#This Row],[Date]],'PCE Core'!A:D,4,)</f>
        <v>2.2715034717302095E-2</v>
      </c>
    </row>
    <row r="427" spans="1:7" x14ac:dyDescent="0.2">
      <c r="A427" s="41">
        <v>34394</v>
      </c>
      <c r="B427" s="28">
        <f>VLOOKUP(Table3[[#This Row],[Date]],'PCE Core'!$A:$E,2,)</f>
        <v>72.42</v>
      </c>
      <c r="C427" s="28">
        <f>VLOOKUP(Table3[[#This Row],[Date]],Database!$A:$E,5)</f>
        <v>155.30000000000001</v>
      </c>
      <c r="D427" s="26">
        <f>(((Table3[[#This Row],[Core PCE]]-$B$496)/$B$496)*100)+100</f>
        <v>90.756428893678873</v>
      </c>
      <c r="E427" s="26">
        <f>(((Table3[[#This Row],[Core CPI]]-$C$496)/$C$496)*100)+100</f>
        <v>86.905428091773928</v>
      </c>
      <c r="F427" s="27">
        <v>2.984084880636605E-2</v>
      </c>
      <c r="G427" s="27">
        <f>VLOOKUP(Table3[[#This Row],[Date]],'PCE Core'!A:D,4,)</f>
        <v>2.3995022835569799E-2</v>
      </c>
    </row>
    <row r="428" spans="1:7" x14ac:dyDescent="0.2">
      <c r="A428" s="38">
        <v>34425</v>
      </c>
      <c r="B428" s="28">
        <f>VLOOKUP(Table3[[#This Row],[Date]],'PCE Core'!$A:$E,2,)</f>
        <v>72.528000000000006</v>
      </c>
      <c r="C428" s="28">
        <f>VLOOKUP(Table3[[#This Row],[Date]],Database!$A:$E,5)</f>
        <v>155.5</v>
      </c>
      <c r="D428" s="26">
        <f>(((Table3[[#This Row],[Core PCE]]-$B$496)/$B$496)*100)+100</f>
        <v>90.89177402376059</v>
      </c>
      <c r="E428" s="26">
        <f>(((Table3[[#This Row],[Core CPI]]-$C$496)/$C$496)*100)+100</f>
        <v>87.017347509792955</v>
      </c>
      <c r="F428" s="27">
        <v>2.708058124174369E-2</v>
      </c>
      <c r="G428" s="27">
        <f>VLOOKUP(Table3[[#This Row],[Date]],'PCE Core'!A:D,4,)</f>
        <v>2.2543670430994426E-2</v>
      </c>
    </row>
    <row r="429" spans="1:7" x14ac:dyDescent="0.2">
      <c r="A429" s="41">
        <v>34455</v>
      </c>
      <c r="B429" s="28">
        <f>VLOOKUP(Table3[[#This Row],[Date]],'PCE Core'!$A:$E,2,)</f>
        <v>72.69</v>
      </c>
      <c r="C429" s="26">
        <f>VLOOKUP(Table3[[#This Row],[Date]],Database!$A:$E,5)</f>
        <v>155.9</v>
      </c>
      <c r="D429" s="26">
        <f>(((Table3[[#This Row],[Core PCE]]-$B$496)/$B$496)*100)+100</f>
        <v>91.094791718883144</v>
      </c>
      <c r="E429" s="26">
        <f>(((Table3[[#This Row],[Core CPI]]-$C$496)/$C$496)*100)+100</f>
        <v>87.241186345831011</v>
      </c>
      <c r="F429" s="27">
        <v>2.7009222661396531E-2</v>
      </c>
      <c r="G429" s="27">
        <f>VLOOKUP(Table3[[#This Row],[Date]],'PCE Core'!A:D,4,)</f>
        <v>2.1371664629262752E-2</v>
      </c>
    </row>
    <row r="430" spans="1:7" x14ac:dyDescent="0.2">
      <c r="A430" s="38">
        <v>34486</v>
      </c>
      <c r="B430" s="28">
        <f>VLOOKUP(Table3[[#This Row],[Date]],'PCE Core'!$A:$E,2,)</f>
        <v>72.850999999999999</v>
      </c>
      <c r="C430" s="28">
        <f>VLOOKUP(Table3[[#This Row],[Date]],Database!$A:$E,5)</f>
        <v>156.4</v>
      </c>
      <c r="D430" s="26">
        <f>(((Table3[[#This Row],[Core PCE]]-$B$496)/$B$496)*100)+100</f>
        <v>91.296556218356798</v>
      </c>
      <c r="E430" s="26">
        <f>(((Table3[[#This Row],[Core CPI]]-$C$496)/$C$496)*100)+100</f>
        <v>87.52098489087858</v>
      </c>
      <c r="F430" s="27">
        <v>2.8270874424720659E-2</v>
      </c>
      <c r="G430" s="27">
        <f>VLOOKUP(Table3[[#This Row],[Date]],'PCE Core'!A:D,4,)</f>
        <v>2.2656765444923347E-2</v>
      </c>
    </row>
    <row r="431" spans="1:7" x14ac:dyDescent="0.2">
      <c r="A431" s="41">
        <v>34516</v>
      </c>
      <c r="B431" s="28">
        <f>VLOOKUP(Table3[[#This Row],[Date]],'PCE Core'!$A:$E,2,)</f>
        <v>73.004000000000005</v>
      </c>
      <c r="C431" s="28">
        <f>VLOOKUP(Table3[[#This Row],[Date]],Database!$A:$E,5)</f>
        <v>156.69999999999999</v>
      </c>
      <c r="D431" s="26">
        <f>(((Table3[[#This Row],[Core PCE]]-$B$496)/$B$496)*100)+100</f>
        <v>91.488295152639225</v>
      </c>
      <c r="E431" s="26">
        <f>(((Table3[[#This Row],[Core CPI]]-$C$496)/$C$496)*100)+100</f>
        <v>87.688864017907107</v>
      </c>
      <c r="F431" s="27">
        <v>2.8890347997373451E-2</v>
      </c>
      <c r="G431" s="27">
        <f>VLOOKUP(Table3[[#This Row],[Date]],'PCE Core'!A:D,4,)</f>
        <v>2.2679834699166488E-2</v>
      </c>
    </row>
    <row r="432" spans="1:7" x14ac:dyDescent="0.2">
      <c r="A432" s="38">
        <v>34547</v>
      </c>
      <c r="B432" s="28">
        <f>VLOOKUP(Table3[[#This Row],[Date]],'PCE Core'!$A:$E,2,)</f>
        <v>73.085999999999999</v>
      </c>
      <c r="C432" s="26">
        <f>VLOOKUP(Table3[[#This Row],[Date]],Database!$A:$E,5)</f>
        <v>157.1</v>
      </c>
      <c r="D432" s="26">
        <f>(((Table3[[#This Row],[Core PCE]]-$B$496)/$B$496)*100)+100</f>
        <v>91.591057195849402</v>
      </c>
      <c r="E432" s="26">
        <f>(((Table3[[#This Row],[Core CPI]]-$C$496)/$C$496)*100)+100</f>
        <v>87.912702853945163</v>
      </c>
      <c r="F432" s="27">
        <v>2.814136125654439E-2</v>
      </c>
      <c r="G432" s="27">
        <f>VLOOKUP(Table3[[#This Row],[Date]],'PCE Core'!A:D,4,)</f>
        <v>2.1924550462820519E-2</v>
      </c>
    </row>
    <row r="433" spans="1:7" x14ac:dyDescent="0.2">
      <c r="A433" s="41">
        <v>34578</v>
      </c>
      <c r="B433" s="28">
        <f>VLOOKUP(Table3[[#This Row],[Date]],'PCE Core'!$A:$E,2,)</f>
        <v>73.197000000000003</v>
      </c>
      <c r="C433" s="28">
        <f>VLOOKUP(Table3[[#This Row],[Date]],Database!$A:$E,5)</f>
        <v>157.5</v>
      </c>
      <c r="D433" s="26">
        <f>(((Table3[[#This Row],[Core PCE]]-$B$496)/$B$496)*100)+100</f>
        <v>91.730161912877833</v>
      </c>
      <c r="E433" s="26">
        <f>(((Table3[[#This Row],[Core CPI]]-$C$496)/$C$496)*100)+100</f>
        <v>88.136541689983218</v>
      </c>
      <c r="F433" s="27">
        <v>3.0085022890778249E-2</v>
      </c>
      <c r="G433" s="27">
        <f>VLOOKUP(Table3[[#This Row],[Date]],'PCE Core'!A:D,4,)</f>
        <v>2.1947643979057629E-2</v>
      </c>
    </row>
    <row r="434" spans="1:7" x14ac:dyDescent="0.2">
      <c r="A434" s="38">
        <v>34608</v>
      </c>
      <c r="B434" s="28">
        <f>VLOOKUP(Table3[[#This Row],[Date]],'PCE Core'!$A:$E,2,)</f>
        <v>73.369</v>
      </c>
      <c r="C434" s="28">
        <f>VLOOKUP(Table3[[#This Row],[Date]],Database!$A:$E,5)</f>
        <v>157.80000000000001</v>
      </c>
      <c r="D434" s="26">
        <f>(((Table3[[#This Row],[Core PCE]]-$B$496)/$B$496)*100)+100</f>
        <v>91.945711564489443</v>
      </c>
      <c r="E434" s="26">
        <f>(((Table3[[#This Row],[Core CPI]]-$C$496)/$C$496)*100)+100</f>
        <v>88.30442081701176</v>
      </c>
      <c r="F434" s="27">
        <v>2.868318122555414E-2</v>
      </c>
      <c r="G434" s="27">
        <f>VLOOKUP(Table3[[#This Row],[Date]],'PCE Core'!A:D,4,)</f>
        <v>2.2649977698483498E-2</v>
      </c>
    </row>
    <row r="435" spans="1:7" x14ac:dyDescent="0.2">
      <c r="A435" s="41">
        <v>34639</v>
      </c>
      <c r="B435" s="28">
        <f>VLOOKUP(Table3[[#This Row],[Date]],'PCE Core'!$A:$E,2,)</f>
        <v>73.503</v>
      </c>
      <c r="C435" s="26">
        <f>VLOOKUP(Table3[[#This Row],[Date]],Database!$A:$E,5)</f>
        <v>158.19999999999999</v>
      </c>
      <c r="D435" s="26">
        <f>(((Table3[[#This Row],[Core PCE]]-$B$496)/$B$496)*100)+100</f>
        <v>92.113639781442672</v>
      </c>
      <c r="E435" s="26">
        <f>(((Table3[[#This Row],[Core CPI]]-$C$496)/$C$496)*100)+100</f>
        <v>88.528259653049801</v>
      </c>
      <c r="F435" s="27">
        <v>2.794022092267695E-2</v>
      </c>
      <c r="G435" s="27">
        <f>VLOOKUP(Table3[[#This Row],[Date]],'PCE Core'!A:D,4,)</f>
        <v>2.1896896896896938E-2</v>
      </c>
    </row>
    <row r="436" spans="1:7" x14ac:dyDescent="0.2">
      <c r="A436" s="38">
        <v>34669</v>
      </c>
      <c r="B436" s="28">
        <f>VLOOKUP(Table3[[#This Row],[Date]],'PCE Core'!$A:$E,2,)</f>
        <v>73.528000000000006</v>
      </c>
      <c r="C436" s="28">
        <f>VLOOKUP(Table3[[#This Row],[Date]],Database!$A:$E,5)</f>
        <v>158.30000000000001</v>
      </c>
      <c r="D436" s="26">
        <f>(((Table3[[#This Row],[Core PCE]]-$B$496)/$B$496)*100)+100</f>
        <v>92.144969672665297</v>
      </c>
      <c r="E436" s="26">
        <f>(((Table3[[#This Row],[Core CPI]]-$C$496)/$C$496)*100)+100</f>
        <v>88.584219362059329</v>
      </c>
      <c r="F436" s="27">
        <v>2.592352559948153E-2</v>
      </c>
      <c r="G436" s="27">
        <f>VLOOKUP(Table3[[#This Row],[Date]],'PCE Core'!A:D,4,)</f>
        <v>2.1789883268482659E-2</v>
      </c>
    </row>
    <row r="437" spans="1:7" x14ac:dyDescent="0.2">
      <c r="A437" s="41">
        <v>34700</v>
      </c>
      <c r="B437" s="28">
        <f>VLOOKUP(Table3[[#This Row],[Date]],'PCE Core'!$A:$E,2,)</f>
        <v>73.710999999999999</v>
      </c>
      <c r="C437" s="28">
        <f>VLOOKUP(Table3[[#This Row],[Date]],Database!$A:$E,5)</f>
        <v>159</v>
      </c>
      <c r="D437" s="26">
        <f>(((Table3[[#This Row],[Core PCE]]-$B$496)/$B$496)*100)+100</f>
        <v>92.374304476414849</v>
      </c>
      <c r="E437" s="26">
        <f>(((Table3[[#This Row],[Core CPI]]-$C$496)/$C$496)*100)+100</f>
        <v>88.975937325125912</v>
      </c>
      <c r="F437" s="27">
        <v>2.9126213592233011E-2</v>
      </c>
      <c r="G437" s="27">
        <f>VLOOKUP(Table3[[#This Row],[Date]],'PCE Core'!A:D,4,)</f>
        <v>2.350801188591738E-2</v>
      </c>
    </row>
    <row r="438" spans="1:7" x14ac:dyDescent="0.2">
      <c r="A438" s="38">
        <v>34731</v>
      </c>
      <c r="B438" s="28">
        <f>VLOOKUP(Table3[[#This Row],[Date]],'PCE Core'!$A:$E,2,)</f>
        <v>73.831000000000003</v>
      </c>
      <c r="C438" s="26">
        <f>VLOOKUP(Table3[[#This Row],[Date]],Database!$A:$E,5)</f>
        <v>159.4</v>
      </c>
      <c r="D438" s="26">
        <f>(((Table3[[#This Row],[Core PCE]]-$B$496)/$B$496)*100)+100</f>
        <v>92.524687954283422</v>
      </c>
      <c r="E438" s="26">
        <f>(((Table3[[#This Row],[Core CPI]]-$C$496)/$C$496)*100)+100</f>
        <v>89.199776161163967</v>
      </c>
      <c r="F438" s="27">
        <v>2.9715762273901769E-2</v>
      </c>
      <c r="G438" s="27">
        <f>VLOOKUP(Table3[[#This Row],[Date]],'PCE Core'!A:D,4,)</f>
        <v>2.2972579773599563E-2</v>
      </c>
    </row>
    <row r="439" spans="1:7" x14ac:dyDescent="0.2">
      <c r="A439" s="41">
        <v>34759</v>
      </c>
      <c r="B439" s="28">
        <f>VLOOKUP(Table3[[#This Row],[Date]],'PCE Core'!$A:$E,2,)</f>
        <v>74.013000000000005</v>
      </c>
      <c r="C439" s="28">
        <f>VLOOKUP(Table3[[#This Row],[Date]],Database!$A:$E,5)</f>
        <v>159.9</v>
      </c>
      <c r="D439" s="26">
        <f>(((Table3[[#This Row],[Core PCE]]-$B$496)/$B$496)*100)+100</f>
        <v>92.752769562384074</v>
      </c>
      <c r="E439" s="26">
        <f>(((Table3[[#This Row],[Core CPI]]-$C$496)/$C$496)*100)+100</f>
        <v>89.479574706211537</v>
      </c>
      <c r="F439" s="27">
        <v>2.9620090148100409E-2</v>
      </c>
      <c r="G439" s="27">
        <f>VLOOKUP(Table3[[#This Row],[Date]],'PCE Core'!A:D,4,)</f>
        <v>2.1996685998343049E-2</v>
      </c>
    </row>
    <row r="440" spans="1:7" x14ac:dyDescent="0.2">
      <c r="A440" s="38">
        <v>34790</v>
      </c>
      <c r="B440" s="28">
        <f>VLOOKUP(Table3[[#This Row],[Date]],'PCE Core'!$A:$E,2,)</f>
        <v>74.183999999999997</v>
      </c>
      <c r="C440" s="28">
        <f>VLOOKUP(Table3[[#This Row],[Date]],Database!$A:$E,5)</f>
        <v>160.4</v>
      </c>
      <c r="D440" s="26">
        <f>(((Table3[[#This Row],[Core PCE]]-$B$496)/$B$496)*100)+100</f>
        <v>92.96706601834677</v>
      </c>
      <c r="E440" s="26">
        <f>(((Table3[[#This Row],[Core CPI]]-$C$496)/$C$496)*100)+100</f>
        <v>89.759373251259106</v>
      </c>
      <c r="F440" s="27">
        <v>3.1511254019292639E-2</v>
      </c>
      <c r="G440" s="27">
        <f>VLOOKUP(Table3[[#This Row],[Date]],'PCE Core'!A:D,4,)</f>
        <v>2.2832561217736483E-2</v>
      </c>
    </row>
    <row r="441" spans="1:7" x14ac:dyDescent="0.2">
      <c r="A441" s="41">
        <v>34820</v>
      </c>
      <c r="B441" s="28">
        <f>VLOOKUP(Table3[[#This Row],[Date]],'PCE Core'!$A:$E,2,)</f>
        <v>74.311000000000007</v>
      </c>
      <c r="C441" s="26">
        <f>VLOOKUP(Table3[[#This Row],[Date]],Database!$A:$E,5)</f>
        <v>160.69999999999999</v>
      </c>
      <c r="D441" s="26">
        <f>(((Table3[[#This Row],[Core PCE]]-$B$496)/$B$496)*100)+100</f>
        <v>93.126221865757685</v>
      </c>
      <c r="E441" s="26">
        <f>(((Table3[[#This Row],[Core CPI]]-$C$496)/$C$496)*100)+100</f>
        <v>89.927252378287633</v>
      </c>
      <c r="F441" s="27">
        <v>3.078896728672215E-2</v>
      </c>
      <c r="G441" s="27">
        <f>VLOOKUP(Table3[[#This Row],[Date]],'PCE Core'!A:D,4,)</f>
        <v>2.2300178841656478E-2</v>
      </c>
    </row>
    <row r="442" spans="1:7" x14ac:dyDescent="0.2">
      <c r="A442" s="38">
        <v>34851</v>
      </c>
      <c r="B442" s="28">
        <f>VLOOKUP(Table3[[#This Row],[Date]],'PCE Core'!$A:$E,2,)</f>
        <v>74.375</v>
      </c>
      <c r="C442" s="28">
        <f>VLOOKUP(Table3[[#This Row],[Date]],Database!$A:$E,5)</f>
        <v>161.1</v>
      </c>
      <c r="D442" s="26">
        <f>(((Table3[[#This Row],[Core PCE]]-$B$496)/$B$496)*100)+100</f>
        <v>93.206426387287578</v>
      </c>
      <c r="E442" s="26">
        <f>(((Table3[[#This Row],[Core CPI]]-$C$496)/$C$496)*100)+100</f>
        <v>90.151091214325689</v>
      </c>
      <c r="F442" s="27">
        <v>3.0051150895140589E-2</v>
      </c>
      <c r="G442" s="27">
        <f>VLOOKUP(Table3[[#This Row],[Date]],'PCE Core'!A:D,4,)</f>
        <v>2.0919410852287559E-2</v>
      </c>
    </row>
    <row r="443" spans="1:7" x14ac:dyDescent="0.2">
      <c r="A443" s="41">
        <v>34881</v>
      </c>
      <c r="B443" s="28">
        <f>VLOOKUP(Table3[[#This Row],[Date]],'PCE Core'!$A:$E,2,)</f>
        <v>74.492999999999995</v>
      </c>
      <c r="C443" s="28">
        <f>VLOOKUP(Table3[[#This Row],[Date]],Database!$A:$E,5)</f>
        <v>161.4</v>
      </c>
      <c r="D443" s="26">
        <f>(((Table3[[#This Row],[Core PCE]]-$B$496)/$B$496)*100)+100</f>
        <v>93.354303473858323</v>
      </c>
      <c r="E443" s="26">
        <f>(((Table3[[#This Row],[Core CPI]]-$C$496)/$C$496)*100)+100</f>
        <v>90.31897034135423</v>
      </c>
      <c r="F443" s="27">
        <v>2.9993618379068391E-2</v>
      </c>
      <c r="G443" s="27">
        <f>VLOOKUP(Table3[[#This Row],[Date]],'PCE Core'!A:D,4,)</f>
        <v>2.0396142677113448E-2</v>
      </c>
    </row>
    <row r="444" spans="1:7" x14ac:dyDescent="0.2">
      <c r="A444" s="38">
        <v>34912</v>
      </c>
      <c r="B444" s="28">
        <f>VLOOKUP(Table3[[#This Row],[Date]],'PCE Core'!$A:$E,2,)</f>
        <v>74.671000000000006</v>
      </c>
      <c r="C444" s="26">
        <f>VLOOKUP(Table3[[#This Row],[Date]],Database!$A:$E,5)</f>
        <v>161.80000000000001</v>
      </c>
      <c r="D444" s="26">
        <f>(((Table3[[#This Row],[Core PCE]]-$B$496)/$B$496)*100)+100</f>
        <v>93.577372299363375</v>
      </c>
      <c r="E444" s="26">
        <f>(((Table3[[#This Row],[Core CPI]]-$C$496)/$C$496)*100)+100</f>
        <v>90.542809177392286</v>
      </c>
      <c r="F444" s="27">
        <v>2.991725015913442E-2</v>
      </c>
      <c r="G444" s="27">
        <f>VLOOKUP(Table3[[#This Row],[Date]],'PCE Core'!A:D,4,)</f>
        <v>2.1686779957857977E-2</v>
      </c>
    </row>
    <row r="445" spans="1:7" x14ac:dyDescent="0.2">
      <c r="A445" s="41">
        <v>34943</v>
      </c>
      <c r="B445" s="28">
        <f>VLOOKUP(Table3[[#This Row],[Date]],'PCE Core'!$A:$E,2,)</f>
        <v>74.77</v>
      </c>
      <c r="C445" s="28">
        <f>VLOOKUP(Table3[[#This Row],[Date]],Database!$A:$E,5)</f>
        <v>162.19999999999999</v>
      </c>
      <c r="D445" s="26">
        <f>(((Table3[[#This Row],[Core PCE]]-$B$496)/$B$496)*100)+100</f>
        <v>93.701438668604936</v>
      </c>
      <c r="E445" s="26">
        <f>(((Table3[[#This Row],[Core CPI]]-$C$496)/$C$496)*100)+100</f>
        <v>90.766648013430327</v>
      </c>
      <c r="F445" s="27">
        <v>2.9841269841269769E-2</v>
      </c>
      <c r="G445" s="27">
        <f>VLOOKUP(Table3[[#This Row],[Date]],'PCE Core'!A:D,4,)</f>
        <v>2.1489951773979714E-2</v>
      </c>
    </row>
    <row r="446" spans="1:7" x14ac:dyDescent="0.2">
      <c r="A446" s="38">
        <v>34973</v>
      </c>
      <c r="B446" s="28">
        <f>VLOOKUP(Table3[[#This Row],[Date]],'PCE Core'!$A:$E,2,)</f>
        <v>74.951999999999998</v>
      </c>
      <c r="C446" s="28">
        <f>VLOOKUP(Table3[[#This Row],[Date]],Database!$A:$E,5)</f>
        <v>162.69999999999999</v>
      </c>
      <c r="D446" s="26">
        <f>(((Table3[[#This Row],[Core PCE]]-$B$496)/$B$496)*100)+100</f>
        <v>93.929520276705588</v>
      </c>
      <c r="E446" s="26">
        <f>(((Table3[[#This Row],[Core CPI]]-$C$496)/$C$496)*100)+100</f>
        <v>91.046446558477896</v>
      </c>
      <c r="F446" s="27">
        <v>3.1051964512040411E-2</v>
      </c>
      <c r="G446" s="27">
        <f>VLOOKUP(Table3[[#This Row],[Date]],'PCE Core'!A:D,4,)</f>
        <v>2.1575869917812678E-2</v>
      </c>
    </row>
    <row r="447" spans="1:7" x14ac:dyDescent="0.2">
      <c r="A447" s="41">
        <v>35004</v>
      </c>
      <c r="B447" s="28">
        <f>VLOOKUP(Table3[[#This Row],[Date]],'PCE Core'!$A:$E,2,)</f>
        <v>75</v>
      </c>
      <c r="C447" s="26">
        <f>VLOOKUP(Table3[[#This Row],[Date]],Database!$A:$E,5)</f>
        <v>163</v>
      </c>
      <c r="D447" s="26">
        <f>(((Table3[[#This Row],[Core PCE]]-$B$496)/$B$496)*100)+100</f>
        <v>93.989673667853012</v>
      </c>
      <c r="E447" s="26">
        <f>(((Table3[[#This Row],[Core CPI]]-$C$496)/$C$496)*100)+100</f>
        <v>91.214325685506438</v>
      </c>
      <c r="F447" s="27">
        <v>3.0341340075853429E-2</v>
      </c>
      <c r="G447" s="27">
        <f>VLOOKUP(Table3[[#This Row],[Date]],'PCE Core'!A:D,4,)</f>
        <v>2.0366515652422347E-2</v>
      </c>
    </row>
    <row r="448" spans="1:7" x14ac:dyDescent="0.2">
      <c r="A448" s="38">
        <v>35034</v>
      </c>
      <c r="B448" s="28">
        <f>VLOOKUP(Table3[[#This Row],[Date]],'PCE Core'!$A:$E,2,)</f>
        <v>75.105000000000004</v>
      </c>
      <c r="C448" s="28">
        <f>VLOOKUP(Table3[[#This Row],[Date]],Database!$A:$E,5)</f>
        <v>163.1</v>
      </c>
      <c r="D448" s="26">
        <f>(((Table3[[#This Row],[Core PCE]]-$B$496)/$B$496)*100)+100</f>
        <v>94.121259210988015</v>
      </c>
      <c r="E448" s="26">
        <f>(((Table3[[#This Row],[Core CPI]]-$C$496)/$C$496)*100)+100</f>
        <v>91.270285394515952</v>
      </c>
      <c r="F448" s="27">
        <v>3.0322173089071269E-2</v>
      </c>
      <c r="G448" s="27">
        <f>VLOOKUP(Table3[[#This Row],[Date]],'PCE Core'!A:D,4,)</f>
        <v>2.1447611794146421E-2</v>
      </c>
    </row>
    <row r="449" spans="1:7" x14ac:dyDescent="0.2">
      <c r="A449" s="41">
        <v>35065</v>
      </c>
      <c r="B449" s="28">
        <f>VLOOKUP(Table3[[#This Row],[Date]],'PCE Core'!$A:$E,2,)</f>
        <v>75.19</v>
      </c>
      <c r="C449" s="28">
        <f>VLOOKUP(Table3[[#This Row],[Date]],Database!$A:$E,5)</f>
        <v>163.69999999999999</v>
      </c>
      <c r="D449" s="26">
        <f>(((Table3[[#This Row],[Core PCE]]-$B$496)/$B$496)*100)+100</f>
        <v>94.227780841144906</v>
      </c>
      <c r="E449" s="26">
        <f>(((Table3[[#This Row],[Core CPI]]-$C$496)/$C$496)*100)+100</f>
        <v>91.606043648573021</v>
      </c>
      <c r="F449" s="27">
        <v>2.955974842767288E-2</v>
      </c>
      <c r="G449" s="27">
        <f>VLOOKUP(Table3[[#This Row],[Date]],'PCE Core'!A:D,4,)</f>
        <v>2.006484785174532E-2</v>
      </c>
    </row>
    <row r="450" spans="1:7" x14ac:dyDescent="0.2">
      <c r="A450" s="38">
        <v>35096</v>
      </c>
      <c r="B450" s="28">
        <f>VLOOKUP(Table3[[#This Row],[Date]],'PCE Core'!$A:$E,2,)</f>
        <v>75.287999999999997</v>
      </c>
      <c r="C450" s="26">
        <f>VLOOKUP(Table3[[#This Row],[Date]],Database!$A:$E,5)</f>
        <v>164</v>
      </c>
      <c r="D450" s="26">
        <f>(((Table3[[#This Row],[Core PCE]]-$B$496)/$B$496)*100)+100</f>
        <v>94.350594014737567</v>
      </c>
      <c r="E450" s="26">
        <f>(((Table3[[#This Row],[Core CPI]]-$C$496)/$C$496)*100)+100</f>
        <v>91.773922775601577</v>
      </c>
      <c r="F450" s="27">
        <v>2.8858218318695068E-2</v>
      </c>
      <c r="G450" s="27">
        <f>VLOOKUP(Table3[[#This Row],[Date]],'PCE Core'!A:D,4,)</f>
        <v>1.9734257967520333E-2</v>
      </c>
    </row>
    <row r="451" spans="1:7" x14ac:dyDescent="0.2">
      <c r="A451" s="41">
        <v>35125</v>
      </c>
      <c r="B451" s="28">
        <f>VLOOKUP(Table3[[#This Row],[Date]],'PCE Core'!$A:$E,2,)</f>
        <v>75.462000000000003</v>
      </c>
      <c r="C451" s="28">
        <f>VLOOKUP(Table3[[#This Row],[Date]],Database!$A:$E,5)</f>
        <v>164.4</v>
      </c>
      <c r="D451" s="26">
        <f>(((Table3[[#This Row],[Core PCE]]-$B$496)/$B$496)*100)+100</f>
        <v>94.568650057646991</v>
      </c>
      <c r="E451" s="26">
        <f>(((Table3[[#This Row],[Core CPI]]-$C$496)/$C$496)*100)+100</f>
        <v>91.997761611639632</v>
      </c>
      <c r="F451" s="27">
        <v>2.814258911819887E-2</v>
      </c>
      <c r="G451" s="27">
        <f>VLOOKUP(Table3[[#This Row],[Date]],'PCE Core'!A:D,4,)</f>
        <v>1.9577641765635739E-2</v>
      </c>
    </row>
    <row r="452" spans="1:7" x14ac:dyDescent="0.2">
      <c r="A452" s="38">
        <v>35156</v>
      </c>
      <c r="B452" s="28">
        <f>VLOOKUP(Table3[[#This Row],[Date]],'PCE Core'!$A:$E,2,)</f>
        <v>75.564999999999998</v>
      </c>
      <c r="C452" s="28">
        <f>VLOOKUP(Table3[[#This Row],[Date]],Database!$A:$E,5)</f>
        <v>164.6</v>
      </c>
      <c r="D452" s="26">
        <f>(((Table3[[#This Row],[Core PCE]]-$B$496)/$B$496)*100)+100</f>
        <v>94.69772920948418</v>
      </c>
      <c r="E452" s="26">
        <f>(((Table3[[#This Row],[Core CPI]]-$C$496)/$C$496)*100)+100</f>
        <v>92.109681029658645</v>
      </c>
      <c r="F452" s="27">
        <v>2.618453865336651E-2</v>
      </c>
      <c r="G452" s="27">
        <f>VLOOKUP(Table3[[#This Row],[Date]],'PCE Core'!A:D,4,)</f>
        <v>1.8615874042920311E-2</v>
      </c>
    </row>
    <row r="453" spans="1:7" x14ac:dyDescent="0.2">
      <c r="A453" s="41">
        <v>35186</v>
      </c>
      <c r="B453" s="28">
        <f>VLOOKUP(Table3[[#This Row],[Date]],'PCE Core'!$A:$E,2,)</f>
        <v>75.695999999999998</v>
      </c>
      <c r="C453" s="26">
        <f>VLOOKUP(Table3[[#This Row],[Date]],Database!$A:$E,5)</f>
        <v>165</v>
      </c>
      <c r="D453" s="26">
        <f>(((Table3[[#This Row],[Core PCE]]-$B$496)/$B$496)*100)+100</f>
        <v>94.861897839490695</v>
      </c>
      <c r="E453" s="26">
        <f>(((Table3[[#This Row],[Core CPI]]-$C$496)/$C$496)*100)+100</f>
        <v>92.333519865696701</v>
      </c>
      <c r="F453" s="27">
        <v>2.6757934038581281E-2</v>
      </c>
      <c r="G453" s="27">
        <f>VLOOKUP(Table3[[#This Row],[Date]],'PCE Core'!A:D,4,)</f>
        <v>1.8637886719328103E-2</v>
      </c>
    </row>
    <row r="454" spans="1:7" x14ac:dyDescent="0.2">
      <c r="A454" s="38">
        <v>35217</v>
      </c>
      <c r="B454" s="28">
        <f>VLOOKUP(Table3[[#This Row],[Date]],'PCE Core'!$A:$E,2,)</f>
        <v>75.754000000000005</v>
      </c>
      <c r="C454" s="28">
        <f>VLOOKUP(Table3[[#This Row],[Date]],Database!$A:$E,5)</f>
        <v>165.4</v>
      </c>
      <c r="D454" s="26">
        <f>(((Table3[[#This Row],[Core PCE]]-$B$496)/$B$496)*100)+100</f>
        <v>94.934583187127174</v>
      </c>
      <c r="E454" s="26">
        <f>(((Table3[[#This Row],[Core CPI]]-$C$496)/$C$496)*100)+100</f>
        <v>92.557358701734756</v>
      </c>
      <c r="F454" s="27">
        <v>2.6691495965239051E-2</v>
      </c>
      <c r="G454" s="27">
        <f>VLOOKUP(Table3[[#This Row],[Date]],'PCE Core'!A:D,4,)</f>
        <v>1.85411764705883E-2</v>
      </c>
    </row>
    <row r="455" spans="1:7" x14ac:dyDescent="0.2">
      <c r="A455" s="41">
        <v>35247</v>
      </c>
      <c r="B455" s="28">
        <f>VLOOKUP(Table3[[#This Row],[Date]],'PCE Core'!$A:$E,2,)</f>
        <v>75.897000000000006</v>
      </c>
      <c r="C455" s="28">
        <f>VLOOKUP(Table3[[#This Row],[Date]],Database!$A:$E,5)</f>
        <v>165.7</v>
      </c>
      <c r="D455" s="26">
        <f>(((Table3[[#This Row],[Core PCE]]-$B$496)/$B$496)*100)+100</f>
        <v>95.113790164920545</v>
      </c>
      <c r="E455" s="26">
        <f>(((Table3[[#This Row],[Core CPI]]-$C$496)/$C$496)*100)+100</f>
        <v>92.725237828763284</v>
      </c>
      <c r="F455" s="27">
        <v>2.6641883519206828E-2</v>
      </c>
      <c r="G455" s="27">
        <f>VLOOKUP(Table3[[#This Row],[Date]],'PCE Core'!A:D,4,)</f>
        <v>1.8847408481333958E-2</v>
      </c>
    </row>
    <row r="456" spans="1:7" x14ac:dyDescent="0.2">
      <c r="A456" s="38">
        <v>35278</v>
      </c>
      <c r="B456" s="28">
        <f>VLOOKUP(Table3[[#This Row],[Date]],'PCE Core'!$A:$E,2,)</f>
        <v>75.962000000000003</v>
      </c>
      <c r="C456" s="26">
        <f>VLOOKUP(Table3[[#This Row],[Date]],Database!$A:$E,5)</f>
        <v>166</v>
      </c>
      <c r="D456" s="26">
        <f>(((Table3[[#This Row],[Core PCE]]-$B$496)/$B$496)*100)+100</f>
        <v>95.195247882099352</v>
      </c>
      <c r="E456" s="26">
        <f>(((Table3[[#This Row],[Core CPI]]-$C$496)/$C$496)*100)+100</f>
        <v>92.893116955791839</v>
      </c>
      <c r="F456" s="27">
        <v>2.5957972805933181E-2</v>
      </c>
      <c r="G456" s="27">
        <f>VLOOKUP(Table3[[#This Row],[Date]],'PCE Core'!A:D,4,)</f>
        <v>1.7289175181797442E-2</v>
      </c>
    </row>
    <row r="457" spans="1:7" x14ac:dyDescent="0.2">
      <c r="A457" s="41">
        <v>35309</v>
      </c>
      <c r="B457" s="28">
        <f>VLOOKUP(Table3[[#This Row],[Date]],'PCE Core'!$A:$E,2,)</f>
        <v>76.191999999999993</v>
      </c>
      <c r="C457" s="28">
        <f>VLOOKUP(Table3[[#This Row],[Date]],Database!$A:$E,5)</f>
        <v>166.5</v>
      </c>
      <c r="D457" s="26">
        <f>(((Table3[[#This Row],[Core PCE]]-$B$496)/$B$496)*100)+100</f>
        <v>95.483482881347413</v>
      </c>
      <c r="E457" s="26">
        <f>(((Table3[[#This Row],[Core CPI]]-$C$496)/$C$496)*100)+100</f>
        <v>93.172915500839395</v>
      </c>
      <c r="F457" s="27">
        <v>2.6510480887792919E-2</v>
      </c>
      <c r="G457" s="27">
        <f>VLOOKUP(Table3[[#This Row],[Date]],'PCE Core'!A:D,4,)</f>
        <v>1.9018322856760694E-2</v>
      </c>
    </row>
    <row r="458" spans="1:7" x14ac:dyDescent="0.2">
      <c r="A458" s="38">
        <v>35339</v>
      </c>
      <c r="B458" s="28">
        <f>VLOOKUP(Table3[[#This Row],[Date]],'PCE Core'!$A:$E,2,)</f>
        <v>76.373000000000005</v>
      </c>
      <c r="C458" s="28">
        <f>VLOOKUP(Table3[[#This Row],[Date]],Database!$A:$E,5)</f>
        <v>166.8</v>
      </c>
      <c r="D458" s="26">
        <f>(((Table3[[#This Row],[Core PCE]]-$B$496)/$B$496)*100)+100</f>
        <v>95.71031129379918</v>
      </c>
      <c r="E458" s="26">
        <f>(((Table3[[#This Row],[Core CPI]]-$C$496)/$C$496)*100)+100</f>
        <v>93.34079462786795</v>
      </c>
      <c r="F458" s="27">
        <v>2.519975414874015E-2</v>
      </c>
      <c r="G458" s="27">
        <f>VLOOKUP(Table3[[#This Row],[Date]],'PCE Core'!A:D,4,)</f>
        <v>1.8958800298858023E-2</v>
      </c>
    </row>
    <row r="459" spans="1:7" x14ac:dyDescent="0.2">
      <c r="A459" s="41">
        <v>35370</v>
      </c>
      <c r="B459" s="28">
        <f>VLOOKUP(Table3[[#This Row],[Date]],'PCE Core'!$A:$E,2,)</f>
        <v>76.472999999999999</v>
      </c>
      <c r="C459" s="26">
        <f>VLOOKUP(Table3[[#This Row],[Date]],Database!$A:$E,5)</f>
        <v>167.2</v>
      </c>
      <c r="D459" s="26">
        <f>(((Table3[[#This Row],[Core PCE]]-$B$496)/$B$496)*100)+100</f>
        <v>95.835630858689655</v>
      </c>
      <c r="E459" s="26">
        <f>(((Table3[[#This Row],[Core CPI]]-$C$496)/$C$496)*100)+100</f>
        <v>93.564633463905992</v>
      </c>
      <c r="F459" s="27">
        <v>2.5766871165644099E-2</v>
      </c>
      <c r="G459" s="27">
        <f>VLOOKUP(Table3[[#This Row],[Date]],'PCE Core'!A:D,4,)</f>
        <v>1.9639999999999987E-2</v>
      </c>
    </row>
    <row r="460" spans="1:7" x14ac:dyDescent="0.2">
      <c r="A460" s="38">
        <v>35400</v>
      </c>
      <c r="B460" s="28">
        <f>VLOOKUP(Table3[[#This Row],[Date]],'PCE Core'!$A:$E,2,)</f>
        <v>76.503</v>
      </c>
      <c r="C460" s="28">
        <f>VLOOKUP(Table3[[#This Row],[Date]],Database!$A:$E,5)</f>
        <v>167.4</v>
      </c>
      <c r="D460" s="26">
        <f>(((Table3[[#This Row],[Core PCE]]-$B$496)/$B$496)*100)+100</f>
        <v>95.873226728156794</v>
      </c>
      <c r="E460" s="26">
        <f>(((Table3[[#This Row],[Core CPI]]-$C$496)/$C$496)*100)+100</f>
        <v>93.676552881925019</v>
      </c>
      <c r="F460" s="27">
        <v>2.6364193746168069E-2</v>
      </c>
      <c r="G460" s="27">
        <f>VLOOKUP(Table3[[#This Row],[Date]],'PCE Core'!A:D,4,)</f>
        <v>1.8613940483323294E-2</v>
      </c>
    </row>
    <row r="461" spans="1:7" x14ac:dyDescent="0.2">
      <c r="A461" s="41">
        <v>35431</v>
      </c>
      <c r="B461" s="28">
        <f>VLOOKUP(Table3[[#This Row],[Date]],'PCE Core'!$A:$E,2,)</f>
        <v>76.584000000000003</v>
      </c>
      <c r="C461" s="28">
        <f>VLOOKUP(Table3[[#This Row],[Date]],Database!$A:$E,5)</f>
        <v>167.8</v>
      </c>
      <c r="D461" s="26">
        <f>(((Table3[[#This Row],[Core PCE]]-$B$496)/$B$496)*100)+100</f>
        <v>95.974735575718071</v>
      </c>
      <c r="E461" s="26">
        <f>(((Table3[[#This Row],[Core CPI]]-$C$496)/$C$496)*100)+100</f>
        <v>93.900391717963075</v>
      </c>
      <c r="F461" s="27">
        <v>2.5045815516188289E-2</v>
      </c>
      <c r="G461" s="27">
        <f>VLOOKUP(Table3[[#This Row],[Date]],'PCE Core'!A:D,4,)</f>
        <v>1.8539699428115515E-2</v>
      </c>
    </row>
    <row r="462" spans="1:7" x14ac:dyDescent="0.2">
      <c r="A462" s="38">
        <v>35462</v>
      </c>
      <c r="B462" s="28">
        <f>VLOOKUP(Table3[[#This Row],[Date]],'PCE Core'!$A:$E,2,)</f>
        <v>76.741</v>
      </c>
      <c r="C462" s="26">
        <f>VLOOKUP(Table3[[#This Row],[Date]],Database!$A:$E,5)</f>
        <v>168.1</v>
      </c>
      <c r="D462" s="26">
        <f>(((Table3[[#This Row],[Core PCE]]-$B$496)/$B$496)*100)+100</f>
        <v>96.171487292596112</v>
      </c>
      <c r="E462" s="26">
        <f>(((Table3[[#This Row],[Core CPI]]-$C$496)/$C$496)*100)+100</f>
        <v>94.068270844991616</v>
      </c>
      <c r="F462" s="27">
        <v>2.499999999999997E-2</v>
      </c>
      <c r="G462" s="27">
        <f>VLOOKUP(Table3[[#This Row],[Date]],'PCE Core'!A:D,4,)</f>
        <v>1.9299224311975387E-2</v>
      </c>
    </row>
    <row r="463" spans="1:7" x14ac:dyDescent="0.2">
      <c r="A463" s="41">
        <v>35490</v>
      </c>
      <c r="B463" s="28">
        <f>VLOOKUP(Table3[[#This Row],[Date]],'PCE Core'!$A:$E,2,)</f>
        <v>76.924999999999997</v>
      </c>
      <c r="C463" s="28">
        <f>VLOOKUP(Table3[[#This Row],[Date]],Database!$A:$E,5)</f>
        <v>168.4</v>
      </c>
      <c r="D463" s="26">
        <f>(((Table3[[#This Row],[Core PCE]]-$B$496)/$B$496)*100)+100</f>
        <v>96.402075291994578</v>
      </c>
      <c r="E463" s="26">
        <f>(((Table3[[#This Row],[Core CPI]]-$C$496)/$C$496)*100)+100</f>
        <v>94.236149972020158</v>
      </c>
      <c r="F463" s="27">
        <v>2.4330900243309E-2</v>
      </c>
      <c r="G463" s="27">
        <f>VLOOKUP(Table3[[#This Row],[Date]],'PCE Core'!A:D,4,)</f>
        <v>1.9387241260501894E-2</v>
      </c>
    </row>
    <row r="464" spans="1:7" x14ac:dyDescent="0.2">
      <c r="A464" s="38">
        <v>35521</v>
      </c>
      <c r="B464" s="28">
        <f>VLOOKUP(Table3[[#This Row],[Date]],'PCE Core'!$A:$E,2,)</f>
        <v>77.075000000000003</v>
      </c>
      <c r="C464" s="28">
        <f>VLOOKUP(Table3[[#This Row],[Date]],Database!$A:$E,5)</f>
        <v>168.9</v>
      </c>
      <c r="D464" s="26">
        <f>(((Table3[[#This Row],[Core PCE]]-$B$496)/$B$496)*100)+100</f>
        <v>96.59005463933029</v>
      </c>
      <c r="E464" s="26">
        <f>(((Table3[[#This Row],[Core CPI]]-$C$496)/$C$496)*100)+100</f>
        <v>94.515948517067727</v>
      </c>
      <c r="F464" s="27">
        <v>2.612393681652498E-2</v>
      </c>
      <c r="G464" s="27">
        <f>VLOOKUP(Table3[[#This Row],[Date]],'PCE Core'!A:D,4,)</f>
        <v>1.9982796268113612E-2</v>
      </c>
    </row>
    <row r="465" spans="1:7" x14ac:dyDescent="0.2">
      <c r="A465" s="41">
        <v>35551</v>
      </c>
      <c r="B465" s="28">
        <f>VLOOKUP(Table3[[#This Row],[Date]],'PCE Core'!$A:$E,2,)</f>
        <v>77.131</v>
      </c>
      <c r="C465" s="26">
        <f>VLOOKUP(Table3[[#This Row],[Date]],Database!$A:$E,5)</f>
        <v>169.2</v>
      </c>
      <c r="D465" s="26">
        <f>(((Table3[[#This Row],[Core PCE]]-$B$496)/$B$496)*100)+100</f>
        <v>96.660233595668956</v>
      </c>
      <c r="E465" s="26">
        <f>(((Table3[[#This Row],[Core CPI]]-$C$496)/$C$496)*100)+100</f>
        <v>94.683827644096255</v>
      </c>
      <c r="F465" s="27">
        <v>2.5454545454545389E-2</v>
      </c>
      <c r="G465" s="27">
        <f>VLOOKUP(Table3[[#This Row],[Date]],'PCE Core'!A:D,4,)</f>
        <v>1.8957408581695232E-2</v>
      </c>
    </row>
    <row r="466" spans="1:7" x14ac:dyDescent="0.2">
      <c r="A466" s="38">
        <v>35582</v>
      </c>
      <c r="B466" s="28">
        <f>VLOOKUP(Table3[[#This Row],[Date]],'PCE Core'!$A:$E,2,)</f>
        <v>77.245000000000005</v>
      </c>
      <c r="C466" s="28">
        <f>VLOOKUP(Table3[[#This Row],[Date]],Database!$A:$E,5)</f>
        <v>169.4</v>
      </c>
      <c r="D466" s="26">
        <f>(((Table3[[#This Row],[Core PCE]]-$B$496)/$B$496)*100)+100</f>
        <v>96.803097899644087</v>
      </c>
      <c r="E466" s="26">
        <f>(((Table3[[#This Row],[Core CPI]]-$C$496)/$C$496)*100)+100</f>
        <v>94.795747062115282</v>
      </c>
      <c r="F466" s="27">
        <v>2.4183796856106408E-2</v>
      </c>
      <c r="G466" s="27">
        <f>VLOOKUP(Table3[[#This Row],[Date]],'PCE Core'!A:D,4,)</f>
        <v>1.9682128996488628E-2</v>
      </c>
    </row>
    <row r="467" spans="1:7" x14ac:dyDescent="0.2">
      <c r="A467" s="41">
        <v>35612</v>
      </c>
      <c r="B467" s="28">
        <f>VLOOKUP(Table3[[#This Row],[Date]],'PCE Core'!$A:$E,2,)</f>
        <v>77.296999999999997</v>
      </c>
      <c r="C467" s="28">
        <f>VLOOKUP(Table3[[#This Row],[Date]],Database!$A:$E,5)</f>
        <v>169.7</v>
      </c>
      <c r="D467" s="26">
        <f>(((Table3[[#This Row],[Core PCE]]-$B$496)/$B$496)*100)+100</f>
        <v>96.868264073387124</v>
      </c>
      <c r="E467" s="26">
        <f>(((Table3[[#This Row],[Core CPI]]-$C$496)/$C$496)*100)+100</f>
        <v>94.96362618914381</v>
      </c>
      <c r="F467" s="27">
        <v>2.4140012070006042E-2</v>
      </c>
      <c r="G467" s="27">
        <f>VLOOKUP(Table3[[#This Row],[Date]],'PCE Core'!A:D,4,)</f>
        <v>1.8446051886108691E-2</v>
      </c>
    </row>
    <row r="468" spans="1:7" x14ac:dyDescent="0.2">
      <c r="A468" s="38">
        <v>35643</v>
      </c>
      <c r="B468" s="28">
        <f>VLOOKUP(Table3[[#This Row],[Date]],'PCE Core'!$A:$E,2,)</f>
        <v>77.266999999999996</v>
      </c>
      <c r="C468" s="26">
        <f>VLOOKUP(Table3[[#This Row],[Date]],Database!$A:$E,5)</f>
        <v>169.8</v>
      </c>
      <c r="D468" s="26">
        <f>(((Table3[[#This Row],[Core PCE]]-$B$496)/$B$496)*100)+100</f>
        <v>96.830668203919984</v>
      </c>
      <c r="E468" s="26">
        <f>(((Table3[[#This Row],[Core CPI]]-$C$496)/$C$496)*100)+100</f>
        <v>95.019585898153338</v>
      </c>
      <c r="F468" s="27">
        <v>2.2891566265060309E-2</v>
      </c>
      <c r="G468" s="27">
        <f>VLOOKUP(Table3[[#This Row],[Date]],'PCE Core'!A:D,4,)</f>
        <v>1.7179642452805254E-2</v>
      </c>
    </row>
    <row r="469" spans="1:7" x14ac:dyDescent="0.2">
      <c r="A469" s="41">
        <v>35674</v>
      </c>
      <c r="B469" s="28">
        <f>VLOOKUP(Table3[[#This Row],[Date]],'PCE Core'!$A:$E,2,)</f>
        <v>77.427000000000007</v>
      </c>
      <c r="C469" s="28">
        <f>VLOOKUP(Table3[[#This Row],[Date]],Database!$A:$E,5)</f>
        <v>170.2</v>
      </c>
      <c r="D469" s="26">
        <f>(((Table3[[#This Row],[Core PCE]]-$B$496)/$B$496)*100)+100</f>
        <v>97.031179507744753</v>
      </c>
      <c r="E469" s="26">
        <f>(((Table3[[#This Row],[Core CPI]]-$C$496)/$C$496)*100)+100</f>
        <v>95.243424734191379</v>
      </c>
      <c r="F469" s="27">
        <v>2.222222222222215E-2</v>
      </c>
      <c r="G469" s="27">
        <f>VLOOKUP(Table3[[#This Row],[Date]],'PCE Core'!A:D,4,)</f>
        <v>1.62090508189838E-2</v>
      </c>
    </row>
    <row r="470" spans="1:7" x14ac:dyDescent="0.2">
      <c r="A470" s="38">
        <v>35704</v>
      </c>
      <c r="B470" s="28">
        <f>VLOOKUP(Table3[[#This Row],[Date]],'PCE Core'!$A:$E,2,)</f>
        <v>77.545000000000002</v>
      </c>
      <c r="C470" s="28">
        <f>VLOOKUP(Table3[[#This Row],[Date]],Database!$A:$E,5)</f>
        <v>170.6</v>
      </c>
      <c r="D470" s="26">
        <f>(((Table3[[#This Row],[Core PCE]]-$B$496)/$B$496)*100)+100</f>
        <v>97.179056594315497</v>
      </c>
      <c r="E470" s="26">
        <f>(((Table3[[#This Row],[Core CPI]]-$C$496)/$C$496)*100)+100</f>
        <v>95.467263570229434</v>
      </c>
      <c r="F470" s="27">
        <v>2.2781774580335631E-2</v>
      </c>
      <c r="G470" s="27">
        <f>VLOOKUP(Table3[[#This Row],[Date]],'PCE Core'!A:D,4,)</f>
        <v>1.5345737367917943E-2</v>
      </c>
    </row>
    <row r="471" spans="1:7" x14ac:dyDescent="0.2">
      <c r="A471" s="41">
        <v>35735</v>
      </c>
      <c r="B471" s="28">
        <f>VLOOKUP(Table3[[#This Row],[Date]],'PCE Core'!$A:$E,2,)</f>
        <v>77.567999999999998</v>
      </c>
      <c r="C471" s="26">
        <f>VLOOKUP(Table3[[#This Row],[Date]],Database!$A:$E,5)</f>
        <v>170.8</v>
      </c>
      <c r="D471" s="26">
        <f>(((Table3[[#This Row],[Core PCE]]-$B$496)/$B$496)*100)+100</f>
        <v>97.207880094240309</v>
      </c>
      <c r="E471" s="26">
        <f>(((Table3[[#This Row],[Core CPI]]-$C$496)/$C$496)*100)+100</f>
        <v>95.579182988248476</v>
      </c>
      <c r="F471" s="27">
        <v>2.153110047846904E-2</v>
      </c>
      <c r="G471" s="27">
        <f>VLOOKUP(Table3[[#This Row],[Date]],'PCE Core'!A:D,4,)</f>
        <v>1.4318779176964403E-2</v>
      </c>
    </row>
    <row r="472" spans="1:7" x14ac:dyDescent="0.2">
      <c r="A472" s="38">
        <v>35765</v>
      </c>
      <c r="B472" s="28">
        <f>VLOOKUP(Table3[[#This Row],[Date]],'PCE Core'!$A:$E,2,)</f>
        <v>77.613</v>
      </c>
      <c r="C472" s="28">
        <f>VLOOKUP(Table3[[#This Row],[Date]],Database!$A:$E,5)</f>
        <v>171.2</v>
      </c>
      <c r="D472" s="26">
        <f>(((Table3[[#This Row],[Core PCE]]-$B$496)/$B$496)*100)+100</f>
        <v>97.264273898441019</v>
      </c>
      <c r="E472" s="26">
        <f>(((Table3[[#This Row],[Core CPI]]-$C$496)/$C$496)*100)+100</f>
        <v>95.803021824286517</v>
      </c>
      <c r="F472" s="27">
        <v>2.270011947431292E-2</v>
      </c>
      <c r="G472" s="27">
        <f>VLOOKUP(Table3[[#This Row],[Date]],'PCE Core'!A:D,4,)</f>
        <v>1.4509234931963445E-2</v>
      </c>
    </row>
    <row r="473" spans="1:7" x14ac:dyDescent="0.2">
      <c r="A473" s="41">
        <v>35796</v>
      </c>
      <c r="B473" s="28">
        <f>VLOOKUP(Table3[[#This Row],[Date]],'PCE Core'!$A:$E,2,)</f>
        <v>77.731999999999999</v>
      </c>
      <c r="C473" s="28">
        <f>VLOOKUP(Table3[[#This Row],[Date]],Database!$A:$E,5)</f>
        <v>171.6</v>
      </c>
      <c r="D473" s="26">
        <f>(((Table3[[#This Row],[Core PCE]]-$B$496)/$B$496)*100)+100</f>
        <v>97.413404180660677</v>
      </c>
      <c r="E473" s="26">
        <f>(((Table3[[#This Row],[Core CPI]]-$C$496)/$C$496)*100)+100</f>
        <v>96.026860660324573</v>
      </c>
      <c r="F473" s="27">
        <v>2.2646007151370579E-2</v>
      </c>
      <c r="G473" s="27">
        <f>VLOOKUP(Table3[[#This Row],[Date]],'PCE Core'!A:D,4,)</f>
        <v>1.4990076256137E-2</v>
      </c>
    </row>
    <row r="474" spans="1:7" x14ac:dyDescent="0.2">
      <c r="A474" s="38">
        <v>35827</v>
      </c>
      <c r="B474" s="28">
        <f>VLOOKUP(Table3[[#This Row],[Date]],'PCE Core'!$A:$E,2,)</f>
        <v>77.798000000000002</v>
      </c>
      <c r="C474" s="26">
        <f>VLOOKUP(Table3[[#This Row],[Date]],Database!$A:$E,5)</f>
        <v>171.9</v>
      </c>
      <c r="D474" s="26">
        <f>(((Table3[[#This Row],[Core PCE]]-$B$496)/$B$496)*100)+100</f>
        <v>97.496115093488385</v>
      </c>
      <c r="E474" s="26">
        <f>(((Table3[[#This Row],[Core CPI]]-$C$496)/$C$496)*100)+100</f>
        <v>96.194739787353114</v>
      </c>
      <c r="F474" s="27">
        <v>2.2605591909577699E-2</v>
      </c>
      <c r="G474" s="27">
        <f>VLOOKUP(Table3[[#This Row],[Date]],'PCE Core'!A:D,4,)</f>
        <v>1.3773602116209096E-2</v>
      </c>
    </row>
    <row r="475" spans="1:7" x14ac:dyDescent="0.2">
      <c r="A475" s="41">
        <v>35855</v>
      </c>
      <c r="B475" s="28">
        <f>VLOOKUP(Table3[[#This Row],[Date]],'PCE Core'!$A:$E,2,)</f>
        <v>77.881</v>
      </c>
      <c r="C475" s="28">
        <f>VLOOKUP(Table3[[#This Row],[Date]],Database!$A:$E,5)</f>
        <v>172.2</v>
      </c>
      <c r="D475" s="26">
        <f>(((Table3[[#This Row],[Core PCE]]-$B$496)/$B$496)*100)+100</f>
        <v>97.600130332347476</v>
      </c>
      <c r="E475" s="26">
        <f>(((Table3[[#This Row],[Core CPI]]-$C$496)/$C$496)*100)+100</f>
        <v>96.362618914381642</v>
      </c>
      <c r="F475" s="27">
        <v>2.256532066508303E-2</v>
      </c>
      <c r="G475" s="27">
        <f>VLOOKUP(Table3[[#This Row],[Date]],'PCE Core'!A:D,4,)</f>
        <v>1.2427689307767347E-2</v>
      </c>
    </row>
    <row r="476" spans="1:7" x14ac:dyDescent="0.2">
      <c r="A476" s="38">
        <v>35886</v>
      </c>
      <c r="B476" s="28">
        <f>VLOOKUP(Table3[[#This Row],[Date]],'PCE Core'!$A:$E,2,)</f>
        <v>78.024000000000001</v>
      </c>
      <c r="C476" s="28">
        <f>VLOOKUP(Table3[[#This Row],[Date]],Database!$A:$E,5)</f>
        <v>172.5</v>
      </c>
      <c r="D476" s="26">
        <f>(((Table3[[#This Row],[Core PCE]]-$B$496)/$B$496)*100)+100</f>
        <v>97.779337310140846</v>
      </c>
      <c r="E476" s="26">
        <f>(((Table3[[#This Row],[Core CPI]]-$C$496)/$C$496)*100)+100</f>
        <v>96.530498041410198</v>
      </c>
      <c r="F476" s="27">
        <v>2.1314387211367639E-2</v>
      </c>
      <c r="G476" s="27">
        <f>VLOOKUP(Table3[[#This Row],[Date]],'PCE Core'!A:D,4,)</f>
        <v>1.2312682452156965E-2</v>
      </c>
    </row>
    <row r="477" spans="1:7" x14ac:dyDescent="0.2">
      <c r="A477" s="41">
        <v>35916</v>
      </c>
      <c r="B477" s="28">
        <f>VLOOKUP(Table3[[#This Row],[Date]],'PCE Core'!$A:$E,2,)</f>
        <v>78.099999999999994</v>
      </c>
      <c r="C477" s="26">
        <f>VLOOKUP(Table3[[#This Row],[Date]],Database!$A:$E,5)</f>
        <v>172.9</v>
      </c>
      <c r="D477" s="26">
        <f>(((Table3[[#This Row],[Core PCE]]-$B$496)/$B$496)*100)+100</f>
        <v>97.874580179457595</v>
      </c>
      <c r="E477" s="26">
        <f>(((Table3[[#This Row],[Core CPI]]-$C$496)/$C$496)*100)+100</f>
        <v>96.754336877448253</v>
      </c>
      <c r="F477" s="27">
        <v>2.1867612293144309E-2</v>
      </c>
      <c r="G477" s="27">
        <f>VLOOKUP(Table3[[#This Row],[Date]],'PCE Core'!A:D,4,)</f>
        <v>1.2563042097211161E-2</v>
      </c>
    </row>
    <row r="478" spans="1:7" x14ac:dyDescent="0.2">
      <c r="A478" s="38">
        <v>35947</v>
      </c>
      <c r="B478" s="28">
        <f>VLOOKUP(Table3[[#This Row],[Date]],'PCE Core'!$A:$E,2,)</f>
        <v>78.001999999999995</v>
      </c>
      <c r="C478" s="28">
        <f>VLOOKUP(Table3[[#This Row],[Date]],Database!$A:$E,5)</f>
        <v>173.2</v>
      </c>
      <c r="D478" s="26">
        <f>(((Table3[[#This Row],[Core PCE]]-$B$496)/$B$496)*100)+100</f>
        <v>97.751767005864934</v>
      </c>
      <c r="E478" s="26">
        <f>(((Table3[[#This Row],[Core CPI]]-$C$496)/$C$496)*100)+100</f>
        <v>96.92221600447678</v>
      </c>
      <c r="F478" s="27">
        <v>2.2432113341204148E-2</v>
      </c>
      <c r="G478" s="27">
        <f>VLOOKUP(Table3[[#This Row],[Date]],'PCE Core'!A:D,4,)</f>
        <v>9.7999870541781442E-3</v>
      </c>
    </row>
    <row r="479" spans="1:7" x14ac:dyDescent="0.2">
      <c r="A479" s="41">
        <v>35977</v>
      </c>
      <c r="B479" s="28">
        <f>VLOOKUP(Table3[[#This Row],[Date]],'PCE Core'!$A:$E,2,)</f>
        <v>78.221999999999994</v>
      </c>
      <c r="C479" s="28">
        <f>VLOOKUP(Table3[[#This Row],[Date]],Database!$A:$E,5)</f>
        <v>173.5</v>
      </c>
      <c r="D479" s="26">
        <f>(((Table3[[#This Row],[Core PCE]]-$B$496)/$B$496)*100)+100</f>
        <v>98.027470048623982</v>
      </c>
      <c r="E479" s="26">
        <f>(((Table3[[#This Row],[Core CPI]]-$C$496)/$C$496)*100)+100</f>
        <v>97.090095131505322</v>
      </c>
      <c r="F479" s="27">
        <v>2.239245727754868E-2</v>
      </c>
      <c r="G479" s="27">
        <f>VLOOKUP(Table3[[#This Row],[Date]],'PCE Core'!A:D,4,)</f>
        <v>1.1966829243049501E-2</v>
      </c>
    </row>
    <row r="480" spans="1:7" x14ac:dyDescent="0.2">
      <c r="A480" s="38">
        <v>36008</v>
      </c>
      <c r="B480" s="28">
        <f>VLOOKUP(Table3[[#This Row],[Date]],'PCE Core'!$A:$E,2,)</f>
        <v>78.375</v>
      </c>
      <c r="C480" s="26">
        <f>VLOOKUP(Table3[[#This Row],[Date]],Database!$A:$E,5)</f>
        <v>174</v>
      </c>
      <c r="D480" s="26">
        <f>(((Table3[[#This Row],[Core PCE]]-$B$496)/$B$496)*100)+100</f>
        <v>98.219208982906409</v>
      </c>
      <c r="E480" s="26">
        <f>(((Table3[[#This Row],[Core CPI]]-$C$496)/$C$496)*100)+100</f>
        <v>97.369893676552891</v>
      </c>
      <c r="F480" s="27">
        <v>2.473498233215541E-2</v>
      </c>
      <c r="G480" s="27">
        <f>VLOOKUP(Table3[[#This Row],[Date]],'PCE Core'!A:D,4,)</f>
        <v>1.433988636804851E-2</v>
      </c>
    </row>
    <row r="481" spans="1:7" x14ac:dyDescent="0.2">
      <c r="A481" s="41">
        <v>36039</v>
      </c>
      <c r="B481" s="28">
        <f>VLOOKUP(Table3[[#This Row],[Date]],'PCE Core'!$A:$E,2,)</f>
        <v>78.361000000000004</v>
      </c>
      <c r="C481" s="28">
        <f>VLOOKUP(Table3[[#This Row],[Date]],Database!$A:$E,5)</f>
        <v>174.2</v>
      </c>
      <c r="D481" s="26">
        <f>(((Table3[[#This Row],[Core PCE]]-$B$496)/$B$496)*100)+100</f>
        <v>98.201664243821739</v>
      </c>
      <c r="E481" s="26">
        <f>(((Table3[[#This Row],[Core CPI]]-$C$496)/$C$496)*100)+100</f>
        <v>97.481813094571905</v>
      </c>
      <c r="F481" s="27">
        <v>2.3501762632197411E-2</v>
      </c>
      <c r="G481" s="27">
        <f>VLOOKUP(Table3[[#This Row],[Date]],'PCE Core'!A:D,4,)</f>
        <v>1.2062975447841158E-2</v>
      </c>
    </row>
    <row r="482" spans="1:7" x14ac:dyDescent="0.2">
      <c r="A482" s="38">
        <v>36069</v>
      </c>
      <c r="B482" s="28">
        <f>VLOOKUP(Table3[[#This Row],[Date]],'PCE Core'!$A:$E,2,)</f>
        <v>78.513999999999996</v>
      </c>
      <c r="C482" s="28">
        <f>VLOOKUP(Table3[[#This Row],[Date]],Database!$A:$E,5)</f>
        <v>174.4</v>
      </c>
      <c r="D482" s="26">
        <f>(((Table3[[#This Row],[Core PCE]]-$B$496)/$B$496)*100)+100</f>
        <v>98.393403178104151</v>
      </c>
      <c r="E482" s="26">
        <f>(((Table3[[#This Row],[Core CPI]]-$C$496)/$C$496)*100)+100</f>
        <v>97.593732512590947</v>
      </c>
      <c r="F482" s="27">
        <v>2.2274325908558101E-2</v>
      </c>
      <c r="G482" s="27">
        <f>VLOOKUP(Table3[[#This Row],[Date]],'PCE Core'!A:D,4,)</f>
        <v>1.249597008188786E-2</v>
      </c>
    </row>
    <row r="483" spans="1:7" x14ac:dyDescent="0.2">
      <c r="A483" s="41">
        <v>36100</v>
      </c>
      <c r="B483" s="28">
        <f>VLOOKUP(Table3[[#This Row],[Date]],'PCE Core'!$A:$E,2,)</f>
        <v>78.528000000000006</v>
      </c>
      <c r="C483" s="26">
        <f>VLOOKUP(Table3[[#This Row],[Date]],Database!$A:$E,5)</f>
        <v>174.8</v>
      </c>
      <c r="D483" s="26">
        <f>(((Table3[[#This Row],[Core PCE]]-$B$496)/$B$496)*100)+100</f>
        <v>98.410947917188835</v>
      </c>
      <c r="E483" s="26">
        <f>(((Table3[[#This Row],[Core CPI]]-$C$496)/$C$496)*100)+100</f>
        <v>97.817571348629002</v>
      </c>
      <c r="F483" s="27">
        <v>2.3419203747072601E-2</v>
      </c>
      <c r="G483" s="27">
        <f>VLOOKUP(Table3[[#This Row],[Date]],'PCE Core'!A:D,4,)</f>
        <v>1.2376237623762479E-2</v>
      </c>
    </row>
    <row r="484" spans="1:7" x14ac:dyDescent="0.2">
      <c r="A484" s="38">
        <v>36130</v>
      </c>
      <c r="B484" s="28">
        <f>VLOOKUP(Table3[[#This Row],[Date]],'PCE Core'!$A:$E,2,)</f>
        <v>78.662999999999997</v>
      </c>
      <c r="C484" s="28">
        <f>VLOOKUP(Table3[[#This Row],[Date]],Database!$A:$E,5)</f>
        <v>175.4</v>
      </c>
      <c r="D484" s="26">
        <f>(((Table3[[#This Row],[Core PCE]]-$B$496)/$B$496)*100)+100</f>
        <v>98.58012932979095</v>
      </c>
      <c r="E484" s="26">
        <f>(((Table3[[#This Row],[Core CPI]]-$C$496)/$C$496)*100)+100</f>
        <v>98.153329602686071</v>
      </c>
      <c r="F484" s="27">
        <v>2.4532710280373932E-2</v>
      </c>
      <c r="G484" s="27">
        <f>VLOOKUP(Table3[[#This Row],[Date]],'PCE Core'!A:D,4,)</f>
        <v>1.3528661435584208E-2</v>
      </c>
    </row>
    <row r="485" spans="1:7" x14ac:dyDescent="0.2">
      <c r="A485" s="41">
        <v>36161</v>
      </c>
      <c r="B485" s="28">
        <f>VLOOKUP(Table3[[#This Row],[Date]],'PCE Core'!$A:$E,2,)</f>
        <v>78.775999999999996</v>
      </c>
      <c r="C485" s="28">
        <f>VLOOKUP(Table3[[#This Row],[Date]],Database!$A:$E,5)</f>
        <v>175.6</v>
      </c>
      <c r="D485" s="26">
        <f>(((Table3[[#This Row],[Core PCE]]-$B$496)/$B$496)*100)+100</f>
        <v>98.72174043811718</v>
      </c>
      <c r="E485" s="26">
        <f>(((Table3[[#This Row],[Core CPI]]-$C$496)/$C$496)*100)+100</f>
        <v>98.265249020705099</v>
      </c>
      <c r="F485" s="27">
        <v>2.3310023310023308E-2</v>
      </c>
      <c r="G485" s="27">
        <f>VLOOKUP(Table3[[#This Row],[Date]],'PCE Core'!A:D,4,)</f>
        <v>1.3430762105696456E-2</v>
      </c>
    </row>
    <row r="486" spans="1:7" x14ac:dyDescent="0.2">
      <c r="A486" s="38">
        <v>36192</v>
      </c>
      <c r="B486" s="28">
        <f>VLOOKUP(Table3[[#This Row],[Date]],'PCE Core'!$A:$E,2,)</f>
        <v>78.748999999999995</v>
      </c>
      <c r="C486" s="26">
        <f>VLOOKUP(Table3[[#This Row],[Date]],Database!$A:$E,5)</f>
        <v>175.6</v>
      </c>
      <c r="D486" s="26">
        <f>(((Table3[[#This Row],[Core PCE]]-$B$496)/$B$496)*100)+100</f>
        <v>98.687904155596755</v>
      </c>
      <c r="E486" s="26">
        <f>(((Table3[[#This Row],[Core CPI]]-$C$496)/$C$496)*100)+100</f>
        <v>98.265249020705099</v>
      </c>
      <c r="F486" s="27">
        <v>2.152414194299004E-2</v>
      </c>
      <c r="G486" s="27">
        <f>VLOOKUP(Table3[[#This Row],[Date]],'PCE Core'!A:D,4,)</f>
        <v>1.2223964626339923E-2</v>
      </c>
    </row>
    <row r="487" spans="1:7" x14ac:dyDescent="0.2">
      <c r="A487" s="41">
        <v>36220</v>
      </c>
      <c r="B487" s="28">
        <f>VLOOKUP(Table3[[#This Row],[Date]],'PCE Core'!$A:$E,2,)</f>
        <v>78.772999999999996</v>
      </c>
      <c r="C487" s="28">
        <f>VLOOKUP(Table3[[#This Row],[Date]],Database!$A:$E,5)</f>
        <v>175.7</v>
      </c>
      <c r="D487" s="26">
        <f>(((Table3[[#This Row],[Core PCE]]-$B$496)/$B$496)*100)+100</f>
        <v>98.717980851170466</v>
      </c>
      <c r="E487" s="26">
        <f>(((Table3[[#This Row],[Core CPI]]-$C$496)/$C$496)*100)+100</f>
        <v>98.321208729714598</v>
      </c>
      <c r="F487" s="27">
        <v>2.032520325203252E-2</v>
      </c>
      <c r="G487" s="27">
        <f>VLOOKUP(Table3[[#This Row],[Date]],'PCE Core'!A:D,4,)</f>
        <v>1.1453371168834452E-2</v>
      </c>
    </row>
    <row r="488" spans="1:7" x14ac:dyDescent="0.2">
      <c r="A488" s="38">
        <v>36251</v>
      </c>
      <c r="B488" s="28">
        <f>VLOOKUP(Table3[[#This Row],[Date]],'PCE Core'!$A:$E,2,)</f>
        <v>78.974999999999994</v>
      </c>
      <c r="C488" s="28">
        <f>VLOOKUP(Table3[[#This Row],[Date]],Database!$A:$E,5)</f>
        <v>176.3</v>
      </c>
      <c r="D488" s="26">
        <f>(((Table3[[#This Row],[Core PCE]]-$B$496)/$B$496)*100)+100</f>
        <v>98.971126372249216</v>
      </c>
      <c r="E488" s="26">
        <f>(((Table3[[#This Row],[Core CPI]]-$C$496)/$C$496)*100)+100</f>
        <v>98.656966983771696</v>
      </c>
      <c r="F488" s="27">
        <v>2.202898550724644E-2</v>
      </c>
      <c r="G488" s="27">
        <f>VLOOKUP(Table3[[#This Row],[Date]],'PCE Core'!A:D,4,)</f>
        <v>1.2188557366963927E-2</v>
      </c>
    </row>
    <row r="489" spans="1:7" x14ac:dyDescent="0.2">
      <c r="A489" s="41">
        <v>36281</v>
      </c>
      <c r="B489" s="28">
        <f>VLOOKUP(Table3[[#This Row],[Date]],'PCE Core'!$A:$E,2,)</f>
        <v>79.051000000000002</v>
      </c>
      <c r="C489" s="26">
        <f>VLOOKUP(Table3[[#This Row],[Date]],Database!$A:$E,5)</f>
        <v>176.5</v>
      </c>
      <c r="D489" s="26">
        <f>(((Table3[[#This Row],[Core PCE]]-$B$496)/$B$496)*100)+100</f>
        <v>99.066369241565994</v>
      </c>
      <c r="E489" s="26">
        <f>(((Table3[[#This Row],[Core CPI]]-$C$496)/$C$496)*100)+100</f>
        <v>98.768886401790724</v>
      </c>
      <c r="F489" s="27">
        <v>2.0821283979178679E-2</v>
      </c>
      <c r="G489" s="27">
        <f>VLOOKUP(Table3[[#This Row],[Date]],'PCE Core'!A:D,4,)</f>
        <v>1.2176696542893824E-2</v>
      </c>
    </row>
    <row r="490" spans="1:7" x14ac:dyDescent="0.2">
      <c r="A490" s="38">
        <v>36312</v>
      </c>
      <c r="B490" s="28">
        <f>VLOOKUP(Table3[[#This Row],[Date]],'PCE Core'!$A:$E,2,)</f>
        <v>79.091999999999999</v>
      </c>
      <c r="C490" s="28">
        <f>VLOOKUP(Table3[[#This Row],[Date]],Database!$A:$E,5)</f>
        <v>176.6</v>
      </c>
      <c r="D490" s="26">
        <f>(((Table3[[#This Row],[Core PCE]]-$B$496)/$B$496)*100)+100</f>
        <v>99.117750263171075</v>
      </c>
      <c r="E490" s="26">
        <f>(((Table3[[#This Row],[Core CPI]]-$C$496)/$C$496)*100)+100</f>
        <v>98.824846110800223</v>
      </c>
      <c r="F490" s="27">
        <v>1.9630484988452691E-2</v>
      </c>
      <c r="G490" s="27">
        <f>VLOOKUP(Table3[[#This Row],[Date]],'PCE Core'!A:D,4,)</f>
        <v>1.3974000666649618E-2</v>
      </c>
    </row>
    <row r="491" spans="1:7" x14ac:dyDescent="0.2">
      <c r="A491" s="41">
        <v>36342</v>
      </c>
      <c r="B491" s="28">
        <f>VLOOKUP(Table3[[#This Row],[Date]],'PCE Core'!$A:$E,2,)</f>
        <v>79.234999999999999</v>
      </c>
      <c r="C491" s="28">
        <f>VLOOKUP(Table3[[#This Row],[Date]],Database!$A:$E,5)</f>
        <v>177.1</v>
      </c>
      <c r="D491" s="26">
        <f>(((Table3[[#This Row],[Core PCE]]-$B$496)/$B$496)*100)+100</f>
        <v>99.296957240964446</v>
      </c>
      <c r="E491" s="26">
        <f>(((Table3[[#This Row],[Core CPI]]-$C$496)/$C$496)*100)+100</f>
        <v>99.104644655847792</v>
      </c>
      <c r="F491" s="27">
        <v>2.0749279538904871E-2</v>
      </c>
      <c r="G491" s="27">
        <f>VLOOKUP(Table3[[#This Row],[Date]],'PCE Core'!A:D,4,)</f>
        <v>1.2950320881593482E-2</v>
      </c>
    </row>
    <row r="492" spans="1:7" x14ac:dyDescent="0.2">
      <c r="A492" s="38">
        <v>36373</v>
      </c>
      <c r="B492" s="28">
        <f>VLOOKUP(Table3[[#This Row],[Date]],'PCE Core'!$A:$E,2,)</f>
        <v>79.272999999999996</v>
      </c>
      <c r="C492" s="26">
        <f>VLOOKUP(Table3[[#This Row],[Date]],Database!$A:$E,5)</f>
        <v>177.3</v>
      </c>
      <c r="D492" s="26">
        <f>(((Table3[[#This Row],[Core PCE]]-$B$496)/$B$496)*100)+100</f>
        <v>99.344578675622827</v>
      </c>
      <c r="E492" s="26">
        <f>(((Table3[[#This Row],[Core CPI]]-$C$496)/$C$496)*100)+100</f>
        <v>99.216564073866834</v>
      </c>
      <c r="F492" s="27">
        <v>1.8965517241379379E-2</v>
      </c>
      <c r="G492" s="27">
        <f>VLOOKUP(Table3[[#This Row],[Date]],'PCE Core'!A:D,4,)</f>
        <v>1.1457735247208882E-2</v>
      </c>
    </row>
    <row r="493" spans="1:7" x14ac:dyDescent="0.2">
      <c r="A493" s="41">
        <v>36404</v>
      </c>
      <c r="B493" s="28">
        <f>VLOOKUP(Table3[[#This Row],[Date]],'PCE Core'!$A:$E,2,)</f>
        <v>79.483000000000004</v>
      </c>
      <c r="C493" s="28">
        <f>VLOOKUP(Table3[[#This Row],[Date]],Database!$A:$E,5)</f>
        <v>177.8</v>
      </c>
      <c r="D493" s="26">
        <f>(((Table3[[#This Row],[Core PCE]]-$B$496)/$B$496)*100)+100</f>
        <v>99.607749761892819</v>
      </c>
      <c r="E493" s="26">
        <f>(((Table3[[#This Row],[Core CPI]]-$C$496)/$C$496)*100)+100</f>
        <v>99.496362618914389</v>
      </c>
      <c r="F493" s="27">
        <v>2.0665901262916321E-2</v>
      </c>
      <c r="G493" s="27">
        <f>VLOOKUP(Table3[[#This Row],[Date]],'PCE Core'!A:D,4,)</f>
        <v>1.4318347136968643E-2</v>
      </c>
    </row>
    <row r="494" spans="1:7" x14ac:dyDescent="0.2">
      <c r="A494" s="38">
        <v>36434</v>
      </c>
      <c r="B494" s="28">
        <f>VLOOKUP(Table3[[#This Row],[Date]],'PCE Core'!$A:$E,2,)</f>
        <v>79.619</v>
      </c>
      <c r="C494" s="28">
        <f>VLOOKUP(Table3[[#This Row],[Date]],Database!$A:$E,5)</f>
        <v>178.1</v>
      </c>
      <c r="D494" s="26">
        <f>(((Table3[[#This Row],[Core PCE]]-$B$496)/$B$496)*100)+100</f>
        <v>99.778184370143862</v>
      </c>
      <c r="E494" s="26">
        <f>(((Table3[[#This Row],[Core CPI]]-$C$496)/$C$496)*100)+100</f>
        <v>99.664241745942931</v>
      </c>
      <c r="F494" s="27">
        <v>2.1215596330275161E-2</v>
      </c>
      <c r="G494" s="27">
        <f>VLOOKUP(Table3[[#This Row],[Date]],'PCE Core'!A:D,4,)</f>
        <v>1.4073923121991034E-2</v>
      </c>
    </row>
    <row r="495" spans="1:7" x14ac:dyDescent="0.2">
      <c r="A495" s="41">
        <v>36465</v>
      </c>
      <c r="B495" s="28">
        <f>VLOOKUP(Table3[[#This Row],[Date]],'PCE Core'!$A:$E,2,)</f>
        <v>79.694999999999993</v>
      </c>
      <c r="C495" s="26">
        <f>VLOOKUP(Table3[[#This Row],[Date]],Database!$A:$E,5)</f>
        <v>178.4</v>
      </c>
      <c r="D495" s="26">
        <f>(((Table3[[#This Row],[Core PCE]]-$B$496)/$B$496)*100)+100</f>
        <v>99.873427239460611</v>
      </c>
      <c r="E495" s="26">
        <f>(((Table3[[#This Row],[Core CPI]]-$C$496)/$C$496)*100)+100</f>
        <v>99.832120872971473</v>
      </c>
      <c r="F495" s="27">
        <v>2.059496567505717E-2</v>
      </c>
      <c r="G495" s="27">
        <f>VLOOKUP(Table3[[#This Row],[Date]],'PCE Core'!A:D,4,)</f>
        <v>1.4860941320293237E-2</v>
      </c>
    </row>
    <row r="496" spans="1:7" x14ac:dyDescent="0.2">
      <c r="A496" s="38">
        <v>36495</v>
      </c>
      <c r="B496" s="28">
        <f>VLOOKUP(Table3[[#This Row],[Date]],'PCE Core'!$A:$E,2,)</f>
        <v>79.796000000000006</v>
      </c>
      <c r="C496" s="28">
        <f>VLOOKUP(Table3[[#This Row],[Date]],Database!$A:$E,5)</f>
        <v>178.7</v>
      </c>
      <c r="D496" s="26">
        <f>(((Table3[[#This Row],[Core PCE]]-$B$496)/$B$496)*100)+100</f>
        <v>100</v>
      </c>
      <c r="E496" s="26">
        <f>(((Table3[[#This Row],[Core CPI]]-$C$496)/$C$496)*100)+100</f>
        <v>100</v>
      </c>
      <c r="F496" s="27">
        <v>1.8814139110604231E-2</v>
      </c>
      <c r="G496" s="27">
        <f>VLOOKUP(Table3[[#This Row],[Date]],'PCE Core'!A:D,4,)</f>
        <v>1.4403213709113686E-2</v>
      </c>
    </row>
    <row r="497" spans="1:7" x14ac:dyDescent="0.2">
      <c r="A497" s="41">
        <v>36526</v>
      </c>
      <c r="B497" s="28">
        <f>VLOOKUP(Table3[[#This Row],[Date]],'PCE Core'!$A:$E,2,)</f>
        <v>79.986999999999995</v>
      </c>
      <c r="C497" s="28">
        <f>VLOOKUP(Table3[[#This Row],[Date]],Database!$A:$E,5)</f>
        <v>179.3</v>
      </c>
      <c r="D497" s="26">
        <f>(((Table3[[#This Row],[Core PCE]]-$B$496)/$B$496)*100)+100</f>
        <v>100.23936036894078</v>
      </c>
      <c r="E497" s="26">
        <f>(((Table3[[#This Row],[Core CPI]]-$C$496)/$C$496)*100)+100</f>
        <v>100.3357582540571</v>
      </c>
      <c r="F497" s="27">
        <v>2.1070615034168658E-2</v>
      </c>
      <c r="G497" s="27">
        <f>VLOOKUP(Table3[[#This Row],[Date]],'PCE Core'!A:D,4,)</f>
        <v>1.5372702345892131E-2</v>
      </c>
    </row>
    <row r="498" spans="1:7" x14ac:dyDescent="0.2">
      <c r="A498" s="38">
        <v>36557</v>
      </c>
      <c r="B498" s="28">
        <f>VLOOKUP(Table3[[#This Row],[Date]],'PCE Core'!$A:$E,2,)</f>
        <v>80.105999999999995</v>
      </c>
      <c r="C498" s="26">
        <f>VLOOKUP(Table3[[#This Row],[Date]],Database!$A:$E,5)</f>
        <v>179.4</v>
      </c>
      <c r="D498" s="26">
        <f>(((Table3[[#This Row],[Core PCE]]-$B$496)/$B$496)*100)+100</f>
        <v>100.38849065116044</v>
      </c>
      <c r="E498" s="26">
        <f>(((Table3[[#This Row],[Core CPI]]-$C$496)/$C$496)*100)+100</f>
        <v>100.3917179630666</v>
      </c>
      <c r="F498" s="27">
        <v>2.1640091116173189E-2</v>
      </c>
      <c r="G498" s="27">
        <f>VLOOKUP(Table3[[#This Row],[Date]],'PCE Core'!A:D,4,)</f>
        <v>1.7231964850347298E-2</v>
      </c>
    </row>
    <row r="499" spans="1:7" x14ac:dyDescent="0.2">
      <c r="A499" s="41">
        <v>36586</v>
      </c>
      <c r="B499" s="28">
        <f>VLOOKUP(Table3[[#This Row],[Date]],'PCE Core'!$A:$E,2,)</f>
        <v>80.27</v>
      </c>
      <c r="C499" s="28">
        <f>VLOOKUP(Table3[[#This Row],[Date]],Database!$A:$E,5)</f>
        <v>180</v>
      </c>
      <c r="D499" s="26">
        <f>(((Table3[[#This Row],[Core PCE]]-$B$496)/$B$496)*100)+100</f>
        <v>100.59401473758082</v>
      </c>
      <c r="E499" s="26">
        <f>(((Table3[[#This Row],[Core CPI]]-$C$496)/$C$496)*100)+100</f>
        <v>100.72747621712368</v>
      </c>
      <c r="F499" s="27">
        <v>2.447353443369386E-2</v>
      </c>
      <c r="G499" s="27">
        <f>VLOOKUP(Table3[[#This Row],[Date]],'PCE Core'!A:D,4,)</f>
        <v>1.9003973442677059E-2</v>
      </c>
    </row>
    <row r="500" spans="1:7" x14ac:dyDescent="0.2">
      <c r="A500" s="38">
        <v>36617</v>
      </c>
      <c r="B500" s="28">
        <f>VLOOKUP(Table3[[#This Row],[Date]],'PCE Core'!$A:$E,2,)</f>
        <v>80.322999999999993</v>
      </c>
      <c r="C500" s="28">
        <f>VLOOKUP(Table3[[#This Row],[Date]],Database!$A:$E,5)</f>
        <v>180.3</v>
      </c>
      <c r="D500" s="26">
        <f>(((Table3[[#This Row],[Core PCE]]-$B$496)/$B$496)*100)+100</f>
        <v>100.66043410697276</v>
      </c>
      <c r="E500" s="26">
        <f>(((Table3[[#This Row],[Core CPI]]-$C$496)/$C$496)*100)+100</f>
        <v>100.89535534415222</v>
      </c>
      <c r="F500" s="27">
        <v>2.2688598979013049E-2</v>
      </c>
      <c r="G500" s="27">
        <f>VLOOKUP(Table3[[#This Row],[Date]],'PCE Core'!A:D,4,)</f>
        <v>1.7068692624248167E-2</v>
      </c>
    </row>
    <row r="501" spans="1:7" x14ac:dyDescent="0.2">
      <c r="A501" s="41">
        <v>36647</v>
      </c>
      <c r="B501" s="28">
        <f>VLOOKUP(Table3[[#This Row],[Date]],'PCE Core'!$A:$E,2,)</f>
        <v>80.409000000000006</v>
      </c>
      <c r="C501" s="26">
        <f>VLOOKUP(Table3[[#This Row],[Date]],Database!$A:$E,5)</f>
        <v>180.7</v>
      </c>
      <c r="D501" s="26">
        <f>(((Table3[[#This Row],[Core PCE]]-$B$496)/$B$496)*100)+100</f>
        <v>100.76820893277859</v>
      </c>
      <c r="E501" s="26">
        <f>(((Table3[[#This Row],[Core CPI]]-$C$496)/$C$496)*100)+100</f>
        <v>101.11919418019026</v>
      </c>
      <c r="F501" s="27">
        <v>2.379603399433421E-2</v>
      </c>
      <c r="G501" s="27">
        <f>VLOOKUP(Table3[[#This Row],[Date]],'PCE Core'!A:D,4,)</f>
        <v>1.7178783317099138E-2</v>
      </c>
    </row>
    <row r="502" spans="1:7" x14ac:dyDescent="0.2">
      <c r="A502" s="38">
        <v>36678</v>
      </c>
      <c r="B502" s="28">
        <f>VLOOKUP(Table3[[#This Row],[Date]],'PCE Core'!$A:$E,2,)</f>
        <v>80.47</v>
      </c>
      <c r="C502" s="28">
        <f>VLOOKUP(Table3[[#This Row],[Date]],Database!$A:$E,5)</f>
        <v>181.1</v>
      </c>
      <c r="D502" s="26">
        <f>(((Table3[[#This Row],[Core PCE]]-$B$496)/$B$496)*100)+100</f>
        <v>100.84465386736176</v>
      </c>
      <c r="E502" s="26">
        <f>(((Table3[[#This Row],[Core CPI]]-$C$496)/$C$496)*100)+100</f>
        <v>101.34303301622832</v>
      </c>
      <c r="F502" s="27">
        <v>2.5481313703284259E-2</v>
      </c>
      <c r="G502" s="27">
        <f>VLOOKUP(Table3[[#This Row],[Date]],'PCE Core'!A:D,4,)</f>
        <v>1.7422748191978962E-2</v>
      </c>
    </row>
    <row r="503" spans="1:7" x14ac:dyDescent="0.2">
      <c r="A503" s="41">
        <v>36708</v>
      </c>
      <c r="B503" s="28">
        <f>VLOOKUP(Table3[[#This Row],[Date]],'PCE Core'!$A:$E,2,)</f>
        <v>80.653999999999996</v>
      </c>
      <c r="C503" s="28">
        <f>VLOOKUP(Table3[[#This Row],[Date]],Database!$A:$E,5)</f>
        <v>181.5</v>
      </c>
      <c r="D503" s="26">
        <f>(((Table3[[#This Row],[Core PCE]]-$B$496)/$B$496)*100)+100</f>
        <v>101.07524186676022</v>
      </c>
      <c r="E503" s="26">
        <f>(((Table3[[#This Row],[Core CPI]]-$C$496)/$C$496)*100)+100</f>
        <v>101.56687185226637</v>
      </c>
      <c r="F503" s="27">
        <v>2.4844720496894439E-2</v>
      </c>
      <c r="G503" s="27">
        <f>VLOOKUP(Table3[[#This Row],[Date]],'PCE Core'!A:D,4,)</f>
        <v>1.790875244525774E-2</v>
      </c>
    </row>
    <row r="504" spans="1:7" x14ac:dyDescent="0.2">
      <c r="A504" s="38">
        <v>36739</v>
      </c>
      <c r="B504" s="28">
        <f>VLOOKUP(Table3[[#This Row],[Date]],'PCE Core'!$A:$E,2,)</f>
        <v>80.757000000000005</v>
      </c>
      <c r="C504" s="26">
        <f>VLOOKUP(Table3[[#This Row],[Date]],Database!$A:$E,5)</f>
        <v>181.9</v>
      </c>
      <c r="D504" s="26">
        <f>(((Table3[[#This Row],[Core PCE]]-$B$496)/$B$496)*100)+100</f>
        <v>101.20432101859743</v>
      </c>
      <c r="E504" s="26">
        <f>(((Table3[[#This Row],[Core CPI]]-$C$496)/$C$496)*100)+100</f>
        <v>101.79071068830443</v>
      </c>
      <c r="F504" s="27">
        <v>2.5944726452340632E-2</v>
      </c>
      <c r="G504" s="27">
        <f>VLOOKUP(Table3[[#This Row],[Date]],'PCE Core'!A:D,4,)</f>
        <v>1.8720119082159235E-2</v>
      </c>
    </row>
    <row r="505" spans="1:7" x14ac:dyDescent="0.2">
      <c r="A505" s="41">
        <v>36770</v>
      </c>
      <c r="B505" s="28">
        <f>VLOOKUP(Table3[[#This Row],[Date]],'PCE Core'!$A:$E,2,)</f>
        <v>80.953000000000003</v>
      </c>
      <c r="C505" s="28">
        <f>VLOOKUP(Table3[[#This Row],[Date]],Database!$A:$E,5)</f>
        <v>182.3</v>
      </c>
      <c r="D505" s="26">
        <f>(((Table3[[#This Row],[Core PCE]]-$B$496)/$B$496)*100)+100</f>
        <v>101.44994736578275</v>
      </c>
      <c r="E505" s="26">
        <f>(((Table3[[#This Row],[Core CPI]]-$C$496)/$C$496)*100)+100</f>
        <v>102.01454952434248</v>
      </c>
      <c r="F505" s="27">
        <v>2.5309336332958381E-2</v>
      </c>
      <c r="G505" s="27">
        <f>VLOOKUP(Table3[[#This Row],[Date]],'PCE Core'!A:D,4,)</f>
        <v>1.8494520840934524E-2</v>
      </c>
    </row>
    <row r="506" spans="1:7" x14ac:dyDescent="0.2">
      <c r="A506" s="38">
        <v>36800</v>
      </c>
      <c r="B506" s="28">
        <f>VLOOKUP(Table3[[#This Row],[Date]],'PCE Core'!$A:$E,2,)</f>
        <v>81.066999999999993</v>
      </c>
      <c r="C506" s="28">
        <f>VLOOKUP(Table3[[#This Row],[Date]],Database!$A:$E,5)</f>
        <v>182.6</v>
      </c>
      <c r="D506" s="26">
        <f>(((Table3[[#This Row],[Core PCE]]-$B$496)/$B$496)*100)+100</f>
        <v>101.59281166975786</v>
      </c>
      <c r="E506" s="26">
        <f>(((Table3[[#This Row],[Core CPI]]-$C$496)/$C$496)*100)+100</f>
        <v>102.18242865137101</v>
      </c>
      <c r="F506" s="27">
        <v>2.526670409882089E-2</v>
      </c>
      <c r="G506" s="27">
        <f>VLOOKUP(Table3[[#This Row],[Date]],'PCE Core'!A:D,4,)</f>
        <v>1.8186613747974645E-2</v>
      </c>
    </row>
    <row r="507" spans="1:7" x14ac:dyDescent="0.2">
      <c r="A507" s="41">
        <v>36831</v>
      </c>
      <c r="B507" s="28">
        <f>VLOOKUP(Table3[[#This Row],[Date]],'PCE Core'!$A:$E,2,)</f>
        <v>81.209999999999994</v>
      </c>
      <c r="C507" s="26">
        <f>VLOOKUP(Table3[[#This Row],[Date]],Database!$A:$E,5)</f>
        <v>183.1</v>
      </c>
      <c r="D507" s="26">
        <f>(((Table3[[#This Row],[Core PCE]]-$B$496)/$B$496)*100)+100</f>
        <v>101.77201864755123</v>
      </c>
      <c r="E507" s="26">
        <f>(((Table3[[#This Row],[Core CPI]]-$C$496)/$C$496)*100)+100</f>
        <v>102.46222719641858</v>
      </c>
      <c r="F507" s="27">
        <v>2.6345291479820562E-2</v>
      </c>
      <c r="G507" s="27">
        <f>VLOOKUP(Table3[[#This Row],[Date]],'PCE Core'!A:D,4,)</f>
        <v>1.9009975531714671E-2</v>
      </c>
    </row>
    <row r="508" spans="1:7" x14ac:dyDescent="0.2">
      <c r="A508" s="38">
        <v>36861</v>
      </c>
      <c r="B508" s="28">
        <f>VLOOKUP(Table3[[#This Row],[Date]],'PCE Core'!$A:$E,2,)</f>
        <v>81.289000000000001</v>
      </c>
      <c r="C508" s="28">
        <f>VLOOKUP(Table3[[#This Row],[Date]],Database!$A:$E,5)</f>
        <v>183.3</v>
      </c>
      <c r="D508" s="26">
        <f>(((Table3[[#This Row],[Core PCE]]-$B$496)/$B$496)*100)+100</f>
        <v>101.87102110381473</v>
      </c>
      <c r="E508" s="26">
        <f>(((Table3[[#This Row],[Core CPI]]-$C$496)/$C$496)*100)+100</f>
        <v>102.57414661443762</v>
      </c>
      <c r="F508" s="27">
        <v>2.5741466144376179E-2</v>
      </c>
      <c r="G508" s="27">
        <f>VLOOKUP(Table3[[#This Row],[Date]],'PCE Core'!A:D,4,)</f>
        <v>1.8710211038147212E-2</v>
      </c>
    </row>
    <row r="509" spans="1:7" x14ac:dyDescent="0.2">
      <c r="A509" s="41">
        <v>36892</v>
      </c>
      <c r="B509" s="28">
        <f>VLOOKUP(Table3[[#This Row],[Date]],'PCE Core'!$A:$E,2,)</f>
        <v>81.591999999999999</v>
      </c>
      <c r="C509" s="28">
        <f>VLOOKUP(Table3[[#This Row],[Date]],Database!$A:$E,5)</f>
        <v>183.9</v>
      </c>
      <c r="D509" s="26">
        <f>(((Table3[[#This Row],[Core PCE]]-$B$496)/$B$496)*100)+100</f>
        <v>102.25073938543284</v>
      </c>
      <c r="E509" s="26">
        <f>(((Table3[[#This Row],[Core CPI]]-$C$496)/$C$496)*100)+100</f>
        <v>102.90990486849469</v>
      </c>
      <c r="F509" s="27">
        <v>2.5655326268823171E-2</v>
      </c>
      <c r="G509" s="27">
        <f>VLOOKUP(Table3[[#This Row],[Date]],'PCE Core'!A:D,4,)</f>
        <v>2.0065760686111545E-2</v>
      </c>
    </row>
    <row r="510" spans="1:7" x14ac:dyDescent="0.2">
      <c r="A510" s="38">
        <v>36923</v>
      </c>
      <c r="B510" s="28">
        <f>VLOOKUP(Table3[[#This Row],[Date]],'PCE Core'!$A:$E,2,)</f>
        <v>81.736000000000004</v>
      </c>
      <c r="C510" s="26">
        <f>VLOOKUP(Table3[[#This Row],[Date]],Database!$A:$E,5)</f>
        <v>184.4</v>
      </c>
      <c r="D510" s="26">
        <f>(((Table3[[#This Row],[Core PCE]]-$B$496)/$B$496)*100)+100</f>
        <v>102.43119955887514</v>
      </c>
      <c r="E510" s="26">
        <f>(((Table3[[#This Row],[Core CPI]]-$C$496)/$C$496)*100)+100</f>
        <v>103.18970341354226</v>
      </c>
      <c r="F510" s="27">
        <v>2.7870680044593091E-2</v>
      </c>
      <c r="G510" s="27">
        <f>VLOOKUP(Table3[[#This Row],[Date]],'PCE Core'!A:D,4,)</f>
        <v>2.0348038848525825E-2</v>
      </c>
    </row>
    <row r="511" spans="1:7" x14ac:dyDescent="0.2">
      <c r="A511" s="41">
        <v>36951</v>
      </c>
      <c r="B511" s="28">
        <f>VLOOKUP(Table3[[#This Row],[Date]],'PCE Core'!$A:$E,2,)</f>
        <v>81.820999999999998</v>
      </c>
      <c r="C511" s="28">
        <f>VLOOKUP(Table3[[#This Row],[Date]],Database!$A:$E,5)</f>
        <v>184.7</v>
      </c>
      <c r="D511" s="26">
        <f>(((Table3[[#This Row],[Core PCE]]-$B$496)/$B$496)*100)+100</f>
        <v>102.53772118903203</v>
      </c>
      <c r="E511" s="26">
        <f>(((Table3[[#This Row],[Core CPI]]-$C$496)/$C$496)*100)+100</f>
        <v>103.35758254057079</v>
      </c>
      <c r="F511" s="27">
        <v>2.611111111111105E-2</v>
      </c>
      <c r="G511" s="27">
        <f>VLOOKUP(Table3[[#This Row],[Date]],'PCE Core'!A:D,4,)</f>
        <v>1.932228728042858E-2</v>
      </c>
    </row>
    <row r="512" spans="1:7" x14ac:dyDescent="0.2">
      <c r="A512" s="38">
        <v>36982</v>
      </c>
      <c r="B512" s="28">
        <f>VLOOKUP(Table3[[#This Row],[Date]],'PCE Core'!$A:$E,2,)</f>
        <v>81.950999999999993</v>
      </c>
      <c r="C512" s="28">
        <f>VLOOKUP(Table3[[#This Row],[Date]],Database!$A:$E,5)</f>
        <v>185.1</v>
      </c>
      <c r="D512" s="26">
        <f>(((Table3[[#This Row],[Core PCE]]-$B$496)/$B$496)*100)+100</f>
        <v>102.70063662338963</v>
      </c>
      <c r="E512" s="26">
        <f>(((Table3[[#This Row],[Core CPI]]-$C$496)/$C$496)*100)+100</f>
        <v>103.58142137660884</v>
      </c>
      <c r="F512" s="27">
        <v>2.6622296173044829E-2</v>
      </c>
      <c r="G512" s="27">
        <f>VLOOKUP(Table3[[#This Row],[Date]],'PCE Core'!A:D,4,)</f>
        <v>2.0268167274628691E-2</v>
      </c>
    </row>
    <row r="513" spans="1:7" x14ac:dyDescent="0.2">
      <c r="A513" s="41">
        <v>37012</v>
      </c>
      <c r="B513" s="28">
        <f>VLOOKUP(Table3[[#This Row],[Date]],'PCE Core'!$A:$E,2,)</f>
        <v>81.97</v>
      </c>
      <c r="C513" s="26">
        <f>VLOOKUP(Table3[[#This Row],[Date]],Database!$A:$E,5)</f>
        <v>185.3</v>
      </c>
      <c r="D513" s="26">
        <f>(((Table3[[#This Row],[Core PCE]]-$B$496)/$B$496)*100)+100</f>
        <v>102.72444734071883</v>
      </c>
      <c r="E513" s="26">
        <f>(((Table3[[#This Row],[Core CPI]]-$C$496)/$C$496)*100)+100</f>
        <v>103.69334079462789</v>
      </c>
      <c r="F513" s="27">
        <v>2.5456557830658678E-2</v>
      </c>
      <c r="G513" s="27">
        <f>VLOOKUP(Table3[[#This Row],[Date]],'PCE Core'!A:D,4,)</f>
        <v>1.9413249760598848E-2</v>
      </c>
    </row>
    <row r="514" spans="1:7" x14ac:dyDescent="0.2">
      <c r="A514" s="38">
        <v>37043</v>
      </c>
      <c r="B514" s="28">
        <f>VLOOKUP(Table3[[#This Row],[Date]],'PCE Core'!$A:$E,2,)</f>
        <v>82.153999999999996</v>
      </c>
      <c r="C514" s="28">
        <f>VLOOKUP(Table3[[#This Row],[Date]],Database!$A:$E,5)</f>
        <v>186</v>
      </c>
      <c r="D514" s="26">
        <f>(((Table3[[#This Row],[Core PCE]]-$B$496)/$B$496)*100)+100</f>
        <v>102.95503534011729</v>
      </c>
      <c r="E514" s="26">
        <f>(((Table3[[#This Row],[Core CPI]]-$C$496)/$C$496)*100)+100</f>
        <v>104.08505875769447</v>
      </c>
      <c r="F514" s="27">
        <v>2.705687465488683E-2</v>
      </c>
      <c r="G514" s="27">
        <f>VLOOKUP(Table3[[#This Row],[Date]],'PCE Core'!A:D,4,)</f>
        <v>2.0927053560333014E-2</v>
      </c>
    </row>
    <row r="515" spans="1:7" x14ac:dyDescent="0.2">
      <c r="A515" s="41">
        <v>37073</v>
      </c>
      <c r="B515" s="28">
        <f>VLOOKUP(Table3[[#This Row],[Date]],'PCE Core'!$A:$E,2,)</f>
        <v>82.366</v>
      </c>
      <c r="C515" s="28">
        <f>VLOOKUP(Table3[[#This Row],[Date]],Database!$A:$E,5)</f>
        <v>186.4</v>
      </c>
      <c r="D515" s="26">
        <f>(((Table3[[#This Row],[Core PCE]]-$B$496)/$B$496)*100)+100</f>
        <v>103.22071281768508</v>
      </c>
      <c r="E515" s="26">
        <f>(((Table3[[#This Row],[Core CPI]]-$C$496)/$C$496)*100)+100</f>
        <v>104.30889759373252</v>
      </c>
      <c r="F515" s="27">
        <v>2.6997245179063389E-2</v>
      </c>
      <c r="G515" s="27">
        <f>VLOOKUP(Table3[[#This Row],[Date]],'PCE Core'!A:D,4,)</f>
        <v>2.1226473578495837E-2</v>
      </c>
    </row>
    <row r="516" spans="1:7" x14ac:dyDescent="0.2">
      <c r="A516" s="38">
        <v>37104</v>
      </c>
      <c r="B516" s="28">
        <f>VLOOKUP(Table3[[#This Row],[Date]],'PCE Core'!$A:$E,2,)</f>
        <v>82.406000000000006</v>
      </c>
      <c r="C516" s="26">
        <f>VLOOKUP(Table3[[#This Row],[Date]],Database!$A:$E,5)</f>
        <v>186.7</v>
      </c>
      <c r="D516" s="26">
        <f>(((Table3[[#This Row],[Core PCE]]-$B$496)/$B$496)*100)+100</f>
        <v>103.27084064364128</v>
      </c>
      <c r="E516" s="26">
        <f>(((Table3[[#This Row],[Core CPI]]-$C$496)/$C$496)*100)+100</f>
        <v>104.47677672076105</v>
      </c>
      <c r="F516" s="27">
        <v>2.6388125343595289E-2</v>
      </c>
      <c r="G516" s="27">
        <f>VLOOKUP(Table3[[#This Row],[Date]],'PCE Core'!A:D,4,)</f>
        <v>2.0419282538974959E-2</v>
      </c>
    </row>
    <row r="517" spans="1:7" x14ac:dyDescent="0.2">
      <c r="A517" s="41">
        <v>37135</v>
      </c>
      <c r="B517" s="28">
        <f>VLOOKUP(Table3[[#This Row],[Date]],'PCE Core'!$A:$E,2,)</f>
        <v>81.938999999999993</v>
      </c>
      <c r="C517" s="28">
        <f>VLOOKUP(Table3[[#This Row],[Date]],Database!$A:$E,5)</f>
        <v>187.1</v>
      </c>
      <c r="D517" s="26">
        <f>(((Table3[[#This Row],[Core PCE]]-$B$496)/$B$496)*100)+100</f>
        <v>102.68559827560277</v>
      </c>
      <c r="E517" s="26">
        <f>(((Table3[[#This Row],[Core CPI]]-$C$496)/$C$496)*100)+100</f>
        <v>104.70061555679911</v>
      </c>
      <c r="F517" s="27">
        <v>2.6330224904004291E-2</v>
      </c>
      <c r="G517" s="27">
        <f>VLOOKUP(Table3[[#This Row],[Date]],'PCE Core'!A:D,4,)</f>
        <v>1.2179906859535655E-2</v>
      </c>
    </row>
    <row r="518" spans="1:7" x14ac:dyDescent="0.2">
      <c r="A518" s="38">
        <v>37165</v>
      </c>
      <c r="B518" s="28">
        <f>VLOOKUP(Table3[[#This Row],[Date]],'PCE Core'!$A:$E,2,)</f>
        <v>82.516000000000005</v>
      </c>
      <c r="C518" s="28">
        <f>VLOOKUP(Table3[[#This Row],[Date]],Database!$A:$E,5)</f>
        <v>187.4</v>
      </c>
      <c r="D518" s="26">
        <f>(((Table3[[#This Row],[Core PCE]]-$B$496)/$B$496)*100)+100</f>
        <v>103.4086921650208</v>
      </c>
      <c r="E518" s="26">
        <f>(((Table3[[#This Row],[Core CPI]]-$C$496)/$C$496)*100)+100</f>
        <v>104.86849468382765</v>
      </c>
      <c r="F518" s="27">
        <v>2.6286966046002249E-2</v>
      </c>
      <c r="G518" s="27">
        <f>VLOOKUP(Table3[[#This Row],[Date]],'PCE Core'!A:D,4,)</f>
        <v>1.7874104136085121E-2</v>
      </c>
    </row>
    <row r="519" spans="1:7" x14ac:dyDescent="0.2">
      <c r="A519" s="41">
        <v>37196</v>
      </c>
      <c r="B519" s="28">
        <f>VLOOKUP(Table3[[#This Row],[Date]],'PCE Core'!$A:$E,2,)</f>
        <v>82.683000000000007</v>
      </c>
      <c r="C519" s="26">
        <f>VLOOKUP(Table3[[#This Row],[Date]],Database!$A:$E,5)</f>
        <v>188.1</v>
      </c>
      <c r="D519" s="26">
        <f>(((Table3[[#This Row],[Core PCE]]-$B$496)/$B$496)*100)+100</f>
        <v>103.61797583838789</v>
      </c>
      <c r="E519" s="26">
        <f>(((Table3[[#This Row],[Core CPI]]-$C$496)/$C$496)*100)+100</f>
        <v>105.26021264689425</v>
      </c>
      <c r="F519" s="27">
        <v>2.7307482250136541E-2</v>
      </c>
      <c r="G519" s="27">
        <f>VLOOKUP(Table3[[#This Row],[Date]],'PCE Core'!A:D,4,)</f>
        <v>1.813816032508328E-2</v>
      </c>
    </row>
    <row r="520" spans="1:7" x14ac:dyDescent="0.2">
      <c r="A520" s="38">
        <v>37226</v>
      </c>
      <c r="B520" s="28">
        <f>VLOOKUP(Table3[[#This Row],[Date]],'PCE Core'!$A:$E,2,)</f>
        <v>82.701999999999998</v>
      </c>
      <c r="C520" s="28">
        <f>VLOOKUP(Table3[[#This Row],[Date]],Database!$A:$E,5)</f>
        <v>188.4</v>
      </c>
      <c r="D520" s="26">
        <f>(((Table3[[#This Row],[Core PCE]]-$B$496)/$B$496)*100)+100</f>
        <v>103.64178655571706</v>
      </c>
      <c r="E520" s="26">
        <f>(((Table3[[#This Row],[Core CPI]]-$C$496)/$C$496)*100)+100</f>
        <v>105.42809177392279</v>
      </c>
      <c r="F520" s="27">
        <v>2.7823240589197999E-2</v>
      </c>
      <c r="G520" s="27">
        <f>VLOOKUP(Table3[[#This Row],[Date]],'PCE Core'!A:D,4,)</f>
        <v>1.7382425666449295E-2</v>
      </c>
    </row>
    <row r="521" spans="1:7" x14ac:dyDescent="0.2">
      <c r="A521" s="41">
        <v>37257</v>
      </c>
      <c r="B521" s="28">
        <f>VLOOKUP(Table3[[#This Row],[Date]],'PCE Core'!$A:$E,2,)</f>
        <v>82.75</v>
      </c>
      <c r="C521" s="28">
        <f>VLOOKUP(Table3[[#This Row],[Date]],Database!$A:$E,5)</f>
        <v>188.7</v>
      </c>
      <c r="D521" s="26">
        <f>(((Table3[[#This Row],[Core PCE]]-$B$496)/$B$496)*100)+100</f>
        <v>103.7019399468645</v>
      </c>
      <c r="E521" s="26">
        <f>(((Table3[[#This Row],[Core CPI]]-$C$496)/$C$496)*100)+100</f>
        <v>105.59597090095131</v>
      </c>
      <c r="F521" s="27">
        <v>2.6101141924959121E-2</v>
      </c>
      <c r="G521" s="27">
        <f>VLOOKUP(Table3[[#This Row],[Date]],'PCE Core'!A:D,4,)</f>
        <v>1.4192567898813624E-2</v>
      </c>
    </row>
    <row r="522" spans="1:7" x14ac:dyDescent="0.2">
      <c r="A522" s="38">
        <v>37288</v>
      </c>
      <c r="B522" s="28">
        <f>VLOOKUP(Table3[[#This Row],[Date]],'PCE Core'!$A:$E,2,)</f>
        <v>82.906999999999996</v>
      </c>
      <c r="C522" s="26">
        <f>VLOOKUP(Table3[[#This Row],[Date]],Database!$A:$E,5)</f>
        <v>189.1</v>
      </c>
      <c r="D522" s="26">
        <f>(((Table3[[#This Row],[Core PCE]]-$B$496)/$B$496)*100)+100</f>
        <v>103.89869166374253</v>
      </c>
      <c r="E522" s="26">
        <f>(((Table3[[#This Row],[Core CPI]]-$C$496)/$C$496)*100)+100</f>
        <v>105.81980973698937</v>
      </c>
      <c r="F522" s="27">
        <v>2.5488069414316639E-2</v>
      </c>
      <c r="G522" s="27">
        <f>VLOOKUP(Table3[[#This Row],[Date]],'PCE Core'!A:D,4,)</f>
        <v>1.4326612508564063E-2</v>
      </c>
    </row>
    <row r="523" spans="1:7" x14ac:dyDescent="0.2">
      <c r="A523" s="41">
        <v>37316</v>
      </c>
      <c r="B523" s="28">
        <f>VLOOKUP(Table3[[#This Row],[Date]],'PCE Core'!$A:$E,2,)</f>
        <v>83.006</v>
      </c>
      <c r="C523" s="28">
        <f>VLOOKUP(Table3[[#This Row],[Date]],Database!$A:$E,5)</f>
        <v>189.2</v>
      </c>
      <c r="D523" s="26">
        <f>(((Table3[[#This Row],[Core PCE]]-$B$496)/$B$496)*100)+100</f>
        <v>104.0227580329841</v>
      </c>
      <c r="E523" s="26">
        <f>(((Table3[[#This Row],[Core CPI]]-$C$496)/$C$496)*100)+100</f>
        <v>105.87576944599888</v>
      </c>
      <c r="F523" s="27">
        <v>2.4363833243096919E-2</v>
      </c>
      <c r="G523" s="27">
        <f>VLOOKUP(Table3[[#This Row],[Date]],'PCE Core'!A:D,4,)</f>
        <v>1.4482834480145711E-2</v>
      </c>
    </row>
    <row r="524" spans="1:7" x14ac:dyDescent="0.2">
      <c r="A524" s="38">
        <v>37347</v>
      </c>
      <c r="B524" s="28">
        <f>VLOOKUP(Table3[[#This Row],[Date]],'PCE Core'!$A:$E,2,)</f>
        <v>83.238</v>
      </c>
      <c r="C524" s="28">
        <f>VLOOKUP(Table3[[#This Row],[Date]],Database!$A:$E,5)</f>
        <v>189.7</v>
      </c>
      <c r="D524" s="26">
        <f>(((Table3[[#This Row],[Core PCE]]-$B$496)/$B$496)*100)+100</f>
        <v>104.31349942352999</v>
      </c>
      <c r="E524" s="26">
        <f>(((Table3[[#This Row],[Core CPI]]-$C$496)/$C$496)*100)+100</f>
        <v>106.15556799104645</v>
      </c>
      <c r="F524" s="27">
        <v>2.4851431658562909E-2</v>
      </c>
      <c r="G524" s="27">
        <f>VLOOKUP(Table3[[#This Row],[Date]],'PCE Core'!A:D,4,)</f>
        <v>1.5704506351356375E-2</v>
      </c>
    </row>
    <row r="525" spans="1:7" x14ac:dyDescent="0.2">
      <c r="A525" s="41">
        <v>37377</v>
      </c>
      <c r="B525" s="28">
        <f>VLOOKUP(Table3[[#This Row],[Date]],'PCE Core'!$A:$E,2,)</f>
        <v>83.331000000000003</v>
      </c>
      <c r="C525" s="26">
        <f>VLOOKUP(Table3[[#This Row],[Date]],Database!$A:$E,5)</f>
        <v>190</v>
      </c>
      <c r="D525" s="26">
        <f>(((Table3[[#This Row],[Core PCE]]-$B$496)/$B$496)*100)+100</f>
        <v>104.43004661887814</v>
      </c>
      <c r="E525" s="26">
        <f>(((Table3[[#This Row],[Core CPI]]-$C$496)/$C$496)*100)+100</f>
        <v>106.32344711807499</v>
      </c>
      <c r="F525" s="27">
        <v>2.5364274150026921E-2</v>
      </c>
      <c r="G525" s="27">
        <f>VLOOKUP(Table3[[#This Row],[Date]],'PCE Core'!A:D,4,)</f>
        <v>1.6603635476393853E-2</v>
      </c>
    </row>
    <row r="526" spans="1:7" x14ac:dyDescent="0.2">
      <c r="A526" s="38">
        <v>37408</v>
      </c>
      <c r="B526" s="28">
        <f>VLOOKUP(Table3[[#This Row],[Date]],'PCE Core'!$A:$E,2,)</f>
        <v>83.462999999999994</v>
      </c>
      <c r="C526" s="28">
        <f>VLOOKUP(Table3[[#This Row],[Date]],Database!$A:$E,5)</f>
        <v>190.2</v>
      </c>
      <c r="D526" s="26">
        <f>(((Table3[[#This Row],[Core PCE]]-$B$496)/$B$496)*100)+100</f>
        <v>104.59546844453354</v>
      </c>
      <c r="E526" s="26">
        <f>(((Table3[[#This Row],[Core CPI]]-$C$496)/$C$496)*100)+100</f>
        <v>106.43536653609401</v>
      </c>
      <c r="F526" s="27">
        <v>2.2580645161290259E-2</v>
      </c>
      <c r="G526" s="27">
        <f>VLOOKUP(Table3[[#This Row],[Date]],'PCE Core'!A:D,4,)</f>
        <v>1.5933490761253225E-2</v>
      </c>
    </row>
    <row r="527" spans="1:7" x14ac:dyDescent="0.2">
      <c r="A527" s="41">
        <v>37438</v>
      </c>
      <c r="B527" s="28">
        <f>VLOOKUP(Table3[[#This Row],[Date]],'PCE Core'!$A:$E,2,)</f>
        <v>83.632000000000005</v>
      </c>
      <c r="C527" s="28">
        <f>VLOOKUP(Table3[[#This Row],[Date]],Database!$A:$E,5)</f>
        <v>190.5</v>
      </c>
      <c r="D527" s="26">
        <f>(((Table3[[#This Row],[Core PCE]]-$B$496)/$B$496)*100)+100</f>
        <v>104.80725850919845</v>
      </c>
      <c r="E527" s="26">
        <f>(((Table3[[#This Row],[Core CPI]]-$C$496)/$C$496)*100)+100</f>
        <v>106.60324566312256</v>
      </c>
      <c r="F527" s="27">
        <v>2.199570815450641E-2</v>
      </c>
      <c r="G527" s="27">
        <f>VLOOKUP(Table3[[#This Row],[Date]],'PCE Core'!A:D,4,)</f>
        <v>1.5370419833426479E-2</v>
      </c>
    </row>
    <row r="528" spans="1:7" x14ac:dyDescent="0.2">
      <c r="A528" s="38">
        <v>37469</v>
      </c>
      <c r="B528" s="28">
        <f>VLOOKUP(Table3[[#This Row],[Date]],'PCE Core'!$A:$E,2,)</f>
        <v>83.796999999999997</v>
      </c>
      <c r="C528" s="26">
        <f>VLOOKUP(Table3[[#This Row],[Date]],Database!$A:$E,5)</f>
        <v>191.1</v>
      </c>
      <c r="D528" s="26">
        <f>(((Table3[[#This Row],[Core PCE]]-$B$496)/$B$496)*100)+100</f>
        <v>105.01403579126772</v>
      </c>
      <c r="E528" s="26">
        <f>(((Table3[[#This Row],[Core CPI]]-$C$496)/$C$496)*100)+100</f>
        <v>106.93900391717963</v>
      </c>
      <c r="F528" s="27">
        <v>2.356722013926088E-2</v>
      </c>
      <c r="G528" s="27">
        <f>VLOOKUP(Table3[[#This Row],[Date]],'PCE Core'!A:D,4,)</f>
        <v>1.6879838846685813E-2</v>
      </c>
    </row>
    <row r="529" spans="1:7" x14ac:dyDescent="0.2">
      <c r="A529" s="41">
        <v>37500</v>
      </c>
      <c r="B529" s="28">
        <f>VLOOKUP(Table3[[#This Row],[Date]],'PCE Core'!$A:$E,2,)</f>
        <v>83.933999999999997</v>
      </c>
      <c r="C529" s="28">
        <f>VLOOKUP(Table3[[#This Row],[Date]],Database!$A:$E,5)</f>
        <v>191.3</v>
      </c>
      <c r="D529" s="26">
        <f>(((Table3[[#This Row],[Core PCE]]-$B$496)/$B$496)*100)+100</f>
        <v>105.18572359516767</v>
      </c>
      <c r="E529" s="26">
        <f>(((Table3[[#This Row],[Core CPI]]-$C$496)/$C$496)*100)+100</f>
        <v>107.05092333519868</v>
      </c>
      <c r="F529" s="27">
        <v>2.2447888829503031E-2</v>
      </c>
      <c r="G529" s="27">
        <f>VLOOKUP(Table3[[#This Row],[Date]],'PCE Core'!A:D,4,)</f>
        <v>2.4347380368322836E-2</v>
      </c>
    </row>
    <row r="530" spans="1:7" x14ac:dyDescent="0.2">
      <c r="A530" s="38">
        <v>37530</v>
      </c>
      <c r="B530" s="28">
        <f>VLOOKUP(Table3[[#This Row],[Date]],'PCE Core'!$A:$E,2,)</f>
        <v>84.004999999999995</v>
      </c>
      <c r="C530" s="28">
        <f>VLOOKUP(Table3[[#This Row],[Date]],Database!$A:$E,5)</f>
        <v>191.5</v>
      </c>
      <c r="D530" s="26">
        <f>(((Table3[[#This Row],[Core PCE]]-$B$496)/$B$496)*100)+100</f>
        <v>105.27470048623989</v>
      </c>
      <c r="E530" s="26">
        <f>(((Table3[[#This Row],[Core CPI]]-$C$496)/$C$496)*100)+100</f>
        <v>107.16284275321769</v>
      </c>
      <c r="F530" s="27">
        <v>2.1878335112059739E-2</v>
      </c>
      <c r="G530" s="27">
        <f>VLOOKUP(Table3[[#This Row],[Date]],'PCE Core'!A:D,4,)</f>
        <v>1.8044985214988488E-2</v>
      </c>
    </row>
    <row r="531" spans="1:7" x14ac:dyDescent="0.2">
      <c r="A531" s="41">
        <v>37561</v>
      </c>
      <c r="B531" s="28">
        <f>VLOOKUP(Table3[[#This Row],[Date]],'PCE Core'!$A:$E,2,)</f>
        <v>84.087000000000003</v>
      </c>
      <c r="C531" s="26">
        <f>VLOOKUP(Table3[[#This Row],[Date]],Database!$A:$E,5)</f>
        <v>191.9</v>
      </c>
      <c r="D531" s="26">
        <f>(((Table3[[#This Row],[Core PCE]]-$B$496)/$B$496)*100)+100</f>
        <v>105.3774625294501</v>
      </c>
      <c r="E531" s="26">
        <f>(((Table3[[#This Row],[Core CPI]]-$C$496)/$C$496)*100)+100</f>
        <v>107.38668158925574</v>
      </c>
      <c r="F531" s="27">
        <v>2.0202020202020259E-2</v>
      </c>
      <c r="G531" s="27">
        <f>VLOOKUP(Table3[[#This Row],[Date]],'PCE Core'!A:D,4,)</f>
        <v>1.698051594644602E-2</v>
      </c>
    </row>
    <row r="532" spans="1:7" x14ac:dyDescent="0.2">
      <c r="A532" s="38">
        <v>37591</v>
      </c>
      <c r="B532" s="28">
        <f>VLOOKUP(Table3[[#This Row],[Date]],'PCE Core'!$A:$E,2,)</f>
        <v>84.165000000000006</v>
      </c>
      <c r="C532" s="28">
        <f>VLOOKUP(Table3[[#This Row],[Date]],Database!$A:$E,5)</f>
        <v>192.1</v>
      </c>
      <c r="D532" s="26">
        <f>(((Table3[[#This Row],[Core PCE]]-$B$496)/$B$496)*100)+100</f>
        <v>105.47521179006466</v>
      </c>
      <c r="E532" s="26">
        <f>(((Table3[[#This Row],[Core CPI]]-$C$496)/$C$496)*100)+100</f>
        <v>107.49860100727477</v>
      </c>
      <c r="F532" s="27">
        <v>1.963906581740971E-2</v>
      </c>
      <c r="G532" s="27">
        <f>VLOOKUP(Table3[[#This Row],[Date]],'PCE Core'!A:D,4,)</f>
        <v>1.7690019588401829E-2</v>
      </c>
    </row>
    <row r="533" spans="1:7" x14ac:dyDescent="0.2">
      <c r="A533" s="41">
        <v>37622</v>
      </c>
      <c r="B533" s="28">
        <f>VLOOKUP(Table3[[#This Row],[Date]],'PCE Core'!$A:$E,2,)</f>
        <v>84.222999999999999</v>
      </c>
      <c r="C533" s="28">
        <f>VLOOKUP(Table3[[#This Row],[Date]],Database!$A:$E,5)</f>
        <v>192.4</v>
      </c>
      <c r="D533" s="26">
        <f>(((Table3[[#This Row],[Core PCE]]-$B$496)/$B$496)*100)+100</f>
        <v>105.54789713770113</v>
      </c>
      <c r="E533" s="26">
        <f>(((Table3[[#This Row],[Core CPI]]-$C$496)/$C$496)*100)+100</f>
        <v>107.66648013430331</v>
      </c>
      <c r="F533" s="27">
        <v>1.9607843137254988E-2</v>
      </c>
      <c r="G533" s="27">
        <f>VLOOKUP(Table3[[#This Row],[Date]],'PCE Core'!A:D,4,)</f>
        <v>1.7800604229607237E-2</v>
      </c>
    </row>
    <row r="534" spans="1:7" x14ac:dyDescent="0.2">
      <c r="A534" s="38">
        <v>37653</v>
      </c>
      <c r="B534" s="28">
        <f>VLOOKUP(Table3[[#This Row],[Date]],'PCE Core'!$A:$E,2,)</f>
        <v>84.338999999999999</v>
      </c>
      <c r="C534" s="26">
        <f>VLOOKUP(Table3[[#This Row],[Date]],Database!$A:$E,5)</f>
        <v>192.5</v>
      </c>
      <c r="D534" s="26">
        <f>(((Table3[[#This Row],[Core PCE]]-$B$496)/$B$496)*100)+100</f>
        <v>105.69326783297407</v>
      </c>
      <c r="E534" s="26">
        <f>(((Table3[[#This Row],[Core CPI]]-$C$496)/$C$496)*100)+100</f>
        <v>107.72243984331283</v>
      </c>
      <c r="F534" s="27">
        <v>1.797990481226867E-2</v>
      </c>
      <c r="G534" s="27">
        <f>VLOOKUP(Table3[[#This Row],[Date]],'PCE Core'!A:D,4,)</f>
        <v>1.7272365421496402E-2</v>
      </c>
    </row>
    <row r="535" spans="1:7" x14ac:dyDescent="0.2">
      <c r="A535" s="41">
        <v>37681</v>
      </c>
      <c r="B535" s="28">
        <f>VLOOKUP(Table3[[#This Row],[Date]],'PCE Core'!$A:$E,2,)</f>
        <v>84.474000000000004</v>
      </c>
      <c r="C535" s="28">
        <f>VLOOKUP(Table3[[#This Row],[Date]],Database!$A:$E,5)</f>
        <v>192.5</v>
      </c>
      <c r="D535" s="26">
        <f>(((Table3[[#This Row],[Core PCE]]-$B$496)/$B$496)*100)+100</f>
        <v>105.86244924557622</v>
      </c>
      <c r="E535" s="26">
        <f>(((Table3[[#This Row],[Core CPI]]-$C$496)/$C$496)*100)+100</f>
        <v>107.72243984331283</v>
      </c>
      <c r="F535" s="27">
        <v>1.7441860465116341E-2</v>
      </c>
      <c r="G535" s="27">
        <f>VLOOKUP(Table3[[#This Row],[Date]],'PCE Core'!A:D,4,)</f>
        <v>1.7685468520347969E-2</v>
      </c>
    </row>
    <row r="536" spans="1:7" x14ac:dyDescent="0.2">
      <c r="A536" s="38">
        <v>37712</v>
      </c>
      <c r="B536" s="28">
        <f>VLOOKUP(Table3[[#This Row],[Date]],'PCE Core'!$A:$E,2,)</f>
        <v>84.567999999999998</v>
      </c>
      <c r="C536" s="28">
        <f>VLOOKUP(Table3[[#This Row],[Date]],Database!$A:$E,5)</f>
        <v>192.5</v>
      </c>
      <c r="D536" s="26">
        <f>(((Table3[[#This Row],[Core PCE]]-$B$496)/$B$496)*100)+100</f>
        <v>105.98024963657325</v>
      </c>
      <c r="E536" s="26">
        <f>(((Table3[[#This Row],[Core CPI]]-$C$496)/$C$496)*100)+100</f>
        <v>107.72243984331283</v>
      </c>
      <c r="F536" s="27">
        <v>1.476014760147608E-2</v>
      </c>
      <c r="G536" s="27">
        <f>VLOOKUP(Table3[[#This Row],[Date]],'PCE Core'!A:D,4,)</f>
        <v>1.5978279151349122E-2</v>
      </c>
    </row>
    <row r="537" spans="1:7" x14ac:dyDescent="0.2">
      <c r="A537" s="41">
        <v>37742</v>
      </c>
      <c r="B537" s="28">
        <f>VLOOKUP(Table3[[#This Row],[Date]],'PCE Core'!$A:$E,2,)</f>
        <v>84.69</v>
      </c>
      <c r="C537" s="26">
        <f>VLOOKUP(Table3[[#This Row],[Date]],Database!$A:$E,5)</f>
        <v>192.9</v>
      </c>
      <c r="D537" s="26">
        <f>(((Table3[[#This Row],[Core PCE]]-$B$496)/$B$496)*100)+100</f>
        <v>106.13313950573962</v>
      </c>
      <c r="E537" s="26">
        <f>(((Table3[[#This Row],[Core CPI]]-$C$496)/$C$496)*100)+100</f>
        <v>107.94627867935088</v>
      </c>
      <c r="F537" s="27">
        <v>1.5263157894736871E-2</v>
      </c>
      <c r="G537" s="27">
        <f>VLOOKUP(Table3[[#This Row],[Date]],'PCE Core'!A:D,4,)</f>
        <v>1.6308456636785765E-2</v>
      </c>
    </row>
    <row r="538" spans="1:7" x14ac:dyDescent="0.2">
      <c r="A538" s="38">
        <v>37773</v>
      </c>
      <c r="B538" s="28">
        <f>VLOOKUP(Table3[[#This Row],[Date]],'PCE Core'!$A:$E,2,)</f>
        <v>84.738</v>
      </c>
      <c r="C538" s="28">
        <f>VLOOKUP(Table3[[#This Row],[Date]],Database!$A:$E,5)</f>
        <v>193</v>
      </c>
      <c r="D538" s="26">
        <f>(((Table3[[#This Row],[Core PCE]]-$B$496)/$B$496)*100)+100</f>
        <v>106.19329289688706</v>
      </c>
      <c r="E538" s="26">
        <f>(((Table3[[#This Row],[Core CPI]]-$C$496)/$C$496)*100)+100</f>
        <v>108.00223838836038</v>
      </c>
      <c r="F538" s="27">
        <v>1.4721345951629919E-2</v>
      </c>
      <c r="G538" s="27">
        <f>VLOOKUP(Table3[[#This Row],[Date]],'PCE Core'!A:D,4,)</f>
        <v>1.5276230185830917E-2</v>
      </c>
    </row>
    <row r="539" spans="1:7" x14ac:dyDescent="0.2">
      <c r="A539" s="41">
        <v>37803</v>
      </c>
      <c r="B539" s="28">
        <f>VLOOKUP(Table3[[#This Row],[Date]],'PCE Core'!$A:$E,2,)</f>
        <v>84.948999999999998</v>
      </c>
      <c r="C539" s="28">
        <f>VLOOKUP(Table3[[#This Row],[Date]],Database!$A:$E,5)</f>
        <v>193.4</v>
      </c>
      <c r="D539" s="26">
        <f>(((Table3[[#This Row],[Core PCE]]-$B$496)/$B$496)*100)+100</f>
        <v>106.45771717880595</v>
      </c>
      <c r="E539" s="26">
        <f>(((Table3[[#This Row],[Core CPI]]-$C$496)/$C$496)*100)+100</f>
        <v>108.22607722439844</v>
      </c>
      <c r="F539" s="27">
        <v>1.522309711286092E-2</v>
      </c>
      <c r="G539" s="27">
        <f>VLOOKUP(Table3[[#This Row],[Date]],'PCE Core'!A:D,4,)</f>
        <v>1.5747560742299514E-2</v>
      </c>
    </row>
    <row r="540" spans="1:7" x14ac:dyDescent="0.2">
      <c r="A540" s="38">
        <v>37834</v>
      </c>
      <c r="B540" s="28">
        <f>VLOOKUP(Table3[[#This Row],[Date]],'PCE Core'!$A:$E,2,)</f>
        <v>85.045000000000002</v>
      </c>
      <c r="C540" s="26">
        <f>VLOOKUP(Table3[[#This Row],[Date]],Database!$A:$E,5)</f>
        <v>193.6</v>
      </c>
      <c r="D540" s="26">
        <f>(((Table3[[#This Row],[Core PCE]]-$B$496)/$B$496)*100)+100</f>
        <v>106.5780239611008</v>
      </c>
      <c r="E540" s="26">
        <f>(((Table3[[#This Row],[Core CPI]]-$C$496)/$C$496)*100)+100</f>
        <v>108.33799664241747</v>
      </c>
      <c r="F540" s="27">
        <v>1.30821559392988E-2</v>
      </c>
      <c r="G540" s="27">
        <f>VLOOKUP(Table3[[#This Row],[Date]],'PCE Core'!A:D,4,)</f>
        <v>1.4893134599090715E-2</v>
      </c>
    </row>
    <row r="541" spans="1:7" x14ac:dyDescent="0.2">
      <c r="A541" s="41">
        <v>37865</v>
      </c>
      <c r="B541" s="28">
        <f>VLOOKUP(Table3[[#This Row],[Date]],'PCE Core'!$A:$E,2,)</f>
        <v>85.164000000000001</v>
      </c>
      <c r="C541" s="28">
        <f>VLOOKUP(Table3[[#This Row],[Date]],Database!$A:$E,5)</f>
        <v>193.7</v>
      </c>
      <c r="D541" s="26">
        <f>(((Table3[[#This Row],[Core PCE]]-$B$496)/$B$496)*100)+100</f>
        <v>106.72715424332046</v>
      </c>
      <c r="E541" s="26">
        <f>(((Table3[[#This Row],[Core CPI]]-$C$496)/$C$496)*100)+100</f>
        <v>108.39395635142698</v>
      </c>
      <c r="F541" s="27">
        <v>1.2545739675901609E-2</v>
      </c>
      <c r="G541" s="27">
        <f>VLOOKUP(Table3[[#This Row],[Date]],'PCE Core'!A:D,4,)</f>
        <v>1.4654371291729263E-2</v>
      </c>
    </row>
    <row r="542" spans="1:7" x14ac:dyDescent="0.2">
      <c r="A542" s="38">
        <v>37895</v>
      </c>
      <c r="B542" s="28">
        <f>VLOOKUP(Table3[[#This Row],[Date]],'PCE Core'!$A:$E,2,)</f>
        <v>85.32</v>
      </c>
      <c r="C542" s="28">
        <f>VLOOKUP(Table3[[#This Row],[Date]],Database!$A:$E,5)</f>
        <v>194</v>
      </c>
      <c r="D542" s="26">
        <f>(((Table3[[#This Row],[Core PCE]]-$B$496)/$B$496)*100)+100</f>
        <v>106.92265276454958</v>
      </c>
      <c r="E542" s="26">
        <f>(((Table3[[#This Row],[Core CPI]]-$C$496)/$C$496)*100)+100</f>
        <v>108.56183547845552</v>
      </c>
      <c r="F542" s="27">
        <v>1.3054830287206271E-2</v>
      </c>
      <c r="G542" s="27">
        <f>VLOOKUP(Table3[[#This Row],[Date]],'PCE Core'!A:D,4,)</f>
        <v>1.5653830129158951E-2</v>
      </c>
    </row>
    <row r="543" spans="1:7" x14ac:dyDescent="0.2">
      <c r="A543" s="41">
        <v>37926</v>
      </c>
      <c r="B543" s="28">
        <f>VLOOKUP(Table3[[#This Row],[Date]],'PCE Core'!$A:$E,2,)</f>
        <v>85.436999999999998</v>
      </c>
      <c r="C543" s="26">
        <f>VLOOKUP(Table3[[#This Row],[Date]],Database!$A:$E,5)</f>
        <v>194</v>
      </c>
      <c r="D543" s="26">
        <f>(((Table3[[#This Row],[Core PCE]]-$B$496)/$B$496)*100)+100</f>
        <v>107.06927665547144</v>
      </c>
      <c r="E543" s="26">
        <f>(((Table3[[#This Row],[Core CPI]]-$C$496)/$C$496)*100)+100</f>
        <v>108.56183547845552</v>
      </c>
      <c r="F543" s="27">
        <v>1.0943199583116179E-2</v>
      </c>
      <c r="G543" s="27">
        <f>VLOOKUP(Table3[[#This Row],[Date]],'PCE Core'!A:D,4,)</f>
        <v>1.6054800385315142E-2</v>
      </c>
    </row>
    <row r="544" spans="1:7" x14ac:dyDescent="0.2">
      <c r="A544" s="38">
        <v>37956</v>
      </c>
      <c r="B544" s="28">
        <f>VLOOKUP(Table3[[#This Row],[Date]],'PCE Core'!$A:$E,2,)</f>
        <v>85.543999999999997</v>
      </c>
      <c r="C544" s="28">
        <f>VLOOKUP(Table3[[#This Row],[Date]],Database!$A:$E,5)</f>
        <v>194.2</v>
      </c>
      <c r="D544" s="26">
        <f>(((Table3[[#This Row],[Core PCE]]-$B$496)/$B$496)*100)+100</f>
        <v>107.20336858990424</v>
      </c>
      <c r="E544" s="26">
        <f>(((Table3[[#This Row],[Core CPI]]-$C$496)/$C$496)*100)+100</f>
        <v>108.67375489647453</v>
      </c>
      <c r="F544" s="27">
        <v>1.09318063508589E-2</v>
      </c>
      <c r="G544" s="27">
        <f>VLOOKUP(Table3[[#This Row],[Date]],'PCE Core'!A:D,4,)</f>
        <v>1.6384482861046643E-2</v>
      </c>
    </row>
    <row r="545" spans="1:7" x14ac:dyDescent="0.2">
      <c r="A545" s="41">
        <v>37987</v>
      </c>
      <c r="B545" s="28">
        <f>VLOOKUP(Table3[[#This Row],[Date]],'PCE Core'!$A:$E,2,)</f>
        <v>85.763000000000005</v>
      </c>
      <c r="C545" s="28">
        <f>VLOOKUP(Table3[[#This Row],[Date]],Database!$A:$E,5)</f>
        <v>194.6</v>
      </c>
      <c r="D545" s="26">
        <f>(((Table3[[#This Row],[Core PCE]]-$B$496)/$B$496)*100)+100</f>
        <v>107.47781843701438</v>
      </c>
      <c r="E545" s="26">
        <f>(((Table3[[#This Row],[Core CPI]]-$C$496)/$C$496)*100)+100</f>
        <v>108.89759373251259</v>
      </c>
      <c r="F545" s="27">
        <v>1.1434511434511369E-2</v>
      </c>
      <c r="G545" s="27">
        <f>VLOOKUP(Table3[[#This Row],[Date]],'PCE Core'!A:D,4,)</f>
        <v>1.828479156524947E-2</v>
      </c>
    </row>
    <row r="546" spans="1:7" x14ac:dyDescent="0.2">
      <c r="A546" s="38">
        <v>38018</v>
      </c>
      <c r="B546" s="28">
        <f>VLOOKUP(Table3[[#This Row],[Date]],'PCE Core'!$A:$E,2,)</f>
        <v>85.902000000000001</v>
      </c>
      <c r="C546" s="26">
        <f>VLOOKUP(Table3[[#This Row],[Date]],Database!$A:$E,5)</f>
        <v>194.9</v>
      </c>
      <c r="D546" s="26">
        <f>(((Table3[[#This Row],[Core PCE]]-$B$496)/$B$496)*100)+100</f>
        <v>107.65201263221213</v>
      </c>
      <c r="E546" s="26">
        <f>(((Table3[[#This Row],[Core CPI]]-$C$496)/$C$496)*100)+100</f>
        <v>109.06547285954115</v>
      </c>
      <c r="F546" s="27">
        <v>1.24675324675325E-2</v>
      </c>
      <c r="G546" s="27">
        <f>VLOOKUP(Table3[[#This Row],[Date]],'PCE Core'!A:D,4,)</f>
        <v>1.8532351581119082E-2</v>
      </c>
    </row>
    <row r="547" spans="1:7" x14ac:dyDescent="0.2">
      <c r="A547" s="41">
        <v>38047</v>
      </c>
      <c r="B547" s="28">
        <f>VLOOKUP(Table3[[#This Row],[Date]],'PCE Core'!$A:$E,2,)</f>
        <v>86.046000000000006</v>
      </c>
      <c r="C547" s="28">
        <f>VLOOKUP(Table3[[#This Row],[Date]],Database!$A:$E,5)</f>
        <v>195.5</v>
      </c>
      <c r="D547" s="26">
        <f>(((Table3[[#This Row],[Core PCE]]-$B$496)/$B$496)*100)+100</f>
        <v>107.83247280565442</v>
      </c>
      <c r="E547" s="26">
        <f>(((Table3[[#This Row],[Core CPI]]-$C$496)/$C$496)*100)+100</f>
        <v>109.40123111359821</v>
      </c>
      <c r="F547" s="27">
        <v>1.5584415584415579E-2</v>
      </c>
      <c r="G547" s="27">
        <f>VLOOKUP(Table3[[#This Row],[Date]],'PCE Core'!A:D,4,)</f>
        <v>1.8609276227004791E-2</v>
      </c>
    </row>
    <row r="548" spans="1:7" x14ac:dyDescent="0.2">
      <c r="A548" s="38">
        <v>38078</v>
      </c>
      <c r="B548" s="28">
        <f>VLOOKUP(Table3[[#This Row],[Date]],'PCE Core'!$A:$E,2,)</f>
        <v>86.27</v>
      </c>
      <c r="C548" s="28">
        <f>VLOOKUP(Table3[[#This Row],[Date]],Database!$A:$E,5)</f>
        <v>195.9</v>
      </c>
      <c r="D548" s="26">
        <f>(((Table3[[#This Row],[Core PCE]]-$B$496)/$B$496)*100)+100</f>
        <v>108.11318863100905</v>
      </c>
      <c r="E548" s="26">
        <f>(((Table3[[#This Row],[Core CPI]]-$C$496)/$C$496)*100)+100</f>
        <v>109.62506994963627</v>
      </c>
      <c r="F548" s="27">
        <v>1.7662337662337688E-2</v>
      </c>
      <c r="G548" s="27">
        <f>VLOOKUP(Table3[[#This Row],[Date]],'PCE Core'!A:D,4,)</f>
        <v>2.012581591145585E-2</v>
      </c>
    </row>
    <row r="549" spans="1:7" x14ac:dyDescent="0.2">
      <c r="A549" s="41">
        <v>38108</v>
      </c>
      <c r="B549" s="28">
        <f>VLOOKUP(Table3[[#This Row],[Date]],'PCE Core'!$A:$E,2,)</f>
        <v>86.388000000000005</v>
      </c>
      <c r="C549" s="26">
        <f>VLOOKUP(Table3[[#This Row],[Date]],Database!$A:$E,5)</f>
        <v>196.2</v>
      </c>
      <c r="D549" s="26">
        <f>(((Table3[[#This Row],[Core PCE]]-$B$496)/$B$496)*100)+100</f>
        <v>108.26106571757983</v>
      </c>
      <c r="E549" s="26">
        <f>(((Table3[[#This Row],[Core CPI]]-$C$496)/$C$496)*100)+100</f>
        <v>109.7929490766648</v>
      </c>
      <c r="F549" s="27">
        <v>1.7107309486780631E-2</v>
      </c>
      <c r="G549" s="27">
        <f>VLOOKUP(Table3[[#This Row],[Date]],'PCE Core'!A:D,4,)</f>
        <v>2.0049592631951912E-2</v>
      </c>
    </row>
    <row r="550" spans="1:7" x14ac:dyDescent="0.2">
      <c r="A550" s="38">
        <v>38139</v>
      </c>
      <c r="B550" s="28">
        <f>VLOOKUP(Table3[[#This Row],[Date]],'PCE Core'!$A:$E,2,)</f>
        <v>86.525000000000006</v>
      </c>
      <c r="C550" s="28">
        <f>VLOOKUP(Table3[[#This Row],[Date]],Database!$A:$E,5)</f>
        <v>196.6</v>
      </c>
      <c r="D550" s="26">
        <f>(((Table3[[#This Row],[Core PCE]]-$B$496)/$B$496)*100)+100</f>
        <v>108.43275352147977</v>
      </c>
      <c r="E550" s="26">
        <f>(((Table3[[#This Row],[Core CPI]]-$C$496)/$C$496)*100)+100</f>
        <v>110.01678791270285</v>
      </c>
      <c r="F550" s="27">
        <v>1.865284974093261E-2</v>
      </c>
      <c r="G550" s="27">
        <f>VLOOKUP(Table3[[#This Row],[Date]],'PCE Core'!A:D,4,)</f>
        <v>2.1088531709504664E-2</v>
      </c>
    </row>
    <row r="551" spans="1:7" x14ac:dyDescent="0.2">
      <c r="A551" s="41">
        <v>38169</v>
      </c>
      <c r="B551" s="28">
        <f>VLOOKUP(Table3[[#This Row],[Date]],'PCE Core'!$A:$E,2,)</f>
        <v>86.628</v>
      </c>
      <c r="C551" s="28">
        <f>VLOOKUP(Table3[[#This Row],[Date]],Database!$A:$E,5)</f>
        <v>196.8</v>
      </c>
      <c r="D551" s="26">
        <f>(((Table3[[#This Row],[Core PCE]]-$B$496)/$B$496)*100)+100</f>
        <v>108.56183267331696</v>
      </c>
      <c r="E551" s="26">
        <f>(((Table3[[#This Row],[Core CPI]]-$C$496)/$C$496)*100)+100</f>
        <v>110.12870733072189</v>
      </c>
      <c r="F551" s="27">
        <v>1.7580144777662909E-2</v>
      </c>
      <c r="G551" s="27">
        <f>VLOOKUP(Table3[[#This Row],[Date]],'PCE Core'!A:D,4,)</f>
        <v>1.9764800056504515E-2</v>
      </c>
    </row>
    <row r="552" spans="1:7" x14ac:dyDescent="0.2">
      <c r="A552" s="38">
        <v>38200</v>
      </c>
      <c r="B552" s="28">
        <f>VLOOKUP(Table3[[#This Row],[Date]],'PCE Core'!$A:$E,2,)</f>
        <v>86.661000000000001</v>
      </c>
      <c r="C552" s="26">
        <f>VLOOKUP(Table3[[#This Row],[Date]],Database!$A:$E,5)</f>
        <v>196.9</v>
      </c>
      <c r="D552" s="26">
        <f>(((Table3[[#This Row],[Core PCE]]-$B$496)/$B$496)*100)+100</f>
        <v>108.60318812973081</v>
      </c>
      <c r="E552" s="26">
        <f>(((Table3[[#This Row],[Core CPI]]-$C$496)/$C$496)*100)+100</f>
        <v>110.18466703973141</v>
      </c>
      <c r="F552" s="27">
        <v>1.70454545454546E-2</v>
      </c>
      <c r="G552" s="27">
        <f>VLOOKUP(Table3[[#This Row],[Date]],'PCE Core'!A:D,4,)</f>
        <v>1.9001704979716615E-2</v>
      </c>
    </row>
    <row r="553" spans="1:7" x14ac:dyDescent="0.2">
      <c r="A553" s="41">
        <v>38231</v>
      </c>
      <c r="B553" s="28">
        <f>VLOOKUP(Table3[[#This Row],[Date]],'PCE Core'!$A:$E,2,)</f>
        <v>86.822999999999993</v>
      </c>
      <c r="C553" s="28">
        <f>VLOOKUP(Table3[[#This Row],[Date]],Database!$A:$E,5)</f>
        <v>197.5</v>
      </c>
      <c r="D553" s="26">
        <f>(((Table3[[#This Row],[Core PCE]]-$B$496)/$B$496)*100)+100</f>
        <v>108.80620582485336</v>
      </c>
      <c r="E553" s="26">
        <f>(((Table3[[#This Row],[Core CPI]]-$C$496)/$C$496)*100)+100</f>
        <v>110.52042529378848</v>
      </c>
      <c r="F553" s="27">
        <v>1.9617965926690819E-2</v>
      </c>
      <c r="G553" s="27">
        <f>VLOOKUP(Table3[[#This Row],[Date]],'PCE Core'!A:D,4,)</f>
        <v>1.9480061998027241E-2</v>
      </c>
    </row>
    <row r="554" spans="1:7" x14ac:dyDescent="0.2">
      <c r="A554" s="38">
        <v>38261</v>
      </c>
      <c r="B554" s="28">
        <f>VLOOKUP(Table3[[#This Row],[Date]],'PCE Core'!$A:$E,2,)</f>
        <v>87.012</v>
      </c>
      <c r="C554" s="28">
        <f>VLOOKUP(Table3[[#This Row],[Date]],Database!$A:$E,5)</f>
        <v>197.9</v>
      </c>
      <c r="D554" s="26">
        <f>(((Table3[[#This Row],[Core PCE]]-$B$496)/$B$496)*100)+100</f>
        <v>109.04305980249636</v>
      </c>
      <c r="E554" s="26">
        <f>(((Table3[[#This Row],[Core CPI]]-$C$496)/$C$496)*100)+100</f>
        <v>110.74426412982653</v>
      </c>
      <c r="F554" s="27">
        <v>2.010309278350518E-2</v>
      </c>
      <c r="G554" s="27">
        <f>VLOOKUP(Table3[[#This Row],[Date]],'PCE Core'!A:D,4,)</f>
        <v>1.9831223628692069E-2</v>
      </c>
    </row>
    <row r="555" spans="1:7" x14ac:dyDescent="0.2">
      <c r="A555" s="41">
        <v>38292</v>
      </c>
      <c r="B555" s="28">
        <f>VLOOKUP(Table3[[#This Row],[Date]],'PCE Core'!$A:$E,2,)</f>
        <v>87.198999999999998</v>
      </c>
      <c r="C555" s="26">
        <f>VLOOKUP(Table3[[#This Row],[Date]],Database!$A:$E,5)</f>
        <v>198.3</v>
      </c>
      <c r="D555" s="26">
        <f>(((Table3[[#This Row],[Core PCE]]-$B$496)/$B$496)*100)+100</f>
        <v>109.27740738884154</v>
      </c>
      <c r="E555" s="26">
        <f>(((Table3[[#This Row],[Core CPI]]-$C$496)/$C$496)*100)+100</f>
        <v>110.96810296586459</v>
      </c>
      <c r="F555" s="27">
        <v>2.2164948453608311E-2</v>
      </c>
      <c r="G555" s="27">
        <f>VLOOKUP(Table3[[#This Row],[Date]],'PCE Core'!A:D,4,)</f>
        <v>2.0623383311679958E-2</v>
      </c>
    </row>
    <row r="556" spans="1:7" x14ac:dyDescent="0.2">
      <c r="A556" s="38">
        <v>38322</v>
      </c>
      <c r="B556" s="28">
        <f>VLOOKUP(Table3[[#This Row],[Date]],'PCE Core'!$A:$E,2,)</f>
        <v>87.311000000000007</v>
      </c>
      <c r="C556" s="28">
        <f>VLOOKUP(Table3[[#This Row],[Date]],Database!$A:$E,5)</f>
        <v>198.6</v>
      </c>
      <c r="D556" s="26">
        <f>(((Table3[[#This Row],[Core PCE]]-$B$496)/$B$496)*100)+100</f>
        <v>109.41776530151887</v>
      </c>
      <c r="E556" s="26">
        <f>(((Table3[[#This Row],[Core CPI]]-$C$496)/$C$496)*100)+100</f>
        <v>111.13598209289312</v>
      </c>
      <c r="F556" s="27">
        <v>2.2657054582904249E-2</v>
      </c>
      <c r="G556" s="27">
        <f>VLOOKUP(Table3[[#This Row],[Date]],'PCE Core'!A:D,4,)</f>
        <v>2.0656036659496987E-2</v>
      </c>
    </row>
    <row r="557" spans="1:7" x14ac:dyDescent="0.2">
      <c r="A557" s="41">
        <v>38353</v>
      </c>
      <c r="B557" s="28">
        <f>VLOOKUP(Table3[[#This Row],[Date]],'PCE Core'!$A:$E,2,)</f>
        <v>87.625</v>
      </c>
      <c r="C557" s="28">
        <f>VLOOKUP(Table3[[#This Row],[Date]],Database!$A:$E,5)</f>
        <v>199</v>
      </c>
      <c r="D557" s="26">
        <f>(((Table3[[#This Row],[Core PCE]]-$B$496)/$B$496)*100)+100</f>
        <v>109.81126873527494</v>
      </c>
      <c r="E557" s="26">
        <f>(((Table3[[#This Row],[Core CPI]]-$C$496)/$C$496)*100)+100</f>
        <v>111.35982092893117</v>
      </c>
      <c r="F557" s="27">
        <v>2.2610483042137749E-2</v>
      </c>
      <c r="G557" s="27">
        <f>VLOOKUP(Table3[[#This Row],[Date]],'PCE Core'!A:D,4,)</f>
        <v>2.171099425160028E-2</v>
      </c>
    </row>
    <row r="558" spans="1:7" x14ac:dyDescent="0.2">
      <c r="A558" s="38">
        <v>38384</v>
      </c>
      <c r="B558" s="28">
        <f>VLOOKUP(Table3[[#This Row],[Date]],'PCE Core'!$A:$E,2,)</f>
        <v>87.77</v>
      </c>
      <c r="C558" s="26">
        <f>VLOOKUP(Table3[[#This Row],[Date]],Database!$A:$E,5)</f>
        <v>199.4</v>
      </c>
      <c r="D558" s="26">
        <f>(((Table3[[#This Row],[Core PCE]]-$B$496)/$B$496)*100)+100</f>
        <v>109.99298210436612</v>
      </c>
      <c r="E558" s="26">
        <f>(((Table3[[#This Row],[Core CPI]]-$C$496)/$C$496)*100)+100</f>
        <v>111.58365976496923</v>
      </c>
      <c r="F558" s="27">
        <v>2.3088763468445361E-2</v>
      </c>
      <c r="G558" s="27">
        <f>VLOOKUP(Table3[[#This Row],[Date]],'PCE Core'!A:D,4,)</f>
        <v>2.17457102279341E-2</v>
      </c>
    </row>
    <row r="559" spans="1:7" x14ac:dyDescent="0.2">
      <c r="A559" s="41">
        <v>38412</v>
      </c>
      <c r="B559" s="28">
        <f>VLOOKUP(Table3[[#This Row],[Date]],'PCE Core'!$A:$E,2,)</f>
        <v>87.986999999999995</v>
      </c>
      <c r="C559" s="28">
        <f>VLOOKUP(Table3[[#This Row],[Date]],Database!$A:$E,5)</f>
        <v>200.1</v>
      </c>
      <c r="D559" s="26">
        <f>(((Table3[[#This Row],[Core PCE]]-$B$496)/$B$496)*100)+100</f>
        <v>110.26492556017844</v>
      </c>
      <c r="E559" s="26">
        <f>(((Table3[[#This Row],[Core CPI]]-$C$496)/$C$496)*100)+100</f>
        <v>111.97537772803582</v>
      </c>
      <c r="F559" s="27">
        <v>2.3529411764705851E-2</v>
      </c>
      <c r="G559" s="27">
        <f>VLOOKUP(Table3[[#This Row],[Date]],'PCE Core'!A:D,4,)</f>
        <v>2.2557701694442371E-2</v>
      </c>
    </row>
    <row r="560" spans="1:7" x14ac:dyDescent="0.2">
      <c r="A560" s="38">
        <v>38443</v>
      </c>
      <c r="B560" s="28">
        <f>VLOOKUP(Table3[[#This Row],[Date]],'PCE Core'!$A:$E,2,)</f>
        <v>88.088999999999999</v>
      </c>
      <c r="C560" s="28">
        <f>VLOOKUP(Table3[[#This Row],[Date]],Database!$A:$E,5)</f>
        <v>200.2</v>
      </c>
      <c r="D560" s="26">
        <f>(((Table3[[#This Row],[Core PCE]]-$B$496)/$B$496)*100)+100</f>
        <v>110.39275151636673</v>
      </c>
      <c r="E560" s="26">
        <f>(((Table3[[#This Row],[Core CPI]]-$C$496)/$C$496)*100)+100</f>
        <v>112.03133743704532</v>
      </c>
      <c r="F560" s="27">
        <v>2.1949974476773781E-2</v>
      </c>
      <c r="G560" s="27">
        <f>VLOOKUP(Table3[[#This Row],[Date]],'PCE Core'!A:D,4,)</f>
        <v>2.1084965805030748E-2</v>
      </c>
    </row>
    <row r="561" spans="1:7" x14ac:dyDescent="0.2">
      <c r="A561" s="41">
        <v>38473</v>
      </c>
      <c r="B561" s="28">
        <f>VLOOKUP(Table3[[#This Row],[Date]],'PCE Core'!$A:$E,2,)</f>
        <v>88.269000000000005</v>
      </c>
      <c r="C561" s="26">
        <f>VLOOKUP(Table3[[#This Row],[Date]],Database!$A:$E,5)</f>
        <v>200.5</v>
      </c>
      <c r="D561" s="26">
        <f>(((Table3[[#This Row],[Core PCE]]-$B$496)/$B$496)*100)+100</f>
        <v>110.61832673316958</v>
      </c>
      <c r="E561" s="26">
        <f>(((Table3[[#This Row],[Core CPI]]-$C$496)/$C$496)*100)+100</f>
        <v>112.19921656407388</v>
      </c>
      <c r="F561" s="27">
        <v>2.1916411824668761E-2</v>
      </c>
      <c r="G561" s="27">
        <f>VLOOKUP(Table3[[#This Row],[Date]],'PCE Core'!A:D,4,)</f>
        <v>2.1773857480205584E-2</v>
      </c>
    </row>
    <row r="562" spans="1:7" x14ac:dyDescent="0.2">
      <c r="A562" s="38">
        <v>38504</v>
      </c>
      <c r="B562" s="28">
        <f>VLOOKUP(Table3[[#This Row],[Date]],'PCE Core'!$A:$E,2,)</f>
        <v>88.33</v>
      </c>
      <c r="C562" s="28">
        <f>VLOOKUP(Table3[[#This Row],[Date]],Database!$A:$E,5)</f>
        <v>200.6</v>
      </c>
      <c r="D562" s="26">
        <f>(((Table3[[#This Row],[Core PCE]]-$B$496)/$B$496)*100)+100</f>
        <v>110.69477166775276</v>
      </c>
      <c r="E562" s="26">
        <f>(((Table3[[#This Row],[Core CPI]]-$C$496)/$C$496)*100)+100</f>
        <v>112.25517627308338</v>
      </c>
      <c r="F562" s="27">
        <v>2.0345879959308241E-2</v>
      </c>
      <c r="G562" s="27">
        <f>VLOOKUP(Table3[[#This Row],[Date]],'PCE Core'!A:D,4,)</f>
        <v>2.0861022825772811E-2</v>
      </c>
    </row>
    <row r="563" spans="1:7" x14ac:dyDescent="0.2">
      <c r="A563" s="41">
        <v>38534</v>
      </c>
      <c r="B563" s="28">
        <f>VLOOKUP(Table3[[#This Row],[Date]],'PCE Core'!$A:$E,2,)</f>
        <v>88.46</v>
      </c>
      <c r="C563" s="28">
        <f>VLOOKUP(Table3[[#This Row],[Date]],Database!$A:$E,5)</f>
        <v>200.9</v>
      </c>
      <c r="D563" s="26">
        <f>(((Table3[[#This Row],[Core PCE]]-$B$496)/$B$496)*100)+100</f>
        <v>110.85768710211036</v>
      </c>
      <c r="E563" s="26">
        <f>(((Table3[[#This Row],[Core CPI]]-$C$496)/$C$496)*100)+100</f>
        <v>112.42305540011193</v>
      </c>
      <c r="F563" s="27">
        <v>2.0833333333333301E-2</v>
      </c>
      <c r="G563" s="27">
        <f>VLOOKUP(Table3[[#This Row],[Date]],'PCE Core'!A:D,4,)</f>
        <v>2.1147896753936298E-2</v>
      </c>
    </row>
    <row r="564" spans="1:7" x14ac:dyDescent="0.2">
      <c r="A564" s="38">
        <v>38565</v>
      </c>
      <c r="B564" s="28">
        <f>VLOOKUP(Table3[[#This Row],[Date]],'PCE Core'!$A:$E,2,)</f>
        <v>88.531999999999996</v>
      </c>
      <c r="C564" s="26">
        <f>VLOOKUP(Table3[[#This Row],[Date]],Database!$A:$E,5)</f>
        <v>201.1</v>
      </c>
      <c r="D564" s="26">
        <f>(((Table3[[#This Row],[Core PCE]]-$B$496)/$B$496)*100)+100</f>
        <v>110.94791718883151</v>
      </c>
      <c r="E564" s="26">
        <f>(((Table3[[#This Row],[Core CPI]]-$C$496)/$C$496)*100)+100</f>
        <v>112.53497481813095</v>
      </c>
      <c r="F564" s="27">
        <v>2.1330624682579929E-2</v>
      </c>
      <c r="G564" s="27">
        <f>VLOOKUP(Table3[[#This Row],[Date]],'PCE Core'!A:D,4,)</f>
        <v>2.1589873184015822E-2</v>
      </c>
    </row>
    <row r="565" spans="1:7" x14ac:dyDescent="0.2">
      <c r="A565" s="41">
        <v>38596</v>
      </c>
      <c r="B565" s="28">
        <f>VLOOKUP(Table3[[#This Row],[Date]],'PCE Core'!$A:$E,2,)</f>
        <v>88.727999999999994</v>
      </c>
      <c r="C565" s="28">
        <f>VLOOKUP(Table3[[#This Row],[Date]],Database!$A:$E,5)</f>
        <v>201.3</v>
      </c>
      <c r="D565" s="26">
        <f>(((Table3[[#This Row],[Core PCE]]-$B$496)/$B$496)*100)+100</f>
        <v>111.19354353601683</v>
      </c>
      <c r="E565" s="26">
        <f>(((Table3[[#This Row],[Core CPI]]-$C$496)/$C$496)*100)+100</f>
        <v>112.64689423614999</v>
      </c>
      <c r="F565" s="27">
        <v>1.924050632911398E-2</v>
      </c>
      <c r="G565" s="27">
        <f>VLOOKUP(Table3[[#This Row],[Date]],'PCE Core'!A:D,4,)</f>
        <v>2.1941190698317282E-2</v>
      </c>
    </row>
    <row r="566" spans="1:7" x14ac:dyDescent="0.2">
      <c r="A566" s="38">
        <v>38626</v>
      </c>
      <c r="B566" s="28">
        <f>VLOOKUP(Table3[[#This Row],[Date]],'PCE Core'!$A:$E,2,)</f>
        <v>88.981999999999999</v>
      </c>
      <c r="C566" s="28">
        <f>VLOOKUP(Table3[[#This Row],[Date]],Database!$A:$E,5)</f>
        <v>202</v>
      </c>
      <c r="D566" s="26">
        <f>(((Table3[[#This Row],[Core PCE]]-$B$496)/$B$496)*100)+100</f>
        <v>111.51185523083863</v>
      </c>
      <c r="E566" s="26">
        <f>(((Table3[[#This Row],[Core CPI]]-$C$496)/$C$496)*100)+100</f>
        <v>113.03861219921657</v>
      </c>
      <c r="F566" s="27">
        <v>2.0717534108135389E-2</v>
      </c>
      <c r="G566" s="27">
        <f>VLOOKUP(Table3[[#This Row],[Date]],'PCE Core'!A:D,4,)</f>
        <v>2.2640555325702187E-2</v>
      </c>
    </row>
    <row r="567" spans="1:7" x14ac:dyDescent="0.2">
      <c r="A567" s="41">
        <v>38657</v>
      </c>
      <c r="B567" s="28">
        <f>VLOOKUP(Table3[[#This Row],[Date]],'PCE Core'!$A:$E,2,)</f>
        <v>89.21</v>
      </c>
      <c r="C567" s="26">
        <f>VLOOKUP(Table3[[#This Row],[Date]],Database!$A:$E,5)</f>
        <v>202.5</v>
      </c>
      <c r="D567" s="26">
        <f>(((Table3[[#This Row],[Core PCE]]-$B$496)/$B$496)*100)+100</f>
        <v>111.7975838387889</v>
      </c>
      <c r="E567" s="26">
        <f>(((Table3[[#This Row],[Core CPI]]-$C$496)/$C$496)*100)+100</f>
        <v>113.31841074426414</v>
      </c>
      <c r="F567" s="27">
        <v>2.1180030257186021E-2</v>
      </c>
      <c r="G567" s="27">
        <f>VLOOKUP(Table3[[#This Row],[Date]],'PCE Core'!A:D,4,)</f>
        <v>2.3062191080172888E-2</v>
      </c>
    </row>
    <row r="568" spans="1:7" x14ac:dyDescent="0.2">
      <c r="A568" s="38">
        <v>38687</v>
      </c>
      <c r="B568" s="28">
        <f>VLOOKUP(Table3[[#This Row],[Date]],'PCE Core'!$A:$E,2,)</f>
        <v>89.302000000000007</v>
      </c>
      <c r="C568" s="28">
        <f>VLOOKUP(Table3[[#This Row],[Date]],Database!$A:$E,5)</f>
        <v>202.8</v>
      </c>
      <c r="D568" s="26">
        <f>(((Table3[[#This Row],[Core PCE]]-$B$496)/$B$496)*100)+100</f>
        <v>111.91287783848814</v>
      </c>
      <c r="E568" s="26">
        <f>(((Table3[[#This Row],[Core CPI]]-$C$496)/$C$496)*100)+100</f>
        <v>113.48628987129268</v>
      </c>
      <c r="F568" s="27">
        <v>2.1148036253776519E-2</v>
      </c>
      <c r="G568" s="27">
        <f>VLOOKUP(Table3[[#This Row],[Date]],'PCE Core'!A:D,4,)</f>
        <v>2.2803541363631153E-2</v>
      </c>
    </row>
    <row r="569" spans="1:7" x14ac:dyDescent="0.2">
      <c r="A569" s="41">
        <v>38718</v>
      </c>
      <c r="B569" s="28">
        <f>VLOOKUP(Table3[[#This Row],[Date]],'PCE Core'!$A:$E,2,)</f>
        <v>89.503</v>
      </c>
      <c r="C569" s="28">
        <f>VLOOKUP(Table3[[#This Row],[Date]],Database!$A:$E,5)</f>
        <v>203.2</v>
      </c>
      <c r="D569" s="26">
        <f>(((Table3[[#This Row],[Core PCE]]-$B$496)/$B$496)*100)+100</f>
        <v>112.16477016391798</v>
      </c>
      <c r="E569" s="26">
        <f>(((Table3[[#This Row],[Core CPI]]-$C$496)/$C$496)*100)+100</f>
        <v>113.71012870733072</v>
      </c>
      <c r="F569" s="27">
        <v>2.1105527638190898E-2</v>
      </c>
      <c r="G569" s="27">
        <f>VLOOKUP(Table3[[#This Row],[Date]],'PCE Core'!A:D,4,)</f>
        <v>2.1432239657631955E-2</v>
      </c>
    </row>
    <row r="570" spans="1:7" x14ac:dyDescent="0.2">
      <c r="A570" s="38">
        <v>38749</v>
      </c>
      <c r="B570" s="28">
        <f>VLOOKUP(Table3[[#This Row],[Date]],'PCE Core'!$A:$E,2,)</f>
        <v>89.647000000000006</v>
      </c>
      <c r="C570" s="26">
        <f>VLOOKUP(Table3[[#This Row],[Date]],Database!$A:$E,5)</f>
        <v>203.6</v>
      </c>
      <c r="D570" s="26">
        <f>(((Table3[[#This Row],[Core PCE]]-$B$496)/$B$496)*100)+100</f>
        <v>112.34523033736026</v>
      </c>
      <c r="E570" s="26">
        <f>(((Table3[[#This Row],[Core CPI]]-$C$496)/$C$496)*100)+100</f>
        <v>113.93396754336878</v>
      </c>
      <c r="F570" s="27">
        <v>2.1063189568706061E-2</v>
      </c>
      <c r="G570" s="27">
        <f>VLOOKUP(Table3[[#This Row],[Date]],'PCE Core'!A:D,4,)</f>
        <v>2.1385439216133183E-2</v>
      </c>
    </row>
    <row r="571" spans="1:7" x14ac:dyDescent="0.2">
      <c r="A571" s="41">
        <v>38777</v>
      </c>
      <c r="B571" s="28">
        <f>VLOOKUP(Table3[[#This Row],[Date]],'PCE Core'!$A:$E,2,)</f>
        <v>89.894000000000005</v>
      </c>
      <c r="C571" s="28">
        <f>VLOOKUP(Table3[[#This Row],[Date]],Database!$A:$E,5)</f>
        <v>204.3</v>
      </c>
      <c r="D571" s="26">
        <f>(((Table3[[#This Row],[Core PCE]]-$B$496)/$B$496)*100)+100</f>
        <v>112.65476966263972</v>
      </c>
      <c r="E571" s="26">
        <f>(((Table3[[#This Row],[Core CPI]]-$C$496)/$C$496)*100)+100</f>
        <v>114.32568550643538</v>
      </c>
      <c r="F571" s="27">
        <v>2.0989505247376399E-2</v>
      </c>
      <c r="G571" s="27">
        <f>VLOOKUP(Table3[[#This Row],[Date]],'PCE Core'!A:D,4,)</f>
        <v>2.1673656335595155E-2</v>
      </c>
    </row>
    <row r="572" spans="1:7" x14ac:dyDescent="0.2">
      <c r="A572" s="38">
        <v>38808</v>
      </c>
      <c r="B572" s="28">
        <f>VLOOKUP(Table3[[#This Row],[Date]],'PCE Core'!$A:$E,2,)</f>
        <v>90.168999999999997</v>
      </c>
      <c r="C572" s="28">
        <f>VLOOKUP(Table3[[#This Row],[Date]],Database!$A:$E,5)</f>
        <v>204.8</v>
      </c>
      <c r="D572" s="26">
        <f>(((Table3[[#This Row],[Core PCE]]-$B$496)/$B$496)*100)+100</f>
        <v>112.99939846608851</v>
      </c>
      <c r="E572" s="26">
        <f>(((Table3[[#This Row],[Core CPI]]-$C$496)/$C$496)*100)+100</f>
        <v>114.60548405148295</v>
      </c>
      <c r="F572" s="27">
        <v>2.2977022977023091E-2</v>
      </c>
      <c r="G572" s="27">
        <f>VLOOKUP(Table3[[#This Row],[Date]],'PCE Core'!A:D,4,)</f>
        <v>2.3612482829865229E-2</v>
      </c>
    </row>
    <row r="573" spans="1:7" x14ac:dyDescent="0.2">
      <c r="A573" s="41">
        <v>38838</v>
      </c>
      <c r="B573" s="28">
        <f>VLOOKUP(Table3[[#This Row],[Date]],'PCE Core'!$A:$E,2,)</f>
        <v>90.394999999999996</v>
      </c>
      <c r="C573" s="26">
        <f>VLOOKUP(Table3[[#This Row],[Date]],Database!$A:$E,5)</f>
        <v>205.4</v>
      </c>
      <c r="D573" s="26">
        <f>(((Table3[[#This Row],[Core PCE]]-$B$496)/$B$496)*100)+100</f>
        <v>113.28262068274097</v>
      </c>
      <c r="E573" s="26">
        <f>(((Table3[[#This Row],[Core CPI]]-$C$496)/$C$496)*100)+100</f>
        <v>114.94124230554002</v>
      </c>
      <c r="F573" s="27">
        <v>2.4438902743142171E-2</v>
      </c>
      <c r="G573" s="27">
        <f>VLOOKUP(Table3[[#This Row],[Date]],'PCE Core'!A:D,4,)</f>
        <v>2.4085466018647434E-2</v>
      </c>
    </row>
    <row r="574" spans="1:7" x14ac:dyDescent="0.2">
      <c r="A574" s="38">
        <v>38869</v>
      </c>
      <c r="B574" s="28">
        <f>VLOOKUP(Table3[[#This Row],[Date]],'PCE Core'!$A:$E,2,)</f>
        <v>90.623000000000005</v>
      </c>
      <c r="C574" s="28">
        <f>VLOOKUP(Table3[[#This Row],[Date]],Database!$A:$E,5)</f>
        <v>205.9</v>
      </c>
      <c r="D574" s="26">
        <f>(((Table3[[#This Row],[Core PCE]]-$B$496)/$B$496)*100)+100</f>
        <v>113.56834929069126</v>
      </c>
      <c r="E574" s="26">
        <f>(((Table3[[#This Row],[Core CPI]]-$C$496)/$C$496)*100)+100</f>
        <v>115.22104085058758</v>
      </c>
      <c r="F574" s="27">
        <v>2.6420737786640142E-2</v>
      </c>
      <c r="G574" s="27">
        <f>VLOOKUP(Table3[[#This Row],[Date]],'PCE Core'!A:D,4,)</f>
        <v>2.5959470168685682E-2</v>
      </c>
    </row>
    <row r="575" spans="1:7" x14ac:dyDescent="0.2">
      <c r="A575" s="41">
        <v>38899</v>
      </c>
      <c r="B575" s="28">
        <f>VLOOKUP(Table3[[#This Row],[Date]],'PCE Core'!$A:$E,2,)</f>
        <v>90.712000000000003</v>
      </c>
      <c r="C575" s="28">
        <f>VLOOKUP(Table3[[#This Row],[Date]],Database!$A:$E,5)</f>
        <v>206.3</v>
      </c>
      <c r="D575" s="26">
        <f>(((Table3[[#This Row],[Core PCE]]-$B$496)/$B$496)*100)+100</f>
        <v>113.67988370344378</v>
      </c>
      <c r="E575" s="26">
        <f>(((Table3[[#This Row],[Core CPI]]-$C$496)/$C$496)*100)+100</f>
        <v>115.44487968662564</v>
      </c>
      <c r="F575" s="27">
        <v>2.687904430064712E-2</v>
      </c>
      <c r="G575" s="27">
        <f>VLOOKUP(Table3[[#This Row],[Date]],'PCE Core'!A:D,4,)</f>
        <v>2.5457834049287923E-2</v>
      </c>
    </row>
    <row r="576" spans="1:7" x14ac:dyDescent="0.2">
      <c r="A576" s="38">
        <v>38930</v>
      </c>
      <c r="B576" s="28">
        <f>VLOOKUP(Table3[[#This Row],[Date]],'PCE Core'!$A:$E,2,)</f>
        <v>90.896000000000001</v>
      </c>
      <c r="C576" s="26">
        <f>VLOOKUP(Table3[[#This Row],[Date]],Database!$A:$E,5)</f>
        <v>206.8</v>
      </c>
      <c r="D576" s="26">
        <f>(((Table3[[#This Row],[Core PCE]]-$B$496)/$B$496)*100)+100</f>
        <v>113.91047170284224</v>
      </c>
      <c r="E576" s="26">
        <f>(((Table3[[#This Row],[Core CPI]]-$C$496)/$C$496)*100)+100</f>
        <v>115.72467823167321</v>
      </c>
      <c r="F576" s="27">
        <v>2.8344107409249211E-2</v>
      </c>
      <c r="G576" s="27">
        <f>VLOOKUP(Table3[[#This Row],[Date]],'PCE Core'!A:D,4,)</f>
        <v>2.6702209370623103E-2</v>
      </c>
    </row>
    <row r="577" spans="1:7" x14ac:dyDescent="0.2">
      <c r="A577" s="41">
        <v>38961</v>
      </c>
      <c r="B577" s="28">
        <f>VLOOKUP(Table3[[#This Row],[Date]],'PCE Core'!$A:$E,2,)</f>
        <v>91.04</v>
      </c>
      <c r="C577" s="28">
        <f>VLOOKUP(Table3[[#This Row],[Date]],Database!$A:$E,5)</f>
        <v>207.2</v>
      </c>
      <c r="D577" s="26">
        <f>(((Table3[[#This Row],[Core PCE]]-$B$496)/$B$496)*100)+100</f>
        <v>114.09093187628453</v>
      </c>
      <c r="E577" s="26">
        <f>(((Table3[[#This Row],[Core CPI]]-$C$496)/$C$496)*100)+100</f>
        <v>115.94851706771125</v>
      </c>
      <c r="F577" s="27">
        <v>2.930948832588165E-2</v>
      </c>
      <c r="G577" s="27">
        <f>VLOOKUP(Table3[[#This Row],[Date]],'PCE Core'!A:D,4,)</f>
        <v>2.6057163465873365E-2</v>
      </c>
    </row>
    <row r="578" spans="1:7" x14ac:dyDescent="0.2">
      <c r="A578" s="38">
        <v>38991</v>
      </c>
      <c r="B578" s="28">
        <f>VLOOKUP(Table3[[#This Row],[Date]],'PCE Core'!$A:$E,2,)</f>
        <v>91.203999999999994</v>
      </c>
      <c r="C578" s="28">
        <f>VLOOKUP(Table3[[#This Row],[Date]],Database!$A:$E,5)</f>
        <v>207.6</v>
      </c>
      <c r="D578" s="26">
        <f>(((Table3[[#This Row],[Core PCE]]-$B$496)/$B$496)*100)+100</f>
        <v>114.29645596270488</v>
      </c>
      <c r="E578" s="26">
        <f>(((Table3[[#This Row],[Core CPI]]-$C$496)/$C$496)*100)+100</f>
        <v>116.17235590374931</v>
      </c>
      <c r="F578" s="27">
        <v>2.7722772277227699E-2</v>
      </c>
      <c r="G578" s="27">
        <f>VLOOKUP(Table3[[#This Row],[Date]],'PCE Core'!A:D,4,)</f>
        <v>2.4971342518711585E-2</v>
      </c>
    </row>
    <row r="579" spans="1:7" x14ac:dyDescent="0.2">
      <c r="A579" s="41">
        <v>39022</v>
      </c>
      <c r="B579" s="28">
        <f>VLOOKUP(Table3[[#This Row],[Date]],'PCE Core'!$A:$E,2,)</f>
        <v>91.248000000000005</v>
      </c>
      <c r="C579" s="26">
        <f>VLOOKUP(Table3[[#This Row],[Date]],Database!$A:$E,5)</f>
        <v>207.8</v>
      </c>
      <c r="D579" s="26">
        <f>(((Table3[[#This Row],[Core PCE]]-$B$496)/$B$496)*100)+100</f>
        <v>114.35159657125669</v>
      </c>
      <c r="E579" s="26">
        <f>(((Table3[[#This Row],[Core CPI]]-$C$496)/$C$496)*100)+100</f>
        <v>116.28427532176835</v>
      </c>
      <c r="F579" s="27">
        <v>2.6172839506172899E-2</v>
      </c>
      <c r="G579" s="27">
        <f>VLOOKUP(Table3[[#This Row],[Date]],'PCE Core'!A:D,4,)</f>
        <v>2.2844972536711253E-2</v>
      </c>
    </row>
    <row r="580" spans="1:7" x14ac:dyDescent="0.2">
      <c r="A580" s="38">
        <v>39052</v>
      </c>
      <c r="B580" s="28">
        <f>VLOOKUP(Table3[[#This Row],[Date]],'PCE Core'!$A:$E,2,)</f>
        <v>91.37</v>
      </c>
      <c r="C580" s="28">
        <f>VLOOKUP(Table3[[#This Row],[Date]],Database!$A:$E,5)</f>
        <v>208.1</v>
      </c>
      <c r="D580" s="26">
        <f>(((Table3[[#This Row],[Core PCE]]-$B$496)/$B$496)*100)+100</f>
        <v>114.50448644042308</v>
      </c>
      <c r="E580" s="26">
        <f>(((Table3[[#This Row],[Core CPI]]-$C$496)/$C$496)*100)+100</f>
        <v>116.45215444879688</v>
      </c>
      <c r="F580" s="27">
        <v>2.613412228796836E-2</v>
      </c>
      <c r="G580" s="27">
        <f>VLOOKUP(Table3[[#This Row],[Date]],'PCE Core'!A:D,4,)</f>
        <v>2.3157376094600318E-2</v>
      </c>
    </row>
    <row r="581" spans="1:7" x14ac:dyDescent="0.2">
      <c r="A581" s="41">
        <v>39083</v>
      </c>
      <c r="B581" s="28">
        <f>VLOOKUP(Table3[[#This Row],[Date]],'PCE Core'!$A:$E,2,)</f>
        <v>91.741</v>
      </c>
      <c r="C581" s="28">
        <f>VLOOKUP(Table3[[#This Row],[Date]],Database!$A:$E,5)</f>
        <v>208.6</v>
      </c>
      <c r="D581" s="26">
        <f>(((Table3[[#This Row],[Core PCE]]-$B$496)/$B$496)*100)+100</f>
        <v>114.96942202616671</v>
      </c>
      <c r="E581" s="26">
        <f>(((Table3[[#This Row],[Core CPI]]-$C$496)/$C$496)*100)+100</f>
        <v>116.73195299384443</v>
      </c>
      <c r="F581" s="27">
        <v>2.6574803149606328E-2</v>
      </c>
      <c r="G581" s="27">
        <f>VLOOKUP(Table3[[#This Row],[Date]],'PCE Core'!A:D,4,)</f>
        <v>2.5004748444186223E-2</v>
      </c>
    </row>
    <row r="582" spans="1:7" x14ac:dyDescent="0.2">
      <c r="A582" s="38">
        <v>39114</v>
      </c>
      <c r="B582" s="28">
        <f>VLOOKUP(Table3[[#This Row],[Date]],'PCE Core'!$A:$E,2,)</f>
        <v>91.938999999999993</v>
      </c>
      <c r="C582" s="26">
        <f>VLOOKUP(Table3[[#This Row],[Date]],Database!$A:$E,5)</f>
        <v>209.13499999999999</v>
      </c>
      <c r="D582" s="26">
        <f>(((Table3[[#This Row],[Core PCE]]-$B$496)/$B$496)*100)+100</f>
        <v>115.21755476464983</v>
      </c>
      <c r="E582" s="26">
        <f>(((Table3[[#This Row],[Core CPI]]-$C$496)/$C$496)*100)+100</f>
        <v>117.03133743704532</v>
      </c>
      <c r="F582" s="27">
        <v>2.7185658153241629E-2</v>
      </c>
      <c r="G582" s="27">
        <f>VLOOKUP(Table3[[#This Row],[Date]],'PCE Core'!A:D,4,)</f>
        <v>2.5566945910069354E-2</v>
      </c>
    </row>
    <row r="583" spans="1:7" x14ac:dyDescent="0.2">
      <c r="A583" s="41">
        <v>39142</v>
      </c>
      <c r="B583" s="28">
        <f>VLOOKUP(Table3[[#This Row],[Date]],'PCE Core'!$A:$E,2,)</f>
        <v>92.031999999999996</v>
      </c>
      <c r="C583" s="28">
        <f>VLOOKUP(Table3[[#This Row],[Date]],Database!$A:$E,5)</f>
        <v>209.41800000000001</v>
      </c>
      <c r="D583" s="26">
        <f>(((Table3[[#This Row],[Core PCE]]-$B$496)/$B$496)*100)+100</f>
        <v>115.33410195999798</v>
      </c>
      <c r="E583" s="26">
        <f>(((Table3[[#This Row],[Core CPI]]-$C$496)/$C$496)*100)+100</f>
        <v>117.18970341354226</v>
      </c>
      <c r="F583" s="27">
        <v>2.5051395007342121E-2</v>
      </c>
      <c r="G583" s="27">
        <f>VLOOKUP(Table3[[#This Row],[Date]],'PCE Core'!A:D,4,)</f>
        <v>2.3783567312612532E-2</v>
      </c>
    </row>
    <row r="584" spans="1:7" x14ac:dyDescent="0.2">
      <c r="A584" s="38">
        <v>39173</v>
      </c>
      <c r="B584" s="28">
        <f>VLOOKUP(Table3[[#This Row],[Date]],'PCE Core'!$A:$E,2,)</f>
        <v>92.162999999999997</v>
      </c>
      <c r="C584" s="28">
        <f>VLOOKUP(Table3[[#This Row],[Date]],Database!$A:$E,5)</f>
        <v>209.74700000000001</v>
      </c>
      <c r="D584" s="26">
        <f>(((Table3[[#This Row],[Core PCE]]-$B$496)/$B$496)*100)+100</f>
        <v>115.49827059000449</v>
      </c>
      <c r="E584" s="26">
        <f>(((Table3[[#This Row],[Core CPI]]-$C$496)/$C$496)*100)+100</f>
        <v>117.37381085618357</v>
      </c>
      <c r="F584" s="27">
        <v>2.415527343750001E-2</v>
      </c>
      <c r="G584" s="27">
        <f>VLOOKUP(Table3[[#This Row],[Date]],'PCE Core'!A:D,4,)</f>
        <v>2.2114030320841974E-2</v>
      </c>
    </row>
    <row r="585" spans="1:7" x14ac:dyDescent="0.2">
      <c r="A585" s="41">
        <v>39203</v>
      </c>
      <c r="B585" s="28">
        <f>VLOOKUP(Table3[[#This Row],[Date]],'PCE Core'!$A:$E,2,)</f>
        <v>92.272000000000006</v>
      </c>
      <c r="C585" s="26">
        <f>VLOOKUP(Table3[[#This Row],[Date]],Database!$A:$E,5)</f>
        <v>210.05799999999999</v>
      </c>
      <c r="D585" s="26">
        <f>(((Table3[[#This Row],[Core PCE]]-$B$496)/$B$496)*100)+100</f>
        <v>115.63486891573513</v>
      </c>
      <c r="E585" s="26">
        <f>(((Table3[[#This Row],[Core CPI]]-$C$496)/$C$496)*100)+100</f>
        <v>117.54784555120314</v>
      </c>
      <c r="F585" s="27">
        <v>2.2677702044790589E-2</v>
      </c>
      <c r="G585" s="27">
        <f>VLOOKUP(Table3[[#This Row],[Date]],'PCE Core'!A:D,4,)</f>
        <v>2.0764422810996289E-2</v>
      </c>
    </row>
    <row r="586" spans="1:7" x14ac:dyDescent="0.2">
      <c r="A586" s="38">
        <v>39234</v>
      </c>
      <c r="B586" s="28">
        <f>VLOOKUP(Table3[[#This Row],[Date]],'PCE Core'!$A:$E,2,)</f>
        <v>92.424000000000007</v>
      </c>
      <c r="C586" s="28">
        <f>VLOOKUP(Table3[[#This Row],[Date]],Database!$A:$E,5)</f>
        <v>210.392</v>
      </c>
      <c r="D586" s="26">
        <f>(((Table3[[#This Row],[Core PCE]]-$B$496)/$B$496)*100)+100</f>
        <v>115.82535465436864</v>
      </c>
      <c r="E586" s="26">
        <f>(((Table3[[#This Row],[Core CPI]]-$C$496)/$C$496)*100)+100</f>
        <v>117.73475097929492</v>
      </c>
      <c r="F586" s="27">
        <v>2.1816415735794029E-2</v>
      </c>
      <c r="G586" s="27">
        <f>VLOOKUP(Table3[[#This Row],[Date]],'PCE Core'!A:D,4,)</f>
        <v>1.9873542036789798E-2</v>
      </c>
    </row>
    <row r="587" spans="1:7" x14ac:dyDescent="0.2">
      <c r="A587" s="41">
        <v>39264</v>
      </c>
      <c r="B587" s="28">
        <f>VLOOKUP(Table3[[#This Row],[Date]],'PCE Core'!$A:$E,2,)</f>
        <v>92.563000000000002</v>
      </c>
      <c r="C587" s="28">
        <f>VLOOKUP(Table3[[#This Row],[Date]],Database!$A:$E,5)</f>
        <v>210.773</v>
      </c>
      <c r="D587" s="26">
        <f>(((Table3[[#This Row],[Core PCE]]-$B$496)/$B$496)*100)+100</f>
        <v>115.99954884956639</v>
      </c>
      <c r="E587" s="26">
        <f>(((Table3[[#This Row],[Core CPI]]-$C$496)/$C$496)*100)+100</f>
        <v>117.94795747062116</v>
      </c>
      <c r="F587" s="27">
        <v>2.168201648085305E-2</v>
      </c>
      <c r="G587" s="27">
        <f>VLOOKUP(Table3[[#This Row],[Date]],'PCE Core'!A:D,4,)</f>
        <v>2.0405238557191983E-2</v>
      </c>
    </row>
    <row r="588" spans="1:7" x14ac:dyDescent="0.2">
      <c r="A588" s="38">
        <v>39295</v>
      </c>
      <c r="B588" s="28">
        <f>VLOOKUP(Table3[[#This Row],[Date]],'PCE Core'!$A:$E,2,)</f>
        <v>92.700999999999993</v>
      </c>
      <c r="C588" s="26">
        <f>VLOOKUP(Table3[[#This Row],[Date]],Database!$A:$E,5)</f>
        <v>211.119</v>
      </c>
      <c r="D588" s="26">
        <f>(((Table3[[#This Row],[Core PCE]]-$B$496)/$B$496)*100)+100</f>
        <v>116.17248984911522</v>
      </c>
      <c r="E588" s="26">
        <f>(((Table3[[#This Row],[Core CPI]]-$C$496)/$C$496)*100)+100</f>
        <v>118.14157806379407</v>
      </c>
      <c r="F588" s="27">
        <v>2.088491295938099E-2</v>
      </c>
      <c r="G588" s="27">
        <f>VLOOKUP(Table3[[#This Row],[Date]],'PCE Core'!A:D,4,)</f>
        <v>1.9857859531772493E-2</v>
      </c>
    </row>
    <row r="589" spans="1:7" x14ac:dyDescent="0.2">
      <c r="A589" s="41">
        <v>39326</v>
      </c>
      <c r="B589" s="28">
        <f>VLOOKUP(Table3[[#This Row],[Date]],'PCE Core'!$A:$E,2,)</f>
        <v>92.953999999999994</v>
      </c>
      <c r="C589" s="28">
        <f>VLOOKUP(Table3[[#This Row],[Date]],Database!$A:$E,5)</f>
        <v>211.554</v>
      </c>
      <c r="D589" s="26">
        <f>(((Table3[[#This Row],[Core PCE]]-$B$496)/$B$496)*100)+100</f>
        <v>116.48954834828811</v>
      </c>
      <c r="E589" s="26">
        <f>(((Table3[[#This Row],[Core CPI]]-$C$496)/$C$496)*100)+100</f>
        <v>118.38500279798546</v>
      </c>
      <c r="F589" s="27">
        <v>2.101351351351358E-2</v>
      </c>
      <c r="G589" s="27">
        <f>VLOOKUP(Table3[[#This Row],[Date]],'PCE Core'!A:D,4,)</f>
        <v>2.1023725834797748E-2</v>
      </c>
    </row>
    <row r="590" spans="1:7" x14ac:dyDescent="0.2">
      <c r="A590" s="38">
        <v>39356</v>
      </c>
      <c r="B590" s="28">
        <f>VLOOKUP(Table3[[#This Row],[Date]],'PCE Core'!$A:$E,2,)</f>
        <v>93.195999999999998</v>
      </c>
      <c r="C590" s="28">
        <f>VLOOKUP(Table3[[#This Row],[Date]],Database!$A:$E,5)</f>
        <v>212.077</v>
      </c>
      <c r="D590" s="26">
        <f>(((Table3[[#This Row],[Core PCE]]-$B$496)/$B$496)*100)+100</f>
        <v>116.79282169532306</v>
      </c>
      <c r="E590" s="26">
        <f>(((Table3[[#This Row],[Core CPI]]-$C$496)/$C$496)*100)+100</f>
        <v>118.67767207610521</v>
      </c>
      <c r="F590" s="27">
        <v>2.1565510597302519E-2</v>
      </c>
      <c r="G590" s="27">
        <f>VLOOKUP(Table3[[#This Row],[Date]],'PCE Core'!A:D,4,)</f>
        <v>2.1841147318100135E-2</v>
      </c>
    </row>
    <row r="591" spans="1:7" x14ac:dyDescent="0.2">
      <c r="A591" s="41">
        <v>39387</v>
      </c>
      <c r="B591" s="28">
        <f>VLOOKUP(Table3[[#This Row],[Date]],'PCE Core'!$A:$E,2,)</f>
        <v>93.379000000000005</v>
      </c>
      <c r="C591" s="26">
        <f>VLOOKUP(Table3[[#This Row],[Date]],Database!$A:$E,5)</f>
        <v>212.66</v>
      </c>
      <c r="D591" s="26">
        <f>(((Table3[[#This Row],[Core PCE]]-$B$496)/$B$496)*100)+100</f>
        <v>117.02215649907264</v>
      </c>
      <c r="E591" s="26">
        <f>(((Table3[[#This Row],[Core CPI]]-$C$496)/$C$496)*100)+100</f>
        <v>119.00391717963068</v>
      </c>
      <c r="F591" s="27">
        <v>2.3387872954764119E-2</v>
      </c>
      <c r="G591" s="27">
        <f>VLOOKUP(Table3[[#This Row],[Date]],'PCE Core'!A:D,4,)</f>
        <v>2.3353936524636156E-2</v>
      </c>
    </row>
    <row r="592" spans="1:7" x14ac:dyDescent="0.2">
      <c r="A592" s="38">
        <v>39417</v>
      </c>
      <c r="B592" s="28">
        <f>VLOOKUP(Table3[[#This Row],[Date]],'PCE Core'!$A:$E,2,)</f>
        <v>93.566999999999993</v>
      </c>
      <c r="C592" s="28">
        <f>VLOOKUP(Table3[[#This Row],[Date]],Database!$A:$E,5)</f>
        <v>213.16800000000001</v>
      </c>
      <c r="D592" s="26">
        <f>(((Table3[[#This Row],[Core PCE]]-$B$496)/$B$496)*100)+100</f>
        <v>117.2577572810667</v>
      </c>
      <c r="E592" s="26">
        <f>(((Table3[[#This Row],[Core CPI]]-$C$496)/$C$496)*100)+100</f>
        <v>119.28819250139901</v>
      </c>
      <c r="F592" s="27">
        <v>2.435367611725138E-2</v>
      </c>
      <c r="G592" s="27">
        <f>VLOOKUP(Table3[[#This Row],[Date]],'PCE Core'!A:D,4,)</f>
        <v>2.4045091386669458E-2</v>
      </c>
    </row>
    <row r="593" spans="1:7" x14ac:dyDescent="0.2">
      <c r="A593" s="41">
        <v>39448</v>
      </c>
      <c r="B593" s="28">
        <f>VLOOKUP(Table3[[#This Row],[Date]],'PCE Core'!$A:$E,2,)</f>
        <v>93.753</v>
      </c>
      <c r="C593" s="28">
        <f>VLOOKUP(Table3[[#This Row],[Date]],Database!$A:$E,5)</f>
        <v>213.77099999999999</v>
      </c>
      <c r="D593" s="26">
        <f>(((Table3[[#This Row],[Core PCE]]-$B$496)/$B$496)*100)+100</f>
        <v>117.49085167176298</v>
      </c>
      <c r="E593" s="26">
        <f>(((Table3[[#This Row],[Core CPI]]-$C$496)/$C$496)*100)+100</f>
        <v>119.62562954672636</v>
      </c>
      <c r="F593" s="27">
        <v>2.4789069990412239E-2</v>
      </c>
      <c r="G593" s="27">
        <f>VLOOKUP(Table3[[#This Row],[Date]],'PCE Core'!A:D,4,)</f>
        <v>2.193130661318277E-2</v>
      </c>
    </row>
    <row r="594" spans="1:7" x14ac:dyDescent="0.2">
      <c r="A594" s="38">
        <v>39479</v>
      </c>
      <c r="B594" s="28">
        <f>VLOOKUP(Table3[[#This Row],[Date]],'PCE Core'!$A:$E,2,)</f>
        <v>93.843999999999994</v>
      </c>
      <c r="C594" s="26">
        <f>VLOOKUP(Table3[[#This Row],[Date]],Database!$A:$E,5)</f>
        <v>213.93899999999999</v>
      </c>
      <c r="D594" s="26">
        <f>(((Table3[[#This Row],[Core PCE]]-$B$496)/$B$496)*100)+100</f>
        <v>117.6048924758133</v>
      </c>
      <c r="E594" s="26">
        <f>(((Table3[[#This Row],[Core CPI]]-$C$496)/$C$496)*100)+100</f>
        <v>119.71964185786234</v>
      </c>
      <c r="F594" s="27">
        <v>2.2970808329547909E-2</v>
      </c>
      <c r="G594" s="27">
        <f>VLOOKUP(Table3[[#This Row],[Date]],'PCE Core'!A:D,4,)</f>
        <v>2.0720260172505698E-2</v>
      </c>
    </row>
    <row r="595" spans="1:7" x14ac:dyDescent="0.2">
      <c r="A595" s="41">
        <v>39508</v>
      </c>
      <c r="B595" s="28">
        <f>VLOOKUP(Table3[[#This Row],[Date]],'PCE Core'!$A:$E,2,)</f>
        <v>94.028000000000006</v>
      </c>
      <c r="C595" s="28">
        <f>VLOOKUP(Table3[[#This Row],[Date]],Database!$A:$E,5)</f>
        <v>214.42</v>
      </c>
      <c r="D595" s="26">
        <f>(((Table3[[#This Row],[Core PCE]]-$B$496)/$B$496)*100)+100</f>
        <v>117.8354804752118</v>
      </c>
      <c r="E595" s="26">
        <f>(((Table3[[#This Row],[Core CPI]]-$C$496)/$C$496)*100)+100</f>
        <v>119.9888080581981</v>
      </c>
      <c r="F595" s="27">
        <v>2.388524386633423E-2</v>
      </c>
      <c r="G595" s="27">
        <f>VLOOKUP(Table3[[#This Row],[Date]],'PCE Core'!A:D,4,)</f>
        <v>2.1688108484005666E-2</v>
      </c>
    </row>
    <row r="596" spans="1:7" x14ac:dyDescent="0.2">
      <c r="A596" s="38">
        <v>39539</v>
      </c>
      <c r="B596" s="28">
        <f>VLOOKUP(Table3[[#This Row],[Date]],'PCE Core'!$A:$E,2,)</f>
        <v>94.082999999999998</v>
      </c>
      <c r="C596" s="28">
        <f>VLOOKUP(Table3[[#This Row],[Date]],Database!$A:$E,5)</f>
        <v>214.56</v>
      </c>
      <c r="D596" s="26">
        <f>(((Table3[[#This Row],[Core PCE]]-$B$496)/$B$496)*100)+100</f>
        <v>117.90440623590153</v>
      </c>
      <c r="E596" s="26">
        <f>(((Table3[[#This Row],[Core CPI]]-$C$496)/$C$496)*100)+100</f>
        <v>120.06715165081143</v>
      </c>
      <c r="F596" s="27">
        <v>2.2946692920518472E-2</v>
      </c>
      <c r="G596" s="27">
        <f>VLOOKUP(Table3[[#This Row],[Date]],'PCE Core'!A:D,4,)</f>
        <v>2.0832655187005649E-2</v>
      </c>
    </row>
    <row r="597" spans="1:7" x14ac:dyDescent="0.2">
      <c r="A597" s="41">
        <v>39569</v>
      </c>
      <c r="B597" s="28">
        <f>VLOOKUP(Table3[[#This Row],[Date]],'PCE Core'!$A:$E,2,)</f>
        <v>94.254999999999995</v>
      </c>
      <c r="C597" s="26">
        <f>VLOOKUP(Table3[[#This Row],[Date]],Database!$A:$E,5)</f>
        <v>214.93600000000001</v>
      </c>
      <c r="D597" s="26">
        <f>(((Table3[[#This Row],[Core PCE]]-$B$496)/$B$496)*100)+100</f>
        <v>118.11995588751314</v>
      </c>
      <c r="E597" s="26">
        <f>(((Table3[[#This Row],[Core CPI]]-$C$496)/$C$496)*100)+100</f>
        <v>120.2775601566872</v>
      </c>
      <c r="F597" s="27">
        <v>2.3222157689780989E-2</v>
      </c>
      <c r="G597" s="27">
        <f>VLOOKUP(Table3[[#This Row],[Date]],'PCE Core'!A:D,4,)</f>
        <v>2.1490809779781406E-2</v>
      </c>
    </row>
    <row r="598" spans="1:7" x14ac:dyDescent="0.2">
      <c r="A598" s="38">
        <v>39600</v>
      </c>
      <c r="B598" s="28">
        <f>VLOOKUP(Table3[[#This Row],[Date]],'PCE Core'!$A:$E,2,)</f>
        <v>94.471000000000004</v>
      </c>
      <c r="C598" s="28">
        <f>VLOOKUP(Table3[[#This Row],[Date]],Database!$A:$E,5)</f>
        <v>215.42400000000001</v>
      </c>
      <c r="D598" s="26">
        <f>(((Table3[[#This Row],[Core PCE]]-$B$496)/$B$496)*100)+100</f>
        <v>118.39064614767656</v>
      </c>
      <c r="E598" s="26">
        <f>(((Table3[[#This Row],[Core CPI]]-$C$496)/$C$496)*100)+100</f>
        <v>120.55064353665362</v>
      </c>
      <c r="F598" s="27">
        <v>2.3917259211376909E-2</v>
      </c>
      <c r="G598" s="27">
        <f>VLOOKUP(Table3[[#This Row],[Date]],'PCE Core'!A:D,4,)</f>
        <v>2.2147926945382118E-2</v>
      </c>
    </row>
    <row r="599" spans="1:7" x14ac:dyDescent="0.2">
      <c r="A599" s="41">
        <v>39630</v>
      </c>
      <c r="B599" s="28">
        <f>VLOOKUP(Table3[[#This Row],[Date]],'PCE Core'!$A:$E,2,)</f>
        <v>94.641000000000005</v>
      </c>
      <c r="C599" s="28">
        <f>VLOOKUP(Table3[[#This Row],[Date]],Database!$A:$E,5)</f>
        <v>215.965</v>
      </c>
      <c r="D599" s="26">
        <f>(((Table3[[#This Row],[Core PCE]]-$B$496)/$B$496)*100)+100</f>
        <v>118.60368940799037</v>
      </c>
      <c r="E599" s="26">
        <f>(((Table3[[#This Row],[Core CPI]]-$C$496)/$C$496)*100)+100</f>
        <v>120.85338556239509</v>
      </c>
      <c r="F599" s="27">
        <v>2.46331361227482E-2</v>
      </c>
      <c r="G599" s="27">
        <f>VLOOKUP(Table3[[#This Row],[Date]],'PCE Core'!A:D,4,)</f>
        <v>2.2449574884132999E-2</v>
      </c>
    </row>
    <row r="600" spans="1:7" x14ac:dyDescent="0.2">
      <c r="A600" s="38">
        <v>39661</v>
      </c>
      <c r="B600" s="28">
        <f>VLOOKUP(Table3[[#This Row],[Date]],'PCE Core'!$A:$E,2,)</f>
        <v>94.757000000000005</v>
      </c>
      <c r="C600" s="26">
        <f>VLOOKUP(Table3[[#This Row],[Date]],Database!$A:$E,5)</f>
        <v>216.393</v>
      </c>
      <c r="D600" s="26">
        <f>(((Table3[[#This Row],[Core PCE]]-$B$496)/$B$496)*100)+100</f>
        <v>118.74906010326332</v>
      </c>
      <c r="E600" s="26">
        <f>(((Table3[[#This Row],[Core CPI]]-$C$496)/$C$496)*100)+100</f>
        <v>121.09289311695579</v>
      </c>
      <c r="F600" s="27">
        <v>2.4981171756213321E-2</v>
      </c>
      <c r="G600" s="27">
        <f>VLOOKUP(Table3[[#This Row],[Date]],'PCE Core'!A:D,4,)</f>
        <v>2.2178833022297621E-2</v>
      </c>
    </row>
    <row r="601" spans="1:7" x14ac:dyDescent="0.2">
      <c r="A601" s="41">
        <v>39692</v>
      </c>
      <c r="B601" s="28">
        <f>VLOOKUP(Table3[[#This Row],[Date]],'PCE Core'!$A:$E,2,)</f>
        <v>94.853999999999999</v>
      </c>
      <c r="C601" s="28">
        <f>VLOOKUP(Table3[[#This Row],[Date]],Database!$A:$E,5)</f>
        <v>216.71299999999999</v>
      </c>
      <c r="D601" s="26">
        <f>(((Table3[[#This Row],[Core PCE]]-$B$496)/$B$496)*100)+100</f>
        <v>118.87062008120706</v>
      </c>
      <c r="E601" s="26">
        <f>(((Table3[[#This Row],[Core CPI]]-$C$496)/$C$496)*100)+100</f>
        <v>121.27196418578623</v>
      </c>
      <c r="F601" s="27">
        <v>2.438620872212292E-2</v>
      </c>
      <c r="G601" s="27">
        <f>VLOOKUP(Table3[[#This Row],[Date]],'PCE Core'!A:D,4,)</f>
        <v>2.0440217742109062E-2</v>
      </c>
    </row>
    <row r="602" spans="1:7" x14ac:dyDescent="0.2">
      <c r="A602" s="38">
        <v>39722</v>
      </c>
      <c r="B602" s="28">
        <f>VLOOKUP(Table3[[#This Row],[Date]],'PCE Core'!$A:$E,2,)</f>
        <v>94.718999999999994</v>
      </c>
      <c r="C602" s="28">
        <f>VLOOKUP(Table3[[#This Row],[Date]],Database!$A:$E,5)</f>
        <v>216.78800000000001</v>
      </c>
      <c r="D602" s="26">
        <f>(((Table3[[#This Row],[Core PCE]]-$B$496)/$B$496)*100)+100</f>
        <v>118.70143866860492</v>
      </c>
      <c r="E602" s="26">
        <f>(((Table3[[#This Row],[Core CPI]]-$C$496)/$C$496)*100)+100</f>
        <v>121.31393396754339</v>
      </c>
      <c r="F602" s="27">
        <v>2.2213629955157861E-2</v>
      </c>
      <c r="G602" s="27">
        <f>VLOOKUP(Table3[[#This Row],[Date]],'PCE Core'!A:D,4,)</f>
        <v>1.6341903085969313E-2</v>
      </c>
    </row>
    <row r="603" spans="1:7" x14ac:dyDescent="0.2">
      <c r="A603" s="41">
        <v>39753</v>
      </c>
      <c r="B603" s="28">
        <f>VLOOKUP(Table3[[#This Row],[Date]],'PCE Core'!$A:$E,2,)</f>
        <v>94.677000000000007</v>
      </c>
      <c r="C603" s="26">
        <f>VLOOKUP(Table3[[#This Row],[Date]],Database!$A:$E,5)</f>
        <v>216.947</v>
      </c>
      <c r="D603" s="26">
        <f>(((Table3[[#This Row],[Core PCE]]-$B$496)/$B$496)*100)+100</f>
        <v>118.64880445135094</v>
      </c>
      <c r="E603" s="26">
        <f>(((Table3[[#This Row],[Core CPI]]-$C$496)/$C$496)*100)+100</f>
        <v>121.40290990486849</v>
      </c>
      <c r="F603" s="27">
        <v>2.0158939151697579E-2</v>
      </c>
      <c r="G603" s="27">
        <f>VLOOKUP(Table3[[#This Row],[Date]],'PCE Core'!A:D,4,)</f>
        <v>1.390034161856522E-2</v>
      </c>
    </row>
    <row r="604" spans="1:7" x14ac:dyDescent="0.2">
      <c r="A604" s="38">
        <v>39783</v>
      </c>
      <c r="B604" s="28">
        <f>VLOOKUP(Table3[[#This Row],[Date]],'PCE Core'!$A:$E,2,)</f>
        <v>94.631</v>
      </c>
      <c r="C604" s="28">
        <f>VLOOKUP(Table3[[#This Row],[Date]],Database!$A:$E,5)</f>
        <v>216.92500000000001</v>
      </c>
      <c r="D604" s="26">
        <f>(((Table3[[#This Row],[Core PCE]]-$B$496)/$B$496)*100)+100</f>
        <v>118.59115745150132</v>
      </c>
      <c r="E604" s="26">
        <f>(((Table3[[#This Row],[Core CPI]]-$C$496)/$C$496)*100)+100</f>
        <v>121.39059876888642</v>
      </c>
      <c r="F604" s="27">
        <v>1.762459656233583E-2</v>
      </c>
      <c r="G604" s="27">
        <f>VLOOKUP(Table3[[#This Row],[Date]],'PCE Core'!A:D,4,)</f>
        <v>1.137153056098846E-2</v>
      </c>
    </row>
    <row r="605" spans="1:7" x14ac:dyDescent="0.2">
      <c r="A605" s="41">
        <v>39814</v>
      </c>
      <c r="B605" s="28">
        <f>VLOOKUP(Table3[[#This Row],[Date]],'PCE Core'!$A:$E,2,)</f>
        <v>94.602000000000004</v>
      </c>
      <c r="C605" s="28">
        <f>VLOOKUP(Table3[[#This Row],[Date]],Database!$A:$E,5)</f>
        <v>217.346</v>
      </c>
      <c r="D605" s="26">
        <f>(((Table3[[#This Row],[Core PCE]]-$B$496)/$B$496)*100)+100</f>
        <v>118.55481477768309</v>
      </c>
      <c r="E605" s="26">
        <f>(((Table3[[#This Row],[Core CPI]]-$C$496)/$C$496)*100)+100</f>
        <v>121.62618914381646</v>
      </c>
      <c r="F605" s="27">
        <v>1.6723503187990971E-2</v>
      </c>
      <c r="G605" s="27">
        <f>VLOOKUP(Table3[[#This Row],[Date]],'PCE Core'!A:D,4,)</f>
        <v>9.0557102172730865E-3</v>
      </c>
    </row>
    <row r="606" spans="1:7" x14ac:dyDescent="0.2">
      <c r="A606" s="38">
        <v>39845</v>
      </c>
      <c r="B606" s="28">
        <f>VLOOKUP(Table3[[#This Row],[Date]],'PCE Core'!$A:$E,2,)</f>
        <v>94.677000000000007</v>
      </c>
      <c r="C606" s="26">
        <f>VLOOKUP(Table3[[#This Row],[Date]],Database!$A:$E,5)</f>
        <v>217.792</v>
      </c>
      <c r="D606" s="26">
        <f>(((Table3[[#This Row],[Core PCE]]-$B$496)/$B$496)*100)+100</f>
        <v>118.64880445135094</v>
      </c>
      <c r="E606" s="26">
        <f>(((Table3[[#This Row],[Core CPI]]-$C$496)/$C$496)*100)+100</f>
        <v>121.87576944599888</v>
      </c>
      <c r="F606" s="27">
        <v>1.800980653363813E-2</v>
      </c>
      <c r="G606" s="27">
        <f>VLOOKUP(Table3[[#This Row],[Date]],'PCE Core'!A:D,4,)</f>
        <v>8.8764332296152413E-3</v>
      </c>
    </row>
    <row r="607" spans="1:7" x14ac:dyDescent="0.2">
      <c r="A607" s="41">
        <v>39873</v>
      </c>
      <c r="B607" s="28">
        <f>VLOOKUP(Table3[[#This Row],[Date]],'PCE Core'!$A:$E,2,)</f>
        <v>94.745000000000005</v>
      </c>
      <c r="C607" s="28">
        <f>VLOOKUP(Table3[[#This Row],[Date]],Database!$A:$E,5)</f>
        <v>218.25299999999999</v>
      </c>
      <c r="D607" s="26">
        <f>(((Table3[[#This Row],[Core PCE]]-$B$496)/$B$496)*100)+100</f>
        <v>118.73402175547646</v>
      </c>
      <c r="E607" s="26">
        <f>(((Table3[[#This Row],[Core CPI]]-$C$496)/$C$496)*100)+100</f>
        <v>122.13374370453273</v>
      </c>
      <c r="F607" s="27">
        <v>1.7876130957933022E-2</v>
      </c>
      <c r="G607" s="27">
        <f>VLOOKUP(Table3[[#This Row],[Date]],'PCE Core'!A:D,4,)</f>
        <v>7.625388182243573E-3</v>
      </c>
    </row>
    <row r="608" spans="1:7" x14ac:dyDescent="0.2">
      <c r="A608" s="38">
        <v>39904</v>
      </c>
      <c r="B608" s="28">
        <f>VLOOKUP(Table3[[#This Row],[Date]],'PCE Core'!$A:$E,2,)</f>
        <v>94.956999999999994</v>
      </c>
      <c r="C608" s="28">
        <f>VLOOKUP(Table3[[#This Row],[Date]],Database!$A:$E,5)</f>
        <v>218.70599999999999</v>
      </c>
      <c r="D608" s="26">
        <f>(((Table3[[#This Row],[Core PCE]]-$B$496)/$B$496)*100)+100</f>
        <v>118.99969923304425</v>
      </c>
      <c r="E608" s="26">
        <f>(((Table3[[#This Row],[Core CPI]]-$C$496)/$C$496)*100)+100</f>
        <v>122.38724118634583</v>
      </c>
      <c r="F608" s="27">
        <v>1.9323266219239309E-2</v>
      </c>
      <c r="G608" s="27">
        <f>VLOOKUP(Table3[[#This Row],[Date]],'PCE Core'!A:D,4,)</f>
        <v>9.2896697596802323E-3</v>
      </c>
    </row>
    <row r="609" spans="1:7" x14ac:dyDescent="0.2">
      <c r="A609" s="41">
        <v>39934</v>
      </c>
      <c r="B609" s="28">
        <f>VLOOKUP(Table3[[#This Row],[Date]],'PCE Core'!$A:$E,2,)</f>
        <v>95.03</v>
      </c>
      <c r="C609" s="26">
        <f>VLOOKUP(Table3[[#This Row],[Date]],Database!$A:$E,5)</f>
        <v>218.904</v>
      </c>
      <c r="D609" s="26">
        <f>(((Table3[[#This Row],[Core PCE]]-$B$496)/$B$496)*100)+100</f>
        <v>119.0911825154143</v>
      </c>
      <c r="E609" s="26">
        <f>(((Table3[[#This Row],[Core CPI]]-$C$496)/$C$496)*100)+100</f>
        <v>122.49804141018467</v>
      </c>
      <c r="F609" s="27">
        <v>1.8461309413034529E-2</v>
      </c>
      <c r="G609" s="27">
        <f>VLOOKUP(Table3[[#This Row],[Date]],'PCE Core'!A:D,4,)</f>
        <v>8.2223754707973652E-3</v>
      </c>
    </row>
    <row r="610" spans="1:7" x14ac:dyDescent="0.2">
      <c r="A610" s="38">
        <v>39965</v>
      </c>
      <c r="B610" s="28">
        <f>VLOOKUP(Table3[[#This Row],[Date]],'PCE Core'!$A:$E,2,)</f>
        <v>95.150999999999996</v>
      </c>
      <c r="C610" s="28">
        <f>VLOOKUP(Table3[[#This Row],[Date]],Database!$A:$E,5)</f>
        <v>219.11199999999999</v>
      </c>
      <c r="D610" s="26">
        <f>(((Table3[[#This Row],[Core PCE]]-$B$496)/$B$496)*100)+100</f>
        <v>119.24281918893176</v>
      </c>
      <c r="E610" s="26">
        <f>(((Table3[[#This Row],[Core CPI]]-$C$496)/$C$496)*100)+100</f>
        <v>122.61443760492446</v>
      </c>
      <c r="F610" s="27">
        <v>1.7119726678550148E-2</v>
      </c>
      <c r="G610" s="27">
        <f>VLOOKUP(Table3[[#This Row],[Date]],'PCE Core'!A:D,4,)</f>
        <v>7.1979760984851706E-3</v>
      </c>
    </row>
    <row r="611" spans="1:7" x14ac:dyDescent="0.2">
      <c r="A611" s="41">
        <v>39995</v>
      </c>
      <c r="B611" s="28">
        <f>VLOOKUP(Table3[[#This Row],[Date]],'PCE Core'!$A:$E,2,)</f>
        <v>95.233000000000004</v>
      </c>
      <c r="C611" s="28">
        <f>VLOOKUP(Table3[[#This Row],[Date]],Database!$A:$E,5)</f>
        <v>219.26300000000001</v>
      </c>
      <c r="D611" s="26">
        <f>(((Table3[[#This Row],[Core PCE]]-$B$496)/$B$496)*100)+100</f>
        <v>119.34558123214195</v>
      </c>
      <c r="E611" s="26">
        <f>(((Table3[[#This Row],[Core CPI]]-$C$496)/$C$496)*100)+100</f>
        <v>122.69893676552883</v>
      </c>
      <c r="F611" s="27">
        <v>1.5270992984974431E-2</v>
      </c>
      <c r="G611" s="27">
        <f>VLOOKUP(Table3[[#This Row],[Date]],'PCE Core'!A:D,4,)</f>
        <v>6.255217083505021E-3</v>
      </c>
    </row>
    <row r="612" spans="1:7" x14ac:dyDescent="0.2">
      <c r="A612" s="38">
        <v>40026</v>
      </c>
      <c r="B612" s="28">
        <f>VLOOKUP(Table3[[#This Row],[Date]],'PCE Core'!$A:$E,2,)</f>
        <v>95.373999999999995</v>
      </c>
      <c r="C612" s="26">
        <f>VLOOKUP(Table3[[#This Row],[Date]],Database!$A:$E,5)</f>
        <v>219.49600000000001</v>
      </c>
      <c r="D612" s="26">
        <f>(((Table3[[#This Row],[Core PCE]]-$B$496)/$B$496)*100)+100</f>
        <v>119.52228181863751</v>
      </c>
      <c r="E612" s="26">
        <f>(((Table3[[#This Row],[Core CPI]]-$C$496)/$C$496)*100)+100</f>
        <v>122.829322887521</v>
      </c>
      <c r="F612" s="27">
        <v>1.433965054322464E-2</v>
      </c>
      <c r="G612" s="27">
        <f>VLOOKUP(Table3[[#This Row],[Date]],'PCE Core'!A:D,4,)</f>
        <v>6.5113922981942249E-3</v>
      </c>
    </row>
    <row r="613" spans="1:7" x14ac:dyDescent="0.2">
      <c r="A613" s="41">
        <v>40057</v>
      </c>
      <c r="B613" s="28">
        <f>VLOOKUP(Table3[[#This Row],[Date]],'PCE Core'!$A:$E,2,)</f>
        <v>95.540999999999997</v>
      </c>
      <c r="C613" s="28">
        <f>VLOOKUP(Table3[[#This Row],[Date]],Database!$A:$E,5)</f>
        <v>219.92</v>
      </c>
      <c r="D613" s="26">
        <f>(((Table3[[#This Row],[Core PCE]]-$B$496)/$B$496)*100)+100</f>
        <v>119.73156549200459</v>
      </c>
      <c r="E613" s="26">
        <f>(((Table3[[#This Row],[Core CPI]]-$C$496)/$C$496)*100)+100</f>
        <v>123.06659205372132</v>
      </c>
      <c r="F613" s="27">
        <v>1.479837388619969E-2</v>
      </c>
      <c r="G613" s="27">
        <f>VLOOKUP(Table3[[#This Row],[Date]],'PCE Core'!A:D,4,)</f>
        <v>7.2427098488202675E-3</v>
      </c>
    </row>
    <row r="614" spans="1:7" x14ac:dyDescent="0.2">
      <c r="A614" s="38">
        <v>40087</v>
      </c>
      <c r="B614" s="28">
        <f>VLOOKUP(Table3[[#This Row],[Date]],'PCE Core'!$A:$E,2,)</f>
        <v>95.893000000000001</v>
      </c>
      <c r="C614" s="28">
        <f>VLOOKUP(Table3[[#This Row],[Date]],Database!$A:$E,5)</f>
        <v>220.501</v>
      </c>
      <c r="D614" s="26">
        <f>(((Table3[[#This Row],[Core PCE]]-$B$496)/$B$496)*100)+100</f>
        <v>120.17269036041907</v>
      </c>
      <c r="E614" s="26">
        <f>(((Table3[[#This Row],[Core CPI]]-$C$496)/$C$496)*100)+100</f>
        <v>123.3917179630666</v>
      </c>
      <c r="F614" s="27">
        <v>1.712733177113121E-2</v>
      </c>
      <c r="G614" s="27">
        <f>VLOOKUP(Table3[[#This Row],[Date]],'PCE Core'!A:D,4,)</f>
        <v>1.2394556530368845E-2</v>
      </c>
    </row>
    <row r="615" spans="1:7" x14ac:dyDescent="0.2">
      <c r="A615" s="41">
        <v>40118</v>
      </c>
      <c r="B615" s="28">
        <f>VLOOKUP(Table3[[#This Row],[Date]],'PCE Core'!$A:$E,2,)</f>
        <v>95.977999999999994</v>
      </c>
      <c r="C615" s="26">
        <f>VLOOKUP(Table3[[#This Row],[Date]],Database!$A:$E,5)</f>
        <v>220.666</v>
      </c>
      <c r="D615" s="26">
        <f>(((Table3[[#This Row],[Core PCE]]-$B$496)/$B$496)*100)+100</f>
        <v>120.27921199057596</v>
      </c>
      <c r="E615" s="26">
        <f>(((Table3[[#This Row],[Core CPI]]-$C$496)/$C$496)*100)+100</f>
        <v>123.4840514829323</v>
      </c>
      <c r="F615" s="27">
        <v>1.7142435710104289E-2</v>
      </c>
      <c r="G615" s="27">
        <f>VLOOKUP(Table3[[#This Row],[Date]],'PCE Core'!A:D,4,)</f>
        <v>1.3741457798620443E-2</v>
      </c>
    </row>
    <row r="616" spans="1:7" x14ac:dyDescent="0.2">
      <c r="A616" s="38">
        <v>40148</v>
      </c>
      <c r="B616" s="28">
        <f>VLOOKUP(Table3[[#This Row],[Date]],'PCE Core'!$A:$E,2,)</f>
        <v>96.06</v>
      </c>
      <c r="C616" s="28">
        <f>VLOOKUP(Table3[[#This Row],[Date]],Database!$A:$E,5)</f>
        <v>220.881</v>
      </c>
      <c r="D616" s="26">
        <f>(((Table3[[#This Row],[Core PCE]]-$B$496)/$B$496)*100)+100</f>
        <v>120.38197403378615</v>
      </c>
      <c r="E616" s="26">
        <f>(((Table3[[#This Row],[Core CPI]]-$C$496)/$C$496)*100)+100</f>
        <v>123.60436485730276</v>
      </c>
      <c r="F616" s="27">
        <v>1.8236717759594279E-2</v>
      </c>
      <c r="G616" s="27">
        <f>VLOOKUP(Table3[[#This Row],[Date]],'PCE Core'!A:D,4,)</f>
        <v>1.5100759793302427E-2</v>
      </c>
    </row>
    <row r="617" spans="1:7" x14ac:dyDescent="0.2">
      <c r="A617" s="41">
        <v>40179</v>
      </c>
      <c r="B617" s="28">
        <f>VLOOKUP(Table3[[#This Row],[Date]],'PCE Core'!$A:$E,2,)</f>
        <v>96.200999999999993</v>
      </c>
      <c r="C617" s="28">
        <f>VLOOKUP(Table3[[#This Row],[Date]],Database!$A:$E,5)</f>
        <v>220.63300000000001</v>
      </c>
      <c r="D617" s="26">
        <f>(((Table3[[#This Row],[Core PCE]]-$B$496)/$B$496)*100)+100</f>
        <v>120.55867462028169</v>
      </c>
      <c r="E617" s="26">
        <f>(((Table3[[#This Row],[Core CPI]]-$C$496)/$C$496)*100)+100</f>
        <v>123.46558477895917</v>
      </c>
      <c r="F617" s="27">
        <v>1.5123351706495661E-2</v>
      </c>
      <c r="G617" s="27">
        <f>VLOOKUP(Table3[[#This Row],[Date]],'PCE Core'!A:D,4,)</f>
        <v>1.6902391069956127E-2</v>
      </c>
    </row>
    <row r="618" spans="1:7" x14ac:dyDescent="0.2">
      <c r="A618" s="38">
        <v>40210</v>
      </c>
      <c r="B618" s="28">
        <f>VLOOKUP(Table3[[#This Row],[Date]],'PCE Core'!$A:$E,2,)</f>
        <v>96.284999999999997</v>
      </c>
      <c r="C618" s="26">
        <f>VLOOKUP(Table3[[#This Row],[Date]],Database!$A:$E,5)</f>
        <v>220.73099999999999</v>
      </c>
      <c r="D618" s="26">
        <f>(((Table3[[#This Row],[Core PCE]]-$B$496)/$B$496)*100)+100</f>
        <v>120.6639430547897</v>
      </c>
      <c r="E618" s="26">
        <f>(((Table3[[#This Row],[Core CPI]]-$C$496)/$C$496)*100)+100</f>
        <v>123.52042529378848</v>
      </c>
      <c r="F618" s="27">
        <v>1.349452688803993E-2</v>
      </c>
      <c r="G618" s="27">
        <f>VLOOKUP(Table3[[#This Row],[Date]],'PCE Core'!A:D,4,)</f>
        <v>1.6984061598909871E-2</v>
      </c>
    </row>
    <row r="619" spans="1:7" x14ac:dyDescent="0.2">
      <c r="A619" s="41">
        <v>40238</v>
      </c>
      <c r="B619" s="28">
        <f>VLOOKUP(Table3[[#This Row],[Date]],'PCE Core'!$A:$E,2,)</f>
        <v>96.429000000000002</v>
      </c>
      <c r="C619" s="28">
        <f>VLOOKUP(Table3[[#This Row],[Date]],Database!$A:$E,5)</f>
        <v>220.78299999999999</v>
      </c>
      <c r="D619" s="26">
        <f>(((Table3[[#This Row],[Core PCE]]-$B$496)/$B$496)*100)+100</f>
        <v>120.84440322823198</v>
      </c>
      <c r="E619" s="26">
        <f>(((Table3[[#This Row],[Core CPI]]-$C$496)/$C$496)*100)+100</f>
        <v>123.54952434247342</v>
      </c>
      <c r="F619" s="27">
        <v>1.1592051426555431E-2</v>
      </c>
      <c r="G619" s="27">
        <f>VLOOKUP(Table3[[#This Row],[Date]],'PCE Core'!A:D,4,)</f>
        <v>1.7774025014512612E-2</v>
      </c>
    </row>
    <row r="620" spans="1:7" x14ac:dyDescent="0.2">
      <c r="A620" s="38">
        <v>40269</v>
      </c>
      <c r="B620" s="28">
        <f>VLOOKUP(Table3[[#This Row],[Date]],'PCE Core'!$A:$E,2,)</f>
        <v>96.477999999999994</v>
      </c>
      <c r="C620" s="28">
        <f>VLOOKUP(Table3[[#This Row],[Date]],Database!$A:$E,5)</f>
        <v>220.822</v>
      </c>
      <c r="D620" s="26">
        <f>(((Table3[[#This Row],[Core PCE]]-$B$496)/$B$496)*100)+100</f>
        <v>120.90580981502831</v>
      </c>
      <c r="E620" s="26">
        <f>(((Table3[[#This Row],[Core CPI]]-$C$496)/$C$496)*100)+100</f>
        <v>123.57134862898714</v>
      </c>
      <c r="F620" s="27">
        <v>9.6750889321738504E-3</v>
      </c>
      <c r="G620" s="27">
        <f>VLOOKUP(Table3[[#This Row],[Date]],'PCE Core'!A:D,4,)</f>
        <v>1.6017776467243078E-2</v>
      </c>
    </row>
    <row r="621" spans="1:7" x14ac:dyDescent="0.2">
      <c r="A621" s="41">
        <v>40299</v>
      </c>
      <c r="B621" s="28">
        <f>VLOOKUP(Table3[[#This Row],[Date]],'PCE Core'!$A:$E,2,)</f>
        <v>96.584999999999994</v>
      </c>
      <c r="C621" s="26">
        <f>VLOOKUP(Table3[[#This Row],[Date]],Database!$A:$E,5)</f>
        <v>220.96199999999999</v>
      </c>
      <c r="D621" s="26">
        <f>(((Table3[[#This Row],[Core PCE]]-$B$496)/$B$496)*100)+100</f>
        <v>121.03990174946111</v>
      </c>
      <c r="E621" s="26">
        <f>(((Table3[[#This Row],[Core CPI]]-$C$496)/$C$496)*100)+100</f>
        <v>123.64969222160045</v>
      </c>
      <c r="F621" s="27">
        <v>9.4013814274750244E-3</v>
      </c>
      <c r="G621" s="27">
        <f>VLOOKUP(Table3[[#This Row],[Date]],'PCE Core'!A:D,4,)</f>
        <v>1.6363253709354864E-2</v>
      </c>
    </row>
    <row r="622" spans="1:7" x14ac:dyDescent="0.2">
      <c r="A622" s="38">
        <v>40330</v>
      </c>
      <c r="B622" s="28">
        <f>VLOOKUP(Table3[[#This Row],[Date]],'PCE Core'!$A:$E,2,)</f>
        <v>96.632000000000005</v>
      </c>
      <c r="C622" s="28">
        <f>VLOOKUP(Table3[[#This Row],[Date]],Database!$A:$E,5)</f>
        <v>221.19399999999999</v>
      </c>
      <c r="D622" s="26">
        <f>(((Table3[[#This Row],[Core PCE]]-$B$496)/$B$496)*100)+100</f>
        <v>121.09880194495965</v>
      </c>
      <c r="E622" s="26">
        <f>(((Table3[[#This Row],[Core CPI]]-$C$496)/$C$496)*100)+100</f>
        <v>123.77951874650252</v>
      </c>
      <c r="F622" s="27">
        <v>9.5019898499397286E-3</v>
      </c>
      <c r="G622" s="27">
        <f>VLOOKUP(Table3[[#This Row],[Date]],'PCE Core'!A:D,4,)</f>
        <v>1.5564733949196633E-2</v>
      </c>
    </row>
    <row r="623" spans="1:7" x14ac:dyDescent="0.2">
      <c r="A623" s="41">
        <v>40360</v>
      </c>
      <c r="B623" s="28">
        <f>VLOOKUP(Table3[[#This Row],[Date]],'PCE Core'!$A:$E,2,)</f>
        <v>96.632999999999996</v>
      </c>
      <c r="C623" s="28">
        <f>VLOOKUP(Table3[[#This Row],[Date]],Database!$A:$E,5)</f>
        <v>221.363</v>
      </c>
      <c r="D623" s="26">
        <f>(((Table3[[#This Row],[Core PCE]]-$B$496)/$B$496)*100)+100</f>
        <v>121.10005514060853</v>
      </c>
      <c r="E623" s="26">
        <f>(((Table3[[#This Row],[Core CPI]]-$C$496)/$C$496)*100)+100</f>
        <v>123.8740906547286</v>
      </c>
      <c r="F623" s="27">
        <v>9.5775393021166107E-3</v>
      </c>
      <c r="G623" s="27">
        <f>VLOOKUP(Table3[[#This Row],[Date]],'PCE Core'!A:D,4,)</f>
        <v>1.4700786492077235E-2</v>
      </c>
    </row>
    <row r="624" spans="1:7" x14ac:dyDescent="0.2">
      <c r="A624" s="38">
        <v>40391</v>
      </c>
      <c r="B624" s="28">
        <f>VLOOKUP(Table3[[#This Row],[Date]],'PCE Core'!$A:$E,2,)</f>
        <v>96.725999999999999</v>
      </c>
      <c r="C624" s="26">
        <f>VLOOKUP(Table3[[#This Row],[Date]],Database!$A:$E,5)</f>
        <v>221.50899999999999</v>
      </c>
      <c r="D624" s="26">
        <f>(((Table3[[#This Row],[Core PCE]]-$B$496)/$B$496)*100)+100</f>
        <v>121.21660233595668</v>
      </c>
      <c r="E624" s="26">
        <f>(((Table3[[#This Row],[Core CPI]]-$C$496)/$C$496)*100)+100</f>
        <v>123.95579182988249</v>
      </c>
      <c r="F624" s="27">
        <v>9.1710099500673208E-3</v>
      </c>
      <c r="G624" s="27">
        <f>VLOOKUP(Table3[[#This Row],[Date]],'PCE Core'!A:D,4,)</f>
        <v>1.4175771174533981E-2</v>
      </c>
    </row>
    <row r="625" spans="1:7" x14ac:dyDescent="0.2">
      <c r="A625" s="41">
        <v>40422</v>
      </c>
      <c r="B625" s="28">
        <f>VLOOKUP(Table3[[#This Row],[Date]],'PCE Core'!$A:$E,2,)</f>
        <v>96.781000000000006</v>
      </c>
      <c r="C625" s="28">
        <f>VLOOKUP(Table3[[#This Row],[Date]],Database!$A:$E,5)</f>
        <v>221.71100000000001</v>
      </c>
      <c r="D625" s="26">
        <f>(((Table3[[#This Row],[Core PCE]]-$B$496)/$B$496)*100)+100</f>
        <v>121.28552809664644</v>
      </c>
      <c r="E625" s="26">
        <f>(((Table3[[#This Row],[Core CPI]]-$C$496)/$C$496)*100)+100</f>
        <v>124.06883044208172</v>
      </c>
      <c r="F625" s="27">
        <v>8.1438704983631555E-3</v>
      </c>
      <c r="G625" s="27">
        <f>VLOOKUP(Table3[[#This Row],[Date]],'PCE Core'!A:D,4,)</f>
        <v>1.2978721177295706E-2</v>
      </c>
    </row>
    <row r="626" spans="1:7" x14ac:dyDescent="0.2">
      <c r="A626" s="38">
        <v>40452</v>
      </c>
      <c r="B626" s="28">
        <f>VLOOKUP(Table3[[#This Row],[Date]],'PCE Core'!$A:$E,2,)</f>
        <v>96.927999999999997</v>
      </c>
      <c r="C626" s="28">
        <f>VLOOKUP(Table3[[#This Row],[Date]],Database!$A:$E,5)</f>
        <v>221.83</v>
      </c>
      <c r="D626" s="26">
        <f>(((Table3[[#This Row],[Core PCE]]-$B$496)/$B$496)*100)+100</f>
        <v>121.46974785703543</v>
      </c>
      <c r="E626" s="26">
        <f>(((Table3[[#This Row],[Core CPI]]-$C$496)/$C$496)*100)+100</f>
        <v>124.13542249580303</v>
      </c>
      <c r="F626" s="27">
        <v>6.027183550188016E-3</v>
      </c>
      <c r="G626" s="27">
        <f>VLOOKUP(Table3[[#This Row],[Date]],'PCE Core'!A:D,4,)</f>
        <v>1.0793280010011123E-2</v>
      </c>
    </row>
    <row r="627" spans="1:7" x14ac:dyDescent="0.2">
      <c r="A627" s="41">
        <v>40483</v>
      </c>
      <c r="B627" s="28">
        <f>VLOOKUP(Table3[[#This Row],[Date]],'PCE Core'!$A:$E,2,)</f>
        <v>97.054000000000002</v>
      </c>
      <c r="C627" s="26">
        <f>VLOOKUP(Table3[[#This Row],[Date]],Database!$A:$E,5)</f>
        <v>222.149</v>
      </c>
      <c r="D627" s="26">
        <f>(((Table3[[#This Row],[Core PCE]]-$B$496)/$B$496)*100)+100</f>
        <v>121.62765050879743</v>
      </c>
      <c r="E627" s="26">
        <f>(((Table3[[#This Row],[Core CPI]]-$C$496)/$C$496)*100)+100</f>
        <v>124.31393396754338</v>
      </c>
      <c r="F627" s="27">
        <v>6.7205641104656089E-3</v>
      </c>
      <c r="G627" s="27">
        <f>VLOOKUP(Table3[[#This Row],[Date]],'PCE Core'!A:D,4,)</f>
        <v>1.1210902498489318E-2</v>
      </c>
    </row>
    <row r="628" spans="1:7" x14ac:dyDescent="0.2">
      <c r="A628" s="38">
        <v>40513</v>
      </c>
      <c r="B628" s="28">
        <f>VLOOKUP(Table3[[#This Row],[Date]],'PCE Core'!$A:$E,2,)</f>
        <v>97.073999999999998</v>
      </c>
      <c r="C628" s="28">
        <f>VLOOKUP(Table3[[#This Row],[Date]],Database!$A:$E,5)</f>
        <v>222.34299999999999</v>
      </c>
      <c r="D628" s="26">
        <f>(((Table3[[#This Row],[Core PCE]]-$B$496)/$B$496)*100)+100</f>
        <v>121.65271442177551</v>
      </c>
      <c r="E628" s="26">
        <f>(((Table3[[#This Row],[Core CPI]]-$C$496)/$C$496)*100)+100</f>
        <v>124.42249580302183</v>
      </c>
      <c r="F628" s="27">
        <v>6.61894866466554E-3</v>
      </c>
      <c r="G628" s="27">
        <f>VLOOKUP(Table3[[#This Row],[Date]],'PCE Core'!A:D,4,)</f>
        <v>1.0555902560899394E-2</v>
      </c>
    </row>
    <row r="629" spans="1:7" x14ac:dyDescent="0.2">
      <c r="A629" s="41">
        <v>40544</v>
      </c>
      <c r="B629" s="28">
        <f>VLOOKUP(Table3[[#This Row],[Date]],'PCE Core'!$A:$E,2,)</f>
        <v>97.283000000000001</v>
      </c>
      <c r="C629" s="28">
        <f>VLOOKUP(Table3[[#This Row],[Date]],Database!$A:$E,5)</f>
        <v>222.803</v>
      </c>
      <c r="D629" s="26">
        <f>(((Table3[[#This Row],[Core PCE]]-$B$496)/$B$496)*100)+100</f>
        <v>121.91463231239661</v>
      </c>
      <c r="E629" s="26">
        <f>(((Table3[[#This Row],[Core CPI]]-$C$496)/$C$496)*100)+100</f>
        <v>124.67991046446559</v>
      </c>
      <c r="F629" s="27">
        <v>9.8353374155270845E-3</v>
      </c>
      <c r="G629" s="27">
        <f>VLOOKUP(Table3[[#This Row],[Date]],'PCE Core'!A:D,4,)</f>
        <v>1.1247284331763785E-2</v>
      </c>
    </row>
    <row r="630" spans="1:7" x14ac:dyDescent="0.2">
      <c r="A630" s="38">
        <v>40575</v>
      </c>
      <c r="B630" s="28">
        <f>VLOOKUP(Table3[[#This Row],[Date]],'PCE Core'!$A:$E,2,)</f>
        <v>97.453000000000003</v>
      </c>
      <c r="C630" s="26">
        <f>VLOOKUP(Table3[[#This Row],[Date]],Database!$A:$E,5)</f>
        <v>223.21299999999999</v>
      </c>
      <c r="D630" s="26">
        <f>(((Table3[[#This Row],[Core PCE]]-$B$496)/$B$496)*100)+100</f>
        <v>122.1276755727104</v>
      </c>
      <c r="E630" s="26">
        <f>(((Table3[[#This Row],[Core CPI]]-$C$496)/$C$496)*100)+100</f>
        <v>124.90934527140459</v>
      </c>
      <c r="F630" s="27">
        <v>1.124445592146096E-2</v>
      </c>
      <c r="G630" s="27">
        <f>VLOOKUP(Table3[[#This Row],[Date]],'PCE Core'!A:D,4,)</f>
        <v>1.2130653788232916E-2</v>
      </c>
    </row>
    <row r="631" spans="1:7" x14ac:dyDescent="0.2">
      <c r="A631" s="41">
        <v>40603</v>
      </c>
      <c r="B631" s="28">
        <f>VLOOKUP(Table3[[#This Row],[Date]],'PCE Core'!$A:$E,2,)</f>
        <v>97.6</v>
      </c>
      <c r="C631" s="28">
        <f>VLOOKUP(Table3[[#This Row],[Date]],Database!$A:$E,5)</f>
        <v>223.45400000000001</v>
      </c>
      <c r="D631" s="26">
        <f>(((Table3[[#This Row],[Core PCE]]-$B$496)/$B$496)*100)+100</f>
        <v>122.31189533309939</v>
      </c>
      <c r="E631" s="26">
        <f>(((Table3[[#This Row],[Core CPI]]-$C$496)/$C$496)*100)+100</f>
        <v>125.04420817011753</v>
      </c>
      <c r="F631" s="27">
        <v>1.2097851736773311E-2</v>
      </c>
      <c r="G631" s="27">
        <f>VLOOKUP(Table3[[#This Row],[Date]],'PCE Core'!A:D,4,)</f>
        <v>1.2143649731927037E-2</v>
      </c>
    </row>
    <row r="632" spans="1:7" x14ac:dyDescent="0.2">
      <c r="A632" s="38">
        <v>40634</v>
      </c>
      <c r="B632" s="28">
        <f>VLOOKUP(Table3[[#This Row],[Date]],'PCE Core'!$A:$E,2,)</f>
        <v>97.823999999999998</v>
      </c>
      <c r="C632" s="28">
        <f>VLOOKUP(Table3[[#This Row],[Date]],Database!$A:$E,5)</f>
        <v>223.727</v>
      </c>
      <c r="D632" s="26">
        <f>(((Table3[[#This Row],[Core PCE]]-$B$496)/$B$496)*100)+100</f>
        <v>122.59261115845405</v>
      </c>
      <c r="E632" s="26">
        <f>(((Table3[[#This Row],[Core CPI]]-$C$496)/$C$496)*100)+100</f>
        <v>125.1969781757135</v>
      </c>
      <c r="F632" s="27">
        <v>1.315539212578457E-2</v>
      </c>
      <c r="G632" s="27">
        <f>VLOOKUP(Table3[[#This Row],[Date]],'PCE Core'!A:D,4,)</f>
        <v>1.3951367151060384E-2</v>
      </c>
    </row>
    <row r="633" spans="1:7" x14ac:dyDescent="0.2">
      <c r="A633" s="41">
        <v>40664</v>
      </c>
      <c r="B633" s="28">
        <f>VLOOKUP(Table3[[#This Row],[Date]],'PCE Core'!$A:$E,2,)</f>
        <v>98.057000000000002</v>
      </c>
      <c r="C633" s="26">
        <f>VLOOKUP(Table3[[#This Row],[Date]],Database!$A:$E,5)</f>
        <v>224.17500000000001</v>
      </c>
      <c r="D633" s="26">
        <f>(((Table3[[#This Row],[Core PCE]]-$B$496)/$B$496)*100)+100</f>
        <v>122.88460574464885</v>
      </c>
      <c r="E633" s="26">
        <f>(((Table3[[#This Row],[Core CPI]]-$C$496)/$C$496)*100)+100</f>
        <v>125.44767767207611</v>
      </c>
      <c r="F633" s="27">
        <v>1.4540961794335779E-2</v>
      </c>
      <c r="G633" s="27">
        <f>VLOOKUP(Table3[[#This Row],[Date]],'PCE Core'!A:D,4,)</f>
        <v>1.5240461769425982E-2</v>
      </c>
    </row>
    <row r="634" spans="1:7" x14ac:dyDescent="0.2">
      <c r="A634" s="38">
        <v>40695</v>
      </c>
      <c r="B634" s="28">
        <f>VLOOKUP(Table3[[#This Row],[Date]],'PCE Core'!$A:$E,2,)</f>
        <v>98.164000000000001</v>
      </c>
      <c r="C634" s="28">
        <f>VLOOKUP(Table3[[#This Row],[Date]],Database!$A:$E,5)</f>
        <v>224.697</v>
      </c>
      <c r="D634" s="26">
        <f>(((Table3[[#This Row],[Core PCE]]-$B$496)/$B$496)*100)+100</f>
        <v>123.01869767908165</v>
      </c>
      <c r="E634" s="26">
        <f>(((Table3[[#This Row],[Core CPI]]-$C$496)/$C$496)*100)+100</f>
        <v>125.73978735310578</v>
      </c>
      <c r="F634" s="27">
        <v>1.583677676609679E-2</v>
      </c>
      <c r="G634" s="27">
        <f>VLOOKUP(Table3[[#This Row],[Date]],'PCE Core'!A:D,4,)</f>
        <v>1.5853961420647367E-2</v>
      </c>
    </row>
    <row r="635" spans="1:7" x14ac:dyDescent="0.2">
      <c r="A635" s="41">
        <v>40725</v>
      </c>
      <c r="B635" s="28">
        <f>VLOOKUP(Table3[[#This Row],[Date]],'PCE Core'!$A:$E,2,)</f>
        <v>98.308999999999997</v>
      </c>
      <c r="C635" s="28">
        <f>VLOOKUP(Table3[[#This Row],[Date]],Database!$A:$E,5)</f>
        <v>225.21799999999999</v>
      </c>
      <c r="D635" s="26">
        <f>(((Table3[[#This Row],[Core PCE]]-$B$496)/$B$496)*100)+100</f>
        <v>123.20041104817282</v>
      </c>
      <c r="E635" s="26">
        <f>(((Table3[[#This Row],[Core CPI]]-$C$496)/$C$496)*100)+100</f>
        <v>126.03133743704532</v>
      </c>
      <c r="F635" s="27">
        <v>1.7414834457429609E-2</v>
      </c>
      <c r="G635" s="27">
        <f>VLOOKUP(Table3[[#This Row],[Date]],'PCE Core'!A:D,4,)</f>
        <v>1.7343971521115997E-2</v>
      </c>
    </row>
    <row r="636" spans="1:7" x14ac:dyDescent="0.2">
      <c r="A636" s="38">
        <v>40756</v>
      </c>
      <c r="B636" s="28">
        <f>VLOOKUP(Table3[[#This Row],[Date]],'PCE Core'!$A:$E,2,)</f>
        <v>98.504999999999995</v>
      </c>
      <c r="C636" s="26">
        <f>VLOOKUP(Table3[[#This Row],[Date]],Database!$A:$E,5)</f>
        <v>225.86199999999999</v>
      </c>
      <c r="D636" s="26">
        <f>(((Table3[[#This Row],[Core PCE]]-$B$496)/$B$496)*100)+100</f>
        <v>123.44603739535815</v>
      </c>
      <c r="E636" s="26">
        <f>(((Table3[[#This Row],[Core CPI]]-$C$496)/$C$496)*100)+100</f>
        <v>126.3917179630666</v>
      </c>
      <c r="F636" s="27">
        <v>1.9651571719433561E-2</v>
      </c>
      <c r="G636" s="27">
        <f>VLOOKUP(Table3[[#This Row],[Date]],'PCE Core'!A:D,4,)</f>
        <v>1.8392159295329037E-2</v>
      </c>
    </row>
    <row r="637" spans="1:7" x14ac:dyDescent="0.2">
      <c r="A637" s="41">
        <v>40787</v>
      </c>
      <c r="B637" s="28">
        <f>VLOOKUP(Table3[[#This Row],[Date]],'PCE Core'!$A:$E,2,)</f>
        <v>98.572000000000003</v>
      </c>
      <c r="C637" s="28">
        <f>VLOOKUP(Table3[[#This Row],[Date]],Database!$A:$E,5)</f>
        <v>226.11799999999999</v>
      </c>
      <c r="D637" s="26">
        <f>(((Table3[[#This Row],[Core PCE]]-$B$496)/$B$496)*100)+100</f>
        <v>123.53000150383477</v>
      </c>
      <c r="E637" s="26">
        <f>(((Table3[[#This Row],[Core CPI]]-$C$496)/$C$496)*100)+100</f>
        <v>126.53497481813095</v>
      </c>
      <c r="F637" s="27">
        <v>1.987722756200631E-2</v>
      </c>
      <c r="G637" s="27">
        <f>VLOOKUP(Table3[[#This Row],[Date]],'PCE Core'!A:D,4,)</f>
        <v>1.8505698432543544E-2</v>
      </c>
    </row>
    <row r="638" spans="1:7" x14ac:dyDescent="0.2">
      <c r="A638" s="38">
        <v>40817</v>
      </c>
      <c r="B638" s="28">
        <f>VLOOKUP(Table3[[#This Row],[Date]],'PCE Core'!$A:$E,2,)</f>
        <v>98.619</v>
      </c>
      <c r="C638" s="28">
        <f>VLOOKUP(Table3[[#This Row],[Date]],Database!$A:$E,5)</f>
        <v>226.506</v>
      </c>
      <c r="D638" s="26">
        <f>(((Table3[[#This Row],[Core PCE]]-$B$496)/$B$496)*100)+100</f>
        <v>123.58890169933329</v>
      </c>
      <c r="E638" s="26">
        <f>(((Table3[[#This Row],[Core CPI]]-$C$496)/$C$496)*100)+100</f>
        <v>126.75209848908787</v>
      </c>
      <c r="F638" s="27">
        <f>(Table3[[#This Row],[Core CPI]]-C626)/C626</f>
        <v>2.1079204796465707E-2</v>
      </c>
      <c r="G638" s="27">
        <f>VLOOKUP(Table3[[#This Row],[Date]],'PCE Core'!A:D,4,)</f>
        <v>1.7445939253879196E-2</v>
      </c>
    </row>
    <row r="639" spans="1:7" x14ac:dyDescent="0.2">
      <c r="A639" s="41">
        <v>40848</v>
      </c>
      <c r="B639" s="28">
        <f>VLOOKUP(Table3[[#This Row],[Date]],'PCE Core'!$A:$E,2,)</f>
        <v>98.828000000000003</v>
      </c>
      <c r="C639" s="26">
        <f>VLOOKUP(Table3[[#This Row],[Date]],Database!$A:$E,5)</f>
        <v>226.899</v>
      </c>
      <c r="D639" s="26">
        <f>(((Table3[[#This Row],[Core PCE]]-$B$496)/$B$496)*100)+100</f>
        <v>123.85081958995437</v>
      </c>
      <c r="E639" s="26">
        <f>(((Table3[[#This Row],[Core CPI]]-$C$496)/$C$496)*100)+100</f>
        <v>126.97202014549525</v>
      </c>
      <c r="F639" s="27">
        <f>(Table3[[#This Row],[Core CPI]]-C627)/C627</f>
        <v>2.1382045383954013E-2</v>
      </c>
      <c r="G639" s="27">
        <f>VLOOKUP(Table3[[#This Row],[Date]],'PCE Core'!A:D,4,)</f>
        <v>1.8278484142848321E-2</v>
      </c>
    </row>
    <row r="640" spans="1:7" x14ac:dyDescent="0.2">
      <c r="A640" s="38">
        <v>40878</v>
      </c>
      <c r="B640" s="28">
        <f>VLOOKUP(Table3[[#This Row],[Date]],'PCE Core'!$A:$E,2,)</f>
        <v>98.992000000000004</v>
      </c>
      <c r="C640" s="28">
        <f>VLOOKUP(Table3[[#This Row],[Date]],Database!$A:$E,5)</f>
        <v>227.405</v>
      </c>
      <c r="D640" s="26">
        <f>(((Table3[[#This Row],[Core PCE]]-$B$496)/$B$496)*100)+100</f>
        <v>124.05634367637475</v>
      </c>
      <c r="E640" s="26">
        <f>(((Table3[[#This Row],[Core CPI]]-$C$496)/$C$496)*100)+100</f>
        <v>127.25517627308338</v>
      </c>
      <c r="F640" s="27">
        <f>(Table3[[#This Row],[Core CPI]]-C628)/C628</f>
        <v>2.2766626338585033E-2</v>
      </c>
      <c r="G640" s="27">
        <f>VLOOKUP(Table3[[#This Row],[Date]],'PCE Core'!A:D,4,)</f>
        <v>1.9758122669303897E-2</v>
      </c>
    </row>
    <row r="641" spans="1:7" x14ac:dyDescent="0.2">
      <c r="A641" s="41">
        <v>40909</v>
      </c>
      <c r="B641" s="28">
        <f>VLOOKUP(Table3[[#This Row],[Date]],'PCE Core'!$A:$E,2,)</f>
        <v>99.287999999999997</v>
      </c>
      <c r="C641" s="28">
        <f>VLOOKUP(Table3[[#This Row],[Date]],Database!$A:$E,5)</f>
        <v>227.87700000000001</v>
      </c>
      <c r="D641" s="26">
        <f>(((Table3[[#This Row],[Core PCE]]-$B$496)/$B$496)*100)+100</f>
        <v>124.42728958845053</v>
      </c>
      <c r="E641" s="26">
        <f>(((Table3[[#This Row],[Core CPI]]-$C$496)/$C$496)*100)+100</f>
        <v>127.51930609960829</v>
      </c>
      <c r="F641" s="27">
        <f>(Table3[[#This Row],[Core CPI]]-C629)/C629</f>
        <v>2.2773481506083906E-2</v>
      </c>
      <c r="G641" s="27">
        <f>VLOOKUP(Table3[[#This Row],[Date]],'PCE Core'!A:D,4,)</f>
        <v>2.0609972965471825E-2</v>
      </c>
    </row>
    <row r="642" spans="1:7" x14ac:dyDescent="0.2">
      <c r="A642" s="38">
        <v>40940</v>
      </c>
      <c r="B642" s="28">
        <f>VLOOKUP(Table3[[#This Row],[Date]],'PCE Core'!$A:$E,2,)</f>
        <v>99.426000000000002</v>
      </c>
      <c r="C642" s="26">
        <f>VLOOKUP(Table3[[#This Row],[Date]],Database!$A:$E,5)</f>
        <v>228.03399999999999</v>
      </c>
      <c r="D642" s="26">
        <f>(((Table3[[#This Row],[Core PCE]]-$B$496)/$B$496)*100)+100</f>
        <v>124.60023058799939</v>
      </c>
      <c r="E642" s="26">
        <f>(((Table3[[#This Row],[Core CPI]]-$C$496)/$C$496)*100)+100</f>
        <v>127.60716284275321</v>
      </c>
      <c r="F642" s="27">
        <f>(Table3[[#This Row],[Core CPI]]-C630)/C630</f>
        <v>2.1598204405657368E-2</v>
      </c>
      <c r="G642" s="27">
        <f>VLOOKUP(Table3[[#This Row],[Date]],'PCE Core'!A:D,4,)</f>
        <v>2.0245656880752763E-2</v>
      </c>
    </row>
    <row r="643" spans="1:7" x14ac:dyDescent="0.2">
      <c r="A643" s="41">
        <v>40969</v>
      </c>
      <c r="B643" s="28">
        <f>VLOOKUP(Table3[[#This Row],[Date]],'PCE Core'!$A:$E,2,)</f>
        <v>99.594999999999999</v>
      </c>
      <c r="C643" s="28">
        <f>VLOOKUP(Table3[[#This Row],[Date]],Database!$A:$E,5)</f>
        <v>228.47800000000001</v>
      </c>
      <c r="D643" s="26">
        <f>(((Table3[[#This Row],[Core PCE]]-$B$496)/$B$496)*100)+100</f>
        <v>124.81202065266429</v>
      </c>
      <c r="E643" s="26">
        <f>(((Table3[[#This Row],[Core CPI]]-$C$496)/$C$496)*100)+100</f>
        <v>127.85562395075547</v>
      </c>
      <c r="F643" s="27">
        <f>(Table3[[#This Row],[Core CPI]]-C631)/C631</f>
        <v>2.2483374654291267E-2</v>
      </c>
      <c r="G643" s="27">
        <f>VLOOKUP(Table3[[#This Row],[Date]],'PCE Core'!A:D,4,)</f>
        <v>2.0440573770491851E-2</v>
      </c>
    </row>
    <row r="644" spans="1:7" x14ac:dyDescent="0.2">
      <c r="A644" s="38">
        <v>41000</v>
      </c>
      <c r="B644" s="28">
        <f>VLOOKUP(Table3[[#This Row],[Date]],'PCE Core'!$A:$E,2,)</f>
        <v>99.745999999999995</v>
      </c>
      <c r="C644" s="28">
        <f>VLOOKUP(Table3[[#This Row],[Date]],Database!$A:$E,5)</f>
        <v>228.905</v>
      </c>
      <c r="D644" s="26">
        <f>(((Table3[[#This Row],[Core PCE]]-$B$496)/$B$496)*100)+100</f>
        <v>125.00125319564889</v>
      </c>
      <c r="E644" s="26">
        <f>(((Table3[[#This Row],[Core CPI]]-$C$496)/$C$496)*100)+100</f>
        <v>128.0945719082261</v>
      </c>
      <c r="F644" s="27">
        <f>(Table3[[#This Row],[Core CPI]]-C632)/C632</f>
        <v>2.3144278518015246E-2</v>
      </c>
      <c r="G644" s="27">
        <f>VLOOKUP(Table3[[#This Row],[Date]],'PCE Core'!A:D,4,)</f>
        <v>1.9647530258423262E-2</v>
      </c>
    </row>
    <row r="645" spans="1:7" x14ac:dyDescent="0.2">
      <c r="A645" s="41">
        <v>41030</v>
      </c>
      <c r="B645" s="28">
        <f>VLOOKUP(Table3[[#This Row],[Date]],'PCE Core'!$A:$E,2,)</f>
        <v>99.846999999999994</v>
      </c>
      <c r="C645" s="26">
        <f>VLOOKUP(Table3[[#This Row],[Date]],Database!$A:$E,5)</f>
        <v>229.22399999999999</v>
      </c>
      <c r="D645" s="26">
        <f>(((Table3[[#This Row],[Core PCE]]-$B$496)/$B$496)*100)+100</f>
        <v>125.12782595618826</v>
      </c>
      <c r="E645" s="26">
        <f>(((Table3[[#This Row],[Core CPI]]-$C$496)/$C$496)*100)+100</f>
        <v>128.27308337996641</v>
      </c>
      <c r="F645" s="27">
        <f>(Table3[[#This Row],[Core CPI]]-C633)/C633</f>
        <v>2.2522582803613151E-2</v>
      </c>
      <c r="G645" s="27">
        <f>VLOOKUP(Table3[[#This Row],[Date]],'PCE Core'!A:D,4,)</f>
        <v>1.8254688599487971E-2</v>
      </c>
    </row>
    <row r="646" spans="1:7" x14ac:dyDescent="0.2">
      <c r="A646" s="38">
        <v>41061</v>
      </c>
      <c r="B646" s="28">
        <f>VLOOKUP(Table3[[#This Row],[Date]],'PCE Core'!$A:$E,2,)</f>
        <v>99.95</v>
      </c>
      <c r="C646" s="28">
        <f>VLOOKUP(Table3[[#This Row],[Date]],Database!$A:$E,5)</f>
        <v>229.62299999999999</v>
      </c>
      <c r="D646" s="26">
        <f>(((Table3[[#This Row],[Core PCE]]-$B$496)/$B$496)*100)+100</f>
        <v>125.25690510802545</v>
      </c>
      <c r="E646" s="26">
        <f>(((Table3[[#This Row],[Core CPI]]-$C$496)/$C$496)*100)+100</f>
        <v>128.49636261891439</v>
      </c>
      <c r="F646" s="27">
        <f>(Table3[[#This Row],[Core CPI]]-C634)/C634</f>
        <v>2.192285611289865E-2</v>
      </c>
      <c r="G646" s="27">
        <f>VLOOKUP(Table3[[#This Row],[Date]],'PCE Core'!A:D,4,)</f>
        <v>1.8194042622550033E-2</v>
      </c>
    </row>
    <row r="647" spans="1:7" x14ac:dyDescent="0.2">
      <c r="A647" s="41">
        <v>41091</v>
      </c>
      <c r="B647" s="28">
        <f>VLOOKUP(Table3[[#This Row],[Date]],'PCE Core'!$A:$E,2,)</f>
        <v>100.053</v>
      </c>
      <c r="C647" s="28">
        <f>VLOOKUP(Table3[[#This Row],[Date]],Database!$A:$E,5)</f>
        <v>229.97</v>
      </c>
      <c r="D647" s="26">
        <f>(((Table3[[#This Row],[Core PCE]]-$B$496)/$B$496)*100)+100</f>
        <v>125.38598425986264</v>
      </c>
      <c r="E647" s="26">
        <f>(((Table3[[#This Row],[Core CPI]]-$C$496)/$C$496)*100)+100</f>
        <v>128.6905428091774</v>
      </c>
      <c r="F647" s="27">
        <f>(Table3[[#This Row],[Core CPI]]-C635)/C635</f>
        <v>2.1099556873784554E-2</v>
      </c>
      <c r="G647" s="27">
        <f>VLOOKUP(Table3[[#This Row],[Date]],'PCE Core'!A:D,4,)</f>
        <v>1.7739983114465611E-2</v>
      </c>
    </row>
    <row r="648" spans="1:7" x14ac:dyDescent="0.2">
      <c r="A648" s="38">
        <v>41122</v>
      </c>
      <c r="B648" s="28">
        <f>VLOOKUP(Table3[[#This Row],[Date]],'PCE Core'!$A:$E,2,)</f>
        <v>100.116</v>
      </c>
      <c r="C648" s="26">
        <f>VLOOKUP(Table3[[#This Row],[Date]],Database!$A:$E,5)</f>
        <v>230.233</v>
      </c>
      <c r="D648" s="26">
        <f>(((Table3[[#This Row],[Core PCE]]-$B$496)/$B$496)*100)+100</f>
        <v>125.46493558574363</v>
      </c>
      <c r="E648" s="26">
        <f>(((Table3[[#This Row],[Core CPI]]-$C$496)/$C$496)*100)+100</f>
        <v>128.83771684387241</v>
      </c>
      <c r="F648" s="27">
        <f>(Table3[[#This Row],[Core CPI]]-C636)/C636</f>
        <v>1.9352524993137443E-2</v>
      </c>
      <c r="G648" s="27">
        <f>VLOOKUP(Table3[[#This Row],[Date]],'PCE Core'!A:D,4,)</f>
        <v>1.6354499771585242E-2</v>
      </c>
    </row>
    <row r="649" spans="1:7" x14ac:dyDescent="0.2">
      <c r="A649" s="41">
        <v>41153</v>
      </c>
      <c r="B649" s="28">
        <f>VLOOKUP(Table3[[#This Row],[Date]],'PCE Core'!$A:$E,2,)</f>
        <v>100.24</v>
      </c>
      <c r="C649" s="28">
        <f>VLOOKUP(Table3[[#This Row],[Date]],Database!$A:$E,5)</f>
        <v>230.65899999999999</v>
      </c>
      <c r="D649" s="26">
        <f>(((Table3[[#This Row],[Core PCE]]-$B$496)/$B$496)*100)+100</f>
        <v>125.62033184620782</v>
      </c>
      <c r="E649" s="26">
        <f>(((Table3[[#This Row],[Core CPI]]-$C$496)/$C$496)*100)+100</f>
        <v>129.07610520425294</v>
      </c>
      <c r="F649" s="27">
        <f>(Table3[[#This Row],[Core CPI]]-C637)/C637</f>
        <v>2.0082434834909194E-2</v>
      </c>
      <c r="G649" s="27">
        <f>VLOOKUP(Table3[[#This Row],[Date]],'PCE Core'!A:D,4,)</f>
        <v>1.692164103396494E-2</v>
      </c>
    </row>
    <row r="650" spans="1:7" x14ac:dyDescent="0.2">
      <c r="A650" s="38">
        <v>41183</v>
      </c>
      <c r="B650" s="28">
        <f>VLOOKUP(Table3[[#This Row],[Date]],'PCE Core'!$A:$E,2,)</f>
        <v>100.482</v>
      </c>
      <c r="C650" s="28">
        <f>VLOOKUP(Table3[[#This Row],[Date]],Database!$A:$E,5)</f>
        <v>231.024</v>
      </c>
      <c r="D650" s="26">
        <f>(((Table3[[#This Row],[Core PCE]]-$B$496)/$B$496)*100)+100</f>
        <v>125.92360519324276</v>
      </c>
      <c r="E650" s="26">
        <f>(((Table3[[#This Row],[Core CPI]]-$C$496)/$C$496)*100)+100</f>
        <v>129.28035814213766</v>
      </c>
      <c r="F650" s="27">
        <f>(Table3[[#This Row],[Core CPI]]-C638)/C638</f>
        <v>1.994649148366931E-2</v>
      </c>
      <c r="G650" s="27">
        <f>VLOOKUP(Table3[[#This Row],[Date]],'PCE Core'!A:D,4,)</f>
        <v>1.8890883095549534E-2</v>
      </c>
    </row>
    <row r="651" spans="1:7" x14ac:dyDescent="0.2">
      <c r="A651" s="41">
        <v>41214</v>
      </c>
      <c r="B651" s="28">
        <f>VLOOKUP(Table3[[#This Row],[Date]],'PCE Core'!$A:$E,2,)</f>
        <v>100.59099999999999</v>
      </c>
      <c r="C651" s="26">
        <f>VLOOKUP(Table3[[#This Row],[Date]],Database!$A:$E,5)</f>
        <v>231.33</v>
      </c>
      <c r="D651" s="26">
        <f>(((Table3[[#This Row],[Core PCE]]-$B$496)/$B$496)*100)+100</f>
        <v>126.06020351897337</v>
      </c>
      <c r="E651" s="26">
        <f>(((Table3[[#This Row],[Core CPI]]-$C$496)/$C$496)*100)+100</f>
        <v>129.45159485170677</v>
      </c>
      <c r="F651" s="27">
        <f>(Table3[[#This Row],[Core CPI]]-C639)/C639</f>
        <v>1.9528512686261341E-2</v>
      </c>
      <c r="G651" s="27">
        <f>VLOOKUP(Table3[[#This Row],[Date]],'PCE Core'!A:D,4,)</f>
        <v>1.7839073946654703E-2</v>
      </c>
    </row>
    <row r="652" spans="1:7" x14ac:dyDescent="0.2">
      <c r="A652" s="38">
        <v>41244</v>
      </c>
      <c r="B652" s="28">
        <f>VLOOKUP(Table3[[#This Row],[Date]],'PCE Core'!$A:$E,2,)</f>
        <v>100.664</v>
      </c>
      <c r="C652" s="28">
        <f>VLOOKUP(Table3[[#This Row],[Date]],Database!$A:$E,5)</f>
        <v>231.72499999999999</v>
      </c>
      <c r="D652" s="26">
        <f>(((Table3[[#This Row],[Core PCE]]-$B$496)/$B$496)*100)+100</f>
        <v>126.15168680134342</v>
      </c>
      <c r="E652" s="26">
        <f>(((Table3[[#This Row],[Core CPI]]-$C$496)/$C$496)*100)+100</f>
        <v>129.67263570229434</v>
      </c>
      <c r="F652" s="27">
        <f>(Table3[[#This Row],[Core CPI]]-C640)/C640</f>
        <v>1.8996943778720753E-2</v>
      </c>
      <c r="G652" s="27">
        <f>VLOOKUP(Table3[[#This Row],[Date]],'PCE Core'!A:D,4,)</f>
        <v>1.6890253757879396E-2</v>
      </c>
    </row>
    <row r="653" spans="1:7" x14ac:dyDescent="0.2">
      <c r="A653" s="41">
        <v>41275</v>
      </c>
      <c r="B653" s="28">
        <f>VLOOKUP(Table3[[#This Row],[Date]],'PCE Core'!$A:$E,2,)</f>
        <v>100.871</v>
      </c>
      <c r="C653" s="28">
        <f>VLOOKUP(Table3[[#This Row],[Date]],Database!$A:$E,5)</f>
        <v>232.22900000000001</v>
      </c>
      <c r="D653" s="26">
        <f>(((Table3[[#This Row],[Core PCE]]-$B$496)/$B$496)*100)+100</f>
        <v>126.41109830066668</v>
      </c>
      <c r="E653" s="26">
        <f>(((Table3[[#This Row],[Core CPI]]-$C$496)/$C$496)*100)+100</f>
        <v>129.95467263570231</v>
      </c>
      <c r="F653" s="27">
        <f>(Table3[[#This Row],[Core CPI]]-C641)/C641</f>
        <v>1.909802217863147E-2</v>
      </c>
      <c r="G653" s="27">
        <f>VLOOKUP(Table3[[#This Row],[Date]],'PCE Core'!A:D,4,)</f>
        <v>1.5943517847071133E-2</v>
      </c>
    </row>
    <row r="654" spans="1:7" x14ac:dyDescent="0.2">
      <c r="A654" s="38">
        <v>41306</v>
      </c>
      <c r="B654" s="28">
        <f>VLOOKUP(Table3[[#This Row],[Date]],'PCE Core'!$A:$E,2,)</f>
        <v>100.992</v>
      </c>
      <c r="C654" s="26">
        <f>VLOOKUP(Table3[[#This Row],[Date]],Database!$A:$E,5)</f>
        <v>232.56899999999999</v>
      </c>
      <c r="D654" s="26">
        <f>(((Table3[[#This Row],[Core PCE]]-$B$496)/$B$496)*100)+100</f>
        <v>126.56273497418417</v>
      </c>
      <c r="E654" s="26">
        <f>(((Table3[[#This Row],[Core CPI]]-$C$496)/$C$496)*100)+100</f>
        <v>130.14493564633463</v>
      </c>
      <c r="F654" s="27">
        <f>(Table3[[#This Row],[Core CPI]]-C642)/C642</f>
        <v>1.9887385214485544E-2</v>
      </c>
      <c r="G654" s="27">
        <f>VLOOKUP(Table3[[#This Row],[Date]],'PCE Core'!A:D,4,)</f>
        <v>1.5750407338120838E-2</v>
      </c>
    </row>
    <row r="655" spans="1:7" x14ac:dyDescent="0.2">
      <c r="A655" s="41">
        <v>41334</v>
      </c>
      <c r="B655" s="28">
        <f>VLOOKUP(Table3[[#This Row],[Date]],'PCE Core'!$A:$E,2,)</f>
        <v>101.08499999999999</v>
      </c>
      <c r="C655" s="28">
        <f>VLOOKUP(Table3[[#This Row],[Date]],Database!$A:$E,5)</f>
        <v>232.79400000000001</v>
      </c>
      <c r="D655" s="26">
        <f>(((Table3[[#This Row],[Core PCE]]-$B$496)/$B$496)*100)+100</f>
        <v>126.67928216953229</v>
      </c>
      <c r="E655" s="26">
        <f>(((Table3[[#This Row],[Core CPI]]-$C$496)/$C$496)*100)+100</f>
        <v>130.27084499160605</v>
      </c>
      <c r="F655" s="27">
        <f>(Table3[[#This Row],[Core CPI]]-C643)/C643</f>
        <v>1.8890221377988264E-2</v>
      </c>
      <c r="G655" s="27">
        <f>VLOOKUP(Table3[[#This Row],[Date]],'PCE Core'!A:D,4,)</f>
        <v>1.4960590391083838E-2</v>
      </c>
    </row>
    <row r="656" spans="1:7" x14ac:dyDescent="0.2">
      <c r="A656" s="38">
        <v>41365</v>
      </c>
      <c r="B656" s="28">
        <f>VLOOKUP(Table3[[#This Row],[Date]],'PCE Core'!$A:$E,2,)</f>
        <v>101.163</v>
      </c>
      <c r="C656" s="28">
        <f>VLOOKUP(Table3[[#This Row],[Date]],Database!$A:$E,5)</f>
        <v>232.83199999999999</v>
      </c>
      <c r="D656" s="26">
        <f>(((Table3[[#This Row],[Core PCE]]-$B$496)/$B$496)*100)+100</f>
        <v>126.77703143014686</v>
      </c>
      <c r="E656" s="26">
        <f>(((Table3[[#This Row],[Core CPI]]-$C$496)/$C$496)*100)+100</f>
        <v>130.29210968102967</v>
      </c>
      <c r="F656" s="27">
        <f>(Table3[[#This Row],[Core CPI]]-C644)/C644</f>
        <v>1.7155588562940926E-2</v>
      </c>
      <c r="G656" s="27">
        <f>VLOOKUP(Table3[[#This Row],[Date]],'PCE Core'!A:D,4,)</f>
        <v>1.4206083451968015E-2</v>
      </c>
    </row>
    <row r="657" spans="1:7" x14ac:dyDescent="0.2">
      <c r="A657" s="41">
        <v>41395</v>
      </c>
      <c r="B657" s="28">
        <f>VLOOKUP(Table3[[#This Row],[Date]],'PCE Core'!$A:$E,2,)</f>
        <v>101.27200000000001</v>
      </c>
      <c r="C657" s="26">
        <f>VLOOKUP(Table3[[#This Row],[Date]],Database!$A:$E,5)</f>
        <v>232.99600000000001</v>
      </c>
      <c r="D657" s="26">
        <f>(((Table3[[#This Row],[Core PCE]]-$B$496)/$B$496)*100)+100</f>
        <v>126.91362975587748</v>
      </c>
      <c r="E657" s="26">
        <f>(((Table3[[#This Row],[Core CPI]]-$C$496)/$C$496)*100)+100</f>
        <v>130.38388360380526</v>
      </c>
      <c r="F657" s="27">
        <f>(Table3[[#This Row],[Core CPI]]-C645)/C645</f>
        <v>1.6455519491850853E-2</v>
      </c>
      <c r="G657" s="27">
        <f>VLOOKUP(Table3[[#This Row],[Date]],'PCE Core'!A:D,4,)</f>
        <v>1.4271835908940794E-2</v>
      </c>
    </row>
    <row r="658" spans="1:7" x14ac:dyDescent="0.2">
      <c r="A658" s="38">
        <v>41426</v>
      </c>
      <c r="B658" s="28">
        <f>VLOOKUP(Table3[[#This Row],[Date]],'PCE Core'!$A:$E,2,)</f>
        <v>101.438</v>
      </c>
      <c r="C658" s="28">
        <f>VLOOKUP(Table3[[#This Row],[Date]],Database!$A:$E,5)</f>
        <v>233.35</v>
      </c>
      <c r="D658" s="26">
        <f>(((Table3[[#This Row],[Core PCE]]-$B$496)/$B$496)*100)+100</f>
        <v>127.12166023359566</v>
      </c>
      <c r="E658" s="26">
        <f>(((Table3[[#This Row],[Core CPI]]-$C$496)/$C$496)*100)+100</f>
        <v>130.58198097369893</v>
      </c>
      <c r="F658" s="27">
        <f>(Table3[[#This Row],[Core CPI]]-C646)/C646</f>
        <v>1.6230952474273065E-2</v>
      </c>
      <c r="G658" s="27">
        <f>VLOOKUP(Table3[[#This Row],[Date]],'PCE Core'!A:D,4,)</f>
        <v>1.4887443721860925E-2</v>
      </c>
    </row>
    <row r="659" spans="1:7" x14ac:dyDescent="0.2">
      <c r="A659" s="41">
        <v>41456</v>
      </c>
      <c r="B659" s="28">
        <f>VLOOKUP(Table3[[#This Row],[Date]],'PCE Core'!$A:$E,2,)</f>
        <v>101.56699999999999</v>
      </c>
      <c r="C659" s="28">
        <f>VLOOKUP(Table3[[#This Row],[Date]],Database!$A:$E,5)</f>
        <v>233.88</v>
      </c>
      <c r="D659" s="26">
        <f>(((Table3[[#This Row],[Core PCE]]-$B$496)/$B$496)*100)+100</f>
        <v>127.28332247230435</v>
      </c>
      <c r="E659" s="26">
        <f>(((Table3[[#This Row],[Core CPI]]-$C$496)/$C$496)*100)+100</f>
        <v>130.87856743144937</v>
      </c>
      <c r="F659" s="27">
        <f>(Table3[[#This Row],[Core CPI]]-C647)/C647</f>
        <v>1.7002217680567016E-2</v>
      </c>
      <c r="G659" s="27">
        <f>VLOOKUP(Table3[[#This Row],[Date]],'PCE Core'!A:D,4,)</f>
        <v>1.5131980050573155E-2</v>
      </c>
    </row>
    <row r="660" spans="1:7" x14ac:dyDescent="0.2">
      <c r="A660" s="38">
        <v>41487</v>
      </c>
      <c r="B660" s="28">
        <f>VLOOKUP(Table3[[#This Row],[Date]],'PCE Core'!$A:$E,2,)</f>
        <v>101.685</v>
      </c>
      <c r="C660" s="26">
        <f>VLOOKUP(Table3[[#This Row],[Date]],Database!$A:$E,5)</f>
        <v>234.33600000000001</v>
      </c>
      <c r="D660" s="26">
        <f>(((Table3[[#This Row],[Core PCE]]-$B$496)/$B$496)*100)+100</f>
        <v>127.43119955887512</v>
      </c>
      <c r="E660" s="26">
        <f>(((Table3[[#This Row],[Core CPI]]-$C$496)/$C$496)*100)+100</f>
        <v>131.13374370453275</v>
      </c>
      <c r="F660" s="27">
        <f>(Table3[[#This Row],[Core CPI]]-C648)/C648</f>
        <v>1.7821076909044352E-2</v>
      </c>
      <c r="G660" s="27">
        <f>VLOOKUP(Table3[[#This Row],[Date]],'PCE Core'!A:D,4,)</f>
        <v>1.5671820688001943E-2</v>
      </c>
    </row>
    <row r="661" spans="1:7" x14ac:dyDescent="0.2">
      <c r="A661" s="41">
        <v>41518</v>
      </c>
      <c r="B661" s="28">
        <f>VLOOKUP(Table3[[#This Row],[Date]],'PCE Core'!$A:$E,2,)</f>
        <v>101.79900000000001</v>
      </c>
      <c r="C661" s="28">
        <f>VLOOKUP(Table3[[#This Row],[Date]],Database!$A:$E,5)</f>
        <v>234.7</v>
      </c>
      <c r="D661" s="26">
        <f>(((Table3[[#This Row],[Core PCE]]-$B$496)/$B$496)*100)+100</f>
        <v>127.57406386285027</v>
      </c>
      <c r="E661" s="26">
        <f>(((Table3[[#This Row],[Core CPI]]-$C$496)/$C$496)*100)+100</f>
        <v>131.33743704532736</v>
      </c>
      <c r="F661" s="27">
        <f>(Table3[[#This Row],[Core CPI]]-C649)/C649</f>
        <v>1.7519368418314467E-2</v>
      </c>
      <c r="G661" s="27">
        <f>VLOOKUP(Table3[[#This Row],[Date]],'PCE Core'!A:D,4,)</f>
        <v>1.5552673583399958E-2</v>
      </c>
    </row>
    <row r="662" spans="1:7" x14ac:dyDescent="0.2">
      <c r="A662" s="38">
        <v>41548</v>
      </c>
      <c r="B662" s="28">
        <f>VLOOKUP(Table3[[#This Row],[Date]],'PCE Core'!$A:$E,2,)</f>
        <v>102.015</v>
      </c>
      <c r="C662" s="28">
        <f>VLOOKUP(Table3[[#This Row],[Date]],Database!$A:$E,5)</f>
        <v>234.92099999999999</v>
      </c>
      <c r="D662" s="26">
        <f>(((Table3[[#This Row],[Core PCE]]-$B$496)/$B$496)*100)+100</f>
        <v>127.84475412301367</v>
      </c>
      <c r="E662" s="26">
        <f>(((Table3[[#This Row],[Core CPI]]-$C$496)/$C$496)*100)+100</f>
        <v>131.4611080022384</v>
      </c>
      <c r="F662" s="27">
        <f>(Table3[[#This Row],[Core CPI]]-C650)/C650</f>
        <v>1.6868377311448125E-2</v>
      </c>
      <c r="G662" s="27">
        <f>VLOOKUP(Table3[[#This Row],[Date]],'PCE Core'!A:D,4,)</f>
        <v>1.5256463844270629E-2</v>
      </c>
    </row>
    <row r="663" spans="1:7" x14ac:dyDescent="0.2">
      <c r="A663" s="41">
        <v>41579</v>
      </c>
      <c r="B663" s="28">
        <f>VLOOKUP(Table3[[#This Row],[Date]],'PCE Core'!$A:$E,2,)</f>
        <v>102.194</v>
      </c>
      <c r="C663" s="26">
        <f>VLOOKUP(Table3[[#This Row],[Date]],Database!$A:$E,5)</f>
        <v>235.35900000000001</v>
      </c>
      <c r="D663" s="26">
        <f>(((Table3[[#This Row],[Core PCE]]-$B$496)/$B$496)*100)+100</f>
        <v>128.06907614416761</v>
      </c>
      <c r="E663" s="26">
        <f>(((Table3[[#This Row],[Core CPI]]-$C$496)/$C$496)*100)+100</f>
        <v>131.70621152770008</v>
      </c>
      <c r="F663" s="27">
        <f>(Table3[[#This Row],[Core CPI]]-C651)/C651</f>
        <v>1.7416677473738797E-2</v>
      </c>
      <c r="G663" s="27">
        <f>VLOOKUP(Table3[[#This Row],[Date]],'PCE Core'!A:D,4,)</f>
        <v>1.5935819307890453E-2</v>
      </c>
    </row>
    <row r="664" spans="1:7" x14ac:dyDescent="0.2">
      <c r="A664" s="38">
        <v>41609</v>
      </c>
      <c r="B664" s="28">
        <f>VLOOKUP(Table3[[#This Row],[Date]],'PCE Core'!$A:$E,2,)</f>
        <v>102.333</v>
      </c>
      <c r="C664" s="28">
        <f>VLOOKUP(Table3[[#This Row],[Date]],Database!$A:$E,5)</f>
        <v>235.75899999999999</v>
      </c>
      <c r="D664" s="26">
        <f>(((Table3[[#This Row],[Core PCE]]-$B$496)/$B$496)*100)+100</f>
        <v>128.24327033936538</v>
      </c>
      <c r="E664" s="26">
        <f>(((Table3[[#This Row],[Core CPI]]-$C$496)/$C$496)*100)+100</f>
        <v>131.9300503637381</v>
      </c>
      <c r="F664" s="27">
        <f>(Table3[[#This Row],[Core CPI]]-C652)/C652</f>
        <v>1.7408566188369799E-2</v>
      </c>
      <c r="G664" s="27">
        <f>VLOOKUP(Table3[[#This Row],[Date]],'PCE Core'!A:D,4,)</f>
        <v>1.6579909401573521E-2</v>
      </c>
    </row>
    <row r="665" spans="1:7" x14ac:dyDescent="0.2">
      <c r="A665" s="41">
        <v>41640</v>
      </c>
      <c r="B665" s="28">
        <f>VLOOKUP(Table3[[#This Row],[Date]],'PCE Core'!$A:$E,2,)</f>
        <v>102.426</v>
      </c>
      <c r="C665" s="28">
        <f>VLOOKUP(Table3[[#This Row],[Date]],Database!$A:$E,5)</f>
        <v>235.96100000000001</v>
      </c>
      <c r="D665" s="26">
        <f>(((Table3[[#This Row],[Core PCE]]-$B$496)/$B$496)*100)+100</f>
        <v>128.3598175347135</v>
      </c>
      <c r="E665" s="26">
        <f>(((Table3[[#This Row],[Core CPI]]-$C$496)/$C$496)*100)+100</f>
        <v>132.04308897593734</v>
      </c>
      <c r="F665" s="27">
        <f>(Table3[[#This Row],[Core CPI]]-C653)/C653</f>
        <v>1.6070344358370396E-2</v>
      </c>
      <c r="G665" s="27">
        <f>VLOOKUP(Table3[[#This Row],[Date]],'PCE Core'!A:D,4,)</f>
        <v>1.5415729000406529E-2</v>
      </c>
    </row>
    <row r="666" spans="1:7" x14ac:dyDescent="0.2">
      <c r="A666" s="38">
        <v>41671</v>
      </c>
      <c r="B666" s="28">
        <f>VLOOKUP(Table3[[#This Row],[Date]],'PCE Core'!$A:$E,2,)</f>
        <v>102.489</v>
      </c>
      <c r="C666" s="26">
        <f>VLOOKUP(Table3[[#This Row],[Date]],Database!$A:$E,5)</f>
        <v>236.185</v>
      </c>
      <c r="D666" s="26">
        <f>(((Table3[[#This Row],[Core PCE]]-$B$496)/$B$496)*100)+100</f>
        <v>128.43876886059451</v>
      </c>
      <c r="E666" s="26">
        <f>(((Table3[[#This Row],[Core CPI]]-$C$496)/$C$496)*100)+100</f>
        <v>132.16843872411863</v>
      </c>
      <c r="F666" s="27">
        <f>(Table3[[#This Row],[Core CPI]]-C654)/C654</f>
        <v>1.55480739049487E-2</v>
      </c>
      <c r="G666" s="27">
        <f>VLOOKUP(Table3[[#This Row],[Date]],'PCE Core'!A:D,4,)</f>
        <v>1.4822956273764256E-2</v>
      </c>
    </row>
    <row r="667" spans="1:7" x14ac:dyDescent="0.2">
      <c r="A667" s="41">
        <v>41699</v>
      </c>
      <c r="B667" s="28">
        <f>VLOOKUP(Table3[[#This Row],[Date]],'PCE Core'!$A:$E,2,)</f>
        <v>102.684</v>
      </c>
      <c r="C667" s="28">
        <f>VLOOKUP(Table3[[#This Row],[Date]],Database!$A:$E,5)</f>
        <v>236.625</v>
      </c>
      <c r="D667" s="26">
        <f>(((Table3[[#This Row],[Core PCE]]-$B$496)/$B$496)*100)+100</f>
        <v>128.68314201213093</v>
      </c>
      <c r="E667" s="26">
        <f>(((Table3[[#This Row],[Core CPI]]-$C$496)/$C$496)*100)+100</f>
        <v>132.41466144376051</v>
      </c>
      <c r="F667" s="27">
        <f>(Table3[[#This Row],[Core CPI]]-C655)/C655</f>
        <v>1.6456609706435685E-2</v>
      </c>
      <c r="G667" s="27">
        <f>VLOOKUP(Table3[[#This Row],[Date]],'PCE Core'!A:D,4,)</f>
        <v>1.5818370678142197E-2</v>
      </c>
    </row>
    <row r="668" spans="1:7" x14ac:dyDescent="0.2">
      <c r="A668" s="38">
        <v>41730</v>
      </c>
      <c r="B668" s="28">
        <f>VLOOKUP(Table3[[#This Row],[Date]],'PCE Core'!$A:$E,2,)</f>
        <v>102.879</v>
      </c>
      <c r="C668" s="28">
        <f>VLOOKUP(Table3[[#This Row],[Date]],Database!$A:$E,5)</f>
        <v>237.072</v>
      </c>
      <c r="D668" s="26">
        <f>(((Table3[[#This Row],[Core PCE]]-$B$496)/$B$496)*100)+100</f>
        <v>128.92751516366735</v>
      </c>
      <c r="E668" s="26">
        <f>(((Table3[[#This Row],[Core CPI]]-$C$496)/$C$496)*100)+100</f>
        <v>132.66480134303302</v>
      </c>
      <c r="F668" s="27">
        <f>(Table3[[#This Row],[Core CPI]]-C656)/C656</f>
        <v>1.8210555250137477E-2</v>
      </c>
      <c r="G668" s="27">
        <f>VLOOKUP(Table3[[#This Row],[Date]],'PCE Core'!A:D,4,)</f>
        <v>1.6962723525399685E-2</v>
      </c>
    </row>
    <row r="669" spans="1:7" x14ac:dyDescent="0.2">
      <c r="A669" s="41">
        <v>41760</v>
      </c>
      <c r="B669" s="28">
        <f>VLOOKUP(Table3[[#This Row],[Date]],'PCE Core'!$A:$E,2,)</f>
        <v>103.06100000000001</v>
      </c>
      <c r="C669" s="26">
        <f>VLOOKUP(Table3[[#This Row],[Date]],Database!$A:$E,5)</f>
        <v>237.529</v>
      </c>
      <c r="D669" s="26">
        <f>(((Table3[[#This Row],[Core PCE]]-$B$496)/$B$496)*100)+100</f>
        <v>129.15559677176802</v>
      </c>
      <c r="E669" s="26">
        <f>(((Table3[[#This Row],[Core CPI]]-$C$496)/$C$496)*100)+100</f>
        <v>132.9205372132065</v>
      </c>
      <c r="F669" s="27">
        <f>(Table3[[#This Row],[Core CPI]]-C657)/C657</f>
        <v>1.945526961836249E-2</v>
      </c>
      <c r="G669" s="27">
        <f>VLOOKUP(Table3[[#This Row],[Date]],'PCE Core'!A:D,4,)</f>
        <v>1.7665297416857587E-2</v>
      </c>
    </row>
    <row r="670" spans="1:7" x14ac:dyDescent="0.2">
      <c r="A670" s="38">
        <v>41791</v>
      </c>
      <c r="B670" s="28">
        <f>VLOOKUP(Table3[[#This Row],[Date]],'PCE Core'!$A:$E,2,)</f>
        <v>103.18</v>
      </c>
      <c r="C670" s="28">
        <f>VLOOKUP(Table3[[#This Row],[Date]],Database!$A:$E,5)</f>
        <v>237.83699999999999</v>
      </c>
      <c r="D670" s="26">
        <f>(((Table3[[#This Row],[Core PCE]]-$B$496)/$B$496)*100)+100</f>
        <v>129.30472705398768</v>
      </c>
      <c r="E670" s="26">
        <f>(((Table3[[#This Row],[Core CPI]]-$C$496)/$C$496)*100)+100</f>
        <v>133.09289311695579</v>
      </c>
      <c r="F670" s="27">
        <f>(Table3[[#This Row],[Core CPI]]-C658)/C658</f>
        <v>1.9228626526676645E-2</v>
      </c>
      <c r="G670" s="27">
        <f>VLOOKUP(Table3[[#This Row],[Date]],'PCE Core'!A:D,4,)</f>
        <v>1.7173051519154599E-2</v>
      </c>
    </row>
    <row r="671" spans="1:7" x14ac:dyDescent="0.2">
      <c r="A671" s="41">
        <v>41821</v>
      </c>
      <c r="B671" s="28">
        <f>VLOOKUP(Table3[[#This Row],[Date]],'PCE Core'!$A:$E,2,)</f>
        <v>103.369</v>
      </c>
      <c r="C671" s="28">
        <f>VLOOKUP(Table3[[#This Row],[Date]],Database!$A:$E,5)</f>
        <v>238.19499999999999</v>
      </c>
      <c r="D671" s="26">
        <f>(((Table3[[#This Row],[Core PCE]]-$B$496)/$B$496)*100)+100</f>
        <v>129.54158103163064</v>
      </c>
      <c r="E671" s="26">
        <f>(((Table3[[#This Row],[Core CPI]]-$C$496)/$C$496)*100)+100</f>
        <v>133.29322887520985</v>
      </c>
      <c r="F671" s="27">
        <f>(Table3[[#This Row],[Core CPI]]-C659)/C659</f>
        <v>1.8449632290063273E-2</v>
      </c>
      <c r="G671" s="27">
        <f>VLOOKUP(Table3[[#This Row],[Date]],'PCE Core'!A:D,4,)</f>
        <v>1.7741983124440093E-2</v>
      </c>
    </row>
    <row r="672" spans="1:7" x14ac:dyDescent="0.2">
      <c r="A672" s="38">
        <v>41852</v>
      </c>
      <c r="B672" s="28">
        <f>VLOOKUP(Table3[[#This Row],[Date]],'PCE Core'!$A:$E,2,)</f>
        <v>103.408</v>
      </c>
      <c r="C672" s="26">
        <f>VLOOKUP(Table3[[#This Row],[Date]],Database!$A:$E,5)</f>
        <v>238.405</v>
      </c>
      <c r="D672" s="26">
        <f>(((Table3[[#This Row],[Core PCE]]-$B$496)/$B$496)*100)+100</f>
        <v>129.59045566193794</v>
      </c>
      <c r="E672" s="26">
        <f>(((Table3[[#This Row],[Core CPI]]-$C$496)/$C$496)*100)+100</f>
        <v>133.41074426412985</v>
      </c>
      <c r="F672" s="27">
        <f>(Table3[[#This Row],[Core CPI]]-C660)/C660</f>
        <v>1.7363956028949832E-2</v>
      </c>
      <c r="G672" s="27">
        <f>VLOOKUP(Table3[[#This Row],[Date]],'PCE Core'!A:D,4,)</f>
        <v>1.6944485420661837E-2</v>
      </c>
    </row>
    <row r="673" spans="1:7" x14ac:dyDescent="0.2">
      <c r="A673" s="41">
        <v>41883</v>
      </c>
      <c r="B673" s="28">
        <f>VLOOKUP(Table3[[#This Row],[Date]],'PCE Core'!$A:$E,2,)</f>
        <v>103.536</v>
      </c>
      <c r="C673" s="28">
        <f>VLOOKUP(Table3[[#This Row],[Date]],Database!$A:$E,5)</f>
        <v>238.786</v>
      </c>
      <c r="D673" s="26">
        <f>(((Table3[[#This Row],[Core PCE]]-$B$496)/$B$496)*100)+100</f>
        <v>129.75086470499775</v>
      </c>
      <c r="E673" s="26">
        <f>(((Table3[[#This Row],[Core CPI]]-$C$496)/$C$496)*100)+100</f>
        <v>133.62395075545609</v>
      </c>
      <c r="F673" s="27">
        <f>(Table3[[#This Row],[Core CPI]]-C661)/C661</f>
        <v>1.740945888368135E-2</v>
      </c>
      <c r="G673" s="27">
        <f>VLOOKUP(Table3[[#This Row],[Date]],'PCE Core'!A:D,4,)</f>
        <v>1.7063035982671684E-2</v>
      </c>
    </row>
    <row r="674" spans="1:7" x14ac:dyDescent="0.2">
      <c r="A674" s="38">
        <v>41913</v>
      </c>
      <c r="B674" s="28">
        <f>VLOOKUP(Table3[[#This Row],[Date]],'PCE Core'!$A:$E,2,)</f>
        <v>103.629</v>
      </c>
      <c r="C674" s="28">
        <f>VLOOKUP(Table3[[#This Row],[Date]],Database!$A:$E,5)</f>
        <v>239.191</v>
      </c>
      <c r="D674" s="26">
        <f>(((Table3[[#This Row],[Core PCE]]-$B$496)/$B$496)*100)+100</f>
        <v>129.86741190034587</v>
      </c>
      <c r="E674" s="26">
        <f>(((Table3[[#This Row],[Core CPI]]-$C$496)/$C$496)*100)+100</f>
        <v>133.8505875769446</v>
      </c>
      <c r="F674" s="27">
        <f>(Table3[[#This Row],[Core CPI]]-C662)/C662</f>
        <v>1.8176323104362787E-2</v>
      </c>
      <c r="G674" s="27">
        <f>VLOOKUP(Table3[[#This Row],[Date]],'PCE Core'!A:D,4,)</f>
        <v>1.5821202764299411E-2</v>
      </c>
    </row>
    <row r="675" spans="1:7" x14ac:dyDescent="0.2">
      <c r="A675" s="41">
        <v>41944</v>
      </c>
      <c r="B675" s="28">
        <f>VLOOKUP(Table3[[#This Row],[Date]],'PCE Core'!$A:$E,2,)</f>
        <v>103.74</v>
      </c>
      <c r="C675" s="26">
        <f>VLOOKUP(Table3[[#This Row],[Date]],Database!$A:$E,5)</f>
        <v>239.458</v>
      </c>
      <c r="D675" s="26">
        <f>(((Table3[[#This Row],[Core PCE]]-$B$496)/$B$496)*100)+100</f>
        <v>130.00651661737427</v>
      </c>
      <c r="E675" s="26">
        <f>(((Table3[[#This Row],[Core CPI]]-$C$496)/$C$496)*100)+100</f>
        <v>134</v>
      </c>
      <c r="F675" s="27">
        <f>(Table3[[#This Row],[Core CPI]]-C663)/C663</f>
        <v>1.7415947552462365E-2</v>
      </c>
      <c r="G675" s="27">
        <f>VLOOKUP(Table3[[#This Row],[Date]],'PCE Core'!A:D,4,)</f>
        <v>1.5128089711724683E-2</v>
      </c>
    </row>
    <row r="676" spans="1:7" x14ac:dyDescent="0.2">
      <c r="A676" s="38">
        <v>41974</v>
      </c>
      <c r="B676" s="28">
        <f>VLOOKUP(Table3[[#This Row],[Date]],'PCE Core'!$A:$E,2,)</f>
        <v>103.837</v>
      </c>
      <c r="C676" s="28">
        <f>VLOOKUP(Table3[[#This Row],[Date]],Database!$A:$E,5)</f>
        <v>239.584</v>
      </c>
      <c r="D676" s="26">
        <f>(((Table3[[#This Row],[Core PCE]]-$B$496)/$B$496)*100)+100</f>
        <v>130.12807659531805</v>
      </c>
      <c r="E676" s="26">
        <f>(((Table3[[#This Row],[Core CPI]]-$C$496)/$C$496)*100)+100</f>
        <v>134.070509233352</v>
      </c>
      <c r="F676" s="27">
        <f>(Table3[[#This Row],[Core CPI]]-C664)/C664</f>
        <v>1.6224195046636681E-2</v>
      </c>
      <c r="G676" s="27">
        <f>VLOOKUP(Table3[[#This Row],[Date]],'PCE Core'!A:D,4,)</f>
        <v>1.4697116277251765E-2</v>
      </c>
    </row>
    <row r="677" spans="1:7" x14ac:dyDescent="0.2">
      <c r="A677" s="41">
        <v>42005</v>
      </c>
      <c r="B677" s="28">
        <f>VLOOKUP(Table3[[#This Row],[Date]],'PCE Core'!$A:$E,2,)</f>
        <v>103.816</v>
      </c>
      <c r="C677" s="28">
        <f>VLOOKUP(Table3[[#This Row],[Date]],Database!$A:$E,5)</f>
        <v>239.81100000000001</v>
      </c>
      <c r="D677" s="26">
        <f>(((Table3[[#This Row],[Core PCE]]-$B$496)/$B$496)*100)+100</f>
        <v>130.10175948669107</v>
      </c>
      <c r="E677" s="26">
        <f>(((Table3[[#This Row],[Core CPI]]-$C$496)/$C$496)*100)+100</f>
        <v>134.1975377728036</v>
      </c>
      <c r="F677" s="27">
        <f>(Table3[[#This Row],[Core CPI]]-C665)/C665</f>
        <v>1.6316255652417112E-2</v>
      </c>
      <c r="G677" s="27">
        <f>VLOOKUP(Table3[[#This Row],[Date]],'PCE Core'!A:D,4,)</f>
        <v>1.3570773045906318E-2</v>
      </c>
    </row>
    <row r="678" spans="1:7" x14ac:dyDescent="0.2">
      <c r="A678" s="38">
        <v>42036</v>
      </c>
      <c r="B678" s="28">
        <f>VLOOKUP(Table3[[#This Row],[Date]],'PCE Core'!$A:$E,2,)</f>
        <v>103.92</v>
      </c>
      <c r="C678" s="26">
        <f>VLOOKUP(Table3[[#This Row],[Date]],Database!$A:$E,5)</f>
        <v>240.172</v>
      </c>
      <c r="D678" s="26">
        <f>(((Table3[[#This Row],[Core PCE]]-$B$496)/$B$496)*100)+100</f>
        <v>130.23209183417714</v>
      </c>
      <c r="E678" s="26">
        <f>(((Table3[[#This Row],[Core CPI]]-$C$496)/$C$496)*100)+100</f>
        <v>134.39955232232793</v>
      </c>
      <c r="F678" s="27">
        <f>(Table3[[#This Row],[Core CPI]]-C666)/C666</f>
        <v>1.6880834938713275E-2</v>
      </c>
      <c r="G678" s="27">
        <f>VLOOKUP(Table3[[#This Row],[Date]],'PCE Core'!A:D,4,)</f>
        <v>1.3962474021602292E-2</v>
      </c>
    </row>
    <row r="679" spans="1:7" x14ac:dyDescent="0.2">
      <c r="A679" s="41">
        <v>42064</v>
      </c>
      <c r="B679" s="28">
        <f>VLOOKUP(Table3[[#This Row],[Date]],'PCE Core'!$A:$E,2,)</f>
        <v>104.08</v>
      </c>
      <c r="C679" s="28">
        <f>VLOOKUP(Table3[[#This Row],[Date]],Database!$A:$E,5)</f>
        <v>240.755</v>
      </c>
      <c r="D679" s="26">
        <f>(((Table3[[#This Row],[Core PCE]]-$B$496)/$B$496)*100)+100</f>
        <v>130.43260313800189</v>
      </c>
      <c r="E679" s="26">
        <f>(((Table3[[#This Row],[Core CPI]]-$C$496)/$C$496)*100)+100</f>
        <v>134.72579742585339</v>
      </c>
      <c r="F679" s="27">
        <f>(Table3[[#This Row],[Core CPI]]-C667)/C667</f>
        <v>1.7453777073428402E-2</v>
      </c>
      <c r="G679" s="27">
        <f>VLOOKUP(Table3[[#This Row],[Date]],'PCE Core'!A:D,4,)</f>
        <v>1.3595107319543462E-2</v>
      </c>
    </row>
    <row r="680" spans="1:7" x14ac:dyDescent="0.2">
      <c r="A680" s="38">
        <v>42095</v>
      </c>
      <c r="B680" s="28">
        <f>VLOOKUP(Table3[[#This Row],[Date]],'PCE Core'!$A:$E,2,)</f>
        <v>104.256</v>
      </c>
      <c r="C680" s="28">
        <f>VLOOKUP(Table3[[#This Row],[Date]],Database!$A:$E,5)</f>
        <v>241.346</v>
      </c>
      <c r="D680" s="26">
        <f>(((Table3[[#This Row],[Core PCE]]-$B$496)/$B$496)*100)+100</f>
        <v>130.65316557220913</v>
      </c>
      <c r="E680" s="26">
        <f>(((Table3[[#This Row],[Core CPI]]-$C$496)/$C$496)*100)+100</f>
        <v>135.05651930609963</v>
      </c>
      <c r="F680" s="27">
        <f>(Table3[[#This Row],[Core CPI]]-C668)/C668</f>
        <v>1.8028278328946483E-2</v>
      </c>
      <c r="G680" s="27">
        <f>VLOOKUP(Table3[[#This Row],[Date]],'PCE Core'!A:D,4,)</f>
        <v>1.3384655760650815E-2</v>
      </c>
    </row>
    <row r="681" spans="1:7" x14ac:dyDescent="0.2">
      <c r="A681" s="41">
        <v>42125</v>
      </c>
      <c r="B681" s="28">
        <f>VLOOKUP(Table3[[#This Row],[Date]],'PCE Core'!$A:$E,2,)</f>
        <v>104.38500000000001</v>
      </c>
      <c r="C681" s="26">
        <f>VLOOKUP(Table3[[#This Row],[Date]],Database!$A:$E,5)</f>
        <v>241.68799999999999</v>
      </c>
      <c r="D681" s="26">
        <f>(((Table3[[#This Row],[Core PCE]]-$B$496)/$B$496)*100)+100</f>
        <v>130.81482781091785</v>
      </c>
      <c r="E681" s="26">
        <f>(((Table3[[#This Row],[Core CPI]]-$C$496)/$C$496)*100)+100</f>
        <v>135.24790151091213</v>
      </c>
      <c r="F681" s="27">
        <f>(Table3[[#This Row],[Core CPI]]-C669)/C669</f>
        <v>1.7509440952473136E-2</v>
      </c>
      <c r="G681" s="27">
        <f>VLOOKUP(Table3[[#This Row],[Date]],'PCE Core'!A:D,4,)</f>
        <v>1.2846760656310321E-2</v>
      </c>
    </row>
    <row r="682" spans="1:7" x14ac:dyDescent="0.2">
      <c r="A682" s="38">
        <v>42156</v>
      </c>
      <c r="B682" s="28">
        <f>VLOOKUP(Table3[[#This Row],[Date]],'PCE Core'!$A:$E,2,)</f>
        <v>104.511</v>
      </c>
      <c r="C682" s="28">
        <f>VLOOKUP(Table3[[#This Row],[Date]],Database!$A:$E,5)</f>
        <v>242.06399999999999</v>
      </c>
      <c r="D682" s="26">
        <f>(((Table3[[#This Row],[Core PCE]]-$B$496)/$B$496)*100)+100</f>
        <v>130.97273046267981</v>
      </c>
      <c r="E682" s="26">
        <f>(((Table3[[#This Row],[Core CPI]]-$C$496)/$C$496)*100)+100</f>
        <v>135.45831001678792</v>
      </c>
      <c r="F682" s="27">
        <f>(Table3[[#This Row],[Core CPI]]-C670)/C670</f>
        <v>1.7772676244654971E-2</v>
      </c>
      <c r="G682" s="27">
        <f>VLOOKUP(Table3[[#This Row],[Date]],'PCE Core'!A:D,4,)</f>
        <v>1.2899786780383686E-2</v>
      </c>
    </row>
    <row r="683" spans="1:7" x14ac:dyDescent="0.2">
      <c r="A683" s="41">
        <v>42186</v>
      </c>
      <c r="B683" s="28">
        <f>VLOOKUP(Table3[[#This Row],[Date]],'PCE Core'!$A:$E,2,)</f>
        <v>104.60299999999999</v>
      </c>
      <c r="C683" s="28">
        <f>VLOOKUP(Table3[[#This Row],[Date]],Database!$A:$E,5)</f>
        <v>242.565</v>
      </c>
      <c r="D683" s="26">
        <f>(((Table3[[#This Row],[Core PCE]]-$B$496)/$B$496)*100)+100</f>
        <v>131.08802446237905</v>
      </c>
      <c r="E683" s="26">
        <f>(((Table3[[#This Row],[Core CPI]]-$C$496)/$C$496)*100)+100</f>
        <v>135.73866815892558</v>
      </c>
      <c r="F683" s="27">
        <f>(Table3[[#This Row],[Core CPI]]-C671)/C671</f>
        <v>1.8346312894897059E-2</v>
      </c>
      <c r="G683" s="27">
        <f>VLOOKUP(Table3[[#This Row],[Date]],'PCE Core'!A:D,4,)</f>
        <v>1.193781501223766E-2</v>
      </c>
    </row>
    <row r="684" spans="1:7" x14ac:dyDescent="0.2">
      <c r="A684" s="38">
        <v>42217</v>
      </c>
      <c r="B684" s="28">
        <f>VLOOKUP(Table3[[#This Row],[Date]],'PCE Core'!$A:$E,2,)</f>
        <v>104.679</v>
      </c>
      <c r="C684" s="26">
        <f>VLOOKUP(Table3[[#This Row],[Date]],Database!$A:$E,5)</f>
        <v>242.81700000000001</v>
      </c>
      <c r="D684" s="26">
        <f>(((Table3[[#This Row],[Core PCE]]-$B$496)/$B$496)*100)+100</f>
        <v>131.18326733169582</v>
      </c>
      <c r="E684" s="26">
        <f>(((Table3[[#This Row],[Core CPI]]-$C$496)/$C$496)*100)+100</f>
        <v>135.87968662562957</v>
      </c>
      <c r="F684" s="27">
        <f>(Table3[[#This Row],[Core CPI]]-C672)/C672</f>
        <v>1.8506323273421305E-2</v>
      </c>
      <c r="G684" s="27">
        <f>VLOOKUP(Table3[[#This Row],[Date]],'PCE Core'!A:D,4,)</f>
        <v>1.2291118675537683E-2</v>
      </c>
    </row>
    <row r="685" spans="1:7" x14ac:dyDescent="0.2">
      <c r="A685" s="41">
        <v>42248</v>
      </c>
      <c r="B685" s="28">
        <f>VLOOKUP(Table3[[#This Row],[Date]],'PCE Core'!$A:$E,2,)</f>
        <v>104.81399999999999</v>
      </c>
      <c r="C685" s="28">
        <f>VLOOKUP(Table3[[#This Row],[Date]],Database!$A:$E,5)</f>
        <v>243.316</v>
      </c>
      <c r="D685" s="26">
        <f>(((Table3[[#This Row],[Core PCE]]-$B$496)/$B$496)*100)+100</f>
        <v>131.35244874429793</v>
      </c>
      <c r="E685" s="26">
        <f>(((Table3[[#This Row],[Core CPI]]-$C$496)/$C$496)*100)+100</f>
        <v>136.15892557358703</v>
      </c>
      <c r="F685" s="27">
        <f>(Table3[[#This Row],[Core CPI]]-C673)/C673</f>
        <v>1.8970961446650982E-2</v>
      </c>
      <c r="G685" s="27">
        <f>VLOOKUP(Table3[[#This Row],[Date]],'PCE Core'!A:D,4,)</f>
        <v>1.2343532684283646E-2</v>
      </c>
    </row>
    <row r="686" spans="1:7" x14ac:dyDescent="0.2">
      <c r="A686" s="38">
        <v>42278</v>
      </c>
      <c r="B686" s="28">
        <f>VLOOKUP(Table3[[#This Row],[Date]],'PCE Core'!$A:$E,2,)</f>
        <v>104.82899999999999</v>
      </c>
      <c r="C686" s="28">
        <f>VLOOKUP(Table3[[#This Row],[Date]],Database!$A:$E,5)</f>
        <v>243.768</v>
      </c>
      <c r="D686" s="26">
        <f>(((Table3[[#This Row],[Core PCE]]-$B$496)/$B$496)*100)+100</f>
        <v>131.37124667903151</v>
      </c>
      <c r="E686" s="26">
        <f>(((Table3[[#This Row],[Core CPI]]-$C$496)/$C$496)*100)+100</f>
        <v>136.41186345831002</v>
      </c>
      <c r="F686" s="27">
        <f>(Table3[[#This Row],[Core CPI]]-C674)/C674</f>
        <v>1.9135335359608003E-2</v>
      </c>
      <c r="G686" s="27">
        <f>VLOOKUP(Table3[[#This Row],[Date]],'PCE Core'!A:D,4,)</f>
        <v>1.1579770141562579E-2</v>
      </c>
    </row>
    <row r="687" spans="1:7" x14ac:dyDescent="0.2">
      <c r="A687" s="41">
        <v>42309</v>
      </c>
      <c r="B687" s="28">
        <f>VLOOKUP(Table3[[#This Row],[Date]],'PCE Core'!$A:$E,2,)</f>
        <v>104.94</v>
      </c>
      <c r="C687" s="26">
        <f>VLOOKUP(Table3[[#This Row],[Date]],Database!$A:$E,5)</f>
        <v>244.24100000000001</v>
      </c>
      <c r="D687" s="26">
        <f>(((Table3[[#This Row],[Core PCE]]-$B$496)/$B$496)*100)+100</f>
        <v>131.51035139605995</v>
      </c>
      <c r="E687" s="26">
        <f>(((Table3[[#This Row],[Core CPI]]-$C$496)/$C$496)*100)+100</f>
        <v>136.67655288192503</v>
      </c>
      <c r="F687" s="27">
        <f>(Table3[[#This Row],[Core CPI]]-C675)/C675</f>
        <v>1.9974275238246436E-2</v>
      </c>
      <c r="G687" s="27">
        <f>VLOOKUP(Table3[[#This Row],[Date]],'PCE Core'!A:D,4,)</f>
        <v>1.1567379988432647E-2</v>
      </c>
    </row>
    <row r="688" spans="1:7" x14ac:dyDescent="0.2">
      <c r="A688" s="38">
        <v>42339</v>
      </c>
      <c r="B688" s="28">
        <f>VLOOKUP(Table3[[#This Row],[Date]],'PCE Core'!$A:$E,2,)</f>
        <v>105.009</v>
      </c>
      <c r="C688" s="28">
        <f>VLOOKUP(Table3[[#This Row],[Date]],Database!$A:$E,5)</f>
        <v>244.547</v>
      </c>
      <c r="D688" s="26">
        <f>(((Table3[[#This Row],[Core PCE]]-$B$496)/$B$496)*100)+100</f>
        <v>131.59682189583435</v>
      </c>
      <c r="E688" s="26">
        <f>(((Table3[[#This Row],[Core CPI]]-$C$496)/$C$496)*100)+100</f>
        <v>136.84778959149412</v>
      </c>
      <c r="F688" s="27">
        <f>(Table3[[#This Row],[Core CPI]]-C676)/C676</f>
        <v>2.0715072792840898E-2</v>
      </c>
      <c r="G688" s="27">
        <f>VLOOKUP(Table3[[#This Row],[Date]],'PCE Core'!A:D,4,)</f>
        <v>1.1286920847096864E-2</v>
      </c>
    </row>
    <row r="689" spans="1:7" x14ac:dyDescent="0.2">
      <c r="A689" s="41">
        <v>42370</v>
      </c>
      <c r="B689" s="28">
        <f>VLOOKUP(Table3[[#This Row],[Date]],'PCE Core'!$A:$E,2,)</f>
        <v>105.20399999999999</v>
      </c>
      <c r="C689" s="28">
        <f>VLOOKUP(Table3[[#This Row],[Date]],Database!$A:$E,5)</f>
        <v>244.95500000000001</v>
      </c>
      <c r="D689" s="26">
        <f>(((Table3[[#This Row],[Core PCE]]-$B$496)/$B$496)*100)+100</f>
        <v>131.84119504737077</v>
      </c>
      <c r="E689" s="26">
        <f>(((Table3[[#This Row],[Core CPI]]-$C$496)/$C$496)*100)+100</f>
        <v>137.07610520425294</v>
      </c>
      <c r="F689" s="27">
        <f>(Table3[[#This Row],[Core CPI]]-C677)/C677</f>
        <v>2.1450225385824691E-2</v>
      </c>
      <c r="G689" s="27">
        <f>VLOOKUP(Table3[[#This Row],[Date]],'PCE Core'!A:D,4,)</f>
        <v>1.3369808122062022E-2</v>
      </c>
    </row>
    <row r="690" spans="1:7" x14ac:dyDescent="0.2">
      <c r="A690" s="38">
        <v>42401</v>
      </c>
      <c r="B690" s="28">
        <f>VLOOKUP(Table3[[#This Row],[Date]],'PCE Core'!$A:$E,2,)</f>
        <v>105.369</v>
      </c>
      <c r="C690" s="26">
        <f>VLOOKUP(Table3[[#This Row],[Date]],Database!$A:$E,5)</f>
        <v>245.51</v>
      </c>
      <c r="D690" s="26">
        <f>(((Table3[[#This Row],[Core PCE]]-$B$496)/$B$496)*100)+100</f>
        <v>132.04797232944006</v>
      </c>
      <c r="E690" s="26">
        <f>(((Table3[[#This Row],[Core CPI]]-$C$496)/$C$496)*100)+100</f>
        <v>137.38668158925574</v>
      </c>
      <c r="F690" s="27">
        <f>(Table3[[#This Row],[Core CPI]]-C678)/C678</f>
        <v>2.2225738220941635E-2</v>
      </c>
      <c r="G690" s="27">
        <f>VLOOKUP(Table3[[#This Row],[Date]],'PCE Core'!A:D,4,)</f>
        <v>1.3943418013856793E-2</v>
      </c>
    </row>
    <row r="691" spans="1:7" x14ac:dyDescent="0.2">
      <c r="A691" s="41">
        <v>42430</v>
      </c>
      <c r="B691" s="28">
        <f>VLOOKUP(Table3[[#This Row],[Date]],'PCE Core'!$A:$E,2,)</f>
        <v>105.521</v>
      </c>
      <c r="C691" s="28">
        <f>VLOOKUP(Table3[[#This Row],[Date]],Database!$A:$E,5)</f>
        <v>245.91300000000001</v>
      </c>
      <c r="D691" s="26">
        <f>(((Table3[[#This Row],[Core PCE]]-$B$496)/$B$496)*100)+100</f>
        <v>132.23845806807358</v>
      </c>
      <c r="E691" s="26">
        <f>(((Table3[[#This Row],[Core CPI]]-$C$496)/$C$496)*100)+100</f>
        <v>137.61219921656408</v>
      </c>
      <c r="F691" s="27">
        <f>(Table3[[#This Row],[Core CPI]]-C679)/C679</f>
        <v>2.1424269485576689E-2</v>
      </c>
      <c r="G691" s="27">
        <f>VLOOKUP(Table3[[#This Row],[Date]],'PCE Core'!A:D,4,)</f>
        <v>1.3845119139123774E-2</v>
      </c>
    </row>
    <row r="692" spans="1:7" x14ac:dyDescent="0.2">
      <c r="A692" s="38">
        <v>42461</v>
      </c>
      <c r="B692" s="28">
        <f>VLOOKUP(Table3[[#This Row],[Date]],'PCE Core'!$A:$E,2,)</f>
        <v>105.786</v>
      </c>
      <c r="C692" s="28">
        <f>VLOOKUP(Table3[[#This Row],[Date]],Database!$A:$E,5)</f>
        <v>246.55099999999999</v>
      </c>
      <c r="D692" s="26">
        <f>(((Table3[[#This Row],[Core PCE]]-$B$496)/$B$496)*100)+100</f>
        <v>132.57055491503331</v>
      </c>
      <c r="E692" s="26">
        <f>(((Table3[[#This Row],[Core CPI]]-$C$496)/$C$496)*100)+100</f>
        <v>137.96922216004475</v>
      </c>
      <c r="F692" s="27">
        <f>(Table3[[#This Row],[Core CPI]]-C680)/C680</f>
        <v>2.1566547612141839E-2</v>
      </c>
      <c r="G692" s="27">
        <f>VLOOKUP(Table3[[#This Row],[Date]],'PCE Core'!A:D,4,)</f>
        <v>1.4675414364640895E-2</v>
      </c>
    </row>
    <row r="693" spans="1:7" x14ac:dyDescent="0.2">
      <c r="A693" s="41">
        <v>42491</v>
      </c>
      <c r="B693" s="28">
        <f>VLOOKUP(Table3[[#This Row],[Date]],'PCE Core'!$A:$E,2,)</f>
        <v>105.94799999999999</v>
      </c>
      <c r="C693" s="26">
        <f>VLOOKUP(Table3[[#This Row],[Date]],Database!$A:$E,5)</f>
        <v>247.137</v>
      </c>
      <c r="D693" s="26">
        <f>(((Table3[[#This Row],[Core PCE]]-$B$496)/$B$496)*100)+100</f>
        <v>132.77357261015587</v>
      </c>
      <c r="E693" s="26">
        <f>(((Table3[[#This Row],[Core CPI]]-$C$496)/$C$496)*100)+100</f>
        <v>138.29714605484054</v>
      </c>
      <c r="F693" s="27">
        <f>(Table3[[#This Row],[Core CPI]]-C681)/C681</f>
        <v>2.2545595974976053E-2</v>
      </c>
      <c r="G693" s="27">
        <f>VLOOKUP(Table3[[#This Row],[Date]],'PCE Core'!A:D,4,)</f>
        <v>1.4973415720649405E-2</v>
      </c>
    </row>
    <row r="694" spans="1:7" x14ac:dyDescent="0.2">
      <c r="A694" s="38">
        <v>42522</v>
      </c>
      <c r="B694" s="28">
        <f>VLOOKUP(Table3[[#This Row],[Date]],'PCE Core'!$A:$E,2,)</f>
        <v>106.077</v>
      </c>
      <c r="C694" s="28">
        <f>VLOOKUP(Table3[[#This Row],[Date]],Database!$A:$E,5)</f>
        <v>247.54</v>
      </c>
      <c r="D694" s="26">
        <f>(((Table3[[#This Row],[Core PCE]]-$B$496)/$B$496)*100)+100</f>
        <v>132.93523484886458</v>
      </c>
      <c r="E694" s="26">
        <f>(((Table3[[#This Row],[Core CPI]]-$C$496)/$C$496)*100)+100</f>
        <v>138.52266368214885</v>
      </c>
      <c r="F694" s="27">
        <f>(Table3[[#This Row],[Core CPI]]-C682)/C682</f>
        <v>2.2622116465067087E-2</v>
      </c>
      <c r="G694" s="27">
        <f>VLOOKUP(Table3[[#This Row],[Date]],'PCE Core'!A:D,4,)</f>
        <v>1.4984068662628839E-2</v>
      </c>
    </row>
    <row r="695" spans="1:7" x14ac:dyDescent="0.2">
      <c r="A695" s="41">
        <v>42552</v>
      </c>
      <c r="B695" s="28">
        <f>VLOOKUP(Table3[[#This Row],[Date]],'PCE Core'!$A:$E,2,)</f>
        <v>106.25700000000001</v>
      </c>
      <c r="C695" s="28">
        <f>VLOOKUP(Table3[[#This Row],[Date]],Database!$A:$E,5)</f>
        <v>247.82900000000001</v>
      </c>
      <c r="D695" s="26">
        <f>(((Table3[[#This Row],[Core PCE]]-$B$496)/$B$496)*100)+100</f>
        <v>133.16081006566745</v>
      </c>
      <c r="E695" s="26">
        <f>(((Table3[[#This Row],[Core CPI]]-$C$496)/$C$496)*100)+100</f>
        <v>138.68438724118636</v>
      </c>
      <c r="F695" s="27">
        <f>(Table3[[#This Row],[Core CPI]]-C683)/C683</f>
        <v>2.1701399624842868E-2</v>
      </c>
      <c r="G695" s="27">
        <f>VLOOKUP(Table3[[#This Row],[Date]],'PCE Core'!A:D,4,)</f>
        <v>1.5812165999063228E-2</v>
      </c>
    </row>
    <row r="696" spans="1:7" x14ac:dyDescent="0.2">
      <c r="A696" s="38">
        <v>42583</v>
      </c>
      <c r="B696" s="28">
        <f>VLOOKUP(Table3[[#This Row],[Date]],'PCE Core'!$A:$E,2,)</f>
        <v>106.456</v>
      </c>
      <c r="C696" s="26">
        <f>VLOOKUP(Table3[[#This Row],[Date]],Database!$A:$E,5)</f>
        <v>248.423</v>
      </c>
      <c r="D696" s="26">
        <f>(((Table3[[#This Row],[Core PCE]]-$B$496)/$B$496)*100)+100</f>
        <v>133.41019599979947</v>
      </c>
      <c r="E696" s="26">
        <f>(((Table3[[#This Row],[Core CPI]]-$C$496)/$C$496)*100)+100</f>
        <v>139.01678791270285</v>
      </c>
      <c r="F696" s="27">
        <f>(Table3[[#This Row],[Core CPI]]-C684)/C684</f>
        <v>2.3087345614186794E-2</v>
      </c>
      <c r="G696" s="27">
        <f>VLOOKUP(Table3[[#This Row],[Date]],'PCE Core'!A:D,4,)</f>
        <v>1.6975706684244224E-2</v>
      </c>
    </row>
    <row r="697" spans="1:7" x14ac:dyDescent="0.2">
      <c r="A697" s="41">
        <v>42614</v>
      </c>
      <c r="B697" s="28">
        <f>VLOOKUP(Table3[[#This Row],[Date]],'PCE Core'!$A:$E,2,)</f>
        <v>106.57899999999999</v>
      </c>
      <c r="C697" s="28">
        <f>VLOOKUP(Table3[[#This Row],[Date]],Database!$A:$E,5)</f>
        <v>248.84200000000001</v>
      </c>
      <c r="D697" s="26">
        <f>(((Table3[[#This Row],[Core PCE]]-$B$496)/$B$496)*100)+100</f>
        <v>133.56433906461476</v>
      </c>
      <c r="E697" s="26">
        <f>(((Table3[[#This Row],[Core CPI]]-$C$496)/$C$496)*100)+100</f>
        <v>139.25125909345275</v>
      </c>
      <c r="F697" s="27">
        <f>(Table3[[#This Row],[Core CPI]]-C685)/C685</f>
        <v>2.2711206825691735E-2</v>
      </c>
      <c r="G697" s="27">
        <f>VLOOKUP(Table3[[#This Row],[Date]],'PCE Core'!A:D,4,)</f>
        <v>1.6839353521476145E-2</v>
      </c>
    </row>
    <row r="698" spans="1:7" x14ac:dyDescent="0.2">
      <c r="A698" s="38">
        <v>42644</v>
      </c>
      <c r="B698" s="28">
        <f>VLOOKUP(Table3[[#This Row],[Date]],'PCE Core'!$A:$E,2,)</f>
        <v>106.73699999999999</v>
      </c>
      <c r="C698" s="28">
        <f>VLOOKUP(Table3[[#This Row],[Date]],Database!$A:$E,5)</f>
        <v>249.142</v>
      </c>
      <c r="D698" s="26">
        <f>(((Table3[[#This Row],[Core PCE]]-$B$496)/$B$496)*100)+100</f>
        <v>133.76234397714171</v>
      </c>
      <c r="E698" s="26">
        <f>(((Table3[[#This Row],[Core CPI]]-$C$496)/$C$496)*100)+100</f>
        <v>139.41913822048127</v>
      </c>
      <c r="F698" s="27">
        <f>(Table3[[#This Row],[Core CPI]]-C686)/C686</f>
        <v>2.2045551507991184E-2</v>
      </c>
      <c r="G698" s="27">
        <f>VLOOKUP(Table3[[#This Row],[Date]],'PCE Core'!A:D,4,)</f>
        <v>1.8201070314512218E-2</v>
      </c>
    </row>
    <row r="699" spans="1:7" x14ac:dyDescent="0.2">
      <c r="A699" s="41">
        <v>42675</v>
      </c>
      <c r="B699" s="28">
        <f>VLOOKUP(Table3[[#This Row],[Date]],'PCE Core'!$A:$E,2,)</f>
        <v>106.789</v>
      </c>
      <c r="C699" s="26">
        <f>VLOOKUP(Table3[[#This Row],[Date]],Database!$A:$E,5)</f>
        <v>249.48099999999999</v>
      </c>
      <c r="D699" s="26">
        <f>(((Table3[[#This Row],[Core PCE]]-$B$496)/$B$496)*100)+100</f>
        <v>133.82751015088473</v>
      </c>
      <c r="E699" s="26">
        <f>(((Table3[[#This Row],[Core CPI]]-$C$496)/$C$496)*100)+100</f>
        <v>139.60884163402352</v>
      </c>
      <c r="F699" s="27">
        <f>(Table3[[#This Row],[Core CPI]]-C687)/C687</f>
        <v>2.1454219398053483E-2</v>
      </c>
      <c r="G699" s="27">
        <f>VLOOKUP(Table3[[#This Row],[Date]],'PCE Core'!A:D,4,)</f>
        <v>1.7619592147894072E-2</v>
      </c>
    </row>
    <row r="700" spans="1:7" x14ac:dyDescent="0.2">
      <c r="A700" s="38">
        <v>42705</v>
      </c>
      <c r="B700" s="28">
        <f>VLOOKUP(Table3[[#This Row],[Date]],'PCE Core'!$A:$E,2,)</f>
        <v>106.929</v>
      </c>
      <c r="C700" s="28">
        <f>VLOOKUP(Table3[[#This Row],[Date]],Database!$A:$E,5)</f>
        <v>249.92</v>
      </c>
      <c r="D700" s="26">
        <f>(((Table3[[#This Row],[Core PCE]]-$B$496)/$B$496)*100)+100</f>
        <v>134.0029575417314</v>
      </c>
      <c r="E700" s="26">
        <f>(((Table3[[#This Row],[Core CPI]]-$C$496)/$C$496)*100)+100</f>
        <v>139.85450475657527</v>
      </c>
      <c r="F700" s="27">
        <f>(Table3[[#This Row],[Core CPI]]-C688)/C688</f>
        <v>2.1971236613002779E-2</v>
      </c>
      <c r="G700" s="27">
        <f>VLOOKUP(Table3[[#This Row],[Date]],'PCE Core'!A:D,4,)</f>
        <v>1.8284147073108034E-2</v>
      </c>
    </row>
    <row r="701" spans="1:7" x14ac:dyDescent="0.2">
      <c r="A701" s="41">
        <v>42736</v>
      </c>
      <c r="B701" s="28">
        <f>VLOOKUP(Table3[[#This Row],[Date]],'PCE Core'!$A:$E,2,)</f>
        <v>107.20399999999999</v>
      </c>
      <c r="C701" s="28">
        <f>VLOOKUP(Table3[[#This Row],[Date]],Database!$A:$E,5)</f>
        <v>250.46199999999999</v>
      </c>
      <c r="D701" s="26">
        <f>(((Table3[[#This Row],[Core PCE]]-$B$496)/$B$496)*100)+100</f>
        <v>134.34758634518019</v>
      </c>
      <c r="E701" s="26">
        <f>(((Table3[[#This Row],[Core CPI]]-$C$496)/$C$496)*100)+100</f>
        <v>140.15780637940682</v>
      </c>
      <c r="F701" s="27">
        <f>(Table3[[#This Row],[Core CPI]]-C689)/C689</f>
        <v>2.2481680308628019E-2</v>
      </c>
      <c r="G701" s="27">
        <f>VLOOKUP(Table3[[#This Row],[Date]],'PCE Core'!A:D,4,)</f>
        <v>1.9010684004410479E-2</v>
      </c>
    </row>
    <row r="702" spans="1:7" x14ac:dyDescent="0.2">
      <c r="A702" s="38">
        <v>42767</v>
      </c>
      <c r="B702" s="28">
        <f>VLOOKUP(Table3[[#This Row],[Date]],'PCE Core'!$A:$E,2,)</f>
        <v>107.357</v>
      </c>
      <c r="C702" s="26">
        <f>VLOOKUP(Table3[[#This Row],[Date]],Database!$A:$E,5)</f>
        <v>250.90299999999999</v>
      </c>
      <c r="D702" s="26">
        <f>(((Table3[[#This Row],[Core PCE]]-$B$496)/$B$496)*100)+100</f>
        <v>134.53932527946262</v>
      </c>
      <c r="E702" s="26">
        <f>(((Table3[[#This Row],[Core CPI]]-$C$496)/$C$496)*100)+100</f>
        <v>140.40458869613877</v>
      </c>
      <c r="F702" s="27">
        <f>(Table3[[#This Row],[Core CPI]]-C690)/C690</f>
        <v>2.1966518675410374E-2</v>
      </c>
      <c r="G702" s="27">
        <f>VLOOKUP(Table3[[#This Row],[Date]],'PCE Core'!A:D,4,)</f>
        <v>1.8867029202137248E-2</v>
      </c>
    </row>
    <row r="703" spans="1:7" x14ac:dyDescent="0.2">
      <c r="A703" s="41">
        <v>42795</v>
      </c>
      <c r="B703" s="28">
        <f>VLOOKUP(Table3[[#This Row],[Date]],'PCE Core'!$A:$E,2,)</f>
        <v>107.307</v>
      </c>
      <c r="C703" s="28">
        <f>VLOOKUP(Table3[[#This Row],[Date]],Database!$A:$E,5)</f>
        <v>250.83600000000001</v>
      </c>
      <c r="D703" s="26">
        <f>(((Table3[[#This Row],[Core PCE]]-$B$496)/$B$496)*100)+100</f>
        <v>134.47666549701739</v>
      </c>
      <c r="E703" s="26">
        <f>(((Table3[[#This Row],[Core CPI]]-$C$496)/$C$496)*100)+100</f>
        <v>140.36709569110241</v>
      </c>
      <c r="F703" s="27">
        <f>(Table3[[#This Row],[Core CPI]]-C691)/C691</f>
        <v>2.0019275109489948E-2</v>
      </c>
      <c r="G703" s="27">
        <f>VLOOKUP(Table3[[#This Row],[Date]],'PCE Core'!A:D,4,)</f>
        <v>1.6925540887595847E-2</v>
      </c>
    </row>
    <row r="704" spans="1:7" x14ac:dyDescent="0.2">
      <c r="A704" s="38">
        <v>42826</v>
      </c>
      <c r="B704" s="28">
        <f>VLOOKUP(Table3[[#This Row],[Date]],'PCE Core'!$A:$E,2,)</f>
        <v>107.587</v>
      </c>
      <c r="C704" s="28">
        <f>VLOOKUP(Table3[[#This Row],[Date]],Database!$A:$E,5)</f>
        <v>251.25200000000001</v>
      </c>
      <c r="D704" s="26">
        <f>(((Table3[[#This Row],[Core PCE]]-$B$496)/$B$496)*100)+100</f>
        <v>134.82756027871071</v>
      </c>
      <c r="E704" s="26">
        <f>(((Table3[[#This Row],[Core CPI]]-$C$496)/$C$496)*100)+100</f>
        <v>140.59988808058199</v>
      </c>
      <c r="F704" s="27">
        <f>(Table3[[#This Row],[Core CPI]]-C692)/C692</f>
        <v>1.9067049008116059E-2</v>
      </c>
      <c r="G704" s="27">
        <f>VLOOKUP(Table3[[#This Row],[Date]],'PCE Core'!A:D,4,)</f>
        <v>1.7024937137239349E-2</v>
      </c>
    </row>
    <row r="705" spans="1:7" x14ac:dyDescent="0.2">
      <c r="A705" s="41">
        <v>42856</v>
      </c>
      <c r="B705" s="28">
        <f>VLOOKUP(Table3[[#This Row],[Date]],'PCE Core'!$A:$E,2,)</f>
        <v>107.699</v>
      </c>
      <c r="C705" s="26">
        <f>VLOOKUP(Table3[[#This Row],[Date]],Database!$A:$E,5)</f>
        <v>251.488</v>
      </c>
      <c r="D705" s="26">
        <f>(((Table3[[#This Row],[Core PCE]]-$B$496)/$B$496)*100)+100</f>
        <v>134.96791819138804</v>
      </c>
      <c r="E705" s="26">
        <f>(((Table3[[#This Row],[Core CPI]]-$C$496)/$C$496)*100)+100</f>
        <v>140.73195299384443</v>
      </c>
      <c r="F705" s="27">
        <f>(Table3[[#This Row],[Core CPI]]-C693)/C693</f>
        <v>1.7605619555145523E-2</v>
      </c>
      <c r="G705" s="27">
        <f>VLOOKUP(Table3[[#This Row],[Date]],'PCE Core'!A:D,4,)</f>
        <v>1.6526975497413873E-2</v>
      </c>
    </row>
    <row r="706" spans="1:7" x14ac:dyDescent="0.2">
      <c r="A706" s="38">
        <v>42887</v>
      </c>
      <c r="B706" s="28">
        <f>VLOOKUP(Table3[[#This Row],[Date]],'PCE Core'!$A:$E,2,)</f>
        <v>107.876</v>
      </c>
      <c r="C706" s="28">
        <f>VLOOKUP(Table3[[#This Row],[Date]],Database!$A:$E,5)</f>
        <v>251.822</v>
      </c>
      <c r="D706" s="26">
        <f>(((Table3[[#This Row],[Core PCE]]-$B$496)/$B$496)*100)+100</f>
        <v>135.18973382124418</v>
      </c>
      <c r="E706" s="26">
        <f>(((Table3[[#This Row],[Core CPI]]-$C$496)/$C$496)*100)+100</f>
        <v>140.91885842193622</v>
      </c>
      <c r="F706" s="27">
        <f>(Table3[[#This Row],[Core CPI]]-C694)/C694</f>
        <v>1.7298214429991157E-2</v>
      </c>
      <c r="G706" s="27">
        <f>VLOOKUP(Table3[[#This Row],[Date]],'PCE Core'!A:D,4,)</f>
        <v>1.6959378564627644E-2</v>
      </c>
    </row>
    <row r="707" spans="1:7" x14ac:dyDescent="0.2">
      <c r="A707" s="41">
        <v>42917</v>
      </c>
      <c r="B707" s="28">
        <f>VLOOKUP(Table3[[#This Row],[Date]],'PCE Core'!$A:$E,2,)</f>
        <v>107.944</v>
      </c>
      <c r="C707" s="28">
        <f>VLOOKUP(Table3[[#This Row],[Date]],Database!$A:$E,5)</f>
        <v>252.047</v>
      </c>
      <c r="D707" s="26">
        <f>(((Table3[[#This Row],[Core PCE]]-$B$496)/$B$496)*100)+100</f>
        <v>135.27495112536968</v>
      </c>
      <c r="E707" s="26">
        <f>(((Table3[[#This Row],[Core CPI]]-$C$496)/$C$496)*100)+100</f>
        <v>141.04476776720762</v>
      </c>
      <c r="F707" s="27">
        <f>(Table3[[#This Row],[Core CPI]]-C695)/C695</f>
        <v>1.7019799942702384E-2</v>
      </c>
      <c r="G707" s="27">
        <f>VLOOKUP(Table3[[#This Row],[Date]],'PCE Core'!A:D,4,)</f>
        <v>1.587660107098824E-2</v>
      </c>
    </row>
    <row r="708" spans="1:7" x14ac:dyDescent="0.2">
      <c r="A708" s="38">
        <v>42948</v>
      </c>
      <c r="B708" s="28">
        <f>VLOOKUP(Table3[[#This Row],[Date]],'PCE Core'!$A:$E,2,)</f>
        <v>108.05800000000001</v>
      </c>
      <c r="C708" s="26">
        <f>VLOOKUP(Table3[[#This Row],[Date]],Database!$A:$E,5)</f>
        <v>252.59700000000001</v>
      </c>
      <c r="D708" s="26">
        <f>(((Table3[[#This Row],[Core PCE]]-$B$496)/$B$496)*100)+100</f>
        <v>135.41781542934484</v>
      </c>
      <c r="E708" s="26">
        <f>(((Table3[[#This Row],[Core CPI]]-$C$496)/$C$496)*100)+100</f>
        <v>141.35254616675994</v>
      </c>
      <c r="F708" s="27">
        <f>(Table3[[#This Row],[Core CPI]]-C696)/C696</f>
        <v>1.680198693357703E-2</v>
      </c>
      <c r="G708" s="27">
        <f>VLOOKUP(Table3[[#This Row],[Date]],'PCE Core'!A:D,4,)</f>
        <v>1.5048470729691175E-2</v>
      </c>
    </row>
    <row r="709" spans="1:7" x14ac:dyDescent="0.2">
      <c r="A709" s="41">
        <v>42979</v>
      </c>
      <c r="B709" s="28">
        <f>VLOOKUP(Table3[[#This Row],[Date]],'PCE Core'!$A:$E,2,)</f>
        <v>108.267</v>
      </c>
      <c r="C709" s="28">
        <f>VLOOKUP(Table3[[#This Row],[Date]],Database!$A:$E,5)</f>
        <v>253.03899999999999</v>
      </c>
      <c r="D709" s="26">
        <f>(((Table3[[#This Row],[Core PCE]]-$B$496)/$B$496)*100)+100</f>
        <v>135.67973331996589</v>
      </c>
      <c r="E709" s="26">
        <f>(((Table3[[#This Row],[Core CPI]]-$C$496)/$C$496)*100)+100</f>
        <v>141.59988808058199</v>
      </c>
      <c r="F709" s="27">
        <f>(Table3[[#This Row],[Core CPI]]-C697)/C697</f>
        <v>1.6866123885839104E-2</v>
      </c>
      <c r="G709" s="27">
        <f>VLOOKUP(Table3[[#This Row],[Date]],'PCE Core'!A:D,4,)</f>
        <v>1.583801687011515E-2</v>
      </c>
    </row>
    <row r="710" spans="1:7" x14ac:dyDescent="0.2">
      <c r="A710" s="38">
        <v>43009</v>
      </c>
      <c r="B710" s="28">
        <f>VLOOKUP(Table3[[#This Row],[Date]],'PCE Core'!$A:$E,2,)</f>
        <v>108.54600000000001</v>
      </c>
      <c r="C710" s="28">
        <f>VLOOKUP(Table3[[#This Row],[Date]],Database!$A:$E,5)</f>
        <v>253.535</v>
      </c>
      <c r="D710" s="26">
        <f>(((Table3[[#This Row],[Core PCE]]-$B$496)/$B$496)*100)+100</f>
        <v>136.02937490601033</v>
      </c>
      <c r="E710" s="26">
        <f>(((Table3[[#This Row],[Core CPI]]-$C$496)/$C$496)*100)+100</f>
        <v>141.87744823726916</v>
      </c>
      <c r="F710" s="27">
        <f>(Table3[[#This Row],[Core CPI]]-C698)/C698</f>
        <v>1.7632514790761899E-2</v>
      </c>
      <c r="G710" s="27">
        <f>VLOOKUP(Table3[[#This Row],[Date]],'PCE Core'!A:D,4,)</f>
        <v>1.6948199780769665E-2</v>
      </c>
    </row>
    <row r="711" spans="1:7" x14ac:dyDescent="0.2">
      <c r="A711" s="41">
        <v>43040</v>
      </c>
      <c r="B711" s="28">
        <f>VLOOKUP(Table3[[#This Row],[Date]],'PCE Core'!$A:$E,2,)</f>
        <v>108.601</v>
      </c>
      <c r="C711" s="26">
        <f>VLOOKUP(Table3[[#This Row],[Date]],Database!$A:$E,5)</f>
        <v>253.744</v>
      </c>
      <c r="D711" s="26">
        <f>(((Table3[[#This Row],[Core PCE]]-$B$496)/$B$496)*100)+100</f>
        <v>136.09830066670008</v>
      </c>
      <c r="E711" s="26">
        <f>(((Table3[[#This Row],[Core CPI]]-$C$496)/$C$496)*100)+100</f>
        <v>141.99440402909906</v>
      </c>
      <c r="F711" s="27">
        <f>(Table3[[#This Row],[Core CPI]]-C699)/C699</f>
        <v>1.7087473595183623E-2</v>
      </c>
      <c r="G711" s="27">
        <f>VLOOKUP(Table3[[#This Row],[Date]],'PCE Core'!A:D,4,)</f>
        <v>1.6968039779378004E-2</v>
      </c>
    </row>
    <row r="712" spans="1:7" x14ac:dyDescent="0.2">
      <c r="A712" s="38">
        <v>43070</v>
      </c>
      <c r="B712" s="28">
        <f>VLOOKUP(Table3[[#This Row],[Date]],'PCE Core'!$A:$E,2,)</f>
        <v>108.76900000000001</v>
      </c>
      <c r="C712" s="28">
        <f>VLOOKUP(Table3[[#This Row],[Date]],Database!$A:$E,5)</f>
        <v>254.30799999999999</v>
      </c>
      <c r="D712" s="26">
        <f>(((Table3[[#This Row],[Core PCE]]-$B$496)/$B$496)*100)+100</f>
        <v>136.30883753571607</v>
      </c>
      <c r="E712" s="26">
        <f>(((Table3[[#This Row],[Core CPI]]-$C$496)/$C$496)*100)+100</f>
        <v>142.3100167879127</v>
      </c>
      <c r="F712" s="27">
        <f>(Table3[[#This Row],[Core CPI]]-C700)/C700</f>
        <v>1.7557618437900151E-2</v>
      </c>
      <c r="G712" s="27">
        <f>VLOOKUP(Table3[[#This Row],[Date]],'PCE Core'!A:D,4,)</f>
        <v>1.7207679862338593E-2</v>
      </c>
    </row>
    <row r="713" spans="1:7" x14ac:dyDescent="0.2">
      <c r="A713" s="41">
        <v>43101</v>
      </c>
      <c r="B713" s="28">
        <f>VLOOKUP(Table3[[#This Row],[Date]],'PCE Core'!$A:$E,2,)</f>
        <v>109.06</v>
      </c>
      <c r="C713" s="28">
        <f>VLOOKUP(Table3[[#This Row],[Date]],Database!$A:$E,5)</f>
        <v>255.00700000000001</v>
      </c>
      <c r="D713" s="26">
        <f>(((Table3[[#This Row],[Core PCE]]-$B$496)/$B$496)*100)+100</f>
        <v>136.67351746954733</v>
      </c>
      <c r="E713" s="26">
        <f>(((Table3[[#This Row],[Core CPI]]-$C$496)/$C$496)*100)+100</f>
        <v>142.70117515388921</v>
      </c>
      <c r="F713" s="27">
        <f>(Table3[[#This Row],[Core CPI]]-C701)/C701</f>
        <v>1.8146465332066406E-2</v>
      </c>
      <c r="G713" s="27">
        <f>VLOOKUP(Table3[[#This Row],[Date]],'PCE Core'!A:D,4,)</f>
        <v>1.7312786836312162E-2</v>
      </c>
    </row>
    <row r="714" spans="1:7" x14ac:dyDescent="0.2">
      <c r="A714" s="38">
        <v>43132</v>
      </c>
      <c r="B714" s="28">
        <f>VLOOKUP(Table3[[#This Row],[Date]],'PCE Core'!$A:$E,2,)</f>
        <v>109.273</v>
      </c>
      <c r="C714" s="26">
        <f>VLOOKUP(Table3[[#This Row],[Date]],Database!$A:$E,5)</f>
        <v>255.47200000000001</v>
      </c>
      <c r="D714" s="26">
        <f>(((Table3[[#This Row],[Core PCE]]-$B$496)/$B$496)*100)+100</f>
        <v>136.94044814276404</v>
      </c>
      <c r="E714" s="26">
        <f>(((Table3[[#This Row],[Core CPI]]-$C$496)/$C$496)*100)+100</f>
        <v>142.96138780078346</v>
      </c>
      <c r="F714" s="27">
        <f>(Table3[[#This Row],[Core CPI]]-C702)/C702</f>
        <v>1.8210224668497456E-2</v>
      </c>
      <c r="G714" s="27">
        <f>VLOOKUP(Table3[[#This Row],[Date]],'PCE Core'!A:D,4,)</f>
        <v>1.7846996469722484E-2</v>
      </c>
    </row>
    <row r="715" spans="1:7" x14ac:dyDescent="0.2">
      <c r="A715" s="41">
        <v>43160</v>
      </c>
      <c r="B715" s="28">
        <f>VLOOKUP(Table3[[#This Row],[Date]],'PCE Core'!$A:$E,2,)</f>
        <v>109.542</v>
      </c>
      <c r="C715" s="28">
        <f>VLOOKUP(Table3[[#This Row],[Date]],Database!$A:$E,5)</f>
        <v>256.11700000000002</v>
      </c>
      <c r="D715" s="26">
        <f>(((Table3[[#This Row],[Core PCE]]-$B$496)/$B$496)*100)+100</f>
        <v>137.2775577723194</v>
      </c>
      <c r="E715" s="26">
        <f>(((Table3[[#This Row],[Core CPI]]-$C$496)/$C$496)*100)+100</f>
        <v>143.32232792389482</v>
      </c>
      <c r="F715" s="27">
        <f>(Table3[[#This Row],[Core CPI]]-C703)/C703</f>
        <v>2.105359677239314E-2</v>
      </c>
      <c r="G715" s="27">
        <f>VLOOKUP(Table3[[#This Row],[Date]],'PCE Core'!A:D,4,)</f>
        <v>2.0828091364030299E-2</v>
      </c>
    </row>
    <row r="716" spans="1:7" x14ac:dyDescent="0.2">
      <c r="A716" s="38">
        <v>43191</v>
      </c>
      <c r="B716" s="28">
        <f>VLOOKUP(Table3[[#This Row],[Date]],'PCE Core'!$A:$E,2,)</f>
        <v>109.752</v>
      </c>
      <c r="C716" s="28">
        <f>VLOOKUP(Table3[[#This Row],[Date]],Database!$A:$E,5)</f>
        <v>256.65600000000001</v>
      </c>
      <c r="D716" s="26">
        <f>(((Table3[[#This Row],[Core PCE]]-$B$496)/$B$496)*100)+100</f>
        <v>137.54072885858938</v>
      </c>
      <c r="E716" s="26">
        <f>(((Table3[[#This Row],[Core CPI]]-$C$496)/$C$496)*100)+100</f>
        <v>143.62395075545609</v>
      </c>
      <c r="F716" s="27">
        <f>(Table3[[#This Row],[Core CPI]]-C704)/C704</f>
        <v>2.1508286501201967E-2</v>
      </c>
      <c r="G716" s="27">
        <f>VLOOKUP(Table3[[#This Row],[Date]],'PCE Core'!A:D,4,)</f>
        <v>2.0123249091432906E-2</v>
      </c>
    </row>
    <row r="717" spans="1:7" x14ac:dyDescent="0.2">
      <c r="A717" s="41">
        <v>43221</v>
      </c>
      <c r="B717" s="28">
        <f>VLOOKUP(Table3[[#This Row],[Date]],'PCE Core'!$A:$E,2,)</f>
        <v>109.96899999999999</v>
      </c>
      <c r="C717" s="26">
        <f>VLOOKUP(Table3[[#This Row],[Date]],Database!$A:$E,5)</f>
        <v>257.15699999999998</v>
      </c>
      <c r="D717" s="26">
        <f>(((Table3[[#This Row],[Core PCE]]-$B$496)/$B$496)*100)+100</f>
        <v>137.81267231440171</v>
      </c>
      <c r="E717" s="26">
        <f>(((Table3[[#This Row],[Core CPI]]-$C$496)/$C$496)*100)+100</f>
        <v>143.90430889759372</v>
      </c>
      <c r="F717" s="27">
        <f>(Table3[[#This Row],[Core CPI]]-C705)/C705</f>
        <v>2.2541831021758423E-2</v>
      </c>
      <c r="G717" s="27">
        <f>VLOOKUP(Table3[[#This Row],[Date]],'PCE Core'!A:D,4,)</f>
        <v>2.1077261627313125E-2</v>
      </c>
    </row>
    <row r="718" spans="1:7" x14ac:dyDescent="0.2">
      <c r="A718" s="38">
        <v>43252</v>
      </c>
      <c r="B718" s="28">
        <f>VLOOKUP(Table3[[#This Row],[Date]],'PCE Core'!$A:$E,2,)</f>
        <v>110.10599999999999</v>
      </c>
      <c r="C718" s="28">
        <f>VLOOKUP(Table3[[#This Row],[Date]],Database!$A:$E,5)</f>
        <v>257.53399999999999</v>
      </c>
      <c r="D718" s="26">
        <f>(((Table3[[#This Row],[Core PCE]]-$B$496)/$B$496)*100)+100</f>
        <v>137.98436011830165</v>
      </c>
      <c r="E718" s="26">
        <f>(((Table3[[#This Row],[Core CPI]]-$C$496)/$C$496)*100)+100</f>
        <v>144.11527700055962</v>
      </c>
      <c r="F718" s="27">
        <f>(Table3[[#This Row],[Core CPI]]-C706)/C706</f>
        <v>2.2682688565732894E-2</v>
      </c>
      <c r="G718" s="27">
        <f>VLOOKUP(Table3[[#This Row],[Date]],'PCE Core'!A:D,4,)</f>
        <v>2.0671882531795669E-2</v>
      </c>
    </row>
    <row r="719" spans="1:7" x14ac:dyDescent="0.2">
      <c r="A719" s="41">
        <v>43282</v>
      </c>
      <c r="B719" s="28">
        <f>VLOOKUP(Table3[[#This Row],[Date]],'PCE Core'!$A:$E,2,)</f>
        <v>110.238</v>
      </c>
      <c r="C719" s="28">
        <f>VLOOKUP(Table3[[#This Row],[Date]],Database!$A:$E,5)</f>
        <v>257.93</v>
      </c>
      <c r="D719" s="26">
        <f>(((Table3[[#This Row],[Core PCE]]-$B$496)/$B$496)*100)+100</f>
        <v>138.14978194395707</v>
      </c>
      <c r="E719" s="26">
        <f>(((Table3[[#This Row],[Core CPI]]-$C$496)/$C$496)*100)+100</f>
        <v>144.33687744823729</v>
      </c>
      <c r="F719" s="27">
        <f>(Table3[[#This Row],[Core CPI]]-C707)/C707</f>
        <v>2.3340884834971293E-2</v>
      </c>
      <c r="G719" s="27">
        <f>VLOOKUP(Table3[[#This Row],[Date]],'PCE Core'!A:D,4,)</f>
        <v>2.1251760171940977E-2</v>
      </c>
    </row>
    <row r="720" spans="1:7" x14ac:dyDescent="0.2">
      <c r="A720" s="38">
        <v>43313</v>
      </c>
      <c r="B720" s="28">
        <f>VLOOKUP(Table3[[#This Row],[Date]],'PCE Core'!$A:$E,2,)</f>
        <v>110.247</v>
      </c>
      <c r="C720" s="26">
        <f>VLOOKUP(Table3[[#This Row],[Date]],Database!$A:$E,5)</f>
        <v>258.08</v>
      </c>
      <c r="D720" s="26">
        <f>(((Table3[[#This Row],[Core PCE]]-$B$496)/$B$496)*100)+100</f>
        <v>138.16106070479722</v>
      </c>
      <c r="E720" s="26">
        <f>(((Table3[[#This Row],[Core CPI]]-$C$496)/$C$496)*100)+100</f>
        <v>144.42081701175152</v>
      </c>
      <c r="F720" s="27">
        <f>(Table3[[#This Row],[Core CPI]]-C708)/C708</f>
        <v>2.1706512745598622E-2</v>
      </c>
      <c r="G720" s="27">
        <f>VLOOKUP(Table3[[#This Row],[Date]],'PCE Core'!A:D,4,)</f>
        <v>2.0257639415869187E-2</v>
      </c>
    </row>
    <row r="721" spans="1:14" x14ac:dyDescent="0.2">
      <c r="A721" s="41">
        <v>43344</v>
      </c>
      <c r="B721" s="28">
        <f>VLOOKUP(Table3[[#This Row],[Date]],'PCE Core'!$A:$E,2,)</f>
        <v>110.47499999999999</v>
      </c>
      <c r="C721" s="28">
        <f>VLOOKUP(Table3[[#This Row],[Date]],Database!$A:$E,5)</f>
        <v>258.53399999999999</v>
      </c>
      <c r="D721" s="26">
        <f>(((Table3[[#This Row],[Core PCE]]-$B$496)/$B$496)*100)+100</f>
        <v>138.44678931274748</v>
      </c>
      <c r="E721" s="26">
        <f>(((Table3[[#This Row],[Core CPI]]-$C$496)/$C$496)*100)+100</f>
        <v>144.67487409065473</v>
      </c>
      <c r="F721" s="27">
        <f>(Table3[[#This Row],[Core CPI]]-C709)/C709</f>
        <v>2.171602006014885E-2</v>
      </c>
      <c r="G721" s="27">
        <f>VLOOKUP(Table3[[#This Row],[Date]],'PCE Core'!A:D,4,)</f>
        <v>2.0394025880462175E-2</v>
      </c>
    </row>
    <row r="722" spans="1:14" x14ac:dyDescent="0.2">
      <c r="A722" s="38">
        <v>43374</v>
      </c>
      <c r="B722" s="28">
        <f>VLOOKUP(Table3[[#This Row],[Date]],'PCE Core'!$A:$E,2,)</f>
        <v>110.64100000000001</v>
      </c>
      <c r="C722" s="28">
        <f>VLOOKUP(Table3[[#This Row],[Date]],Database!$A:$E,5)</f>
        <v>258.98899999999998</v>
      </c>
      <c r="D722" s="26">
        <f>(((Table3[[#This Row],[Core PCE]]-$B$496)/$B$496)*100)+100</f>
        <v>138.65481979046569</v>
      </c>
      <c r="E722" s="26">
        <f>(((Table3[[#This Row],[Core CPI]]-$C$496)/$C$496)*100)+100</f>
        <v>144.929490766648</v>
      </c>
      <c r="F722" s="27">
        <f>(Table3[[#This Row],[Core CPI]]-C710)/C710</f>
        <v>2.1511822825250871E-2</v>
      </c>
      <c r="G722" s="27">
        <f>VLOOKUP(Table3[[#This Row],[Date]],'PCE Core'!A:D,4,)</f>
        <v>1.9300573028946243E-2</v>
      </c>
    </row>
    <row r="723" spans="1:14" x14ac:dyDescent="0.2">
      <c r="A723" s="41">
        <v>43405</v>
      </c>
      <c r="B723" s="28">
        <f>VLOOKUP(Table3[[#This Row],[Date]],'PCE Core'!$A:$E,2,)</f>
        <v>110.83799999999999</v>
      </c>
      <c r="C723" s="26">
        <f>VLOOKUP(Table3[[#This Row],[Date]],Database!$A:$E,5)</f>
        <v>259.41500000000002</v>
      </c>
      <c r="D723" s="26">
        <f>(((Table3[[#This Row],[Core PCE]]-$B$496)/$B$496)*100)+100</f>
        <v>138.90169933329989</v>
      </c>
      <c r="E723" s="26">
        <f>(((Table3[[#This Row],[Core CPI]]-$C$496)/$C$496)*100)+100</f>
        <v>145.16787912702856</v>
      </c>
      <c r="F723" s="27">
        <f>(Table3[[#This Row],[Core CPI]]-C711)/C711</f>
        <v>2.2349296929188554E-2</v>
      </c>
      <c r="G723" s="27">
        <f>VLOOKUP(Table3[[#This Row],[Date]],'PCE Core'!A:D,4,)</f>
        <v>2.059833703188732E-2</v>
      </c>
    </row>
    <row r="724" spans="1:14" x14ac:dyDescent="0.2">
      <c r="A724" s="38">
        <v>43435</v>
      </c>
      <c r="B724" s="28">
        <f>VLOOKUP(Table3[[#This Row],[Date]],'PCE Core'!$A:$E,2,)</f>
        <v>111.006</v>
      </c>
      <c r="C724" s="28">
        <f>VLOOKUP(Table3[[#This Row],[Date]],Database!$A:$E,5)</f>
        <v>259.87299999999999</v>
      </c>
      <c r="D724" s="26">
        <f>(((Table3[[#This Row],[Core PCE]]-$B$496)/$B$496)*100)+100</f>
        <v>139.1122362023159</v>
      </c>
      <c r="E724" s="26">
        <f>(((Table3[[#This Row],[Core CPI]]-$C$496)/$C$496)*100)+100</f>
        <v>145.42417459429211</v>
      </c>
      <c r="F724" s="27">
        <f>(Table3[[#This Row],[Core CPI]]-C712)/C712</f>
        <v>2.1882913632288399E-2</v>
      </c>
      <c r="G724" s="27">
        <f>VLOOKUP(Table3[[#This Row],[Date]],'PCE Core'!A:D,4,)</f>
        <v>2.0566521711149269E-2</v>
      </c>
    </row>
    <row r="725" spans="1:14" x14ac:dyDescent="0.2">
      <c r="A725" s="41">
        <v>43466</v>
      </c>
      <c r="B725" s="28">
        <f>VLOOKUP(Table3[[#This Row],[Date]],'PCE Core'!$A:$E,2,)</f>
        <v>111.06</v>
      </c>
      <c r="C725" s="28">
        <f>VLOOKUP(Table3[[#This Row],[Date]],Database!$A:$E,5)</f>
        <v>260.41899999999998</v>
      </c>
      <c r="D725" s="26">
        <f>(((Table3[[#This Row],[Core PCE]]-$B$496)/$B$496)*100)+100</f>
        <v>139.17990876735675</v>
      </c>
      <c r="E725" s="26">
        <f>(((Table3[[#This Row],[Core CPI]]-$C$496)/$C$496)*100)+100</f>
        <v>145.72971460548405</v>
      </c>
      <c r="F725" s="27">
        <f>(Table3[[#This Row],[Core CPI]]-C713)/C713</f>
        <v>2.1222946821067568E-2</v>
      </c>
      <c r="G725" s="27">
        <f>VLOOKUP(Table3[[#This Row],[Date]],'PCE Core'!A:D,4,)</f>
        <v>1.8338529249954154E-2</v>
      </c>
    </row>
    <row r="726" spans="1:14" x14ac:dyDescent="0.2">
      <c r="A726" s="38">
        <v>43497</v>
      </c>
      <c r="B726" s="28">
        <f>VLOOKUP(Table3[[#This Row],[Date]],'PCE Core'!$A:$E,2,)</f>
        <v>111.096</v>
      </c>
      <c r="C726" s="26">
        <f>VLOOKUP(Table3[[#This Row],[Date]],Database!$A:$E,5)</f>
        <v>260.72199999999998</v>
      </c>
      <c r="D726" s="26">
        <f>(((Table3[[#This Row],[Core PCE]]-$B$496)/$B$496)*100)+100</f>
        <v>139.22502381071732</v>
      </c>
      <c r="E726" s="26">
        <f>(((Table3[[#This Row],[Core CPI]]-$C$496)/$C$496)*100)+100</f>
        <v>145.89927252378288</v>
      </c>
      <c r="F726" s="27">
        <f>(Table3[[#This Row],[Core CPI]]-C714)/C714</f>
        <v>2.0550197281893796E-2</v>
      </c>
      <c r="G726" s="27">
        <f>VLOOKUP(Table3[[#This Row],[Date]],'PCE Core'!A:D,4,)</f>
        <v>1.6682986648119916E-2</v>
      </c>
      <c r="M726" s="17"/>
      <c r="N726" s="17"/>
    </row>
    <row r="727" spans="1:14" x14ac:dyDescent="0.2">
      <c r="A727" s="41">
        <v>43525</v>
      </c>
      <c r="B727" s="28">
        <f>VLOOKUP(Table3[[#This Row],[Date]],'PCE Core'!$A:$E,2,)</f>
        <v>111.254</v>
      </c>
      <c r="C727" s="28">
        <f>VLOOKUP(Table3[[#This Row],[Date]],Database!$A:$E,5)</f>
        <v>261.339</v>
      </c>
      <c r="D727" s="26">
        <f>(((Table3[[#This Row],[Core PCE]]-$B$496)/$B$496)*100)+100</f>
        <v>139.42302872324427</v>
      </c>
      <c r="E727" s="26">
        <f>(((Table3[[#This Row],[Core CPI]]-$C$496)/$C$496)*100)+100</f>
        <v>146.24454392837157</v>
      </c>
      <c r="F727" s="27">
        <f>(Table3[[#This Row],[Core CPI]]-C715)/C715</f>
        <v>2.0389119035440755E-2</v>
      </c>
      <c r="G727" s="27">
        <f>VLOOKUP(Table3[[#This Row],[Date]],'PCE Core'!A:D,4,)</f>
        <v>1.5628708623176529E-2</v>
      </c>
    </row>
    <row r="728" spans="1:14" x14ac:dyDescent="0.2">
      <c r="A728" s="38">
        <v>43556</v>
      </c>
      <c r="B728" s="28">
        <f>VLOOKUP(Table3[[#This Row],[Date]],'PCE Core'!$A:$E,2,)</f>
        <v>111.607</v>
      </c>
      <c r="C728" s="28">
        <f>VLOOKUP(Table3[[#This Row],[Date]],Database!$A:$E,5)</f>
        <v>262.05</v>
      </c>
      <c r="D728" s="26">
        <f>(((Table3[[#This Row],[Core PCE]]-$B$496)/$B$496)*100)+100</f>
        <v>139.86540678730762</v>
      </c>
      <c r="E728" s="26">
        <f>(((Table3[[#This Row],[Core CPI]]-$C$496)/$C$496)*100)+100</f>
        <v>146.64241745942923</v>
      </c>
      <c r="F728" s="27">
        <f>(Table3[[#This Row],[Core CPI]]-C716)/C716</f>
        <v>2.1016457826818796E-2</v>
      </c>
      <c r="G728" s="27">
        <f>VLOOKUP(Table3[[#This Row],[Date]],'PCE Core'!A:D,4,)</f>
        <v>1.6901742109483236E-2</v>
      </c>
    </row>
    <row r="729" spans="1:14" x14ac:dyDescent="0.2">
      <c r="A729" s="41">
        <v>43586</v>
      </c>
      <c r="B729" s="28">
        <f>VLOOKUP(Table3[[#This Row],[Date]],'PCE Core'!$A:$E,2,)</f>
        <v>111.744</v>
      </c>
      <c r="C729" s="26">
        <f>VLOOKUP(Table3[[#This Row],[Date]],Database!$A:$E,5)</f>
        <v>262.38400000000001</v>
      </c>
      <c r="D729" s="26">
        <f>(((Table3[[#This Row],[Core PCE]]-$B$496)/$B$496)*100)+100</f>
        <v>140.03709459120756</v>
      </c>
      <c r="E729" s="26">
        <f>(((Table3[[#This Row],[Core CPI]]-$C$496)/$C$496)*100)+100</f>
        <v>146.82932288752102</v>
      </c>
      <c r="F729" s="27">
        <f>(Table3[[#This Row],[Core CPI]]-C717)/C717</f>
        <v>2.0326104286486592E-2</v>
      </c>
      <c r="G729" s="27">
        <f>VLOOKUP(Table3[[#This Row],[Date]],'PCE Core'!A:D,4,)</f>
        <v>1.6140912438960122E-2</v>
      </c>
    </row>
    <row r="730" spans="1:14" x14ac:dyDescent="0.2">
      <c r="A730" s="38">
        <v>43617</v>
      </c>
      <c r="B730" s="28">
        <f>VLOOKUP(Table3[[#This Row],[Date]],'PCE Core'!$A:$E,2,)</f>
        <v>111.997</v>
      </c>
      <c r="C730" s="28">
        <f>VLOOKUP(Table3[[#This Row],[Date]],Database!$A:$E,5)</f>
        <v>263.11700000000002</v>
      </c>
      <c r="D730" s="26">
        <f>(((Table3[[#This Row],[Core PCE]]-$B$496)/$B$496)*100)+100</f>
        <v>140.35415309038046</v>
      </c>
      <c r="E730" s="26">
        <f>(((Table3[[#This Row],[Core CPI]]-$C$496)/$C$496)*100)+100</f>
        <v>147.23950755456073</v>
      </c>
      <c r="F730" s="27">
        <f>(Table3[[#This Row],[Core CPI]]-C718)/C718</f>
        <v>2.1678690968959542E-2</v>
      </c>
      <c r="G730" s="27">
        <f>VLOOKUP(Table3[[#This Row],[Date]],'PCE Core'!A:D,4,)</f>
        <v>1.7174359253810015E-2</v>
      </c>
    </row>
    <row r="731" spans="1:14" s="42" customFormat="1" x14ac:dyDescent="0.2">
      <c r="A731" s="41">
        <v>43647</v>
      </c>
      <c r="B731" s="28">
        <f>VLOOKUP(Table3[[#This Row],[Date]],'PCE Core'!$A:$E,2,)</f>
        <v>112.15</v>
      </c>
      <c r="C731" s="28">
        <f>VLOOKUP(Table3[[#This Row],[Date]],Database!$A:$E,5)</f>
        <v>263.61599999999999</v>
      </c>
      <c r="D731" s="26">
        <f>(((Table3[[#This Row],[Core PCE]]-$B$496)/$B$496)*100)+100</f>
        <v>140.54589202466289</v>
      </c>
      <c r="E731" s="26">
        <f>(((Table3[[#This Row],[Core CPI]]-$C$496)/$C$496)*100)+100</f>
        <v>147.51874650251818</v>
      </c>
      <c r="F731" s="27">
        <f>(Table3[[#This Row],[Core CPI]]-C719)/C719</f>
        <v>2.2044740821152941E-2</v>
      </c>
      <c r="G731" s="27">
        <f>VLOOKUP(Table3[[#This Row],[Date]],'PCE Core'!A:D,4,)</f>
        <v>1.7344291442152489E-2</v>
      </c>
    </row>
    <row r="732" spans="1:14" s="42" customFormat="1" x14ac:dyDescent="0.2">
      <c r="A732" s="38">
        <v>43678</v>
      </c>
      <c r="B732" s="28">
        <f>VLOOKUP(Table3[[#This Row],[Date]],'PCE Core'!$A:$E,2,)</f>
        <v>112.289</v>
      </c>
      <c r="C732" s="26">
        <f>VLOOKUP(Table3[[#This Row],[Date]],Database!$A:$E,5)</f>
        <v>264.15100000000001</v>
      </c>
      <c r="D732" s="26">
        <f>(((Table3[[#This Row],[Core PCE]]-$B$496)/$B$496)*100)+100</f>
        <v>140.72008621986063</v>
      </c>
      <c r="E732" s="26">
        <f>(((Table3[[#This Row],[Core CPI]]-$C$496)/$C$496)*100)+100</f>
        <v>147.8181309457191</v>
      </c>
      <c r="F732" s="27">
        <f>(Table3[[#This Row],[Core CPI]]-C720)/C720</f>
        <v>2.3523713577185471E-2</v>
      </c>
      <c r="G732" s="27">
        <f>VLOOKUP(Table3[[#This Row],[Date]],'PCE Core'!A:D,4,)</f>
        <v>1.852204595136377E-2</v>
      </c>
    </row>
    <row r="733" spans="1:14" s="42" customFormat="1" x14ac:dyDescent="0.2">
      <c r="A733" s="41">
        <v>43709</v>
      </c>
      <c r="B733" s="28">
        <f>VLOOKUP(Table3[[#This Row],[Date]],'PCE Core'!$A:$E,2,)</f>
        <v>112.367</v>
      </c>
      <c r="C733" s="28">
        <f>VLOOKUP(Table3[[#This Row],[Date]],Database!$A:$E,5)</f>
        <v>264.60300000000001</v>
      </c>
      <c r="D733" s="26">
        <f>(((Table3[[#This Row],[Core PCE]]-$B$496)/$B$496)*100)+100</f>
        <v>140.8178354804752</v>
      </c>
      <c r="E733" s="26">
        <f>(((Table3[[#This Row],[Core CPI]]-$C$496)/$C$496)*100)+100</f>
        <v>148.0710688304421</v>
      </c>
      <c r="F733" s="27">
        <f>(Table3[[#This Row],[Core CPI]]-C721)/C721</f>
        <v>2.3474668708951308E-2</v>
      </c>
      <c r="G733" s="27">
        <f>VLOOKUP(Table3[[#This Row],[Date]],'PCE Core'!A:D,4,)</f>
        <v>1.7126046616881739E-2</v>
      </c>
    </row>
    <row r="734" spans="1:14" s="42" customFormat="1" x14ac:dyDescent="0.2">
      <c r="A734" s="38">
        <v>43739</v>
      </c>
      <c r="B734" s="28">
        <f>VLOOKUP(Table3[[#This Row],[Date]],'PCE Core'!$A:$E,2,)</f>
        <v>112.54</v>
      </c>
      <c r="C734" s="28">
        <f>VLOOKUP(Table3[[#This Row],[Date]],Database!$A:$E,5)</f>
        <v>265.02600000000001</v>
      </c>
      <c r="D734" s="26">
        <f>(((Table3[[#This Row],[Core PCE]]-$B$496)/$B$496)*100)+100</f>
        <v>141.03463832773571</v>
      </c>
      <c r="E734" s="26">
        <f>(((Table3[[#This Row],[Core CPI]]-$C$496)/$C$496)*100)+100</f>
        <v>148.30777839955232</v>
      </c>
      <c r="F734" s="27">
        <f>(Table3[[#This Row],[Core CPI]]-C722)/C722</f>
        <v>2.3309870303372095E-2</v>
      </c>
      <c r="G734" s="27">
        <f>VLOOKUP(Table3[[#This Row],[Date]],'PCE Core'!A:D,4,)</f>
        <v>1.7163619273144682E-2</v>
      </c>
    </row>
    <row r="735" spans="1:14" s="42" customFormat="1" x14ac:dyDescent="0.2">
      <c r="A735" s="41">
        <v>43770</v>
      </c>
      <c r="B735" s="28">
        <f>VLOOKUP(Table3[[#This Row],[Date]],'PCE Core'!$A:$E,2,)</f>
        <v>112.57599999999999</v>
      </c>
      <c r="C735" s="26">
        <f>VLOOKUP(Table3[[#This Row],[Date]],Database!$A:$E,5)</f>
        <v>265.42700000000002</v>
      </c>
      <c r="D735" s="26">
        <f>(((Table3[[#This Row],[Core PCE]]-$B$496)/$B$496)*100)+100</f>
        <v>141.07975337109627</v>
      </c>
      <c r="E735" s="26">
        <f>(((Table3[[#This Row],[Core CPI]]-$C$496)/$C$496)*100)+100</f>
        <v>148.53217683268048</v>
      </c>
      <c r="F735" s="27">
        <f>(Table3[[#This Row],[Core CPI]]-C723)/C723</f>
        <v>2.3175221170711024E-2</v>
      </c>
      <c r="G735" s="27">
        <f>VLOOKUP(Table3[[#This Row],[Date]],'PCE Core'!A:D,4,)</f>
        <v>1.5680542774138832E-2</v>
      </c>
    </row>
    <row r="736" spans="1:14" s="42" customFormat="1" x14ac:dyDescent="0.2">
      <c r="A736" s="38">
        <v>43800</v>
      </c>
      <c r="B736" s="28">
        <f>VLOOKUP(Table3[[#This Row],[Date]],'PCE Core'!$A:$E,2,)</f>
        <v>112.824</v>
      </c>
      <c r="C736" s="28">
        <f>VLOOKUP(Table3[[#This Row],[Date]],Database!$A:$E,5)</f>
        <v>265.65100000000001</v>
      </c>
      <c r="D736" s="26">
        <f>(((Table3[[#This Row],[Core PCE]]-$B$496)/$B$496)*100)+100</f>
        <v>141.39054589202465</v>
      </c>
      <c r="E736" s="26">
        <f>(((Table3[[#This Row],[Core CPI]]-$C$496)/$C$496)*100)+100</f>
        <v>148.6575265808618</v>
      </c>
      <c r="F736" s="27">
        <f>(Table3[[#This Row],[Core CPI]]-C724)/C724</f>
        <v>2.2233937346319243E-2</v>
      </c>
      <c r="G736" s="27">
        <f>VLOOKUP(Table3[[#This Row],[Date]],'PCE Core'!A:D,4,)</f>
        <v>1.6377493108480603E-2</v>
      </c>
    </row>
    <row r="737" spans="1:7" s="42" customFormat="1" x14ac:dyDescent="0.2">
      <c r="A737" s="41">
        <v>43831</v>
      </c>
      <c r="B737" s="28">
        <f>VLOOKUP(Table3[[#This Row],[Date]],'PCE Core'!$A:$E,2,)</f>
        <v>113.04</v>
      </c>
      <c r="C737" s="28">
        <f>VLOOKUP(Table3[[#This Row],[Date]],Database!$A:$E,5)</f>
        <v>266.30599999999998</v>
      </c>
      <c r="D737" s="26">
        <f>(((Table3[[#This Row],[Core PCE]]-$B$496)/$B$496)*100)+100</f>
        <v>141.66123615218808</v>
      </c>
      <c r="E737" s="26">
        <f>(((Table3[[#This Row],[Core CPI]]-$C$496)/$C$496)*100)+100</f>
        <v>149.02406267487407</v>
      </c>
      <c r="F737" s="27">
        <f>(Table3[[#This Row],[Core CPI]]-C725)/C725</f>
        <v>2.260587745133804E-2</v>
      </c>
      <c r="G737" s="27">
        <f>VLOOKUP(Table3[[#This Row],[Date]],'PCE Core'!A:D,4,)</f>
        <v>1.7828200972447361E-2</v>
      </c>
    </row>
    <row r="738" spans="1:7" s="42" customFormat="1" x14ac:dyDescent="0.2">
      <c r="A738" s="38">
        <v>43862</v>
      </c>
      <c r="B738" s="28">
        <f>VLOOKUP(Table3[[#This Row],[Date]],'PCE Core'!$A:$E,2,)</f>
        <v>113.215</v>
      </c>
      <c r="C738" s="26">
        <f>VLOOKUP(Table3[[#This Row],[Date]],Database!$A:$E,5)</f>
        <v>266.87599999999998</v>
      </c>
      <c r="D738" s="26">
        <f>(((Table3[[#This Row],[Core PCE]]-$B$496)/$B$496)*100)+100</f>
        <v>141.88054539074639</v>
      </c>
      <c r="E738" s="26">
        <f>(((Table3[[#This Row],[Core CPI]]-$C$496)/$C$496)*100)+100</f>
        <v>149.3430330162283</v>
      </c>
      <c r="F738" s="27">
        <f>(Table3[[#This Row],[Core CPI]]-C726)/C726</f>
        <v>2.3603685151233868E-2</v>
      </c>
      <c r="G738" s="27">
        <f>VLOOKUP(Table3[[#This Row],[Date]],'PCE Core'!A:D,4,)</f>
        <v>1.9073594008785191E-2</v>
      </c>
    </row>
    <row r="739" spans="1:7" s="42" customFormat="1" x14ac:dyDescent="0.2">
      <c r="A739" s="41">
        <v>43891</v>
      </c>
      <c r="B739" s="28">
        <f>VLOOKUP(Table3[[#This Row],[Date]],'PCE Core'!$A:$E,2,)</f>
        <v>113.15</v>
      </c>
      <c r="C739" s="28">
        <f>VLOOKUP(Table3[[#This Row],[Date]],Database!$A:$E,5)</f>
        <v>266.82</v>
      </c>
      <c r="D739" s="26">
        <f>(((Table3[[#This Row],[Core PCE]]-$B$496)/$B$496)*100)+100</f>
        <v>141.79908767356758</v>
      </c>
      <c r="E739" s="26">
        <f>(((Table3[[#This Row],[Core CPI]]-$C$496)/$C$496)*100)+100</f>
        <v>149.31169557918298</v>
      </c>
      <c r="F739" s="27">
        <f>(Table3[[#This Row],[Core CPI]]-C727)/C727</f>
        <v>2.0972759519245099E-2</v>
      </c>
      <c r="G739" s="27">
        <f>VLOOKUP(Table3[[#This Row],[Date]],'PCE Core'!A:D,4,)</f>
        <v>1.7042083880130159E-2</v>
      </c>
    </row>
    <row r="740" spans="1:7" s="42" customFormat="1" x14ac:dyDescent="0.2">
      <c r="A740" s="38">
        <v>43922</v>
      </c>
      <c r="B740" s="28">
        <f>VLOOKUP(Table3[[#This Row],[Date]],'PCE Core'!$A:$E,2,)</f>
        <v>112.628</v>
      </c>
      <c r="C740" s="28">
        <f>VLOOKUP(Table3[[#This Row],[Date]],Database!$A:$E,5)</f>
        <v>265.83600000000001</v>
      </c>
      <c r="D740" s="26">
        <f>(((Table3[[#This Row],[Core PCE]]-$B$496)/$B$496)*100)+100</f>
        <v>141.14491954483933</v>
      </c>
      <c r="E740" s="26">
        <f>(((Table3[[#This Row],[Core CPI]]-$C$496)/$C$496)*100)+100</f>
        <v>148.7610520425294</v>
      </c>
      <c r="F740" s="27">
        <f>(Table3[[#This Row],[Core CPI]]-C728)/C728</f>
        <v>1.4447624499141391E-2</v>
      </c>
      <c r="G740" s="27">
        <f>VLOOKUP(Table3[[#This Row],[Date]],'PCE Core'!A:D,4,)</f>
        <v>9.1481717096597963E-3</v>
      </c>
    </row>
    <row r="741" spans="1:7" s="42" customFormat="1" x14ac:dyDescent="0.2">
      <c r="A741" s="41">
        <v>43952</v>
      </c>
      <c r="B741" s="28">
        <f>VLOOKUP(Table3[[#This Row],[Date]],'PCE Core'!$A:$E,2,)</f>
        <v>112.864</v>
      </c>
      <c r="C741" s="26">
        <f>VLOOKUP(Table3[[#This Row],[Date]],Database!$A:$E,5)</f>
        <v>265.637</v>
      </c>
      <c r="D741" s="26">
        <f>(((Table3[[#This Row],[Core PCE]]-$B$496)/$B$496)*100)+100</f>
        <v>141.44067371798084</v>
      </c>
      <c r="E741" s="26">
        <f>(((Table3[[#This Row],[Core CPI]]-$C$496)/$C$496)*100)+100</f>
        <v>148.64969222160045</v>
      </c>
      <c r="F741" s="27">
        <f>(Table3[[#This Row],[Core CPI]]-C729)/C729</f>
        <v>1.2397859625586871E-2</v>
      </c>
      <c r="G741" s="27">
        <f>VLOOKUP(Table3[[#This Row],[Date]],'PCE Core'!A:D,4,)</f>
        <v>1.0022909507445631E-2</v>
      </c>
    </row>
    <row r="742" spans="1:7" s="42" customFormat="1" x14ac:dyDescent="0.2">
      <c r="A742" s="38">
        <v>43983</v>
      </c>
      <c r="B742" s="28">
        <f>VLOOKUP(Table3[[#This Row],[Date]],'PCE Core'!$A:$E,2,)</f>
        <v>113.265</v>
      </c>
      <c r="C742" s="28">
        <f>VLOOKUP(Table3[[#This Row],[Date]],Database!$A:$E,5)</f>
        <v>266.28199999999998</v>
      </c>
      <c r="D742" s="26">
        <f>(((Table3[[#This Row],[Core PCE]]-$B$496)/$B$496)*100)+100</f>
        <v>141.94320517319164</v>
      </c>
      <c r="E742" s="26">
        <f>(((Table3[[#This Row],[Core CPI]]-$C$496)/$C$496)*100)+100</f>
        <v>149.01063234471181</v>
      </c>
      <c r="F742" s="27">
        <f>(Table3[[#This Row],[Core CPI]]-C730)/C730</f>
        <v>1.202886928628695E-2</v>
      </c>
      <c r="G742" s="27">
        <f>VLOOKUP(Table3[[#This Row],[Date]],'PCE Core'!A:D,4,)</f>
        <v>1.1321731832102652E-2</v>
      </c>
    </row>
    <row r="743" spans="1:7" s="42" customFormat="1" x14ac:dyDescent="0.2">
      <c r="A743" s="41">
        <v>44013</v>
      </c>
      <c r="B743" s="28">
        <f>VLOOKUP(Table3[[#This Row],[Date]],'PCE Core'!$A:$E,2,)</f>
        <v>113.61</v>
      </c>
      <c r="C743" s="28">
        <f>VLOOKUP(Table3[[#This Row],[Date]],Database!$A:$E,5)</f>
        <v>267.72199999999998</v>
      </c>
      <c r="D743" s="26">
        <f>(((Table3[[#This Row],[Core PCE]]-$B$496)/$B$496)*100)+100</f>
        <v>142.37555767206374</v>
      </c>
      <c r="E743" s="26">
        <f>(((Table3[[#This Row],[Core CPI]]-$C$496)/$C$496)*100)+100</f>
        <v>149.8164521544488</v>
      </c>
      <c r="F743" s="27">
        <f>(Table3[[#This Row],[Core CPI]]-C731)/C731</f>
        <v>1.5575685846079126E-2</v>
      </c>
      <c r="G743" s="27">
        <f>VLOOKUP(Table3[[#This Row],[Date]],'PCE Core'!A:D,4,)</f>
        <v>1.3018279090503734E-2</v>
      </c>
    </row>
    <row r="744" spans="1:7" s="42" customFormat="1" x14ac:dyDescent="0.2">
      <c r="A744" s="38">
        <v>44044</v>
      </c>
      <c r="B744" s="28">
        <f>VLOOKUP(Table3[[#This Row],[Date]],'PCE Core'!$A:$E,2,)</f>
        <v>113.971</v>
      </c>
      <c r="C744" s="26">
        <f>VLOOKUP(Table3[[#This Row],[Date]],Database!$A:$E,5)</f>
        <v>268.654</v>
      </c>
      <c r="D744" s="26">
        <f>(((Table3[[#This Row],[Core PCE]]-$B$496)/$B$496)*100)+100</f>
        <v>142.82796130131834</v>
      </c>
      <c r="E744" s="26">
        <f>(((Table3[[#This Row],[Core CPI]]-$C$496)/$C$496)*100)+100</f>
        <v>150.33799664241747</v>
      </c>
      <c r="F744" s="27">
        <f>(Table3[[#This Row],[Core CPI]]-C732)/C732</f>
        <v>1.7047067775628279E-2</v>
      </c>
      <c r="G744" s="27">
        <f>VLOOKUP(Table3[[#This Row],[Date]],'PCE Core'!A:D,4,)</f>
        <v>1.497920544309774E-2</v>
      </c>
    </row>
    <row r="745" spans="1:7" s="42" customFormat="1" x14ac:dyDescent="0.2">
      <c r="A745" s="41">
        <v>44075</v>
      </c>
      <c r="B745" s="28">
        <f>VLOOKUP(Table3[[#This Row],[Date]],'PCE Core'!$A:$E,2,)</f>
        <v>114.131</v>
      </c>
      <c r="C745" s="28">
        <f>VLOOKUP(Table3[[#This Row],[Date]],Database!$A:$E,5)</f>
        <v>269.15499999999997</v>
      </c>
      <c r="D745" s="26">
        <f>(((Table3[[#This Row],[Core PCE]]-$B$496)/$B$496)*100)+100</f>
        <v>143.02847260514309</v>
      </c>
      <c r="E745" s="26">
        <f>(((Table3[[#This Row],[Core CPI]]-$C$496)/$C$496)*100)+100</f>
        <v>150.61835478455512</v>
      </c>
      <c r="F745" s="27">
        <f>(Table3[[#This Row],[Core CPI]]-C733)/C733</f>
        <v>1.7203130727920561E-2</v>
      </c>
      <c r="G745" s="27">
        <f>VLOOKUP(Table3[[#This Row],[Date]],'PCE Core'!A:D,4,)</f>
        <v>1.569855918552596E-2</v>
      </c>
    </row>
    <row r="746" spans="1:7" s="42" customFormat="1" x14ac:dyDescent="0.2">
      <c r="A746" s="38">
        <v>44105</v>
      </c>
      <c r="B746" s="28">
        <f>VLOOKUP(Table3[[#This Row],[Date]],'PCE Core'!$A:$E,2,)</f>
        <v>114.137</v>
      </c>
      <c r="C746" s="28">
        <f>VLOOKUP(Table3[[#This Row],[Date]],Database!$A:$E,5)</f>
        <v>269.35000000000002</v>
      </c>
      <c r="D746" s="26">
        <f>(((Table3[[#This Row],[Core PCE]]-$B$496)/$B$496)*100)+100</f>
        <v>143.03599177903652</v>
      </c>
      <c r="E746" s="26">
        <f>(((Table3[[#This Row],[Core CPI]]-$C$496)/$C$496)*100)+100</f>
        <v>150.72747621712369</v>
      </c>
      <c r="F746" s="27">
        <f>(Table3[[#This Row],[Core CPI]]-C734)/C734</f>
        <v>1.6315380377774302E-2</v>
      </c>
      <c r="G746" s="27">
        <f>VLOOKUP(Table3[[#This Row],[Date]],'PCE Core'!A:D,4,)</f>
        <v>1.4190510040874304E-2</v>
      </c>
    </row>
    <row r="747" spans="1:7" s="42" customFormat="1" x14ac:dyDescent="0.2">
      <c r="A747" s="41">
        <v>44136</v>
      </c>
      <c r="B747" s="28">
        <f>VLOOKUP(Table3[[#This Row],[Date]],'PCE Core'!$A:$E,2,)</f>
        <v>114.134</v>
      </c>
      <c r="C747" s="26">
        <f>VLOOKUP(Table3[[#This Row],[Date]],Database!$A:$E,5)</f>
        <v>269.81900000000002</v>
      </c>
      <c r="D747" s="26">
        <f>(((Table3[[#This Row],[Core PCE]]-$B$496)/$B$496)*100)+100</f>
        <v>143.03223219208982</v>
      </c>
      <c r="E747" s="26">
        <f>(((Table3[[#This Row],[Core CPI]]-$C$496)/$C$496)*100)+100</f>
        <v>150.98992725237832</v>
      </c>
      <c r="F747" s="27">
        <f>(Table3[[#This Row],[Core CPI]]-C735)/C735</f>
        <v>1.6546922505999751E-2</v>
      </c>
      <c r="G747" s="27">
        <f>VLOOKUP(Table3[[#This Row],[Date]],'PCE Core'!A:D,4,)</f>
        <v>1.3839539511085906E-2</v>
      </c>
    </row>
    <row r="748" spans="1:7" s="42" customFormat="1" x14ac:dyDescent="0.2">
      <c r="A748" s="38">
        <v>44166</v>
      </c>
      <c r="B748" s="28">
        <f>VLOOKUP(Table3[[#This Row],[Date]],'PCE Core'!$A:$E,2,)</f>
        <v>114.494</v>
      </c>
      <c r="C748" s="28">
        <f>VLOOKUP(Table3[[#This Row],[Date]],Database!$A:$E,5)</f>
        <v>269.94</v>
      </c>
      <c r="D748" s="26">
        <f>(((Table3[[#This Row],[Core PCE]]-$B$496)/$B$496)*100)+100</f>
        <v>143.48338262569553</v>
      </c>
      <c r="E748" s="26">
        <f>(((Table3[[#This Row],[Core CPI]]-$C$496)/$C$496)*100)+100</f>
        <v>151.05763850027981</v>
      </c>
      <c r="F748" s="27">
        <f>(Table3[[#This Row],[Core CPI]]-C736)/C736</f>
        <v>1.614524319501898E-2</v>
      </c>
      <c r="G748" s="27">
        <f>VLOOKUP(Table3[[#This Row],[Date]],'PCE Core'!A:D,4,)</f>
        <v>1.4801815216620592E-2</v>
      </c>
    </row>
    <row r="749" spans="1:7" s="42" customFormat="1" x14ac:dyDescent="0.2">
      <c r="A749" s="41">
        <v>44197</v>
      </c>
      <c r="B749" s="28">
        <f>VLOOKUP(Table3[[#This Row],[Date]],'PCE Core'!$A:$E,2,)</f>
        <v>114.746</v>
      </c>
      <c r="C749" s="28">
        <f>VLOOKUP(Table3[[#This Row],[Date]],Database!$A:$E,5)</f>
        <v>270.02499999999998</v>
      </c>
      <c r="D749" s="26">
        <f>(((Table3[[#This Row],[Core PCE]]-$B$496)/$B$496)*100)+100</f>
        <v>143.7991879292195</v>
      </c>
      <c r="E749" s="26">
        <f>(((Table3[[#This Row],[Core CPI]]-$C$496)/$C$496)*100)+100</f>
        <v>151.10520425293788</v>
      </c>
      <c r="F749" s="27">
        <f>(Table3[[#This Row],[Core CPI]]-C737)/C737</f>
        <v>1.396513784894067E-2</v>
      </c>
      <c r="G749" s="27">
        <f>VLOOKUP(Table3[[#This Row],[Date]],'PCE Core'!A:D,4,)</f>
        <v>1.5092002830856235E-2</v>
      </c>
    </row>
    <row r="750" spans="1:7" s="42" customFormat="1" x14ac:dyDescent="0.2">
      <c r="A750" s="38">
        <v>44228</v>
      </c>
      <c r="B750" s="28">
        <f>VLOOKUP(Table3[[#This Row],[Date]],'PCE Core'!$A:$E,2,)</f>
        <v>114.899</v>
      </c>
      <c r="C750" s="26">
        <f>VLOOKUP(Table3[[#This Row],[Date]],Database!$A:$E,5)</f>
        <v>270.29899999999998</v>
      </c>
      <c r="D750" s="26">
        <f>(((Table3[[#This Row],[Core PCE]]-$B$496)/$B$496)*100)+100</f>
        <v>143.99092686350193</v>
      </c>
      <c r="E750" s="26">
        <f>(((Table3[[#This Row],[Core CPI]]-$C$496)/$C$496)*100)+100</f>
        <v>151.25853385562394</v>
      </c>
      <c r="F750" s="27">
        <f>(Table3[[#This Row],[Core CPI]]-C738)/C738</f>
        <v>1.2826181447563671E-2</v>
      </c>
      <c r="G750" s="27">
        <f>VLOOKUP(Table3[[#This Row],[Date]],'PCE Core'!A:D,4,)</f>
        <v>1.4874354105021397E-2</v>
      </c>
    </row>
    <row r="751" spans="1:7" s="42" customFormat="1" x14ac:dyDescent="0.2">
      <c r="A751" s="41">
        <v>44256</v>
      </c>
      <c r="B751" s="28">
        <f>VLOOKUP(Table3[[#This Row],[Date]],'PCE Core'!$A:$E,2,)</f>
        <v>115.383</v>
      </c>
      <c r="C751" s="28">
        <f>VLOOKUP(Table3[[#This Row],[Date]],Database!$A:$E,5)</f>
        <v>271.214</v>
      </c>
      <c r="D751" s="26">
        <f>(((Table3[[#This Row],[Core PCE]]-$B$496)/$B$496)*100)+100</f>
        <v>144.59747355757179</v>
      </c>
      <c r="E751" s="26">
        <f>(((Table3[[#This Row],[Core CPI]]-$C$496)/$C$496)*100)+100</f>
        <v>151.770565193061</v>
      </c>
      <c r="F751" s="27">
        <f>(Table3[[#This Row],[Core CPI]]-C739)/C739</f>
        <v>1.6468030882242732E-2</v>
      </c>
      <c r="G751" s="27">
        <f>VLOOKUP(Table3[[#This Row],[Date]],'PCE Core'!A:D,4,)</f>
        <v>1.9734865223155013E-2</v>
      </c>
    </row>
    <row r="752" spans="1:7" s="42" customFormat="1" x14ac:dyDescent="0.2">
      <c r="A752" s="38">
        <v>44287</v>
      </c>
      <c r="B752" s="28">
        <f>VLOOKUP(Table3[[#This Row],[Date]],'PCE Core'!$A:$E,2,)</f>
        <v>116.1</v>
      </c>
      <c r="C752" s="28">
        <f>VLOOKUP(Table3[[#This Row],[Date]],Database!$A:$E,5)</f>
        <v>273.7</v>
      </c>
      <c r="D752" s="26">
        <f>(((Table3[[#This Row],[Core PCE]]-$B$496)/$B$496)*100)+100</f>
        <v>145.49601483783647</v>
      </c>
      <c r="E752" s="26">
        <f>(((Table3[[#This Row],[Core CPI]]-$C$496)/$C$496)*100)+100</f>
        <v>153.16172355903751</v>
      </c>
      <c r="F752" s="27">
        <f>(Table3[[#This Row],[Core CPI]]-C740)/C740</f>
        <v>2.9582148392241742E-2</v>
      </c>
      <c r="G752" s="27">
        <f>VLOOKUP(Table3[[#This Row],[Date]],'PCE Core'!A:D,4,)</f>
        <v>3.0827147778527492E-2</v>
      </c>
    </row>
    <row r="753" spans="1:7" s="42" customFormat="1" x14ac:dyDescent="0.2">
      <c r="A753" s="41">
        <v>44317</v>
      </c>
      <c r="B753" s="28">
        <f>VLOOKUP(Table3[[#This Row],[Date]],'PCE Core'!$A:$E,2,)</f>
        <v>116.76600000000001</v>
      </c>
      <c r="C753" s="26">
        <f>VLOOKUP(Table3[[#This Row],[Date]],Database!$A:$E,5)</f>
        <v>275.71800000000002</v>
      </c>
      <c r="D753" s="26">
        <f>(((Table3[[#This Row],[Core PCE]]-$B$496)/$B$496)*100)+100</f>
        <v>146.330643140007</v>
      </c>
      <c r="E753" s="26">
        <f>(((Table3[[#This Row],[Core CPI]]-$C$496)/$C$496)*100)+100</f>
        <v>154.29099048684949</v>
      </c>
      <c r="F753" s="27">
        <f>(Table3[[#This Row],[Core CPI]]-C741)/C741</f>
        <v>3.7950285540041553E-2</v>
      </c>
      <c r="G753" s="27">
        <f>VLOOKUP(Table3[[#This Row],[Date]],'PCE Core'!A:D,4,)</f>
        <v>3.4572582931669982E-2</v>
      </c>
    </row>
    <row r="754" spans="1:7" s="42" customFormat="1" x14ac:dyDescent="0.2">
      <c r="A754" s="38">
        <v>44348</v>
      </c>
      <c r="B754" s="28">
        <f>VLOOKUP(Table3[[#This Row],[Date]],'PCE Core'!$A:$E,2,)</f>
        <v>117.327</v>
      </c>
      <c r="C754" s="28">
        <f>VLOOKUP(Table3[[#This Row],[Date]],Database!$A:$E,5)</f>
        <v>278.14</v>
      </c>
      <c r="D754" s="26">
        <f>(((Table3[[#This Row],[Core PCE]]-$B$496)/$B$496)*100)+100</f>
        <v>147.03368589904255</v>
      </c>
      <c r="E754" s="26">
        <f>(((Table3[[#This Row],[Core CPI]]-$C$496)/$C$496)*100)+100</f>
        <v>155.64633463905989</v>
      </c>
      <c r="F754" s="27">
        <f>(Table3[[#This Row],[Core CPI]]-C742)/C742</f>
        <v>4.4531737030666756E-2</v>
      </c>
      <c r="G754" s="27">
        <f>VLOOKUP(Table3[[#This Row],[Date]],'PCE Core'!A:D,4,)</f>
        <v>3.5862799629188168E-2</v>
      </c>
    </row>
    <row r="755" spans="1:7" s="42" customFormat="1" x14ac:dyDescent="0.2">
      <c r="A755" s="38">
        <v>44378</v>
      </c>
      <c r="B755" s="28">
        <f>VLOOKUP(Table3[[#This Row],[Date]],'PCE Core'!$A:$E,2,)</f>
        <v>117.70399999999999</v>
      </c>
      <c r="C755" s="26">
        <f>VLOOKUP(Table3[[#This Row],[Date]],Database!$A:$E,5)</f>
        <v>279.05399999999997</v>
      </c>
      <c r="D755" s="26">
        <f>(((Table3[[#This Row],[Core PCE]]-$B$496)/$B$496)*100)+100</f>
        <v>147.50614065867961</v>
      </c>
      <c r="E755" s="26">
        <f>(((Table3[[#This Row],[Core CPI]]-$C$496)/$C$496)*100)+100</f>
        <v>156.15780637940682</v>
      </c>
      <c r="F755" s="27">
        <f>(Table3[[#This Row],[Core CPI]]-C743)/C743</f>
        <v>4.2327488962431159E-2</v>
      </c>
      <c r="G755" s="27">
        <f>VLOOKUP(Table3[[#This Row],[Date]],'PCE Core'!A:D,4,)</f>
        <v>3.6035560249977942E-2</v>
      </c>
    </row>
    <row r="756" spans="1:7" s="42" customFormat="1" x14ac:dyDescent="0.2">
      <c r="A756" s="41">
        <v>44409</v>
      </c>
      <c r="B756" s="28">
        <f>VLOOKUP(Table3[[#This Row],[Date]],'PCE Core'!$A:$E,2,)</f>
        <v>118.07299999999999</v>
      </c>
      <c r="C756" s="28">
        <f>VLOOKUP(Table3[[#This Row],[Date]],Database!$A:$E,5)</f>
        <v>279.33800000000002</v>
      </c>
      <c r="D756" s="26">
        <f>(((Table3[[#This Row],[Core PCE]]-$B$496)/$B$496)*100)+100</f>
        <v>147.96856985312544</v>
      </c>
      <c r="E756" s="26">
        <f>(((Table3[[#This Row],[Core CPI]]-$C$496)/$C$496)*100)+100</f>
        <v>156.31673195299388</v>
      </c>
      <c r="F756" s="27">
        <f>(Table3[[#This Row],[Core CPI]]-C744)/C744</f>
        <v>3.9768624327201629E-2</v>
      </c>
      <c r="G756" s="27">
        <f>VLOOKUP(Table3[[#This Row],[Date]],'PCE Core'!A:D,4,)</f>
        <v>3.5991611901273042E-2</v>
      </c>
    </row>
    <row r="757" spans="1:7" s="42" customFormat="1" x14ac:dyDescent="0.2">
      <c r="A757" s="38">
        <v>44440</v>
      </c>
      <c r="B757" s="28">
        <f>VLOOKUP(Table3[[#This Row],[Date]],'PCE Core'!$A:$E,2,)</f>
        <v>118.357</v>
      </c>
      <c r="C757" s="28">
        <f>VLOOKUP(Table3[[#This Row],[Date]],Database!$A:$E,5)</f>
        <v>280.017</v>
      </c>
      <c r="D757" s="26">
        <f>(((Table3[[#This Row],[Core PCE]]-$B$496)/$B$496)*100)+100</f>
        <v>148.32447741741441</v>
      </c>
      <c r="E757" s="26">
        <f>(((Table3[[#This Row],[Core CPI]]-$C$496)/$C$496)*100)+100</f>
        <v>156.69669837716845</v>
      </c>
      <c r="F757" s="27">
        <f>(Table3[[#This Row],[Core CPI]]-C745)/C745</f>
        <v>4.0355928739945472E-2</v>
      </c>
      <c r="G757" s="27">
        <f>VLOOKUP(Table3[[#This Row],[Date]],'PCE Core'!A:D,4,)</f>
        <v>3.7027626148899061E-2</v>
      </c>
    </row>
    <row r="758" spans="1:7" s="42" customFormat="1" x14ac:dyDescent="0.2">
      <c r="A758" s="41">
        <v>44470</v>
      </c>
      <c r="B758" s="28">
        <f>VLOOKUP(Table3[[#This Row],[Date]],'PCE Core'!$A:$E,2,)</f>
        <v>118.92100000000001</v>
      </c>
      <c r="C758" s="26">
        <f>VLOOKUP(Table3[[#This Row],[Date]],Database!$A:$E,5)</f>
        <v>281.69499999999999</v>
      </c>
      <c r="D758" s="26">
        <f>(((Table3[[#This Row],[Core PCE]]-$B$496)/$B$496)*100)+100</f>
        <v>149.03127976339664</v>
      </c>
      <c r="E758" s="26">
        <f>(((Table3[[#This Row],[Core CPI]]-$C$496)/$C$496)*100)+100</f>
        <v>157.63570229434808</v>
      </c>
      <c r="F758" s="27">
        <f>(Table3[[#This Row],[Core CPI]]-C746)/C746</f>
        <v>4.5832559866344789E-2</v>
      </c>
      <c r="G758" s="27">
        <f>VLOOKUP(Table3[[#This Row],[Date]],'PCE Core'!A:D,4,)</f>
        <v>4.1914541296862597E-2</v>
      </c>
    </row>
    <row r="759" spans="1:7" s="42" customFormat="1" x14ac:dyDescent="0.2">
      <c r="A759" s="12"/>
      <c r="B759" s="12"/>
      <c r="C759" s="12"/>
      <c r="D759" s="12"/>
      <c r="E759" s="12"/>
      <c r="F759" s="12"/>
      <c r="G759" s="12"/>
    </row>
    <row r="760" spans="1:7" s="42" customFormat="1" x14ac:dyDescent="0.2">
      <c r="A760" s="12"/>
      <c r="B760" s="12"/>
      <c r="C760" s="12"/>
      <c r="D760" s="12"/>
      <c r="E760" s="12"/>
      <c r="F760" s="12"/>
      <c r="G760" s="12"/>
    </row>
    <row r="761" spans="1:7" s="42" customFormat="1" x14ac:dyDescent="0.2">
      <c r="A761" s="12"/>
      <c r="B761" s="12"/>
      <c r="C761" s="12"/>
      <c r="D761" s="12"/>
      <c r="E761" s="12"/>
      <c r="F761" s="12"/>
      <c r="G761" s="12"/>
    </row>
    <row r="762" spans="1:7" s="42" customFormat="1" x14ac:dyDescent="0.2">
      <c r="A762" s="12"/>
      <c r="B762" s="12"/>
      <c r="C762" s="12"/>
      <c r="D762" s="12"/>
      <c r="E762" s="12"/>
      <c r="F762" s="12"/>
      <c r="G762" s="12"/>
    </row>
    <row r="763" spans="1:7" s="42" customFormat="1" x14ac:dyDescent="0.2">
      <c r="A763" s="12"/>
      <c r="B763" s="12"/>
      <c r="C763" s="12"/>
      <c r="D763" s="12"/>
      <c r="E763" s="12"/>
      <c r="F763" s="12"/>
      <c r="G763" s="12"/>
    </row>
    <row r="764" spans="1:7" s="42" customFormat="1" x14ac:dyDescent="0.2">
      <c r="A764" s="12"/>
      <c r="B764" s="12"/>
      <c r="C764" s="12"/>
      <c r="D764" s="12"/>
      <c r="E764" s="12"/>
      <c r="F764" s="12"/>
      <c r="G764" s="12"/>
    </row>
    <row r="765" spans="1:7" s="42" customFormat="1" x14ac:dyDescent="0.2">
      <c r="A765" s="12"/>
      <c r="B765" s="12"/>
      <c r="C765" s="12"/>
      <c r="D765" s="12"/>
      <c r="E765" s="12"/>
      <c r="F765" s="12"/>
      <c r="G765" s="12"/>
    </row>
    <row r="766" spans="1:7" s="42" customFormat="1" x14ac:dyDescent="0.2">
      <c r="A766" s="12"/>
      <c r="B766" s="12"/>
      <c r="C766" s="12"/>
      <c r="D766" s="12"/>
      <c r="E766" s="12"/>
      <c r="F766" s="12"/>
      <c r="G766" s="12"/>
    </row>
    <row r="767" spans="1:7" s="42" customFormat="1" x14ac:dyDescent="0.2">
      <c r="A767" s="12"/>
      <c r="B767" s="12"/>
      <c r="C767" s="12"/>
      <c r="D767" s="12"/>
      <c r="E767" s="12"/>
      <c r="F767" s="12"/>
      <c r="G767" s="12"/>
    </row>
    <row r="768" spans="1:7" s="42" customFormat="1" x14ac:dyDescent="0.2">
      <c r="A768" s="12"/>
      <c r="B768" s="12"/>
      <c r="C768" s="12"/>
      <c r="D768" s="12"/>
      <c r="E768" s="12"/>
      <c r="F768" s="12"/>
      <c r="G768" s="12"/>
    </row>
    <row r="769" spans="1:7" s="42" customFormat="1" x14ac:dyDescent="0.2">
      <c r="A769" s="12"/>
      <c r="B769" s="12"/>
      <c r="C769" s="12"/>
      <c r="D769" s="12"/>
      <c r="E769" s="12"/>
      <c r="F769" s="12"/>
      <c r="G769" s="12"/>
    </row>
    <row r="770" spans="1:7" s="42" customFormat="1" x14ac:dyDescent="0.2">
      <c r="A770" s="12"/>
      <c r="B770" s="12"/>
      <c r="C770" s="12"/>
      <c r="D770" s="12"/>
      <c r="E770" s="12"/>
      <c r="F770" s="12"/>
      <c r="G770" s="12"/>
    </row>
    <row r="771" spans="1:7" s="42" customFormat="1" x14ac:dyDescent="0.2">
      <c r="A771" s="12"/>
      <c r="B771" s="12"/>
      <c r="C771" s="12"/>
      <c r="D771" s="12"/>
      <c r="E771" s="12"/>
      <c r="F771" s="12"/>
      <c r="G771" s="12"/>
    </row>
    <row r="772" spans="1:7" s="42" customFormat="1" x14ac:dyDescent="0.2">
      <c r="A772" s="12"/>
      <c r="B772" s="12"/>
      <c r="C772" s="12"/>
      <c r="D772" s="12"/>
      <c r="E772" s="12"/>
      <c r="F772" s="12"/>
      <c r="G772" s="12"/>
    </row>
    <row r="773" spans="1:7" s="42" customFormat="1" x14ac:dyDescent="0.2">
      <c r="A773" s="12"/>
      <c r="B773" s="12"/>
      <c r="C773" s="12"/>
      <c r="D773" s="12"/>
      <c r="E773" s="12"/>
      <c r="F773" s="12"/>
      <c r="G773" s="12"/>
    </row>
    <row r="774" spans="1:7" s="42" customFormat="1" x14ac:dyDescent="0.2">
      <c r="A774" s="12"/>
      <c r="B774" s="12"/>
      <c r="C774" s="12"/>
      <c r="D774" s="12"/>
      <c r="E774" s="12"/>
      <c r="F774" s="12"/>
      <c r="G774" s="12"/>
    </row>
    <row r="775" spans="1:7" s="42" customFormat="1" x14ac:dyDescent="0.2">
      <c r="A775" s="12"/>
      <c r="B775" s="12"/>
      <c r="C775" s="12"/>
      <c r="D775" s="12"/>
      <c r="E775" s="12"/>
      <c r="F775" s="12"/>
      <c r="G775" s="12"/>
    </row>
    <row r="776" spans="1:7" s="42" customFormat="1" x14ac:dyDescent="0.2">
      <c r="A776" s="12"/>
      <c r="B776" s="12"/>
      <c r="C776" s="12"/>
      <c r="D776" s="12"/>
      <c r="E776" s="12"/>
      <c r="F776" s="12"/>
      <c r="G776" s="12"/>
    </row>
    <row r="777" spans="1:7" s="42" customFormat="1" x14ac:dyDescent="0.2">
      <c r="A777" s="12"/>
      <c r="B777" s="12"/>
      <c r="C777" s="12"/>
      <c r="D777" s="12"/>
      <c r="E777" s="12"/>
      <c r="F777" s="12"/>
      <c r="G777" s="12"/>
    </row>
    <row r="778" spans="1:7" s="42" customFormat="1" x14ac:dyDescent="0.2">
      <c r="A778" s="12"/>
      <c r="B778" s="12"/>
      <c r="C778" s="12"/>
      <c r="D778" s="12"/>
      <c r="E778" s="12"/>
      <c r="F778" s="12"/>
      <c r="G778" s="12"/>
    </row>
    <row r="779" spans="1:7" s="42" customFormat="1" x14ac:dyDescent="0.2">
      <c r="A779" s="12"/>
      <c r="B779" s="12"/>
      <c r="C779" s="12"/>
      <c r="D779" s="12"/>
      <c r="E779" s="12"/>
      <c r="F779" s="12"/>
      <c r="G779" s="12"/>
    </row>
    <row r="780" spans="1:7" s="42" customFormat="1" x14ac:dyDescent="0.2">
      <c r="A780" s="12"/>
      <c r="B780" s="12"/>
      <c r="C780" s="12"/>
      <c r="D780" s="12"/>
      <c r="E780" s="12"/>
      <c r="F780" s="12"/>
      <c r="G780" s="12"/>
    </row>
    <row r="781" spans="1:7" s="42" customFormat="1" x14ac:dyDescent="0.2">
      <c r="A781" s="12"/>
      <c r="B781" s="12"/>
      <c r="C781" s="12"/>
      <c r="D781" s="12"/>
      <c r="E781" s="12"/>
      <c r="F781" s="12"/>
      <c r="G781" s="12"/>
    </row>
    <row r="782" spans="1:7" s="42" customFormat="1" x14ac:dyDescent="0.2">
      <c r="A782" s="12"/>
      <c r="B782" s="12"/>
      <c r="C782" s="12"/>
      <c r="D782" s="12"/>
      <c r="E782" s="12"/>
      <c r="F782" s="12"/>
      <c r="G782" s="12"/>
    </row>
    <row r="783" spans="1:7" s="42" customFormat="1" x14ac:dyDescent="0.2">
      <c r="A783" s="12"/>
      <c r="B783" s="12"/>
      <c r="C783" s="12"/>
      <c r="D783" s="12"/>
      <c r="E783" s="12"/>
      <c r="F783" s="12"/>
      <c r="G783" s="12"/>
    </row>
    <row r="784" spans="1:7" s="42" customFormat="1" x14ac:dyDescent="0.2">
      <c r="A784" s="12"/>
      <c r="B784" s="12"/>
      <c r="C784" s="12"/>
      <c r="D784" s="12"/>
      <c r="E784" s="12"/>
      <c r="F784" s="12"/>
      <c r="G784" s="12"/>
    </row>
    <row r="785" spans="1:7" s="42" customFormat="1" x14ac:dyDescent="0.2">
      <c r="A785" s="12"/>
      <c r="B785" s="12"/>
      <c r="C785" s="12"/>
      <c r="D785" s="12"/>
      <c r="E785" s="12"/>
      <c r="F785" s="12"/>
      <c r="G785" s="12"/>
    </row>
    <row r="786" spans="1:7" s="42" customFormat="1" x14ac:dyDescent="0.2">
      <c r="A786" s="12"/>
      <c r="B786" s="12"/>
      <c r="C786" s="12"/>
      <c r="D786" s="12"/>
      <c r="E786" s="12"/>
      <c r="F786" s="12"/>
      <c r="G786" s="12"/>
    </row>
    <row r="787" spans="1:7" s="42" customFormat="1" x14ac:dyDescent="0.2">
      <c r="A787" s="12"/>
      <c r="B787" s="12"/>
      <c r="C787" s="12"/>
      <c r="D787" s="12"/>
      <c r="E787" s="12"/>
      <c r="F787" s="12"/>
      <c r="G787" s="12"/>
    </row>
    <row r="788" spans="1:7" s="42" customFormat="1" x14ac:dyDescent="0.2">
      <c r="A788" s="12"/>
      <c r="B788" s="12"/>
      <c r="C788" s="12"/>
      <c r="D788" s="12"/>
      <c r="E788" s="12"/>
      <c r="F788" s="12"/>
      <c r="G788" s="12"/>
    </row>
    <row r="789" spans="1:7" s="42" customFormat="1" x14ac:dyDescent="0.2">
      <c r="A789" s="12"/>
      <c r="B789" s="12"/>
      <c r="C789" s="12"/>
      <c r="D789" s="12"/>
      <c r="E789" s="12"/>
      <c r="F789" s="12"/>
      <c r="G789" s="12"/>
    </row>
    <row r="790" spans="1:7" s="42" customFormat="1" x14ac:dyDescent="0.2">
      <c r="A790" s="12"/>
      <c r="B790" s="12"/>
      <c r="C790" s="12"/>
      <c r="D790" s="12"/>
      <c r="E790" s="12"/>
      <c r="F790" s="12"/>
      <c r="G790" s="12"/>
    </row>
    <row r="791" spans="1:7" s="42" customFormat="1" x14ac:dyDescent="0.2">
      <c r="A791" s="12"/>
      <c r="B791" s="12"/>
      <c r="C791" s="12"/>
      <c r="D791" s="12"/>
      <c r="E791" s="12"/>
      <c r="F791" s="12"/>
      <c r="G791" s="12"/>
    </row>
    <row r="792" spans="1:7" s="42" customFormat="1" x14ac:dyDescent="0.2">
      <c r="A792" s="12"/>
      <c r="B792" s="12"/>
      <c r="C792" s="12"/>
      <c r="D792" s="12"/>
      <c r="E792" s="12"/>
      <c r="F792" s="12"/>
      <c r="G792" s="12"/>
    </row>
    <row r="793" spans="1:7" s="42" customFormat="1" x14ac:dyDescent="0.2">
      <c r="A793" s="12"/>
      <c r="B793" s="12"/>
      <c r="C793" s="12"/>
      <c r="D793" s="12"/>
      <c r="E793" s="12"/>
      <c r="F793" s="12"/>
      <c r="G793" s="12"/>
    </row>
    <row r="794" spans="1:7" s="42" customFormat="1" x14ac:dyDescent="0.2">
      <c r="A794" s="12"/>
      <c r="B794" s="12"/>
      <c r="C794" s="12"/>
      <c r="D794" s="12"/>
      <c r="E794" s="12"/>
      <c r="F794" s="12"/>
      <c r="G794" s="12"/>
    </row>
    <row r="795" spans="1:7" s="42" customFormat="1" x14ac:dyDescent="0.2">
      <c r="A795" s="12"/>
      <c r="B795" s="12"/>
      <c r="C795" s="12"/>
      <c r="D795" s="12"/>
      <c r="E795" s="12"/>
      <c r="F795" s="12"/>
      <c r="G795" s="12"/>
    </row>
    <row r="796" spans="1:7" s="42" customFormat="1" x14ac:dyDescent="0.2">
      <c r="A796" s="12"/>
      <c r="B796" s="12"/>
      <c r="C796" s="12"/>
      <c r="D796" s="12"/>
      <c r="E796" s="12"/>
      <c r="F796" s="12"/>
      <c r="G796" s="12"/>
    </row>
    <row r="797" spans="1:7" s="42" customFormat="1" x14ac:dyDescent="0.2">
      <c r="A797" s="12"/>
      <c r="B797" s="12"/>
      <c r="C797" s="12"/>
      <c r="D797" s="12"/>
      <c r="E797" s="12"/>
      <c r="F797" s="12"/>
      <c r="G797" s="12"/>
    </row>
    <row r="798" spans="1:7" s="42" customFormat="1" x14ac:dyDescent="0.2">
      <c r="A798" s="12"/>
      <c r="B798" s="12"/>
      <c r="C798" s="12"/>
      <c r="D798" s="12"/>
      <c r="E798" s="12"/>
      <c r="F798" s="12"/>
      <c r="G798" s="12"/>
    </row>
    <row r="799" spans="1:7" s="42" customFormat="1" x14ac:dyDescent="0.2">
      <c r="A799" s="12"/>
      <c r="B799" s="12"/>
      <c r="C799" s="12"/>
      <c r="D799" s="12"/>
      <c r="E799" s="12"/>
      <c r="F799" s="12"/>
      <c r="G799" s="12"/>
    </row>
    <row r="800" spans="1:7" s="42" customFormat="1" x14ac:dyDescent="0.2">
      <c r="A800" s="12"/>
      <c r="B800" s="12"/>
      <c r="C800" s="12"/>
      <c r="D800" s="12"/>
      <c r="E800" s="12"/>
      <c r="F800" s="12"/>
      <c r="G800" s="12"/>
    </row>
    <row r="801" spans="1:7" s="42" customFormat="1" x14ac:dyDescent="0.2">
      <c r="A801" s="12"/>
      <c r="B801" s="12"/>
      <c r="C801" s="12"/>
      <c r="D801" s="12"/>
      <c r="E801" s="12"/>
      <c r="F801" s="12"/>
      <c r="G801" s="12"/>
    </row>
    <row r="802" spans="1:7" s="42" customFormat="1" x14ac:dyDescent="0.2">
      <c r="A802" s="12"/>
      <c r="B802" s="12"/>
      <c r="C802" s="12"/>
      <c r="D802" s="12"/>
      <c r="E802" s="12"/>
      <c r="F802" s="12"/>
      <c r="G802" s="12"/>
    </row>
    <row r="803" spans="1:7" s="42" customFormat="1" x14ac:dyDescent="0.2">
      <c r="A803" s="12"/>
      <c r="B803" s="12"/>
      <c r="C803" s="12"/>
      <c r="D803" s="12"/>
      <c r="E803" s="12"/>
      <c r="F803" s="12"/>
      <c r="G803" s="12"/>
    </row>
    <row r="804" spans="1:7" s="42" customFormat="1" x14ac:dyDescent="0.2">
      <c r="A804" s="12"/>
      <c r="B804" s="12"/>
      <c r="C804" s="12"/>
      <c r="D804" s="12"/>
      <c r="E804" s="12"/>
      <c r="F804" s="12"/>
      <c r="G804" s="12"/>
    </row>
    <row r="805" spans="1:7" s="42" customFormat="1" x14ac:dyDescent="0.2">
      <c r="A805" s="12"/>
      <c r="B805" s="12"/>
      <c r="C805" s="12"/>
      <c r="D805" s="12"/>
      <c r="E805" s="12"/>
      <c r="F805" s="12"/>
      <c r="G805" s="12"/>
    </row>
    <row r="806" spans="1:7" s="42" customFormat="1" x14ac:dyDescent="0.2">
      <c r="A806" s="12"/>
      <c r="B806" s="12"/>
      <c r="C806" s="12"/>
      <c r="D806" s="12"/>
      <c r="E806" s="12"/>
      <c r="F806" s="12"/>
      <c r="G806" s="12"/>
    </row>
    <row r="807" spans="1:7" s="42" customFormat="1" x14ac:dyDescent="0.2">
      <c r="A807" s="12"/>
      <c r="B807" s="12"/>
      <c r="C807" s="12"/>
      <c r="D807" s="12"/>
      <c r="E807" s="12"/>
      <c r="F807" s="12"/>
      <c r="G807" s="12"/>
    </row>
    <row r="808" spans="1:7" s="42" customFormat="1" x14ac:dyDescent="0.2">
      <c r="A808" s="12"/>
      <c r="B808" s="12"/>
      <c r="C808" s="12"/>
      <c r="D808" s="12"/>
      <c r="E808" s="12"/>
      <c r="F808" s="12"/>
      <c r="G808" s="12"/>
    </row>
    <row r="809" spans="1:7" s="42" customFormat="1" x14ac:dyDescent="0.2">
      <c r="A809" s="12"/>
      <c r="B809" s="12"/>
      <c r="C809" s="12"/>
      <c r="D809" s="12"/>
      <c r="E809" s="12"/>
      <c r="F809" s="12"/>
      <c r="G809" s="12"/>
    </row>
    <row r="810" spans="1:7" s="42" customFormat="1" x14ac:dyDescent="0.2">
      <c r="A810" s="12"/>
      <c r="B810" s="12"/>
      <c r="C810" s="12"/>
      <c r="D810" s="12"/>
      <c r="E810" s="12"/>
      <c r="F810" s="12"/>
      <c r="G810" s="12"/>
    </row>
    <row r="811" spans="1:7" s="42" customFormat="1" x14ac:dyDescent="0.2">
      <c r="A811" s="12"/>
      <c r="B811" s="12"/>
      <c r="C811" s="12"/>
      <c r="D811" s="12"/>
      <c r="E811" s="12"/>
      <c r="F811" s="12"/>
      <c r="G811" s="12"/>
    </row>
    <row r="812" spans="1:7" s="42" customFormat="1" x14ac:dyDescent="0.2">
      <c r="A812" s="12"/>
      <c r="B812" s="12"/>
      <c r="C812" s="12"/>
      <c r="D812" s="12"/>
      <c r="E812" s="12"/>
      <c r="F812" s="12"/>
      <c r="G812" s="12"/>
    </row>
    <row r="813" spans="1:7" s="42" customFormat="1" x14ac:dyDescent="0.2">
      <c r="A813" s="12"/>
      <c r="B813" s="12"/>
      <c r="C813" s="12"/>
      <c r="D813" s="12"/>
      <c r="E813" s="12"/>
      <c r="F813" s="12"/>
      <c r="G813" s="12"/>
    </row>
    <row r="814" spans="1:7" s="42" customFormat="1" x14ac:dyDescent="0.2">
      <c r="A814" s="12"/>
      <c r="B814" s="12"/>
      <c r="C814" s="12"/>
      <c r="D814" s="12"/>
      <c r="E814" s="12"/>
      <c r="F814" s="12"/>
      <c r="G814" s="12"/>
    </row>
    <row r="815" spans="1:7" s="42" customFormat="1" x14ac:dyDescent="0.2">
      <c r="A815" s="12"/>
      <c r="B815" s="12"/>
      <c r="C815" s="12"/>
      <c r="D815" s="12"/>
      <c r="E815" s="12"/>
      <c r="F815" s="12"/>
      <c r="G815" s="12"/>
    </row>
    <row r="816" spans="1:7" s="42" customFormat="1" x14ac:dyDescent="0.2">
      <c r="A816" s="12"/>
      <c r="B816" s="12"/>
      <c r="C816" s="12"/>
      <c r="D816" s="12"/>
      <c r="E816" s="12"/>
      <c r="F816" s="12"/>
      <c r="G816" s="12"/>
    </row>
    <row r="817" spans="1:7" s="42" customFormat="1" x14ac:dyDescent="0.2">
      <c r="A817" s="12"/>
      <c r="B817" s="12"/>
      <c r="C817" s="12"/>
      <c r="D817" s="12"/>
      <c r="E817" s="12"/>
      <c r="F817" s="12"/>
      <c r="G817" s="12"/>
    </row>
    <row r="818" spans="1:7" s="42" customFormat="1" x14ac:dyDescent="0.2">
      <c r="A818" s="12"/>
      <c r="B818" s="12"/>
      <c r="C818" s="12"/>
      <c r="D818" s="12"/>
      <c r="E818" s="12"/>
      <c r="F818" s="12"/>
      <c r="G818" s="12"/>
    </row>
    <row r="819" spans="1:7" s="42" customFormat="1" x14ac:dyDescent="0.2">
      <c r="A819" s="12"/>
      <c r="B819" s="12"/>
      <c r="C819" s="12"/>
      <c r="D819" s="12"/>
      <c r="E819" s="12"/>
      <c r="F819" s="12"/>
      <c r="G819" s="12"/>
    </row>
    <row r="820" spans="1:7" s="42" customFormat="1" x14ac:dyDescent="0.2">
      <c r="A820" s="12"/>
      <c r="B820" s="12"/>
      <c r="C820" s="12"/>
      <c r="D820" s="12"/>
      <c r="E820" s="12"/>
      <c r="F820" s="12"/>
      <c r="G820" s="12"/>
    </row>
    <row r="821" spans="1:7" s="42" customFormat="1" x14ac:dyDescent="0.2">
      <c r="A821" s="12"/>
      <c r="B821" s="12"/>
      <c r="C821" s="12"/>
      <c r="D821" s="12"/>
      <c r="E821" s="12"/>
      <c r="F821" s="12"/>
      <c r="G821" s="12"/>
    </row>
    <row r="822" spans="1:7" s="42" customFormat="1" x14ac:dyDescent="0.2">
      <c r="A822" s="12"/>
      <c r="B822" s="12"/>
      <c r="C822" s="12"/>
      <c r="D822" s="12"/>
      <c r="E822" s="12"/>
      <c r="F822" s="12"/>
      <c r="G822" s="12"/>
    </row>
    <row r="823" spans="1:7" s="42" customFormat="1" x14ac:dyDescent="0.2">
      <c r="A823" s="12"/>
      <c r="B823" s="12"/>
      <c r="C823" s="12"/>
      <c r="D823" s="12"/>
      <c r="E823" s="12"/>
      <c r="F823" s="12"/>
      <c r="G823" s="12"/>
    </row>
    <row r="824" spans="1:7" s="42" customFormat="1" x14ac:dyDescent="0.2">
      <c r="A824" s="12"/>
      <c r="B824" s="12"/>
      <c r="C824" s="12"/>
      <c r="D824" s="12"/>
      <c r="E824" s="12"/>
      <c r="F824" s="12"/>
      <c r="G824" s="12"/>
    </row>
    <row r="825" spans="1:7" s="42" customFormat="1" x14ac:dyDescent="0.2">
      <c r="A825" s="12"/>
      <c r="B825" s="12"/>
      <c r="C825" s="12"/>
      <c r="D825" s="12"/>
      <c r="E825" s="12"/>
      <c r="F825" s="12"/>
      <c r="G825" s="12"/>
    </row>
    <row r="826" spans="1:7" s="42" customFormat="1" x14ac:dyDescent="0.2">
      <c r="A826" s="12"/>
      <c r="B826" s="12"/>
      <c r="C826" s="12"/>
      <c r="D826" s="12"/>
      <c r="E826" s="12"/>
      <c r="F826" s="12"/>
      <c r="G826" s="12"/>
    </row>
    <row r="827" spans="1:7" s="42" customFormat="1" x14ac:dyDescent="0.2">
      <c r="A827" s="12"/>
      <c r="B827" s="12"/>
      <c r="C827" s="12"/>
      <c r="D827" s="12"/>
      <c r="E827" s="12"/>
      <c r="F827" s="12"/>
      <c r="G827" s="12"/>
    </row>
    <row r="828" spans="1:7" s="42" customFormat="1" x14ac:dyDescent="0.2">
      <c r="A828" s="12"/>
      <c r="B828" s="12"/>
      <c r="C828" s="12"/>
      <c r="D828" s="12"/>
      <c r="E828" s="12"/>
      <c r="F828" s="12"/>
      <c r="G828" s="12"/>
    </row>
    <row r="829" spans="1:7" s="42" customFormat="1" x14ac:dyDescent="0.2">
      <c r="A829" s="12"/>
      <c r="B829" s="12"/>
      <c r="C829" s="12"/>
      <c r="D829" s="12"/>
      <c r="E829" s="12"/>
      <c r="F829" s="12"/>
      <c r="G829" s="12"/>
    </row>
    <row r="830" spans="1:7" s="42" customFormat="1" x14ac:dyDescent="0.2">
      <c r="A830" s="12"/>
      <c r="B830" s="12"/>
      <c r="C830" s="12"/>
      <c r="D830" s="12"/>
      <c r="E830" s="12"/>
      <c r="F830" s="12"/>
      <c r="G830" s="12"/>
    </row>
    <row r="831" spans="1:7" s="42" customFormat="1" x14ac:dyDescent="0.2">
      <c r="A831" s="12"/>
      <c r="B831" s="12"/>
      <c r="C831" s="12"/>
      <c r="D831" s="12"/>
      <c r="E831" s="12"/>
      <c r="F831" s="12"/>
      <c r="G831" s="12"/>
    </row>
    <row r="832" spans="1:7" s="42" customFormat="1" x14ac:dyDescent="0.2">
      <c r="A832" s="12"/>
      <c r="B832" s="12"/>
      <c r="C832" s="12"/>
      <c r="D832" s="12"/>
      <c r="E832" s="12"/>
      <c r="F832" s="12"/>
      <c r="G832" s="12"/>
    </row>
    <row r="833" spans="1:7" s="42" customFormat="1" x14ac:dyDescent="0.2">
      <c r="A833" s="12"/>
      <c r="B833" s="12"/>
      <c r="C833" s="12"/>
      <c r="D833" s="12"/>
      <c r="E833" s="12"/>
      <c r="F833" s="12"/>
      <c r="G833" s="12"/>
    </row>
    <row r="834" spans="1:7" s="42" customFormat="1" x14ac:dyDescent="0.2">
      <c r="A834" s="12"/>
      <c r="B834" s="12"/>
      <c r="C834" s="12"/>
      <c r="D834" s="12"/>
      <c r="E834" s="12"/>
      <c r="F834" s="12"/>
      <c r="G834" s="12"/>
    </row>
    <row r="835" spans="1:7" s="42" customFormat="1" x14ac:dyDescent="0.2">
      <c r="A835" s="12"/>
      <c r="B835" s="12"/>
      <c r="C835" s="12"/>
      <c r="D835" s="12"/>
      <c r="E835" s="12"/>
      <c r="F835" s="12"/>
      <c r="G835" s="12"/>
    </row>
    <row r="836" spans="1:7" s="42" customFormat="1" x14ac:dyDescent="0.2">
      <c r="A836" s="12"/>
      <c r="B836" s="12"/>
      <c r="C836" s="12"/>
      <c r="D836" s="12"/>
      <c r="E836" s="12"/>
      <c r="F836" s="12"/>
      <c r="G836" s="12"/>
    </row>
    <row r="837" spans="1:7" s="42" customFormat="1" x14ac:dyDescent="0.2">
      <c r="A837" s="12"/>
      <c r="B837" s="12"/>
      <c r="C837" s="12"/>
      <c r="D837" s="12"/>
      <c r="E837" s="12"/>
      <c r="F837" s="12"/>
      <c r="G837" s="12"/>
    </row>
    <row r="838" spans="1:7" s="42" customFormat="1" x14ac:dyDescent="0.2">
      <c r="A838" s="12"/>
      <c r="B838" s="12"/>
      <c r="C838" s="12"/>
      <c r="D838" s="12"/>
      <c r="E838" s="12"/>
      <c r="F838" s="12"/>
      <c r="G838" s="12"/>
    </row>
    <row r="839" spans="1:7" s="42" customFormat="1" x14ac:dyDescent="0.2">
      <c r="A839" s="12"/>
      <c r="B839" s="12"/>
      <c r="C839" s="12"/>
      <c r="D839" s="12"/>
      <c r="E839" s="12"/>
      <c r="F839" s="12"/>
      <c r="G839" s="12"/>
    </row>
    <row r="840" spans="1:7" s="42" customFormat="1" x14ac:dyDescent="0.2">
      <c r="A840" s="12"/>
      <c r="B840" s="12"/>
      <c r="C840" s="12"/>
      <c r="D840" s="12"/>
      <c r="E840" s="12"/>
      <c r="F840" s="12"/>
      <c r="G840" s="12"/>
    </row>
    <row r="841" spans="1:7" s="42" customFormat="1" x14ac:dyDescent="0.2">
      <c r="A841" s="12"/>
      <c r="B841" s="12"/>
      <c r="C841" s="12"/>
      <c r="D841" s="12"/>
      <c r="E841" s="12"/>
      <c r="F841" s="12"/>
      <c r="G841" s="12"/>
    </row>
    <row r="842" spans="1:7" s="42" customFormat="1" x14ac:dyDescent="0.2">
      <c r="A842" s="12"/>
      <c r="B842" s="12"/>
      <c r="C842" s="12"/>
      <c r="D842" s="12"/>
      <c r="E842" s="12"/>
      <c r="F842" s="12"/>
      <c r="G842" s="12"/>
    </row>
    <row r="843" spans="1:7" s="42" customFormat="1" x14ac:dyDescent="0.2">
      <c r="A843" s="12"/>
      <c r="B843" s="12"/>
      <c r="C843" s="12"/>
      <c r="D843" s="12"/>
      <c r="E843" s="12"/>
      <c r="F843" s="12"/>
      <c r="G843" s="12"/>
    </row>
    <row r="844" spans="1:7" s="42" customFormat="1" x14ac:dyDescent="0.2">
      <c r="A844" s="12"/>
      <c r="B844" s="12"/>
      <c r="C844" s="12"/>
      <c r="D844" s="12"/>
      <c r="E844" s="12"/>
      <c r="F844" s="12"/>
      <c r="G844" s="12"/>
    </row>
    <row r="845" spans="1:7" s="42" customFormat="1" x14ac:dyDescent="0.2">
      <c r="A845" s="12"/>
      <c r="B845" s="12"/>
      <c r="C845" s="12"/>
      <c r="D845" s="12"/>
      <c r="E845" s="12"/>
      <c r="F845" s="12"/>
      <c r="G845" s="12"/>
    </row>
    <row r="846" spans="1:7" s="42" customFormat="1" x14ac:dyDescent="0.2">
      <c r="A846" s="12"/>
      <c r="B846" s="12"/>
      <c r="C846" s="12"/>
      <c r="D846" s="12"/>
      <c r="E846" s="12"/>
      <c r="F846" s="12"/>
      <c r="G846" s="12"/>
    </row>
    <row r="847" spans="1:7" s="42" customFormat="1" x14ac:dyDescent="0.2">
      <c r="A847" s="12"/>
      <c r="B847" s="12"/>
      <c r="C847" s="12"/>
      <c r="D847" s="12"/>
      <c r="E847" s="12"/>
      <c r="F847" s="12"/>
      <c r="G847" s="12"/>
    </row>
    <row r="848" spans="1:7" s="42" customFormat="1" x14ac:dyDescent="0.2">
      <c r="A848" s="12"/>
      <c r="B848" s="12"/>
      <c r="C848" s="12"/>
      <c r="D848" s="12"/>
      <c r="E848" s="12"/>
      <c r="F848" s="12"/>
      <c r="G848" s="12"/>
    </row>
    <row r="849" spans="1:7" s="42" customFormat="1" x14ac:dyDescent="0.2">
      <c r="A849" s="12"/>
      <c r="B849" s="12"/>
      <c r="C849" s="12"/>
      <c r="D849" s="12"/>
      <c r="E849" s="12"/>
      <c r="F849" s="12"/>
      <c r="G849" s="12"/>
    </row>
    <row r="850" spans="1:7" s="42" customFormat="1" x14ac:dyDescent="0.2">
      <c r="A850" s="12"/>
      <c r="B850" s="12"/>
      <c r="C850" s="12"/>
      <c r="D850" s="12"/>
      <c r="E850" s="12"/>
      <c r="F850" s="12"/>
      <c r="G850" s="12"/>
    </row>
    <row r="851" spans="1:7" s="42" customFormat="1" x14ac:dyDescent="0.2">
      <c r="A851" s="12"/>
      <c r="B851" s="12"/>
      <c r="C851" s="12"/>
      <c r="D851" s="12"/>
      <c r="E851" s="12"/>
      <c r="F851" s="12"/>
      <c r="G851" s="12"/>
    </row>
    <row r="852" spans="1:7" s="42" customFormat="1" x14ac:dyDescent="0.2">
      <c r="A852" s="12"/>
      <c r="B852" s="12"/>
      <c r="C852" s="12"/>
      <c r="D852" s="12"/>
      <c r="E852" s="12"/>
      <c r="F852" s="12"/>
      <c r="G852" s="12"/>
    </row>
    <row r="853" spans="1:7" s="42" customFormat="1" x14ac:dyDescent="0.2">
      <c r="A853" s="12"/>
      <c r="B853" s="12"/>
      <c r="C853" s="12"/>
      <c r="D853" s="12"/>
      <c r="E853" s="12"/>
      <c r="F853" s="12"/>
      <c r="G853" s="12"/>
    </row>
    <row r="854" spans="1:7" s="42" customFormat="1" x14ac:dyDescent="0.2">
      <c r="A854" s="12"/>
      <c r="B854" s="12"/>
      <c r="C854" s="12"/>
      <c r="D854" s="12"/>
      <c r="E854" s="12"/>
      <c r="F854" s="12"/>
      <c r="G854" s="12"/>
    </row>
    <row r="855" spans="1:7" s="42" customFormat="1" x14ac:dyDescent="0.2">
      <c r="A855" s="12"/>
      <c r="B855" s="12"/>
      <c r="C855" s="12"/>
      <c r="D855" s="12"/>
      <c r="E855" s="12"/>
      <c r="F855" s="12"/>
      <c r="G855" s="12"/>
    </row>
    <row r="856" spans="1:7" s="42" customFormat="1" x14ac:dyDescent="0.2">
      <c r="A856" s="12"/>
      <c r="B856" s="12"/>
      <c r="C856" s="12"/>
      <c r="D856" s="12"/>
      <c r="E856" s="12"/>
      <c r="F856" s="12"/>
      <c r="G856" s="12"/>
    </row>
    <row r="857" spans="1:7" s="42" customFormat="1" x14ac:dyDescent="0.2">
      <c r="A857" s="12"/>
      <c r="B857" s="12"/>
      <c r="C857" s="12"/>
      <c r="D857" s="12"/>
      <c r="E857" s="12"/>
      <c r="F857" s="12"/>
      <c r="G857" s="12"/>
    </row>
    <row r="858" spans="1:7" s="42" customFormat="1" x14ac:dyDescent="0.2">
      <c r="A858" s="12"/>
      <c r="B858" s="12"/>
      <c r="C858" s="12"/>
      <c r="D858" s="12"/>
      <c r="E858" s="12"/>
      <c r="F858" s="12"/>
      <c r="G858" s="12"/>
    </row>
    <row r="859" spans="1:7" s="42" customFormat="1" x14ac:dyDescent="0.2">
      <c r="A859" s="12"/>
      <c r="B859" s="12"/>
      <c r="C859" s="12"/>
      <c r="D859" s="12"/>
      <c r="E859" s="12"/>
      <c r="F859" s="12"/>
      <c r="G859" s="12"/>
    </row>
    <row r="860" spans="1:7" s="42" customFormat="1" x14ac:dyDescent="0.2">
      <c r="A860" s="12"/>
      <c r="B860" s="12"/>
      <c r="C860" s="12"/>
      <c r="D860" s="12"/>
      <c r="E860" s="12"/>
      <c r="F860" s="12"/>
      <c r="G860" s="12"/>
    </row>
    <row r="861" spans="1:7" s="42" customFormat="1" x14ac:dyDescent="0.2">
      <c r="A861" s="12"/>
      <c r="B861" s="12"/>
      <c r="C861" s="12"/>
      <c r="D861" s="12"/>
      <c r="E861" s="12"/>
      <c r="F861" s="12"/>
      <c r="G861" s="12"/>
    </row>
    <row r="862" spans="1:7" s="42" customFormat="1" x14ac:dyDescent="0.2">
      <c r="A862" s="12"/>
      <c r="B862" s="12"/>
      <c r="C862" s="12"/>
      <c r="D862" s="12"/>
      <c r="E862" s="12"/>
      <c r="F862" s="12"/>
      <c r="G862" s="12"/>
    </row>
    <row r="863" spans="1:7" s="42" customFormat="1" x14ac:dyDescent="0.2">
      <c r="A863" s="12"/>
      <c r="B863" s="12"/>
      <c r="C863" s="12"/>
      <c r="D863" s="12"/>
      <c r="E863" s="12"/>
      <c r="F863" s="12"/>
      <c r="G863" s="12"/>
    </row>
    <row r="864" spans="1:7" s="42" customFormat="1" x14ac:dyDescent="0.2">
      <c r="A864" s="12"/>
      <c r="B864" s="12"/>
      <c r="C864" s="12"/>
      <c r="D864" s="12"/>
      <c r="E864" s="12"/>
      <c r="F864" s="12"/>
      <c r="G864" s="12"/>
    </row>
    <row r="865" spans="1:7" s="42" customFormat="1" x14ac:dyDescent="0.2">
      <c r="A865" s="12"/>
      <c r="B865" s="12"/>
      <c r="C865" s="12"/>
      <c r="D865" s="12"/>
      <c r="E865" s="12"/>
      <c r="F865" s="12"/>
      <c r="G865" s="12"/>
    </row>
    <row r="866" spans="1:7" s="42" customFormat="1" x14ac:dyDescent="0.2">
      <c r="A866" s="12"/>
      <c r="B866" s="12"/>
      <c r="C866" s="12"/>
      <c r="D866" s="12"/>
      <c r="E866" s="12"/>
      <c r="F866" s="12"/>
      <c r="G866" s="12"/>
    </row>
    <row r="867" spans="1:7" s="42" customFormat="1" x14ac:dyDescent="0.2">
      <c r="A867" s="12"/>
      <c r="B867" s="12"/>
      <c r="C867" s="12"/>
      <c r="D867" s="12"/>
      <c r="E867" s="12"/>
      <c r="F867" s="12"/>
      <c r="G867" s="12"/>
    </row>
    <row r="868" spans="1:7" s="42" customFormat="1" x14ac:dyDescent="0.2">
      <c r="A868" s="12"/>
      <c r="B868" s="12"/>
      <c r="C868" s="12"/>
      <c r="D868" s="12"/>
      <c r="E868" s="12"/>
      <c r="F868" s="12"/>
      <c r="G868" s="12"/>
    </row>
    <row r="869" spans="1:7" s="42" customFormat="1" x14ac:dyDescent="0.2">
      <c r="A869" s="12"/>
      <c r="B869" s="12"/>
      <c r="C869" s="12"/>
      <c r="D869" s="12"/>
      <c r="E869" s="12"/>
      <c r="F869" s="12"/>
      <c r="G869" s="12"/>
    </row>
    <row r="870" spans="1:7" s="42" customFormat="1" x14ac:dyDescent="0.2">
      <c r="A870" s="12"/>
      <c r="B870" s="12"/>
      <c r="C870" s="12"/>
      <c r="D870" s="12"/>
      <c r="E870" s="12"/>
      <c r="F870" s="12"/>
      <c r="G870" s="12"/>
    </row>
    <row r="871" spans="1:7" s="42" customFormat="1" x14ac:dyDescent="0.2">
      <c r="A871" s="12"/>
      <c r="B871" s="12"/>
      <c r="C871" s="12"/>
      <c r="D871" s="12"/>
      <c r="E871" s="12"/>
      <c r="F871" s="12"/>
      <c r="G871" s="12"/>
    </row>
    <row r="872" spans="1:7" s="42" customFormat="1" x14ac:dyDescent="0.2">
      <c r="A872" s="12"/>
      <c r="B872" s="12"/>
      <c r="C872" s="12"/>
      <c r="D872" s="12"/>
      <c r="E872" s="12"/>
      <c r="F872" s="12"/>
      <c r="G872" s="12"/>
    </row>
    <row r="873" spans="1:7" s="42" customFormat="1" x14ac:dyDescent="0.2">
      <c r="A873" s="12"/>
      <c r="B873" s="12"/>
      <c r="C873" s="12"/>
      <c r="D873" s="12"/>
      <c r="E873" s="12"/>
      <c r="F873" s="12"/>
      <c r="G873" s="12"/>
    </row>
    <row r="874" spans="1:7" s="42" customFormat="1" x14ac:dyDescent="0.2">
      <c r="A874" s="12"/>
      <c r="B874" s="12"/>
      <c r="C874" s="12"/>
      <c r="D874" s="12"/>
      <c r="E874" s="12"/>
      <c r="F874" s="12"/>
      <c r="G874" s="12"/>
    </row>
    <row r="875" spans="1:7" s="42" customFormat="1" x14ac:dyDescent="0.2">
      <c r="A875" s="12"/>
      <c r="B875" s="12"/>
      <c r="C875" s="12"/>
      <c r="D875" s="12"/>
      <c r="E875" s="12"/>
      <c r="F875" s="12"/>
      <c r="G875" s="12"/>
    </row>
    <row r="876" spans="1:7" s="42" customFormat="1" x14ac:dyDescent="0.2">
      <c r="A876" s="12"/>
      <c r="B876" s="12"/>
      <c r="C876" s="12"/>
      <c r="D876" s="12"/>
      <c r="E876" s="12"/>
      <c r="F876" s="12"/>
      <c r="G876" s="12"/>
    </row>
    <row r="877" spans="1:7" s="42" customFormat="1" x14ac:dyDescent="0.2">
      <c r="A877" s="12"/>
      <c r="B877" s="12"/>
      <c r="C877" s="12"/>
      <c r="D877" s="12"/>
      <c r="E877" s="12"/>
      <c r="F877" s="12"/>
      <c r="G877" s="12"/>
    </row>
    <row r="878" spans="1:7" s="42" customFormat="1" x14ac:dyDescent="0.2">
      <c r="A878" s="12"/>
      <c r="B878" s="12"/>
      <c r="C878" s="12"/>
      <c r="D878" s="12"/>
      <c r="E878" s="12"/>
      <c r="F878" s="12"/>
      <c r="G878" s="12"/>
    </row>
    <row r="879" spans="1:7" s="42" customFormat="1" x14ac:dyDescent="0.2">
      <c r="A879" s="12"/>
      <c r="B879" s="12"/>
      <c r="C879" s="12"/>
      <c r="D879" s="12"/>
      <c r="E879" s="12"/>
      <c r="F879" s="12"/>
      <c r="G879" s="12"/>
    </row>
    <row r="880" spans="1:7" s="42" customFormat="1" x14ac:dyDescent="0.2">
      <c r="A880" s="12"/>
      <c r="B880" s="12"/>
      <c r="C880" s="12"/>
      <c r="D880" s="12"/>
      <c r="E880" s="12"/>
      <c r="F880" s="12"/>
      <c r="G880" s="12"/>
    </row>
    <row r="881" spans="1:7" s="42" customFormat="1" x14ac:dyDescent="0.2">
      <c r="A881" s="12"/>
      <c r="B881" s="12"/>
      <c r="C881" s="12"/>
      <c r="D881" s="12"/>
      <c r="E881" s="12"/>
      <c r="F881" s="12"/>
      <c r="G881" s="12"/>
    </row>
    <row r="882" spans="1:7" s="42" customFormat="1" x14ac:dyDescent="0.2">
      <c r="A882" s="12"/>
      <c r="B882" s="12"/>
      <c r="C882" s="12"/>
      <c r="D882" s="12"/>
      <c r="E882" s="12"/>
      <c r="F882" s="12"/>
      <c r="G882" s="12"/>
    </row>
    <row r="883" spans="1:7" s="42" customFormat="1" x14ac:dyDescent="0.2">
      <c r="A883" s="12"/>
      <c r="B883" s="12"/>
      <c r="C883" s="12"/>
      <c r="D883" s="12"/>
      <c r="E883" s="12"/>
      <c r="F883" s="12"/>
      <c r="G883" s="12"/>
    </row>
    <row r="884" spans="1:7" s="42" customFormat="1" x14ac:dyDescent="0.2">
      <c r="A884" s="12"/>
      <c r="B884" s="12"/>
      <c r="C884" s="12"/>
      <c r="D884" s="12"/>
      <c r="E884" s="12"/>
      <c r="F884" s="12"/>
      <c r="G884" s="12"/>
    </row>
    <row r="885" spans="1:7" s="42" customFormat="1" x14ac:dyDescent="0.2">
      <c r="A885" s="12"/>
      <c r="B885" s="12"/>
      <c r="C885" s="12"/>
      <c r="D885" s="12"/>
      <c r="E885" s="12"/>
      <c r="F885" s="12"/>
      <c r="G885" s="12"/>
    </row>
    <row r="886" spans="1:7" s="42" customFormat="1" x14ac:dyDescent="0.2">
      <c r="A886" s="12"/>
      <c r="B886" s="12"/>
      <c r="C886" s="12"/>
      <c r="D886" s="12"/>
      <c r="E886" s="12"/>
      <c r="F886" s="12"/>
      <c r="G886" s="12"/>
    </row>
    <row r="887" spans="1:7" s="42" customFormat="1" x14ac:dyDescent="0.2">
      <c r="A887" s="12"/>
      <c r="B887" s="12"/>
      <c r="C887" s="12"/>
      <c r="D887" s="12"/>
      <c r="E887" s="12"/>
      <c r="F887" s="12"/>
      <c r="G887" s="12"/>
    </row>
    <row r="888" spans="1:7" s="42" customFormat="1" x14ac:dyDescent="0.2">
      <c r="A888" s="12"/>
      <c r="B888" s="12"/>
      <c r="C888" s="12"/>
      <c r="D888" s="12"/>
      <c r="E888" s="12"/>
      <c r="F888" s="12"/>
      <c r="G888" s="12"/>
    </row>
    <row r="889" spans="1:7" s="42" customFormat="1" x14ac:dyDescent="0.2">
      <c r="A889" s="12"/>
      <c r="B889" s="12"/>
      <c r="C889" s="12"/>
      <c r="D889" s="12"/>
      <c r="E889" s="12"/>
      <c r="F889" s="12"/>
      <c r="G889" s="12"/>
    </row>
    <row r="890" spans="1:7" s="42" customFormat="1" x14ac:dyDescent="0.2">
      <c r="A890" s="12"/>
      <c r="B890" s="12"/>
      <c r="C890" s="12"/>
      <c r="D890" s="12"/>
      <c r="E890" s="12"/>
      <c r="F890" s="12"/>
      <c r="G890" s="12"/>
    </row>
    <row r="891" spans="1:7" s="42" customFormat="1" x14ac:dyDescent="0.2">
      <c r="A891" s="12"/>
      <c r="B891" s="12"/>
      <c r="C891" s="12"/>
      <c r="D891" s="12"/>
      <c r="E891" s="12"/>
      <c r="F891" s="12"/>
      <c r="G891" s="12"/>
    </row>
    <row r="892" spans="1:7" s="42" customFormat="1" x14ac:dyDescent="0.2">
      <c r="A892" s="12"/>
      <c r="B892" s="12"/>
      <c r="C892" s="12"/>
      <c r="D892" s="12"/>
      <c r="E892" s="12"/>
      <c r="F892" s="12"/>
      <c r="G892" s="12"/>
    </row>
    <row r="893" spans="1:7" s="42" customFormat="1" x14ac:dyDescent="0.2">
      <c r="A893" s="12"/>
      <c r="B893" s="12"/>
      <c r="C893" s="12"/>
      <c r="D893" s="12"/>
      <c r="E893" s="12"/>
      <c r="F893" s="12"/>
      <c r="G893" s="12"/>
    </row>
    <row r="894" spans="1:7" s="42" customFormat="1" x14ac:dyDescent="0.2">
      <c r="A894" s="12"/>
      <c r="B894" s="12"/>
      <c r="C894" s="12"/>
      <c r="D894" s="12"/>
      <c r="E894" s="12"/>
      <c r="F894" s="12"/>
      <c r="G894" s="12"/>
    </row>
    <row r="895" spans="1:7" s="42" customFormat="1" x14ac:dyDescent="0.2">
      <c r="A895" s="12"/>
      <c r="B895" s="12"/>
      <c r="C895" s="12"/>
      <c r="D895" s="12"/>
      <c r="E895" s="12"/>
      <c r="F895" s="12"/>
      <c r="G895" s="12"/>
    </row>
    <row r="896" spans="1:7" s="42" customFormat="1" x14ac:dyDescent="0.2">
      <c r="A896" s="12"/>
      <c r="B896" s="12"/>
      <c r="C896" s="12"/>
      <c r="D896" s="12"/>
      <c r="E896" s="12"/>
      <c r="F896" s="12"/>
      <c r="G896" s="12"/>
    </row>
    <row r="897" spans="1:7" s="42" customFormat="1" x14ac:dyDescent="0.2">
      <c r="A897" s="12"/>
      <c r="B897" s="12"/>
      <c r="C897" s="12"/>
      <c r="D897" s="12"/>
      <c r="E897" s="12"/>
      <c r="F897" s="12"/>
      <c r="G897" s="12"/>
    </row>
    <row r="898" spans="1:7" s="42" customFormat="1" x14ac:dyDescent="0.2">
      <c r="A898" s="12"/>
      <c r="B898" s="12"/>
      <c r="C898" s="12"/>
      <c r="D898" s="12"/>
      <c r="E898" s="12"/>
      <c r="F898" s="12"/>
      <c r="G898" s="12"/>
    </row>
    <row r="899" spans="1:7" s="42" customFormat="1" x14ac:dyDescent="0.2">
      <c r="A899" s="12"/>
      <c r="B899" s="12"/>
      <c r="C899" s="12"/>
      <c r="D899" s="12"/>
      <c r="E899" s="12"/>
      <c r="F899" s="12"/>
      <c r="G899" s="12"/>
    </row>
    <row r="900" spans="1:7" s="42" customFormat="1" x14ac:dyDescent="0.2">
      <c r="A900" s="12"/>
      <c r="B900" s="12"/>
      <c r="C900" s="12"/>
      <c r="D900" s="12"/>
      <c r="E900" s="12"/>
      <c r="F900" s="12"/>
      <c r="G900" s="12"/>
    </row>
    <row r="901" spans="1:7" s="42" customFormat="1" x14ac:dyDescent="0.2">
      <c r="A901" s="12"/>
      <c r="B901" s="12"/>
      <c r="C901" s="12"/>
      <c r="D901" s="12"/>
      <c r="E901" s="12"/>
      <c r="F901" s="12"/>
      <c r="G901" s="12"/>
    </row>
    <row r="902" spans="1:7" s="42" customFormat="1" x14ac:dyDescent="0.2">
      <c r="A902" s="12"/>
      <c r="B902" s="12"/>
      <c r="C902" s="12"/>
      <c r="D902" s="12"/>
      <c r="E902" s="12"/>
      <c r="F902" s="12"/>
      <c r="G902" s="12"/>
    </row>
    <row r="903" spans="1:7" s="42" customFormat="1" x14ac:dyDescent="0.2">
      <c r="A903" s="12"/>
      <c r="B903" s="12"/>
      <c r="C903" s="12"/>
      <c r="D903" s="12"/>
      <c r="E903" s="12"/>
      <c r="F903" s="12"/>
      <c r="G903" s="12"/>
    </row>
    <row r="904" spans="1:7" s="42" customFormat="1" x14ac:dyDescent="0.2">
      <c r="A904" s="12"/>
      <c r="B904" s="12"/>
      <c r="C904" s="12"/>
      <c r="D904" s="12"/>
      <c r="E904" s="12"/>
      <c r="F904" s="12"/>
      <c r="G904" s="12"/>
    </row>
    <row r="905" spans="1:7" s="42" customFormat="1" x14ac:dyDescent="0.2">
      <c r="A905" s="12"/>
      <c r="B905" s="12"/>
      <c r="C905" s="12"/>
      <c r="D905" s="12"/>
      <c r="E905" s="12"/>
      <c r="F905" s="12"/>
      <c r="G905" s="12"/>
    </row>
    <row r="906" spans="1:7" s="42" customFormat="1" x14ac:dyDescent="0.2">
      <c r="A906" s="12"/>
      <c r="B906" s="12"/>
      <c r="C906" s="12"/>
      <c r="D906" s="12"/>
      <c r="E906" s="12"/>
      <c r="F906" s="12"/>
      <c r="G906" s="12"/>
    </row>
    <row r="907" spans="1:7" s="42" customFormat="1" x14ac:dyDescent="0.2">
      <c r="A907" s="12"/>
      <c r="B907" s="12"/>
      <c r="C907" s="12"/>
      <c r="D907" s="12"/>
      <c r="E907" s="12"/>
      <c r="F907" s="12"/>
      <c r="G907" s="12"/>
    </row>
    <row r="908" spans="1:7" s="42" customFormat="1" x14ac:dyDescent="0.2">
      <c r="A908" s="12"/>
      <c r="B908" s="12"/>
      <c r="C908" s="12"/>
      <c r="D908" s="12"/>
      <c r="E908" s="12"/>
      <c r="F908" s="12"/>
      <c r="G908" s="12"/>
    </row>
    <row r="909" spans="1:7" s="42" customFormat="1" x14ac:dyDescent="0.2">
      <c r="A909" s="12"/>
      <c r="B909" s="12"/>
      <c r="C909" s="12"/>
      <c r="D909" s="12"/>
      <c r="E909" s="12"/>
      <c r="F909" s="12"/>
      <c r="G909" s="12"/>
    </row>
    <row r="910" spans="1:7" s="42" customFormat="1" x14ac:dyDescent="0.2">
      <c r="A910" s="12"/>
      <c r="B910" s="12"/>
      <c r="C910" s="12"/>
      <c r="D910" s="12"/>
      <c r="E910" s="12"/>
      <c r="F910" s="12"/>
      <c r="G910" s="12"/>
    </row>
    <row r="911" spans="1:7" s="42" customFormat="1" x14ac:dyDescent="0.2">
      <c r="A911" s="12"/>
      <c r="B911" s="12"/>
      <c r="C911" s="12"/>
      <c r="D911" s="12"/>
      <c r="E911" s="12"/>
      <c r="F911" s="12"/>
      <c r="G911" s="12"/>
    </row>
    <row r="912" spans="1:7" s="42" customFormat="1" x14ac:dyDescent="0.2">
      <c r="A912" s="12"/>
      <c r="B912" s="12"/>
      <c r="C912" s="12"/>
      <c r="D912" s="12"/>
      <c r="E912" s="12"/>
      <c r="F912" s="12"/>
      <c r="G912" s="12"/>
    </row>
    <row r="913" spans="1:7" s="42" customFormat="1" x14ac:dyDescent="0.2">
      <c r="A913" s="12"/>
      <c r="B913" s="12"/>
      <c r="C913" s="12"/>
      <c r="D913" s="12"/>
      <c r="E913" s="12"/>
      <c r="F913" s="12"/>
      <c r="G913" s="12"/>
    </row>
    <row r="914" spans="1:7" s="42" customFormat="1" x14ac:dyDescent="0.2">
      <c r="A914" s="12"/>
      <c r="B914" s="12"/>
      <c r="C914" s="12"/>
      <c r="D914" s="12"/>
      <c r="E914" s="12"/>
      <c r="F914" s="12"/>
      <c r="G914" s="12"/>
    </row>
    <row r="915" spans="1:7" s="42" customFormat="1" x14ac:dyDescent="0.2">
      <c r="A915" s="12"/>
      <c r="B915" s="12"/>
      <c r="C915" s="12"/>
      <c r="D915" s="12"/>
      <c r="E915" s="12"/>
      <c r="F915" s="12"/>
      <c r="G915" s="12"/>
    </row>
    <row r="916" spans="1:7" s="42" customFormat="1" x14ac:dyDescent="0.2">
      <c r="A916" s="12"/>
      <c r="B916" s="12"/>
      <c r="C916" s="12"/>
      <c r="D916" s="12"/>
      <c r="E916" s="12"/>
      <c r="F916" s="12"/>
      <c r="G916" s="12"/>
    </row>
    <row r="917" spans="1:7" s="42" customFormat="1" x14ac:dyDescent="0.2">
      <c r="A917" s="12"/>
      <c r="B917" s="12"/>
      <c r="C917" s="12"/>
      <c r="D917" s="12"/>
      <c r="E917" s="12"/>
      <c r="F917" s="12"/>
      <c r="G917" s="12"/>
    </row>
    <row r="918" spans="1:7" s="42" customFormat="1" x14ac:dyDescent="0.2">
      <c r="A918" s="12"/>
      <c r="B918" s="12"/>
      <c r="C918" s="12"/>
      <c r="D918" s="12"/>
      <c r="E918" s="12"/>
      <c r="F918" s="12"/>
      <c r="G918" s="12"/>
    </row>
    <row r="919" spans="1:7" s="42" customFormat="1" x14ac:dyDescent="0.2">
      <c r="A919" s="12"/>
      <c r="B919" s="12"/>
      <c r="C919" s="12"/>
      <c r="D919" s="12"/>
      <c r="E919" s="12"/>
      <c r="F919" s="12"/>
      <c r="G919" s="12"/>
    </row>
    <row r="920" spans="1:7" s="42" customFormat="1" x14ac:dyDescent="0.2">
      <c r="A920" s="12"/>
      <c r="B920" s="12"/>
      <c r="C920" s="12"/>
      <c r="D920" s="12"/>
      <c r="E920" s="12"/>
      <c r="F920" s="12"/>
      <c r="G920" s="12"/>
    </row>
    <row r="921" spans="1:7" s="42" customFormat="1" x14ac:dyDescent="0.2">
      <c r="A921" s="12"/>
      <c r="B921" s="12"/>
      <c r="C921" s="12"/>
      <c r="D921" s="12"/>
      <c r="E921" s="12"/>
      <c r="F921" s="12"/>
      <c r="G921" s="12"/>
    </row>
    <row r="922" spans="1:7" s="42" customFormat="1" x14ac:dyDescent="0.2">
      <c r="A922" s="12"/>
      <c r="B922" s="12"/>
      <c r="C922" s="12"/>
      <c r="D922" s="12"/>
      <c r="E922" s="12"/>
      <c r="F922" s="12"/>
      <c r="G922" s="12"/>
    </row>
    <row r="923" spans="1:7" s="42" customFormat="1" x14ac:dyDescent="0.2">
      <c r="A923" s="12"/>
      <c r="B923" s="12"/>
      <c r="C923" s="12"/>
      <c r="D923" s="12"/>
      <c r="E923" s="12"/>
      <c r="F923" s="12"/>
      <c r="G923" s="12"/>
    </row>
    <row r="924" spans="1:7" s="42" customFormat="1" x14ac:dyDescent="0.2">
      <c r="A924" s="12"/>
      <c r="B924" s="12"/>
      <c r="C924" s="12"/>
      <c r="D924" s="12"/>
      <c r="E924" s="12"/>
      <c r="F924" s="12"/>
      <c r="G924" s="12"/>
    </row>
    <row r="925" spans="1:7" s="42" customFormat="1" x14ac:dyDescent="0.2">
      <c r="A925" s="12"/>
      <c r="B925" s="12"/>
      <c r="C925" s="12"/>
      <c r="D925" s="12"/>
      <c r="E925" s="12"/>
      <c r="F925" s="12"/>
      <c r="G925" s="12"/>
    </row>
    <row r="926" spans="1:7" s="42" customFormat="1" x14ac:dyDescent="0.2">
      <c r="A926" s="12"/>
      <c r="B926" s="12"/>
      <c r="C926" s="12"/>
      <c r="D926" s="12"/>
      <c r="E926" s="12"/>
      <c r="F926" s="12"/>
      <c r="G926" s="12"/>
    </row>
    <row r="927" spans="1:7" s="42" customFormat="1" x14ac:dyDescent="0.2">
      <c r="A927" s="12"/>
      <c r="B927" s="12"/>
      <c r="C927" s="12"/>
      <c r="D927" s="12"/>
      <c r="E927" s="12"/>
      <c r="F927" s="12"/>
      <c r="G927" s="12"/>
    </row>
    <row r="928" spans="1:7" s="42" customFormat="1" x14ac:dyDescent="0.2">
      <c r="A928" s="12"/>
      <c r="B928" s="12"/>
      <c r="C928" s="12"/>
      <c r="D928" s="12"/>
      <c r="E928" s="12"/>
      <c r="F928" s="12"/>
      <c r="G928" s="12"/>
    </row>
    <row r="929" spans="1:7" s="42" customFormat="1" x14ac:dyDescent="0.2">
      <c r="A929" s="12"/>
      <c r="B929" s="12"/>
      <c r="C929" s="12"/>
      <c r="D929" s="12"/>
      <c r="E929" s="12"/>
      <c r="F929" s="12"/>
      <c r="G929" s="12"/>
    </row>
    <row r="930" spans="1:7" s="42" customFormat="1" x14ac:dyDescent="0.2">
      <c r="A930" s="12"/>
      <c r="B930" s="12"/>
      <c r="C930" s="12"/>
      <c r="D930" s="12"/>
      <c r="E930" s="12"/>
      <c r="F930" s="12"/>
      <c r="G930" s="12"/>
    </row>
    <row r="931" spans="1:7" s="42" customFormat="1" x14ac:dyDescent="0.2">
      <c r="A931" s="12"/>
      <c r="B931" s="12"/>
      <c r="C931" s="12"/>
      <c r="D931" s="12"/>
      <c r="E931" s="12"/>
      <c r="F931" s="12"/>
      <c r="G931" s="12"/>
    </row>
    <row r="932" spans="1:7" s="42" customFormat="1" x14ac:dyDescent="0.2">
      <c r="A932" s="12"/>
      <c r="B932" s="12"/>
      <c r="C932" s="12"/>
      <c r="D932" s="12"/>
      <c r="E932" s="12"/>
      <c r="F932" s="12"/>
      <c r="G932" s="12"/>
    </row>
    <row r="933" spans="1:7" s="42" customFormat="1" x14ac:dyDescent="0.2">
      <c r="A933" s="12"/>
      <c r="B933" s="12"/>
      <c r="C933" s="12"/>
      <c r="D933" s="12"/>
      <c r="E933" s="12"/>
      <c r="F933" s="12"/>
      <c r="G933" s="12"/>
    </row>
    <row r="934" spans="1:7" s="42" customFormat="1" x14ac:dyDescent="0.2">
      <c r="A934" s="12"/>
      <c r="B934" s="12"/>
      <c r="C934" s="12"/>
      <c r="D934" s="12"/>
      <c r="E934" s="12"/>
      <c r="F934" s="12"/>
      <c r="G934" s="12"/>
    </row>
    <row r="935" spans="1:7" s="42" customFormat="1" x14ac:dyDescent="0.2">
      <c r="A935" s="12"/>
      <c r="B935" s="12"/>
      <c r="C935" s="12"/>
      <c r="D935" s="12"/>
      <c r="E935" s="12"/>
      <c r="F935" s="12"/>
      <c r="G935" s="12"/>
    </row>
    <row r="936" spans="1:7" s="42" customFormat="1" x14ac:dyDescent="0.2">
      <c r="A936" s="12"/>
      <c r="B936" s="12"/>
      <c r="C936" s="12"/>
      <c r="D936" s="12"/>
      <c r="E936" s="12"/>
      <c r="F936" s="12"/>
      <c r="G936" s="12"/>
    </row>
    <row r="937" spans="1:7" s="42" customFormat="1" x14ac:dyDescent="0.2">
      <c r="A937" s="12"/>
      <c r="B937" s="12"/>
      <c r="C937" s="12"/>
      <c r="D937" s="12"/>
      <c r="E937" s="12"/>
      <c r="F937" s="12"/>
      <c r="G937" s="12"/>
    </row>
    <row r="938" spans="1:7" s="42" customFormat="1" x14ac:dyDescent="0.2">
      <c r="A938" s="12"/>
      <c r="B938" s="12"/>
      <c r="C938" s="12"/>
      <c r="D938" s="12"/>
      <c r="E938" s="12"/>
      <c r="F938" s="12"/>
      <c r="G938" s="12"/>
    </row>
    <row r="939" spans="1:7" s="42" customFormat="1" x14ac:dyDescent="0.2">
      <c r="A939" s="12"/>
      <c r="B939" s="12"/>
      <c r="C939" s="12"/>
      <c r="D939" s="12"/>
      <c r="E939" s="12"/>
      <c r="F939" s="12"/>
      <c r="G939" s="12"/>
    </row>
    <row r="940" spans="1:7" s="42" customFormat="1" x14ac:dyDescent="0.2">
      <c r="A940" s="12"/>
      <c r="B940" s="12"/>
      <c r="C940" s="12"/>
      <c r="D940" s="12"/>
      <c r="E940" s="12"/>
      <c r="F940" s="12"/>
      <c r="G940" s="12"/>
    </row>
    <row r="941" spans="1:7" s="42" customFormat="1" x14ac:dyDescent="0.2">
      <c r="A941" s="12"/>
      <c r="B941" s="12"/>
      <c r="C941" s="12"/>
      <c r="D941" s="12"/>
      <c r="E941" s="12"/>
      <c r="F941" s="12"/>
      <c r="G941" s="12"/>
    </row>
    <row r="942" spans="1:7" s="42" customFormat="1" x14ac:dyDescent="0.2">
      <c r="A942" s="12"/>
      <c r="B942" s="12"/>
      <c r="C942" s="12"/>
      <c r="D942" s="12"/>
      <c r="E942" s="12"/>
      <c r="F942" s="12"/>
      <c r="G942" s="12"/>
    </row>
    <row r="943" spans="1:7" s="42" customFormat="1" x14ac:dyDescent="0.2">
      <c r="A943" s="12"/>
      <c r="B943" s="12"/>
      <c r="C943" s="12"/>
      <c r="D943" s="12"/>
      <c r="E943" s="12"/>
      <c r="F943" s="12"/>
      <c r="G943" s="12"/>
    </row>
    <row r="944" spans="1:7" s="42" customFormat="1" x14ac:dyDescent="0.2">
      <c r="A944" s="12"/>
      <c r="B944" s="12"/>
      <c r="C944" s="12"/>
      <c r="D944" s="12"/>
      <c r="E944" s="12"/>
      <c r="F944" s="12"/>
      <c r="G944" s="12"/>
    </row>
    <row r="945" spans="1:7" s="42" customFormat="1" x14ac:dyDescent="0.2">
      <c r="A945" s="12"/>
      <c r="B945" s="12"/>
      <c r="C945" s="12"/>
      <c r="D945" s="12"/>
      <c r="E945" s="12"/>
      <c r="F945" s="12"/>
      <c r="G945" s="12"/>
    </row>
    <row r="946" spans="1:7" s="42" customFormat="1" x14ac:dyDescent="0.2">
      <c r="A946" s="12"/>
      <c r="B946" s="12"/>
      <c r="C946" s="12"/>
      <c r="D946" s="12"/>
      <c r="E946" s="12"/>
      <c r="F946" s="12"/>
      <c r="G946" s="12"/>
    </row>
    <row r="947" spans="1:7" s="42" customFormat="1" x14ac:dyDescent="0.2">
      <c r="A947" s="12"/>
      <c r="B947" s="12"/>
      <c r="C947" s="12"/>
      <c r="D947" s="12"/>
      <c r="E947" s="12"/>
      <c r="F947" s="12"/>
      <c r="G947" s="12"/>
    </row>
    <row r="948" spans="1:7" s="42" customFormat="1" x14ac:dyDescent="0.2">
      <c r="A948" s="12"/>
      <c r="B948" s="12"/>
      <c r="C948" s="12"/>
      <c r="D948" s="12"/>
      <c r="E948" s="12"/>
      <c r="F948" s="12"/>
      <c r="G948" s="12"/>
    </row>
    <row r="949" spans="1:7" s="42" customFormat="1" x14ac:dyDescent="0.2">
      <c r="A949" s="12"/>
      <c r="B949" s="12"/>
      <c r="C949" s="12"/>
      <c r="D949" s="12"/>
      <c r="E949" s="12"/>
      <c r="F949" s="12"/>
      <c r="G949" s="12"/>
    </row>
    <row r="950" spans="1:7" s="42" customFormat="1" x14ac:dyDescent="0.2">
      <c r="A950" s="12"/>
      <c r="B950" s="12"/>
      <c r="C950" s="12"/>
      <c r="D950" s="12"/>
      <c r="E950" s="12"/>
      <c r="F950" s="12"/>
      <c r="G950" s="12"/>
    </row>
    <row r="951" spans="1:7" s="42" customFormat="1" x14ac:dyDescent="0.2">
      <c r="A951" s="12"/>
      <c r="B951" s="12"/>
      <c r="C951" s="12"/>
      <c r="D951" s="12"/>
      <c r="E951" s="12"/>
      <c r="F951" s="12"/>
      <c r="G951" s="12"/>
    </row>
    <row r="952" spans="1:7" s="42" customFormat="1" x14ac:dyDescent="0.2">
      <c r="A952" s="12"/>
      <c r="B952" s="12"/>
      <c r="C952" s="12"/>
      <c r="D952" s="12"/>
      <c r="E952" s="12"/>
      <c r="F952" s="12"/>
      <c r="G952" s="12"/>
    </row>
    <row r="953" spans="1:7" s="42" customFormat="1" x14ac:dyDescent="0.2">
      <c r="A953" s="12"/>
      <c r="B953" s="12"/>
      <c r="C953" s="12"/>
      <c r="D953" s="12"/>
      <c r="E953" s="12"/>
      <c r="F953" s="12"/>
      <c r="G953" s="12"/>
    </row>
    <row r="954" spans="1:7" s="42" customFormat="1" x14ac:dyDescent="0.2">
      <c r="A954" s="12"/>
      <c r="B954" s="12"/>
      <c r="C954" s="12"/>
      <c r="D954" s="12"/>
      <c r="E954" s="12"/>
      <c r="F954" s="12"/>
      <c r="G954" s="12"/>
    </row>
    <row r="955" spans="1:7" s="42" customFormat="1" x14ac:dyDescent="0.2">
      <c r="A955" s="12"/>
      <c r="B955" s="12"/>
      <c r="C955" s="12"/>
      <c r="D955" s="12"/>
      <c r="E955" s="12"/>
      <c r="F955" s="12"/>
      <c r="G955" s="12"/>
    </row>
    <row r="956" spans="1:7" s="42" customFormat="1" x14ac:dyDescent="0.2">
      <c r="A956" s="12"/>
      <c r="B956" s="12"/>
      <c r="C956" s="12"/>
      <c r="D956" s="12"/>
      <c r="E956" s="12"/>
      <c r="F956" s="12"/>
      <c r="G956" s="12"/>
    </row>
    <row r="957" spans="1:7" s="42" customFormat="1" x14ac:dyDescent="0.2">
      <c r="A957" s="12"/>
      <c r="B957" s="12"/>
      <c r="C957" s="12"/>
      <c r="D957" s="12"/>
      <c r="E957" s="12"/>
      <c r="F957" s="12"/>
      <c r="G957" s="12"/>
    </row>
    <row r="958" spans="1:7" s="42" customFormat="1" x14ac:dyDescent="0.2">
      <c r="A958" s="12"/>
      <c r="B958" s="12"/>
      <c r="C958" s="12"/>
      <c r="D958" s="12"/>
      <c r="E958" s="12"/>
      <c r="F958" s="12"/>
      <c r="G958" s="12"/>
    </row>
    <row r="959" spans="1:7" s="42" customFormat="1" x14ac:dyDescent="0.2">
      <c r="A959" s="12"/>
      <c r="B959" s="12"/>
      <c r="C959" s="12"/>
      <c r="D959" s="12"/>
      <c r="E959" s="12"/>
      <c r="F959" s="12"/>
      <c r="G959" s="12"/>
    </row>
    <row r="960" spans="1:7" s="42" customFormat="1" x14ac:dyDescent="0.2">
      <c r="A960" s="12"/>
      <c r="B960" s="12"/>
      <c r="C960" s="12"/>
      <c r="D960" s="12"/>
      <c r="E960" s="12"/>
      <c r="F960" s="12"/>
      <c r="G960" s="12"/>
    </row>
    <row r="961" spans="1:7" s="42" customFormat="1" x14ac:dyDescent="0.2">
      <c r="A961" s="12"/>
      <c r="B961" s="12"/>
      <c r="C961" s="12"/>
      <c r="D961" s="12"/>
      <c r="E961" s="12"/>
      <c r="F961" s="12"/>
      <c r="G961" s="12"/>
    </row>
    <row r="962" spans="1:7" s="42" customFormat="1" x14ac:dyDescent="0.2">
      <c r="A962" s="12"/>
      <c r="B962" s="12"/>
      <c r="C962" s="12"/>
      <c r="D962" s="12"/>
      <c r="E962" s="12"/>
      <c r="F962" s="12"/>
      <c r="G962" s="12"/>
    </row>
    <row r="963" spans="1:7" s="42" customFormat="1" x14ac:dyDescent="0.2">
      <c r="A963" s="12"/>
      <c r="B963" s="12"/>
      <c r="C963" s="12"/>
      <c r="D963" s="12"/>
      <c r="E963" s="12"/>
      <c r="F963" s="12"/>
      <c r="G963" s="12"/>
    </row>
    <row r="964" spans="1:7" s="42" customFormat="1" x14ac:dyDescent="0.2">
      <c r="A964" s="12"/>
      <c r="B964" s="12"/>
      <c r="C964" s="12"/>
      <c r="D964" s="12"/>
      <c r="E964" s="12"/>
      <c r="F964" s="12"/>
      <c r="G964" s="12"/>
    </row>
    <row r="965" spans="1:7" s="42" customFormat="1" x14ac:dyDescent="0.2">
      <c r="A965" s="12"/>
      <c r="B965" s="12"/>
      <c r="C965" s="12"/>
      <c r="D965" s="12"/>
      <c r="E965" s="12"/>
      <c r="F965" s="12"/>
      <c r="G965" s="12"/>
    </row>
    <row r="966" spans="1:7" s="42" customFormat="1" x14ac:dyDescent="0.2">
      <c r="A966" s="12"/>
      <c r="B966" s="12"/>
      <c r="C966" s="12"/>
      <c r="D966" s="12"/>
      <c r="E966" s="12"/>
      <c r="F966" s="12"/>
      <c r="G966" s="12"/>
    </row>
    <row r="967" spans="1:7" s="42" customFormat="1" x14ac:dyDescent="0.2">
      <c r="A967" s="12"/>
      <c r="B967" s="12"/>
      <c r="C967" s="12"/>
      <c r="D967" s="12"/>
      <c r="E967" s="12"/>
      <c r="F967" s="12"/>
      <c r="G967" s="12"/>
    </row>
    <row r="968" spans="1:7" s="42" customFormat="1" x14ac:dyDescent="0.2">
      <c r="A968" s="12"/>
      <c r="B968" s="12"/>
      <c r="C968" s="12"/>
      <c r="D968" s="12"/>
      <c r="E968" s="12"/>
      <c r="F968" s="12"/>
      <c r="G968" s="12"/>
    </row>
    <row r="969" spans="1:7" s="42" customFormat="1" x14ac:dyDescent="0.2">
      <c r="A969" s="12"/>
      <c r="B969" s="12"/>
      <c r="C969" s="12"/>
      <c r="D969" s="12"/>
      <c r="E969" s="12"/>
      <c r="F969" s="12"/>
      <c r="G969" s="12"/>
    </row>
    <row r="970" spans="1:7" s="42" customFormat="1" x14ac:dyDescent="0.2">
      <c r="A970" s="12"/>
      <c r="B970" s="12"/>
      <c r="C970" s="12"/>
      <c r="D970" s="12"/>
      <c r="E970" s="12"/>
      <c r="F970" s="12"/>
      <c r="G970" s="12"/>
    </row>
    <row r="971" spans="1:7" s="42" customFormat="1" x14ac:dyDescent="0.2">
      <c r="A971" s="12"/>
      <c r="B971" s="12"/>
      <c r="C971" s="12"/>
      <c r="D971" s="12"/>
      <c r="E971" s="12"/>
      <c r="F971" s="12"/>
      <c r="G971" s="12"/>
    </row>
  </sheetData>
  <conditionalFormatting sqref="F617:F75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7:G75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</vt:lpstr>
      <vt:lpstr>PCE Deflator</vt:lpstr>
      <vt:lpstr>PCE Core</vt:lpstr>
      <vt:lpstr>PCE Core vs Core CPI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2018-04-30T10:56:20Z</dcterms:created>
  <dcterms:modified xsi:type="dcterms:W3CDTF">2022-01-28T16:33:14Z</dcterms:modified>
</cp:coreProperties>
</file>