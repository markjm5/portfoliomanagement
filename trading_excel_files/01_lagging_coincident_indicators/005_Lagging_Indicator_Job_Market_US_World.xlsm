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worksheets/sheet8.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7280" yWindow="-640" windowWidth="43040" windowHeight="2554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NFP" sheetId="5" state="visible" r:id="rId5"/>
    <sheet xmlns:r="http://schemas.openxmlformats.org/officeDocument/2006/relationships" name="Claims" sheetId="6" state="visible" r:id="rId6"/>
    <sheet xmlns:r="http://schemas.openxmlformats.org/officeDocument/2006/relationships" name="Graphs" sheetId="7" state="visible" r:id="rId7"/>
    <sheet xmlns:r="http://schemas.openxmlformats.org/officeDocument/2006/relationships" name="ADP" sheetId="8" state="visible" r:id="rId8"/>
    <sheet xmlns:r="http://schemas.openxmlformats.org/officeDocument/2006/relationships" name="Data World"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80">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167" fontId="0" fillId="0" borderId="0" pivotButton="0" quotePrefix="0" xfId="0"/>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NFP!$A$120:$A$1006</f>
              <numCache>
                <formatCode>yyyy\-mm\-dd</formatCode>
                <ptCount val="88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NFP!$E$120:$E$1006</f>
              <numCache>
                <formatCode>General</formatCode>
                <ptCount val="887"/>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NFP!$A$120:$A$1012</f>
              <numCache>
                <formatCode>yyyy\-mm\-dd</formatCode>
                <ptCount val="89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NFP!$E$120:$E$1012</f>
              <numCache>
                <formatCode>General</formatCode>
                <ptCount val="893"/>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NFP!$A$120:$A$969</f>
              <numCache>
                <formatCode>yyyy\-mm\-dd</formatCode>
                <ptCount val="85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numCache>
            </numRef>
          </cat>
          <val>
            <numRef>
              <f>NFP!$F$120:$F$969</f>
              <numCache>
                <formatCode>General</formatCode>
                <ptCount val="85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numCache>
            </numRef>
          </val>
          <smooth val="0"/>
        </ser>
        <dLbls>
          <showLegendKey val="0"/>
          <showVal val="0"/>
          <showCatName val="0"/>
          <showSerName val="0"/>
          <showPercent val="0"/>
          <showBubbleSize val="0"/>
        </dLbls>
        <smooth val="0"/>
        <axId val="1096970312"/>
        <axId val="1096973592"/>
      </lineChart>
      <dateAx>
        <axId val="1096970312"/>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973592"/>
        <crosses val="autoZero"/>
        <lblOffset val="100"/>
        <baseTimeUnit val="months"/>
      </dateAx>
      <valAx>
        <axId val="1096973592"/>
        <scaling>
          <orientation val="minMax"/>
          <min val="5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970312"/>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NFP!$A$120:$A$1012</f>
              <numCache>
                <formatCode>yyyy\-mm\-dd</formatCode>
                <ptCount val="89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NFP!$F$120:$F$1012</f>
              <numCache>
                <formatCode>General</formatCode>
                <ptCount val="893"/>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Claims!$A$5:$A$2795</f>
              <numCache>
                <formatCode>m/d/yy</formatCode>
                <ptCount val="2791"/>
                <pt idx="0">
                  <v>24479</v>
                </pt>
                <pt idx="1">
                  <v>24486</v>
                </pt>
                <pt idx="2">
                  <v>24493</v>
                </pt>
                <pt idx="3">
                  <v>24500</v>
                </pt>
                <pt idx="4">
                  <v>24507</v>
                </pt>
                <pt idx="5">
                  <v>24514</v>
                </pt>
                <pt idx="6">
                  <v>24521</v>
                </pt>
                <pt idx="7">
                  <v>24528</v>
                </pt>
                <pt idx="8">
                  <v>24535</v>
                </pt>
                <pt idx="9">
                  <v>24542</v>
                </pt>
                <pt idx="10">
                  <v>24549</v>
                </pt>
                <pt idx="11">
                  <v>24556</v>
                </pt>
                <pt idx="12">
                  <v>24563</v>
                </pt>
                <pt idx="13">
                  <v>24570</v>
                </pt>
                <pt idx="14">
                  <v>24577</v>
                </pt>
                <pt idx="15">
                  <v>24584</v>
                </pt>
                <pt idx="16">
                  <v>24591</v>
                </pt>
                <pt idx="17">
                  <v>24598</v>
                </pt>
                <pt idx="18">
                  <v>24605</v>
                </pt>
                <pt idx="19">
                  <v>24612</v>
                </pt>
                <pt idx="20">
                  <v>24619</v>
                </pt>
                <pt idx="21">
                  <v>24626</v>
                </pt>
                <pt idx="22">
                  <v>24633</v>
                </pt>
                <pt idx="23">
                  <v>24640</v>
                </pt>
                <pt idx="24">
                  <v>24647</v>
                </pt>
                <pt idx="25">
                  <v>24654</v>
                </pt>
                <pt idx="26">
                  <v>24661</v>
                </pt>
                <pt idx="27">
                  <v>24668</v>
                </pt>
                <pt idx="28">
                  <v>24675</v>
                </pt>
                <pt idx="29">
                  <v>24682</v>
                </pt>
                <pt idx="30">
                  <v>24689</v>
                </pt>
                <pt idx="31">
                  <v>24696</v>
                </pt>
                <pt idx="32">
                  <v>24703</v>
                </pt>
                <pt idx="33">
                  <v>24710</v>
                </pt>
                <pt idx="34">
                  <v>24717</v>
                </pt>
                <pt idx="35">
                  <v>24724</v>
                </pt>
                <pt idx="36">
                  <v>24731</v>
                </pt>
                <pt idx="37">
                  <v>24738</v>
                </pt>
                <pt idx="38">
                  <v>24745</v>
                </pt>
                <pt idx="39">
                  <v>24752</v>
                </pt>
                <pt idx="40">
                  <v>24759</v>
                </pt>
                <pt idx="41">
                  <v>24766</v>
                </pt>
                <pt idx="42">
                  <v>24773</v>
                </pt>
                <pt idx="43">
                  <v>24780</v>
                </pt>
                <pt idx="44">
                  <v>24787</v>
                </pt>
                <pt idx="45">
                  <v>24794</v>
                </pt>
                <pt idx="46">
                  <v>24801</v>
                </pt>
                <pt idx="47">
                  <v>24808</v>
                </pt>
                <pt idx="48">
                  <v>24815</v>
                </pt>
                <pt idx="49">
                  <v>24822</v>
                </pt>
                <pt idx="50">
                  <v>24829</v>
                </pt>
                <pt idx="51">
                  <v>24836</v>
                </pt>
                <pt idx="52">
                  <v>24843</v>
                </pt>
                <pt idx="53">
                  <v>24850</v>
                </pt>
                <pt idx="54">
                  <v>24857</v>
                </pt>
                <pt idx="55">
                  <v>24864</v>
                </pt>
                <pt idx="56">
                  <v>24871</v>
                </pt>
                <pt idx="57">
                  <v>24878</v>
                </pt>
                <pt idx="58">
                  <v>24885</v>
                </pt>
                <pt idx="59">
                  <v>24892</v>
                </pt>
                <pt idx="60">
                  <v>24899</v>
                </pt>
                <pt idx="61">
                  <v>24906</v>
                </pt>
                <pt idx="62">
                  <v>24913</v>
                </pt>
                <pt idx="63">
                  <v>24920</v>
                </pt>
                <pt idx="64">
                  <v>24927</v>
                </pt>
                <pt idx="65">
                  <v>24934</v>
                </pt>
                <pt idx="66">
                  <v>24941</v>
                </pt>
                <pt idx="67">
                  <v>24948</v>
                </pt>
                <pt idx="68">
                  <v>24955</v>
                </pt>
                <pt idx="69">
                  <v>24962</v>
                </pt>
                <pt idx="70">
                  <v>24969</v>
                </pt>
                <pt idx="71">
                  <v>24976</v>
                </pt>
                <pt idx="72">
                  <v>24983</v>
                </pt>
                <pt idx="73">
                  <v>24990</v>
                </pt>
                <pt idx="74">
                  <v>24997</v>
                </pt>
                <pt idx="75">
                  <v>25004</v>
                </pt>
                <pt idx="76">
                  <v>25011</v>
                </pt>
                <pt idx="77">
                  <v>25018</v>
                </pt>
                <pt idx="78">
                  <v>25025</v>
                </pt>
                <pt idx="79">
                  <v>25032</v>
                </pt>
                <pt idx="80">
                  <v>25039</v>
                </pt>
                <pt idx="81">
                  <v>25046</v>
                </pt>
                <pt idx="82">
                  <v>25053</v>
                </pt>
                <pt idx="83">
                  <v>25060</v>
                </pt>
                <pt idx="84">
                  <v>25067</v>
                </pt>
                <pt idx="85">
                  <v>25074</v>
                </pt>
                <pt idx="86">
                  <v>25081</v>
                </pt>
                <pt idx="87">
                  <v>25088</v>
                </pt>
                <pt idx="88">
                  <v>25095</v>
                </pt>
                <pt idx="89">
                  <v>25102</v>
                </pt>
                <pt idx="90">
                  <v>25109</v>
                </pt>
                <pt idx="91">
                  <v>25116</v>
                </pt>
                <pt idx="92">
                  <v>25123</v>
                </pt>
                <pt idx="93">
                  <v>25130</v>
                </pt>
                <pt idx="94">
                  <v>25137</v>
                </pt>
                <pt idx="95">
                  <v>25144</v>
                </pt>
                <pt idx="96">
                  <v>25151</v>
                </pt>
                <pt idx="97">
                  <v>25158</v>
                </pt>
                <pt idx="98">
                  <v>25165</v>
                </pt>
                <pt idx="99">
                  <v>25172</v>
                </pt>
                <pt idx="100">
                  <v>25179</v>
                </pt>
                <pt idx="101">
                  <v>25186</v>
                </pt>
                <pt idx="102">
                  <v>25193</v>
                </pt>
                <pt idx="103">
                  <v>25200</v>
                </pt>
                <pt idx="104">
                  <v>25207</v>
                </pt>
                <pt idx="105">
                  <v>25214</v>
                </pt>
                <pt idx="106">
                  <v>25221</v>
                </pt>
                <pt idx="107">
                  <v>25228</v>
                </pt>
                <pt idx="108">
                  <v>25235</v>
                </pt>
                <pt idx="109">
                  <v>25242</v>
                </pt>
                <pt idx="110">
                  <v>25249</v>
                </pt>
                <pt idx="111">
                  <v>25256</v>
                </pt>
                <pt idx="112">
                  <v>25263</v>
                </pt>
                <pt idx="113">
                  <v>25270</v>
                </pt>
                <pt idx="114">
                  <v>25277</v>
                </pt>
                <pt idx="115">
                  <v>25284</v>
                </pt>
                <pt idx="116">
                  <v>25291</v>
                </pt>
                <pt idx="117">
                  <v>25298</v>
                </pt>
                <pt idx="118">
                  <v>25305</v>
                </pt>
                <pt idx="119">
                  <v>25312</v>
                </pt>
                <pt idx="120">
                  <v>25319</v>
                </pt>
                <pt idx="121">
                  <v>25326</v>
                </pt>
                <pt idx="122">
                  <v>25333</v>
                </pt>
                <pt idx="123">
                  <v>25340</v>
                </pt>
                <pt idx="124">
                  <v>25347</v>
                </pt>
                <pt idx="125">
                  <v>25354</v>
                </pt>
                <pt idx="126">
                  <v>25361</v>
                </pt>
                <pt idx="127">
                  <v>25368</v>
                </pt>
                <pt idx="128">
                  <v>25375</v>
                </pt>
                <pt idx="129">
                  <v>25382</v>
                </pt>
                <pt idx="130">
                  <v>25389</v>
                </pt>
                <pt idx="131">
                  <v>25396</v>
                </pt>
                <pt idx="132">
                  <v>25403</v>
                </pt>
                <pt idx="133">
                  <v>25410</v>
                </pt>
                <pt idx="134">
                  <v>25417</v>
                </pt>
                <pt idx="135">
                  <v>25424</v>
                </pt>
                <pt idx="136">
                  <v>25431</v>
                </pt>
                <pt idx="137">
                  <v>25438</v>
                </pt>
                <pt idx="138">
                  <v>25445</v>
                </pt>
                <pt idx="139">
                  <v>25452</v>
                </pt>
                <pt idx="140">
                  <v>25459</v>
                </pt>
                <pt idx="141">
                  <v>25466</v>
                </pt>
                <pt idx="142">
                  <v>25473</v>
                </pt>
                <pt idx="143">
                  <v>25480</v>
                </pt>
                <pt idx="144">
                  <v>25487</v>
                </pt>
                <pt idx="145">
                  <v>25494</v>
                </pt>
                <pt idx="146">
                  <v>25501</v>
                </pt>
                <pt idx="147">
                  <v>25508</v>
                </pt>
                <pt idx="148">
                  <v>25515</v>
                </pt>
                <pt idx="149">
                  <v>25522</v>
                </pt>
                <pt idx="150">
                  <v>25529</v>
                </pt>
                <pt idx="151">
                  <v>25536</v>
                </pt>
                <pt idx="152">
                  <v>25543</v>
                </pt>
                <pt idx="153">
                  <v>25550</v>
                </pt>
                <pt idx="154">
                  <v>25557</v>
                </pt>
                <pt idx="155">
                  <v>25564</v>
                </pt>
                <pt idx="156">
                  <v>25571</v>
                </pt>
                <pt idx="157">
                  <v>25578</v>
                </pt>
                <pt idx="158">
                  <v>25585</v>
                </pt>
                <pt idx="159">
                  <v>25592</v>
                </pt>
                <pt idx="160">
                  <v>25599</v>
                </pt>
                <pt idx="161">
                  <v>25606</v>
                </pt>
                <pt idx="162">
                  <v>25613</v>
                </pt>
                <pt idx="163">
                  <v>25620</v>
                </pt>
                <pt idx="164">
                  <v>25627</v>
                </pt>
                <pt idx="165">
                  <v>25634</v>
                </pt>
                <pt idx="166">
                  <v>25641</v>
                </pt>
                <pt idx="167">
                  <v>25648</v>
                </pt>
                <pt idx="168">
                  <v>25655</v>
                </pt>
                <pt idx="169">
                  <v>25662</v>
                </pt>
                <pt idx="170">
                  <v>25669</v>
                </pt>
                <pt idx="171">
                  <v>25676</v>
                </pt>
                <pt idx="172">
                  <v>25683</v>
                </pt>
                <pt idx="173">
                  <v>25690</v>
                </pt>
                <pt idx="174">
                  <v>25697</v>
                </pt>
                <pt idx="175">
                  <v>25704</v>
                </pt>
                <pt idx="176">
                  <v>25711</v>
                </pt>
                <pt idx="177">
                  <v>25718</v>
                </pt>
                <pt idx="178">
                  <v>25725</v>
                </pt>
                <pt idx="179">
                  <v>25732</v>
                </pt>
                <pt idx="180">
                  <v>25739</v>
                </pt>
                <pt idx="181">
                  <v>25746</v>
                </pt>
                <pt idx="182">
                  <v>25753</v>
                </pt>
                <pt idx="183">
                  <v>25760</v>
                </pt>
                <pt idx="184">
                  <v>25767</v>
                </pt>
                <pt idx="185">
                  <v>25774</v>
                </pt>
                <pt idx="186">
                  <v>25781</v>
                </pt>
                <pt idx="187">
                  <v>25788</v>
                </pt>
                <pt idx="188">
                  <v>25795</v>
                </pt>
                <pt idx="189">
                  <v>25802</v>
                </pt>
                <pt idx="190">
                  <v>25809</v>
                </pt>
                <pt idx="191">
                  <v>25816</v>
                </pt>
                <pt idx="192">
                  <v>25823</v>
                </pt>
                <pt idx="193">
                  <v>25830</v>
                </pt>
                <pt idx="194">
                  <v>25837</v>
                </pt>
                <pt idx="195">
                  <v>25844</v>
                </pt>
                <pt idx="196">
                  <v>25851</v>
                </pt>
                <pt idx="197">
                  <v>25858</v>
                </pt>
                <pt idx="198">
                  <v>25865</v>
                </pt>
                <pt idx="199">
                  <v>25872</v>
                </pt>
                <pt idx="200">
                  <v>25879</v>
                </pt>
                <pt idx="201">
                  <v>25886</v>
                </pt>
                <pt idx="202">
                  <v>25893</v>
                </pt>
                <pt idx="203">
                  <v>25900</v>
                </pt>
                <pt idx="204">
                  <v>25907</v>
                </pt>
                <pt idx="205">
                  <v>25914</v>
                </pt>
                <pt idx="206">
                  <v>25921</v>
                </pt>
                <pt idx="207">
                  <v>25928</v>
                </pt>
                <pt idx="208">
                  <v>25935</v>
                </pt>
                <pt idx="209">
                  <v>25942</v>
                </pt>
                <pt idx="210">
                  <v>25949</v>
                </pt>
                <pt idx="211">
                  <v>25956</v>
                </pt>
                <pt idx="212">
                  <v>25963</v>
                </pt>
                <pt idx="213">
                  <v>25970</v>
                </pt>
                <pt idx="214">
                  <v>25977</v>
                </pt>
                <pt idx="215">
                  <v>25984</v>
                </pt>
                <pt idx="216">
                  <v>25991</v>
                </pt>
                <pt idx="217">
                  <v>25998</v>
                </pt>
                <pt idx="218">
                  <v>26005</v>
                </pt>
                <pt idx="219">
                  <v>26012</v>
                </pt>
                <pt idx="220">
                  <v>26019</v>
                </pt>
                <pt idx="221">
                  <v>26026</v>
                </pt>
                <pt idx="222">
                  <v>26033</v>
                </pt>
                <pt idx="223">
                  <v>26040</v>
                </pt>
                <pt idx="224">
                  <v>26047</v>
                </pt>
                <pt idx="225">
                  <v>26054</v>
                </pt>
                <pt idx="226">
                  <v>26061</v>
                </pt>
                <pt idx="227">
                  <v>26068</v>
                </pt>
                <pt idx="228">
                  <v>26075</v>
                </pt>
                <pt idx="229">
                  <v>26082</v>
                </pt>
                <pt idx="230">
                  <v>26089</v>
                </pt>
                <pt idx="231">
                  <v>26096</v>
                </pt>
                <pt idx="232">
                  <v>26103</v>
                </pt>
                <pt idx="233">
                  <v>26110</v>
                </pt>
                <pt idx="234">
                  <v>26117</v>
                </pt>
                <pt idx="235">
                  <v>26124</v>
                </pt>
                <pt idx="236">
                  <v>26131</v>
                </pt>
                <pt idx="237">
                  <v>26138</v>
                </pt>
                <pt idx="238">
                  <v>26145</v>
                </pt>
                <pt idx="239">
                  <v>26152</v>
                </pt>
                <pt idx="240">
                  <v>26159</v>
                </pt>
                <pt idx="241">
                  <v>26166</v>
                </pt>
                <pt idx="242">
                  <v>26173</v>
                </pt>
                <pt idx="243">
                  <v>26180</v>
                </pt>
                <pt idx="244">
                  <v>26187</v>
                </pt>
                <pt idx="245">
                  <v>26194</v>
                </pt>
                <pt idx="246">
                  <v>26201</v>
                </pt>
                <pt idx="247">
                  <v>26208</v>
                </pt>
                <pt idx="248">
                  <v>26215</v>
                </pt>
                <pt idx="249">
                  <v>26222</v>
                </pt>
                <pt idx="250">
                  <v>26229</v>
                </pt>
                <pt idx="251">
                  <v>26236</v>
                </pt>
                <pt idx="252">
                  <v>26243</v>
                </pt>
                <pt idx="253">
                  <v>26250</v>
                </pt>
                <pt idx="254">
                  <v>26257</v>
                </pt>
                <pt idx="255">
                  <v>26264</v>
                </pt>
                <pt idx="256">
                  <v>26271</v>
                </pt>
                <pt idx="257">
                  <v>26278</v>
                </pt>
                <pt idx="258">
                  <v>26285</v>
                </pt>
                <pt idx="259">
                  <v>26292</v>
                </pt>
                <pt idx="260">
                  <v>26299</v>
                </pt>
                <pt idx="261">
                  <v>26306</v>
                </pt>
                <pt idx="262">
                  <v>26313</v>
                </pt>
                <pt idx="263">
                  <v>26320</v>
                </pt>
                <pt idx="264">
                  <v>26327</v>
                </pt>
                <pt idx="265">
                  <v>26334</v>
                </pt>
                <pt idx="266">
                  <v>26341</v>
                </pt>
                <pt idx="267">
                  <v>26348</v>
                </pt>
                <pt idx="268">
                  <v>26355</v>
                </pt>
                <pt idx="269">
                  <v>26362</v>
                </pt>
                <pt idx="270">
                  <v>26369</v>
                </pt>
                <pt idx="271">
                  <v>26376</v>
                </pt>
                <pt idx="272">
                  <v>26383</v>
                </pt>
                <pt idx="273">
                  <v>26390</v>
                </pt>
                <pt idx="274">
                  <v>26397</v>
                </pt>
                <pt idx="275">
                  <v>26404</v>
                </pt>
                <pt idx="276">
                  <v>26411</v>
                </pt>
                <pt idx="277">
                  <v>26418</v>
                </pt>
                <pt idx="278">
                  <v>26425</v>
                </pt>
                <pt idx="279">
                  <v>26432</v>
                </pt>
                <pt idx="280">
                  <v>26439</v>
                </pt>
                <pt idx="281">
                  <v>26446</v>
                </pt>
                <pt idx="282">
                  <v>26453</v>
                </pt>
                <pt idx="283">
                  <v>26460</v>
                </pt>
                <pt idx="284">
                  <v>26467</v>
                </pt>
                <pt idx="285">
                  <v>26474</v>
                </pt>
                <pt idx="286">
                  <v>26481</v>
                </pt>
                <pt idx="287">
                  <v>26488</v>
                </pt>
                <pt idx="288">
                  <v>26495</v>
                </pt>
                <pt idx="289">
                  <v>26502</v>
                </pt>
                <pt idx="290">
                  <v>26509</v>
                </pt>
                <pt idx="291">
                  <v>26516</v>
                </pt>
                <pt idx="292">
                  <v>26523</v>
                </pt>
                <pt idx="293">
                  <v>26530</v>
                </pt>
                <pt idx="294">
                  <v>26537</v>
                </pt>
                <pt idx="295">
                  <v>26544</v>
                </pt>
                <pt idx="296">
                  <v>26551</v>
                </pt>
                <pt idx="297">
                  <v>26558</v>
                </pt>
                <pt idx="298">
                  <v>26565</v>
                </pt>
                <pt idx="299">
                  <v>26572</v>
                </pt>
                <pt idx="300">
                  <v>26579</v>
                </pt>
                <pt idx="301">
                  <v>26586</v>
                </pt>
                <pt idx="302">
                  <v>26593</v>
                </pt>
                <pt idx="303">
                  <v>26600</v>
                </pt>
                <pt idx="304">
                  <v>26607</v>
                </pt>
                <pt idx="305">
                  <v>26614</v>
                </pt>
                <pt idx="306">
                  <v>26621</v>
                </pt>
                <pt idx="307">
                  <v>26628</v>
                </pt>
                <pt idx="308">
                  <v>26635</v>
                </pt>
                <pt idx="309">
                  <v>26642</v>
                </pt>
                <pt idx="310">
                  <v>26649</v>
                </pt>
                <pt idx="311">
                  <v>26656</v>
                </pt>
                <pt idx="312">
                  <v>26663</v>
                </pt>
                <pt idx="313">
                  <v>26670</v>
                </pt>
                <pt idx="314">
                  <v>26677</v>
                </pt>
                <pt idx="315">
                  <v>26684</v>
                </pt>
                <pt idx="316">
                  <v>26691</v>
                </pt>
                <pt idx="317">
                  <v>26698</v>
                </pt>
                <pt idx="318">
                  <v>26705</v>
                </pt>
                <pt idx="319">
                  <v>26712</v>
                </pt>
                <pt idx="320">
                  <v>26719</v>
                </pt>
                <pt idx="321">
                  <v>26726</v>
                </pt>
                <pt idx="322">
                  <v>26733</v>
                </pt>
                <pt idx="323">
                  <v>26740</v>
                </pt>
                <pt idx="324">
                  <v>26747</v>
                </pt>
                <pt idx="325">
                  <v>26754</v>
                </pt>
                <pt idx="326">
                  <v>26761</v>
                </pt>
                <pt idx="327">
                  <v>26768</v>
                </pt>
                <pt idx="328">
                  <v>26775</v>
                </pt>
                <pt idx="329">
                  <v>26782</v>
                </pt>
                <pt idx="330">
                  <v>26789</v>
                </pt>
                <pt idx="331">
                  <v>26796</v>
                </pt>
                <pt idx="332">
                  <v>26803</v>
                </pt>
                <pt idx="333">
                  <v>26810</v>
                </pt>
                <pt idx="334">
                  <v>26817</v>
                </pt>
                <pt idx="335">
                  <v>26824</v>
                </pt>
                <pt idx="336">
                  <v>26831</v>
                </pt>
                <pt idx="337">
                  <v>26838</v>
                </pt>
                <pt idx="338">
                  <v>26845</v>
                </pt>
                <pt idx="339">
                  <v>26852</v>
                </pt>
                <pt idx="340">
                  <v>26859</v>
                </pt>
                <pt idx="341">
                  <v>26866</v>
                </pt>
                <pt idx="342">
                  <v>26873</v>
                </pt>
                <pt idx="343">
                  <v>26880</v>
                </pt>
                <pt idx="344">
                  <v>26887</v>
                </pt>
                <pt idx="345">
                  <v>26894</v>
                </pt>
                <pt idx="346">
                  <v>26901</v>
                </pt>
                <pt idx="347">
                  <v>26908</v>
                </pt>
                <pt idx="348">
                  <v>26915</v>
                </pt>
                <pt idx="349">
                  <v>26922</v>
                </pt>
                <pt idx="350">
                  <v>26929</v>
                </pt>
                <pt idx="351">
                  <v>26936</v>
                </pt>
                <pt idx="352">
                  <v>26943</v>
                </pt>
                <pt idx="353">
                  <v>26950</v>
                </pt>
                <pt idx="354">
                  <v>26957</v>
                </pt>
                <pt idx="355">
                  <v>26964</v>
                </pt>
                <pt idx="356">
                  <v>26971</v>
                </pt>
                <pt idx="357">
                  <v>26978</v>
                </pt>
                <pt idx="358">
                  <v>26985</v>
                </pt>
                <pt idx="359">
                  <v>26992</v>
                </pt>
                <pt idx="360">
                  <v>26999</v>
                </pt>
                <pt idx="361">
                  <v>27006</v>
                </pt>
                <pt idx="362">
                  <v>27013</v>
                </pt>
                <pt idx="363">
                  <v>27020</v>
                </pt>
                <pt idx="364">
                  <v>27027</v>
                </pt>
                <pt idx="365">
                  <v>27034</v>
                </pt>
                <pt idx="366">
                  <v>27041</v>
                </pt>
                <pt idx="367">
                  <v>27048</v>
                </pt>
                <pt idx="368">
                  <v>27055</v>
                </pt>
                <pt idx="369">
                  <v>27062</v>
                </pt>
                <pt idx="370">
                  <v>27069</v>
                </pt>
                <pt idx="371">
                  <v>27076</v>
                </pt>
                <pt idx="372">
                  <v>27083</v>
                </pt>
                <pt idx="373">
                  <v>27090</v>
                </pt>
                <pt idx="374">
                  <v>27097</v>
                </pt>
                <pt idx="375">
                  <v>27104</v>
                </pt>
                <pt idx="376">
                  <v>27111</v>
                </pt>
                <pt idx="377">
                  <v>27118</v>
                </pt>
                <pt idx="378">
                  <v>27125</v>
                </pt>
                <pt idx="379">
                  <v>27132</v>
                </pt>
                <pt idx="380">
                  <v>27139</v>
                </pt>
                <pt idx="381">
                  <v>27146</v>
                </pt>
                <pt idx="382">
                  <v>27153</v>
                </pt>
                <pt idx="383">
                  <v>27160</v>
                </pt>
                <pt idx="384">
                  <v>27167</v>
                </pt>
                <pt idx="385">
                  <v>27174</v>
                </pt>
                <pt idx="386">
                  <v>27181</v>
                </pt>
                <pt idx="387">
                  <v>27188</v>
                </pt>
                <pt idx="388">
                  <v>27195</v>
                </pt>
                <pt idx="389">
                  <v>27202</v>
                </pt>
                <pt idx="390">
                  <v>27209</v>
                </pt>
                <pt idx="391">
                  <v>27216</v>
                </pt>
                <pt idx="392">
                  <v>27223</v>
                </pt>
                <pt idx="393">
                  <v>27230</v>
                </pt>
                <pt idx="394">
                  <v>27237</v>
                </pt>
                <pt idx="395">
                  <v>27244</v>
                </pt>
                <pt idx="396">
                  <v>27251</v>
                </pt>
                <pt idx="397">
                  <v>27258</v>
                </pt>
                <pt idx="398">
                  <v>27265</v>
                </pt>
                <pt idx="399">
                  <v>27272</v>
                </pt>
                <pt idx="400">
                  <v>27279</v>
                </pt>
                <pt idx="401">
                  <v>27286</v>
                </pt>
                <pt idx="402">
                  <v>27293</v>
                </pt>
                <pt idx="403">
                  <v>27300</v>
                </pt>
                <pt idx="404">
                  <v>27307</v>
                </pt>
                <pt idx="405">
                  <v>27314</v>
                </pt>
                <pt idx="406">
                  <v>27321</v>
                </pt>
                <pt idx="407">
                  <v>27328</v>
                </pt>
                <pt idx="408">
                  <v>27335</v>
                </pt>
                <pt idx="409">
                  <v>27342</v>
                </pt>
                <pt idx="410">
                  <v>27349</v>
                </pt>
                <pt idx="411">
                  <v>27356</v>
                </pt>
                <pt idx="412">
                  <v>27363</v>
                </pt>
                <pt idx="413">
                  <v>27370</v>
                </pt>
                <pt idx="414">
                  <v>27377</v>
                </pt>
                <pt idx="415">
                  <v>27384</v>
                </pt>
                <pt idx="416">
                  <v>27391</v>
                </pt>
                <pt idx="417">
                  <v>27398</v>
                </pt>
                <pt idx="418">
                  <v>27405</v>
                </pt>
                <pt idx="419">
                  <v>27412</v>
                </pt>
                <pt idx="420">
                  <v>27419</v>
                </pt>
                <pt idx="421">
                  <v>27426</v>
                </pt>
                <pt idx="422">
                  <v>27433</v>
                </pt>
                <pt idx="423">
                  <v>27440</v>
                </pt>
                <pt idx="424">
                  <v>27447</v>
                </pt>
                <pt idx="425">
                  <v>27454</v>
                </pt>
                <pt idx="426">
                  <v>27461</v>
                </pt>
                <pt idx="427">
                  <v>27468</v>
                </pt>
                <pt idx="428">
                  <v>27475</v>
                </pt>
                <pt idx="429">
                  <v>27482</v>
                </pt>
                <pt idx="430">
                  <v>27489</v>
                </pt>
                <pt idx="431">
                  <v>27496</v>
                </pt>
                <pt idx="432">
                  <v>27503</v>
                </pt>
                <pt idx="433">
                  <v>27510</v>
                </pt>
                <pt idx="434">
                  <v>27517</v>
                </pt>
                <pt idx="435">
                  <v>27524</v>
                </pt>
                <pt idx="436">
                  <v>27531</v>
                </pt>
                <pt idx="437">
                  <v>27538</v>
                </pt>
                <pt idx="438">
                  <v>27545</v>
                </pt>
                <pt idx="439">
                  <v>27552</v>
                </pt>
                <pt idx="440">
                  <v>27559</v>
                </pt>
                <pt idx="441">
                  <v>27566</v>
                </pt>
                <pt idx="442">
                  <v>27573</v>
                </pt>
                <pt idx="443">
                  <v>27580</v>
                </pt>
                <pt idx="444">
                  <v>27587</v>
                </pt>
                <pt idx="445">
                  <v>27594</v>
                </pt>
                <pt idx="446">
                  <v>27601</v>
                </pt>
                <pt idx="447">
                  <v>27608</v>
                </pt>
                <pt idx="448">
                  <v>27615</v>
                </pt>
                <pt idx="449">
                  <v>27622</v>
                </pt>
                <pt idx="450">
                  <v>27629</v>
                </pt>
                <pt idx="451">
                  <v>27636</v>
                </pt>
                <pt idx="452">
                  <v>27643</v>
                </pt>
                <pt idx="453">
                  <v>27650</v>
                </pt>
                <pt idx="454">
                  <v>27657</v>
                </pt>
                <pt idx="455">
                  <v>27664</v>
                </pt>
                <pt idx="456">
                  <v>27671</v>
                </pt>
                <pt idx="457">
                  <v>27678</v>
                </pt>
                <pt idx="458">
                  <v>27685</v>
                </pt>
                <pt idx="459">
                  <v>27692</v>
                </pt>
                <pt idx="460">
                  <v>27699</v>
                </pt>
                <pt idx="461">
                  <v>27706</v>
                </pt>
                <pt idx="462">
                  <v>27713</v>
                </pt>
                <pt idx="463">
                  <v>27720</v>
                </pt>
                <pt idx="464">
                  <v>27727</v>
                </pt>
                <pt idx="465">
                  <v>27734</v>
                </pt>
                <pt idx="466">
                  <v>27741</v>
                </pt>
                <pt idx="467">
                  <v>27748</v>
                </pt>
                <pt idx="468">
                  <v>27755</v>
                </pt>
                <pt idx="469">
                  <v>27762</v>
                </pt>
                <pt idx="470">
                  <v>27769</v>
                </pt>
                <pt idx="471">
                  <v>27776</v>
                </pt>
                <pt idx="472">
                  <v>27783</v>
                </pt>
                <pt idx="473">
                  <v>27790</v>
                </pt>
                <pt idx="474">
                  <v>27797</v>
                </pt>
                <pt idx="475">
                  <v>27804</v>
                </pt>
                <pt idx="476">
                  <v>27811</v>
                </pt>
                <pt idx="477">
                  <v>27818</v>
                </pt>
                <pt idx="478">
                  <v>27825</v>
                </pt>
                <pt idx="479">
                  <v>27832</v>
                </pt>
                <pt idx="480">
                  <v>27839</v>
                </pt>
                <pt idx="481">
                  <v>27846</v>
                </pt>
                <pt idx="482">
                  <v>27853</v>
                </pt>
                <pt idx="483">
                  <v>27860</v>
                </pt>
                <pt idx="484">
                  <v>27867</v>
                </pt>
                <pt idx="485">
                  <v>27874</v>
                </pt>
                <pt idx="486">
                  <v>27881</v>
                </pt>
                <pt idx="487">
                  <v>27888</v>
                </pt>
                <pt idx="488">
                  <v>27895</v>
                </pt>
                <pt idx="489">
                  <v>27902</v>
                </pt>
                <pt idx="490">
                  <v>27909</v>
                </pt>
                <pt idx="491">
                  <v>27916</v>
                </pt>
                <pt idx="492">
                  <v>27923</v>
                </pt>
                <pt idx="493">
                  <v>27930</v>
                </pt>
                <pt idx="494">
                  <v>27937</v>
                </pt>
                <pt idx="495">
                  <v>27944</v>
                </pt>
                <pt idx="496">
                  <v>27951</v>
                </pt>
                <pt idx="497">
                  <v>27958</v>
                </pt>
                <pt idx="498">
                  <v>27965</v>
                </pt>
                <pt idx="499">
                  <v>27972</v>
                </pt>
                <pt idx="500">
                  <v>27979</v>
                </pt>
                <pt idx="501">
                  <v>27986</v>
                </pt>
                <pt idx="502">
                  <v>27993</v>
                </pt>
                <pt idx="503">
                  <v>28000</v>
                </pt>
                <pt idx="504">
                  <v>28007</v>
                </pt>
                <pt idx="505">
                  <v>28014</v>
                </pt>
                <pt idx="506">
                  <v>28021</v>
                </pt>
                <pt idx="507">
                  <v>28028</v>
                </pt>
                <pt idx="508">
                  <v>28035</v>
                </pt>
                <pt idx="509">
                  <v>28042</v>
                </pt>
                <pt idx="510">
                  <v>28049</v>
                </pt>
                <pt idx="511">
                  <v>28056</v>
                </pt>
                <pt idx="512">
                  <v>28063</v>
                </pt>
                <pt idx="513">
                  <v>28070</v>
                </pt>
                <pt idx="514">
                  <v>28077</v>
                </pt>
                <pt idx="515">
                  <v>28084</v>
                </pt>
                <pt idx="516">
                  <v>28091</v>
                </pt>
                <pt idx="517">
                  <v>28098</v>
                </pt>
                <pt idx="518">
                  <v>28105</v>
                </pt>
                <pt idx="519">
                  <v>28112</v>
                </pt>
                <pt idx="520">
                  <v>28119</v>
                </pt>
                <pt idx="521">
                  <v>28126</v>
                </pt>
                <pt idx="522">
                  <v>28133</v>
                </pt>
                <pt idx="523">
                  <v>28140</v>
                </pt>
                <pt idx="524">
                  <v>28147</v>
                </pt>
                <pt idx="525">
                  <v>28154</v>
                </pt>
                <pt idx="526">
                  <v>28161</v>
                </pt>
                <pt idx="527">
                  <v>28168</v>
                </pt>
                <pt idx="528">
                  <v>28175</v>
                </pt>
                <pt idx="529">
                  <v>28182</v>
                </pt>
                <pt idx="530">
                  <v>28189</v>
                </pt>
                <pt idx="531">
                  <v>28196</v>
                </pt>
                <pt idx="532">
                  <v>28203</v>
                </pt>
                <pt idx="533">
                  <v>28210</v>
                </pt>
                <pt idx="534">
                  <v>28217</v>
                </pt>
                <pt idx="535">
                  <v>28224</v>
                </pt>
                <pt idx="536">
                  <v>28231</v>
                </pt>
                <pt idx="537">
                  <v>28238</v>
                </pt>
                <pt idx="538">
                  <v>28245</v>
                </pt>
                <pt idx="539">
                  <v>28252</v>
                </pt>
                <pt idx="540">
                  <v>28259</v>
                </pt>
                <pt idx="541">
                  <v>28266</v>
                </pt>
                <pt idx="542">
                  <v>28273</v>
                </pt>
                <pt idx="543">
                  <v>28280</v>
                </pt>
                <pt idx="544">
                  <v>28287</v>
                </pt>
                <pt idx="545">
                  <v>28294</v>
                </pt>
                <pt idx="546">
                  <v>28301</v>
                </pt>
                <pt idx="547">
                  <v>28308</v>
                </pt>
                <pt idx="548">
                  <v>28315</v>
                </pt>
                <pt idx="549">
                  <v>28322</v>
                </pt>
                <pt idx="550">
                  <v>28329</v>
                </pt>
                <pt idx="551">
                  <v>28336</v>
                </pt>
                <pt idx="552">
                  <v>28343</v>
                </pt>
                <pt idx="553">
                  <v>28350</v>
                </pt>
                <pt idx="554">
                  <v>28357</v>
                </pt>
                <pt idx="555">
                  <v>28364</v>
                </pt>
                <pt idx="556">
                  <v>28371</v>
                </pt>
                <pt idx="557">
                  <v>28378</v>
                </pt>
                <pt idx="558">
                  <v>28385</v>
                </pt>
                <pt idx="559">
                  <v>28392</v>
                </pt>
                <pt idx="560">
                  <v>28399</v>
                </pt>
                <pt idx="561">
                  <v>28406</v>
                </pt>
                <pt idx="562">
                  <v>28413</v>
                </pt>
                <pt idx="563">
                  <v>28420</v>
                </pt>
                <pt idx="564">
                  <v>28427</v>
                </pt>
                <pt idx="565">
                  <v>28434</v>
                </pt>
                <pt idx="566">
                  <v>28441</v>
                </pt>
                <pt idx="567">
                  <v>28448</v>
                </pt>
                <pt idx="568">
                  <v>28455</v>
                </pt>
                <pt idx="569">
                  <v>28462</v>
                </pt>
                <pt idx="570">
                  <v>28469</v>
                </pt>
                <pt idx="571">
                  <v>28476</v>
                </pt>
                <pt idx="572">
                  <v>28483</v>
                </pt>
                <pt idx="573">
                  <v>28490</v>
                </pt>
                <pt idx="574">
                  <v>28497</v>
                </pt>
                <pt idx="575">
                  <v>28504</v>
                </pt>
                <pt idx="576">
                  <v>28511</v>
                </pt>
                <pt idx="577">
                  <v>28518</v>
                </pt>
                <pt idx="578">
                  <v>28525</v>
                </pt>
                <pt idx="579">
                  <v>28532</v>
                </pt>
                <pt idx="580">
                  <v>28539</v>
                </pt>
                <pt idx="581">
                  <v>28546</v>
                </pt>
                <pt idx="582">
                  <v>28553</v>
                </pt>
                <pt idx="583">
                  <v>28560</v>
                </pt>
                <pt idx="584">
                  <v>28567</v>
                </pt>
                <pt idx="585">
                  <v>28574</v>
                </pt>
                <pt idx="586">
                  <v>28581</v>
                </pt>
                <pt idx="587">
                  <v>28588</v>
                </pt>
                <pt idx="588">
                  <v>28595</v>
                </pt>
                <pt idx="589">
                  <v>28602</v>
                </pt>
                <pt idx="590">
                  <v>28609</v>
                </pt>
                <pt idx="591">
                  <v>28616</v>
                </pt>
                <pt idx="592">
                  <v>28623</v>
                </pt>
                <pt idx="593">
                  <v>28630</v>
                </pt>
                <pt idx="594">
                  <v>28637</v>
                </pt>
                <pt idx="595">
                  <v>28644</v>
                </pt>
                <pt idx="596">
                  <v>28651</v>
                </pt>
                <pt idx="597">
                  <v>28658</v>
                </pt>
                <pt idx="598">
                  <v>28665</v>
                </pt>
                <pt idx="599">
                  <v>28672</v>
                </pt>
                <pt idx="600">
                  <v>28679</v>
                </pt>
                <pt idx="601">
                  <v>28686</v>
                </pt>
                <pt idx="602">
                  <v>28693</v>
                </pt>
                <pt idx="603">
                  <v>28700</v>
                </pt>
                <pt idx="604">
                  <v>28707</v>
                </pt>
                <pt idx="605">
                  <v>28714</v>
                </pt>
                <pt idx="606">
                  <v>28721</v>
                </pt>
                <pt idx="607">
                  <v>28728</v>
                </pt>
                <pt idx="608">
                  <v>28735</v>
                </pt>
                <pt idx="609">
                  <v>28742</v>
                </pt>
                <pt idx="610">
                  <v>28749</v>
                </pt>
                <pt idx="611">
                  <v>28756</v>
                </pt>
                <pt idx="612">
                  <v>28763</v>
                </pt>
                <pt idx="613">
                  <v>28770</v>
                </pt>
                <pt idx="614">
                  <v>28777</v>
                </pt>
                <pt idx="615">
                  <v>28784</v>
                </pt>
                <pt idx="616">
                  <v>28791</v>
                </pt>
                <pt idx="617">
                  <v>28798</v>
                </pt>
                <pt idx="618">
                  <v>28805</v>
                </pt>
                <pt idx="619">
                  <v>28812</v>
                </pt>
                <pt idx="620">
                  <v>28819</v>
                </pt>
                <pt idx="621">
                  <v>28826</v>
                </pt>
                <pt idx="622">
                  <v>28833</v>
                </pt>
                <pt idx="623">
                  <v>28840</v>
                </pt>
                <pt idx="624">
                  <v>28847</v>
                </pt>
                <pt idx="625">
                  <v>28854</v>
                </pt>
                <pt idx="626">
                  <v>28861</v>
                </pt>
                <pt idx="627">
                  <v>28868</v>
                </pt>
                <pt idx="628">
                  <v>28875</v>
                </pt>
                <pt idx="629">
                  <v>28882</v>
                </pt>
                <pt idx="630">
                  <v>28889</v>
                </pt>
                <pt idx="631">
                  <v>28896</v>
                </pt>
                <pt idx="632">
                  <v>28903</v>
                </pt>
                <pt idx="633">
                  <v>28910</v>
                </pt>
                <pt idx="634">
                  <v>28917</v>
                </pt>
                <pt idx="635">
                  <v>28924</v>
                </pt>
                <pt idx="636">
                  <v>28931</v>
                </pt>
                <pt idx="637">
                  <v>28938</v>
                </pt>
                <pt idx="638">
                  <v>28945</v>
                </pt>
                <pt idx="639">
                  <v>28952</v>
                </pt>
                <pt idx="640">
                  <v>28959</v>
                </pt>
                <pt idx="641">
                  <v>28966</v>
                </pt>
                <pt idx="642">
                  <v>28973</v>
                </pt>
                <pt idx="643">
                  <v>28980</v>
                </pt>
                <pt idx="644">
                  <v>28987</v>
                </pt>
                <pt idx="645">
                  <v>28994</v>
                </pt>
                <pt idx="646">
                  <v>29001</v>
                </pt>
                <pt idx="647">
                  <v>29008</v>
                </pt>
                <pt idx="648">
                  <v>29015</v>
                </pt>
                <pt idx="649">
                  <v>29022</v>
                </pt>
                <pt idx="650">
                  <v>29029</v>
                </pt>
                <pt idx="651">
                  <v>29036</v>
                </pt>
                <pt idx="652">
                  <v>29043</v>
                </pt>
                <pt idx="653">
                  <v>29050</v>
                </pt>
                <pt idx="654">
                  <v>29057</v>
                </pt>
                <pt idx="655">
                  <v>29064</v>
                </pt>
                <pt idx="656">
                  <v>29071</v>
                </pt>
                <pt idx="657">
                  <v>29078</v>
                </pt>
                <pt idx="658">
                  <v>29085</v>
                </pt>
                <pt idx="659">
                  <v>29092</v>
                </pt>
                <pt idx="660">
                  <v>29099</v>
                </pt>
                <pt idx="661">
                  <v>29106</v>
                </pt>
                <pt idx="662">
                  <v>29113</v>
                </pt>
                <pt idx="663">
                  <v>29120</v>
                </pt>
                <pt idx="664">
                  <v>29127</v>
                </pt>
                <pt idx="665">
                  <v>29134</v>
                </pt>
                <pt idx="666">
                  <v>29141</v>
                </pt>
                <pt idx="667">
                  <v>29148</v>
                </pt>
                <pt idx="668">
                  <v>29155</v>
                </pt>
                <pt idx="669">
                  <v>29162</v>
                </pt>
                <pt idx="670">
                  <v>29169</v>
                </pt>
                <pt idx="671">
                  <v>29176</v>
                </pt>
                <pt idx="672">
                  <v>29183</v>
                </pt>
                <pt idx="673">
                  <v>29190</v>
                </pt>
                <pt idx="674">
                  <v>29197</v>
                </pt>
                <pt idx="675">
                  <v>29204</v>
                </pt>
                <pt idx="676">
                  <v>29211</v>
                </pt>
                <pt idx="677">
                  <v>29218</v>
                </pt>
                <pt idx="678">
                  <v>29225</v>
                </pt>
                <pt idx="679">
                  <v>29232</v>
                </pt>
                <pt idx="680">
                  <v>29239</v>
                </pt>
                <pt idx="681">
                  <v>29246</v>
                </pt>
                <pt idx="682">
                  <v>29253</v>
                </pt>
                <pt idx="683">
                  <v>29260</v>
                </pt>
                <pt idx="684">
                  <v>29267</v>
                </pt>
                <pt idx="685">
                  <v>29274</v>
                </pt>
                <pt idx="686">
                  <v>29281</v>
                </pt>
                <pt idx="687">
                  <v>29288</v>
                </pt>
                <pt idx="688">
                  <v>29295</v>
                </pt>
                <pt idx="689">
                  <v>29302</v>
                </pt>
                <pt idx="690">
                  <v>29309</v>
                </pt>
                <pt idx="691">
                  <v>29316</v>
                </pt>
                <pt idx="692">
                  <v>29323</v>
                </pt>
                <pt idx="693">
                  <v>29330</v>
                </pt>
                <pt idx="694">
                  <v>29337</v>
                </pt>
                <pt idx="695">
                  <v>29344</v>
                </pt>
                <pt idx="696">
                  <v>29351</v>
                </pt>
                <pt idx="697">
                  <v>29358</v>
                </pt>
                <pt idx="698">
                  <v>29365</v>
                </pt>
                <pt idx="699">
                  <v>29372</v>
                </pt>
                <pt idx="700">
                  <v>29379</v>
                </pt>
                <pt idx="701">
                  <v>29386</v>
                </pt>
                <pt idx="702">
                  <v>29393</v>
                </pt>
                <pt idx="703">
                  <v>29400</v>
                </pt>
                <pt idx="704">
                  <v>29407</v>
                </pt>
                <pt idx="705">
                  <v>29414</v>
                </pt>
                <pt idx="706">
                  <v>29421</v>
                </pt>
                <pt idx="707">
                  <v>29428</v>
                </pt>
                <pt idx="708">
                  <v>29435</v>
                </pt>
                <pt idx="709">
                  <v>29442</v>
                </pt>
                <pt idx="710">
                  <v>29449</v>
                </pt>
                <pt idx="711">
                  <v>29456</v>
                </pt>
                <pt idx="712">
                  <v>29463</v>
                </pt>
                <pt idx="713">
                  <v>29470</v>
                </pt>
                <pt idx="714">
                  <v>29477</v>
                </pt>
                <pt idx="715">
                  <v>29484</v>
                </pt>
                <pt idx="716">
                  <v>29491</v>
                </pt>
                <pt idx="717">
                  <v>29498</v>
                </pt>
                <pt idx="718">
                  <v>29505</v>
                </pt>
                <pt idx="719">
                  <v>29512</v>
                </pt>
                <pt idx="720">
                  <v>29519</v>
                </pt>
                <pt idx="721">
                  <v>29526</v>
                </pt>
                <pt idx="722">
                  <v>29533</v>
                </pt>
                <pt idx="723">
                  <v>29540</v>
                </pt>
                <pt idx="724">
                  <v>29547</v>
                </pt>
                <pt idx="725">
                  <v>29554</v>
                </pt>
                <pt idx="726">
                  <v>29561</v>
                </pt>
                <pt idx="727">
                  <v>29568</v>
                </pt>
                <pt idx="728">
                  <v>29575</v>
                </pt>
                <pt idx="729">
                  <v>29582</v>
                </pt>
                <pt idx="730">
                  <v>29589</v>
                </pt>
                <pt idx="731">
                  <v>29596</v>
                </pt>
                <pt idx="732">
                  <v>29603</v>
                </pt>
                <pt idx="733">
                  <v>29610</v>
                </pt>
                <pt idx="734">
                  <v>29617</v>
                </pt>
                <pt idx="735">
                  <v>29624</v>
                </pt>
                <pt idx="736">
                  <v>29631</v>
                </pt>
                <pt idx="737">
                  <v>29638</v>
                </pt>
                <pt idx="738">
                  <v>29645</v>
                </pt>
                <pt idx="739">
                  <v>29652</v>
                </pt>
                <pt idx="740">
                  <v>29659</v>
                </pt>
                <pt idx="741">
                  <v>29666</v>
                </pt>
                <pt idx="742">
                  <v>29673</v>
                </pt>
                <pt idx="743">
                  <v>29680</v>
                </pt>
                <pt idx="744">
                  <v>29687</v>
                </pt>
                <pt idx="745">
                  <v>29694</v>
                </pt>
                <pt idx="746">
                  <v>29701</v>
                </pt>
                <pt idx="747">
                  <v>29708</v>
                </pt>
                <pt idx="748">
                  <v>29715</v>
                </pt>
                <pt idx="749">
                  <v>29722</v>
                </pt>
                <pt idx="750">
                  <v>29729</v>
                </pt>
                <pt idx="751">
                  <v>29736</v>
                </pt>
                <pt idx="752">
                  <v>29743</v>
                </pt>
                <pt idx="753">
                  <v>29750</v>
                </pt>
                <pt idx="754">
                  <v>29757</v>
                </pt>
                <pt idx="755">
                  <v>29764</v>
                </pt>
                <pt idx="756">
                  <v>29771</v>
                </pt>
                <pt idx="757">
                  <v>29778</v>
                </pt>
                <pt idx="758">
                  <v>29785</v>
                </pt>
                <pt idx="759">
                  <v>29792</v>
                </pt>
                <pt idx="760">
                  <v>29799</v>
                </pt>
                <pt idx="761">
                  <v>29806</v>
                </pt>
                <pt idx="762">
                  <v>29813</v>
                </pt>
                <pt idx="763">
                  <v>29820</v>
                </pt>
                <pt idx="764">
                  <v>29827</v>
                </pt>
                <pt idx="765">
                  <v>29834</v>
                </pt>
                <pt idx="766">
                  <v>29841</v>
                </pt>
                <pt idx="767">
                  <v>29848</v>
                </pt>
                <pt idx="768">
                  <v>29855</v>
                </pt>
                <pt idx="769">
                  <v>29862</v>
                </pt>
                <pt idx="770">
                  <v>29869</v>
                </pt>
                <pt idx="771">
                  <v>29876</v>
                </pt>
                <pt idx="772">
                  <v>29883</v>
                </pt>
                <pt idx="773">
                  <v>29890</v>
                </pt>
                <pt idx="774">
                  <v>29897</v>
                </pt>
                <pt idx="775">
                  <v>29904</v>
                </pt>
                <pt idx="776">
                  <v>29911</v>
                </pt>
                <pt idx="777">
                  <v>29918</v>
                </pt>
                <pt idx="778">
                  <v>29925</v>
                </pt>
                <pt idx="779">
                  <v>29932</v>
                </pt>
                <pt idx="780">
                  <v>29939</v>
                </pt>
                <pt idx="781">
                  <v>29946</v>
                </pt>
                <pt idx="782">
                  <v>29953</v>
                </pt>
                <pt idx="783">
                  <v>29960</v>
                </pt>
                <pt idx="784">
                  <v>29967</v>
                </pt>
                <pt idx="785">
                  <v>29974</v>
                </pt>
                <pt idx="786">
                  <v>29981</v>
                </pt>
                <pt idx="787">
                  <v>29988</v>
                </pt>
                <pt idx="788">
                  <v>29995</v>
                </pt>
                <pt idx="789">
                  <v>30002</v>
                </pt>
                <pt idx="790">
                  <v>30009</v>
                </pt>
                <pt idx="791">
                  <v>30016</v>
                </pt>
                <pt idx="792">
                  <v>30023</v>
                </pt>
                <pt idx="793">
                  <v>30030</v>
                </pt>
                <pt idx="794">
                  <v>30037</v>
                </pt>
                <pt idx="795">
                  <v>30044</v>
                </pt>
                <pt idx="796">
                  <v>30051</v>
                </pt>
                <pt idx="797">
                  <v>30058</v>
                </pt>
                <pt idx="798">
                  <v>30065</v>
                </pt>
                <pt idx="799">
                  <v>30072</v>
                </pt>
                <pt idx="800">
                  <v>30079</v>
                </pt>
                <pt idx="801">
                  <v>30086</v>
                </pt>
                <pt idx="802">
                  <v>30093</v>
                </pt>
                <pt idx="803">
                  <v>30100</v>
                </pt>
                <pt idx="804">
                  <v>30107</v>
                </pt>
                <pt idx="805">
                  <v>30114</v>
                </pt>
                <pt idx="806">
                  <v>30121</v>
                </pt>
                <pt idx="807">
                  <v>30128</v>
                </pt>
                <pt idx="808">
                  <v>30135</v>
                </pt>
                <pt idx="809">
                  <v>30142</v>
                </pt>
                <pt idx="810">
                  <v>30149</v>
                </pt>
                <pt idx="811">
                  <v>30156</v>
                </pt>
                <pt idx="812">
                  <v>30163</v>
                </pt>
                <pt idx="813">
                  <v>30170</v>
                </pt>
                <pt idx="814">
                  <v>30177</v>
                </pt>
                <pt idx="815">
                  <v>30184</v>
                </pt>
                <pt idx="816">
                  <v>30191</v>
                </pt>
                <pt idx="817">
                  <v>30198</v>
                </pt>
                <pt idx="818">
                  <v>30205</v>
                </pt>
                <pt idx="819">
                  <v>30212</v>
                </pt>
                <pt idx="820">
                  <v>30219</v>
                </pt>
                <pt idx="821">
                  <v>30226</v>
                </pt>
                <pt idx="822">
                  <v>30233</v>
                </pt>
                <pt idx="823">
                  <v>30240</v>
                </pt>
                <pt idx="824">
                  <v>30247</v>
                </pt>
                <pt idx="825">
                  <v>30254</v>
                </pt>
                <pt idx="826">
                  <v>30261</v>
                </pt>
                <pt idx="827">
                  <v>30268</v>
                </pt>
                <pt idx="828">
                  <v>30275</v>
                </pt>
                <pt idx="829">
                  <v>30282</v>
                </pt>
                <pt idx="830">
                  <v>30289</v>
                </pt>
                <pt idx="831">
                  <v>30296</v>
                </pt>
                <pt idx="832">
                  <v>30303</v>
                </pt>
                <pt idx="833">
                  <v>30310</v>
                </pt>
                <pt idx="834">
                  <v>30317</v>
                </pt>
                <pt idx="835">
                  <v>30324</v>
                </pt>
                <pt idx="836">
                  <v>30331</v>
                </pt>
                <pt idx="837">
                  <v>30338</v>
                </pt>
                <pt idx="838">
                  <v>30345</v>
                </pt>
                <pt idx="839">
                  <v>30352</v>
                </pt>
                <pt idx="840">
                  <v>30359</v>
                </pt>
                <pt idx="841">
                  <v>30366</v>
                </pt>
                <pt idx="842">
                  <v>30373</v>
                </pt>
                <pt idx="843">
                  <v>30380</v>
                </pt>
                <pt idx="844">
                  <v>30387</v>
                </pt>
                <pt idx="845">
                  <v>30394</v>
                </pt>
                <pt idx="846">
                  <v>30401</v>
                </pt>
                <pt idx="847">
                  <v>30408</v>
                </pt>
                <pt idx="848">
                  <v>30415</v>
                </pt>
                <pt idx="849">
                  <v>30422</v>
                </pt>
                <pt idx="850">
                  <v>30429</v>
                </pt>
                <pt idx="851">
                  <v>30436</v>
                </pt>
                <pt idx="852">
                  <v>30443</v>
                </pt>
                <pt idx="853">
                  <v>30450</v>
                </pt>
                <pt idx="854">
                  <v>30457</v>
                </pt>
                <pt idx="855">
                  <v>30464</v>
                </pt>
                <pt idx="856">
                  <v>30471</v>
                </pt>
                <pt idx="857">
                  <v>30478</v>
                </pt>
                <pt idx="858">
                  <v>30485</v>
                </pt>
                <pt idx="859">
                  <v>30492</v>
                </pt>
                <pt idx="860">
                  <v>30499</v>
                </pt>
                <pt idx="861">
                  <v>30506</v>
                </pt>
                <pt idx="862">
                  <v>30513</v>
                </pt>
                <pt idx="863">
                  <v>30520</v>
                </pt>
                <pt idx="864">
                  <v>30527</v>
                </pt>
                <pt idx="865">
                  <v>30534</v>
                </pt>
                <pt idx="866">
                  <v>30541</v>
                </pt>
                <pt idx="867">
                  <v>30548</v>
                </pt>
                <pt idx="868">
                  <v>30555</v>
                </pt>
                <pt idx="869">
                  <v>30562</v>
                </pt>
                <pt idx="870">
                  <v>30569</v>
                </pt>
                <pt idx="871">
                  <v>30576</v>
                </pt>
                <pt idx="872">
                  <v>30583</v>
                </pt>
                <pt idx="873">
                  <v>30590</v>
                </pt>
                <pt idx="874">
                  <v>30597</v>
                </pt>
                <pt idx="875">
                  <v>30604</v>
                </pt>
                <pt idx="876">
                  <v>30611</v>
                </pt>
                <pt idx="877">
                  <v>30618</v>
                </pt>
                <pt idx="878">
                  <v>30625</v>
                </pt>
                <pt idx="879">
                  <v>30632</v>
                </pt>
                <pt idx="880">
                  <v>30639</v>
                </pt>
                <pt idx="881">
                  <v>30646</v>
                </pt>
                <pt idx="882">
                  <v>30653</v>
                </pt>
                <pt idx="883">
                  <v>30660</v>
                </pt>
                <pt idx="884">
                  <v>30667</v>
                </pt>
                <pt idx="885">
                  <v>30674</v>
                </pt>
                <pt idx="886">
                  <v>30681</v>
                </pt>
                <pt idx="887">
                  <v>30688</v>
                </pt>
                <pt idx="888">
                  <v>30695</v>
                </pt>
                <pt idx="889">
                  <v>30702</v>
                </pt>
                <pt idx="890">
                  <v>30709</v>
                </pt>
                <pt idx="891">
                  <v>30716</v>
                </pt>
                <pt idx="892">
                  <v>30723</v>
                </pt>
                <pt idx="893">
                  <v>30730</v>
                </pt>
                <pt idx="894">
                  <v>30737</v>
                </pt>
                <pt idx="895">
                  <v>30744</v>
                </pt>
                <pt idx="896">
                  <v>30751</v>
                </pt>
                <pt idx="897">
                  <v>30758</v>
                </pt>
                <pt idx="898">
                  <v>30765</v>
                </pt>
                <pt idx="899">
                  <v>30772</v>
                </pt>
                <pt idx="900">
                  <v>30779</v>
                </pt>
                <pt idx="901">
                  <v>30786</v>
                </pt>
                <pt idx="902">
                  <v>30793</v>
                </pt>
                <pt idx="903">
                  <v>30800</v>
                </pt>
                <pt idx="904">
                  <v>30807</v>
                </pt>
                <pt idx="905">
                  <v>30814</v>
                </pt>
                <pt idx="906">
                  <v>30821</v>
                </pt>
                <pt idx="907">
                  <v>30828</v>
                </pt>
                <pt idx="908">
                  <v>30835</v>
                </pt>
                <pt idx="909">
                  <v>30842</v>
                </pt>
                <pt idx="910">
                  <v>30849</v>
                </pt>
                <pt idx="911">
                  <v>30856</v>
                </pt>
                <pt idx="912">
                  <v>30863</v>
                </pt>
                <pt idx="913">
                  <v>30870</v>
                </pt>
                <pt idx="914">
                  <v>30877</v>
                </pt>
                <pt idx="915">
                  <v>30884</v>
                </pt>
                <pt idx="916">
                  <v>30891</v>
                </pt>
                <pt idx="917">
                  <v>30898</v>
                </pt>
                <pt idx="918">
                  <v>30905</v>
                </pt>
                <pt idx="919">
                  <v>30912</v>
                </pt>
                <pt idx="920">
                  <v>30919</v>
                </pt>
                <pt idx="921">
                  <v>30926</v>
                </pt>
                <pt idx="922">
                  <v>30933</v>
                </pt>
                <pt idx="923">
                  <v>30940</v>
                </pt>
                <pt idx="924">
                  <v>30947</v>
                </pt>
                <pt idx="925">
                  <v>30954</v>
                </pt>
                <pt idx="926">
                  <v>30961</v>
                </pt>
                <pt idx="927">
                  <v>30968</v>
                </pt>
                <pt idx="928">
                  <v>30975</v>
                </pt>
                <pt idx="929">
                  <v>30982</v>
                </pt>
                <pt idx="930">
                  <v>30989</v>
                </pt>
                <pt idx="931">
                  <v>30996</v>
                </pt>
                <pt idx="932">
                  <v>31003</v>
                </pt>
                <pt idx="933">
                  <v>31010</v>
                </pt>
                <pt idx="934">
                  <v>31017</v>
                </pt>
                <pt idx="935">
                  <v>31024</v>
                </pt>
                <pt idx="936">
                  <v>31031</v>
                </pt>
                <pt idx="937">
                  <v>31038</v>
                </pt>
                <pt idx="938">
                  <v>31045</v>
                </pt>
                <pt idx="939">
                  <v>31052</v>
                </pt>
                <pt idx="940">
                  <v>31059</v>
                </pt>
                <pt idx="941">
                  <v>31066</v>
                </pt>
                <pt idx="942">
                  <v>31073</v>
                </pt>
                <pt idx="943">
                  <v>31080</v>
                </pt>
                <pt idx="944">
                  <v>31087</v>
                </pt>
                <pt idx="945">
                  <v>31094</v>
                </pt>
                <pt idx="946">
                  <v>31101</v>
                </pt>
                <pt idx="947">
                  <v>31108</v>
                </pt>
                <pt idx="948">
                  <v>31115</v>
                </pt>
                <pt idx="949">
                  <v>31122</v>
                </pt>
                <pt idx="950">
                  <v>31129</v>
                </pt>
                <pt idx="951">
                  <v>31136</v>
                </pt>
                <pt idx="952">
                  <v>31143</v>
                </pt>
                <pt idx="953">
                  <v>31150</v>
                </pt>
                <pt idx="954">
                  <v>31157</v>
                </pt>
                <pt idx="955">
                  <v>31164</v>
                </pt>
                <pt idx="956">
                  <v>31171</v>
                </pt>
                <pt idx="957">
                  <v>31178</v>
                </pt>
                <pt idx="958">
                  <v>31185</v>
                </pt>
                <pt idx="959">
                  <v>31192</v>
                </pt>
                <pt idx="960">
                  <v>31199</v>
                </pt>
                <pt idx="961">
                  <v>31206</v>
                </pt>
                <pt idx="962">
                  <v>31213</v>
                </pt>
                <pt idx="963">
                  <v>31220</v>
                </pt>
                <pt idx="964">
                  <v>31227</v>
                </pt>
                <pt idx="965">
                  <v>31234</v>
                </pt>
                <pt idx="966">
                  <v>31241</v>
                </pt>
                <pt idx="967">
                  <v>31248</v>
                </pt>
                <pt idx="968">
                  <v>31255</v>
                </pt>
                <pt idx="969">
                  <v>31262</v>
                </pt>
                <pt idx="970">
                  <v>31269</v>
                </pt>
                <pt idx="971">
                  <v>31276</v>
                </pt>
                <pt idx="972">
                  <v>31283</v>
                </pt>
                <pt idx="973">
                  <v>31290</v>
                </pt>
                <pt idx="974">
                  <v>31297</v>
                </pt>
                <pt idx="975">
                  <v>31304</v>
                </pt>
                <pt idx="976">
                  <v>31311</v>
                </pt>
                <pt idx="977">
                  <v>31318</v>
                </pt>
                <pt idx="978">
                  <v>31325</v>
                </pt>
                <pt idx="979">
                  <v>31332</v>
                </pt>
                <pt idx="980">
                  <v>31339</v>
                </pt>
                <pt idx="981">
                  <v>31346</v>
                </pt>
                <pt idx="982">
                  <v>31353</v>
                </pt>
                <pt idx="983">
                  <v>31360</v>
                </pt>
                <pt idx="984">
                  <v>31367</v>
                </pt>
                <pt idx="985">
                  <v>31374</v>
                </pt>
                <pt idx="986">
                  <v>31381</v>
                </pt>
                <pt idx="987">
                  <v>31388</v>
                </pt>
                <pt idx="988">
                  <v>31395</v>
                </pt>
                <pt idx="989">
                  <v>31402</v>
                </pt>
                <pt idx="990">
                  <v>31409</v>
                </pt>
                <pt idx="991">
                  <v>31416</v>
                </pt>
                <pt idx="992">
                  <v>31423</v>
                </pt>
                <pt idx="993">
                  <v>31430</v>
                </pt>
                <pt idx="994">
                  <v>31437</v>
                </pt>
                <pt idx="995">
                  <v>31444</v>
                </pt>
                <pt idx="996">
                  <v>31451</v>
                </pt>
                <pt idx="997">
                  <v>31458</v>
                </pt>
                <pt idx="998">
                  <v>31465</v>
                </pt>
                <pt idx="999">
                  <v>31472</v>
                </pt>
                <pt idx="1000">
                  <v>31479</v>
                </pt>
                <pt idx="1001">
                  <v>31486</v>
                </pt>
                <pt idx="1002">
                  <v>31493</v>
                </pt>
                <pt idx="1003">
                  <v>31500</v>
                </pt>
                <pt idx="1004">
                  <v>31507</v>
                </pt>
                <pt idx="1005">
                  <v>31514</v>
                </pt>
                <pt idx="1006">
                  <v>31521</v>
                </pt>
                <pt idx="1007">
                  <v>31528</v>
                </pt>
                <pt idx="1008">
                  <v>31535</v>
                </pt>
                <pt idx="1009">
                  <v>31542</v>
                </pt>
                <pt idx="1010">
                  <v>31549</v>
                </pt>
                <pt idx="1011">
                  <v>31556</v>
                </pt>
                <pt idx="1012">
                  <v>31563</v>
                </pt>
                <pt idx="1013">
                  <v>31570</v>
                </pt>
                <pt idx="1014">
                  <v>31577</v>
                </pt>
                <pt idx="1015">
                  <v>31584</v>
                </pt>
                <pt idx="1016">
                  <v>31591</v>
                </pt>
                <pt idx="1017">
                  <v>31598</v>
                </pt>
                <pt idx="1018">
                  <v>31605</v>
                </pt>
                <pt idx="1019">
                  <v>31612</v>
                </pt>
                <pt idx="1020">
                  <v>31619</v>
                </pt>
                <pt idx="1021">
                  <v>31626</v>
                </pt>
                <pt idx="1022">
                  <v>31633</v>
                </pt>
                <pt idx="1023">
                  <v>31640</v>
                </pt>
                <pt idx="1024">
                  <v>31647</v>
                </pt>
                <pt idx="1025">
                  <v>31654</v>
                </pt>
                <pt idx="1026">
                  <v>31661</v>
                </pt>
                <pt idx="1027">
                  <v>31668</v>
                </pt>
                <pt idx="1028">
                  <v>31675</v>
                </pt>
                <pt idx="1029">
                  <v>31682</v>
                </pt>
                <pt idx="1030">
                  <v>31689</v>
                </pt>
                <pt idx="1031">
                  <v>31696</v>
                </pt>
                <pt idx="1032">
                  <v>31703</v>
                </pt>
                <pt idx="1033">
                  <v>31710</v>
                </pt>
                <pt idx="1034">
                  <v>31717</v>
                </pt>
                <pt idx="1035">
                  <v>31724</v>
                </pt>
                <pt idx="1036">
                  <v>31731</v>
                </pt>
                <pt idx="1037">
                  <v>31738</v>
                </pt>
                <pt idx="1038">
                  <v>31745</v>
                </pt>
                <pt idx="1039">
                  <v>31752</v>
                </pt>
                <pt idx="1040">
                  <v>31759</v>
                </pt>
                <pt idx="1041">
                  <v>31766</v>
                </pt>
                <pt idx="1042">
                  <v>31773</v>
                </pt>
                <pt idx="1043">
                  <v>31780</v>
                </pt>
                <pt idx="1044">
                  <v>31787</v>
                </pt>
                <pt idx="1045">
                  <v>31794</v>
                </pt>
                <pt idx="1046">
                  <v>31801</v>
                </pt>
                <pt idx="1047">
                  <v>31808</v>
                </pt>
                <pt idx="1048">
                  <v>31815</v>
                </pt>
                <pt idx="1049">
                  <v>31822</v>
                </pt>
                <pt idx="1050">
                  <v>31829</v>
                </pt>
                <pt idx="1051">
                  <v>31836</v>
                </pt>
                <pt idx="1052">
                  <v>31843</v>
                </pt>
                <pt idx="1053">
                  <v>31850</v>
                </pt>
                <pt idx="1054">
                  <v>31857</v>
                </pt>
                <pt idx="1055">
                  <v>31864</v>
                </pt>
                <pt idx="1056">
                  <v>31871</v>
                </pt>
                <pt idx="1057">
                  <v>31878</v>
                </pt>
                <pt idx="1058">
                  <v>31885</v>
                </pt>
                <pt idx="1059">
                  <v>31892</v>
                </pt>
                <pt idx="1060">
                  <v>31899</v>
                </pt>
                <pt idx="1061">
                  <v>31906</v>
                </pt>
                <pt idx="1062">
                  <v>31913</v>
                </pt>
                <pt idx="1063">
                  <v>31920</v>
                </pt>
                <pt idx="1064">
                  <v>31927</v>
                </pt>
                <pt idx="1065">
                  <v>31934</v>
                </pt>
                <pt idx="1066">
                  <v>31941</v>
                </pt>
                <pt idx="1067">
                  <v>31948</v>
                </pt>
                <pt idx="1068">
                  <v>31955</v>
                </pt>
                <pt idx="1069">
                  <v>31962</v>
                </pt>
                <pt idx="1070">
                  <v>31969</v>
                </pt>
                <pt idx="1071">
                  <v>31976</v>
                </pt>
                <pt idx="1072">
                  <v>31983</v>
                </pt>
                <pt idx="1073">
                  <v>31990</v>
                </pt>
                <pt idx="1074">
                  <v>31997</v>
                </pt>
                <pt idx="1075">
                  <v>32004</v>
                </pt>
                <pt idx="1076">
                  <v>32011</v>
                </pt>
                <pt idx="1077">
                  <v>32018</v>
                </pt>
                <pt idx="1078">
                  <v>32025</v>
                </pt>
                <pt idx="1079">
                  <v>32032</v>
                </pt>
                <pt idx="1080">
                  <v>32039</v>
                </pt>
                <pt idx="1081">
                  <v>32046</v>
                </pt>
                <pt idx="1082">
                  <v>32053</v>
                </pt>
                <pt idx="1083">
                  <v>32060</v>
                </pt>
                <pt idx="1084">
                  <v>32067</v>
                </pt>
                <pt idx="1085">
                  <v>32074</v>
                </pt>
                <pt idx="1086">
                  <v>32081</v>
                </pt>
                <pt idx="1087">
                  <v>32088</v>
                </pt>
                <pt idx="1088">
                  <v>32095</v>
                </pt>
                <pt idx="1089">
                  <v>32102</v>
                </pt>
                <pt idx="1090">
                  <v>32109</v>
                </pt>
                <pt idx="1091">
                  <v>32116</v>
                </pt>
                <pt idx="1092">
                  <v>32123</v>
                </pt>
                <pt idx="1093">
                  <v>32130</v>
                </pt>
                <pt idx="1094">
                  <v>32137</v>
                </pt>
                <pt idx="1095">
                  <v>32144</v>
                </pt>
                <pt idx="1096">
                  <v>32151</v>
                </pt>
                <pt idx="1097">
                  <v>32158</v>
                </pt>
                <pt idx="1098">
                  <v>32165</v>
                </pt>
                <pt idx="1099">
                  <v>32172</v>
                </pt>
                <pt idx="1100">
                  <v>32179</v>
                </pt>
                <pt idx="1101">
                  <v>32186</v>
                </pt>
                <pt idx="1102">
                  <v>32193</v>
                </pt>
                <pt idx="1103">
                  <v>32200</v>
                </pt>
                <pt idx="1104">
                  <v>32207</v>
                </pt>
                <pt idx="1105">
                  <v>32214</v>
                </pt>
                <pt idx="1106">
                  <v>32221</v>
                </pt>
                <pt idx="1107">
                  <v>32228</v>
                </pt>
                <pt idx="1108">
                  <v>32235</v>
                </pt>
                <pt idx="1109">
                  <v>32242</v>
                </pt>
                <pt idx="1110">
                  <v>32249</v>
                </pt>
                <pt idx="1111">
                  <v>32256</v>
                </pt>
                <pt idx="1112">
                  <v>32263</v>
                </pt>
                <pt idx="1113">
                  <v>32270</v>
                </pt>
                <pt idx="1114">
                  <v>32277</v>
                </pt>
                <pt idx="1115">
                  <v>32284</v>
                </pt>
                <pt idx="1116">
                  <v>32291</v>
                </pt>
                <pt idx="1117">
                  <v>32298</v>
                </pt>
                <pt idx="1118">
                  <v>32305</v>
                </pt>
                <pt idx="1119">
                  <v>32312</v>
                </pt>
                <pt idx="1120">
                  <v>32319</v>
                </pt>
                <pt idx="1121">
                  <v>32326</v>
                </pt>
                <pt idx="1122">
                  <v>32333</v>
                </pt>
                <pt idx="1123">
                  <v>32340</v>
                </pt>
                <pt idx="1124">
                  <v>32347</v>
                </pt>
                <pt idx="1125">
                  <v>32354</v>
                </pt>
                <pt idx="1126">
                  <v>32361</v>
                </pt>
                <pt idx="1127">
                  <v>32368</v>
                </pt>
                <pt idx="1128">
                  <v>32375</v>
                </pt>
                <pt idx="1129">
                  <v>32382</v>
                </pt>
                <pt idx="1130">
                  <v>32389</v>
                </pt>
                <pt idx="1131">
                  <v>32396</v>
                </pt>
                <pt idx="1132">
                  <v>32403</v>
                </pt>
                <pt idx="1133">
                  <v>32410</v>
                </pt>
                <pt idx="1134">
                  <v>32417</v>
                </pt>
                <pt idx="1135">
                  <v>32424</v>
                </pt>
                <pt idx="1136">
                  <v>32431</v>
                </pt>
                <pt idx="1137">
                  <v>32438</v>
                </pt>
                <pt idx="1138">
                  <v>32445</v>
                </pt>
                <pt idx="1139">
                  <v>32452</v>
                </pt>
                <pt idx="1140">
                  <v>32459</v>
                </pt>
                <pt idx="1141">
                  <v>32466</v>
                </pt>
                <pt idx="1142">
                  <v>32473</v>
                </pt>
                <pt idx="1143">
                  <v>32480</v>
                </pt>
                <pt idx="1144">
                  <v>32487</v>
                </pt>
                <pt idx="1145">
                  <v>32494</v>
                </pt>
                <pt idx="1146">
                  <v>32501</v>
                </pt>
                <pt idx="1147">
                  <v>32508</v>
                </pt>
                <pt idx="1148">
                  <v>32515</v>
                </pt>
                <pt idx="1149">
                  <v>32522</v>
                </pt>
                <pt idx="1150">
                  <v>32529</v>
                </pt>
                <pt idx="1151">
                  <v>32536</v>
                </pt>
                <pt idx="1152">
                  <v>32543</v>
                </pt>
                <pt idx="1153">
                  <v>32550</v>
                </pt>
                <pt idx="1154">
                  <v>32557</v>
                </pt>
                <pt idx="1155">
                  <v>32564</v>
                </pt>
                <pt idx="1156">
                  <v>32571</v>
                </pt>
                <pt idx="1157">
                  <v>32578</v>
                </pt>
                <pt idx="1158">
                  <v>32585</v>
                </pt>
                <pt idx="1159">
                  <v>32592</v>
                </pt>
                <pt idx="1160">
                  <v>32599</v>
                </pt>
                <pt idx="1161">
                  <v>32606</v>
                </pt>
                <pt idx="1162">
                  <v>32613</v>
                </pt>
                <pt idx="1163">
                  <v>32620</v>
                </pt>
                <pt idx="1164">
                  <v>32627</v>
                </pt>
                <pt idx="1165">
                  <v>32634</v>
                </pt>
                <pt idx="1166">
                  <v>32641</v>
                </pt>
                <pt idx="1167">
                  <v>32648</v>
                </pt>
                <pt idx="1168">
                  <v>32655</v>
                </pt>
                <pt idx="1169">
                  <v>32662</v>
                </pt>
                <pt idx="1170">
                  <v>32669</v>
                </pt>
                <pt idx="1171">
                  <v>32676</v>
                </pt>
                <pt idx="1172">
                  <v>32683</v>
                </pt>
                <pt idx="1173">
                  <v>32690</v>
                </pt>
                <pt idx="1174">
                  <v>32697</v>
                </pt>
                <pt idx="1175">
                  <v>32704</v>
                </pt>
                <pt idx="1176">
                  <v>32711</v>
                </pt>
                <pt idx="1177">
                  <v>32718</v>
                </pt>
                <pt idx="1178">
                  <v>32725</v>
                </pt>
                <pt idx="1179">
                  <v>32732</v>
                </pt>
                <pt idx="1180">
                  <v>32739</v>
                </pt>
                <pt idx="1181">
                  <v>32746</v>
                </pt>
                <pt idx="1182">
                  <v>32753</v>
                </pt>
                <pt idx="1183">
                  <v>32760</v>
                </pt>
                <pt idx="1184">
                  <v>32767</v>
                </pt>
                <pt idx="1185">
                  <v>32774</v>
                </pt>
                <pt idx="1186">
                  <v>32781</v>
                </pt>
                <pt idx="1187">
                  <v>32788</v>
                </pt>
                <pt idx="1188">
                  <v>32795</v>
                </pt>
                <pt idx="1189">
                  <v>32802</v>
                </pt>
                <pt idx="1190">
                  <v>32809</v>
                </pt>
                <pt idx="1191">
                  <v>32816</v>
                </pt>
                <pt idx="1192">
                  <v>32823</v>
                </pt>
                <pt idx="1193">
                  <v>32830</v>
                </pt>
                <pt idx="1194">
                  <v>32837</v>
                </pt>
                <pt idx="1195">
                  <v>32844</v>
                </pt>
                <pt idx="1196">
                  <v>32851</v>
                </pt>
                <pt idx="1197">
                  <v>32858</v>
                </pt>
                <pt idx="1198">
                  <v>32865</v>
                </pt>
                <pt idx="1199">
                  <v>32872</v>
                </pt>
                <pt idx="1200">
                  <v>32879</v>
                </pt>
                <pt idx="1201">
                  <v>32886</v>
                </pt>
                <pt idx="1202">
                  <v>32893</v>
                </pt>
                <pt idx="1203">
                  <v>32900</v>
                </pt>
                <pt idx="1204">
                  <v>32907</v>
                </pt>
                <pt idx="1205">
                  <v>32914</v>
                </pt>
                <pt idx="1206">
                  <v>32921</v>
                </pt>
                <pt idx="1207">
                  <v>32928</v>
                </pt>
                <pt idx="1208">
                  <v>32935</v>
                </pt>
                <pt idx="1209">
                  <v>32942</v>
                </pt>
                <pt idx="1210">
                  <v>32949</v>
                </pt>
                <pt idx="1211">
                  <v>32956</v>
                </pt>
                <pt idx="1212">
                  <v>32963</v>
                </pt>
                <pt idx="1213">
                  <v>32970</v>
                </pt>
                <pt idx="1214">
                  <v>32977</v>
                </pt>
                <pt idx="1215">
                  <v>32984</v>
                </pt>
                <pt idx="1216">
                  <v>32991</v>
                </pt>
                <pt idx="1217">
                  <v>32998</v>
                </pt>
                <pt idx="1218">
                  <v>33005</v>
                </pt>
                <pt idx="1219">
                  <v>33012</v>
                </pt>
                <pt idx="1220">
                  <v>33019</v>
                </pt>
                <pt idx="1221">
                  <v>33026</v>
                </pt>
                <pt idx="1222">
                  <v>33033</v>
                </pt>
                <pt idx="1223">
                  <v>33040</v>
                </pt>
                <pt idx="1224">
                  <v>33047</v>
                </pt>
                <pt idx="1225">
                  <v>33054</v>
                </pt>
                <pt idx="1226">
                  <v>33061</v>
                </pt>
                <pt idx="1227">
                  <v>33068</v>
                </pt>
                <pt idx="1228">
                  <v>33075</v>
                </pt>
                <pt idx="1229">
                  <v>33082</v>
                </pt>
                <pt idx="1230">
                  <v>33089</v>
                </pt>
                <pt idx="1231">
                  <v>33096</v>
                </pt>
                <pt idx="1232">
                  <v>33103</v>
                </pt>
                <pt idx="1233">
                  <v>33110</v>
                </pt>
                <pt idx="1234">
                  <v>33117</v>
                </pt>
                <pt idx="1235">
                  <v>33124</v>
                </pt>
                <pt idx="1236">
                  <v>33131</v>
                </pt>
                <pt idx="1237">
                  <v>33138</v>
                </pt>
                <pt idx="1238">
                  <v>33145</v>
                </pt>
                <pt idx="1239">
                  <v>33152</v>
                </pt>
                <pt idx="1240">
                  <v>33159</v>
                </pt>
                <pt idx="1241">
                  <v>33166</v>
                </pt>
                <pt idx="1242">
                  <v>33173</v>
                </pt>
                <pt idx="1243">
                  <v>33180</v>
                </pt>
                <pt idx="1244">
                  <v>33187</v>
                </pt>
                <pt idx="1245">
                  <v>33194</v>
                </pt>
                <pt idx="1246">
                  <v>33201</v>
                </pt>
                <pt idx="1247">
                  <v>33208</v>
                </pt>
                <pt idx="1248">
                  <v>33215</v>
                </pt>
                <pt idx="1249">
                  <v>33222</v>
                </pt>
                <pt idx="1250">
                  <v>33229</v>
                </pt>
                <pt idx="1251">
                  <v>33236</v>
                </pt>
                <pt idx="1252">
                  <v>33243</v>
                </pt>
                <pt idx="1253">
                  <v>33250</v>
                </pt>
                <pt idx="1254">
                  <v>33257</v>
                </pt>
                <pt idx="1255">
                  <v>33264</v>
                </pt>
                <pt idx="1256">
                  <v>33271</v>
                </pt>
                <pt idx="1257">
                  <v>33278</v>
                </pt>
                <pt idx="1258">
                  <v>33285</v>
                </pt>
                <pt idx="1259">
                  <v>33292</v>
                </pt>
                <pt idx="1260">
                  <v>33299</v>
                </pt>
                <pt idx="1261">
                  <v>33306</v>
                </pt>
                <pt idx="1262">
                  <v>33313</v>
                </pt>
                <pt idx="1263">
                  <v>33320</v>
                </pt>
                <pt idx="1264">
                  <v>33327</v>
                </pt>
                <pt idx="1265">
                  <v>33334</v>
                </pt>
                <pt idx="1266">
                  <v>33341</v>
                </pt>
                <pt idx="1267">
                  <v>33348</v>
                </pt>
                <pt idx="1268">
                  <v>33355</v>
                </pt>
                <pt idx="1269">
                  <v>33362</v>
                </pt>
                <pt idx="1270">
                  <v>33369</v>
                </pt>
                <pt idx="1271">
                  <v>33376</v>
                </pt>
                <pt idx="1272">
                  <v>33383</v>
                </pt>
                <pt idx="1273">
                  <v>33390</v>
                </pt>
                <pt idx="1274">
                  <v>33397</v>
                </pt>
                <pt idx="1275">
                  <v>33404</v>
                </pt>
                <pt idx="1276">
                  <v>33411</v>
                </pt>
                <pt idx="1277">
                  <v>33418</v>
                </pt>
                <pt idx="1278">
                  <v>33425</v>
                </pt>
                <pt idx="1279">
                  <v>33432</v>
                </pt>
                <pt idx="1280">
                  <v>33439</v>
                </pt>
                <pt idx="1281">
                  <v>33446</v>
                </pt>
                <pt idx="1282">
                  <v>33453</v>
                </pt>
                <pt idx="1283">
                  <v>33460</v>
                </pt>
                <pt idx="1284">
                  <v>33467</v>
                </pt>
                <pt idx="1285">
                  <v>33474</v>
                </pt>
                <pt idx="1286">
                  <v>33481</v>
                </pt>
                <pt idx="1287">
                  <v>33488</v>
                </pt>
                <pt idx="1288">
                  <v>33495</v>
                </pt>
                <pt idx="1289">
                  <v>33502</v>
                </pt>
                <pt idx="1290">
                  <v>33509</v>
                </pt>
                <pt idx="1291">
                  <v>33516</v>
                </pt>
                <pt idx="1292">
                  <v>33523</v>
                </pt>
                <pt idx="1293">
                  <v>33530</v>
                </pt>
                <pt idx="1294">
                  <v>33537</v>
                </pt>
                <pt idx="1295">
                  <v>33544</v>
                </pt>
                <pt idx="1296">
                  <v>33551</v>
                </pt>
                <pt idx="1297">
                  <v>33558</v>
                </pt>
                <pt idx="1298">
                  <v>33565</v>
                </pt>
                <pt idx="1299">
                  <v>33572</v>
                </pt>
                <pt idx="1300">
                  <v>33579</v>
                </pt>
                <pt idx="1301">
                  <v>33586</v>
                </pt>
                <pt idx="1302">
                  <v>33593</v>
                </pt>
                <pt idx="1303">
                  <v>33600</v>
                </pt>
                <pt idx="1304">
                  <v>33607</v>
                </pt>
                <pt idx="1305">
                  <v>33614</v>
                </pt>
                <pt idx="1306">
                  <v>33621</v>
                </pt>
                <pt idx="1307">
                  <v>33628</v>
                </pt>
                <pt idx="1308">
                  <v>33635</v>
                </pt>
                <pt idx="1309">
                  <v>33642</v>
                </pt>
                <pt idx="1310">
                  <v>33649</v>
                </pt>
                <pt idx="1311">
                  <v>33656</v>
                </pt>
                <pt idx="1312">
                  <v>33663</v>
                </pt>
                <pt idx="1313">
                  <v>33670</v>
                </pt>
                <pt idx="1314">
                  <v>33677</v>
                </pt>
                <pt idx="1315">
                  <v>33684</v>
                </pt>
                <pt idx="1316">
                  <v>33691</v>
                </pt>
                <pt idx="1317">
                  <v>33698</v>
                </pt>
                <pt idx="1318">
                  <v>33705</v>
                </pt>
                <pt idx="1319">
                  <v>33712</v>
                </pt>
                <pt idx="1320">
                  <v>33719</v>
                </pt>
                <pt idx="1321">
                  <v>33726</v>
                </pt>
                <pt idx="1322">
                  <v>33733</v>
                </pt>
                <pt idx="1323">
                  <v>33740</v>
                </pt>
                <pt idx="1324">
                  <v>33747</v>
                </pt>
                <pt idx="1325">
                  <v>33754</v>
                </pt>
                <pt idx="1326">
                  <v>33761</v>
                </pt>
                <pt idx="1327">
                  <v>33768</v>
                </pt>
                <pt idx="1328">
                  <v>33775</v>
                </pt>
                <pt idx="1329">
                  <v>33782</v>
                </pt>
                <pt idx="1330">
                  <v>33789</v>
                </pt>
                <pt idx="1331">
                  <v>33796</v>
                </pt>
                <pt idx="1332">
                  <v>33803</v>
                </pt>
                <pt idx="1333">
                  <v>33810</v>
                </pt>
                <pt idx="1334">
                  <v>33817</v>
                </pt>
                <pt idx="1335">
                  <v>33824</v>
                </pt>
                <pt idx="1336">
                  <v>33831</v>
                </pt>
                <pt idx="1337">
                  <v>33838</v>
                </pt>
                <pt idx="1338">
                  <v>33845</v>
                </pt>
                <pt idx="1339">
                  <v>33852</v>
                </pt>
                <pt idx="1340">
                  <v>33859</v>
                </pt>
                <pt idx="1341">
                  <v>33866</v>
                </pt>
                <pt idx="1342">
                  <v>33873</v>
                </pt>
                <pt idx="1343">
                  <v>33880</v>
                </pt>
                <pt idx="1344">
                  <v>33887</v>
                </pt>
                <pt idx="1345">
                  <v>33894</v>
                </pt>
                <pt idx="1346">
                  <v>33901</v>
                </pt>
                <pt idx="1347">
                  <v>33908</v>
                </pt>
                <pt idx="1348">
                  <v>33915</v>
                </pt>
                <pt idx="1349">
                  <v>33922</v>
                </pt>
                <pt idx="1350">
                  <v>33929</v>
                </pt>
                <pt idx="1351">
                  <v>33936</v>
                </pt>
                <pt idx="1352">
                  <v>33943</v>
                </pt>
                <pt idx="1353">
                  <v>33950</v>
                </pt>
                <pt idx="1354">
                  <v>33957</v>
                </pt>
                <pt idx="1355">
                  <v>33964</v>
                </pt>
                <pt idx="1356">
                  <v>33971</v>
                </pt>
                <pt idx="1357">
                  <v>33978</v>
                </pt>
                <pt idx="1358">
                  <v>33985</v>
                </pt>
                <pt idx="1359">
                  <v>33992</v>
                </pt>
                <pt idx="1360">
                  <v>33999</v>
                </pt>
                <pt idx="1361">
                  <v>34006</v>
                </pt>
                <pt idx="1362">
                  <v>34013</v>
                </pt>
                <pt idx="1363">
                  <v>34020</v>
                </pt>
                <pt idx="1364">
                  <v>34027</v>
                </pt>
                <pt idx="1365">
                  <v>34034</v>
                </pt>
                <pt idx="1366">
                  <v>34041</v>
                </pt>
                <pt idx="1367">
                  <v>34048</v>
                </pt>
                <pt idx="1368">
                  <v>34055</v>
                </pt>
                <pt idx="1369">
                  <v>34062</v>
                </pt>
                <pt idx="1370">
                  <v>34069</v>
                </pt>
                <pt idx="1371">
                  <v>34076</v>
                </pt>
                <pt idx="1372">
                  <v>34083</v>
                </pt>
                <pt idx="1373">
                  <v>34090</v>
                </pt>
                <pt idx="1374">
                  <v>34097</v>
                </pt>
                <pt idx="1375">
                  <v>34104</v>
                </pt>
                <pt idx="1376">
                  <v>34111</v>
                </pt>
                <pt idx="1377">
                  <v>34118</v>
                </pt>
                <pt idx="1378">
                  <v>34125</v>
                </pt>
                <pt idx="1379">
                  <v>34132</v>
                </pt>
                <pt idx="1380">
                  <v>34139</v>
                </pt>
                <pt idx="1381">
                  <v>34146</v>
                </pt>
                <pt idx="1382">
                  <v>34153</v>
                </pt>
                <pt idx="1383">
                  <v>34160</v>
                </pt>
                <pt idx="1384">
                  <v>34167</v>
                </pt>
                <pt idx="1385">
                  <v>34174</v>
                </pt>
                <pt idx="1386">
                  <v>34181</v>
                </pt>
                <pt idx="1387">
                  <v>34188</v>
                </pt>
                <pt idx="1388">
                  <v>34195</v>
                </pt>
                <pt idx="1389">
                  <v>34202</v>
                </pt>
                <pt idx="1390">
                  <v>34209</v>
                </pt>
                <pt idx="1391">
                  <v>34216</v>
                </pt>
                <pt idx="1392">
                  <v>34223</v>
                </pt>
                <pt idx="1393">
                  <v>34230</v>
                </pt>
                <pt idx="1394">
                  <v>34237</v>
                </pt>
                <pt idx="1395">
                  <v>34244</v>
                </pt>
                <pt idx="1396">
                  <v>34251</v>
                </pt>
                <pt idx="1397">
                  <v>34258</v>
                </pt>
                <pt idx="1398">
                  <v>34265</v>
                </pt>
                <pt idx="1399">
                  <v>34272</v>
                </pt>
                <pt idx="1400">
                  <v>34279</v>
                </pt>
                <pt idx="1401">
                  <v>34286</v>
                </pt>
                <pt idx="1402">
                  <v>34293</v>
                </pt>
                <pt idx="1403">
                  <v>34300</v>
                </pt>
                <pt idx="1404">
                  <v>34307</v>
                </pt>
                <pt idx="1405">
                  <v>34314</v>
                </pt>
                <pt idx="1406">
                  <v>34321</v>
                </pt>
                <pt idx="1407">
                  <v>34328</v>
                </pt>
                <pt idx="1408">
                  <v>34335</v>
                </pt>
                <pt idx="1409">
                  <v>34342</v>
                </pt>
                <pt idx="1410">
                  <v>34349</v>
                </pt>
                <pt idx="1411">
                  <v>34356</v>
                </pt>
                <pt idx="1412">
                  <v>34363</v>
                </pt>
                <pt idx="1413">
                  <v>34370</v>
                </pt>
                <pt idx="1414">
                  <v>34377</v>
                </pt>
                <pt idx="1415">
                  <v>34384</v>
                </pt>
                <pt idx="1416">
                  <v>34391</v>
                </pt>
                <pt idx="1417">
                  <v>34398</v>
                </pt>
                <pt idx="1418">
                  <v>34405</v>
                </pt>
                <pt idx="1419">
                  <v>34412</v>
                </pt>
                <pt idx="1420">
                  <v>34419</v>
                </pt>
                <pt idx="1421">
                  <v>34426</v>
                </pt>
                <pt idx="1422">
                  <v>34433</v>
                </pt>
                <pt idx="1423">
                  <v>34440</v>
                </pt>
                <pt idx="1424">
                  <v>34447</v>
                </pt>
                <pt idx="1425">
                  <v>34454</v>
                </pt>
                <pt idx="1426">
                  <v>34461</v>
                </pt>
                <pt idx="1427">
                  <v>34468</v>
                </pt>
                <pt idx="1428">
                  <v>34475</v>
                </pt>
                <pt idx="1429">
                  <v>34482</v>
                </pt>
                <pt idx="1430">
                  <v>34489</v>
                </pt>
                <pt idx="1431">
                  <v>34496</v>
                </pt>
                <pt idx="1432">
                  <v>34503</v>
                </pt>
                <pt idx="1433">
                  <v>34510</v>
                </pt>
                <pt idx="1434">
                  <v>34517</v>
                </pt>
                <pt idx="1435">
                  <v>34524</v>
                </pt>
                <pt idx="1436">
                  <v>34531</v>
                </pt>
                <pt idx="1437">
                  <v>34538</v>
                </pt>
                <pt idx="1438">
                  <v>34545</v>
                </pt>
                <pt idx="1439">
                  <v>34552</v>
                </pt>
                <pt idx="1440">
                  <v>34559</v>
                </pt>
                <pt idx="1441">
                  <v>34566</v>
                </pt>
                <pt idx="1442">
                  <v>34573</v>
                </pt>
                <pt idx="1443">
                  <v>34580</v>
                </pt>
                <pt idx="1444">
                  <v>34587</v>
                </pt>
                <pt idx="1445">
                  <v>34594</v>
                </pt>
                <pt idx="1446">
                  <v>34601</v>
                </pt>
                <pt idx="1447">
                  <v>34608</v>
                </pt>
                <pt idx="1448">
                  <v>34615</v>
                </pt>
                <pt idx="1449">
                  <v>34622</v>
                </pt>
                <pt idx="1450">
                  <v>34629</v>
                </pt>
                <pt idx="1451">
                  <v>34636</v>
                </pt>
                <pt idx="1452">
                  <v>34643</v>
                </pt>
                <pt idx="1453">
                  <v>34650</v>
                </pt>
                <pt idx="1454">
                  <v>34657</v>
                </pt>
                <pt idx="1455">
                  <v>34664</v>
                </pt>
                <pt idx="1456">
                  <v>34671</v>
                </pt>
                <pt idx="1457">
                  <v>34678</v>
                </pt>
                <pt idx="1458">
                  <v>34685</v>
                </pt>
                <pt idx="1459">
                  <v>34692</v>
                </pt>
                <pt idx="1460">
                  <v>34699</v>
                </pt>
                <pt idx="1461">
                  <v>34706</v>
                </pt>
                <pt idx="1462">
                  <v>34713</v>
                </pt>
                <pt idx="1463">
                  <v>34720</v>
                </pt>
                <pt idx="1464">
                  <v>34727</v>
                </pt>
                <pt idx="1465">
                  <v>34734</v>
                </pt>
                <pt idx="1466">
                  <v>34741</v>
                </pt>
                <pt idx="1467">
                  <v>34748</v>
                </pt>
                <pt idx="1468">
                  <v>34755</v>
                </pt>
                <pt idx="1469">
                  <v>34762</v>
                </pt>
                <pt idx="1470">
                  <v>34769</v>
                </pt>
                <pt idx="1471">
                  <v>34776</v>
                </pt>
                <pt idx="1472">
                  <v>34783</v>
                </pt>
                <pt idx="1473">
                  <v>34790</v>
                </pt>
                <pt idx="1474">
                  <v>34797</v>
                </pt>
                <pt idx="1475">
                  <v>34804</v>
                </pt>
                <pt idx="1476">
                  <v>34811</v>
                </pt>
                <pt idx="1477">
                  <v>34818</v>
                </pt>
                <pt idx="1478">
                  <v>34825</v>
                </pt>
                <pt idx="1479">
                  <v>34832</v>
                </pt>
                <pt idx="1480">
                  <v>34839</v>
                </pt>
                <pt idx="1481">
                  <v>34846</v>
                </pt>
                <pt idx="1482">
                  <v>34853</v>
                </pt>
                <pt idx="1483">
                  <v>34860</v>
                </pt>
                <pt idx="1484">
                  <v>34867</v>
                </pt>
                <pt idx="1485">
                  <v>34874</v>
                </pt>
                <pt idx="1486">
                  <v>34881</v>
                </pt>
                <pt idx="1487">
                  <v>34888</v>
                </pt>
                <pt idx="1488">
                  <v>34895</v>
                </pt>
                <pt idx="1489">
                  <v>34902</v>
                </pt>
                <pt idx="1490">
                  <v>34909</v>
                </pt>
                <pt idx="1491">
                  <v>34916</v>
                </pt>
                <pt idx="1492">
                  <v>34923</v>
                </pt>
                <pt idx="1493">
                  <v>34930</v>
                </pt>
                <pt idx="1494">
                  <v>34937</v>
                </pt>
                <pt idx="1495">
                  <v>34944</v>
                </pt>
                <pt idx="1496">
                  <v>34951</v>
                </pt>
                <pt idx="1497">
                  <v>34958</v>
                </pt>
                <pt idx="1498">
                  <v>34965</v>
                </pt>
                <pt idx="1499">
                  <v>34972</v>
                </pt>
                <pt idx="1500">
                  <v>34979</v>
                </pt>
                <pt idx="1501">
                  <v>34986</v>
                </pt>
                <pt idx="1502">
                  <v>34993</v>
                </pt>
                <pt idx="1503">
                  <v>35000</v>
                </pt>
                <pt idx="1504">
                  <v>35007</v>
                </pt>
                <pt idx="1505">
                  <v>35014</v>
                </pt>
                <pt idx="1506">
                  <v>35021</v>
                </pt>
                <pt idx="1507">
                  <v>35028</v>
                </pt>
                <pt idx="1508">
                  <v>35035</v>
                </pt>
                <pt idx="1509">
                  <v>35042</v>
                </pt>
                <pt idx="1510">
                  <v>35049</v>
                </pt>
                <pt idx="1511">
                  <v>35056</v>
                </pt>
                <pt idx="1512">
                  <v>35063</v>
                </pt>
                <pt idx="1513">
                  <v>35070</v>
                </pt>
                <pt idx="1514">
                  <v>35077</v>
                </pt>
                <pt idx="1515">
                  <v>35084</v>
                </pt>
                <pt idx="1516">
                  <v>35091</v>
                </pt>
                <pt idx="1517">
                  <v>35098</v>
                </pt>
                <pt idx="1518">
                  <v>35105</v>
                </pt>
                <pt idx="1519">
                  <v>35112</v>
                </pt>
                <pt idx="1520">
                  <v>35119</v>
                </pt>
                <pt idx="1521">
                  <v>35126</v>
                </pt>
                <pt idx="1522">
                  <v>35133</v>
                </pt>
                <pt idx="1523">
                  <v>35140</v>
                </pt>
                <pt idx="1524">
                  <v>35147</v>
                </pt>
                <pt idx="1525">
                  <v>35154</v>
                </pt>
                <pt idx="1526">
                  <v>35161</v>
                </pt>
                <pt idx="1527">
                  <v>35168</v>
                </pt>
                <pt idx="1528">
                  <v>35175</v>
                </pt>
                <pt idx="1529">
                  <v>35182</v>
                </pt>
                <pt idx="1530">
                  <v>35189</v>
                </pt>
                <pt idx="1531">
                  <v>35196</v>
                </pt>
                <pt idx="1532">
                  <v>35203</v>
                </pt>
                <pt idx="1533">
                  <v>35210</v>
                </pt>
                <pt idx="1534">
                  <v>35217</v>
                </pt>
                <pt idx="1535">
                  <v>35224</v>
                </pt>
                <pt idx="1536">
                  <v>35231</v>
                </pt>
                <pt idx="1537">
                  <v>35238</v>
                </pt>
                <pt idx="1538">
                  <v>35245</v>
                </pt>
                <pt idx="1539">
                  <v>35252</v>
                </pt>
                <pt idx="1540">
                  <v>35259</v>
                </pt>
                <pt idx="1541">
                  <v>35266</v>
                </pt>
                <pt idx="1542">
                  <v>35273</v>
                </pt>
                <pt idx="1543">
                  <v>35280</v>
                </pt>
                <pt idx="1544">
                  <v>35287</v>
                </pt>
                <pt idx="1545">
                  <v>35294</v>
                </pt>
                <pt idx="1546">
                  <v>35301</v>
                </pt>
                <pt idx="1547">
                  <v>35308</v>
                </pt>
                <pt idx="1548">
                  <v>35315</v>
                </pt>
                <pt idx="1549">
                  <v>35322</v>
                </pt>
                <pt idx="1550">
                  <v>35329</v>
                </pt>
                <pt idx="1551">
                  <v>35336</v>
                </pt>
                <pt idx="1552">
                  <v>35343</v>
                </pt>
                <pt idx="1553">
                  <v>35350</v>
                </pt>
                <pt idx="1554">
                  <v>35357</v>
                </pt>
                <pt idx="1555">
                  <v>35364</v>
                </pt>
                <pt idx="1556">
                  <v>35371</v>
                </pt>
                <pt idx="1557">
                  <v>35378</v>
                </pt>
                <pt idx="1558">
                  <v>35385</v>
                </pt>
                <pt idx="1559">
                  <v>35392</v>
                </pt>
                <pt idx="1560">
                  <v>35399</v>
                </pt>
                <pt idx="1561">
                  <v>35406</v>
                </pt>
                <pt idx="1562">
                  <v>35413</v>
                </pt>
                <pt idx="1563">
                  <v>35420</v>
                </pt>
                <pt idx="1564">
                  <v>35427</v>
                </pt>
                <pt idx="1565">
                  <v>35434</v>
                </pt>
                <pt idx="1566">
                  <v>35441</v>
                </pt>
                <pt idx="1567">
                  <v>35448</v>
                </pt>
                <pt idx="1568">
                  <v>35455</v>
                </pt>
                <pt idx="1569">
                  <v>35462</v>
                </pt>
                <pt idx="1570">
                  <v>35469</v>
                </pt>
                <pt idx="1571">
                  <v>35476</v>
                </pt>
                <pt idx="1572">
                  <v>35483</v>
                </pt>
                <pt idx="1573">
                  <v>35490</v>
                </pt>
                <pt idx="1574">
                  <v>35497</v>
                </pt>
                <pt idx="1575">
                  <v>35504</v>
                </pt>
                <pt idx="1576">
                  <v>35511</v>
                </pt>
                <pt idx="1577">
                  <v>35518</v>
                </pt>
                <pt idx="1578">
                  <v>35525</v>
                </pt>
                <pt idx="1579">
                  <v>35532</v>
                </pt>
                <pt idx="1580">
                  <v>35539</v>
                </pt>
                <pt idx="1581">
                  <v>35546</v>
                </pt>
                <pt idx="1582">
                  <v>35553</v>
                </pt>
                <pt idx="1583">
                  <v>35560</v>
                </pt>
                <pt idx="1584">
                  <v>35567</v>
                </pt>
                <pt idx="1585">
                  <v>35574</v>
                </pt>
                <pt idx="1586">
                  <v>35581</v>
                </pt>
                <pt idx="1587">
                  <v>35588</v>
                </pt>
                <pt idx="1588">
                  <v>35595</v>
                </pt>
                <pt idx="1589">
                  <v>35602</v>
                </pt>
                <pt idx="1590">
                  <v>35609</v>
                </pt>
                <pt idx="1591">
                  <v>35616</v>
                </pt>
                <pt idx="1592">
                  <v>35623</v>
                </pt>
                <pt idx="1593">
                  <v>35630</v>
                </pt>
                <pt idx="1594">
                  <v>35637</v>
                </pt>
                <pt idx="1595">
                  <v>35644</v>
                </pt>
                <pt idx="1596">
                  <v>35651</v>
                </pt>
                <pt idx="1597">
                  <v>35658</v>
                </pt>
                <pt idx="1598">
                  <v>35665</v>
                </pt>
                <pt idx="1599">
                  <v>35672</v>
                </pt>
                <pt idx="1600">
                  <v>35679</v>
                </pt>
                <pt idx="1601">
                  <v>35686</v>
                </pt>
                <pt idx="1602">
                  <v>35693</v>
                </pt>
                <pt idx="1603">
                  <v>35700</v>
                </pt>
                <pt idx="1604">
                  <v>35707</v>
                </pt>
                <pt idx="1605">
                  <v>35714</v>
                </pt>
                <pt idx="1606">
                  <v>35721</v>
                </pt>
                <pt idx="1607">
                  <v>35728</v>
                </pt>
                <pt idx="1608">
                  <v>35735</v>
                </pt>
                <pt idx="1609">
                  <v>35742</v>
                </pt>
                <pt idx="1610">
                  <v>35749</v>
                </pt>
                <pt idx="1611">
                  <v>35756</v>
                </pt>
                <pt idx="1612">
                  <v>35763</v>
                </pt>
                <pt idx="1613">
                  <v>35770</v>
                </pt>
                <pt idx="1614">
                  <v>35777</v>
                </pt>
                <pt idx="1615">
                  <v>35784</v>
                </pt>
                <pt idx="1616">
                  <v>35791</v>
                </pt>
                <pt idx="1617">
                  <v>35798</v>
                </pt>
                <pt idx="1618">
                  <v>35805</v>
                </pt>
                <pt idx="1619">
                  <v>35812</v>
                </pt>
                <pt idx="1620">
                  <v>35819</v>
                </pt>
                <pt idx="1621">
                  <v>35826</v>
                </pt>
                <pt idx="1622">
                  <v>35833</v>
                </pt>
                <pt idx="1623">
                  <v>35840</v>
                </pt>
                <pt idx="1624">
                  <v>35847</v>
                </pt>
                <pt idx="1625">
                  <v>35854</v>
                </pt>
                <pt idx="1626">
                  <v>35861</v>
                </pt>
                <pt idx="1627">
                  <v>35868</v>
                </pt>
                <pt idx="1628">
                  <v>35875</v>
                </pt>
                <pt idx="1629">
                  <v>35882</v>
                </pt>
                <pt idx="1630">
                  <v>35889</v>
                </pt>
                <pt idx="1631">
                  <v>35896</v>
                </pt>
                <pt idx="1632">
                  <v>35903</v>
                </pt>
                <pt idx="1633">
                  <v>35910</v>
                </pt>
                <pt idx="1634">
                  <v>35917</v>
                </pt>
                <pt idx="1635">
                  <v>35924</v>
                </pt>
                <pt idx="1636">
                  <v>35931</v>
                </pt>
                <pt idx="1637">
                  <v>35938</v>
                </pt>
                <pt idx="1638">
                  <v>35945</v>
                </pt>
                <pt idx="1639">
                  <v>35952</v>
                </pt>
                <pt idx="1640">
                  <v>35959</v>
                </pt>
                <pt idx="1641">
                  <v>35966</v>
                </pt>
                <pt idx="1642">
                  <v>35973</v>
                </pt>
                <pt idx="1643">
                  <v>35980</v>
                </pt>
                <pt idx="1644">
                  <v>35987</v>
                </pt>
                <pt idx="1645">
                  <v>35994</v>
                </pt>
                <pt idx="1646">
                  <v>36001</v>
                </pt>
                <pt idx="1647">
                  <v>36008</v>
                </pt>
                <pt idx="1648">
                  <v>36015</v>
                </pt>
                <pt idx="1649">
                  <v>36022</v>
                </pt>
                <pt idx="1650">
                  <v>36029</v>
                </pt>
                <pt idx="1651">
                  <v>36036</v>
                </pt>
                <pt idx="1652">
                  <v>36043</v>
                </pt>
                <pt idx="1653">
                  <v>36050</v>
                </pt>
                <pt idx="1654">
                  <v>36057</v>
                </pt>
                <pt idx="1655">
                  <v>36064</v>
                </pt>
                <pt idx="1656">
                  <v>36071</v>
                </pt>
                <pt idx="1657">
                  <v>36078</v>
                </pt>
                <pt idx="1658">
                  <v>36085</v>
                </pt>
                <pt idx="1659">
                  <v>36092</v>
                </pt>
                <pt idx="1660">
                  <v>36099</v>
                </pt>
                <pt idx="1661">
                  <v>36106</v>
                </pt>
                <pt idx="1662">
                  <v>36113</v>
                </pt>
                <pt idx="1663">
                  <v>36120</v>
                </pt>
                <pt idx="1664">
                  <v>36127</v>
                </pt>
                <pt idx="1665">
                  <v>36134</v>
                </pt>
                <pt idx="1666">
                  <v>36141</v>
                </pt>
                <pt idx="1667">
                  <v>36148</v>
                </pt>
                <pt idx="1668">
                  <v>36155</v>
                </pt>
                <pt idx="1669">
                  <v>36162</v>
                </pt>
                <pt idx="1670">
                  <v>36169</v>
                </pt>
                <pt idx="1671">
                  <v>36176</v>
                </pt>
                <pt idx="1672">
                  <v>36183</v>
                </pt>
                <pt idx="1673">
                  <v>36190</v>
                </pt>
                <pt idx="1674">
                  <v>36197</v>
                </pt>
                <pt idx="1675">
                  <v>36204</v>
                </pt>
                <pt idx="1676">
                  <v>36211</v>
                </pt>
                <pt idx="1677">
                  <v>36218</v>
                </pt>
                <pt idx="1678">
                  <v>36225</v>
                </pt>
                <pt idx="1679">
                  <v>36232</v>
                </pt>
                <pt idx="1680">
                  <v>36239</v>
                </pt>
                <pt idx="1681">
                  <v>36246</v>
                </pt>
                <pt idx="1682">
                  <v>36253</v>
                </pt>
                <pt idx="1683">
                  <v>36260</v>
                </pt>
                <pt idx="1684">
                  <v>36267</v>
                </pt>
                <pt idx="1685">
                  <v>36274</v>
                </pt>
                <pt idx="1686">
                  <v>36281</v>
                </pt>
                <pt idx="1687">
                  <v>36288</v>
                </pt>
                <pt idx="1688">
                  <v>36295</v>
                </pt>
                <pt idx="1689">
                  <v>36302</v>
                </pt>
                <pt idx="1690">
                  <v>36309</v>
                </pt>
                <pt idx="1691">
                  <v>36316</v>
                </pt>
                <pt idx="1692">
                  <v>36323</v>
                </pt>
                <pt idx="1693">
                  <v>36330</v>
                </pt>
                <pt idx="1694">
                  <v>36337</v>
                </pt>
                <pt idx="1695">
                  <v>36344</v>
                </pt>
                <pt idx="1696">
                  <v>36351</v>
                </pt>
                <pt idx="1697">
                  <v>36358</v>
                </pt>
                <pt idx="1698">
                  <v>36365</v>
                </pt>
                <pt idx="1699">
                  <v>36372</v>
                </pt>
                <pt idx="1700">
                  <v>36379</v>
                </pt>
                <pt idx="1701">
                  <v>36386</v>
                </pt>
                <pt idx="1702">
                  <v>36393</v>
                </pt>
                <pt idx="1703">
                  <v>36400</v>
                </pt>
                <pt idx="1704">
                  <v>36407</v>
                </pt>
                <pt idx="1705">
                  <v>36414</v>
                </pt>
                <pt idx="1706">
                  <v>36421</v>
                </pt>
                <pt idx="1707">
                  <v>36428</v>
                </pt>
                <pt idx="1708">
                  <v>36435</v>
                </pt>
                <pt idx="1709">
                  <v>36442</v>
                </pt>
                <pt idx="1710">
                  <v>36449</v>
                </pt>
                <pt idx="1711">
                  <v>36456</v>
                </pt>
                <pt idx="1712">
                  <v>36463</v>
                </pt>
                <pt idx="1713">
                  <v>36470</v>
                </pt>
                <pt idx="1714">
                  <v>36477</v>
                </pt>
                <pt idx="1715">
                  <v>36484</v>
                </pt>
                <pt idx="1716">
                  <v>36491</v>
                </pt>
                <pt idx="1717">
                  <v>36498</v>
                </pt>
                <pt idx="1718">
                  <v>36505</v>
                </pt>
                <pt idx="1719">
                  <v>36512</v>
                </pt>
                <pt idx="1720">
                  <v>36519</v>
                </pt>
                <pt idx="1721">
                  <v>36526</v>
                </pt>
                <pt idx="1722">
                  <v>36533</v>
                </pt>
                <pt idx="1723">
                  <v>36540</v>
                </pt>
                <pt idx="1724">
                  <v>36547</v>
                </pt>
                <pt idx="1725">
                  <v>36554</v>
                </pt>
                <pt idx="1726">
                  <v>36561</v>
                </pt>
                <pt idx="1727">
                  <v>36568</v>
                </pt>
                <pt idx="1728">
                  <v>36575</v>
                </pt>
                <pt idx="1729">
                  <v>36582</v>
                </pt>
                <pt idx="1730">
                  <v>36589</v>
                </pt>
                <pt idx="1731">
                  <v>36596</v>
                </pt>
                <pt idx="1732">
                  <v>36603</v>
                </pt>
                <pt idx="1733">
                  <v>36610</v>
                </pt>
                <pt idx="1734">
                  <v>36617</v>
                </pt>
                <pt idx="1735">
                  <v>36624</v>
                </pt>
                <pt idx="1736">
                  <v>36631</v>
                </pt>
                <pt idx="1737">
                  <v>36638</v>
                </pt>
                <pt idx="1738">
                  <v>36645</v>
                </pt>
                <pt idx="1739">
                  <v>36652</v>
                </pt>
                <pt idx="1740">
                  <v>36659</v>
                </pt>
                <pt idx="1741">
                  <v>36666</v>
                </pt>
                <pt idx="1742">
                  <v>36673</v>
                </pt>
                <pt idx="1743">
                  <v>36680</v>
                </pt>
                <pt idx="1744">
                  <v>36687</v>
                </pt>
                <pt idx="1745">
                  <v>36694</v>
                </pt>
                <pt idx="1746">
                  <v>36701</v>
                </pt>
                <pt idx="1747">
                  <v>36708</v>
                </pt>
                <pt idx="1748">
                  <v>36715</v>
                </pt>
                <pt idx="1749">
                  <v>36722</v>
                </pt>
                <pt idx="1750">
                  <v>36729</v>
                </pt>
                <pt idx="1751">
                  <v>36736</v>
                </pt>
                <pt idx="1752">
                  <v>36743</v>
                </pt>
                <pt idx="1753">
                  <v>36750</v>
                </pt>
                <pt idx="1754">
                  <v>36757</v>
                </pt>
                <pt idx="1755">
                  <v>36764</v>
                </pt>
                <pt idx="1756">
                  <v>36771</v>
                </pt>
                <pt idx="1757">
                  <v>36778</v>
                </pt>
                <pt idx="1758">
                  <v>36785</v>
                </pt>
                <pt idx="1759">
                  <v>36792</v>
                </pt>
                <pt idx="1760">
                  <v>36799</v>
                </pt>
                <pt idx="1761">
                  <v>36806</v>
                </pt>
                <pt idx="1762">
                  <v>36813</v>
                </pt>
                <pt idx="1763">
                  <v>36820</v>
                </pt>
                <pt idx="1764">
                  <v>36827</v>
                </pt>
                <pt idx="1765">
                  <v>36834</v>
                </pt>
                <pt idx="1766">
                  <v>36841</v>
                </pt>
                <pt idx="1767">
                  <v>36848</v>
                </pt>
                <pt idx="1768">
                  <v>36855</v>
                </pt>
                <pt idx="1769">
                  <v>36862</v>
                </pt>
                <pt idx="1770">
                  <v>36869</v>
                </pt>
                <pt idx="1771">
                  <v>36876</v>
                </pt>
                <pt idx="1772">
                  <v>36883</v>
                </pt>
                <pt idx="1773">
                  <v>36890</v>
                </pt>
                <pt idx="1774">
                  <v>36897</v>
                </pt>
                <pt idx="1775">
                  <v>36904</v>
                </pt>
                <pt idx="1776">
                  <v>36911</v>
                </pt>
                <pt idx="1777">
                  <v>36918</v>
                </pt>
                <pt idx="1778">
                  <v>36925</v>
                </pt>
                <pt idx="1779">
                  <v>36932</v>
                </pt>
                <pt idx="1780">
                  <v>36939</v>
                </pt>
                <pt idx="1781">
                  <v>36946</v>
                </pt>
                <pt idx="1782">
                  <v>36953</v>
                </pt>
                <pt idx="1783">
                  <v>36960</v>
                </pt>
                <pt idx="1784">
                  <v>36967</v>
                </pt>
                <pt idx="1785">
                  <v>36974</v>
                </pt>
                <pt idx="1786">
                  <v>36981</v>
                </pt>
                <pt idx="1787">
                  <v>36988</v>
                </pt>
                <pt idx="1788">
                  <v>36995</v>
                </pt>
                <pt idx="1789">
                  <v>37002</v>
                </pt>
                <pt idx="1790">
                  <v>37009</v>
                </pt>
                <pt idx="1791">
                  <v>37016</v>
                </pt>
                <pt idx="1792">
                  <v>37023</v>
                </pt>
                <pt idx="1793">
                  <v>37030</v>
                </pt>
                <pt idx="1794">
                  <v>37037</v>
                </pt>
                <pt idx="1795">
                  <v>37044</v>
                </pt>
                <pt idx="1796">
                  <v>37051</v>
                </pt>
                <pt idx="1797">
                  <v>37058</v>
                </pt>
                <pt idx="1798">
                  <v>37065</v>
                </pt>
                <pt idx="1799">
                  <v>37072</v>
                </pt>
                <pt idx="1800">
                  <v>37079</v>
                </pt>
                <pt idx="1801">
                  <v>37086</v>
                </pt>
                <pt idx="1802">
                  <v>37093</v>
                </pt>
                <pt idx="1803">
                  <v>37100</v>
                </pt>
                <pt idx="1804">
                  <v>37107</v>
                </pt>
                <pt idx="1805">
                  <v>37114</v>
                </pt>
                <pt idx="1806">
                  <v>37121</v>
                </pt>
                <pt idx="1807">
                  <v>37128</v>
                </pt>
                <pt idx="1808">
                  <v>37135</v>
                </pt>
                <pt idx="1809">
                  <v>37142</v>
                </pt>
                <pt idx="1810">
                  <v>37149</v>
                </pt>
                <pt idx="1811">
                  <v>37156</v>
                </pt>
                <pt idx="1812">
                  <v>37163</v>
                </pt>
                <pt idx="1813">
                  <v>37170</v>
                </pt>
                <pt idx="1814">
                  <v>37177</v>
                </pt>
                <pt idx="1815">
                  <v>37184</v>
                </pt>
                <pt idx="1816">
                  <v>37191</v>
                </pt>
                <pt idx="1817">
                  <v>37198</v>
                </pt>
                <pt idx="1818">
                  <v>37205</v>
                </pt>
                <pt idx="1819">
                  <v>37212</v>
                </pt>
                <pt idx="1820">
                  <v>37219</v>
                </pt>
                <pt idx="1821">
                  <v>37226</v>
                </pt>
                <pt idx="1822">
                  <v>37233</v>
                </pt>
                <pt idx="1823">
                  <v>37240</v>
                </pt>
                <pt idx="1824">
                  <v>37247</v>
                </pt>
                <pt idx="1825">
                  <v>37254</v>
                </pt>
                <pt idx="1826">
                  <v>37261</v>
                </pt>
                <pt idx="1827">
                  <v>37268</v>
                </pt>
                <pt idx="1828">
                  <v>37275</v>
                </pt>
                <pt idx="1829">
                  <v>37282</v>
                </pt>
                <pt idx="1830">
                  <v>37289</v>
                </pt>
                <pt idx="1831">
                  <v>37296</v>
                </pt>
                <pt idx="1832">
                  <v>37303</v>
                </pt>
                <pt idx="1833">
                  <v>37310</v>
                </pt>
                <pt idx="1834">
                  <v>37317</v>
                </pt>
                <pt idx="1835">
                  <v>37324</v>
                </pt>
                <pt idx="1836">
                  <v>37331</v>
                </pt>
                <pt idx="1837">
                  <v>37338</v>
                </pt>
                <pt idx="1838">
                  <v>37345</v>
                </pt>
                <pt idx="1839">
                  <v>37352</v>
                </pt>
                <pt idx="1840">
                  <v>37359</v>
                </pt>
                <pt idx="1841">
                  <v>37366</v>
                </pt>
                <pt idx="1842">
                  <v>37373</v>
                </pt>
                <pt idx="1843">
                  <v>37380</v>
                </pt>
                <pt idx="1844">
                  <v>37387</v>
                </pt>
                <pt idx="1845">
                  <v>37394</v>
                </pt>
                <pt idx="1846">
                  <v>37401</v>
                </pt>
                <pt idx="1847">
                  <v>37408</v>
                </pt>
                <pt idx="1848">
                  <v>37415</v>
                </pt>
                <pt idx="1849">
                  <v>37422</v>
                </pt>
                <pt idx="1850">
                  <v>37429</v>
                </pt>
                <pt idx="1851">
                  <v>37436</v>
                </pt>
                <pt idx="1852">
                  <v>37443</v>
                </pt>
                <pt idx="1853">
                  <v>37450</v>
                </pt>
                <pt idx="1854">
                  <v>37457</v>
                </pt>
                <pt idx="1855">
                  <v>37464</v>
                </pt>
                <pt idx="1856">
                  <v>37471</v>
                </pt>
                <pt idx="1857">
                  <v>37478</v>
                </pt>
                <pt idx="1858">
                  <v>37485</v>
                </pt>
                <pt idx="1859">
                  <v>37492</v>
                </pt>
                <pt idx="1860">
                  <v>37499</v>
                </pt>
                <pt idx="1861">
                  <v>37506</v>
                </pt>
                <pt idx="1862">
                  <v>37513</v>
                </pt>
                <pt idx="1863">
                  <v>37520</v>
                </pt>
                <pt idx="1864">
                  <v>37527</v>
                </pt>
                <pt idx="1865">
                  <v>37534</v>
                </pt>
                <pt idx="1866">
                  <v>37541</v>
                </pt>
                <pt idx="1867">
                  <v>37548</v>
                </pt>
                <pt idx="1868">
                  <v>37555</v>
                </pt>
                <pt idx="1869">
                  <v>37562</v>
                </pt>
                <pt idx="1870">
                  <v>37569</v>
                </pt>
                <pt idx="1871">
                  <v>37576</v>
                </pt>
                <pt idx="1872">
                  <v>37583</v>
                </pt>
                <pt idx="1873">
                  <v>37590</v>
                </pt>
                <pt idx="1874">
                  <v>37597</v>
                </pt>
                <pt idx="1875">
                  <v>37604</v>
                </pt>
                <pt idx="1876">
                  <v>37611</v>
                </pt>
                <pt idx="1877">
                  <v>37618</v>
                </pt>
                <pt idx="1878">
                  <v>37625</v>
                </pt>
                <pt idx="1879">
                  <v>37632</v>
                </pt>
                <pt idx="1880">
                  <v>37639</v>
                </pt>
                <pt idx="1881">
                  <v>37646</v>
                </pt>
                <pt idx="1882">
                  <v>37653</v>
                </pt>
                <pt idx="1883">
                  <v>37660</v>
                </pt>
                <pt idx="1884">
                  <v>37667</v>
                </pt>
                <pt idx="1885">
                  <v>37674</v>
                </pt>
                <pt idx="1886">
                  <v>37681</v>
                </pt>
                <pt idx="1887">
                  <v>37688</v>
                </pt>
                <pt idx="1888">
                  <v>37695</v>
                </pt>
                <pt idx="1889">
                  <v>37702</v>
                </pt>
                <pt idx="1890">
                  <v>37709</v>
                </pt>
                <pt idx="1891">
                  <v>37716</v>
                </pt>
                <pt idx="1892">
                  <v>37723</v>
                </pt>
                <pt idx="1893">
                  <v>37730</v>
                </pt>
                <pt idx="1894">
                  <v>37737</v>
                </pt>
                <pt idx="1895">
                  <v>37744</v>
                </pt>
                <pt idx="1896">
                  <v>37751</v>
                </pt>
                <pt idx="1897">
                  <v>37758</v>
                </pt>
                <pt idx="1898">
                  <v>37765</v>
                </pt>
                <pt idx="1899">
                  <v>37772</v>
                </pt>
                <pt idx="1900">
                  <v>37779</v>
                </pt>
                <pt idx="1901">
                  <v>37786</v>
                </pt>
                <pt idx="1902">
                  <v>37793</v>
                </pt>
                <pt idx="1903">
                  <v>37800</v>
                </pt>
                <pt idx="1904">
                  <v>37807</v>
                </pt>
                <pt idx="1905">
                  <v>37814</v>
                </pt>
                <pt idx="1906">
                  <v>37821</v>
                </pt>
                <pt idx="1907">
                  <v>37828</v>
                </pt>
                <pt idx="1908">
                  <v>37835</v>
                </pt>
                <pt idx="1909">
                  <v>37842</v>
                </pt>
                <pt idx="1910">
                  <v>37849</v>
                </pt>
                <pt idx="1911">
                  <v>37856</v>
                </pt>
                <pt idx="1912">
                  <v>37863</v>
                </pt>
                <pt idx="1913">
                  <v>37870</v>
                </pt>
                <pt idx="1914">
                  <v>37877</v>
                </pt>
                <pt idx="1915">
                  <v>37884</v>
                </pt>
                <pt idx="1916">
                  <v>37891</v>
                </pt>
                <pt idx="1917">
                  <v>37898</v>
                </pt>
                <pt idx="1918">
                  <v>37905</v>
                </pt>
                <pt idx="1919">
                  <v>37912</v>
                </pt>
                <pt idx="1920">
                  <v>37919</v>
                </pt>
                <pt idx="1921">
                  <v>37926</v>
                </pt>
                <pt idx="1922">
                  <v>37933</v>
                </pt>
                <pt idx="1923">
                  <v>37940</v>
                </pt>
                <pt idx="1924">
                  <v>37947</v>
                </pt>
                <pt idx="1925">
                  <v>37954</v>
                </pt>
                <pt idx="1926">
                  <v>37961</v>
                </pt>
                <pt idx="1927">
                  <v>37968</v>
                </pt>
                <pt idx="1928">
                  <v>37975</v>
                </pt>
                <pt idx="1929">
                  <v>37982</v>
                </pt>
                <pt idx="1930">
                  <v>37989</v>
                </pt>
                <pt idx="1931">
                  <v>37996</v>
                </pt>
                <pt idx="1932">
                  <v>38003</v>
                </pt>
                <pt idx="1933">
                  <v>38010</v>
                </pt>
                <pt idx="1934">
                  <v>38017</v>
                </pt>
                <pt idx="1935">
                  <v>38024</v>
                </pt>
                <pt idx="1936">
                  <v>38031</v>
                </pt>
                <pt idx="1937">
                  <v>38038</v>
                </pt>
                <pt idx="1938">
                  <v>38045</v>
                </pt>
                <pt idx="1939">
                  <v>38052</v>
                </pt>
                <pt idx="1940">
                  <v>38059</v>
                </pt>
                <pt idx="1941">
                  <v>38066</v>
                </pt>
                <pt idx="1942">
                  <v>38073</v>
                </pt>
                <pt idx="1943">
                  <v>38080</v>
                </pt>
                <pt idx="1944">
                  <v>38087</v>
                </pt>
                <pt idx="1945">
                  <v>38094</v>
                </pt>
                <pt idx="1946">
                  <v>38101</v>
                </pt>
                <pt idx="1947">
                  <v>38108</v>
                </pt>
                <pt idx="1948">
                  <v>38115</v>
                </pt>
                <pt idx="1949">
                  <v>38122</v>
                </pt>
                <pt idx="1950">
                  <v>38129</v>
                </pt>
                <pt idx="1951">
                  <v>38136</v>
                </pt>
                <pt idx="1952">
                  <v>38143</v>
                </pt>
                <pt idx="1953">
                  <v>38150</v>
                </pt>
                <pt idx="1954">
                  <v>38157</v>
                </pt>
                <pt idx="1955">
                  <v>38164</v>
                </pt>
                <pt idx="1956">
                  <v>38171</v>
                </pt>
                <pt idx="1957">
                  <v>38178</v>
                </pt>
                <pt idx="1958">
                  <v>38185</v>
                </pt>
                <pt idx="1959">
                  <v>38192</v>
                </pt>
                <pt idx="1960">
                  <v>38199</v>
                </pt>
                <pt idx="1961">
                  <v>38206</v>
                </pt>
                <pt idx="1962">
                  <v>38213</v>
                </pt>
                <pt idx="1963">
                  <v>38220</v>
                </pt>
                <pt idx="1964">
                  <v>38227</v>
                </pt>
                <pt idx="1965">
                  <v>38234</v>
                </pt>
                <pt idx="1966">
                  <v>38241</v>
                </pt>
                <pt idx="1967">
                  <v>38248</v>
                </pt>
                <pt idx="1968">
                  <v>38255</v>
                </pt>
                <pt idx="1969">
                  <v>38262</v>
                </pt>
                <pt idx="1970">
                  <v>38269</v>
                </pt>
                <pt idx="1971">
                  <v>38276</v>
                </pt>
                <pt idx="1972">
                  <v>38283</v>
                </pt>
                <pt idx="1973">
                  <v>38290</v>
                </pt>
                <pt idx="1974">
                  <v>38297</v>
                </pt>
                <pt idx="1975">
                  <v>38304</v>
                </pt>
                <pt idx="1976">
                  <v>38311</v>
                </pt>
                <pt idx="1977">
                  <v>38318</v>
                </pt>
                <pt idx="1978">
                  <v>38325</v>
                </pt>
                <pt idx="1979">
                  <v>38332</v>
                </pt>
                <pt idx="1980">
                  <v>38339</v>
                </pt>
                <pt idx="1981">
                  <v>38346</v>
                </pt>
                <pt idx="1982">
                  <v>38353</v>
                </pt>
                <pt idx="1983">
                  <v>38360</v>
                </pt>
                <pt idx="1984">
                  <v>38367</v>
                </pt>
                <pt idx="1985">
                  <v>38374</v>
                </pt>
                <pt idx="1986">
                  <v>38381</v>
                </pt>
                <pt idx="1987">
                  <v>38388</v>
                </pt>
                <pt idx="1988">
                  <v>38395</v>
                </pt>
                <pt idx="1989">
                  <v>38402</v>
                </pt>
                <pt idx="1990">
                  <v>38409</v>
                </pt>
                <pt idx="1991">
                  <v>38416</v>
                </pt>
                <pt idx="1992">
                  <v>38423</v>
                </pt>
                <pt idx="1993">
                  <v>38430</v>
                </pt>
                <pt idx="1994">
                  <v>38437</v>
                </pt>
                <pt idx="1995">
                  <v>38444</v>
                </pt>
                <pt idx="1996">
                  <v>38451</v>
                </pt>
                <pt idx="1997">
                  <v>38458</v>
                </pt>
                <pt idx="1998">
                  <v>38465</v>
                </pt>
                <pt idx="1999">
                  <v>38472</v>
                </pt>
                <pt idx="2000">
                  <v>38479</v>
                </pt>
                <pt idx="2001">
                  <v>38486</v>
                </pt>
                <pt idx="2002">
                  <v>38493</v>
                </pt>
                <pt idx="2003">
                  <v>38500</v>
                </pt>
                <pt idx="2004">
                  <v>38507</v>
                </pt>
                <pt idx="2005">
                  <v>38514</v>
                </pt>
                <pt idx="2006">
                  <v>38521</v>
                </pt>
                <pt idx="2007">
                  <v>38528</v>
                </pt>
                <pt idx="2008">
                  <v>38535</v>
                </pt>
                <pt idx="2009">
                  <v>38542</v>
                </pt>
                <pt idx="2010">
                  <v>38549</v>
                </pt>
                <pt idx="2011">
                  <v>38556</v>
                </pt>
                <pt idx="2012">
                  <v>38563</v>
                </pt>
                <pt idx="2013">
                  <v>38570</v>
                </pt>
                <pt idx="2014">
                  <v>38577</v>
                </pt>
                <pt idx="2015">
                  <v>38584</v>
                </pt>
                <pt idx="2016">
                  <v>38591</v>
                </pt>
                <pt idx="2017">
                  <v>38598</v>
                </pt>
                <pt idx="2018">
                  <v>38605</v>
                </pt>
                <pt idx="2019">
                  <v>38612</v>
                </pt>
                <pt idx="2020">
                  <v>38619</v>
                </pt>
                <pt idx="2021">
                  <v>38626</v>
                </pt>
                <pt idx="2022">
                  <v>38633</v>
                </pt>
                <pt idx="2023">
                  <v>38640</v>
                </pt>
                <pt idx="2024">
                  <v>38647</v>
                </pt>
                <pt idx="2025">
                  <v>38654</v>
                </pt>
                <pt idx="2026">
                  <v>38661</v>
                </pt>
                <pt idx="2027">
                  <v>38668</v>
                </pt>
                <pt idx="2028">
                  <v>38675</v>
                </pt>
                <pt idx="2029">
                  <v>38682</v>
                </pt>
                <pt idx="2030">
                  <v>38689</v>
                </pt>
                <pt idx="2031">
                  <v>38696</v>
                </pt>
                <pt idx="2032">
                  <v>38703</v>
                </pt>
                <pt idx="2033">
                  <v>38710</v>
                </pt>
                <pt idx="2034">
                  <v>38717</v>
                </pt>
                <pt idx="2035">
                  <v>38724</v>
                </pt>
                <pt idx="2036">
                  <v>38731</v>
                </pt>
                <pt idx="2037">
                  <v>38738</v>
                </pt>
                <pt idx="2038">
                  <v>38745</v>
                </pt>
                <pt idx="2039">
                  <v>38752</v>
                </pt>
                <pt idx="2040">
                  <v>38759</v>
                </pt>
                <pt idx="2041">
                  <v>38766</v>
                </pt>
                <pt idx="2042">
                  <v>38773</v>
                </pt>
                <pt idx="2043">
                  <v>38780</v>
                </pt>
                <pt idx="2044">
                  <v>38787</v>
                </pt>
                <pt idx="2045">
                  <v>38794</v>
                </pt>
                <pt idx="2046">
                  <v>38801</v>
                </pt>
                <pt idx="2047">
                  <v>38808</v>
                </pt>
                <pt idx="2048">
                  <v>38815</v>
                </pt>
                <pt idx="2049">
                  <v>38822</v>
                </pt>
                <pt idx="2050">
                  <v>38829</v>
                </pt>
                <pt idx="2051">
                  <v>38836</v>
                </pt>
                <pt idx="2052">
                  <v>38843</v>
                </pt>
                <pt idx="2053">
                  <v>38850</v>
                </pt>
                <pt idx="2054">
                  <v>38857</v>
                </pt>
                <pt idx="2055">
                  <v>38864</v>
                </pt>
                <pt idx="2056">
                  <v>38871</v>
                </pt>
                <pt idx="2057">
                  <v>38878</v>
                </pt>
                <pt idx="2058">
                  <v>38885</v>
                </pt>
                <pt idx="2059">
                  <v>38892</v>
                </pt>
                <pt idx="2060">
                  <v>38899</v>
                </pt>
                <pt idx="2061">
                  <v>38906</v>
                </pt>
                <pt idx="2062">
                  <v>38913</v>
                </pt>
                <pt idx="2063">
                  <v>38920</v>
                </pt>
                <pt idx="2064">
                  <v>38927</v>
                </pt>
                <pt idx="2065">
                  <v>38934</v>
                </pt>
                <pt idx="2066">
                  <v>38941</v>
                </pt>
                <pt idx="2067">
                  <v>38948</v>
                </pt>
                <pt idx="2068">
                  <v>38955</v>
                </pt>
                <pt idx="2069">
                  <v>38962</v>
                </pt>
                <pt idx="2070">
                  <v>38969</v>
                </pt>
                <pt idx="2071">
                  <v>38976</v>
                </pt>
                <pt idx="2072">
                  <v>38983</v>
                </pt>
                <pt idx="2073">
                  <v>38990</v>
                </pt>
                <pt idx="2074">
                  <v>38997</v>
                </pt>
                <pt idx="2075">
                  <v>39004</v>
                </pt>
                <pt idx="2076">
                  <v>39011</v>
                </pt>
                <pt idx="2077">
                  <v>39018</v>
                </pt>
                <pt idx="2078">
                  <v>39025</v>
                </pt>
                <pt idx="2079">
                  <v>39032</v>
                </pt>
                <pt idx="2080">
                  <v>39039</v>
                </pt>
                <pt idx="2081">
                  <v>39046</v>
                </pt>
                <pt idx="2082">
                  <v>39053</v>
                </pt>
                <pt idx="2083">
                  <v>39060</v>
                </pt>
                <pt idx="2084">
                  <v>39067</v>
                </pt>
                <pt idx="2085">
                  <v>39074</v>
                </pt>
                <pt idx="2086">
                  <v>39081</v>
                </pt>
                <pt idx="2087">
                  <v>39088</v>
                </pt>
                <pt idx="2088">
                  <v>39095</v>
                </pt>
                <pt idx="2089">
                  <v>39102</v>
                </pt>
                <pt idx="2090">
                  <v>39109</v>
                </pt>
                <pt idx="2091">
                  <v>39116</v>
                </pt>
                <pt idx="2092">
                  <v>39123</v>
                </pt>
                <pt idx="2093">
                  <v>39130</v>
                </pt>
                <pt idx="2094">
                  <v>39137</v>
                </pt>
                <pt idx="2095">
                  <v>39144</v>
                </pt>
                <pt idx="2096">
                  <v>39151</v>
                </pt>
                <pt idx="2097">
                  <v>39158</v>
                </pt>
                <pt idx="2098">
                  <v>39165</v>
                </pt>
                <pt idx="2099">
                  <v>39172</v>
                </pt>
                <pt idx="2100">
                  <v>39179</v>
                </pt>
                <pt idx="2101">
                  <v>39186</v>
                </pt>
                <pt idx="2102">
                  <v>39193</v>
                </pt>
                <pt idx="2103">
                  <v>39200</v>
                </pt>
                <pt idx="2104">
                  <v>39207</v>
                </pt>
                <pt idx="2105">
                  <v>39214</v>
                </pt>
                <pt idx="2106">
                  <v>39221</v>
                </pt>
                <pt idx="2107">
                  <v>39228</v>
                </pt>
                <pt idx="2108">
                  <v>39235</v>
                </pt>
                <pt idx="2109">
                  <v>39242</v>
                </pt>
                <pt idx="2110">
                  <v>39249</v>
                </pt>
                <pt idx="2111">
                  <v>39256</v>
                </pt>
                <pt idx="2112">
                  <v>39263</v>
                </pt>
                <pt idx="2113">
                  <v>39270</v>
                </pt>
                <pt idx="2114">
                  <v>39277</v>
                </pt>
                <pt idx="2115">
                  <v>39284</v>
                </pt>
                <pt idx="2116">
                  <v>39291</v>
                </pt>
                <pt idx="2117">
                  <v>39298</v>
                </pt>
                <pt idx="2118">
                  <v>39305</v>
                </pt>
                <pt idx="2119">
                  <v>39312</v>
                </pt>
                <pt idx="2120">
                  <v>39319</v>
                </pt>
                <pt idx="2121">
                  <v>39326</v>
                </pt>
                <pt idx="2122">
                  <v>39333</v>
                </pt>
                <pt idx="2123">
                  <v>39340</v>
                </pt>
                <pt idx="2124">
                  <v>39347</v>
                </pt>
                <pt idx="2125">
                  <v>39354</v>
                </pt>
                <pt idx="2126">
                  <v>39361</v>
                </pt>
                <pt idx="2127">
                  <v>39368</v>
                </pt>
                <pt idx="2128">
                  <v>39375</v>
                </pt>
                <pt idx="2129">
                  <v>39382</v>
                </pt>
                <pt idx="2130">
                  <v>39389</v>
                </pt>
                <pt idx="2131">
                  <v>39396</v>
                </pt>
                <pt idx="2132">
                  <v>39403</v>
                </pt>
                <pt idx="2133">
                  <v>39410</v>
                </pt>
                <pt idx="2134">
                  <v>39417</v>
                </pt>
                <pt idx="2135">
                  <v>39424</v>
                </pt>
                <pt idx="2136">
                  <v>39431</v>
                </pt>
                <pt idx="2137">
                  <v>39438</v>
                </pt>
                <pt idx="2138">
                  <v>39445</v>
                </pt>
                <pt idx="2139">
                  <v>39452</v>
                </pt>
                <pt idx="2140">
                  <v>39459</v>
                </pt>
                <pt idx="2141">
                  <v>39466</v>
                </pt>
                <pt idx="2142">
                  <v>39473</v>
                </pt>
                <pt idx="2143">
                  <v>39480</v>
                </pt>
                <pt idx="2144">
                  <v>39487</v>
                </pt>
                <pt idx="2145">
                  <v>39494</v>
                </pt>
                <pt idx="2146">
                  <v>39501</v>
                </pt>
                <pt idx="2147">
                  <v>39508</v>
                </pt>
                <pt idx="2148">
                  <v>39515</v>
                </pt>
                <pt idx="2149">
                  <v>39522</v>
                </pt>
                <pt idx="2150">
                  <v>39529</v>
                </pt>
                <pt idx="2151">
                  <v>39536</v>
                </pt>
                <pt idx="2152">
                  <v>39543</v>
                </pt>
                <pt idx="2153">
                  <v>39550</v>
                </pt>
                <pt idx="2154">
                  <v>39557</v>
                </pt>
                <pt idx="2155">
                  <v>39564</v>
                </pt>
                <pt idx="2156">
                  <v>39571</v>
                </pt>
                <pt idx="2157">
                  <v>39578</v>
                </pt>
                <pt idx="2158">
                  <v>39585</v>
                </pt>
                <pt idx="2159">
                  <v>39592</v>
                </pt>
                <pt idx="2160">
                  <v>39599</v>
                </pt>
                <pt idx="2161">
                  <v>39606</v>
                </pt>
                <pt idx="2162">
                  <v>39613</v>
                </pt>
                <pt idx="2163">
                  <v>39620</v>
                </pt>
                <pt idx="2164">
                  <v>39627</v>
                </pt>
                <pt idx="2165">
                  <v>39634</v>
                </pt>
                <pt idx="2166">
                  <v>39641</v>
                </pt>
                <pt idx="2167">
                  <v>39648</v>
                </pt>
                <pt idx="2168">
                  <v>39655</v>
                </pt>
                <pt idx="2169">
                  <v>39662</v>
                </pt>
                <pt idx="2170">
                  <v>39669</v>
                </pt>
                <pt idx="2171">
                  <v>39676</v>
                </pt>
                <pt idx="2172">
                  <v>39683</v>
                </pt>
                <pt idx="2173">
                  <v>39690</v>
                </pt>
                <pt idx="2174">
                  <v>39697</v>
                </pt>
                <pt idx="2175">
                  <v>39704</v>
                </pt>
                <pt idx="2176">
                  <v>39711</v>
                </pt>
                <pt idx="2177">
                  <v>39718</v>
                </pt>
                <pt idx="2178">
                  <v>39725</v>
                </pt>
                <pt idx="2179">
                  <v>39732</v>
                </pt>
                <pt idx="2180">
                  <v>39739</v>
                </pt>
                <pt idx="2181">
                  <v>39746</v>
                </pt>
                <pt idx="2182">
                  <v>39753</v>
                </pt>
                <pt idx="2183">
                  <v>39760</v>
                </pt>
                <pt idx="2184">
                  <v>39767</v>
                </pt>
                <pt idx="2185">
                  <v>39774</v>
                </pt>
                <pt idx="2186">
                  <v>39781</v>
                </pt>
                <pt idx="2187">
                  <v>39788</v>
                </pt>
                <pt idx="2188">
                  <v>39795</v>
                </pt>
                <pt idx="2189">
                  <v>39802</v>
                </pt>
                <pt idx="2190">
                  <v>39809</v>
                </pt>
                <pt idx="2191">
                  <v>39816</v>
                </pt>
                <pt idx="2192">
                  <v>39823</v>
                </pt>
                <pt idx="2193">
                  <v>39830</v>
                </pt>
                <pt idx="2194">
                  <v>39837</v>
                </pt>
                <pt idx="2195">
                  <v>39844</v>
                </pt>
                <pt idx="2196">
                  <v>39851</v>
                </pt>
                <pt idx="2197">
                  <v>39858</v>
                </pt>
                <pt idx="2198">
                  <v>39865</v>
                </pt>
                <pt idx="2199">
                  <v>39872</v>
                </pt>
                <pt idx="2200">
                  <v>39879</v>
                </pt>
                <pt idx="2201">
                  <v>39886</v>
                </pt>
                <pt idx="2202">
                  <v>39893</v>
                </pt>
                <pt idx="2203">
                  <v>39900</v>
                </pt>
                <pt idx="2204">
                  <v>39907</v>
                </pt>
                <pt idx="2205">
                  <v>39914</v>
                </pt>
                <pt idx="2206">
                  <v>39921</v>
                </pt>
                <pt idx="2207">
                  <v>39928</v>
                </pt>
                <pt idx="2208">
                  <v>39935</v>
                </pt>
                <pt idx="2209">
                  <v>39942</v>
                </pt>
                <pt idx="2210">
                  <v>39949</v>
                </pt>
                <pt idx="2211">
                  <v>39956</v>
                </pt>
                <pt idx="2212">
                  <v>39963</v>
                </pt>
                <pt idx="2213">
                  <v>39970</v>
                </pt>
                <pt idx="2214">
                  <v>39977</v>
                </pt>
                <pt idx="2215">
                  <v>39984</v>
                </pt>
                <pt idx="2216">
                  <v>39991</v>
                </pt>
                <pt idx="2217">
                  <v>39998</v>
                </pt>
                <pt idx="2218">
                  <v>40005</v>
                </pt>
                <pt idx="2219">
                  <v>40012</v>
                </pt>
                <pt idx="2220">
                  <v>40019</v>
                </pt>
                <pt idx="2221">
                  <v>40026</v>
                </pt>
                <pt idx="2222">
                  <v>40033</v>
                </pt>
                <pt idx="2223">
                  <v>40040</v>
                </pt>
                <pt idx="2224">
                  <v>40047</v>
                </pt>
                <pt idx="2225">
                  <v>40054</v>
                </pt>
                <pt idx="2226">
                  <v>40061</v>
                </pt>
                <pt idx="2227">
                  <v>40068</v>
                </pt>
                <pt idx="2228">
                  <v>40075</v>
                </pt>
                <pt idx="2229">
                  <v>40082</v>
                </pt>
                <pt idx="2230">
                  <v>40089</v>
                </pt>
                <pt idx="2231">
                  <v>40096</v>
                </pt>
                <pt idx="2232">
                  <v>40103</v>
                </pt>
                <pt idx="2233">
                  <v>40110</v>
                </pt>
                <pt idx="2234">
                  <v>40117</v>
                </pt>
                <pt idx="2235">
                  <v>40124</v>
                </pt>
                <pt idx="2236">
                  <v>40131</v>
                </pt>
                <pt idx="2237">
                  <v>40138</v>
                </pt>
                <pt idx="2238">
                  <v>40145</v>
                </pt>
                <pt idx="2239">
                  <v>40152</v>
                </pt>
                <pt idx="2240">
                  <v>40159</v>
                </pt>
                <pt idx="2241">
                  <v>40166</v>
                </pt>
                <pt idx="2242">
                  <v>40173</v>
                </pt>
                <pt idx="2243">
                  <v>40180</v>
                </pt>
                <pt idx="2244">
                  <v>40187</v>
                </pt>
                <pt idx="2245">
                  <v>40194</v>
                </pt>
                <pt idx="2246">
                  <v>40201</v>
                </pt>
                <pt idx="2247">
                  <v>40208</v>
                </pt>
                <pt idx="2248">
                  <v>40215</v>
                </pt>
                <pt idx="2249">
                  <v>40222</v>
                </pt>
                <pt idx="2250">
                  <v>40229</v>
                </pt>
                <pt idx="2251">
                  <v>40236</v>
                </pt>
                <pt idx="2252">
                  <v>40243</v>
                </pt>
                <pt idx="2253">
                  <v>40250</v>
                </pt>
                <pt idx="2254">
                  <v>40257</v>
                </pt>
                <pt idx="2255">
                  <v>40264</v>
                </pt>
                <pt idx="2256">
                  <v>40271</v>
                </pt>
                <pt idx="2257">
                  <v>40278</v>
                </pt>
                <pt idx="2258">
                  <v>40285</v>
                </pt>
                <pt idx="2259">
                  <v>40292</v>
                </pt>
                <pt idx="2260">
                  <v>40299</v>
                </pt>
                <pt idx="2261">
                  <v>40306</v>
                </pt>
                <pt idx="2262">
                  <v>40313</v>
                </pt>
                <pt idx="2263">
                  <v>40320</v>
                </pt>
                <pt idx="2264">
                  <v>40327</v>
                </pt>
                <pt idx="2265">
                  <v>40334</v>
                </pt>
                <pt idx="2266">
                  <v>40341</v>
                </pt>
                <pt idx="2267">
                  <v>40348</v>
                </pt>
                <pt idx="2268">
                  <v>40355</v>
                </pt>
                <pt idx="2269">
                  <v>40362</v>
                </pt>
                <pt idx="2270">
                  <v>40369</v>
                </pt>
                <pt idx="2271">
                  <v>40376</v>
                </pt>
                <pt idx="2272">
                  <v>40383</v>
                </pt>
                <pt idx="2273">
                  <v>40390</v>
                </pt>
                <pt idx="2274">
                  <v>40397</v>
                </pt>
                <pt idx="2275">
                  <v>40404</v>
                </pt>
                <pt idx="2276">
                  <v>40411</v>
                </pt>
                <pt idx="2277">
                  <v>40418</v>
                </pt>
                <pt idx="2278">
                  <v>40425</v>
                </pt>
                <pt idx="2279">
                  <v>40432</v>
                </pt>
                <pt idx="2280">
                  <v>40439</v>
                </pt>
                <pt idx="2281">
                  <v>40446</v>
                </pt>
                <pt idx="2282">
                  <v>40453</v>
                </pt>
                <pt idx="2283">
                  <v>40460</v>
                </pt>
                <pt idx="2284">
                  <v>40467</v>
                </pt>
                <pt idx="2285">
                  <v>40474</v>
                </pt>
                <pt idx="2286">
                  <v>40481</v>
                </pt>
                <pt idx="2287">
                  <v>40488</v>
                </pt>
                <pt idx="2288">
                  <v>40495</v>
                </pt>
                <pt idx="2289">
                  <v>40502</v>
                </pt>
                <pt idx="2290">
                  <v>40509</v>
                </pt>
                <pt idx="2291">
                  <v>40516</v>
                </pt>
                <pt idx="2292">
                  <v>40523</v>
                </pt>
                <pt idx="2293">
                  <v>40530</v>
                </pt>
                <pt idx="2294">
                  <v>40537</v>
                </pt>
                <pt idx="2295">
                  <v>40544</v>
                </pt>
                <pt idx="2296">
                  <v>40551</v>
                </pt>
                <pt idx="2297">
                  <v>40558</v>
                </pt>
                <pt idx="2298">
                  <v>40565</v>
                </pt>
                <pt idx="2299">
                  <v>40572</v>
                </pt>
                <pt idx="2300">
                  <v>40579</v>
                </pt>
                <pt idx="2301">
                  <v>40586</v>
                </pt>
                <pt idx="2302">
                  <v>40593</v>
                </pt>
                <pt idx="2303">
                  <v>40600</v>
                </pt>
                <pt idx="2304">
                  <v>40607</v>
                </pt>
                <pt idx="2305">
                  <v>40614</v>
                </pt>
                <pt idx="2306">
                  <v>40621</v>
                </pt>
                <pt idx="2307">
                  <v>40628</v>
                </pt>
                <pt idx="2308">
                  <v>40635</v>
                </pt>
                <pt idx="2309">
                  <v>40642</v>
                </pt>
                <pt idx="2310">
                  <v>40649</v>
                </pt>
                <pt idx="2311">
                  <v>40656</v>
                </pt>
                <pt idx="2312">
                  <v>40663</v>
                </pt>
                <pt idx="2313">
                  <v>40670</v>
                </pt>
                <pt idx="2314">
                  <v>40677</v>
                </pt>
                <pt idx="2315">
                  <v>40684</v>
                </pt>
                <pt idx="2316">
                  <v>40691</v>
                </pt>
                <pt idx="2317">
                  <v>40698</v>
                </pt>
                <pt idx="2318">
                  <v>40705</v>
                </pt>
                <pt idx="2319">
                  <v>40712</v>
                </pt>
                <pt idx="2320">
                  <v>40719</v>
                </pt>
                <pt idx="2321">
                  <v>40726</v>
                </pt>
                <pt idx="2322">
                  <v>40733</v>
                </pt>
                <pt idx="2323">
                  <v>40740</v>
                </pt>
                <pt idx="2324">
                  <v>40747</v>
                </pt>
                <pt idx="2325">
                  <v>40754</v>
                </pt>
                <pt idx="2326">
                  <v>40761</v>
                </pt>
                <pt idx="2327">
                  <v>40768</v>
                </pt>
                <pt idx="2328">
                  <v>40775</v>
                </pt>
                <pt idx="2329">
                  <v>40782</v>
                </pt>
                <pt idx="2330">
                  <v>40789</v>
                </pt>
                <pt idx="2331">
                  <v>40796</v>
                </pt>
                <pt idx="2332">
                  <v>40803</v>
                </pt>
                <pt idx="2333">
                  <v>40810</v>
                </pt>
                <pt idx="2334">
                  <v>40817</v>
                </pt>
                <pt idx="2335">
                  <v>40824</v>
                </pt>
                <pt idx="2336">
                  <v>40831</v>
                </pt>
                <pt idx="2337">
                  <v>40838</v>
                </pt>
                <pt idx="2338">
                  <v>40845</v>
                </pt>
                <pt idx="2339">
                  <v>40852</v>
                </pt>
                <pt idx="2340">
                  <v>40859</v>
                </pt>
                <pt idx="2341">
                  <v>40866</v>
                </pt>
                <pt idx="2342">
                  <v>40873</v>
                </pt>
                <pt idx="2343">
                  <v>40880</v>
                </pt>
                <pt idx="2344">
                  <v>40887</v>
                </pt>
                <pt idx="2345">
                  <v>40894</v>
                </pt>
                <pt idx="2346">
                  <v>40901</v>
                </pt>
                <pt idx="2347">
                  <v>40908</v>
                </pt>
                <pt idx="2348">
                  <v>40915</v>
                </pt>
                <pt idx="2349">
                  <v>40922</v>
                </pt>
                <pt idx="2350">
                  <v>40929</v>
                </pt>
                <pt idx="2351">
                  <v>40936</v>
                </pt>
                <pt idx="2352">
                  <v>40943</v>
                </pt>
                <pt idx="2353">
                  <v>40950</v>
                </pt>
                <pt idx="2354">
                  <v>40957</v>
                </pt>
                <pt idx="2355">
                  <v>40964</v>
                </pt>
                <pt idx="2356">
                  <v>40971</v>
                </pt>
                <pt idx="2357">
                  <v>40978</v>
                </pt>
                <pt idx="2358">
                  <v>40985</v>
                </pt>
                <pt idx="2359">
                  <v>40992</v>
                </pt>
                <pt idx="2360">
                  <v>40999</v>
                </pt>
                <pt idx="2361">
                  <v>41006</v>
                </pt>
                <pt idx="2362">
                  <v>41013</v>
                </pt>
                <pt idx="2363">
                  <v>41020</v>
                </pt>
                <pt idx="2364">
                  <v>41027</v>
                </pt>
                <pt idx="2365">
                  <v>41034</v>
                </pt>
                <pt idx="2366">
                  <v>41041</v>
                </pt>
                <pt idx="2367">
                  <v>41048</v>
                </pt>
                <pt idx="2368">
                  <v>41055</v>
                </pt>
                <pt idx="2369">
                  <v>41062</v>
                </pt>
                <pt idx="2370">
                  <v>41069</v>
                </pt>
                <pt idx="2371">
                  <v>41076</v>
                </pt>
                <pt idx="2372">
                  <v>41083</v>
                </pt>
                <pt idx="2373">
                  <v>41090</v>
                </pt>
                <pt idx="2374">
                  <v>41097</v>
                </pt>
                <pt idx="2375">
                  <v>41104</v>
                </pt>
                <pt idx="2376">
                  <v>41111</v>
                </pt>
                <pt idx="2377">
                  <v>41118</v>
                </pt>
                <pt idx="2378">
                  <v>41125</v>
                </pt>
                <pt idx="2379">
                  <v>41132</v>
                </pt>
                <pt idx="2380">
                  <v>41139</v>
                </pt>
                <pt idx="2381">
                  <v>41146</v>
                </pt>
                <pt idx="2382">
                  <v>41153</v>
                </pt>
                <pt idx="2383">
                  <v>41160</v>
                </pt>
                <pt idx="2384">
                  <v>41167</v>
                </pt>
                <pt idx="2385">
                  <v>41174</v>
                </pt>
                <pt idx="2386">
                  <v>41181</v>
                </pt>
                <pt idx="2387">
                  <v>41188</v>
                </pt>
                <pt idx="2388">
                  <v>41195</v>
                </pt>
                <pt idx="2389">
                  <v>41202</v>
                </pt>
                <pt idx="2390">
                  <v>41209</v>
                </pt>
                <pt idx="2391">
                  <v>41216</v>
                </pt>
                <pt idx="2392">
                  <v>41223</v>
                </pt>
                <pt idx="2393">
                  <v>41230</v>
                </pt>
                <pt idx="2394">
                  <v>41237</v>
                </pt>
                <pt idx="2395">
                  <v>41244</v>
                </pt>
                <pt idx="2396">
                  <v>41251</v>
                </pt>
                <pt idx="2397">
                  <v>41258</v>
                </pt>
                <pt idx="2398">
                  <v>41265</v>
                </pt>
                <pt idx="2399">
                  <v>41272</v>
                </pt>
                <pt idx="2400">
                  <v>41279</v>
                </pt>
                <pt idx="2401">
                  <v>41286</v>
                </pt>
                <pt idx="2402">
                  <v>41293</v>
                </pt>
                <pt idx="2403">
                  <v>41300</v>
                </pt>
                <pt idx="2404">
                  <v>41307</v>
                </pt>
                <pt idx="2405">
                  <v>41314</v>
                </pt>
                <pt idx="2406">
                  <v>41321</v>
                </pt>
                <pt idx="2407">
                  <v>41328</v>
                </pt>
                <pt idx="2408">
                  <v>41335</v>
                </pt>
                <pt idx="2409">
                  <v>41342</v>
                </pt>
                <pt idx="2410">
                  <v>41349</v>
                </pt>
                <pt idx="2411">
                  <v>41356</v>
                </pt>
                <pt idx="2412">
                  <v>41363</v>
                </pt>
                <pt idx="2413">
                  <v>41370</v>
                </pt>
                <pt idx="2414">
                  <v>41377</v>
                </pt>
                <pt idx="2415">
                  <v>41384</v>
                </pt>
                <pt idx="2416">
                  <v>41391</v>
                </pt>
                <pt idx="2417">
                  <v>41398</v>
                </pt>
                <pt idx="2418">
                  <v>41405</v>
                </pt>
                <pt idx="2419">
                  <v>41412</v>
                </pt>
                <pt idx="2420">
                  <v>41419</v>
                </pt>
                <pt idx="2421">
                  <v>41426</v>
                </pt>
                <pt idx="2422">
                  <v>41433</v>
                </pt>
                <pt idx="2423">
                  <v>41440</v>
                </pt>
                <pt idx="2424">
                  <v>41447</v>
                </pt>
                <pt idx="2425">
                  <v>41454</v>
                </pt>
                <pt idx="2426">
                  <v>41461</v>
                </pt>
                <pt idx="2427">
                  <v>41468</v>
                </pt>
                <pt idx="2428">
                  <v>41475</v>
                </pt>
                <pt idx="2429">
                  <v>41482</v>
                </pt>
                <pt idx="2430">
                  <v>41489</v>
                </pt>
                <pt idx="2431">
                  <v>41496</v>
                </pt>
                <pt idx="2432">
                  <v>41503</v>
                </pt>
                <pt idx="2433">
                  <v>41510</v>
                </pt>
                <pt idx="2434">
                  <v>41517</v>
                </pt>
                <pt idx="2435">
                  <v>41524</v>
                </pt>
                <pt idx="2436">
                  <v>41531</v>
                </pt>
                <pt idx="2437">
                  <v>41538</v>
                </pt>
                <pt idx="2438">
                  <v>41545</v>
                </pt>
                <pt idx="2439">
                  <v>41552</v>
                </pt>
                <pt idx="2440">
                  <v>41559</v>
                </pt>
                <pt idx="2441">
                  <v>41566</v>
                </pt>
                <pt idx="2442">
                  <v>41573</v>
                </pt>
                <pt idx="2443">
                  <v>41580</v>
                </pt>
                <pt idx="2444">
                  <v>41587</v>
                </pt>
                <pt idx="2445">
                  <v>41594</v>
                </pt>
                <pt idx="2446">
                  <v>41601</v>
                </pt>
                <pt idx="2447">
                  <v>41608</v>
                </pt>
                <pt idx="2448">
                  <v>41615</v>
                </pt>
                <pt idx="2449">
                  <v>41622</v>
                </pt>
                <pt idx="2450">
                  <v>41629</v>
                </pt>
                <pt idx="2451">
                  <v>41636</v>
                </pt>
                <pt idx="2452">
                  <v>41643</v>
                </pt>
                <pt idx="2453">
                  <v>41650</v>
                </pt>
                <pt idx="2454">
                  <v>41657</v>
                </pt>
                <pt idx="2455">
                  <v>41664</v>
                </pt>
                <pt idx="2456">
                  <v>41671</v>
                </pt>
                <pt idx="2457">
                  <v>41678</v>
                </pt>
                <pt idx="2458">
                  <v>41685</v>
                </pt>
                <pt idx="2459">
                  <v>41692</v>
                </pt>
                <pt idx="2460">
                  <v>41699</v>
                </pt>
                <pt idx="2461">
                  <v>41706</v>
                </pt>
                <pt idx="2462">
                  <v>41713</v>
                </pt>
                <pt idx="2463">
                  <v>41720</v>
                </pt>
                <pt idx="2464">
                  <v>41727</v>
                </pt>
                <pt idx="2465">
                  <v>41734</v>
                </pt>
                <pt idx="2466">
                  <v>41741</v>
                </pt>
                <pt idx="2467">
                  <v>41748</v>
                </pt>
                <pt idx="2468">
                  <v>41755</v>
                </pt>
                <pt idx="2469">
                  <v>41762</v>
                </pt>
                <pt idx="2470">
                  <v>41769</v>
                </pt>
                <pt idx="2471">
                  <v>41776</v>
                </pt>
                <pt idx="2472">
                  <v>41783</v>
                </pt>
                <pt idx="2473">
                  <v>41790</v>
                </pt>
                <pt idx="2474">
                  <v>41797</v>
                </pt>
                <pt idx="2475">
                  <v>41804</v>
                </pt>
                <pt idx="2476">
                  <v>41811</v>
                </pt>
                <pt idx="2477">
                  <v>41818</v>
                </pt>
                <pt idx="2478">
                  <v>41825</v>
                </pt>
                <pt idx="2479">
                  <v>41832</v>
                </pt>
                <pt idx="2480">
                  <v>41839</v>
                </pt>
                <pt idx="2481">
                  <v>41846</v>
                </pt>
                <pt idx="2482">
                  <v>41853</v>
                </pt>
                <pt idx="2483">
                  <v>41860</v>
                </pt>
                <pt idx="2484">
                  <v>41867</v>
                </pt>
                <pt idx="2485">
                  <v>41874</v>
                </pt>
                <pt idx="2486">
                  <v>41881</v>
                </pt>
                <pt idx="2487">
                  <v>41888</v>
                </pt>
                <pt idx="2488">
                  <v>41895</v>
                </pt>
                <pt idx="2489">
                  <v>41902</v>
                </pt>
                <pt idx="2490">
                  <v>41909</v>
                </pt>
                <pt idx="2491">
                  <v>41916</v>
                </pt>
                <pt idx="2492">
                  <v>41923</v>
                </pt>
                <pt idx="2493">
                  <v>41930</v>
                </pt>
                <pt idx="2494">
                  <v>41937</v>
                </pt>
                <pt idx="2495">
                  <v>41944</v>
                </pt>
                <pt idx="2496">
                  <v>41951</v>
                </pt>
                <pt idx="2497">
                  <v>41958</v>
                </pt>
                <pt idx="2498">
                  <v>41965</v>
                </pt>
                <pt idx="2499">
                  <v>41972</v>
                </pt>
                <pt idx="2500">
                  <v>41979</v>
                </pt>
                <pt idx="2501">
                  <v>41986</v>
                </pt>
                <pt idx="2502">
                  <v>41993</v>
                </pt>
                <pt idx="2503">
                  <v>42000</v>
                </pt>
                <pt idx="2504">
                  <v>42007</v>
                </pt>
                <pt idx="2505">
                  <v>42014</v>
                </pt>
                <pt idx="2506">
                  <v>42021</v>
                </pt>
                <pt idx="2507">
                  <v>42028</v>
                </pt>
                <pt idx="2508">
                  <v>42035</v>
                </pt>
                <pt idx="2509">
                  <v>42042</v>
                </pt>
                <pt idx="2510">
                  <v>42049</v>
                </pt>
                <pt idx="2511">
                  <v>42056</v>
                </pt>
                <pt idx="2512">
                  <v>42063</v>
                </pt>
                <pt idx="2513">
                  <v>42070</v>
                </pt>
                <pt idx="2514">
                  <v>42077</v>
                </pt>
                <pt idx="2515">
                  <v>42084</v>
                </pt>
                <pt idx="2516">
                  <v>42091</v>
                </pt>
                <pt idx="2517">
                  <v>42098</v>
                </pt>
                <pt idx="2518">
                  <v>42105</v>
                </pt>
                <pt idx="2519">
                  <v>42112</v>
                </pt>
                <pt idx="2520">
                  <v>42119</v>
                </pt>
                <pt idx="2521">
                  <v>42126</v>
                </pt>
                <pt idx="2522">
                  <v>42133</v>
                </pt>
                <pt idx="2523">
                  <v>42140</v>
                </pt>
                <pt idx="2524">
                  <v>42147</v>
                </pt>
                <pt idx="2525">
                  <v>42154</v>
                </pt>
                <pt idx="2526">
                  <v>42161</v>
                </pt>
                <pt idx="2527">
                  <v>42168</v>
                </pt>
                <pt idx="2528">
                  <v>42175</v>
                </pt>
                <pt idx="2529">
                  <v>42182</v>
                </pt>
                <pt idx="2530">
                  <v>42189</v>
                </pt>
                <pt idx="2531">
                  <v>42196</v>
                </pt>
                <pt idx="2532">
                  <v>42203</v>
                </pt>
                <pt idx="2533">
                  <v>42210</v>
                </pt>
                <pt idx="2534">
                  <v>42217</v>
                </pt>
                <pt idx="2535">
                  <v>42224</v>
                </pt>
                <pt idx="2536">
                  <v>42231</v>
                </pt>
                <pt idx="2537">
                  <v>42238</v>
                </pt>
                <pt idx="2538">
                  <v>42245</v>
                </pt>
                <pt idx="2539">
                  <v>42252</v>
                </pt>
                <pt idx="2540">
                  <v>42259</v>
                </pt>
                <pt idx="2541">
                  <v>42266</v>
                </pt>
                <pt idx="2542">
                  <v>42273</v>
                </pt>
                <pt idx="2543">
                  <v>42280</v>
                </pt>
                <pt idx="2544">
                  <v>42287</v>
                </pt>
                <pt idx="2545">
                  <v>42294</v>
                </pt>
                <pt idx="2546">
                  <v>42301</v>
                </pt>
                <pt idx="2547">
                  <v>42308</v>
                </pt>
                <pt idx="2548">
                  <v>42315</v>
                </pt>
                <pt idx="2549">
                  <v>42322</v>
                </pt>
                <pt idx="2550">
                  <v>42329</v>
                </pt>
                <pt idx="2551">
                  <v>42336</v>
                </pt>
                <pt idx="2552">
                  <v>42343</v>
                </pt>
                <pt idx="2553">
                  <v>42350</v>
                </pt>
                <pt idx="2554">
                  <v>42357</v>
                </pt>
                <pt idx="2555">
                  <v>42364</v>
                </pt>
                <pt idx="2556">
                  <v>42371</v>
                </pt>
                <pt idx="2557">
                  <v>42378</v>
                </pt>
                <pt idx="2558">
                  <v>42385</v>
                </pt>
                <pt idx="2559">
                  <v>42392</v>
                </pt>
                <pt idx="2560">
                  <v>42399</v>
                </pt>
                <pt idx="2561">
                  <v>42406</v>
                </pt>
                <pt idx="2562">
                  <v>42413</v>
                </pt>
                <pt idx="2563">
                  <v>42420</v>
                </pt>
                <pt idx="2564">
                  <v>42427</v>
                </pt>
                <pt idx="2565">
                  <v>42434</v>
                </pt>
                <pt idx="2566">
                  <v>42441</v>
                </pt>
                <pt idx="2567">
                  <v>42448</v>
                </pt>
                <pt idx="2568">
                  <v>42455</v>
                </pt>
                <pt idx="2569">
                  <v>42462</v>
                </pt>
                <pt idx="2570">
                  <v>42469</v>
                </pt>
                <pt idx="2571">
                  <v>42476</v>
                </pt>
                <pt idx="2572">
                  <v>42483</v>
                </pt>
                <pt idx="2573">
                  <v>42490</v>
                </pt>
                <pt idx="2574">
                  <v>42497</v>
                </pt>
                <pt idx="2575">
                  <v>42504</v>
                </pt>
                <pt idx="2576">
                  <v>42511</v>
                </pt>
                <pt idx="2577">
                  <v>42518</v>
                </pt>
                <pt idx="2578">
                  <v>42525</v>
                </pt>
                <pt idx="2579">
                  <v>42532</v>
                </pt>
                <pt idx="2580">
                  <v>42539</v>
                </pt>
                <pt idx="2581">
                  <v>42546</v>
                </pt>
                <pt idx="2582">
                  <v>42553</v>
                </pt>
                <pt idx="2583">
                  <v>42560</v>
                </pt>
                <pt idx="2584">
                  <v>42567</v>
                </pt>
                <pt idx="2585">
                  <v>42574</v>
                </pt>
                <pt idx="2586">
                  <v>42581</v>
                </pt>
                <pt idx="2587">
                  <v>42588</v>
                </pt>
                <pt idx="2588">
                  <v>42595</v>
                </pt>
                <pt idx="2589">
                  <v>42602</v>
                </pt>
                <pt idx="2590">
                  <v>42609</v>
                </pt>
                <pt idx="2591">
                  <v>42616</v>
                </pt>
                <pt idx="2592">
                  <v>42623</v>
                </pt>
                <pt idx="2593">
                  <v>42630</v>
                </pt>
                <pt idx="2594">
                  <v>42637</v>
                </pt>
                <pt idx="2595">
                  <v>42644</v>
                </pt>
                <pt idx="2596">
                  <v>42651</v>
                </pt>
                <pt idx="2597">
                  <v>42658</v>
                </pt>
                <pt idx="2598">
                  <v>42665</v>
                </pt>
                <pt idx="2599">
                  <v>42672</v>
                </pt>
                <pt idx="2600">
                  <v>42679</v>
                </pt>
                <pt idx="2601">
                  <v>42686</v>
                </pt>
                <pt idx="2602">
                  <v>42693</v>
                </pt>
                <pt idx="2603">
                  <v>42700</v>
                </pt>
                <pt idx="2604">
                  <v>42707</v>
                </pt>
                <pt idx="2605">
                  <v>42714</v>
                </pt>
                <pt idx="2606">
                  <v>42721</v>
                </pt>
                <pt idx="2607">
                  <v>42728</v>
                </pt>
                <pt idx="2608">
                  <v>42735</v>
                </pt>
                <pt idx="2609">
                  <v>42742</v>
                </pt>
                <pt idx="2610">
                  <v>42749</v>
                </pt>
                <pt idx="2611">
                  <v>42756</v>
                </pt>
                <pt idx="2612">
                  <v>42763</v>
                </pt>
                <pt idx="2613">
                  <v>42770</v>
                </pt>
                <pt idx="2614">
                  <v>42777</v>
                </pt>
                <pt idx="2615">
                  <v>42784</v>
                </pt>
                <pt idx="2616">
                  <v>42791</v>
                </pt>
                <pt idx="2617">
                  <v>42798</v>
                </pt>
                <pt idx="2618">
                  <v>42805</v>
                </pt>
                <pt idx="2619">
                  <v>42812</v>
                </pt>
                <pt idx="2620">
                  <v>42819</v>
                </pt>
                <pt idx="2621">
                  <v>42826</v>
                </pt>
                <pt idx="2622">
                  <v>42833</v>
                </pt>
                <pt idx="2623">
                  <v>42840</v>
                </pt>
                <pt idx="2624">
                  <v>42847</v>
                </pt>
                <pt idx="2625">
                  <v>42854</v>
                </pt>
                <pt idx="2626">
                  <v>42861</v>
                </pt>
                <pt idx="2627">
                  <v>42868</v>
                </pt>
                <pt idx="2628">
                  <v>42875</v>
                </pt>
                <pt idx="2629">
                  <v>42882</v>
                </pt>
                <pt idx="2630">
                  <v>42889</v>
                </pt>
                <pt idx="2631">
                  <v>42896</v>
                </pt>
                <pt idx="2632">
                  <v>42903</v>
                </pt>
                <pt idx="2633">
                  <v>42910</v>
                </pt>
                <pt idx="2634">
                  <v>42917</v>
                </pt>
                <pt idx="2635">
                  <v>42924</v>
                </pt>
                <pt idx="2636">
                  <v>42931</v>
                </pt>
                <pt idx="2637">
                  <v>42938</v>
                </pt>
                <pt idx="2638">
                  <v>42945</v>
                </pt>
                <pt idx="2639">
                  <v>42952</v>
                </pt>
                <pt idx="2640">
                  <v>42959</v>
                </pt>
                <pt idx="2641">
                  <v>42966</v>
                </pt>
                <pt idx="2642">
                  <v>42973</v>
                </pt>
                <pt idx="2643">
                  <v>42980</v>
                </pt>
                <pt idx="2644">
                  <v>42987</v>
                </pt>
                <pt idx="2645">
                  <v>42994</v>
                </pt>
                <pt idx="2646">
                  <v>43001</v>
                </pt>
                <pt idx="2647">
                  <v>43008</v>
                </pt>
                <pt idx="2648">
                  <v>43015</v>
                </pt>
                <pt idx="2649">
                  <v>43022</v>
                </pt>
                <pt idx="2650">
                  <v>43029</v>
                </pt>
                <pt idx="2651">
                  <v>43036</v>
                </pt>
                <pt idx="2652">
                  <v>43043</v>
                </pt>
                <pt idx="2653">
                  <v>43050</v>
                </pt>
                <pt idx="2654">
                  <v>43057</v>
                </pt>
                <pt idx="2655">
                  <v>43064</v>
                </pt>
                <pt idx="2656">
                  <v>43071</v>
                </pt>
                <pt idx="2657">
                  <v>43078</v>
                </pt>
                <pt idx="2658">
                  <v>43085</v>
                </pt>
                <pt idx="2659">
                  <v>43092</v>
                </pt>
                <pt idx="2660">
                  <v>43099</v>
                </pt>
                <pt idx="2661">
                  <v>43106</v>
                </pt>
                <pt idx="2662">
                  <v>43113</v>
                </pt>
                <pt idx="2663">
                  <v>43120</v>
                </pt>
                <pt idx="2664">
                  <v>43127</v>
                </pt>
                <pt idx="2665">
                  <v>43134</v>
                </pt>
                <pt idx="2666">
                  <v>43141</v>
                </pt>
                <pt idx="2667">
                  <v>43148</v>
                </pt>
                <pt idx="2668">
                  <v>43155</v>
                </pt>
                <pt idx="2669">
                  <v>43162</v>
                </pt>
                <pt idx="2670">
                  <v>43169</v>
                </pt>
                <pt idx="2671">
                  <v>43176</v>
                </pt>
                <pt idx="2672">
                  <v>43183</v>
                </pt>
                <pt idx="2673">
                  <v>43190</v>
                </pt>
                <pt idx="2674">
                  <v>43197</v>
                </pt>
                <pt idx="2675">
                  <v>43204</v>
                </pt>
                <pt idx="2676">
                  <v>43211</v>
                </pt>
                <pt idx="2677">
                  <v>43218</v>
                </pt>
                <pt idx="2678">
                  <v>43225</v>
                </pt>
                <pt idx="2679">
                  <v>43232</v>
                </pt>
                <pt idx="2680">
                  <v>43239</v>
                </pt>
                <pt idx="2681">
                  <v>43246</v>
                </pt>
                <pt idx="2682">
                  <v>43253</v>
                </pt>
                <pt idx="2683">
                  <v>43260</v>
                </pt>
                <pt idx="2684">
                  <v>43267</v>
                </pt>
                <pt idx="2685">
                  <v>43274</v>
                </pt>
                <pt idx="2686">
                  <v>43281</v>
                </pt>
                <pt idx="2687">
                  <v>43288</v>
                </pt>
                <pt idx="2688">
                  <v>43295</v>
                </pt>
                <pt idx="2689">
                  <v>43302</v>
                </pt>
                <pt idx="2690">
                  <v>43309</v>
                </pt>
                <pt idx="2691">
                  <v>43316</v>
                </pt>
                <pt idx="2692">
                  <v>43323</v>
                </pt>
                <pt idx="2693">
                  <v>43330</v>
                </pt>
                <pt idx="2694">
                  <v>43337</v>
                </pt>
                <pt idx="2695">
                  <v>43344</v>
                </pt>
                <pt idx="2696">
                  <v>43351</v>
                </pt>
                <pt idx="2697">
                  <v>43358</v>
                </pt>
                <pt idx="2698">
                  <v>43365</v>
                </pt>
                <pt idx="2699">
                  <v>43372</v>
                </pt>
                <pt idx="2700">
                  <v>43379</v>
                </pt>
                <pt idx="2701">
                  <v>43386</v>
                </pt>
                <pt idx="2702">
                  <v>43393</v>
                </pt>
                <pt idx="2703">
                  <v>43400</v>
                </pt>
                <pt idx="2704">
                  <v>43407</v>
                </pt>
                <pt idx="2705">
                  <v>43414</v>
                </pt>
                <pt idx="2706">
                  <v>43421</v>
                </pt>
                <pt idx="2707">
                  <v>43428</v>
                </pt>
                <pt idx="2708">
                  <v>43435</v>
                </pt>
                <pt idx="2709">
                  <v>43442</v>
                </pt>
                <pt idx="2710">
                  <v>43449</v>
                </pt>
                <pt idx="2711">
                  <v>43456</v>
                </pt>
                <pt idx="2712">
                  <v>43463</v>
                </pt>
                <pt idx="2713">
                  <v>43470</v>
                </pt>
                <pt idx="2714">
                  <v>43477</v>
                </pt>
                <pt idx="2715">
                  <v>43484</v>
                </pt>
                <pt idx="2716">
                  <v>43491</v>
                </pt>
                <pt idx="2717">
                  <v>43498</v>
                </pt>
                <pt idx="2718">
                  <v>43505</v>
                </pt>
                <pt idx="2719">
                  <v>43512</v>
                </pt>
                <pt idx="2720">
                  <v>43519</v>
                </pt>
                <pt idx="2721">
                  <v>43526</v>
                </pt>
                <pt idx="2722">
                  <v>43533</v>
                </pt>
                <pt idx="2723">
                  <v>43540</v>
                </pt>
                <pt idx="2724">
                  <v>43547</v>
                </pt>
                <pt idx="2725">
                  <v>43554</v>
                </pt>
                <pt idx="2726">
                  <v>43561</v>
                </pt>
                <pt idx="2727">
                  <v>43568</v>
                </pt>
                <pt idx="2728">
                  <v>43575</v>
                </pt>
                <pt idx="2729">
                  <v>43582</v>
                </pt>
                <pt idx="2730">
                  <v>43589</v>
                </pt>
                <pt idx="2731">
                  <v>43596</v>
                </pt>
                <pt idx="2732">
                  <v>43603</v>
                </pt>
                <pt idx="2733">
                  <v>43610</v>
                </pt>
                <pt idx="2734">
                  <v>43617</v>
                </pt>
                <pt idx="2735">
                  <v>43624</v>
                </pt>
                <pt idx="2736">
                  <v>43631</v>
                </pt>
                <pt idx="2737">
                  <v>43638</v>
                </pt>
                <pt idx="2738">
                  <v>43645</v>
                </pt>
                <pt idx="2739">
                  <v>43652</v>
                </pt>
                <pt idx="2740">
                  <v>43659</v>
                </pt>
                <pt idx="2741">
                  <v>43666</v>
                </pt>
                <pt idx="2742">
                  <v>43673</v>
                </pt>
                <pt idx="2743">
                  <v>43680</v>
                </pt>
                <pt idx="2744">
                  <v>43687</v>
                </pt>
                <pt idx="2745">
                  <v>43694</v>
                </pt>
                <pt idx="2746">
                  <v>43701</v>
                </pt>
                <pt idx="2747">
                  <v>43708</v>
                </pt>
                <pt idx="2748">
                  <v>43715</v>
                </pt>
                <pt idx="2749">
                  <v>43722</v>
                </pt>
                <pt idx="2750">
                  <v>43729</v>
                </pt>
                <pt idx="2751">
                  <v>43736</v>
                </pt>
                <pt idx="2752">
                  <v>43743</v>
                </pt>
                <pt idx="2753">
                  <v>43750</v>
                </pt>
                <pt idx="2754">
                  <v>43757</v>
                </pt>
                <pt idx="2755">
                  <v>43764</v>
                </pt>
                <pt idx="2756">
                  <v>43771</v>
                </pt>
                <pt idx="2757">
                  <v>43778</v>
                </pt>
                <pt idx="2758">
                  <v>43785</v>
                </pt>
                <pt idx="2759">
                  <v>43792</v>
                </pt>
                <pt idx="2760">
                  <v>43799</v>
                </pt>
                <pt idx="2761">
                  <v>43806</v>
                </pt>
                <pt idx="2762">
                  <v>43813</v>
                </pt>
                <pt idx="2763">
                  <v>43820</v>
                </pt>
                <pt idx="2764">
                  <v>43827</v>
                </pt>
                <pt idx="2765">
                  <v>43834</v>
                </pt>
                <pt idx="2766">
                  <v>43841</v>
                </pt>
                <pt idx="2767">
                  <v>43848</v>
                </pt>
                <pt idx="2768">
                  <v>43855</v>
                </pt>
                <pt idx="2769">
                  <v>43862</v>
                </pt>
                <pt idx="2770">
                  <v>43869</v>
                </pt>
                <pt idx="2771">
                  <v>43876</v>
                </pt>
                <pt idx="2772">
                  <v>43883</v>
                </pt>
                <pt idx="2773">
                  <v>43890</v>
                </pt>
                <pt idx="2774">
                  <v>43897</v>
                </pt>
                <pt idx="2775">
                  <v>43904</v>
                </pt>
                <pt idx="2776">
                  <v>43911</v>
                </pt>
                <pt idx="2777">
                  <v>43918</v>
                </pt>
                <pt idx="2778">
                  <v>43925</v>
                </pt>
                <pt idx="2779">
                  <v>43932</v>
                </pt>
                <pt idx="2780">
                  <v>43939</v>
                </pt>
                <pt idx="2781">
                  <v>43946</v>
                </pt>
                <pt idx="2782">
                  <v>43953</v>
                </pt>
                <pt idx="2783">
                  <v>43960</v>
                </pt>
                <pt idx="2784">
                  <v>43967</v>
                </pt>
                <pt idx="2785">
                  <v>43974</v>
                </pt>
                <pt idx="2786">
                  <v>43981</v>
                </pt>
                <pt idx="2787">
                  <v>43988</v>
                </pt>
                <pt idx="2788">
                  <v>43995</v>
                </pt>
                <pt idx="2789">
                  <v>44002</v>
                </pt>
                <pt idx="2790">
                  <v>44009</v>
                </pt>
              </numCache>
            </numRef>
          </cat>
          <val>
            <numRef>
              <f>Claims!$B$5:$B$2795</f>
              <numCache>
                <formatCode>#,##0</formatCode>
                <ptCount val="2791"/>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397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NFP!$A$300:$A$1021</f>
              <numCache>
                <formatCode>yyyy\-mm\-dd</formatCode>
                <ptCount val="722"/>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numCache>
            </numRef>
          </cat>
          <val>
            <numRef>
              <f>NFP!$C$300:$C$1021</f>
              <numCache>
                <formatCode>0</formatCode>
                <ptCount val="722"/>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numCache>
            </numRef>
          </val>
          <smooth val="0"/>
        </ser>
        <dLbls>
          <showLegendKey val="0"/>
          <showVal val="0"/>
          <showCatName val="0"/>
          <showSerName val="0"/>
          <showPercent val="0"/>
          <showBubbleSize val="0"/>
        </dLbls>
        <smooth val="0"/>
        <axId val="1034261896"/>
        <axId val="1034262288"/>
      </lineChart>
      <dateAx>
        <axId val="1034261896"/>
        <scaling>
          <orientation val="minMax"/>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NFP!$A$800:$A$1021</f>
              <numCache>
                <formatCode>yyyy\-mm\-dd</formatCode>
                <ptCount val="222"/>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numCache>
            </numRef>
          </cat>
          <val>
            <numRef>
              <f>NFP!$C$800:$C$1021</f>
              <numCache>
                <formatCode>0</formatCode>
                <ptCount val="222"/>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NFP!$A$13:$A$1021</f>
              <numCache>
                <formatCode>yyyy\-mm\-dd</formatCode>
                <ptCount val="1009"/>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numCache>
            </numRef>
          </cat>
          <val>
            <numRef>
              <f>NFP!$C$13:$C$1021</f>
              <numCache>
                <formatCode>0</formatCode>
                <ptCount val="1009"/>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numCache>
            </numRef>
          </val>
        </ser>
        <dLbls>
          <showLegendKey val="0"/>
          <showVal val="0"/>
          <showCatName val="0"/>
          <showSerName val="0"/>
          <showPercent val="0"/>
          <showBubbleSize val="0"/>
        </dLbls>
        <gapWidth val="150"/>
        <axId val="827929136"/>
        <axId val="827929792"/>
      </barChart>
      <dateAx>
        <axId val="82792913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NFP!$A$13:$A$1021</f>
              <numCache>
                <formatCode>yyyy\-mm\-dd</formatCode>
                <ptCount val="1009"/>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numCache>
            </numRef>
          </cat>
          <val>
            <numRef>
              <f>NFP!$C$13:$C$1021</f>
              <numCache>
                <formatCode>0</formatCode>
                <ptCount val="1009"/>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ADP!$A$6:$A$248</f>
              <numCache>
                <formatCode>m/d/yy</formatCode>
                <ptCount val="243"/>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numCache>
            </numRef>
          </cat>
          <val>
            <numRef>
              <f>ADP!$B$6:$B$248</f>
              <numCache>
                <formatCode>0.00</formatCode>
                <ptCount val="243"/>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ADP!$A$6:$A$248</f>
              <numCache>
                <formatCode>m/d/yy</formatCode>
                <ptCount val="243"/>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numCache>
            </numRef>
          </cat>
          <val>
            <numRef>
              <f>ADP!$C$6:$C$248</f>
              <numCache>
                <formatCode>0.00</formatCode>
                <ptCount val="243"/>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s>
</file>

<file path=xl/drawings/_rels/drawing4.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 Type="http://schemas.openxmlformats.org/officeDocument/2006/relationships/chart" Target="/xl/charts/chart8.xml" Id="rId3"/><Relationship Type="http://schemas.openxmlformats.org/officeDocument/2006/relationships/chart" Target="/xl/charts/chart9.xml" Id="rId4"/><Relationship Type="http://schemas.openxmlformats.org/officeDocument/2006/relationships/chart" Target="/xl/charts/chart10.xml" Id="rId5"/><Relationship Type="http://schemas.openxmlformats.org/officeDocument/2006/relationships/chart" Target="/xl/charts/chart11.xml" Id="rId6"/></Relationships>
</file>

<file path=xl/drawings/_rels/drawing5.xml.rels><Relationships xmlns="http://schemas.openxmlformats.org/package/2006/relationships"><Relationship Type="http://schemas.openxmlformats.org/officeDocument/2006/relationships/chart" Target="/xl/charts/chart12.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8</col>
      <colOff>9525</colOff>
      <row>938</row>
      <rowOff>9524</rowOff>
    </from>
    <to>
      <col>19</col>
      <colOff>600075</colOff>
      <row>958</row>
      <rowOff>190499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21</col>
      <colOff>1</colOff>
      <row>937</row>
      <rowOff>190499</rowOff>
    </from>
    <to>
      <col>33</col>
      <colOff>9525</colOff>
      <row>958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542924</colOff>
      <row>957</row>
      <rowOff>95250</rowOff>
    </from>
    <to>
      <col>16</col>
      <colOff>380999</colOff>
      <row>974</row>
      <rowOff>152400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6</col>
      <colOff>314324</colOff>
      <row>2748</row>
      <rowOff>123824</rowOff>
    </from>
    <to>
      <col>15</col>
      <colOff>514349</colOff>
      <row>2768</row>
      <rowOff>114299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5</col>
      <colOff>380999</colOff>
      <row>195</row>
      <rowOff>152399</rowOff>
    </from>
    <to>
      <col>16</col>
      <colOff>466725</colOff>
      <row>218</row>
      <rowOff>66674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03" headerRowCount="1" totalsRowShown="0" headerRowDxfId="21" dataDxfId="20">
  <autoFilter ref="A11:F1003"/>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48" headerRowCount="1" totalsRowShown="0" headerRowDxfId="6" dataDxfId="5">
  <autoFilter ref="A5:C248"/>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s>
</file>

<file path=xl/worksheets/_rels/sheet8.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workbookViewId="0">
      <selection activeCell="G14" sqref="G14:J14"/>
    </sheetView>
  </sheetViews>
  <sheetFormatPr baseColWidth="10" defaultColWidth="9.1640625" defaultRowHeight="15"/>
  <cols>
    <col width="14.5" customWidth="1" style="64" min="1" max="1"/>
    <col width="12.83203125" customWidth="1" style="64" min="2" max="10"/>
    <col width="3.6640625" customWidth="1" style="64" min="11" max="13"/>
    <col width="14" customWidth="1" style="64" min="14" max="15"/>
    <col width="11" customWidth="1" style="64" min="16" max="19"/>
    <col width="9.1640625" customWidth="1" style="64" min="20" max="30"/>
    <col width="9.1640625" customWidth="1" style="64" min="31" max="16384"/>
  </cols>
  <sheetData>
    <row r="1">
      <c r="B1" s="73" t="n"/>
    </row>
    <row r="2" ht="16" customHeight="1" s="49" thickBot="1">
      <c r="B2" s="74" t="n"/>
      <c r="C2" s="74" t="n"/>
      <c r="D2" s="74" t="n"/>
      <c r="E2" s="74" t="n"/>
      <c r="F2" s="74" t="n"/>
      <c r="G2" s="74" t="n"/>
      <c r="H2" s="74" t="n"/>
      <c r="I2" s="74" t="n"/>
      <c r="J2" s="74" t="n"/>
    </row>
    <row r="3" ht="16" customHeight="1" s="49" thickBot="1">
      <c r="B3" s="75" t="inlineStr">
        <is>
          <t>Job Market</t>
        </is>
      </c>
      <c r="C3" s="76" t="n"/>
      <c r="D3" s="76" t="n"/>
      <c r="E3" s="76" t="n"/>
      <c r="F3" s="76" t="n"/>
      <c r="G3" s="76" t="n"/>
      <c r="H3" s="76" t="n"/>
      <c r="I3" s="76" t="n"/>
      <c r="J3" s="77" t="n"/>
    </row>
    <row r="5">
      <c r="B5" s="65" t="inlineStr">
        <is>
          <t>Definition</t>
        </is>
      </c>
      <c r="C5" s="66" t="n"/>
      <c r="D5" s="66" t="n"/>
      <c r="E5" s="66" t="n"/>
      <c r="F5" s="66" t="n"/>
      <c r="G5" s="66" t="n"/>
      <c r="H5" s="66" t="n"/>
      <c r="I5" s="66" t="n"/>
      <c r="J5" s="67" t="n"/>
    </row>
    <row r="7" ht="237.75" customHeight="1" s="49">
      <c r="B7" s="63"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5" t="inlineStr">
        <is>
          <t>Process / TO DO LIST</t>
        </is>
      </c>
      <c r="C9" s="66" t="n"/>
      <c r="D9" s="66" t="n"/>
      <c r="E9" s="66" t="n"/>
      <c r="F9" s="66" t="n"/>
      <c r="G9" s="66" t="n"/>
      <c r="H9" s="66" t="n"/>
      <c r="I9" s="66" t="n"/>
      <c r="J9" s="67" t="n"/>
      <c r="N9" s="65" t="inlineStr">
        <is>
          <t>Summary</t>
        </is>
      </c>
      <c r="O9" s="66" t="n"/>
      <c r="P9" s="66" t="n"/>
      <c r="Q9" s="66" t="n"/>
      <c r="R9" s="66" t="n"/>
      <c r="S9" s="67" t="n"/>
    </row>
    <row r="11">
      <c r="B11" s="65" t="inlineStr">
        <is>
          <t>TO DO LIST</t>
        </is>
      </c>
      <c r="C11" s="66" t="n"/>
      <c r="D11" s="66" t="n"/>
      <c r="E11" s="66" t="n"/>
      <c r="F11" s="67" t="n"/>
      <c r="G11" s="65" t="inlineStr">
        <is>
          <t>Comments</t>
        </is>
      </c>
      <c r="H11" s="66" t="n"/>
      <c r="I11" s="66" t="n"/>
      <c r="J11" s="67" t="n"/>
    </row>
    <row r="13" ht="16" customHeight="1" s="49" thickBot="1">
      <c r="B13" s="64" t="inlineStr">
        <is>
          <t>Database</t>
        </is>
      </c>
      <c r="G13" s="64" t="inlineStr">
        <is>
          <t>U.S. Job Market</t>
        </is>
      </c>
    </row>
    <row r="14">
      <c r="B14" s="64" t="inlineStr">
        <is>
          <t>Create data on Fred</t>
        </is>
      </c>
      <c r="G14" s="64" t="n"/>
      <c r="P14" s="36" t="n">
        <v>44409</v>
      </c>
      <c r="Q14" s="37">
        <f>DATE(YEAR(P14),MONTH(P14)-1,DAY(P14))</f>
        <v/>
      </c>
      <c r="R14" s="38" t="n"/>
    </row>
    <row r="15" ht="16" customHeight="1" s="49" thickBot="1">
      <c r="B15" s="64" t="inlineStr">
        <is>
          <t>https://research.stlouisfed.org/useraccount/datalists</t>
        </is>
      </c>
      <c r="G15" s="64" t="n"/>
      <c r="P15" s="39" t="inlineStr">
        <is>
          <t>Last</t>
        </is>
      </c>
      <c r="Q15" s="39" t="inlineStr">
        <is>
          <t>Last</t>
        </is>
      </c>
      <c r="R15" s="40" t="inlineStr">
        <is>
          <t>Var.</t>
        </is>
      </c>
    </row>
    <row r="16">
      <c r="B16" s="4" t="inlineStr">
        <is>
          <t>CIVPART</t>
        </is>
      </c>
      <c r="G16" s="64" t="inlineStr">
        <is>
          <t>Civilian Labor Force Participation Rate</t>
        </is>
      </c>
      <c r="N16" s="68" t="inlineStr">
        <is>
          <t>NFP</t>
        </is>
      </c>
      <c r="O16" s="69" t="n"/>
      <c r="P16" s="41">
        <f>VLOOKUP($P$14,Database!A:D,MATCH(Note!S16,Database!A1:D1,),)</f>
        <v/>
      </c>
      <c r="Q16" s="41">
        <f>VLOOKUP($Q$14,Database!A:D,MATCH(Note!S16,Database!A1:D1,),)</f>
        <v/>
      </c>
      <c r="R16" s="44">
        <f>P16-Q16</f>
        <v/>
      </c>
      <c r="S16" s="42" t="inlineStr">
        <is>
          <t>PAYEMS</t>
        </is>
      </c>
    </row>
    <row r="17">
      <c r="B17" s="4" t="inlineStr">
        <is>
          <t>PAYEMS</t>
        </is>
      </c>
      <c r="G17" s="64" t="inlineStr">
        <is>
          <t>All Employees: Total Nonfarm Payrolls</t>
        </is>
      </c>
      <c r="N17" s="70" t="inlineStr">
        <is>
          <t>Unemployment Rate</t>
        </is>
      </c>
      <c r="O17" s="67"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4" t="inlineStr">
        <is>
          <t>Civilian Unemployment Rate</t>
        </is>
      </c>
      <c r="N18" s="71" t="inlineStr">
        <is>
          <t>Participation Rate</t>
        </is>
      </c>
      <c r="O18" s="72" t="n"/>
      <c r="P18" s="52">
        <f>VLOOKUP($P$14,Database!A:D,MATCH(Note!S18,Database!A1:D1,),)</f>
        <v/>
      </c>
      <c r="Q18" s="52">
        <f>VLOOKUP($Q$14,Database!A:D,MATCH(Note!S18,Database!A1:D1,),)</f>
        <v/>
      </c>
      <c r="R18" s="53">
        <f>P18-Q18</f>
        <v/>
      </c>
      <c r="S18" s="45" t="inlineStr">
        <is>
          <t>CIVPART</t>
        </is>
      </c>
    </row>
    <row r="19">
      <c r="B19" s="4" t="inlineStr">
        <is>
          <t>CCSA</t>
        </is>
      </c>
      <c r="G19" s="64" t="inlineStr">
        <is>
          <t>Continued Claims (Insured Unemployment)</t>
        </is>
      </c>
    </row>
    <row r="20">
      <c r="B20" s="2" t="inlineStr">
        <is>
          <t>ICSA</t>
        </is>
      </c>
      <c r="G20" s="64" t="inlineStr">
        <is>
          <t>Initial Claims</t>
        </is>
      </c>
    </row>
    <row r="21">
      <c r="B21" s="64" t="inlineStr">
        <is>
          <t>Copy Monthly in Database A:C</t>
        </is>
      </c>
      <c r="G21" s="64" t="n"/>
    </row>
    <row r="22">
      <c r="B22" s="64" t="inlineStr">
        <is>
          <t>Copy Weekly, Ending Saturday in Database F:H</t>
        </is>
      </c>
    </row>
    <row r="24" ht="33" customHeight="1" s="49">
      <c r="B24" s="63" t="inlineStr">
        <is>
          <t>https://data.oecd.org/unemp/harmonised-unemployment-rate-hur.htm#indicator-chart</t>
        </is>
      </c>
      <c r="G24" s="64" t="inlineStr">
        <is>
          <t>World Job data</t>
        </is>
      </c>
    </row>
    <row r="25">
      <c r="B25" s="64" t="inlineStr">
        <is>
          <t>Table</t>
        </is>
      </c>
    </row>
    <row r="26">
      <c r="B26" s="64" t="inlineStr">
        <is>
          <t>monthly</t>
        </is>
      </c>
    </row>
    <row r="27">
      <c r="B27" s="64" t="inlineStr">
        <is>
          <t>from beginning</t>
        </is>
      </c>
    </row>
    <row r="28">
      <c r="B28" s="64" t="inlineStr">
        <is>
          <t>download</t>
        </is>
      </c>
      <c r="G28" s="64" t="n"/>
    </row>
    <row r="30">
      <c r="B30" t="inlineStr">
        <is>
          <t>https://tradingeconomics.com/country-list/unemployment-rate</t>
        </is>
      </c>
      <c r="G30" s="64" t="inlineStr">
        <is>
          <t>Other data</t>
        </is>
      </c>
    </row>
    <row r="31">
      <c r="G31" s="64" t="n"/>
    </row>
    <row r="32">
      <c r="B32" s="34" t="n"/>
    </row>
    <row r="33" ht="30" customHeight="1" s="49">
      <c r="B33" s="63"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996"/>
  <sheetViews>
    <sheetView workbookViewId="0">
      <pane ySplit="1" topLeftCell="A930"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9" t="n">
        <v>14246</v>
      </c>
      <c r="C2" t="n">
        <v>29923</v>
      </c>
    </row>
    <row r="3">
      <c r="A3" s="79" t="n">
        <v>14277</v>
      </c>
      <c r="C3" t="n">
        <v>30100</v>
      </c>
    </row>
    <row r="4">
      <c r="A4" s="79" t="n">
        <v>14305</v>
      </c>
      <c r="C4" t="n">
        <v>30280</v>
      </c>
    </row>
    <row r="5">
      <c r="A5" s="79" t="n">
        <v>14336</v>
      </c>
      <c r="C5" t="n">
        <v>30094</v>
      </c>
    </row>
    <row r="6">
      <c r="A6" s="79" t="n">
        <v>14366</v>
      </c>
      <c r="C6" t="n">
        <v>30299</v>
      </c>
    </row>
    <row r="7">
      <c r="A7" s="79" t="n">
        <v>14397</v>
      </c>
      <c r="C7" t="n">
        <v>30502</v>
      </c>
    </row>
    <row r="8">
      <c r="A8" s="79" t="n">
        <v>14427</v>
      </c>
      <c r="C8" t="n">
        <v>30419</v>
      </c>
    </row>
    <row r="9">
      <c r="A9" s="79" t="n">
        <v>14458</v>
      </c>
      <c r="C9" t="n">
        <v>30663</v>
      </c>
    </row>
    <row r="10">
      <c r="A10" s="79" t="n">
        <v>14489</v>
      </c>
      <c r="C10" t="n">
        <v>31031</v>
      </c>
    </row>
    <row r="11">
      <c r="A11" s="79" t="n">
        <v>14519</v>
      </c>
      <c r="C11" t="n">
        <v>31411</v>
      </c>
    </row>
    <row r="12">
      <c r="A12" s="79" t="n">
        <v>14550</v>
      </c>
      <c r="C12" t="n">
        <v>31470</v>
      </c>
    </row>
    <row r="13">
      <c r="A13" s="79" t="n">
        <v>14580</v>
      </c>
      <c r="C13" t="n">
        <v>31542</v>
      </c>
    </row>
    <row r="14">
      <c r="A14" s="79" t="n">
        <v>14611</v>
      </c>
      <c r="C14" t="n">
        <v>31603</v>
      </c>
    </row>
    <row r="15">
      <c r="A15" s="79" t="n">
        <v>14642</v>
      </c>
      <c r="C15" t="n">
        <v>31715</v>
      </c>
    </row>
    <row r="16">
      <c r="A16" s="79" t="n">
        <v>14671</v>
      </c>
      <c r="C16" t="n">
        <v>31825</v>
      </c>
    </row>
    <row r="17">
      <c r="A17" s="79" t="n">
        <v>14702</v>
      </c>
      <c r="C17" t="n">
        <v>31701</v>
      </c>
    </row>
    <row r="18">
      <c r="A18" s="79" t="n">
        <v>14732</v>
      </c>
      <c r="C18" t="n">
        <v>31879</v>
      </c>
    </row>
    <row r="19">
      <c r="A19" s="79" t="n">
        <v>14763</v>
      </c>
      <c r="C19" t="n">
        <v>31977</v>
      </c>
    </row>
    <row r="20">
      <c r="A20" s="79" t="n">
        <v>14793</v>
      </c>
      <c r="C20" t="n">
        <v>31942</v>
      </c>
    </row>
    <row r="21">
      <c r="A21" s="79" t="n">
        <v>14824</v>
      </c>
      <c r="C21" t="n">
        <v>32352</v>
      </c>
    </row>
    <row r="22">
      <c r="A22" s="79" t="n">
        <v>14855</v>
      </c>
      <c r="C22" t="n">
        <v>32810</v>
      </c>
    </row>
    <row r="23">
      <c r="A23" s="79" t="n">
        <v>14885</v>
      </c>
      <c r="C23" t="n">
        <v>33267</v>
      </c>
    </row>
    <row r="24">
      <c r="A24" s="79" t="n">
        <v>14916</v>
      </c>
      <c r="C24" t="n">
        <v>33669</v>
      </c>
    </row>
    <row r="25">
      <c r="A25" s="79" t="n">
        <v>14946</v>
      </c>
      <c r="C25" t="n">
        <v>34174</v>
      </c>
    </row>
    <row r="26">
      <c r="A26" s="79" t="n">
        <v>14977</v>
      </c>
      <c r="C26" t="n">
        <v>34481</v>
      </c>
    </row>
    <row r="27">
      <c r="A27" s="79" t="n">
        <v>15008</v>
      </c>
      <c r="C27" t="n">
        <v>34843</v>
      </c>
    </row>
    <row r="28">
      <c r="A28" s="79" t="n">
        <v>15036</v>
      </c>
      <c r="C28" t="n">
        <v>35092</v>
      </c>
    </row>
    <row r="29">
      <c r="A29" s="79" t="n">
        <v>15067</v>
      </c>
      <c r="C29" t="n">
        <v>35468</v>
      </c>
    </row>
    <row r="30">
      <c r="A30" s="79" t="n">
        <v>15097</v>
      </c>
      <c r="C30" t="n">
        <v>36182</v>
      </c>
    </row>
    <row r="31">
      <c r="A31" s="79" t="n">
        <v>15128</v>
      </c>
      <c r="C31" t="n">
        <v>36650</v>
      </c>
    </row>
    <row r="32">
      <c r="A32" s="79" t="n">
        <v>15158</v>
      </c>
      <c r="C32" t="n">
        <v>37137</v>
      </c>
    </row>
    <row r="33">
      <c r="A33" s="79" t="n">
        <v>15189</v>
      </c>
      <c r="C33" t="n">
        <v>37544</v>
      </c>
    </row>
    <row r="34">
      <c r="A34" s="79" t="n">
        <v>15220</v>
      </c>
      <c r="C34" t="n">
        <v>37835</v>
      </c>
    </row>
    <row r="35">
      <c r="A35" s="79" t="n">
        <v>15250</v>
      </c>
      <c r="C35" t="n">
        <v>37949</v>
      </c>
    </row>
    <row r="36">
      <c r="A36" s="79" t="n">
        <v>15281</v>
      </c>
      <c r="C36" t="n">
        <v>38024</v>
      </c>
    </row>
    <row r="37">
      <c r="A37" s="79" t="n">
        <v>15311</v>
      </c>
      <c r="C37" t="n">
        <v>38104</v>
      </c>
    </row>
    <row r="38">
      <c r="A38" s="79" t="n">
        <v>15342</v>
      </c>
      <c r="C38" t="n">
        <v>38347</v>
      </c>
    </row>
    <row r="39">
      <c r="A39" s="79" t="n">
        <v>15373</v>
      </c>
      <c r="C39" t="n">
        <v>38512</v>
      </c>
    </row>
    <row r="40">
      <c r="A40" s="79" t="n">
        <v>15401</v>
      </c>
      <c r="C40" t="n">
        <v>38935</v>
      </c>
    </row>
    <row r="41">
      <c r="A41" s="79" t="n">
        <v>15432</v>
      </c>
      <c r="C41" t="n">
        <v>39352</v>
      </c>
    </row>
    <row r="42">
      <c r="A42" s="79" t="n">
        <v>15462</v>
      </c>
      <c r="C42" t="n">
        <v>39771</v>
      </c>
    </row>
    <row r="43">
      <c r="A43" s="79" t="n">
        <v>15493</v>
      </c>
      <c r="C43" t="n">
        <v>40029</v>
      </c>
    </row>
    <row r="44">
      <c r="A44" s="79" t="n">
        <v>15523</v>
      </c>
      <c r="C44" t="n">
        <v>40472</v>
      </c>
    </row>
    <row r="45">
      <c r="A45" s="79" t="n">
        <v>15554</v>
      </c>
      <c r="C45" t="n">
        <v>40988</v>
      </c>
    </row>
    <row r="46">
      <c r="A46" s="79" t="n">
        <v>15585</v>
      </c>
      <c r="C46" t="n">
        <v>41259</v>
      </c>
    </row>
    <row r="47">
      <c r="A47" s="79" t="n">
        <v>15615</v>
      </c>
      <c r="C47" t="n">
        <v>41515</v>
      </c>
    </row>
    <row r="48">
      <c r="A48" s="79" t="n">
        <v>15646</v>
      </c>
      <c r="C48" t="n">
        <v>41674</v>
      </c>
    </row>
    <row r="49">
      <c r="A49" s="79" t="n">
        <v>15676</v>
      </c>
      <c r="C49" t="n">
        <v>41915</v>
      </c>
    </row>
    <row r="50">
      <c r="A50" s="79" t="n">
        <v>15707</v>
      </c>
      <c r="C50" t="n">
        <v>42172</v>
      </c>
    </row>
    <row r="51">
      <c r="A51" s="79" t="n">
        <v>15738</v>
      </c>
      <c r="C51" t="n">
        <v>42393</v>
      </c>
    </row>
    <row r="52">
      <c r="A52" s="79" t="n">
        <v>15766</v>
      </c>
      <c r="C52" t="n">
        <v>42552</v>
      </c>
    </row>
    <row r="53">
      <c r="A53" s="79" t="n">
        <v>15797</v>
      </c>
      <c r="C53" t="n">
        <v>42647</v>
      </c>
    </row>
    <row r="54">
      <c r="A54" s="79" t="n">
        <v>15827</v>
      </c>
      <c r="C54" t="n">
        <v>42596</v>
      </c>
    </row>
    <row r="55">
      <c r="A55" s="79" t="n">
        <v>15858</v>
      </c>
      <c r="C55" t="n">
        <v>42781</v>
      </c>
    </row>
    <row r="56">
      <c r="A56" s="79" t="n">
        <v>15888</v>
      </c>
      <c r="C56" t="n">
        <v>42700</v>
      </c>
    </row>
    <row r="57">
      <c r="A57" s="79" t="n">
        <v>15919</v>
      </c>
      <c r="C57" t="n">
        <v>42546</v>
      </c>
    </row>
    <row r="58">
      <c r="A58" s="79" t="n">
        <v>15950</v>
      </c>
      <c r="C58" t="n">
        <v>42492</v>
      </c>
    </row>
    <row r="59">
      <c r="A59" s="79" t="n">
        <v>15980</v>
      </c>
      <c r="C59" t="n">
        <v>42675</v>
      </c>
    </row>
    <row r="60">
      <c r="A60" s="79" t="n">
        <v>16011</v>
      </c>
      <c r="C60" t="n">
        <v>42821</v>
      </c>
    </row>
    <row r="61">
      <c r="A61" s="79" t="n">
        <v>16041</v>
      </c>
      <c r="C61" t="n">
        <v>42746</v>
      </c>
    </row>
    <row r="62">
      <c r="A62" s="79" t="n">
        <v>16072</v>
      </c>
      <c r="C62" t="n">
        <v>42654</v>
      </c>
    </row>
    <row r="63">
      <c r="A63" s="79" t="n">
        <v>16103</v>
      </c>
      <c r="C63" t="n">
        <v>42538</v>
      </c>
    </row>
    <row r="64">
      <c r="A64" s="79" t="n">
        <v>16132</v>
      </c>
      <c r="C64" t="n">
        <v>42294</v>
      </c>
    </row>
    <row r="65">
      <c r="A65" s="79" t="n">
        <v>16163</v>
      </c>
      <c r="C65" t="n">
        <v>42063</v>
      </c>
    </row>
    <row r="66">
      <c r="A66" s="79" t="n">
        <v>16193</v>
      </c>
      <c r="C66" t="n">
        <v>41985</v>
      </c>
    </row>
    <row r="67">
      <c r="A67" s="79" t="n">
        <v>16224</v>
      </c>
      <c r="C67" t="n">
        <v>41947</v>
      </c>
    </row>
    <row r="68">
      <c r="A68" s="79" t="n">
        <v>16254</v>
      </c>
      <c r="C68" t="n">
        <v>41904</v>
      </c>
    </row>
    <row r="69">
      <c r="A69" s="79" t="n">
        <v>16285</v>
      </c>
      <c r="C69" t="n">
        <v>41850</v>
      </c>
    </row>
    <row r="70">
      <c r="A70" s="79" t="n">
        <v>16316</v>
      </c>
      <c r="C70" t="n">
        <v>41679</v>
      </c>
    </row>
    <row r="71">
      <c r="A71" s="79" t="n">
        <v>16346</v>
      </c>
      <c r="C71" t="n">
        <v>41708</v>
      </c>
    </row>
    <row r="72">
      <c r="A72" s="79" t="n">
        <v>16377</v>
      </c>
      <c r="C72" t="n">
        <v>41711</v>
      </c>
    </row>
    <row r="73">
      <c r="A73" s="79" t="n">
        <v>16407</v>
      </c>
      <c r="C73" t="n">
        <v>41860</v>
      </c>
    </row>
    <row r="74">
      <c r="A74" s="79" t="n">
        <v>16438</v>
      </c>
      <c r="C74" t="n">
        <v>41895</v>
      </c>
    </row>
    <row r="75">
      <c r="A75" s="79" t="n">
        <v>16469</v>
      </c>
      <c r="C75" t="n">
        <v>41897</v>
      </c>
    </row>
    <row r="76">
      <c r="A76" s="79" t="n">
        <v>16497</v>
      </c>
      <c r="C76" t="n">
        <v>41798</v>
      </c>
    </row>
    <row r="77">
      <c r="A77" s="79" t="n">
        <v>16528</v>
      </c>
      <c r="C77" t="n">
        <v>41446</v>
      </c>
    </row>
    <row r="78">
      <c r="A78" s="79" t="n">
        <v>16558</v>
      </c>
      <c r="C78" t="n">
        <v>41304</v>
      </c>
    </row>
    <row r="79">
      <c r="A79" s="79" t="n">
        <v>16589</v>
      </c>
      <c r="C79" t="n">
        <v>41149</v>
      </c>
    </row>
    <row r="80">
      <c r="A80" s="79" t="n">
        <v>16619</v>
      </c>
      <c r="C80" t="n">
        <v>40874</v>
      </c>
    </row>
    <row r="81">
      <c r="A81" s="79" t="n">
        <v>16650</v>
      </c>
      <c r="C81" t="n">
        <v>40466</v>
      </c>
    </row>
    <row r="82">
      <c r="A82" s="79" t="n">
        <v>16681</v>
      </c>
      <c r="C82" t="n">
        <v>38507</v>
      </c>
    </row>
    <row r="83">
      <c r="A83" s="79" t="n">
        <v>16711</v>
      </c>
      <c r="C83" t="n">
        <v>38600</v>
      </c>
    </row>
    <row r="84">
      <c r="A84" s="79" t="n">
        <v>16742</v>
      </c>
      <c r="C84" t="n">
        <v>38996</v>
      </c>
    </row>
    <row r="85">
      <c r="A85" s="79" t="n">
        <v>16772</v>
      </c>
      <c r="C85" t="n">
        <v>39110</v>
      </c>
    </row>
    <row r="86">
      <c r="A86" s="79" t="n">
        <v>16803</v>
      </c>
      <c r="C86" t="n">
        <v>39829</v>
      </c>
    </row>
    <row r="87">
      <c r="A87" s="79" t="n">
        <v>16834</v>
      </c>
      <c r="C87" t="n">
        <v>39244</v>
      </c>
    </row>
    <row r="88">
      <c r="A88" s="79" t="n">
        <v>16862</v>
      </c>
      <c r="C88" t="n">
        <v>40195</v>
      </c>
    </row>
    <row r="89">
      <c r="A89" s="79" t="n">
        <v>16893</v>
      </c>
      <c r="C89" t="n">
        <v>40913</v>
      </c>
    </row>
    <row r="90">
      <c r="A90" s="79" t="n">
        <v>16923</v>
      </c>
      <c r="C90" t="n">
        <v>41349</v>
      </c>
    </row>
    <row r="91">
      <c r="A91" s="79" t="n">
        <v>16954</v>
      </c>
      <c r="C91" t="n">
        <v>41735</v>
      </c>
    </row>
    <row r="92">
      <c r="A92" s="79" t="n">
        <v>16984</v>
      </c>
      <c r="C92" t="n">
        <v>42153</v>
      </c>
    </row>
    <row r="93">
      <c r="A93" s="79" t="n">
        <v>17015</v>
      </c>
      <c r="C93" t="n">
        <v>42642</v>
      </c>
    </row>
    <row r="94">
      <c r="A94" s="79" t="n">
        <v>17046</v>
      </c>
      <c r="C94" t="n">
        <v>42915</v>
      </c>
    </row>
    <row r="95">
      <c r="A95" s="79" t="n">
        <v>17076</v>
      </c>
      <c r="C95" t="n">
        <v>43093</v>
      </c>
    </row>
    <row r="96">
      <c r="A96" s="79" t="n">
        <v>17107</v>
      </c>
      <c r="C96" t="n">
        <v>43395</v>
      </c>
    </row>
    <row r="97">
      <c r="A97" s="79" t="n">
        <v>17137</v>
      </c>
      <c r="C97" t="n">
        <v>43379</v>
      </c>
    </row>
    <row r="98">
      <c r="A98" s="79" t="n">
        <v>17168</v>
      </c>
      <c r="C98" t="n">
        <v>43535</v>
      </c>
    </row>
    <row r="99">
      <c r="A99" s="79" t="n">
        <v>17199</v>
      </c>
      <c r="C99" t="n">
        <v>43557</v>
      </c>
    </row>
    <row r="100">
      <c r="A100" s="79" t="n">
        <v>17227</v>
      </c>
      <c r="C100" t="n">
        <v>43607</v>
      </c>
    </row>
    <row r="101">
      <c r="A101" s="79" t="n">
        <v>17258</v>
      </c>
      <c r="C101" t="n">
        <v>43499</v>
      </c>
    </row>
    <row r="102">
      <c r="A102" s="79" t="n">
        <v>17288</v>
      </c>
      <c r="C102" t="n">
        <v>43638</v>
      </c>
    </row>
    <row r="103">
      <c r="A103" s="79" t="n">
        <v>17319</v>
      </c>
      <c r="C103" t="n">
        <v>43810</v>
      </c>
    </row>
    <row r="104">
      <c r="A104" s="79" t="n">
        <v>17349</v>
      </c>
      <c r="C104" t="n">
        <v>43743</v>
      </c>
    </row>
    <row r="105">
      <c r="A105" s="79" t="n">
        <v>17380</v>
      </c>
      <c r="C105" t="n">
        <v>43960</v>
      </c>
    </row>
    <row r="106">
      <c r="A106" s="79" t="n">
        <v>17411</v>
      </c>
      <c r="C106" t="n">
        <v>44203</v>
      </c>
    </row>
    <row r="107">
      <c r="A107" s="79" t="n">
        <v>17441</v>
      </c>
      <c r="C107" t="n">
        <v>44411</v>
      </c>
    </row>
    <row r="108">
      <c r="A108" s="79" t="n">
        <v>17472</v>
      </c>
      <c r="C108" t="n">
        <v>44484</v>
      </c>
    </row>
    <row r="109">
      <c r="A109" s="79" t="n">
        <v>17502</v>
      </c>
      <c r="C109" t="n">
        <v>44581</v>
      </c>
    </row>
    <row r="110">
      <c r="A110" s="79" t="n">
        <v>17533</v>
      </c>
      <c r="B110" t="n">
        <v>58.6</v>
      </c>
      <c r="C110" t="n">
        <v>44679</v>
      </c>
      <c r="D110" t="n">
        <v>3.4</v>
      </c>
    </row>
    <row r="111">
      <c r="A111" s="79" t="n">
        <v>17564</v>
      </c>
      <c r="B111" t="n">
        <v>58.9</v>
      </c>
      <c r="C111" t="n">
        <v>44533</v>
      </c>
      <c r="D111" t="n">
        <v>3.8</v>
      </c>
    </row>
    <row r="112">
      <c r="A112" s="79" t="n">
        <v>17593</v>
      </c>
      <c r="B112" t="n">
        <v>58.5</v>
      </c>
      <c r="C112" t="n">
        <v>44683</v>
      </c>
      <c r="D112" t="n">
        <v>4</v>
      </c>
    </row>
    <row r="113">
      <c r="A113" s="79" t="n">
        <v>17624</v>
      </c>
      <c r="B113" t="n">
        <v>59</v>
      </c>
      <c r="C113" t="n">
        <v>44379</v>
      </c>
      <c r="D113" t="n">
        <v>3.9</v>
      </c>
    </row>
    <row r="114">
      <c r="A114" s="79" t="n">
        <v>17654</v>
      </c>
      <c r="B114" t="n">
        <v>58.3</v>
      </c>
      <c r="C114" t="n">
        <v>44796</v>
      </c>
      <c r="D114" t="n">
        <v>3.5</v>
      </c>
    </row>
    <row r="115">
      <c r="A115" s="79" t="n">
        <v>17685</v>
      </c>
      <c r="B115" t="n">
        <v>59.2</v>
      </c>
      <c r="C115" t="n">
        <v>45034</v>
      </c>
      <c r="D115" t="n">
        <v>3.6</v>
      </c>
    </row>
    <row r="116">
      <c r="A116" s="79" t="n">
        <v>17715</v>
      </c>
      <c r="B116" t="n">
        <v>59.3</v>
      </c>
      <c r="C116" t="n">
        <v>45160</v>
      </c>
      <c r="D116" t="n">
        <v>3.6</v>
      </c>
    </row>
    <row r="117">
      <c r="A117" s="79" t="n">
        <v>17746</v>
      </c>
      <c r="B117" t="n">
        <v>58.9</v>
      </c>
      <c r="C117" t="n">
        <v>45178</v>
      </c>
      <c r="D117" t="n">
        <v>3.9</v>
      </c>
    </row>
    <row r="118">
      <c r="A118" s="79" t="n">
        <v>17777</v>
      </c>
      <c r="B118" t="n">
        <v>58.9</v>
      </c>
      <c r="C118" t="n">
        <v>45294</v>
      </c>
      <c r="D118" t="n">
        <v>3.8</v>
      </c>
    </row>
    <row r="119">
      <c r="A119" s="79" t="n">
        <v>17807</v>
      </c>
      <c r="B119" t="n">
        <v>58.7</v>
      </c>
      <c r="C119" t="n">
        <v>45245</v>
      </c>
      <c r="D119" t="n">
        <v>3.7</v>
      </c>
    </row>
    <row r="120">
      <c r="A120" s="79" t="n">
        <v>17838</v>
      </c>
      <c r="B120" t="n">
        <v>58.7</v>
      </c>
      <c r="C120" t="n">
        <v>45192</v>
      </c>
      <c r="D120" t="n">
        <v>3.8</v>
      </c>
    </row>
    <row r="121">
      <c r="A121" s="79" t="n">
        <v>17868</v>
      </c>
      <c r="B121" t="n">
        <v>59.1</v>
      </c>
      <c r="C121" t="n">
        <v>45032</v>
      </c>
      <c r="D121" t="n">
        <v>4</v>
      </c>
    </row>
    <row r="122">
      <c r="A122" s="79" t="n">
        <v>17899</v>
      </c>
      <c r="B122" t="n">
        <v>58.7</v>
      </c>
      <c r="C122" t="n">
        <v>44668</v>
      </c>
      <c r="D122" t="n">
        <v>4.3</v>
      </c>
    </row>
    <row r="123">
      <c r="A123" s="79" t="n">
        <v>17930</v>
      </c>
      <c r="B123" t="n">
        <v>59</v>
      </c>
      <c r="C123" t="n">
        <v>44497</v>
      </c>
      <c r="D123" t="n">
        <v>4.7</v>
      </c>
    </row>
    <row r="124">
      <c r="A124" s="79" t="n">
        <v>17958</v>
      </c>
      <c r="B124" t="n">
        <v>58.9</v>
      </c>
      <c r="C124" t="n">
        <v>44240</v>
      </c>
      <c r="D124" t="n">
        <v>5</v>
      </c>
    </row>
    <row r="125">
      <c r="A125" s="79" t="n">
        <v>17989</v>
      </c>
      <c r="B125" t="n">
        <v>58.8</v>
      </c>
      <c r="C125" t="n">
        <v>44236</v>
      </c>
      <c r="D125" t="n">
        <v>5.3</v>
      </c>
    </row>
    <row r="126">
      <c r="A126" s="79" t="n">
        <v>18019</v>
      </c>
      <c r="B126" t="n">
        <v>59</v>
      </c>
      <c r="C126" t="n">
        <v>43984</v>
      </c>
      <c r="D126" t="n">
        <v>6.1</v>
      </c>
    </row>
    <row r="127">
      <c r="A127" s="79" t="n">
        <v>18050</v>
      </c>
      <c r="B127" t="n">
        <v>58.6</v>
      </c>
      <c r="C127" t="n">
        <v>43739</v>
      </c>
      <c r="D127" t="n">
        <v>6.2</v>
      </c>
    </row>
    <row r="128">
      <c r="A128" s="79" t="n">
        <v>18080</v>
      </c>
      <c r="B128" t="n">
        <v>58.9</v>
      </c>
      <c r="C128" t="n">
        <v>43531</v>
      </c>
      <c r="D128" t="n">
        <v>6.7</v>
      </c>
    </row>
    <row r="129">
      <c r="A129" s="79" t="n">
        <v>18111</v>
      </c>
      <c r="B129" t="n">
        <v>59.2</v>
      </c>
      <c r="C129" t="n">
        <v>43624</v>
      </c>
      <c r="D129" t="n">
        <v>6.8</v>
      </c>
    </row>
    <row r="130">
      <c r="A130" s="79" t="n">
        <v>18142</v>
      </c>
      <c r="B130" t="n">
        <v>59.1</v>
      </c>
      <c r="C130" t="n">
        <v>43780</v>
      </c>
      <c r="D130" t="n">
        <v>6.6</v>
      </c>
    </row>
    <row r="131">
      <c r="A131" s="79" t="n">
        <v>18172</v>
      </c>
      <c r="B131" t="n">
        <v>59.6</v>
      </c>
      <c r="C131" t="n">
        <v>42942</v>
      </c>
      <c r="D131" t="n">
        <v>7.9</v>
      </c>
    </row>
    <row r="132">
      <c r="A132" s="79" t="n">
        <v>18203</v>
      </c>
      <c r="B132" t="n">
        <v>59.4</v>
      </c>
      <c r="C132" t="n">
        <v>43242</v>
      </c>
      <c r="D132" t="n">
        <v>6.4</v>
      </c>
    </row>
    <row r="133">
      <c r="A133" s="79" t="n">
        <v>18233</v>
      </c>
      <c r="B133" t="n">
        <v>59.2</v>
      </c>
      <c r="C133" t="n">
        <v>43522</v>
      </c>
      <c r="D133" t="n">
        <v>6.6</v>
      </c>
    </row>
    <row r="134">
      <c r="A134" s="79" t="n">
        <v>18264</v>
      </c>
      <c r="B134" t="n">
        <v>58.9</v>
      </c>
      <c r="C134" t="n">
        <v>43526</v>
      </c>
      <c r="D134" t="n">
        <v>6.5</v>
      </c>
    </row>
    <row r="135">
      <c r="A135" s="79" t="n">
        <v>18295</v>
      </c>
      <c r="B135" t="n">
        <v>58.9</v>
      </c>
      <c r="C135" t="n">
        <v>43297</v>
      </c>
      <c r="D135" t="n">
        <v>6.4</v>
      </c>
    </row>
    <row r="136">
      <c r="A136" s="79" t="n">
        <v>18323</v>
      </c>
      <c r="B136" t="n">
        <v>58.8</v>
      </c>
      <c r="C136" t="n">
        <v>43954</v>
      </c>
      <c r="D136" t="n">
        <v>6.3</v>
      </c>
    </row>
    <row r="137">
      <c r="A137" s="79" t="n">
        <v>18354</v>
      </c>
      <c r="B137" t="n">
        <v>59.2</v>
      </c>
      <c r="C137" t="n">
        <v>44382</v>
      </c>
      <c r="D137" t="n">
        <v>5.8</v>
      </c>
    </row>
    <row r="138">
      <c r="A138" s="79" t="n">
        <v>18384</v>
      </c>
      <c r="B138" t="n">
        <v>59.1</v>
      </c>
      <c r="C138" t="n">
        <v>44718</v>
      </c>
      <c r="D138" t="n">
        <v>5.5</v>
      </c>
    </row>
    <row r="139">
      <c r="A139" s="79" t="n">
        <v>18415</v>
      </c>
      <c r="B139" t="n">
        <v>59.4</v>
      </c>
      <c r="C139" t="n">
        <v>45083</v>
      </c>
      <c r="D139" t="n">
        <v>5.4</v>
      </c>
    </row>
    <row r="140">
      <c r="A140" s="79" t="n">
        <v>18445</v>
      </c>
      <c r="B140" t="n">
        <v>59.1</v>
      </c>
      <c r="C140" t="n">
        <v>45454</v>
      </c>
      <c r="D140" t="n">
        <v>5</v>
      </c>
    </row>
    <row r="141">
      <c r="A141" s="79" t="n">
        <v>18476</v>
      </c>
      <c r="B141" t="n">
        <v>59.5</v>
      </c>
      <c r="C141" t="n">
        <v>46192</v>
      </c>
      <c r="D141" t="n">
        <v>4.5</v>
      </c>
    </row>
    <row r="142">
      <c r="A142" s="79" t="n">
        <v>18507</v>
      </c>
      <c r="B142" t="n">
        <v>59.2</v>
      </c>
      <c r="C142" t="n">
        <v>46438</v>
      </c>
      <c r="D142" t="n">
        <v>4.4</v>
      </c>
    </row>
    <row r="143">
      <c r="A143" s="79" t="n">
        <v>18537</v>
      </c>
      <c r="B143" t="n">
        <v>59.4</v>
      </c>
      <c r="C143" t="n">
        <v>46706</v>
      </c>
      <c r="D143" t="n">
        <v>4.2</v>
      </c>
    </row>
    <row r="144">
      <c r="A144" s="79" t="n">
        <v>18568</v>
      </c>
      <c r="B144" t="n">
        <v>59.3</v>
      </c>
      <c r="C144" t="n">
        <v>46776</v>
      </c>
      <c r="D144" t="n">
        <v>4.2</v>
      </c>
    </row>
    <row r="145">
      <c r="A145" s="79" t="n">
        <v>18598</v>
      </c>
      <c r="B145" t="n">
        <v>59.2</v>
      </c>
      <c r="C145" t="n">
        <v>46861</v>
      </c>
      <c r="D145" t="n">
        <v>4.3</v>
      </c>
    </row>
    <row r="146">
      <c r="A146" s="79" t="n">
        <v>18629</v>
      </c>
      <c r="B146" t="n">
        <v>59.1</v>
      </c>
      <c r="C146" t="n">
        <v>47288</v>
      </c>
      <c r="D146" t="n">
        <v>3.7</v>
      </c>
    </row>
    <row r="147">
      <c r="A147" s="79" t="n">
        <v>18660</v>
      </c>
      <c r="B147" t="n">
        <v>59.1</v>
      </c>
      <c r="C147" t="n">
        <v>47577</v>
      </c>
      <c r="D147" t="n">
        <v>3.4</v>
      </c>
    </row>
    <row r="148">
      <c r="A148" s="79" t="n">
        <v>18688</v>
      </c>
      <c r="B148" t="n">
        <v>59.8</v>
      </c>
      <c r="C148" t="n">
        <v>47873</v>
      </c>
      <c r="D148" t="n">
        <v>3.4</v>
      </c>
    </row>
    <row r="149">
      <c r="A149" s="79" t="n">
        <v>18719</v>
      </c>
      <c r="B149" t="n">
        <v>59.1</v>
      </c>
      <c r="C149" t="n">
        <v>47861</v>
      </c>
      <c r="D149" t="n">
        <v>3.1</v>
      </c>
    </row>
    <row r="150">
      <c r="A150" s="79" t="n">
        <v>18749</v>
      </c>
      <c r="B150" t="n">
        <v>59.4</v>
      </c>
      <c r="C150" t="n">
        <v>47952</v>
      </c>
      <c r="D150" t="n">
        <v>3</v>
      </c>
    </row>
    <row r="151">
      <c r="A151" s="79" t="n">
        <v>18780</v>
      </c>
      <c r="B151" t="n">
        <v>59</v>
      </c>
      <c r="C151" t="n">
        <v>48064</v>
      </c>
      <c r="D151" t="n">
        <v>3.2</v>
      </c>
    </row>
    <row r="152">
      <c r="A152" s="79" t="n">
        <v>18810</v>
      </c>
      <c r="B152" t="n">
        <v>59.4</v>
      </c>
      <c r="C152" t="n">
        <v>48061</v>
      </c>
      <c r="D152" t="n">
        <v>3.1</v>
      </c>
    </row>
    <row r="153">
      <c r="A153" s="79" t="n">
        <v>18841</v>
      </c>
      <c r="B153" t="n">
        <v>59.2</v>
      </c>
      <c r="C153" t="n">
        <v>48012</v>
      </c>
      <c r="D153" t="n">
        <v>3.1</v>
      </c>
    </row>
    <row r="154">
      <c r="A154" s="79" t="n">
        <v>18872</v>
      </c>
      <c r="B154" t="n">
        <v>59.1</v>
      </c>
      <c r="C154" t="n">
        <v>47954</v>
      </c>
      <c r="D154" t="n">
        <v>3.3</v>
      </c>
    </row>
    <row r="155">
      <c r="A155" s="79" t="n">
        <v>18902</v>
      </c>
      <c r="B155" t="n">
        <v>59.4</v>
      </c>
      <c r="C155" t="n">
        <v>48006</v>
      </c>
      <c r="D155" t="n">
        <v>3.5</v>
      </c>
    </row>
    <row r="156">
      <c r="A156" s="79" t="n">
        <v>18933</v>
      </c>
      <c r="B156" t="n">
        <v>59.2</v>
      </c>
      <c r="C156" t="n">
        <v>48147</v>
      </c>
      <c r="D156" t="n">
        <v>3.5</v>
      </c>
    </row>
    <row r="157">
      <c r="A157" s="79" t="n">
        <v>18963</v>
      </c>
      <c r="B157" t="n">
        <v>59.6</v>
      </c>
      <c r="C157" t="n">
        <v>48314</v>
      </c>
      <c r="D157" t="n">
        <v>3.1</v>
      </c>
    </row>
    <row r="158">
      <c r="A158" s="79" t="n">
        <v>18994</v>
      </c>
      <c r="B158" t="n">
        <v>59.5</v>
      </c>
      <c r="C158" t="n">
        <v>48296</v>
      </c>
      <c r="D158" t="n">
        <v>3.2</v>
      </c>
    </row>
    <row r="159">
      <c r="A159" s="79" t="n">
        <v>19025</v>
      </c>
      <c r="B159" t="n">
        <v>59.5</v>
      </c>
      <c r="C159" t="n">
        <v>48522</v>
      </c>
      <c r="D159" t="n">
        <v>3.1</v>
      </c>
    </row>
    <row r="160">
      <c r="A160" s="79" t="n">
        <v>19054</v>
      </c>
      <c r="B160" t="n">
        <v>58.9</v>
      </c>
      <c r="C160" t="n">
        <v>48504</v>
      </c>
      <c r="D160" t="n">
        <v>2.9</v>
      </c>
    </row>
    <row r="161">
      <c r="A161" s="79" t="n">
        <v>19085</v>
      </c>
      <c r="B161" t="n">
        <v>58.8</v>
      </c>
      <c r="C161" t="n">
        <v>48620</v>
      </c>
      <c r="D161" t="n">
        <v>2.9</v>
      </c>
    </row>
    <row r="162">
      <c r="A162" s="79" t="n">
        <v>19115</v>
      </c>
      <c r="B162" t="n">
        <v>59.1</v>
      </c>
      <c r="C162" t="n">
        <v>48642</v>
      </c>
      <c r="D162" t="n">
        <v>3</v>
      </c>
    </row>
    <row r="163">
      <c r="A163" s="79" t="n">
        <v>19146</v>
      </c>
      <c r="B163" t="n">
        <v>59.1</v>
      </c>
      <c r="C163" t="n">
        <v>48282</v>
      </c>
      <c r="D163" t="n">
        <v>3</v>
      </c>
    </row>
    <row r="164">
      <c r="A164" s="79" t="n">
        <v>19176</v>
      </c>
      <c r="B164" t="n">
        <v>58.9</v>
      </c>
      <c r="C164" t="n">
        <v>48143</v>
      </c>
      <c r="D164" t="n">
        <v>3.2</v>
      </c>
    </row>
    <row r="165">
      <c r="A165" s="79" t="n">
        <v>19207</v>
      </c>
      <c r="B165" t="n">
        <v>58.7</v>
      </c>
      <c r="C165" t="n">
        <v>48924</v>
      </c>
      <c r="D165" t="n">
        <v>3.4</v>
      </c>
    </row>
    <row r="166">
      <c r="A166" s="79" t="n">
        <v>19238</v>
      </c>
      <c r="B166" t="n">
        <v>59.2</v>
      </c>
      <c r="C166" t="n">
        <v>49320</v>
      </c>
      <c r="D166" t="n">
        <v>3.1</v>
      </c>
    </row>
    <row r="167">
      <c r="A167" s="79" t="n">
        <v>19268</v>
      </c>
      <c r="B167" t="n">
        <v>58.7</v>
      </c>
      <c r="C167" t="n">
        <v>49597</v>
      </c>
      <c r="D167" t="n">
        <v>3</v>
      </c>
    </row>
    <row r="168">
      <c r="A168" s="79" t="n">
        <v>19299</v>
      </c>
      <c r="B168" t="n">
        <v>59.1</v>
      </c>
      <c r="C168" t="n">
        <v>49816</v>
      </c>
      <c r="D168" t="n">
        <v>2.8</v>
      </c>
    </row>
    <row r="169">
      <c r="A169" s="79" t="n">
        <v>19329</v>
      </c>
      <c r="B169" t="n">
        <v>59.2</v>
      </c>
      <c r="C169" t="n">
        <v>50166</v>
      </c>
      <c r="D169" t="n">
        <v>2.7</v>
      </c>
    </row>
    <row r="170">
      <c r="A170" s="79" t="n">
        <v>19360</v>
      </c>
      <c r="B170" t="n">
        <v>59.5</v>
      </c>
      <c r="C170" t="n">
        <v>50144</v>
      </c>
      <c r="D170" t="n">
        <v>2.9</v>
      </c>
    </row>
    <row r="171">
      <c r="A171" s="79" t="n">
        <v>19391</v>
      </c>
      <c r="B171" t="n">
        <v>59.5</v>
      </c>
      <c r="C171" t="n">
        <v>50339</v>
      </c>
      <c r="D171" t="n">
        <v>2.6</v>
      </c>
    </row>
    <row r="172">
      <c r="A172" s="79" t="n">
        <v>19419</v>
      </c>
      <c r="B172" t="n">
        <v>59.6</v>
      </c>
      <c r="C172" t="n">
        <v>50473</v>
      </c>
      <c r="D172" t="n">
        <v>2.6</v>
      </c>
    </row>
    <row r="173">
      <c r="A173" s="79" t="n">
        <v>19450</v>
      </c>
      <c r="B173" t="n">
        <v>59.1</v>
      </c>
      <c r="C173" t="n">
        <v>50435</v>
      </c>
      <c r="D173" t="n">
        <v>2.7</v>
      </c>
    </row>
    <row r="174">
      <c r="A174" s="79" t="n">
        <v>19480</v>
      </c>
      <c r="B174" t="n">
        <v>58.6</v>
      </c>
      <c r="C174" t="n">
        <v>50490</v>
      </c>
      <c r="D174" t="n">
        <v>2.5</v>
      </c>
    </row>
    <row r="175">
      <c r="A175" s="79" t="n">
        <v>19511</v>
      </c>
      <c r="B175" t="n">
        <v>58.9</v>
      </c>
      <c r="C175" t="n">
        <v>50519</v>
      </c>
      <c r="D175" t="n">
        <v>2.5</v>
      </c>
    </row>
    <row r="176">
      <c r="A176" s="79" t="n">
        <v>19541</v>
      </c>
      <c r="B176" t="n">
        <v>58.9</v>
      </c>
      <c r="C176" t="n">
        <v>50536</v>
      </c>
      <c r="D176" t="n">
        <v>2.6</v>
      </c>
    </row>
    <row r="177">
      <c r="A177" s="79" t="n">
        <v>19572</v>
      </c>
      <c r="B177" t="n">
        <v>58.6</v>
      </c>
      <c r="C177" t="n">
        <v>50489</v>
      </c>
      <c r="D177" t="n">
        <v>2.7</v>
      </c>
    </row>
    <row r="178">
      <c r="A178" s="79" t="n">
        <v>19603</v>
      </c>
      <c r="B178" t="n">
        <v>58.5</v>
      </c>
      <c r="C178" t="n">
        <v>50368</v>
      </c>
      <c r="D178" t="n">
        <v>2.9</v>
      </c>
    </row>
    <row r="179">
      <c r="A179" s="79" t="n">
        <v>19633</v>
      </c>
      <c r="B179" t="n">
        <v>58.5</v>
      </c>
      <c r="C179" t="n">
        <v>50240</v>
      </c>
      <c r="D179" t="n">
        <v>3.1</v>
      </c>
    </row>
    <row r="180">
      <c r="A180" s="79" t="n">
        <v>19664</v>
      </c>
      <c r="B180" t="n">
        <v>58.6</v>
      </c>
      <c r="C180" t="n">
        <v>49908</v>
      </c>
      <c r="D180" t="n">
        <v>3.5</v>
      </c>
    </row>
    <row r="181">
      <c r="A181" s="79" t="n">
        <v>19694</v>
      </c>
      <c r="B181" t="n">
        <v>58.3</v>
      </c>
      <c r="C181" t="n">
        <v>49703</v>
      </c>
      <c r="D181" t="n">
        <v>4.5</v>
      </c>
    </row>
    <row r="182">
      <c r="A182" s="79" t="n">
        <v>19725</v>
      </c>
      <c r="B182" t="n">
        <v>58.6</v>
      </c>
      <c r="C182" t="n">
        <v>49469</v>
      </c>
      <c r="D182" t="n">
        <v>4.9</v>
      </c>
    </row>
    <row r="183">
      <c r="A183" s="79" t="n">
        <v>19756</v>
      </c>
      <c r="B183" t="n">
        <v>59.3</v>
      </c>
      <c r="C183" t="n">
        <v>49382</v>
      </c>
      <c r="D183" t="n">
        <v>5.2</v>
      </c>
    </row>
    <row r="184">
      <c r="A184" s="79" t="n">
        <v>19784</v>
      </c>
      <c r="B184" t="n">
        <v>59.1</v>
      </c>
      <c r="C184" t="n">
        <v>49157</v>
      </c>
      <c r="D184" t="n">
        <v>5.7</v>
      </c>
    </row>
    <row r="185">
      <c r="A185" s="79" t="n">
        <v>19815</v>
      </c>
      <c r="B185" t="n">
        <v>59.2</v>
      </c>
      <c r="C185" t="n">
        <v>49179</v>
      </c>
      <c r="D185" t="n">
        <v>5.9</v>
      </c>
    </row>
    <row r="186">
      <c r="A186" s="79" t="n">
        <v>19845</v>
      </c>
      <c r="B186" t="n">
        <v>58.9</v>
      </c>
      <c r="C186" t="n">
        <v>48965</v>
      </c>
      <c r="D186" t="n">
        <v>5.9</v>
      </c>
    </row>
    <row r="187">
      <c r="A187" s="79" t="n">
        <v>19876</v>
      </c>
      <c r="B187" t="n">
        <v>58.5</v>
      </c>
      <c r="C187" t="n">
        <v>48895</v>
      </c>
      <c r="D187" t="n">
        <v>5.6</v>
      </c>
    </row>
    <row r="188">
      <c r="A188" s="79" t="n">
        <v>19906</v>
      </c>
      <c r="B188" t="n">
        <v>58.4</v>
      </c>
      <c r="C188" t="n">
        <v>48835</v>
      </c>
      <c r="D188" t="n">
        <v>5.8</v>
      </c>
    </row>
    <row r="189">
      <c r="A189" s="79" t="n">
        <v>19937</v>
      </c>
      <c r="B189" t="n">
        <v>58.7</v>
      </c>
      <c r="C189" t="n">
        <v>48826</v>
      </c>
      <c r="D189" t="n">
        <v>6</v>
      </c>
    </row>
    <row r="190">
      <c r="A190" s="79" t="n">
        <v>19968</v>
      </c>
      <c r="B190" t="n">
        <v>59.2</v>
      </c>
      <c r="C190" t="n">
        <v>48886</v>
      </c>
      <c r="D190" t="n">
        <v>6.1</v>
      </c>
    </row>
    <row r="191">
      <c r="A191" s="79" t="n">
        <v>19998</v>
      </c>
      <c r="B191" t="n">
        <v>58.8</v>
      </c>
      <c r="C191" t="n">
        <v>48942</v>
      </c>
      <c r="D191" t="n">
        <v>5.7</v>
      </c>
    </row>
    <row r="192">
      <c r="A192" s="79" t="n">
        <v>20029</v>
      </c>
      <c r="B192" t="n">
        <v>58.6</v>
      </c>
      <c r="C192" t="n">
        <v>49180</v>
      </c>
      <c r="D192" t="n">
        <v>5.3</v>
      </c>
    </row>
    <row r="193">
      <c r="A193" s="79" t="n">
        <v>20059</v>
      </c>
      <c r="B193" t="n">
        <v>58.1</v>
      </c>
      <c r="C193" t="n">
        <v>49331</v>
      </c>
      <c r="D193" t="n">
        <v>5</v>
      </c>
    </row>
    <row r="194">
      <c r="A194" s="79" t="n">
        <v>20090</v>
      </c>
      <c r="B194" t="n">
        <v>58.6</v>
      </c>
      <c r="C194" t="n">
        <v>49496</v>
      </c>
      <c r="D194" t="n">
        <v>4.9</v>
      </c>
    </row>
    <row r="195">
      <c r="A195" s="79" t="n">
        <v>20121</v>
      </c>
      <c r="B195" t="n">
        <v>58.4</v>
      </c>
      <c r="C195" t="n">
        <v>49644</v>
      </c>
      <c r="D195" t="n">
        <v>4.7</v>
      </c>
    </row>
    <row r="196">
      <c r="A196" s="79" t="n">
        <v>20149</v>
      </c>
      <c r="B196" t="n">
        <v>58.5</v>
      </c>
      <c r="C196" t="n">
        <v>49962</v>
      </c>
      <c r="D196" t="n">
        <v>4.6</v>
      </c>
    </row>
    <row r="197">
      <c r="A197" s="79" t="n">
        <v>20180</v>
      </c>
      <c r="B197" t="n">
        <v>59</v>
      </c>
      <c r="C197" t="n">
        <v>50248</v>
      </c>
      <c r="D197" t="n">
        <v>4.7</v>
      </c>
    </row>
    <row r="198">
      <c r="A198" s="79" t="n">
        <v>20210</v>
      </c>
      <c r="B198" t="n">
        <v>58.8</v>
      </c>
      <c r="C198" t="n">
        <v>50512</v>
      </c>
      <c r="D198" t="n">
        <v>4.3</v>
      </c>
    </row>
    <row r="199">
      <c r="A199" s="79" t="n">
        <v>20241</v>
      </c>
      <c r="B199" t="n">
        <v>58.8</v>
      </c>
      <c r="C199" t="n">
        <v>50790</v>
      </c>
      <c r="D199" t="n">
        <v>4.2</v>
      </c>
    </row>
    <row r="200">
      <c r="A200" s="79" t="n">
        <v>20271</v>
      </c>
      <c r="B200" t="n">
        <v>59.3</v>
      </c>
      <c r="C200" t="n">
        <v>50987</v>
      </c>
      <c r="D200" t="n">
        <v>4</v>
      </c>
    </row>
    <row r="201">
      <c r="A201" s="79" t="n">
        <v>20302</v>
      </c>
      <c r="B201" t="n">
        <v>59.7</v>
      </c>
      <c r="C201" t="n">
        <v>51111</v>
      </c>
      <c r="D201" t="n">
        <v>4.2</v>
      </c>
    </row>
    <row r="202">
      <c r="A202" s="79" t="n">
        <v>20333</v>
      </c>
      <c r="B202" t="n">
        <v>59.7</v>
      </c>
      <c r="C202" t="n">
        <v>51266</v>
      </c>
      <c r="D202" t="n">
        <v>4.1</v>
      </c>
    </row>
    <row r="203">
      <c r="A203" s="79" t="n">
        <v>20363</v>
      </c>
      <c r="B203" t="n">
        <v>59.8</v>
      </c>
      <c r="C203" t="n">
        <v>51429</v>
      </c>
      <c r="D203" t="n">
        <v>4.3</v>
      </c>
    </row>
    <row r="204">
      <c r="A204" s="79" t="n">
        <v>20394</v>
      </c>
      <c r="B204" t="n">
        <v>59.9</v>
      </c>
      <c r="C204" t="n">
        <v>51592</v>
      </c>
      <c r="D204" t="n">
        <v>4.2</v>
      </c>
    </row>
    <row r="205">
      <c r="A205" s="79" t="n">
        <v>20424</v>
      </c>
      <c r="B205" t="n">
        <v>60.2</v>
      </c>
      <c r="C205" t="n">
        <v>51805</v>
      </c>
      <c r="D205" t="n">
        <v>4.2</v>
      </c>
    </row>
    <row r="206">
      <c r="A206" s="79" t="n">
        <v>20455</v>
      </c>
      <c r="B206" t="n">
        <v>60.2</v>
      </c>
      <c r="C206" t="n">
        <v>51975</v>
      </c>
      <c r="D206" t="n">
        <v>4</v>
      </c>
    </row>
    <row r="207">
      <c r="A207" s="79" t="n">
        <v>20486</v>
      </c>
      <c r="B207" t="n">
        <v>59.9</v>
      </c>
      <c r="C207" t="n">
        <v>52167</v>
      </c>
      <c r="D207" t="n">
        <v>3.9</v>
      </c>
    </row>
    <row r="208">
      <c r="A208" s="79" t="n">
        <v>20515</v>
      </c>
      <c r="B208" t="n">
        <v>59.8</v>
      </c>
      <c r="C208" t="n">
        <v>52294</v>
      </c>
      <c r="D208" t="n">
        <v>4.2</v>
      </c>
    </row>
    <row r="209">
      <c r="A209" s="79" t="n">
        <v>20546</v>
      </c>
      <c r="B209" t="n">
        <v>59.9</v>
      </c>
      <c r="C209" t="n">
        <v>52375</v>
      </c>
      <c r="D209" t="n">
        <v>4</v>
      </c>
    </row>
    <row r="210">
      <c r="A210" s="79" t="n">
        <v>20576</v>
      </c>
      <c r="B210" t="n">
        <v>60.2</v>
      </c>
      <c r="C210" t="n">
        <v>52506</v>
      </c>
      <c r="D210" t="n">
        <v>4.3</v>
      </c>
    </row>
    <row r="211">
      <c r="A211" s="79" t="n">
        <v>20607</v>
      </c>
      <c r="B211" t="n">
        <v>60.1</v>
      </c>
      <c r="C211" t="n">
        <v>52586</v>
      </c>
      <c r="D211" t="n">
        <v>4.3</v>
      </c>
    </row>
    <row r="212">
      <c r="A212" s="79" t="n">
        <v>20637</v>
      </c>
      <c r="B212" t="n">
        <v>60.1</v>
      </c>
      <c r="C212" t="n">
        <v>51955</v>
      </c>
      <c r="D212" t="n">
        <v>4.4</v>
      </c>
    </row>
    <row r="213">
      <c r="A213" s="79" t="n">
        <v>20668</v>
      </c>
      <c r="B213" t="n">
        <v>60</v>
      </c>
      <c r="C213" t="n">
        <v>52631</v>
      </c>
      <c r="D213" t="n">
        <v>4.1</v>
      </c>
    </row>
    <row r="214">
      <c r="A214" s="79" t="n">
        <v>20699</v>
      </c>
      <c r="B214" t="n">
        <v>60</v>
      </c>
      <c r="C214" t="n">
        <v>52604</v>
      </c>
      <c r="D214" t="n">
        <v>3.9</v>
      </c>
    </row>
    <row r="215">
      <c r="A215" s="79" t="n">
        <v>20729</v>
      </c>
      <c r="B215" t="n">
        <v>59.8</v>
      </c>
      <c r="C215" t="n">
        <v>52777</v>
      </c>
      <c r="D215" t="n">
        <v>3.9</v>
      </c>
    </row>
    <row r="216">
      <c r="A216" s="79" t="n">
        <v>20760</v>
      </c>
      <c r="B216" t="n">
        <v>59.8</v>
      </c>
      <c r="C216" t="n">
        <v>52821</v>
      </c>
      <c r="D216" t="n">
        <v>4.3</v>
      </c>
    </row>
    <row r="217">
      <c r="A217" s="79" t="n">
        <v>20790</v>
      </c>
      <c r="B217" t="n">
        <v>59.8</v>
      </c>
      <c r="C217" t="n">
        <v>52929</v>
      </c>
      <c r="D217" t="n">
        <v>4.2</v>
      </c>
    </row>
    <row r="218">
      <c r="A218" s="79" t="n">
        <v>20821</v>
      </c>
      <c r="B218" t="n">
        <v>59.5</v>
      </c>
      <c r="C218" t="n">
        <v>52887</v>
      </c>
      <c r="D218" t="n">
        <v>4.2</v>
      </c>
    </row>
    <row r="219">
      <c r="A219" s="79" t="n">
        <v>20852</v>
      </c>
      <c r="B219" t="n">
        <v>59.9</v>
      </c>
      <c r="C219" t="n">
        <v>53097</v>
      </c>
      <c r="D219" t="n">
        <v>3.9</v>
      </c>
    </row>
    <row r="220">
      <c r="A220" s="79" t="n">
        <v>20880</v>
      </c>
      <c r="B220" t="n">
        <v>59.8</v>
      </c>
      <c r="C220" t="n">
        <v>53156</v>
      </c>
      <c r="D220" t="n">
        <v>3.7</v>
      </c>
    </row>
    <row r="221">
      <c r="A221" s="79" t="n">
        <v>20911</v>
      </c>
      <c r="B221" t="n">
        <v>59.5</v>
      </c>
      <c r="C221" t="n">
        <v>53238</v>
      </c>
      <c r="D221" t="n">
        <v>3.9</v>
      </c>
    </row>
    <row r="222">
      <c r="A222" s="79" t="n">
        <v>20941</v>
      </c>
      <c r="B222" t="n">
        <v>59.5</v>
      </c>
      <c r="C222" t="n">
        <v>53150</v>
      </c>
      <c r="D222" t="n">
        <v>4.1</v>
      </c>
    </row>
    <row r="223">
      <c r="A223" s="79" t="n">
        <v>20972</v>
      </c>
      <c r="B223" t="n">
        <v>59.8</v>
      </c>
      <c r="C223" t="n">
        <v>53067</v>
      </c>
      <c r="D223" t="n">
        <v>4.3</v>
      </c>
    </row>
    <row r="224">
      <c r="A224" s="79" t="n">
        <v>21002</v>
      </c>
      <c r="B224" t="n">
        <v>60</v>
      </c>
      <c r="C224" t="n">
        <v>53123</v>
      </c>
      <c r="D224" t="n">
        <v>4.2</v>
      </c>
    </row>
    <row r="225">
      <c r="A225" s="79" t="n">
        <v>21033</v>
      </c>
      <c r="B225" t="n">
        <v>59.3</v>
      </c>
      <c r="C225" t="n">
        <v>53128</v>
      </c>
      <c r="D225" t="n">
        <v>4.1</v>
      </c>
    </row>
    <row r="226">
      <c r="A226" s="79" t="n">
        <v>21064</v>
      </c>
      <c r="B226" t="n">
        <v>59.6</v>
      </c>
      <c r="C226" t="n">
        <v>52934</v>
      </c>
      <c r="D226" t="n">
        <v>4.4</v>
      </c>
    </row>
    <row r="227">
      <c r="A227" s="79" t="n">
        <v>21094</v>
      </c>
      <c r="B227" t="n">
        <v>59.5</v>
      </c>
      <c r="C227" t="n">
        <v>52763</v>
      </c>
      <c r="D227" t="n">
        <v>4.5</v>
      </c>
    </row>
    <row r="228">
      <c r="A228" s="79" t="n">
        <v>21125</v>
      </c>
      <c r="B228" t="n">
        <v>59.5</v>
      </c>
      <c r="C228" t="n">
        <v>52558</v>
      </c>
      <c r="D228" t="n">
        <v>5.1</v>
      </c>
    </row>
    <row r="229">
      <c r="A229" s="79" t="n">
        <v>21155</v>
      </c>
      <c r="B229" t="n">
        <v>59.6</v>
      </c>
      <c r="C229" t="n">
        <v>52384</v>
      </c>
      <c r="D229" t="n">
        <v>5.2</v>
      </c>
    </row>
    <row r="230">
      <c r="A230" s="79" t="n">
        <v>21186</v>
      </c>
      <c r="B230" t="n">
        <v>59.3</v>
      </c>
      <c r="C230" t="n">
        <v>52076</v>
      </c>
      <c r="D230" t="n">
        <v>5.8</v>
      </c>
    </row>
    <row r="231">
      <c r="A231" s="79" t="n">
        <v>21217</v>
      </c>
      <c r="B231" t="n">
        <v>59.3</v>
      </c>
      <c r="C231" t="n">
        <v>51576</v>
      </c>
      <c r="D231" t="n">
        <v>6.4</v>
      </c>
    </row>
    <row r="232">
      <c r="A232" s="79" t="n">
        <v>21245</v>
      </c>
      <c r="B232" t="n">
        <v>59.3</v>
      </c>
      <c r="C232" t="n">
        <v>51299</v>
      </c>
      <c r="D232" t="n">
        <v>6.7</v>
      </c>
    </row>
    <row r="233">
      <c r="A233" s="79" t="n">
        <v>21276</v>
      </c>
      <c r="B233" t="n">
        <v>59.6</v>
      </c>
      <c r="C233" t="n">
        <v>51027</v>
      </c>
      <c r="D233" t="n">
        <v>7.4</v>
      </c>
    </row>
    <row r="234">
      <c r="A234" s="79" t="n">
        <v>21306</v>
      </c>
      <c r="B234" t="n">
        <v>59.8</v>
      </c>
      <c r="C234" t="n">
        <v>50914</v>
      </c>
      <c r="D234" t="n">
        <v>7.4</v>
      </c>
    </row>
    <row r="235">
      <c r="A235" s="79" t="n">
        <v>21337</v>
      </c>
      <c r="B235" t="n">
        <v>59.5</v>
      </c>
      <c r="C235" t="n">
        <v>50914</v>
      </c>
      <c r="D235" t="n">
        <v>7.3</v>
      </c>
    </row>
    <row r="236">
      <c r="A236" s="79" t="n">
        <v>21367</v>
      </c>
      <c r="B236" t="n">
        <v>59.6</v>
      </c>
      <c r="C236" t="n">
        <v>51039</v>
      </c>
      <c r="D236" t="n">
        <v>7.5</v>
      </c>
    </row>
    <row r="237">
      <c r="A237" s="79" t="n">
        <v>21398</v>
      </c>
      <c r="B237" t="n">
        <v>59.8</v>
      </c>
      <c r="C237" t="n">
        <v>51233</v>
      </c>
      <c r="D237" t="n">
        <v>7.4</v>
      </c>
    </row>
    <row r="238">
      <c r="A238" s="79" t="n">
        <v>21429</v>
      </c>
      <c r="B238" t="n">
        <v>59.7</v>
      </c>
      <c r="C238" t="n">
        <v>51506</v>
      </c>
      <c r="D238" t="n">
        <v>7.1</v>
      </c>
    </row>
    <row r="239">
      <c r="A239" s="79" t="n">
        <v>21459</v>
      </c>
      <c r="B239" t="n">
        <v>59.6</v>
      </c>
      <c r="C239" t="n">
        <v>51485</v>
      </c>
      <c r="D239" t="n">
        <v>6.7</v>
      </c>
    </row>
    <row r="240">
      <c r="A240" s="79" t="n">
        <v>21490</v>
      </c>
      <c r="B240" t="n">
        <v>59.2</v>
      </c>
      <c r="C240" t="n">
        <v>51944</v>
      </c>
      <c r="D240" t="n">
        <v>6.2</v>
      </c>
    </row>
    <row r="241">
      <c r="A241" s="79" t="n">
        <v>21520</v>
      </c>
      <c r="B241" t="n">
        <v>59.2</v>
      </c>
      <c r="C241" t="n">
        <v>52085</v>
      </c>
      <c r="D241" t="n">
        <v>6.2</v>
      </c>
    </row>
    <row r="242">
      <c r="A242" s="79" t="n">
        <v>21551</v>
      </c>
      <c r="B242" t="n">
        <v>59.3</v>
      </c>
      <c r="C242" t="n">
        <v>52478</v>
      </c>
      <c r="D242" t="n">
        <v>6</v>
      </c>
    </row>
    <row r="243">
      <c r="A243" s="79" t="n">
        <v>21582</v>
      </c>
      <c r="B243" t="n">
        <v>59</v>
      </c>
      <c r="C243" t="n">
        <v>52688</v>
      </c>
      <c r="D243" t="n">
        <v>5.9</v>
      </c>
    </row>
    <row r="244">
      <c r="A244" s="79" t="n">
        <v>21610</v>
      </c>
      <c r="B244" t="n">
        <v>59.3</v>
      </c>
      <c r="C244" t="n">
        <v>53014</v>
      </c>
      <c r="D244" t="n">
        <v>5.6</v>
      </c>
    </row>
    <row r="245">
      <c r="A245" s="79" t="n">
        <v>21641</v>
      </c>
      <c r="B245" t="n">
        <v>59.4</v>
      </c>
      <c r="C245" t="n">
        <v>53321</v>
      </c>
      <c r="D245" t="n">
        <v>5.2</v>
      </c>
    </row>
    <row r="246">
      <c r="A246" s="79" t="n">
        <v>21671</v>
      </c>
      <c r="B246" t="n">
        <v>59.2</v>
      </c>
      <c r="C246" t="n">
        <v>53550</v>
      </c>
      <c r="D246" t="n">
        <v>5.1</v>
      </c>
    </row>
    <row r="247">
      <c r="A247" s="79" t="n">
        <v>21702</v>
      </c>
      <c r="B247" t="n">
        <v>59.2</v>
      </c>
      <c r="C247" t="n">
        <v>53681</v>
      </c>
      <c r="D247" t="n">
        <v>5</v>
      </c>
    </row>
    <row r="248">
      <c r="A248" s="79" t="n">
        <v>21732</v>
      </c>
      <c r="B248" t="n">
        <v>59.4</v>
      </c>
      <c r="C248" t="n">
        <v>53804</v>
      </c>
      <c r="D248" t="n">
        <v>5.1</v>
      </c>
    </row>
    <row r="249">
      <c r="A249" s="79" t="n">
        <v>21763</v>
      </c>
      <c r="B249" t="n">
        <v>59.2</v>
      </c>
      <c r="C249" t="n">
        <v>53336</v>
      </c>
      <c r="D249" t="n">
        <v>5.2</v>
      </c>
    </row>
    <row r="250">
      <c r="A250" s="79" t="n">
        <v>21794</v>
      </c>
      <c r="B250" t="n">
        <v>59.3</v>
      </c>
      <c r="C250" t="n">
        <v>53428</v>
      </c>
      <c r="D250" t="n">
        <v>5.5</v>
      </c>
    </row>
    <row r="251">
      <c r="A251" s="79" t="n">
        <v>21824</v>
      </c>
      <c r="B251" t="n">
        <v>59.4</v>
      </c>
      <c r="C251" t="n">
        <v>53358</v>
      </c>
      <c r="D251" t="n">
        <v>5.7</v>
      </c>
    </row>
    <row r="252">
      <c r="A252" s="79" t="n">
        <v>21855</v>
      </c>
      <c r="B252" t="n">
        <v>59.1</v>
      </c>
      <c r="C252" t="n">
        <v>53634</v>
      </c>
      <c r="D252" t="n">
        <v>5.8</v>
      </c>
    </row>
    <row r="253">
      <c r="A253" s="79" t="n">
        <v>21885</v>
      </c>
      <c r="B253" t="n">
        <v>59.5</v>
      </c>
      <c r="C253" t="n">
        <v>54174</v>
      </c>
      <c r="D253" t="n">
        <v>5.3</v>
      </c>
    </row>
    <row r="254">
      <c r="A254" s="79" t="n">
        <v>21916</v>
      </c>
      <c r="B254" t="n">
        <v>59.1</v>
      </c>
      <c r="C254" t="n">
        <v>54274</v>
      </c>
      <c r="D254" t="n">
        <v>5.2</v>
      </c>
    </row>
    <row r="255">
      <c r="A255" s="79" t="n">
        <v>21947</v>
      </c>
      <c r="B255" t="n">
        <v>59.1</v>
      </c>
      <c r="C255" t="n">
        <v>54513</v>
      </c>
      <c r="D255" t="n">
        <v>4.8</v>
      </c>
    </row>
    <row r="256">
      <c r="A256" s="79" t="n">
        <v>21976</v>
      </c>
      <c r="B256" t="n">
        <v>58.5</v>
      </c>
      <c r="C256" t="n">
        <v>54454</v>
      </c>
      <c r="D256" t="n">
        <v>5.4</v>
      </c>
    </row>
    <row r="257">
      <c r="A257" s="79" t="n">
        <v>22007</v>
      </c>
      <c r="B257" t="n">
        <v>59.5</v>
      </c>
      <c r="C257" t="n">
        <v>54813</v>
      </c>
      <c r="D257" t="n">
        <v>5.2</v>
      </c>
    </row>
    <row r="258">
      <c r="A258" s="79" t="n">
        <v>22037</v>
      </c>
      <c r="B258" t="n">
        <v>59.5</v>
      </c>
      <c r="C258" t="n">
        <v>54475</v>
      </c>
      <c r="D258" t="n">
        <v>5.1</v>
      </c>
    </row>
    <row r="259">
      <c r="A259" s="79" t="n">
        <v>22068</v>
      </c>
      <c r="B259" t="n">
        <v>59.7</v>
      </c>
      <c r="C259" t="n">
        <v>54348</v>
      </c>
      <c r="D259" t="n">
        <v>5.4</v>
      </c>
    </row>
    <row r="260">
      <c r="A260" s="79" t="n">
        <v>22098</v>
      </c>
      <c r="B260" t="n">
        <v>59.5</v>
      </c>
      <c r="C260" t="n">
        <v>54306</v>
      </c>
      <c r="D260" t="n">
        <v>5.5</v>
      </c>
    </row>
    <row r="261">
      <c r="A261" s="79" t="n">
        <v>22129</v>
      </c>
      <c r="B261" t="n">
        <v>59.5</v>
      </c>
      <c r="C261" t="n">
        <v>54272</v>
      </c>
      <c r="D261" t="n">
        <v>5.6</v>
      </c>
    </row>
    <row r="262">
      <c r="A262" s="79" t="n">
        <v>22160</v>
      </c>
      <c r="B262" t="n">
        <v>59.7</v>
      </c>
      <c r="C262" t="n">
        <v>54227</v>
      </c>
      <c r="D262" t="n">
        <v>5.5</v>
      </c>
    </row>
    <row r="263">
      <c r="A263" s="79" t="n">
        <v>22190</v>
      </c>
      <c r="B263" t="n">
        <v>59.4</v>
      </c>
      <c r="C263" t="n">
        <v>54142</v>
      </c>
      <c r="D263" t="n">
        <v>6.1</v>
      </c>
    </row>
    <row r="264">
      <c r="A264" s="79" t="n">
        <v>22221</v>
      </c>
      <c r="B264" t="n">
        <v>59.8</v>
      </c>
      <c r="C264" t="n">
        <v>53961</v>
      </c>
      <c r="D264" t="n">
        <v>6.1</v>
      </c>
    </row>
    <row r="265">
      <c r="A265" s="79" t="n">
        <v>22251</v>
      </c>
      <c r="B265" t="n">
        <v>59.7</v>
      </c>
      <c r="C265" t="n">
        <v>53742</v>
      </c>
      <c r="D265" t="n">
        <v>6.6</v>
      </c>
    </row>
    <row r="266">
      <c r="A266" s="79" t="n">
        <v>22282</v>
      </c>
      <c r="B266" t="n">
        <v>59.6</v>
      </c>
      <c r="C266" t="n">
        <v>53683</v>
      </c>
      <c r="D266" t="n">
        <v>6.6</v>
      </c>
    </row>
    <row r="267">
      <c r="A267" s="79" t="n">
        <v>22313</v>
      </c>
      <c r="B267" t="n">
        <v>59.6</v>
      </c>
      <c r="C267" t="n">
        <v>53557</v>
      </c>
      <c r="D267" t="n">
        <v>6.9</v>
      </c>
    </row>
    <row r="268">
      <c r="A268" s="79" t="n">
        <v>22341</v>
      </c>
      <c r="B268" t="n">
        <v>59.7</v>
      </c>
      <c r="C268" t="n">
        <v>53659</v>
      </c>
      <c r="D268" t="n">
        <v>6.9</v>
      </c>
    </row>
    <row r="269">
      <c r="A269" s="79" t="n">
        <v>22372</v>
      </c>
      <c r="B269" t="n">
        <v>59.3</v>
      </c>
      <c r="C269" t="n">
        <v>53627</v>
      </c>
      <c r="D269" t="n">
        <v>7</v>
      </c>
    </row>
    <row r="270">
      <c r="A270" s="79" t="n">
        <v>22402</v>
      </c>
      <c r="B270" t="n">
        <v>59.4</v>
      </c>
      <c r="C270" t="n">
        <v>53786</v>
      </c>
      <c r="D270" t="n">
        <v>7.1</v>
      </c>
    </row>
    <row r="271">
      <c r="A271" s="79" t="n">
        <v>22433</v>
      </c>
      <c r="B271" t="n">
        <v>59.7</v>
      </c>
      <c r="C271" t="n">
        <v>53977</v>
      </c>
      <c r="D271" t="n">
        <v>6.9</v>
      </c>
    </row>
    <row r="272">
      <c r="A272" s="79" t="n">
        <v>22463</v>
      </c>
      <c r="B272" t="n">
        <v>59.3</v>
      </c>
      <c r="C272" t="n">
        <v>54123</v>
      </c>
      <c r="D272" t="n">
        <v>7</v>
      </c>
    </row>
    <row r="273">
      <c r="A273" s="79" t="n">
        <v>22494</v>
      </c>
      <c r="B273" t="n">
        <v>59.3</v>
      </c>
      <c r="C273" t="n">
        <v>54298</v>
      </c>
      <c r="D273" t="n">
        <v>6.6</v>
      </c>
    </row>
    <row r="274">
      <c r="A274" s="79" t="n">
        <v>22525</v>
      </c>
      <c r="B274" t="n">
        <v>59</v>
      </c>
      <c r="C274" t="n">
        <v>54388</v>
      </c>
      <c r="D274" t="n">
        <v>6.7</v>
      </c>
    </row>
    <row r="275">
      <c r="A275" s="79" t="n">
        <v>22555</v>
      </c>
      <c r="B275" t="n">
        <v>59.1</v>
      </c>
      <c r="C275" t="n">
        <v>54522</v>
      </c>
      <c r="D275" t="n">
        <v>6.5</v>
      </c>
    </row>
    <row r="276">
      <c r="A276" s="79" t="n">
        <v>22586</v>
      </c>
      <c r="B276" t="n">
        <v>59.1</v>
      </c>
      <c r="C276" t="n">
        <v>54742</v>
      </c>
      <c r="D276" t="n">
        <v>6.1</v>
      </c>
    </row>
    <row r="277">
      <c r="A277" s="79" t="n">
        <v>22616</v>
      </c>
      <c r="B277" t="n">
        <v>58.8</v>
      </c>
      <c r="C277" t="n">
        <v>54872</v>
      </c>
      <c r="D277" t="n">
        <v>6</v>
      </c>
    </row>
    <row r="278">
      <c r="A278" s="79" t="n">
        <v>22647</v>
      </c>
      <c r="B278" t="n">
        <v>58.8</v>
      </c>
      <c r="C278" t="n">
        <v>54891</v>
      </c>
      <c r="D278" t="n">
        <v>5.8</v>
      </c>
    </row>
    <row r="279">
      <c r="A279" s="79" t="n">
        <v>22678</v>
      </c>
      <c r="B279" t="n">
        <v>59</v>
      </c>
      <c r="C279" t="n">
        <v>55188</v>
      </c>
      <c r="D279" t="n">
        <v>5.5</v>
      </c>
    </row>
    <row r="280">
      <c r="A280" s="79" t="n">
        <v>22706</v>
      </c>
      <c r="B280" t="n">
        <v>58.9</v>
      </c>
      <c r="C280" t="n">
        <v>55275</v>
      </c>
      <c r="D280" t="n">
        <v>5.6</v>
      </c>
    </row>
    <row r="281">
      <c r="A281" s="79" t="n">
        <v>22737</v>
      </c>
      <c r="B281" t="n">
        <v>58.7</v>
      </c>
      <c r="C281" t="n">
        <v>55602</v>
      </c>
      <c r="D281" t="n">
        <v>5.6</v>
      </c>
    </row>
    <row r="282">
      <c r="A282" s="79" t="n">
        <v>22767</v>
      </c>
      <c r="B282" t="n">
        <v>58.9</v>
      </c>
      <c r="C282" t="n">
        <v>55628</v>
      </c>
      <c r="D282" t="n">
        <v>5.5</v>
      </c>
    </row>
    <row r="283">
      <c r="A283" s="79" t="n">
        <v>22798</v>
      </c>
      <c r="B283" t="n">
        <v>58.8</v>
      </c>
      <c r="C283" t="n">
        <v>55644</v>
      </c>
      <c r="D283" t="n">
        <v>5.5</v>
      </c>
    </row>
    <row r="284">
      <c r="A284" s="79" t="n">
        <v>22828</v>
      </c>
      <c r="B284" t="n">
        <v>58.5</v>
      </c>
      <c r="C284" t="n">
        <v>55746</v>
      </c>
      <c r="D284" t="n">
        <v>5.4</v>
      </c>
    </row>
    <row r="285">
      <c r="A285" s="79" t="n">
        <v>22859</v>
      </c>
      <c r="B285" t="n">
        <v>59</v>
      </c>
      <c r="C285" t="n">
        <v>55838</v>
      </c>
      <c r="D285" t="n">
        <v>5.7</v>
      </c>
    </row>
    <row r="286">
      <c r="A286" s="79" t="n">
        <v>22890</v>
      </c>
      <c r="B286" t="n">
        <v>59</v>
      </c>
      <c r="C286" t="n">
        <v>55978</v>
      </c>
      <c r="D286" t="n">
        <v>5.6</v>
      </c>
    </row>
    <row r="287">
      <c r="A287" s="79" t="n">
        <v>22920</v>
      </c>
      <c r="B287" t="n">
        <v>58.7</v>
      </c>
      <c r="C287" t="n">
        <v>56041</v>
      </c>
      <c r="D287" t="n">
        <v>5.4</v>
      </c>
    </row>
    <row r="288">
      <c r="A288" s="79" t="n">
        <v>22951</v>
      </c>
      <c r="B288" t="n">
        <v>58.5</v>
      </c>
      <c r="C288" t="n">
        <v>56056</v>
      </c>
      <c r="D288" t="n">
        <v>5.7</v>
      </c>
    </row>
    <row r="289">
      <c r="A289" s="79" t="n">
        <v>22981</v>
      </c>
      <c r="B289" t="n">
        <v>58.4</v>
      </c>
      <c r="C289" t="n">
        <v>56028</v>
      </c>
      <c r="D289" t="n">
        <v>5.5</v>
      </c>
    </row>
    <row r="290">
      <c r="A290" s="79" t="n">
        <v>23012</v>
      </c>
      <c r="B290" t="n">
        <v>58.6</v>
      </c>
      <c r="C290" t="n">
        <v>56115</v>
      </c>
      <c r="D290" t="n">
        <v>5.7</v>
      </c>
    </row>
    <row r="291">
      <c r="A291" s="79" t="n">
        <v>23043</v>
      </c>
      <c r="B291" t="n">
        <v>58.6</v>
      </c>
      <c r="C291" t="n">
        <v>56230</v>
      </c>
      <c r="D291" t="n">
        <v>5.9</v>
      </c>
    </row>
    <row r="292">
      <c r="A292" s="79" t="n">
        <v>23071</v>
      </c>
      <c r="B292" t="n">
        <v>58.6</v>
      </c>
      <c r="C292" t="n">
        <v>56320</v>
      </c>
      <c r="D292" t="n">
        <v>5.7</v>
      </c>
    </row>
    <row r="293">
      <c r="A293" s="79" t="n">
        <v>23102</v>
      </c>
      <c r="B293" t="n">
        <v>58.8</v>
      </c>
      <c r="C293" t="n">
        <v>56580</v>
      </c>
      <c r="D293" t="n">
        <v>5.7</v>
      </c>
    </row>
    <row r="294">
      <c r="A294" s="79" t="n">
        <v>23132</v>
      </c>
      <c r="B294" t="n">
        <v>58.8</v>
      </c>
      <c r="C294" t="n">
        <v>56616</v>
      </c>
      <c r="D294" t="n">
        <v>5.9</v>
      </c>
    </row>
    <row r="295">
      <c r="A295" s="79" t="n">
        <v>23163</v>
      </c>
      <c r="B295" t="n">
        <v>58.5</v>
      </c>
      <c r="C295" t="n">
        <v>56659</v>
      </c>
      <c r="D295" t="n">
        <v>5.6</v>
      </c>
    </row>
    <row r="296">
      <c r="A296" s="79" t="n">
        <v>23193</v>
      </c>
      <c r="B296" t="n">
        <v>58.7</v>
      </c>
      <c r="C296" t="n">
        <v>56794</v>
      </c>
      <c r="D296" t="n">
        <v>5.6</v>
      </c>
    </row>
    <row r="297">
      <c r="A297" s="79" t="n">
        <v>23224</v>
      </c>
      <c r="B297" t="n">
        <v>58.5</v>
      </c>
      <c r="C297" t="n">
        <v>56910</v>
      </c>
      <c r="D297" t="n">
        <v>5.4</v>
      </c>
    </row>
    <row r="298">
      <c r="A298" s="79" t="n">
        <v>23255</v>
      </c>
      <c r="B298" t="n">
        <v>58.7</v>
      </c>
      <c r="C298" t="n">
        <v>57078</v>
      </c>
      <c r="D298" t="n">
        <v>5.5</v>
      </c>
    </row>
    <row r="299">
      <c r="A299" s="79" t="n">
        <v>23285</v>
      </c>
      <c r="B299" t="n">
        <v>58.8</v>
      </c>
      <c r="C299" t="n">
        <v>57283</v>
      </c>
      <c r="D299" t="n">
        <v>5.5</v>
      </c>
    </row>
    <row r="300">
      <c r="A300" s="79" t="n">
        <v>23316</v>
      </c>
      <c r="B300" t="n">
        <v>58.8</v>
      </c>
      <c r="C300" t="n">
        <v>57255</v>
      </c>
      <c r="D300" t="n">
        <v>5.7</v>
      </c>
    </row>
    <row r="301">
      <c r="A301" s="79" t="n">
        <v>23346</v>
      </c>
      <c r="B301" t="n">
        <v>58.5</v>
      </c>
      <c r="C301" t="n">
        <v>57361</v>
      </c>
      <c r="D301" t="n">
        <v>5.5</v>
      </c>
    </row>
    <row r="302">
      <c r="A302" s="79" t="n">
        <v>23377</v>
      </c>
      <c r="B302" t="n">
        <v>58.6</v>
      </c>
      <c r="C302" t="n">
        <v>57487</v>
      </c>
      <c r="D302" t="n">
        <v>5.6</v>
      </c>
    </row>
    <row r="303">
      <c r="A303" s="79" t="n">
        <v>23408</v>
      </c>
      <c r="B303" t="n">
        <v>58.8</v>
      </c>
      <c r="C303" t="n">
        <v>57753</v>
      </c>
      <c r="D303" t="n">
        <v>5.4</v>
      </c>
    </row>
    <row r="304">
      <c r="A304" s="79" t="n">
        <v>23437</v>
      </c>
      <c r="B304" t="n">
        <v>58.7</v>
      </c>
      <c r="C304" t="n">
        <v>57897</v>
      </c>
      <c r="D304" t="n">
        <v>5.4</v>
      </c>
    </row>
    <row r="305">
      <c r="A305" s="79" t="n">
        <v>23468</v>
      </c>
      <c r="B305" t="n">
        <v>59.1</v>
      </c>
      <c r="C305" t="n">
        <v>57922</v>
      </c>
      <c r="D305" t="n">
        <v>5.3</v>
      </c>
    </row>
    <row r="306">
      <c r="A306" s="79" t="n">
        <v>23498</v>
      </c>
      <c r="B306" t="n">
        <v>59.1</v>
      </c>
      <c r="C306" t="n">
        <v>58089</v>
      </c>
      <c r="D306" t="n">
        <v>5.1</v>
      </c>
    </row>
    <row r="307">
      <c r="A307" s="79" t="n">
        <v>23529</v>
      </c>
      <c r="B307" t="n">
        <v>58.7</v>
      </c>
      <c r="C307" t="n">
        <v>58219</v>
      </c>
      <c r="D307" t="n">
        <v>5.2</v>
      </c>
    </row>
    <row r="308">
      <c r="A308" s="79" t="n">
        <v>23559</v>
      </c>
      <c r="B308" t="n">
        <v>58.6</v>
      </c>
      <c r="C308" t="n">
        <v>58412</v>
      </c>
      <c r="D308" t="n">
        <v>4.9</v>
      </c>
    </row>
    <row r="309">
      <c r="A309" s="79" t="n">
        <v>23590</v>
      </c>
      <c r="B309" t="n">
        <v>58.6</v>
      </c>
      <c r="C309" t="n">
        <v>58619</v>
      </c>
      <c r="D309" t="n">
        <v>5</v>
      </c>
    </row>
    <row r="310">
      <c r="A310" s="79" t="n">
        <v>23621</v>
      </c>
      <c r="B310" t="n">
        <v>58.7</v>
      </c>
      <c r="C310" t="n">
        <v>58903</v>
      </c>
      <c r="D310" t="n">
        <v>5.1</v>
      </c>
    </row>
    <row r="311">
      <c r="A311" s="79" t="n">
        <v>23651</v>
      </c>
      <c r="B311" t="n">
        <v>58.6</v>
      </c>
      <c r="C311" t="n">
        <v>58793</v>
      </c>
      <c r="D311" t="n">
        <v>5.1</v>
      </c>
    </row>
    <row r="312">
      <c r="A312" s="79" t="n">
        <v>23682</v>
      </c>
      <c r="B312" t="n">
        <v>58.5</v>
      </c>
      <c r="C312" t="n">
        <v>59218</v>
      </c>
      <c r="D312" t="n">
        <v>4.8</v>
      </c>
    </row>
    <row r="313">
      <c r="A313" s="79" t="n">
        <v>23712</v>
      </c>
      <c r="B313" t="n">
        <v>58.6</v>
      </c>
      <c r="C313" t="n">
        <v>59421</v>
      </c>
      <c r="D313" t="n">
        <v>5</v>
      </c>
    </row>
    <row r="314">
      <c r="A314" s="79" t="n">
        <v>23743</v>
      </c>
      <c r="B314" t="n">
        <v>58.6</v>
      </c>
      <c r="C314" t="n">
        <v>59582</v>
      </c>
      <c r="D314" t="n">
        <v>4.9</v>
      </c>
    </row>
    <row r="315">
      <c r="A315" s="79" t="n">
        <v>23774</v>
      </c>
      <c r="B315" t="n">
        <v>58.7</v>
      </c>
      <c r="C315" t="n">
        <v>59800</v>
      </c>
      <c r="D315" t="n">
        <v>5.1</v>
      </c>
    </row>
    <row r="316">
      <c r="A316" s="79" t="n">
        <v>23802</v>
      </c>
      <c r="B316" t="n">
        <v>58.7</v>
      </c>
      <c r="C316" t="n">
        <v>60003</v>
      </c>
      <c r="D316" t="n">
        <v>4.7</v>
      </c>
    </row>
    <row r="317">
      <c r="A317" s="79" t="n">
        <v>23833</v>
      </c>
      <c r="B317" t="n">
        <v>58.8</v>
      </c>
      <c r="C317" t="n">
        <v>60259</v>
      </c>
      <c r="D317" t="n">
        <v>4.8</v>
      </c>
    </row>
    <row r="318">
      <c r="A318" s="79" t="n">
        <v>23863</v>
      </c>
      <c r="B318" t="n">
        <v>59</v>
      </c>
      <c r="C318" t="n">
        <v>60491</v>
      </c>
      <c r="D318" t="n">
        <v>4.6</v>
      </c>
    </row>
    <row r="319">
      <c r="A319" s="79" t="n">
        <v>23894</v>
      </c>
      <c r="B319" t="n">
        <v>58.8</v>
      </c>
      <c r="C319" t="n">
        <v>60690</v>
      </c>
      <c r="D319" t="n">
        <v>4.6</v>
      </c>
    </row>
    <row r="320">
      <c r="A320" s="79" t="n">
        <v>23924</v>
      </c>
      <c r="B320" t="n">
        <v>59.1</v>
      </c>
      <c r="C320" t="n">
        <v>60965</v>
      </c>
      <c r="D320" t="n">
        <v>4.4</v>
      </c>
    </row>
    <row r="321">
      <c r="A321" s="79" t="n">
        <v>23955</v>
      </c>
      <c r="B321" t="n">
        <v>58.9</v>
      </c>
      <c r="C321" t="n">
        <v>61228</v>
      </c>
      <c r="D321" t="n">
        <v>4.4</v>
      </c>
    </row>
    <row r="322">
      <c r="A322" s="79" t="n">
        <v>23986</v>
      </c>
      <c r="B322" t="n">
        <v>58.7</v>
      </c>
      <c r="C322" t="n">
        <v>61490</v>
      </c>
      <c r="D322" t="n">
        <v>4.3</v>
      </c>
    </row>
    <row r="323">
      <c r="A323" s="79" t="n">
        <v>24016</v>
      </c>
      <c r="B323" t="n">
        <v>58.9</v>
      </c>
      <c r="C323" t="n">
        <v>61719</v>
      </c>
      <c r="D323" t="n">
        <v>4.2</v>
      </c>
    </row>
    <row r="324">
      <c r="A324" s="79" t="n">
        <v>24047</v>
      </c>
      <c r="B324" t="n">
        <v>58.8</v>
      </c>
      <c r="C324" t="n">
        <v>61996</v>
      </c>
      <c r="D324" t="n">
        <v>4.1</v>
      </c>
    </row>
    <row r="325">
      <c r="A325" s="79" t="n">
        <v>24077</v>
      </c>
      <c r="B325" t="n">
        <v>59</v>
      </c>
      <c r="C325" t="n">
        <v>62322</v>
      </c>
      <c r="D325" t="n">
        <v>4</v>
      </c>
    </row>
    <row r="326">
      <c r="A326" s="79" t="n">
        <v>24108</v>
      </c>
      <c r="B326" t="n">
        <v>59</v>
      </c>
      <c r="C326" t="n">
        <v>62529</v>
      </c>
      <c r="D326" t="n">
        <v>4</v>
      </c>
    </row>
    <row r="327">
      <c r="A327" s="79" t="n">
        <v>24139</v>
      </c>
      <c r="B327" t="n">
        <v>58.8</v>
      </c>
      <c r="C327" t="n">
        <v>62796</v>
      </c>
      <c r="D327" t="n">
        <v>3.8</v>
      </c>
    </row>
    <row r="328">
      <c r="A328" s="79" t="n">
        <v>24167</v>
      </c>
      <c r="B328" t="n">
        <v>58.8</v>
      </c>
      <c r="C328" t="n">
        <v>63192</v>
      </c>
      <c r="D328" t="n">
        <v>3.8</v>
      </c>
    </row>
    <row r="329">
      <c r="A329" s="79" t="n">
        <v>24198</v>
      </c>
      <c r="B329" t="n">
        <v>59</v>
      </c>
      <c r="C329" t="n">
        <v>63437</v>
      </c>
      <c r="D329" t="n">
        <v>3.8</v>
      </c>
    </row>
    <row r="330">
      <c r="A330" s="79" t="n">
        <v>24228</v>
      </c>
      <c r="B330" t="n">
        <v>59</v>
      </c>
      <c r="C330" t="n">
        <v>63712</v>
      </c>
      <c r="D330" t="n">
        <v>3.9</v>
      </c>
    </row>
    <row r="331">
      <c r="A331" s="79" t="n">
        <v>24259</v>
      </c>
      <c r="B331" t="n">
        <v>59.1</v>
      </c>
      <c r="C331" t="n">
        <v>64111</v>
      </c>
      <c r="D331" t="n">
        <v>3.8</v>
      </c>
    </row>
    <row r="332">
      <c r="A332" s="79" t="n">
        <v>24289</v>
      </c>
      <c r="B332" t="n">
        <v>59.1</v>
      </c>
      <c r="C332" t="n">
        <v>64301</v>
      </c>
      <c r="D332" t="n">
        <v>3.8</v>
      </c>
    </row>
    <row r="333">
      <c r="A333" s="79" t="n">
        <v>24320</v>
      </c>
      <c r="B333" t="n">
        <v>59.3</v>
      </c>
      <c r="C333" t="n">
        <v>64507</v>
      </c>
      <c r="D333" t="n">
        <v>3.8</v>
      </c>
    </row>
    <row r="334">
      <c r="A334" s="79" t="n">
        <v>24351</v>
      </c>
      <c r="B334" t="n">
        <v>59.3</v>
      </c>
      <c r="C334" t="n">
        <v>64643</v>
      </c>
      <c r="D334" t="n">
        <v>3.7</v>
      </c>
    </row>
    <row r="335">
      <c r="A335" s="79" t="n">
        <v>24381</v>
      </c>
      <c r="B335" t="n">
        <v>59.3</v>
      </c>
      <c r="C335" t="n">
        <v>64854</v>
      </c>
      <c r="D335" t="n">
        <v>3.7</v>
      </c>
    </row>
    <row r="336">
      <c r="A336" s="79" t="n">
        <v>24412</v>
      </c>
      <c r="B336" t="n">
        <v>59.6</v>
      </c>
      <c r="C336" t="n">
        <v>65019</v>
      </c>
      <c r="D336" t="n">
        <v>3.6</v>
      </c>
    </row>
    <row r="337">
      <c r="A337" s="79" t="n">
        <v>24442</v>
      </c>
      <c r="B337" t="n">
        <v>59.5</v>
      </c>
      <c r="C337" t="n">
        <v>65199</v>
      </c>
      <c r="D337" t="n">
        <v>3.8</v>
      </c>
    </row>
    <row r="338">
      <c r="A338" s="79" t="n">
        <v>24473</v>
      </c>
      <c r="B338" t="n">
        <v>59.5</v>
      </c>
      <c r="C338" t="n">
        <v>65407</v>
      </c>
      <c r="D338" t="n">
        <v>3.9</v>
      </c>
    </row>
    <row r="339">
      <c r="A339" s="79" t="n">
        <v>24504</v>
      </c>
      <c r="B339" t="n">
        <v>59.3</v>
      </c>
      <c r="C339" t="n">
        <v>65429</v>
      </c>
      <c r="D339" t="n">
        <v>3.8</v>
      </c>
    </row>
    <row r="340">
      <c r="A340" s="79" t="n">
        <v>24532</v>
      </c>
      <c r="B340" t="n">
        <v>59.1</v>
      </c>
      <c r="C340" t="n">
        <v>65530</v>
      </c>
      <c r="D340" t="n">
        <v>3.8</v>
      </c>
    </row>
    <row r="341">
      <c r="A341" s="79" t="n">
        <v>24563</v>
      </c>
      <c r="B341" t="n">
        <v>59.4</v>
      </c>
      <c r="C341" t="n">
        <v>65466</v>
      </c>
      <c r="D341" t="n">
        <v>3.8</v>
      </c>
    </row>
    <row r="342">
      <c r="A342" s="79" t="n">
        <v>24593</v>
      </c>
      <c r="B342" t="n">
        <v>59.3</v>
      </c>
      <c r="C342" t="n">
        <v>65620</v>
      </c>
      <c r="D342" t="n">
        <v>3.8</v>
      </c>
    </row>
    <row r="343">
      <c r="A343" s="79" t="n">
        <v>24624</v>
      </c>
      <c r="B343" t="n">
        <v>59.6</v>
      </c>
      <c r="C343" t="n">
        <v>65750</v>
      </c>
      <c r="D343" t="n">
        <v>3.9</v>
      </c>
    </row>
    <row r="344">
      <c r="A344" s="79" t="n">
        <v>24654</v>
      </c>
      <c r="B344" t="n">
        <v>59.6</v>
      </c>
      <c r="C344" t="n">
        <v>65888</v>
      </c>
      <c r="D344" t="n">
        <v>3.8</v>
      </c>
    </row>
    <row r="345">
      <c r="A345" s="79" t="n">
        <v>24685</v>
      </c>
      <c r="B345" t="n">
        <v>59.7</v>
      </c>
      <c r="C345" t="n">
        <v>66143</v>
      </c>
      <c r="D345" t="n">
        <v>3.8</v>
      </c>
    </row>
    <row r="346">
      <c r="A346" s="79" t="n">
        <v>24716</v>
      </c>
      <c r="B346" t="n">
        <v>59.7</v>
      </c>
      <c r="C346" t="n">
        <v>66164</v>
      </c>
      <c r="D346" t="n">
        <v>3.8</v>
      </c>
    </row>
    <row r="347">
      <c r="A347" s="79" t="n">
        <v>24746</v>
      </c>
      <c r="B347" t="n">
        <v>59.9</v>
      </c>
      <c r="C347" t="n">
        <v>66225</v>
      </c>
      <c r="D347" t="n">
        <v>4</v>
      </c>
    </row>
    <row r="348">
      <c r="A348" s="79" t="n">
        <v>24777</v>
      </c>
      <c r="B348" t="n">
        <v>59.8</v>
      </c>
      <c r="C348" t="n">
        <v>66703</v>
      </c>
      <c r="D348" t="n">
        <v>3.9</v>
      </c>
    </row>
    <row r="349">
      <c r="A349" s="79" t="n">
        <v>24807</v>
      </c>
      <c r="B349" t="n">
        <v>59.9</v>
      </c>
      <c r="C349" t="n">
        <v>66900</v>
      </c>
      <c r="D349" t="n">
        <v>3.8</v>
      </c>
    </row>
    <row r="350">
      <c r="A350" s="79" t="n">
        <v>24838</v>
      </c>
      <c r="B350" t="n">
        <v>59.2</v>
      </c>
      <c r="C350" t="n">
        <v>66804</v>
      </c>
      <c r="D350" t="n">
        <v>3.7</v>
      </c>
    </row>
    <row r="351">
      <c r="A351" s="79" t="n">
        <v>24869</v>
      </c>
      <c r="B351" t="n">
        <v>59.6</v>
      </c>
      <c r="C351" t="n">
        <v>67215</v>
      </c>
      <c r="D351" t="n">
        <v>3.8</v>
      </c>
    </row>
    <row r="352">
      <c r="A352" s="79" t="n">
        <v>24898</v>
      </c>
      <c r="B352" t="n">
        <v>59.6</v>
      </c>
      <c r="C352" t="n">
        <v>67295</v>
      </c>
      <c r="D352" t="n">
        <v>3.7</v>
      </c>
    </row>
    <row r="353">
      <c r="A353" s="79" t="n">
        <v>24929</v>
      </c>
      <c r="B353" t="n">
        <v>59.5</v>
      </c>
      <c r="C353" t="n">
        <v>67556</v>
      </c>
      <c r="D353" t="n">
        <v>3.5</v>
      </c>
    </row>
    <row r="354">
      <c r="A354" s="79" t="n">
        <v>24959</v>
      </c>
      <c r="B354" t="n">
        <v>59.9</v>
      </c>
      <c r="C354" t="n">
        <v>67652</v>
      </c>
      <c r="D354" t="n">
        <v>3.5</v>
      </c>
    </row>
    <row r="355">
      <c r="A355" s="79" t="n">
        <v>24990</v>
      </c>
      <c r="B355" t="n">
        <v>60</v>
      </c>
      <c r="C355" t="n">
        <v>67905</v>
      </c>
      <c r="D355" t="n">
        <v>3.7</v>
      </c>
    </row>
    <row r="356">
      <c r="A356" s="79" t="n">
        <v>25020</v>
      </c>
      <c r="B356" t="n">
        <v>59.8</v>
      </c>
      <c r="C356" t="n">
        <v>68126</v>
      </c>
      <c r="D356" t="n">
        <v>3.7</v>
      </c>
    </row>
    <row r="357">
      <c r="A357" s="79" t="n">
        <v>25051</v>
      </c>
      <c r="B357" t="n">
        <v>59.6</v>
      </c>
      <c r="C357" t="n">
        <v>68330</v>
      </c>
      <c r="D357" t="n">
        <v>3.5</v>
      </c>
    </row>
    <row r="358">
      <c r="A358" s="79" t="n">
        <v>25082</v>
      </c>
      <c r="B358" t="n">
        <v>59.5</v>
      </c>
      <c r="C358" t="n">
        <v>68484</v>
      </c>
      <c r="D358" t="n">
        <v>3.4</v>
      </c>
    </row>
    <row r="359">
      <c r="A359" s="79" t="n">
        <v>25112</v>
      </c>
      <c r="B359" t="n">
        <v>59.5</v>
      </c>
      <c r="C359" t="n">
        <v>68721</v>
      </c>
      <c r="D359" t="n">
        <v>3.4</v>
      </c>
    </row>
    <row r="360">
      <c r="A360" s="79" t="n">
        <v>25143</v>
      </c>
      <c r="B360" t="n">
        <v>59.6</v>
      </c>
      <c r="C360" t="n">
        <v>68984</v>
      </c>
      <c r="D360" t="n">
        <v>3.4</v>
      </c>
    </row>
    <row r="361">
      <c r="A361" s="79" t="n">
        <v>25173</v>
      </c>
      <c r="B361" t="n">
        <v>59.7</v>
      </c>
      <c r="C361" t="n">
        <v>69248</v>
      </c>
      <c r="D361" t="n">
        <v>3.4</v>
      </c>
    </row>
    <row r="362">
      <c r="A362" s="79" t="n">
        <v>25204</v>
      </c>
      <c r="B362" t="n">
        <v>59.6</v>
      </c>
      <c r="C362" t="n">
        <v>69439</v>
      </c>
      <c r="D362" t="n">
        <v>3.4</v>
      </c>
    </row>
    <row r="363">
      <c r="A363" s="79" t="n">
        <v>25235</v>
      </c>
      <c r="B363" t="n">
        <v>60</v>
      </c>
      <c r="C363" t="n">
        <v>69699</v>
      </c>
      <c r="D363" t="n">
        <v>3.4</v>
      </c>
    </row>
    <row r="364">
      <c r="A364" s="79" t="n">
        <v>25263</v>
      </c>
      <c r="B364" t="n">
        <v>59.9</v>
      </c>
      <c r="C364" t="n">
        <v>69905</v>
      </c>
      <c r="D364" t="n">
        <v>3.4</v>
      </c>
    </row>
    <row r="365">
      <c r="A365" s="79" t="n">
        <v>25294</v>
      </c>
      <c r="B365" t="n">
        <v>60</v>
      </c>
      <c r="C365" t="n">
        <v>70072</v>
      </c>
      <c r="D365" t="n">
        <v>3.4</v>
      </c>
    </row>
    <row r="366">
      <c r="A366" s="79" t="n">
        <v>25324</v>
      </c>
      <c r="B366" t="n">
        <v>59.8</v>
      </c>
      <c r="C366" t="n">
        <v>70328</v>
      </c>
      <c r="D366" t="n">
        <v>3.4</v>
      </c>
    </row>
    <row r="367">
      <c r="A367" s="79" t="n">
        <v>25355</v>
      </c>
      <c r="B367" t="n">
        <v>60.1</v>
      </c>
      <c r="C367" t="n">
        <v>70636</v>
      </c>
      <c r="D367" t="n">
        <v>3.5</v>
      </c>
    </row>
    <row r="368">
      <c r="A368" s="79" t="n">
        <v>25385</v>
      </c>
      <c r="B368" t="n">
        <v>60.1</v>
      </c>
      <c r="C368" t="n">
        <v>70729</v>
      </c>
      <c r="D368" t="n">
        <v>3.5</v>
      </c>
    </row>
    <row r="369">
      <c r="A369" s="79" t="n">
        <v>25416</v>
      </c>
      <c r="B369" t="n">
        <v>60.3</v>
      </c>
      <c r="C369" t="n">
        <v>71008</v>
      </c>
      <c r="D369" t="n">
        <v>3.5</v>
      </c>
    </row>
    <row r="370">
      <c r="A370" s="79" t="n">
        <v>25447</v>
      </c>
      <c r="B370" t="n">
        <v>60.3</v>
      </c>
      <c r="C370" t="n">
        <v>70914</v>
      </c>
      <c r="D370" t="n">
        <v>3.7</v>
      </c>
    </row>
    <row r="371">
      <c r="A371" s="79" t="n">
        <v>25477</v>
      </c>
      <c r="B371" t="n">
        <v>60.4</v>
      </c>
      <c r="C371" t="n">
        <v>71121</v>
      </c>
      <c r="D371" t="n">
        <v>3.7</v>
      </c>
    </row>
    <row r="372">
      <c r="A372" s="79" t="n">
        <v>25508</v>
      </c>
      <c r="B372" t="n">
        <v>60.2</v>
      </c>
      <c r="C372" t="n">
        <v>71086</v>
      </c>
      <c r="D372" t="n">
        <v>3.5</v>
      </c>
    </row>
    <row r="373">
      <c r="A373" s="79" t="n">
        <v>25538</v>
      </c>
      <c r="B373" t="n">
        <v>60.2</v>
      </c>
      <c r="C373" t="n">
        <v>71241</v>
      </c>
      <c r="D373" t="n">
        <v>3.5</v>
      </c>
    </row>
    <row r="374">
      <c r="A374" s="79" t="n">
        <v>25569</v>
      </c>
      <c r="B374" t="n">
        <v>60.4</v>
      </c>
      <c r="C374" t="n">
        <v>71176</v>
      </c>
      <c r="D374" t="n">
        <v>3.9</v>
      </c>
    </row>
    <row r="375">
      <c r="A375" s="79" t="n">
        <v>25600</v>
      </c>
      <c r="B375" t="n">
        <v>60.4</v>
      </c>
      <c r="C375" t="n">
        <v>71305</v>
      </c>
      <c r="D375" t="n">
        <v>4.2</v>
      </c>
    </row>
    <row r="376">
      <c r="A376" s="79" t="n">
        <v>25628</v>
      </c>
      <c r="B376" t="n">
        <v>60.6</v>
      </c>
      <c r="C376" t="n">
        <v>71451</v>
      </c>
      <c r="D376" t="n">
        <v>4.4</v>
      </c>
    </row>
    <row r="377">
      <c r="A377" s="79" t="n">
        <v>25659</v>
      </c>
      <c r="B377" t="n">
        <v>60.6</v>
      </c>
      <c r="C377" t="n">
        <v>71348</v>
      </c>
      <c r="D377" t="n">
        <v>4.6</v>
      </c>
    </row>
    <row r="378">
      <c r="A378" s="79" t="n">
        <v>25689</v>
      </c>
      <c r="B378" t="n">
        <v>60.3</v>
      </c>
      <c r="C378" t="n">
        <v>71124</v>
      </c>
      <c r="D378" t="n">
        <v>4.8</v>
      </c>
    </row>
    <row r="379">
      <c r="A379" s="79" t="n">
        <v>25720</v>
      </c>
      <c r="B379" t="n">
        <v>60.2</v>
      </c>
      <c r="C379" t="n">
        <v>71029</v>
      </c>
      <c r="D379" t="n">
        <v>4.9</v>
      </c>
    </row>
    <row r="380">
      <c r="A380" s="79" t="n">
        <v>25750</v>
      </c>
      <c r="B380" t="n">
        <v>60.4</v>
      </c>
      <c r="C380" t="n">
        <v>71053</v>
      </c>
      <c r="D380" t="n">
        <v>5</v>
      </c>
    </row>
    <row r="381">
      <c r="A381" s="79" t="n">
        <v>25781</v>
      </c>
      <c r="B381" t="n">
        <v>60.3</v>
      </c>
      <c r="C381" t="n">
        <v>70937</v>
      </c>
      <c r="D381" t="n">
        <v>5.1</v>
      </c>
    </row>
    <row r="382">
      <c r="A382" s="79" t="n">
        <v>25812</v>
      </c>
      <c r="B382" t="n">
        <v>60.2</v>
      </c>
      <c r="C382" t="n">
        <v>70944</v>
      </c>
      <c r="D382" t="n">
        <v>5.4</v>
      </c>
    </row>
    <row r="383">
      <c r="A383" s="79" t="n">
        <v>25842</v>
      </c>
      <c r="B383" t="n">
        <v>60.4</v>
      </c>
      <c r="C383" t="n">
        <v>70521</v>
      </c>
      <c r="D383" t="n">
        <v>5.5</v>
      </c>
    </row>
    <row r="384">
      <c r="A384" s="79" t="n">
        <v>25873</v>
      </c>
      <c r="B384" t="n">
        <v>60.4</v>
      </c>
      <c r="C384" t="n">
        <v>70409</v>
      </c>
      <c r="D384" t="n">
        <v>5.9</v>
      </c>
    </row>
    <row r="385">
      <c r="A385" s="79" t="n">
        <v>25903</v>
      </c>
      <c r="B385" t="n">
        <v>60.4</v>
      </c>
      <c r="C385" t="n">
        <v>70792</v>
      </c>
      <c r="D385" t="n">
        <v>6.1</v>
      </c>
    </row>
    <row r="386">
      <c r="A386" s="79" t="n">
        <v>25934</v>
      </c>
      <c r="B386" t="n">
        <v>60.4</v>
      </c>
      <c r="C386" t="n">
        <v>70865</v>
      </c>
      <c r="D386" t="n">
        <v>5.9</v>
      </c>
    </row>
    <row r="387">
      <c r="A387" s="79" t="n">
        <v>25965</v>
      </c>
      <c r="B387" t="n">
        <v>60.1</v>
      </c>
      <c r="C387" t="n">
        <v>70807</v>
      </c>
      <c r="D387" t="n">
        <v>5.9</v>
      </c>
    </row>
    <row r="388">
      <c r="A388" s="79" t="n">
        <v>25993</v>
      </c>
      <c r="B388" t="n">
        <v>60</v>
      </c>
      <c r="C388" t="n">
        <v>70860</v>
      </c>
      <c r="D388" t="n">
        <v>6</v>
      </c>
    </row>
    <row r="389">
      <c r="A389" s="79" t="n">
        <v>26024</v>
      </c>
      <c r="B389" t="n">
        <v>60.1</v>
      </c>
      <c r="C389" t="n">
        <v>71036</v>
      </c>
      <c r="D389" t="n">
        <v>5.9</v>
      </c>
    </row>
    <row r="390">
      <c r="A390" s="79" t="n">
        <v>26054</v>
      </c>
      <c r="B390" t="n">
        <v>60.2</v>
      </c>
      <c r="C390" t="n">
        <v>71247</v>
      </c>
      <c r="D390" t="n">
        <v>5.9</v>
      </c>
    </row>
    <row r="391">
      <c r="A391" s="79" t="n">
        <v>26085</v>
      </c>
      <c r="B391" t="n">
        <v>59.8</v>
      </c>
      <c r="C391" t="n">
        <v>71254</v>
      </c>
      <c r="D391" t="n">
        <v>5.9</v>
      </c>
    </row>
    <row r="392">
      <c r="A392" s="79" t="n">
        <v>26115</v>
      </c>
      <c r="B392" t="n">
        <v>60.1</v>
      </c>
      <c r="C392" t="n">
        <v>71315</v>
      </c>
      <c r="D392" t="n">
        <v>6</v>
      </c>
    </row>
    <row r="393">
      <c r="A393" s="79" t="n">
        <v>26146</v>
      </c>
      <c r="B393" t="n">
        <v>60.2</v>
      </c>
      <c r="C393" t="n">
        <v>71373</v>
      </c>
      <c r="D393" t="n">
        <v>6.1</v>
      </c>
    </row>
    <row r="394">
      <c r="A394" s="79" t="n">
        <v>26177</v>
      </c>
      <c r="B394" t="n">
        <v>60.1</v>
      </c>
      <c r="C394" t="n">
        <v>71614</v>
      </c>
      <c r="D394" t="n">
        <v>6</v>
      </c>
    </row>
    <row r="395">
      <c r="A395" s="79" t="n">
        <v>26207</v>
      </c>
      <c r="B395" t="n">
        <v>60.1</v>
      </c>
      <c r="C395" t="n">
        <v>71642</v>
      </c>
      <c r="D395" t="n">
        <v>5.8</v>
      </c>
    </row>
    <row r="396">
      <c r="A396" s="79" t="n">
        <v>26238</v>
      </c>
      <c r="B396" t="n">
        <v>60.4</v>
      </c>
      <c r="C396" t="n">
        <v>71847</v>
      </c>
      <c r="D396" t="n">
        <v>6</v>
      </c>
    </row>
    <row r="397">
      <c r="A397" s="79" t="n">
        <v>26268</v>
      </c>
      <c r="B397" t="n">
        <v>60.4</v>
      </c>
      <c r="C397" t="n">
        <v>72109</v>
      </c>
      <c r="D397" t="n">
        <v>6</v>
      </c>
    </row>
    <row r="398">
      <c r="A398" s="79" t="n">
        <v>26299</v>
      </c>
      <c r="B398" t="n">
        <v>60.2</v>
      </c>
      <c r="C398" t="n">
        <v>72441</v>
      </c>
      <c r="D398" t="n">
        <v>5.8</v>
      </c>
    </row>
    <row r="399">
      <c r="A399" s="79" t="n">
        <v>26330</v>
      </c>
      <c r="B399" t="n">
        <v>60.2</v>
      </c>
      <c r="C399" t="n">
        <v>72648</v>
      </c>
      <c r="D399" t="n">
        <v>5.7</v>
      </c>
    </row>
    <row r="400">
      <c r="A400" s="79" t="n">
        <v>26359</v>
      </c>
      <c r="B400" t="n">
        <v>60.5</v>
      </c>
      <c r="C400" t="n">
        <v>72944</v>
      </c>
      <c r="D400" t="n">
        <v>5.8</v>
      </c>
    </row>
    <row r="401">
      <c r="A401" s="79" t="n">
        <v>26390</v>
      </c>
      <c r="B401" t="n">
        <v>60.4</v>
      </c>
      <c r="C401" t="n">
        <v>73162</v>
      </c>
      <c r="D401" t="n">
        <v>5.7</v>
      </c>
    </row>
    <row r="402">
      <c r="A402" s="79" t="n">
        <v>26420</v>
      </c>
      <c r="B402" t="n">
        <v>60.4</v>
      </c>
      <c r="C402" t="n">
        <v>73469</v>
      </c>
      <c r="D402" t="n">
        <v>5.7</v>
      </c>
    </row>
    <row r="403">
      <c r="A403" s="79" t="n">
        <v>26451</v>
      </c>
      <c r="B403" t="n">
        <v>60.4</v>
      </c>
      <c r="C403" t="n">
        <v>73758</v>
      </c>
      <c r="D403" t="n">
        <v>5.7</v>
      </c>
    </row>
    <row r="404">
      <c r="A404" s="79" t="n">
        <v>26481</v>
      </c>
      <c r="B404" t="n">
        <v>60.4</v>
      </c>
      <c r="C404" t="n">
        <v>73709</v>
      </c>
      <c r="D404" t="n">
        <v>5.6</v>
      </c>
    </row>
    <row r="405">
      <c r="A405" s="79" t="n">
        <v>26512</v>
      </c>
      <c r="B405" t="n">
        <v>60.6</v>
      </c>
      <c r="C405" t="n">
        <v>74141</v>
      </c>
      <c r="D405" t="n">
        <v>5.6</v>
      </c>
    </row>
    <row r="406">
      <c r="A406" s="79" t="n">
        <v>26543</v>
      </c>
      <c r="B406" t="n">
        <v>60.4</v>
      </c>
      <c r="C406" t="n">
        <v>74264</v>
      </c>
      <c r="D406" t="n">
        <v>5.5</v>
      </c>
    </row>
    <row r="407">
      <c r="A407" s="79" t="n">
        <v>26573</v>
      </c>
      <c r="B407" t="n">
        <v>60.3</v>
      </c>
      <c r="C407" t="n">
        <v>74674</v>
      </c>
      <c r="D407" t="n">
        <v>5.6</v>
      </c>
    </row>
    <row r="408">
      <c r="A408" s="79" t="n">
        <v>26604</v>
      </c>
      <c r="B408" t="n">
        <v>60.3</v>
      </c>
      <c r="C408" t="n">
        <v>74973</v>
      </c>
      <c r="D408" t="n">
        <v>5.3</v>
      </c>
    </row>
    <row r="409">
      <c r="A409" s="79" t="n">
        <v>26634</v>
      </c>
      <c r="B409" t="n">
        <v>60.5</v>
      </c>
      <c r="C409" t="n">
        <v>75268</v>
      </c>
      <c r="D409" t="n">
        <v>5.2</v>
      </c>
    </row>
    <row r="410">
      <c r="A410" s="79" t="n">
        <v>26665</v>
      </c>
      <c r="B410" t="n">
        <v>60</v>
      </c>
      <c r="C410" t="n">
        <v>75617</v>
      </c>
      <c r="D410" t="n">
        <v>4.9</v>
      </c>
    </row>
    <row r="411">
      <c r="A411" s="79" t="n">
        <v>26696</v>
      </c>
      <c r="B411" t="n">
        <v>60.5</v>
      </c>
      <c r="C411" t="n">
        <v>76014</v>
      </c>
      <c r="D411" t="n">
        <v>5</v>
      </c>
    </row>
    <row r="412">
      <c r="A412" s="79" t="n">
        <v>26724</v>
      </c>
      <c r="B412" t="n">
        <v>60.8</v>
      </c>
      <c r="C412" t="n">
        <v>76284</v>
      </c>
      <c r="D412" t="n">
        <v>4.9</v>
      </c>
    </row>
    <row r="413">
      <c r="A413" s="79" t="n">
        <v>26755</v>
      </c>
      <c r="B413" t="n">
        <v>60.8</v>
      </c>
      <c r="C413" t="n">
        <v>76455</v>
      </c>
      <c r="D413" t="n">
        <v>5</v>
      </c>
    </row>
    <row r="414">
      <c r="A414" s="79" t="n">
        <v>26785</v>
      </c>
      <c r="B414" t="n">
        <v>60.6</v>
      </c>
      <c r="C414" t="n">
        <v>76648</v>
      </c>
      <c r="D414" t="n">
        <v>4.9</v>
      </c>
    </row>
    <row r="415">
      <c r="A415" s="79" t="n">
        <v>26816</v>
      </c>
      <c r="B415" t="n">
        <v>60.9</v>
      </c>
      <c r="C415" t="n">
        <v>76887</v>
      </c>
      <c r="D415" t="n">
        <v>4.9</v>
      </c>
    </row>
    <row r="416">
      <c r="A416" s="79" t="n">
        <v>26846</v>
      </c>
      <c r="B416" t="n">
        <v>60.9</v>
      </c>
      <c r="C416" t="n">
        <v>76913</v>
      </c>
      <c r="D416" t="n">
        <v>4.8</v>
      </c>
    </row>
    <row r="417">
      <c r="A417" s="79" t="n">
        <v>26877</v>
      </c>
      <c r="B417" t="n">
        <v>60.7</v>
      </c>
      <c r="C417" t="n">
        <v>77168</v>
      </c>
      <c r="D417" t="n">
        <v>4.8</v>
      </c>
    </row>
    <row r="418">
      <c r="A418" s="79" t="n">
        <v>26908</v>
      </c>
      <c r="B418" t="n">
        <v>60.8</v>
      </c>
      <c r="C418" t="n">
        <v>77276</v>
      </c>
      <c r="D418" t="n">
        <v>4.8</v>
      </c>
    </row>
    <row r="419">
      <c r="A419" s="79" t="n">
        <v>26938</v>
      </c>
      <c r="B419" t="n">
        <v>60.9</v>
      </c>
      <c r="C419" t="n">
        <v>77607</v>
      </c>
      <c r="D419" t="n">
        <v>4.6</v>
      </c>
    </row>
    <row r="420">
      <c r="A420" s="79" t="n">
        <v>26969</v>
      </c>
      <c r="B420" t="n">
        <v>61.2</v>
      </c>
      <c r="C420" t="n">
        <v>77920</v>
      </c>
      <c r="D420" t="n">
        <v>4.8</v>
      </c>
    </row>
    <row r="421">
      <c r="A421" s="79" t="n">
        <v>26999</v>
      </c>
      <c r="B421" t="n">
        <v>61.2</v>
      </c>
      <c r="C421" t="n">
        <v>78031</v>
      </c>
      <c r="D421" t="n">
        <v>4.9</v>
      </c>
    </row>
    <row r="422">
      <c r="A422" s="79" t="n">
        <v>27030</v>
      </c>
      <c r="B422" t="n">
        <v>61.3</v>
      </c>
      <c r="C422" t="n">
        <v>78100</v>
      </c>
      <c r="D422" t="n">
        <v>5.1</v>
      </c>
    </row>
    <row r="423">
      <c r="A423" s="79" t="n">
        <v>27061</v>
      </c>
      <c r="B423" t="n">
        <v>61.4</v>
      </c>
      <c r="C423" t="n">
        <v>78254</v>
      </c>
      <c r="D423" t="n">
        <v>5.2</v>
      </c>
    </row>
    <row r="424">
      <c r="A424" s="79" t="n">
        <v>27089</v>
      </c>
      <c r="B424" t="n">
        <v>61.3</v>
      </c>
      <c r="C424" t="n">
        <v>78296</v>
      </c>
      <c r="D424" t="n">
        <v>5.1</v>
      </c>
    </row>
    <row r="425">
      <c r="A425" s="79" t="n">
        <v>27120</v>
      </c>
      <c r="B425" t="n">
        <v>61.1</v>
      </c>
      <c r="C425" t="n">
        <v>78382</v>
      </c>
      <c r="D425" t="n">
        <v>5.1</v>
      </c>
    </row>
    <row r="426">
      <c r="A426" s="79" t="n">
        <v>27150</v>
      </c>
      <c r="B426" t="n">
        <v>61.2</v>
      </c>
      <c r="C426" t="n">
        <v>78549</v>
      </c>
      <c r="D426" t="n">
        <v>5.1</v>
      </c>
    </row>
    <row r="427">
      <c r="A427" s="79" t="n">
        <v>27181</v>
      </c>
      <c r="B427" t="n">
        <v>61.2</v>
      </c>
      <c r="C427" t="n">
        <v>78604</v>
      </c>
      <c r="D427" t="n">
        <v>5.4</v>
      </c>
    </row>
    <row r="428">
      <c r="A428" s="79" t="n">
        <v>27211</v>
      </c>
      <c r="B428" t="n">
        <v>61.4</v>
      </c>
      <c r="C428" t="n">
        <v>78636</v>
      </c>
      <c r="D428" t="n">
        <v>5.5</v>
      </c>
    </row>
    <row r="429">
      <c r="A429" s="79" t="n">
        <v>27242</v>
      </c>
      <c r="B429" t="n">
        <v>61.2</v>
      </c>
      <c r="C429" t="n">
        <v>78619</v>
      </c>
      <c r="D429" t="n">
        <v>5.5</v>
      </c>
    </row>
    <row r="430">
      <c r="A430" s="79" t="n">
        <v>27273</v>
      </c>
      <c r="B430" t="n">
        <v>61.4</v>
      </c>
      <c r="C430" t="n">
        <v>78610</v>
      </c>
      <c r="D430" t="n">
        <v>5.9</v>
      </c>
    </row>
    <row r="431">
      <c r="A431" s="79" t="n">
        <v>27303</v>
      </c>
      <c r="B431" t="n">
        <v>61.3</v>
      </c>
      <c r="C431" t="n">
        <v>78630</v>
      </c>
      <c r="D431" t="n">
        <v>6</v>
      </c>
    </row>
    <row r="432">
      <c r="A432" s="79" t="n">
        <v>27334</v>
      </c>
      <c r="B432" t="n">
        <v>61.3</v>
      </c>
      <c r="C432" t="n">
        <v>78265</v>
      </c>
      <c r="D432" t="n">
        <v>6.6</v>
      </c>
    </row>
    <row r="433">
      <c r="A433" s="79" t="n">
        <v>27364</v>
      </c>
      <c r="B433" t="n">
        <v>61.2</v>
      </c>
      <c r="C433" t="n">
        <v>77652</v>
      </c>
      <c r="D433" t="n">
        <v>7.2</v>
      </c>
    </row>
    <row r="434">
      <c r="A434" s="79" t="n">
        <v>27395</v>
      </c>
      <c r="B434" t="n">
        <v>61.4</v>
      </c>
      <c r="C434" t="n">
        <v>77293</v>
      </c>
      <c r="D434" t="n">
        <v>8.1</v>
      </c>
    </row>
    <row r="435">
      <c r="A435" s="79" t="n">
        <v>27426</v>
      </c>
      <c r="B435" t="n">
        <v>61</v>
      </c>
      <c r="C435" t="n">
        <v>76918</v>
      </c>
      <c r="D435" t="n">
        <v>8.1</v>
      </c>
    </row>
    <row r="436">
      <c r="A436" s="79" t="n">
        <v>27454</v>
      </c>
      <c r="B436" t="n">
        <v>61.2</v>
      </c>
      <c r="C436" t="n">
        <v>76648</v>
      </c>
      <c r="D436" t="n">
        <v>8.6</v>
      </c>
    </row>
    <row r="437">
      <c r="A437" s="79" t="n">
        <v>27485</v>
      </c>
      <c r="B437" t="n">
        <v>61.3</v>
      </c>
      <c r="C437" t="n">
        <v>76460</v>
      </c>
      <c r="D437" t="n">
        <v>8.800000000000001</v>
      </c>
    </row>
    <row r="438">
      <c r="A438" s="79" t="n">
        <v>27515</v>
      </c>
      <c r="B438" t="n">
        <v>61.5</v>
      </c>
      <c r="C438" t="n">
        <v>76624</v>
      </c>
      <c r="D438" t="n">
        <v>9</v>
      </c>
    </row>
    <row r="439">
      <c r="A439" s="79" t="n">
        <v>27546</v>
      </c>
      <c r="B439" t="n">
        <v>61.2</v>
      </c>
      <c r="C439" t="n">
        <v>76521</v>
      </c>
      <c r="D439" t="n">
        <v>8.800000000000001</v>
      </c>
    </row>
    <row r="440">
      <c r="A440" s="79" t="n">
        <v>27576</v>
      </c>
      <c r="B440" t="n">
        <v>61.3</v>
      </c>
      <c r="C440" t="n">
        <v>76770</v>
      </c>
      <c r="D440" t="n">
        <v>8.6</v>
      </c>
    </row>
    <row r="441">
      <c r="A441" s="79" t="n">
        <v>27607</v>
      </c>
      <c r="B441" t="n">
        <v>61.3</v>
      </c>
      <c r="C441" t="n">
        <v>77153</v>
      </c>
      <c r="D441" t="n">
        <v>8.4</v>
      </c>
    </row>
    <row r="442">
      <c r="A442" s="79" t="n">
        <v>27638</v>
      </c>
      <c r="B442" t="n">
        <v>61.2</v>
      </c>
      <c r="C442" t="n">
        <v>77228</v>
      </c>
      <c r="D442" t="n">
        <v>8.4</v>
      </c>
    </row>
    <row r="443">
      <c r="A443" s="79" t="n">
        <v>27668</v>
      </c>
      <c r="B443" t="n">
        <v>61.2</v>
      </c>
      <c r="C443" t="n">
        <v>77540</v>
      </c>
      <c r="D443" t="n">
        <v>8.4</v>
      </c>
    </row>
    <row r="444">
      <c r="A444" s="79" t="n">
        <v>27699</v>
      </c>
      <c r="B444" t="n">
        <v>61.1</v>
      </c>
      <c r="C444" t="n">
        <v>77685</v>
      </c>
      <c r="D444" t="n">
        <v>8.300000000000001</v>
      </c>
    </row>
    <row r="445">
      <c r="A445" s="79" t="n">
        <v>27729</v>
      </c>
      <c r="B445" t="n">
        <v>61.1</v>
      </c>
      <c r="C445" t="n">
        <v>78017</v>
      </c>
      <c r="D445" t="n">
        <v>8.199999999999999</v>
      </c>
    </row>
    <row r="446">
      <c r="A446" s="79" t="n">
        <v>27760</v>
      </c>
      <c r="B446" t="n">
        <v>61.3</v>
      </c>
      <c r="C446" t="n">
        <v>78503</v>
      </c>
      <c r="D446" t="n">
        <v>7.9</v>
      </c>
    </row>
    <row r="447">
      <c r="A447" s="79" t="n">
        <v>27791</v>
      </c>
      <c r="B447" t="n">
        <v>61.3</v>
      </c>
      <c r="C447" t="n">
        <v>78816</v>
      </c>
      <c r="D447" t="n">
        <v>7.7</v>
      </c>
    </row>
    <row r="448">
      <c r="A448" s="79" t="n">
        <v>27820</v>
      </c>
      <c r="B448" t="n">
        <v>61.3</v>
      </c>
      <c r="C448" t="n">
        <v>79048</v>
      </c>
      <c r="D448" t="n">
        <v>7.6</v>
      </c>
    </row>
    <row r="449">
      <c r="A449" s="79" t="n">
        <v>27851</v>
      </c>
      <c r="B449" t="n">
        <v>61.6</v>
      </c>
      <c r="C449" t="n">
        <v>79292</v>
      </c>
      <c r="D449" t="n">
        <v>7.7</v>
      </c>
    </row>
    <row r="450">
      <c r="A450" s="79" t="n">
        <v>27881</v>
      </c>
      <c r="B450" t="n">
        <v>61.5</v>
      </c>
      <c r="C450" t="n">
        <v>79312</v>
      </c>
      <c r="D450" t="n">
        <v>7.4</v>
      </c>
    </row>
    <row r="451">
      <c r="A451" s="79" t="n">
        <v>27912</v>
      </c>
      <c r="B451" t="n">
        <v>61.5</v>
      </c>
      <c r="C451" t="n">
        <v>79376</v>
      </c>
      <c r="D451" t="n">
        <v>7.6</v>
      </c>
    </row>
    <row r="452">
      <c r="A452" s="79" t="n">
        <v>27942</v>
      </c>
      <c r="B452" t="n">
        <v>61.8</v>
      </c>
      <c r="C452" t="n">
        <v>79547</v>
      </c>
      <c r="D452" t="n">
        <v>7.8</v>
      </c>
    </row>
    <row r="453">
      <c r="A453" s="79" t="n">
        <v>27973</v>
      </c>
      <c r="B453" t="n">
        <v>61.8</v>
      </c>
      <c r="C453" t="n">
        <v>79704</v>
      </c>
      <c r="D453" t="n">
        <v>7.8</v>
      </c>
    </row>
    <row r="454">
      <c r="A454" s="79" t="n">
        <v>28004</v>
      </c>
      <c r="B454" t="n">
        <v>61.6</v>
      </c>
      <c r="C454" t="n">
        <v>79892</v>
      </c>
      <c r="D454" t="n">
        <v>7.6</v>
      </c>
    </row>
    <row r="455">
      <c r="A455" s="79" t="n">
        <v>28034</v>
      </c>
      <c r="B455" t="n">
        <v>61.6</v>
      </c>
      <c r="C455" t="n">
        <v>79911</v>
      </c>
      <c r="D455" t="n">
        <v>7.7</v>
      </c>
    </row>
    <row r="456">
      <c r="A456" s="79" t="n">
        <v>28065</v>
      </c>
      <c r="B456" t="n">
        <v>61.9</v>
      </c>
      <c r="C456" t="n">
        <v>80240</v>
      </c>
      <c r="D456" t="n">
        <v>7.8</v>
      </c>
    </row>
    <row r="457">
      <c r="A457" s="79" t="n">
        <v>28095</v>
      </c>
      <c r="B457" t="n">
        <v>61.8</v>
      </c>
      <c r="C457" t="n">
        <v>80448</v>
      </c>
      <c r="D457" t="n">
        <v>7.8</v>
      </c>
    </row>
    <row r="458">
      <c r="A458" s="79" t="n">
        <v>28126</v>
      </c>
      <c r="B458" t="n">
        <v>61.6</v>
      </c>
      <c r="C458" t="n">
        <v>80690</v>
      </c>
      <c r="D458" t="n">
        <v>7.5</v>
      </c>
    </row>
    <row r="459">
      <c r="A459" s="79" t="n">
        <v>28157</v>
      </c>
      <c r="B459" t="n">
        <v>61.9</v>
      </c>
      <c r="C459" t="n">
        <v>80988</v>
      </c>
      <c r="D459" t="n">
        <v>7.6</v>
      </c>
    </row>
    <row r="460">
      <c r="A460" s="79" t="n">
        <v>28185</v>
      </c>
      <c r="B460" t="n">
        <v>62</v>
      </c>
      <c r="C460" t="n">
        <v>81391</v>
      </c>
      <c r="D460" t="n">
        <v>7.4</v>
      </c>
    </row>
    <row r="461">
      <c r="A461" s="79" t="n">
        <v>28216</v>
      </c>
      <c r="B461" t="n">
        <v>62.1</v>
      </c>
      <c r="C461" t="n">
        <v>81728</v>
      </c>
      <c r="D461" t="n">
        <v>7.2</v>
      </c>
    </row>
    <row r="462">
      <c r="A462" s="79" t="n">
        <v>28246</v>
      </c>
      <c r="B462" t="n">
        <v>62.2</v>
      </c>
      <c r="C462" t="n">
        <v>82088</v>
      </c>
      <c r="D462" t="n">
        <v>7</v>
      </c>
    </row>
    <row r="463">
      <c r="A463" s="79" t="n">
        <v>28277</v>
      </c>
      <c r="B463" t="n">
        <v>62.4</v>
      </c>
      <c r="C463" t="n">
        <v>82488</v>
      </c>
      <c r="D463" t="n">
        <v>7.2</v>
      </c>
    </row>
    <row r="464">
      <c r="A464" s="79" t="n">
        <v>28307</v>
      </c>
      <c r="B464" t="n">
        <v>62.1</v>
      </c>
      <c r="C464" t="n">
        <v>82834</v>
      </c>
      <c r="D464" t="n">
        <v>6.9</v>
      </c>
    </row>
    <row r="465">
      <c r="A465" s="79" t="n">
        <v>28338</v>
      </c>
      <c r="B465" t="n">
        <v>62.3</v>
      </c>
      <c r="C465" t="n">
        <v>83075</v>
      </c>
      <c r="D465" t="n">
        <v>7</v>
      </c>
    </row>
    <row r="466">
      <c r="A466" s="79" t="n">
        <v>28369</v>
      </c>
      <c r="B466" t="n">
        <v>62.3</v>
      </c>
      <c r="C466" t="n">
        <v>83532</v>
      </c>
      <c r="D466" t="n">
        <v>6.8</v>
      </c>
    </row>
    <row r="467">
      <c r="A467" s="79" t="n">
        <v>28399</v>
      </c>
      <c r="B467" t="n">
        <v>62.4</v>
      </c>
      <c r="C467" t="n">
        <v>83800</v>
      </c>
      <c r="D467" t="n">
        <v>6.8</v>
      </c>
    </row>
    <row r="468">
      <c r="A468" s="79" t="n">
        <v>28430</v>
      </c>
      <c r="B468" t="n">
        <v>62.8</v>
      </c>
      <c r="C468" t="n">
        <v>84173</v>
      </c>
      <c r="D468" t="n">
        <v>6.8</v>
      </c>
    </row>
    <row r="469">
      <c r="A469" s="79" t="n">
        <v>28460</v>
      </c>
      <c r="B469" t="n">
        <v>62.7</v>
      </c>
      <c r="C469" t="n">
        <v>84410</v>
      </c>
      <c r="D469" t="n">
        <v>6.4</v>
      </c>
    </row>
    <row r="470">
      <c r="A470" s="79" t="n">
        <v>28491</v>
      </c>
      <c r="B470" t="n">
        <v>62.8</v>
      </c>
      <c r="C470" t="n">
        <v>84594</v>
      </c>
      <c r="D470" t="n">
        <v>6.4</v>
      </c>
    </row>
    <row r="471">
      <c r="A471" s="79" t="n">
        <v>28522</v>
      </c>
      <c r="B471" t="n">
        <v>62.7</v>
      </c>
      <c r="C471" t="n">
        <v>84948</v>
      </c>
      <c r="D471" t="n">
        <v>6.3</v>
      </c>
    </row>
    <row r="472">
      <c r="A472" s="79" t="n">
        <v>28550</v>
      </c>
      <c r="B472" t="n">
        <v>62.8</v>
      </c>
      <c r="C472" t="n">
        <v>85460</v>
      </c>
      <c r="D472" t="n">
        <v>6.3</v>
      </c>
    </row>
    <row r="473">
      <c r="A473" s="79" t="n">
        <v>28581</v>
      </c>
      <c r="B473" t="n">
        <v>63</v>
      </c>
      <c r="C473" t="n">
        <v>86162</v>
      </c>
      <c r="D473" t="n">
        <v>6.1</v>
      </c>
    </row>
    <row r="474">
      <c r="A474" s="79" t="n">
        <v>28611</v>
      </c>
      <c r="B474" t="n">
        <v>63.1</v>
      </c>
      <c r="C474" t="n">
        <v>86509</v>
      </c>
      <c r="D474" t="n">
        <v>6</v>
      </c>
    </row>
    <row r="475">
      <c r="A475" s="79" t="n">
        <v>28642</v>
      </c>
      <c r="B475" t="n">
        <v>63.3</v>
      </c>
      <c r="C475" t="n">
        <v>86950</v>
      </c>
      <c r="D475" t="n">
        <v>5.9</v>
      </c>
    </row>
    <row r="476">
      <c r="A476" s="79" t="n">
        <v>28672</v>
      </c>
      <c r="B476" t="n">
        <v>63.2</v>
      </c>
      <c r="C476" t="n">
        <v>87204</v>
      </c>
      <c r="D476" t="n">
        <v>6.2</v>
      </c>
    </row>
    <row r="477">
      <c r="A477" s="79" t="n">
        <v>28703</v>
      </c>
      <c r="B477" t="n">
        <v>63.2</v>
      </c>
      <c r="C477" t="n">
        <v>87483</v>
      </c>
      <c r="D477" t="n">
        <v>5.9</v>
      </c>
    </row>
    <row r="478">
      <c r="A478" s="79" t="n">
        <v>28734</v>
      </c>
      <c r="B478" t="n">
        <v>63.3</v>
      </c>
      <c r="C478" t="n">
        <v>87621</v>
      </c>
      <c r="D478" t="n">
        <v>6</v>
      </c>
    </row>
    <row r="479">
      <c r="A479" s="79" t="n">
        <v>28764</v>
      </c>
      <c r="B479" t="n">
        <v>63.3</v>
      </c>
      <c r="C479" t="n">
        <v>87956</v>
      </c>
      <c r="D479" t="n">
        <v>5.8</v>
      </c>
    </row>
    <row r="480">
      <c r="A480" s="79" t="n">
        <v>28795</v>
      </c>
      <c r="B480" t="n">
        <v>63.5</v>
      </c>
      <c r="C480" t="n">
        <v>88391</v>
      </c>
      <c r="D480" t="n">
        <v>5.9</v>
      </c>
    </row>
    <row r="481">
      <c r="A481" s="79" t="n">
        <v>28825</v>
      </c>
      <c r="B481" t="n">
        <v>63.6</v>
      </c>
      <c r="C481" t="n">
        <v>88671</v>
      </c>
      <c r="D481" t="n">
        <v>6</v>
      </c>
    </row>
    <row r="482">
      <c r="A482" s="79" t="n">
        <v>28856</v>
      </c>
      <c r="B482" t="n">
        <v>63.6</v>
      </c>
      <c r="C482" t="n">
        <v>88808</v>
      </c>
      <c r="D482" t="n">
        <v>5.9</v>
      </c>
    </row>
    <row r="483">
      <c r="A483" s="79" t="n">
        <v>28887</v>
      </c>
      <c r="B483" t="n">
        <v>63.8</v>
      </c>
      <c r="C483" t="n">
        <v>89055</v>
      </c>
      <c r="D483" t="n">
        <v>5.9</v>
      </c>
    </row>
    <row r="484">
      <c r="A484" s="79" t="n">
        <v>28915</v>
      </c>
      <c r="B484" t="n">
        <v>63.8</v>
      </c>
      <c r="C484" t="n">
        <v>89479</v>
      </c>
      <c r="D484" t="n">
        <v>5.8</v>
      </c>
    </row>
    <row r="485">
      <c r="A485" s="79" t="n">
        <v>28946</v>
      </c>
      <c r="B485" t="n">
        <v>63.5</v>
      </c>
      <c r="C485" t="n">
        <v>89417</v>
      </c>
      <c r="D485" t="n">
        <v>5.8</v>
      </c>
    </row>
    <row r="486">
      <c r="A486" s="79" t="n">
        <v>28976</v>
      </c>
      <c r="B486" t="n">
        <v>63.3</v>
      </c>
      <c r="C486" t="n">
        <v>89789</v>
      </c>
      <c r="D486" t="n">
        <v>5.6</v>
      </c>
    </row>
    <row r="487">
      <c r="A487" s="79" t="n">
        <v>29007</v>
      </c>
      <c r="B487" t="n">
        <v>63.5</v>
      </c>
      <c r="C487" t="n">
        <v>90108</v>
      </c>
      <c r="D487" t="n">
        <v>5.7</v>
      </c>
    </row>
    <row r="488">
      <c r="A488" s="79" t="n">
        <v>29037</v>
      </c>
      <c r="B488" t="n">
        <v>63.6</v>
      </c>
      <c r="C488" t="n">
        <v>90217</v>
      </c>
      <c r="D488" t="n">
        <v>5.7</v>
      </c>
    </row>
    <row r="489">
      <c r="A489" s="79" t="n">
        <v>29068</v>
      </c>
      <c r="B489" t="n">
        <v>63.6</v>
      </c>
      <c r="C489" t="n">
        <v>90300</v>
      </c>
      <c r="D489" t="n">
        <v>6</v>
      </c>
    </row>
    <row r="490">
      <c r="A490" s="79" t="n">
        <v>29099</v>
      </c>
      <c r="B490" t="n">
        <v>63.8</v>
      </c>
      <c r="C490" t="n">
        <v>90327</v>
      </c>
      <c r="D490" t="n">
        <v>5.9</v>
      </c>
    </row>
    <row r="491">
      <c r="A491" s="79" t="n">
        <v>29129</v>
      </c>
      <c r="B491" t="n">
        <v>63.7</v>
      </c>
      <c r="C491" t="n">
        <v>90481</v>
      </c>
      <c r="D491" t="n">
        <v>6</v>
      </c>
    </row>
    <row r="492">
      <c r="A492" s="79" t="n">
        <v>29160</v>
      </c>
      <c r="B492" t="n">
        <v>63.7</v>
      </c>
      <c r="C492" t="n">
        <v>90573</v>
      </c>
      <c r="D492" t="n">
        <v>5.9</v>
      </c>
    </row>
    <row r="493">
      <c r="A493" s="79" t="n">
        <v>29190</v>
      </c>
      <c r="B493" t="n">
        <v>63.9</v>
      </c>
      <c r="C493" t="n">
        <v>90672</v>
      </c>
      <c r="D493" t="n">
        <v>6</v>
      </c>
    </row>
    <row r="494">
      <c r="A494" s="79" t="n">
        <v>29221</v>
      </c>
      <c r="B494" t="n">
        <v>64</v>
      </c>
      <c r="C494" t="n">
        <v>90800</v>
      </c>
      <c r="D494" t="n">
        <v>6.3</v>
      </c>
    </row>
    <row r="495">
      <c r="A495" s="79" t="n">
        <v>29252</v>
      </c>
      <c r="B495" t="n">
        <v>64</v>
      </c>
      <c r="C495" t="n">
        <v>90883</v>
      </c>
      <c r="D495" t="n">
        <v>6.3</v>
      </c>
    </row>
    <row r="496">
      <c r="A496" s="79" t="n">
        <v>29281</v>
      </c>
      <c r="B496" t="n">
        <v>63.7</v>
      </c>
      <c r="C496" t="n">
        <v>90994</v>
      </c>
      <c r="D496" t="n">
        <v>6.3</v>
      </c>
    </row>
    <row r="497">
      <c r="A497" s="79" t="n">
        <v>29312</v>
      </c>
      <c r="B497" t="n">
        <v>63.8</v>
      </c>
      <c r="C497" t="n">
        <v>90849</v>
      </c>
      <c r="D497" t="n">
        <v>6.9</v>
      </c>
    </row>
    <row r="498">
      <c r="A498" s="79" t="n">
        <v>29342</v>
      </c>
      <c r="B498" t="n">
        <v>63.9</v>
      </c>
      <c r="C498" t="n">
        <v>90420</v>
      </c>
      <c r="D498" t="n">
        <v>7.5</v>
      </c>
    </row>
    <row r="499">
      <c r="A499" s="79" t="n">
        <v>29373</v>
      </c>
      <c r="B499" t="n">
        <v>63.7</v>
      </c>
      <c r="C499" t="n">
        <v>90101</v>
      </c>
      <c r="D499" t="n">
        <v>7.6</v>
      </c>
    </row>
    <row r="500">
      <c r="A500" s="79" t="n">
        <v>29403</v>
      </c>
      <c r="B500" t="n">
        <v>63.8</v>
      </c>
      <c r="C500" t="n">
        <v>89840</v>
      </c>
      <c r="D500" t="n">
        <v>7.8</v>
      </c>
    </row>
    <row r="501">
      <c r="A501" s="79" t="n">
        <v>29434</v>
      </c>
      <c r="B501" t="n">
        <v>63.7</v>
      </c>
      <c r="C501" t="n">
        <v>90099</v>
      </c>
      <c r="D501" t="n">
        <v>7.7</v>
      </c>
    </row>
    <row r="502">
      <c r="A502" s="79" t="n">
        <v>29465</v>
      </c>
      <c r="B502" t="n">
        <v>63.6</v>
      </c>
      <c r="C502" t="n">
        <v>90213</v>
      </c>
      <c r="D502" t="n">
        <v>7.5</v>
      </c>
    </row>
    <row r="503">
      <c r="A503" s="79" t="n">
        <v>29495</v>
      </c>
      <c r="B503" t="n">
        <v>63.7</v>
      </c>
      <c r="C503" t="n">
        <v>90490</v>
      </c>
      <c r="D503" t="n">
        <v>7.5</v>
      </c>
    </row>
    <row r="504">
      <c r="A504" s="79" t="n">
        <v>29526</v>
      </c>
      <c r="B504" t="n">
        <v>63.8</v>
      </c>
      <c r="C504" t="n">
        <v>90747</v>
      </c>
      <c r="D504" t="n">
        <v>7.5</v>
      </c>
    </row>
    <row r="505">
      <c r="A505" s="79" t="n">
        <v>29556</v>
      </c>
      <c r="B505" t="n">
        <v>63.6</v>
      </c>
      <c r="C505" t="n">
        <v>90943</v>
      </c>
      <c r="D505" t="n">
        <v>7.2</v>
      </c>
    </row>
    <row r="506">
      <c r="A506" s="79" t="n">
        <v>29587</v>
      </c>
      <c r="B506" t="n">
        <v>63.9</v>
      </c>
      <c r="C506" t="n">
        <v>91033</v>
      </c>
      <c r="D506" t="n">
        <v>7.5</v>
      </c>
    </row>
    <row r="507">
      <c r="A507" s="79" t="n">
        <v>29618</v>
      </c>
      <c r="B507" t="n">
        <v>63.9</v>
      </c>
      <c r="C507" t="n">
        <v>91105</v>
      </c>
      <c r="D507" t="n">
        <v>7.4</v>
      </c>
    </row>
    <row r="508">
      <c r="A508" s="79" t="n">
        <v>29646</v>
      </c>
      <c r="B508" t="n">
        <v>64.09999999999999</v>
      </c>
      <c r="C508" t="n">
        <v>91210</v>
      </c>
      <c r="D508" t="n">
        <v>7.4</v>
      </c>
    </row>
    <row r="509">
      <c r="A509" s="79" t="n">
        <v>29677</v>
      </c>
      <c r="B509" t="n">
        <v>64.2</v>
      </c>
      <c r="C509" t="n">
        <v>91283</v>
      </c>
      <c r="D509" t="n">
        <v>7.2</v>
      </c>
    </row>
    <row r="510">
      <c r="A510" s="79" t="n">
        <v>29707</v>
      </c>
      <c r="B510" t="n">
        <v>64.3</v>
      </c>
      <c r="C510" t="n">
        <v>91296</v>
      </c>
      <c r="D510" t="n">
        <v>7.5</v>
      </c>
    </row>
    <row r="511">
      <c r="A511" s="79" t="n">
        <v>29738</v>
      </c>
      <c r="B511" t="n">
        <v>63.7</v>
      </c>
      <c r="C511" t="n">
        <v>91490</v>
      </c>
      <c r="D511" t="n">
        <v>7.5</v>
      </c>
    </row>
    <row r="512">
      <c r="A512" s="79" t="n">
        <v>29768</v>
      </c>
      <c r="B512" t="n">
        <v>63.8</v>
      </c>
      <c r="C512" t="n">
        <v>91601</v>
      </c>
      <c r="D512" t="n">
        <v>7.2</v>
      </c>
    </row>
    <row r="513">
      <c r="A513" s="79" t="n">
        <v>29799</v>
      </c>
      <c r="B513" t="n">
        <v>63.8</v>
      </c>
      <c r="C513" t="n">
        <v>91565</v>
      </c>
      <c r="D513" t="n">
        <v>7.4</v>
      </c>
    </row>
    <row r="514">
      <c r="A514" s="79" t="n">
        <v>29830</v>
      </c>
      <c r="B514" t="n">
        <v>63.5</v>
      </c>
      <c r="C514" t="n">
        <v>91477</v>
      </c>
      <c r="D514" t="n">
        <v>7.6</v>
      </c>
    </row>
    <row r="515">
      <c r="A515" s="79" t="n">
        <v>29860</v>
      </c>
      <c r="B515" t="n">
        <v>63.8</v>
      </c>
      <c r="C515" t="n">
        <v>91380</v>
      </c>
      <c r="D515" t="n">
        <v>7.9</v>
      </c>
    </row>
    <row r="516">
      <c r="A516" s="79" t="n">
        <v>29891</v>
      </c>
      <c r="B516" t="n">
        <v>63.9</v>
      </c>
      <c r="C516" t="n">
        <v>91171</v>
      </c>
      <c r="D516" t="n">
        <v>8.300000000000001</v>
      </c>
    </row>
    <row r="517">
      <c r="A517" s="79" t="n">
        <v>29921</v>
      </c>
      <c r="B517" t="n">
        <v>63.6</v>
      </c>
      <c r="C517" t="n">
        <v>90895</v>
      </c>
      <c r="D517" t="n">
        <v>8.5</v>
      </c>
    </row>
    <row r="518">
      <c r="A518" s="79" t="n">
        <v>29952</v>
      </c>
      <c r="B518" t="n">
        <v>63.7</v>
      </c>
      <c r="C518" t="n">
        <v>90565</v>
      </c>
      <c r="D518" t="n">
        <v>8.6</v>
      </c>
    </row>
    <row r="519">
      <c r="A519" s="79" t="n">
        <v>29983</v>
      </c>
      <c r="B519" t="n">
        <v>63.8</v>
      </c>
      <c r="C519" t="n">
        <v>90563</v>
      </c>
      <c r="D519" t="n">
        <v>8.9</v>
      </c>
    </row>
    <row r="520">
      <c r="A520" s="79" t="n">
        <v>30011</v>
      </c>
      <c r="B520" t="n">
        <v>63.8</v>
      </c>
      <c r="C520" t="n">
        <v>90434</v>
      </c>
      <c r="D520" t="n">
        <v>9</v>
      </c>
    </row>
    <row r="521">
      <c r="A521" s="79" t="n">
        <v>30042</v>
      </c>
      <c r="B521" t="n">
        <v>63.9</v>
      </c>
      <c r="C521" t="n">
        <v>90150</v>
      </c>
      <c r="D521" t="n">
        <v>9.300000000000001</v>
      </c>
    </row>
    <row r="522">
      <c r="A522" s="79" t="n">
        <v>30072</v>
      </c>
      <c r="B522" t="n">
        <v>64.2</v>
      </c>
      <c r="C522" t="n">
        <v>90107</v>
      </c>
      <c r="D522" t="n">
        <v>9.4</v>
      </c>
    </row>
    <row r="523">
      <c r="A523" s="79" t="n">
        <v>30103</v>
      </c>
      <c r="B523" t="n">
        <v>63.9</v>
      </c>
      <c r="C523" t="n">
        <v>89865</v>
      </c>
      <c r="D523" t="n">
        <v>9.6</v>
      </c>
    </row>
    <row r="524">
      <c r="A524" s="79" t="n">
        <v>30133</v>
      </c>
      <c r="B524" t="n">
        <v>64</v>
      </c>
      <c r="C524" t="n">
        <v>89521</v>
      </c>
      <c r="D524" t="n">
        <v>9.800000000000001</v>
      </c>
    </row>
    <row r="525">
      <c r="A525" s="79" t="n">
        <v>30164</v>
      </c>
      <c r="B525" t="n">
        <v>64.09999999999999</v>
      </c>
      <c r="C525" t="n">
        <v>89363</v>
      </c>
      <c r="D525" t="n">
        <v>9.800000000000001</v>
      </c>
    </row>
    <row r="526">
      <c r="A526" s="79" t="n">
        <v>30195</v>
      </c>
      <c r="B526" t="n">
        <v>64.09999999999999</v>
      </c>
      <c r="C526" t="n">
        <v>89183</v>
      </c>
      <c r="D526" t="n">
        <v>10.1</v>
      </c>
    </row>
    <row r="527">
      <c r="A527" s="79" t="n">
        <v>30225</v>
      </c>
      <c r="B527" t="n">
        <v>64.09999999999999</v>
      </c>
      <c r="C527" t="n">
        <v>88907</v>
      </c>
      <c r="D527" t="n">
        <v>10.4</v>
      </c>
    </row>
    <row r="528">
      <c r="A528" s="79" t="n">
        <v>30256</v>
      </c>
      <c r="B528" t="n">
        <v>64.2</v>
      </c>
      <c r="C528" t="n">
        <v>88786</v>
      </c>
      <c r="D528" t="n">
        <v>10.8</v>
      </c>
    </row>
    <row r="529">
      <c r="A529" s="79" t="n">
        <v>30286</v>
      </c>
      <c r="B529" t="n">
        <v>64.09999999999999</v>
      </c>
      <c r="C529" t="n">
        <v>88771</v>
      </c>
      <c r="D529" t="n">
        <v>10.8</v>
      </c>
    </row>
    <row r="530">
      <c r="A530" s="79" t="n">
        <v>30317</v>
      </c>
      <c r="B530" t="n">
        <v>63.9</v>
      </c>
      <c r="C530" t="n">
        <v>88990</v>
      </c>
      <c r="D530" t="n">
        <v>10.4</v>
      </c>
    </row>
    <row r="531">
      <c r="A531" s="79" t="n">
        <v>30348</v>
      </c>
      <c r="B531" t="n">
        <v>63.8</v>
      </c>
      <c r="C531" t="n">
        <v>88917</v>
      </c>
      <c r="D531" t="n">
        <v>10.4</v>
      </c>
    </row>
    <row r="532">
      <c r="A532" s="79" t="n">
        <v>30376</v>
      </c>
      <c r="B532" t="n">
        <v>63.7</v>
      </c>
      <c r="C532" t="n">
        <v>89090</v>
      </c>
      <c r="D532" t="n">
        <v>10.3</v>
      </c>
    </row>
    <row r="533">
      <c r="A533" s="79" t="n">
        <v>30407</v>
      </c>
      <c r="B533" t="n">
        <v>63.8</v>
      </c>
      <c r="C533" t="n">
        <v>89364</v>
      </c>
      <c r="D533" t="n">
        <v>10.2</v>
      </c>
    </row>
    <row r="534">
      <c r="A534" s="79" t="n">
        <v>30437</v>
      </c>
      <c r="B534" t="n">
        <v>63.7</v>
      </c>
      <c r="C534" t="n">
        <v>89644</v>
      </c>
      <c r="D534" t="n">
        <v>10.1</v>
      </c>
    </row>
    <row r="535">
      <c r="A535" s="79" t="n">
        <v>30468</v>
      </c>
      <c r="B535" t="n">
        <v>64.3</v>
      </c>
      <c r="C535" t="n">
        <v>90021</v>
      </c>
      <c r="D535" t="n">
        <v>10.1</v>
      </c>
    </row>
    <row r="536">
      <c r="A536" s="79" t="n">
        <v>30498</v>
      </c>
      <c r="B536" t="n">
        <v>64.09999999999999</v>
      </c>
      <c r="C536" t="n">
        <v>90437</v>
      </c>
      <c r="D536" t="n">
        <v>9.4</v>
      </c>
    </row>
    <row r="537">
      <c r="A537" s="79" t="n">
        <v>30529</v>
      </c>
      <c r="B537" t="n">
        <v>64.3</v>
      </c>
      <c r="C537" t="n">
        <v>90129</v>
      </c>
      <c r="D537" t="n">
        <v>9.5</v>
      </c>
    </row>
    <row r="538">
      <c r="A538" s="79" t="n">
        <v>30560</v>
      </c>
      <c r="B538" t="n">
        <v>64.3</v>
      </c>
      <c r="C538" t="n">
        <v>91247</v>
      </c>
      <c r="D538" t="n">
        <v>9.199999999999999</v>
      </c>
    </row>
    <row r="539">
      <c r="A539" s="79" t="n">
        <v>30590</v>
      </c>
      <c r="B539" t="n">
        <v>64</v>
      </c>
      <c r="C539" t="n">
        <v>91520</v>
      </c>
      <c r="D539" t="n">
        <v>8.800000000000001</v>
      </c>
    </row>
    <row r="540">
      <c r="A540" s="79" t="n">
        <v>30621</v>
      </c>
      <c r="B540" t="n">
        <v>64.09999999999999</v>
      </c>
      <c r="C540" t="n">
        <v>91875</v>
      </c>
      <c r="D540" t="n">
        <v>8.5</v>
      </c>
    </row>
    <row r="541">
      <c r="A541" s="79" t="n">
        <v>30651</v>
      </c>
      <c r="B541" t="n">
        <v>64.09999999999999</v>
      </c>
      <c r="C541" t="n">
        <v>92230</v>
      </c>
      <c r="D541" t="n">
        <v>8.300000000000001</v>
      </c>
    </row>
    <row r="542">
      <c r="A542" s="79" t="n">
        <v>30682</v>
      </c>
      <c r="B542" t="n">
        <v>63.9</v>
      </c>
      <c r="C542" t="n">
        <v>92673</v>
      </c>
      <c r="D542" t="n">
        <v>8</v>
      </c>
    </row>
    <row r="543">
      <c r="A543" s="79" t="n">
        <v>30713</v>
      </c>
      <c r="B543" t="n">
        <v>64.09999999999999</v>
      </c>
      <c r="C543" t="n">
        <v>93157</v>
      </c>
      <c r="D543" t="n">
        <v>7.8</v>
      </c>
    </row>
    <row r="544">
      <c r="A544" s="79" t="n">
        <v>30742</v>
      </c>
      <c r="B544" t="n">
        <v>64.09999999999999</v>
      </c>
      <c r="C544" t="n">
        <v>93429</v>
      </c>
      <c r="D544" t="n">
        <v>7.8</v>
      </c>
    </row>
    <row r="545">
      <c r="A545" s="79" t="n">
        <v>30773</v>
      </c>
      <c r="B545" t="n">
        <v>64.3</v>
      </c>
      <c r="C545" t="n">
        <v>93792</v>
      </c>
      <c r="D545" t="n">
        <v>7.7</v>
      </c>
    </row>
    <row r="546">
      <c r="A546" s="79" t="n">
        <v>30803</v>
      </c>
      <c r="B546" t="n">
        <v>64.5</v>
      </c>
      <c r="C546" t="n">
        <v>94098</v>
      </c>
      <c r="D546" t="n">
        <v>7.4</v>
      </c>
    </row>
    <row r="547">
      <c r="A547" s="79" t="n">
        <v>30834</v>
      </c>
      <c r="B547" t="n">
        <v>64.59999999999999</v>
      </c>
      <c r="C547" t="n">
        <v>94479</v>
      </c>
      <c r="D547" t="n">
        <v>7.2</v>
      </c>
    </row>
    <row r="548">
      <c r="A548" s="79" t="n">
        <v>30864</v>
      </c>
      <c r="B548" t="n">
        <v>64.59999999999999</v>
      </c>
      <c r="C548" t="n">
        <v>94789</v>
      </c>
      <c r="D548" t="n">
        <v>7.5</v>
      </c>
    </row>
    <row r="549">
      <c r="A549" s="79" t="n">
        <v>30895</v>
      </c>
      <c r="B549" t="n">
        <v>64.40000000000001</v>
      </c>
      <c r="C549" t="n">
        <v>95032</v>
      </c>
      <c r="D549" t="n">
        <v>7.5</v>
      </c>
    </row>
    <row r="550">
      <c r="A550" s="79" t="n">
        <v>30926</v>
      </c>
      <c r="B550" t="n">
        <v>64.40000000000001</v>
      </c>
      <c r="C550" t="n">
        <v>95344</v>
      </c>
      <c r="D550" t="n">
        <v>7.3</v>
      </c>
    </row>
    <row r="551">
      <c r="A551" s="79" t="n">
        <v>30956</v>
      </c>
      <c r="B551" t="n">
        <v>64.40000000000001</v>
      </c>
      <c r="C551" t="n">
        <v>95629</v>
      </c>
      <c r="D551" t="n">
        <v>7.4</v>
      </c>
    </row>
    <row r="552">
      <c r="A552" s="79" t="n">
        <v>30987</v>
      </c>
      <c r="B552" t="n">
        <v>64.5</v>
      </c>
      <c r="C552" t="n">
        <v>95982</v>
      </c>
      <c r="D552" t="n">
        <v>7.2</v>
      </c>
    </row>
    <row r="553">
      <c r="A553" s="79" t="n">
        <v>31017</v>
      </c>
      <c r="B553" t="n">
        <v>64.59999999999999</v>
      </c>
      <c r="C553" t="n">
        <v>96107</v>
      </c>
      <c r="D553" t="n">
        <v>7.3</v>
      </c>
    </row>
    <row r="554">
      <c r="A554" s="79" t="n">
        <v>31048</v>
      </c>
      <c r="B554" t="n">
        <v>64.7</v>
      </c>
      <c r="C554" t="n">
        <v>96372</v>
      </c>
      <c r="D554" t="n">
        <v>7.3</v>
      </c>
    </row>
    <row r="555">
      <c r="A555" s="79" t="n">
        <v>31079</v>
      </c>
      <c r="B555" t="n">
        <v>64.7</v>
      </c>
      <c r="C555" t="n">
        <v>96503</v>
      </c>
      <c r="D555" t="n">
        <v>7.2</v>
      </c>
    </row>
    <row r="556">
      <c r="A556" s="79" t="n">
        <v>31107</v>
      </c>
      <c r="B556" t="n">
        <v>64.90000000000001</v>
      </c>
      <c r="C556" t="n">
        <v>96842</v>
      </c>
      <c r="D556" t="n">
        <v>7.2</v>
      </c>
    </row>
    <row r="557">
      <c r="A557" s="79" t="n">
        <v>31138</v>
      </c>
      <c r="B557" t="n">
        <v>64.90000000000001</v>
      </c>
      <c r="C557" t="n">
        <v>97038</v>
      </c>
      <c r="D557" t="n">
        <v>7.3</v>
      </c>
    </row>
    <row r="558">
      <c r="A558" s="79" t="n">
        <v>31168</v>
      </c>
      <c r="B558" t="n">
        <v>64.8</v>
      </c>
      <c r="C558" t="n">
        <v>97312</v>
      </c>
      <c r="D558" t="n">
        <v>7.2</v>
      </c>
    </row>
    <row r="559">
      <c r="A559" s="79" t="n">
        <v>31199</v>
      </c>
      <c r="B559" t="n">
        <v>64.59999999999999</v>
      </c>
      <c r="C559" t="n">
        <v>97459</v>
      </c>
      <c r="D559" t="n">
        <v>7.4</v>
      </c>
    </row>
    <row r="560">
      <c r="A560" s="79" t="n">
        <v>31229</v>
      </c>
      <c r="B560" t="n">
        <v>64.7</v>
      </c>
      <c r="C560" t="n">
        <v>97648</v>
      </c>
      <c r="D560" t="n">
        <v>7.4</v>
      </c>
    </row>
    <row r="561">
      <c r="A561" s="79" t="n">
        <v>31260</v>
      </c>
      <c r="B561" t="n">
        <v>64.59999999999999</v>
      </c>
      <c r="C561" t="n">
        <v>97840</v>
      </c>
      <c r="D561" t="n">
        <v>7.1</v>
      </c>
    </row>
    <row r="562">
      <c r="A562" s="79" t="n">
        <v>31291</v>
      </c>
      <c r="B562" t="n">
        <v>64.90000000000001</v>
      </c>
      <c r="C562" t="n">
        <v>98045</v>
      </c>
      <c r="D562" t="n">
        <v>7.1</v>
      </c>
    </row>
    <row r="563">
      <c r="A563" s="79" t="n">
        <v>31321</v>
      </c>
      <c r="B563" t="n">
        <v>65</v>
      </c>
      <c r="C563" t="n">
        <v>98233</v>
      </c>
      <c r="D563" t="n">
        <v>7.1</v>
      </c>
    </row>
    <row r="564">
      <c r="A564" s="79" t="n">
        <v>31352</v>
      </c>
      <c r="B564" t="n">
        <v>64.90000000000001</v>
      </c>
      <c r="C564" t="n">
        <v>98443</v>
      </c>
      <c r="D564" t="n">
        <v>7</v>
      </c>
    </row>
    <row r="565">
      <c r="A565" s="79" t="n">
        <v>31382</v>
      </c>
      <c r="B565" t="n">
        <v>65</v>
      </c>
      <c r="C565" t="n">
        <v>98609</v>
      </c>
      <c r="D565" t="n">
        <v>7</v>
      </c>
    </row>
    <row r="566">
      <c r="A566" s="79" t="n">
        <v>31413</v>
      </c>
      <c r="B566" t="n">
        <v>64.90000000000001</v>
      </c>
      <c r="C566" t="n">
        <v>98732</v>
      </c>
      <c r="D566" t="n">
        <v>6.7</v>
      </c>
    </row>
    <row r="567">
      <c r="A567" s="79" t="n">
        <v>31444</v>
      </c>
      <c r="B567" t="n">
        <v>65</v>
      </c>
      <c r="C567" t="n">
        <v>98847</v>
      </c>
      <c r="D567" t="n">
        <v>7.2</v>
      </c>
    </row>
    <row r="568">
      <c r="A568" s="79" t="n">
        <v>31472</v>
      </c>
      <c r="B568" t="n">
        <v>65.09999999999999</v>
      </c>
      <c r="C568" t="n">
        <v>98934</v>
      </c>
      <c r="D568" t="n">
        <v>7.2</v>
      </c>
    </row>
    <row r="569">
      <c r="A569" s="79" t="n">
        <v>31503</v>
      </c>
      <c r="B569" t="n">
        <v>65.09999999999999</v>
      </c>
      <c r="C569" t="n">
        <v>99121</v>
      </c>
      <c r="D569" t="n">
        <v>7.1</v>
      </c>
    </row>
    <row r="570">
      <c r="A570" s="79" t="n">
        <v>31533</v>
      </c>
      <c r="B570" t="n">
        <v>65.2</v>
      </c>
      <c r="C570" t="n">
        <v>99248</v>
      </c>
      <c r="D570" t="n">
        <v>7.2</v>
      </c>
    </row>
    <row r="571">
      <c r="A571" s="79" t="n">
        <v>31564</v>
      </c>
      <c r="B571" t="n">
        <v>65.40000000000001</v>
      </c>
      <c r="C571" t="n">
        <v>99155</v>
      </c>
      <c r="D571" t="n">
        <v>7.2</v>
      </c>
    </row>
    <row r="572">
      <c r="A572" s="79" t="n">
        <v>31594</v>
      </c>
      <c r="B572" t="n">
        <v>65.40000000000001</v>
      </c>
      <c r="C572" t="n">
        <v>99473</v>
      </c>
      <c r="D572" t="n">
        <v>7</v>
      </c>
    </row>
    <row r="573">
      <c r="A573" s="79" t="n">
        <v>31625</v>
      </c>
      <c r="B573" t="n">
        <v>65.3</v>
      </c>
      <c r="C573" t="n">
        <v>99588</v>
      </c>
      <c r="D573" t="n">
        <v>6.9</v>
      </c>
    </row>
    <row r="574">
      <c r="A574" s="79" t="n">
        <v>31656</v>
      </c>
      <c r="B574" t="n">
        <v>65.40000000000001</v>
      </c>
      <c r="C574" t="n">
        <v>99934</v>
      </c>
      <c r="D574" t="n">
        <v>7</v>
      </c>
    </row>
    <row r="575">
      <c r="A575" s="79" t="n">
        <v>31686</v>
      </c>
      <c r="B575" t="n">
        <v>65.40000000000001</v>
      </c>
      <c r="C575" t="n">
        <v>100121</v>
      </c>
      <c r="D575" t="n">
        <v>7</v>
      </c>
    </row>
    <row r="576">
      <c r="A576" s="79" t="n">
        <v>31717</v>
      </c>
      <c r="B576" t="n">
        <v>65.40000000000001</v>
      </c>
      <c r="C576" t="n">
        <v>100308</v>
      </c>
      <c r="D576" t="n">
        <v>6.9</v>
      </c>
    </row>
    <row r="577">
      <c r="A577" s="79" t="n">
        <v>31747</v>
      </c>
      <c r="B577" t="n">
        <v>65.3</v>
      </c>
      <c r="C577" t="n">
        <v>100509</v>
      </c>
      <c r="D577" t="n">
        <v>6.6</v>
      </c>
    </row>
    <row r="578">
      <c r="A578" s="79" t="n">
        <v>31778</v>
      </c>
      <c r="B578" t="n">
        <v>65.40000000000001</v>
      </c>
      <c r="C578" t="n">
        <v>100678</v>
      </c>
      <c r="D578" t="n">
        <v>6.6</v>
      </c>
    </row>
    <row r="579">
      <c r="A579" s="79" t="n">
        <v>31809</v>
      </c>
      <c r="B579" t="n">
        <v>65.5</v>
      </c>
      <c r="C579" t="n">
        <v>100919</v>
      </c>
      <c r="D579" t="n">
        <v>6.6</v>
      </c>
    </row>
    <row r="580">
      <c r="A580" s="79" t="n">
        <v>31837</v>
      </c>
      <c r="B580" t="n">
        <v>65.5</v>
      </c>
      <c r="C580" t="n">
        <v>101164</v>
      </c>
      <c r="D580" t="n">
        <v>6.6</v>
      </c>
    </row>
    <row r="581">
      <c r="A581" s="79" t="n">
        <v>31868</v>
      </c>
      <c r="B581" t="n">
        <v>65.40000000000001</v>
      </c>
      <c r="C581" t="n">
        <v>101499</v>
      </c>
      <c r="D581" t="n">
        <v>6.3</v>
      </c>
    </row>
    <row r="582">
      <c r="A582" s="79" t="n">
        <v>31898</v>
      </c>
      <c r="B582" t="n">
        <v>65.7</v>
      </c>
      <c r="C582" t="n">
        <v>101728</v>
      </c>
      <c r="D582" t="n">
        <v>6.3</v>
      </c>
    </row>
    <row r="583">
      <c r="A583" s="79" t="n">
        <v>31929</v>
      </c>
      <c r="B583" t="n">
        <v>65.5</v>
      </c>
      <c r="C583" t="n">
        <v>101900</v>
      </c>
      <c r="D583" t="n">
        <v>6.2</v>
      </c>
    </row>
    <row r="584">
      <c r="A584" s="79" t="n">
        <v>31959</v>
      </c>
      <c r="B584" t="n">
        <v>65.59999999999999</v>
      </c>
      <c r="C584" t="n">
        <v>102247</v>
      </c>
      <c r="D584" t="n">
        <v>6.1</v>
      </c>
    </row>
    <row r="585">
      <c r="A585" s="79" t="n">
        <v>31990</v>
      </c>
      <c r="B585" t="n">
        <v>65.7</v>
      </c>
      <c r="C585" t="n">
        <v>102420</v>
      </c>
      <c r="D585" t="n">
        <v>6</v>
      </c>
    </row>
    <row r="586">
      <c r="A586" s="79" t="n">
        <v>32021</v>
      </c>
      <c r="B586" t="n">
        <v>65.5</v>
      </c>
      <c r="C586" t="n">
        <v>102647</v>
      </c>
      <c r="D586" t="n">
        <v>5.9</v>
      </c>
    </row>
    <row r="587">
      <c r="A587" s="79" t="n">
        <v>32051</v>
      </c>
      <c r="B587" t="n">
        <v>65.7</v>
      </c>
      <c r="C587" t="n">
        <v>103138</v>
      </c>
      <c r="D587" t="n">
        <v>6</v>
      </c>
    </row>
    <row r="588">
      <c r="A588" s="79" t="n">
        <v>32082</v>
      </c>
      <c r="B588" t="n">
        <v>65.7</v>
      </c>
      <c r="C588" t="n">
        <v>103372</v>
      </c>
      <c r="D588" t="n">
        <v>5.8</v>
      </c>
    </row>
    <row r="589">
      <c r="A589" s="79" t="n">
        <v>32112</v>
      </c>
      <c r="B589" t="n">
        <v>65.7</v>
      </c>
      <c r="C589" t="n">
        <v>103661</v>
      </c>
      <c r="D589" t="n">
        <v>5.7</v>
      </c>
    </row>
    <row r="590">
      <c r="A590" s="79" t="n">
        <v>32143</v>
      </c>
      <c r="B590" t="n">
        <v>65.8</v>
      </c>
      <c r="C590" t="n">
        <v>103753</v>
      </c>
      <c r="D590" t="n">
        <v>5.7</v>
      </c>
    </row>
    <row r="591">
      <c r="A591" s="79" t="n">
        <v>32174</v>
      </c>
      <c r="B591" t="n">
        <v>65.90000000000001</v>
      </c>
      <c r="C591" t="n">
        <v>104214</v>
      </c>
      <c r="D591" t="n">
        <v>5.7</v>
      </c>
    </row>
    <row r="592">
      <c r="A592" s="79" t="n">
        <v>32203</v>
      </c>
      <c r="B592" t="n">
        <v>65.7</v>
      </c>
      <c r="C592" t="n">
        <v>104489</v>
      </c>
      <c r="D592" t="n">
        <v>5.7</v>
      </c>
    </row>
    <row r="593">
      <c r="A593" s="79" t="n">
        <v>32234</v>
      </c>
      <c r="B593" t="n">
        <v>65.8</v>
      </c>
      <c r="C593" t="n">
        <v>104732</v>
      </c>
      <c r="D593" t="n">
        <v>5.4</v>
      </c>
    </row>
    <row r="594">
      <c r="A594" s="79" t="n">
        <v>32264</v>
      </c>
      <c r="B594" t="n">
        <v>65.7</v>
      </c>
      <c r="C594" t="n">
        <v>104962</v>
      </c>
      <c r="D594" t="n">
        <v>5.6</v>
      </c>
    </row>
    <row r="595">
      <c r="A595" s="79" t="n">
        <v>32295</v>
      </c>
      <c r="B595" t="n">
        <v>65.8</v>
      </c>
      <c r="C595" t="n">
        <v>105326</v>
      </c>
      <c r="D595" t="n">
        <v>5.4</v>
      </c>
    </row>
    <row r="596">
      <c r="A596" s="79" t="n">
        <v>32325</v>
      </c>
      <c r="B596" t="n">
        <v>65.90000000000001</v>
      </c>
      <c r="C596" t="n">
        <v>105550</v>
      </c>
      <c r="D596" t="n">
        <v>5.4</v>
      </c>
    </row>
    <row r="597">
      <c r="A597" s="79" t="n">
        <v>32356</v>
      </c>
      <c r="B597" t="n">
        <v>66.09999999999999</v>
      </c>
      <c r="C597" t="n">
        <v>105674</v>
      </c>
      <c r="D597" t="n">
        <v>5.6</v>
      </c>
    </row>
    <row r="598">
      <c r="A598" s="79" t="n">
        <v>32387</v>
      </c>
      <c r="B598" t="n">
        <v>65.90000000000001</v>
      </c>
      <c r="C598" t="n">
        <v>106013</v>
      </c>
      <c r="D598" t="n">
        <v>5.4</v>
      </c>
    </row>
    <row r="599">
      <c r="A599" s="79" t="n">
        <v>32417</v>
      </c>
      <c r="B599" t="n">
        <v>66</v>
      </c>
      <c r="C599" t="n">
        <v>106276</v>
      </c>
      <c r="D599" t="n">
        <v>5.4</v>
      </c>
    </row>
    <row r="600">
      <c r="A600" s="79" t="n">
        <v>32448</v>
      </c>
      <c r="B600" t="n">
        <v>66.2</v>
      </c>
      <c r="C600" t="n">
        <v>106617</v>
      </c>
      <c r="D600" t="n">
        <v>5.3</v>
      </c>
    </row>
    <row r="601">
      <c r="A601" s="79" t="n">
        <v>32478</v>
      </c>
      <c r="B601" t="n">
        <v>66.09999999999999</v>
      </c>
      <c r="C601" t="n">
        <v>106898</v>
      </c>
      <c r="D601" t="n">
        <v>5.3</v>
      </c>
    </row>
    <row r="602">
      <c r="A602" s="79" t="n">
        <v>32509</v>
      </c>
      <c r="B602" t="n">
        <v>66.5</v>
      </c>
      <c r="C602" t="n">
        <v>107161</v>
      </c>
      <c r="D602" t="n">
        <v>5.4</v>
      </c>
    </row>
    <row r="603">
      <c r="A603" s="79" t="n">
        <v>32540</v>
      </c>
      <c r="B603" t="n">
        <v>66.3</v>
      </c>
      <c r="C603" t="n">
        <v>107427</v>
      </c>
      <c r="D603" t="n">
        <v>5.2</v>
      </c>
    </row>
    <row r="604">
      <c r="A604" s="79" t="n">
        <v>32568</v>
      </c>
      <c r="B604" t="n">
        <v>66.3</v>
      </c>
      <c r="C604" t="n">
        <v>107621</v>
      </c>
      <c r="D604" t="n">
        <v>5</v>
      </c>
    </row>
    <row r="605">
      <c r="A605" s="79" t="n">
        <v>32599</v>
      </c>
      <c r="B605" t="n">
        <v>66.40000000000001</v>
      </c>
      <c r="C605" t="n">
        <v>107791</v>
      </c>
      <c r="D605" t="n">
        <v>5.2</v>
      </c>
    </row>
    <row r="606">
      <c r="A606" s="79" t="n">
        <v>32629</v>
      </c>
      <c r="B606" t="n">
        <v>66.3</v>
      </c>
      <c r="C606" t="n">
        <v>107913</v>
      </c>
      <c r="D606" t="n">
        <v>5.2</v>
      </c>
    </row>
    <row r="607">
      <c r="A607" s="79" t="n">
        <v>32660</v>
      </c>
      <c r="B607" t="n">
        <v>66.5</v>
      </c>
      <c r="C607" t="n">
        <v>108027</v>
      </c>
      <c r="D607" t="n">
        <v>5.3</v>
      </c>
    </row>
    <row r="608">
      <c r="A608" s="79" t="n">
        <v>32690</v>
      </c>
      <c r="B608" t="n">
        <v>66.5</v>
      </c>
      <c r="C608" t="n">
        <v>108069</v>
      </c>
      <c r="D608" t="n">
        <v>5.2</v>
      </c>
    </row>
    <row r="609">
      <c r="A609" s="79" t="n">
        <v>32721</v>
      </c>
      <c r="B609" t="n">
        <v>66.5</v>
      </c>
      <c r="C609" t="n">
        <v>108120</v>
      </c>
      <c r="D609" t="n">
        <v>5.2</v>
      </c>
    </row>
    <row r="610">
      <c r="A610" s="79" t="n">
        <v>32752</v>
      </c>
      <c r="B610" t="n">
        <v>66.40000000000001</v>
      </c>
      <c r="C610" t="n">
        <v>108369</v>
      </c>
      <c r="D610" t="n">
        <v>5.3</v>
      </c>
    </row>
    <row r="611">
      <c r="A611" s="79" t="n">
        <v>32782</v>
      </c>
      <c r="B611" t="n">
        <v>66.5</v>
      </c>
      <c r="C611" t="n">
        <v>108476</v>
      </c>
      <c r="D611" t="n">
        <v>5.3</v>
      </c>
    </row>
    <row r="612">
      <c r="A612" s="79" t="n">
        <v>32813</v>
      </c>
      <c r="B612" t="n">
        <v>66.59999999999999</v>
      </c>
      <c r="C612" t="n">
        <v>108752</v>
      </c>
      <c r="D612" t="n">
        <v>5.4</v>
      </c>
    </row>
    <row r="613">
      <c r="A613" s="79" t="n">
        <v>32843</v>
      </c>
      <c r="B613" t="n">
        <v>66.5</v>
      </c>
      <c r="C613" t="n">
        <v>108836</v>
      </c>
      <c r="D613" t="n">
        <v>5.4</v>
      </c>
    </row>
    <row r="614">
      <c r="A614" s="79" t="n">
        <v>32874</v>
      </c>
      <c r="B614" t="n">
        <v>66.8</v>
      </c>
      <c r="C614" t="n">
        <v>109199</v>
      </c>
      <c r="D614" t="n">
        <v>5.4</v>
      </c>
    </row>
    <row r="615">
      <c r="A615" s="79" t="n">
        <v>32905</v>
      </c>
      <c r="B615" t="n">
        <v>66.7</v>
      </c>
      <c r="C615" t="n">
        <v>109435</v>
      </c>
      <c r="D615" t="n">
        <v>5.3</v>
      </c>
    </row>
    <row r="616">
      <c r="A616" s="79" t="n">
        <v>32933</v>
      </c>
      <c r="B616" t="n">
        <v>66.7</v>
      </c>
      <c r="C616" t="n">
        <v>109644</v>
      </c>
      <c r="D616" t="n">
        <v>5.2</v>
      </c>
    </row>
    <row r="617">
      <c r="A617" s="79" t="n">
        <v>32964</v>
      </c>
      <c r="B617" t="n">
        <v>66.59999999999999</v>
      </c>
      <c r="C617" t="n">
        <v>109686</v>
      </c>
      <c r="D617" t="n">
        <v>5.4</v>
      </c>
    </row>
    <row r="618">
      <c r="A618" s="79" t="n">
        <v>32994</v>
      </c>
      <c r="B618" t="n">
        <v>66.59999999999999</v>
      </c>
      <c r="C618" t="n">
        <v>109839</v>
      </c>
      <c r="D618" t="n">
        <v>5.4</v>
      </c>
    </row>
    <row r="619">
      <c r="A619" s="79" t="n">
        <v>33025</v>
      </c>
      <c r="B619" t="n">
        <v>66.40000000000001</v>
      </c>
      <c r="C619" t="n">
        <v>109856</v>
      </c>
      <c r="D619" t="n">
        <v>5.2</v>
      </c>
    </row>
    <row r="620">
      <c r="A620" s="79" t="n">
        <v>33055</v>
      </c>
      <c r="B620" t="n">
        <v>66.5</v>
      </c>
      <c r="C620" t="n">
        <v>109824</v>
      </c>
      <c r="D620" t="n">
        <v>5.5</v>
      </c>
    </row>
    <row r="621">
      <c r="A621" s="79" t="n">
        <v>33086</v>
      </c>
      <c r="B621" t="n">
        <v>66.5</v>
      </c>
      <c r="C621" t="n">
        <v>109616</v>
      </c>
      <c r="D621" t="n">
        <v>5.7</v>
      </c>
    </row>
    <row r="622">
      <c r="A622" s="79" t="n">
        <v>33117</v>
      </c>
      <c r="B622" t="n">
        <v>66.40000000000001</v>
      </c>
      <c r="C622" t="n">
        <v>109518</v>
      </c>
      <c r="D622" t="n">
        <v>5.9</v>
      </c>
    </row>
    <row r="623">
      <c r="A623" s="79" t="n">
        <v>33147</v>
      </c>
      <c r="B623" t="n">
        <v>66.40000000000001</v>
      </c>
      <c r="C623" t="n">
        <v>109367</v>
      </c>
      <c r="D623" t="n">
        <v>5.9</v>
      </c>
    </row>
    <row r="624">
      <c r="A624" s="79" t="n">
        <v>33178</v>
      </c>
      <c r="B624" t="n">
        <v>66.40000000000001</v>
      </c>
      <c r="C624" t="n">
        <v>109214</v>
      </c>
      <c r="D624" t="n">
        <v>6.2</v>
      </c>
    </row>
    <row r="625">
      <c r="A625" s="79" t="n">
        <v>33208</v>
      </c>
      <c r="B625" t="n">
        <v>66.40000000000001</v>
      </c>
      <c r="C625" t="n">
        <v>109166</v>
      </c>
      <c r="D625" t="n">
        <v>6.3</v>
      </c>
    </row>
    <row r="626">
      <c r="A626" s="79" t="n">
        <v>33239</v>
      </c>
      <c r="B626" t="n">
        <v>66.2</v>
      </c>
      <c r="C626" t="n">
        <v>109055</v>
      </c>
      <c r="D626" t="n">
        <v>6.4</v>
      </c>
    </row>
    <row r="627">
      <c r="A627" s="79" t="n">
        <v>33270</v>
      </c>
      <c r="B627" t="n">
        <v>66.2</v>
      </c>
      <c r="C627" t="n">
        <v>108734</v>
      </c>
      <c r="D627" t="n">
        <v>6.6</v>
      </c>
    </row>
    <row r="628">
      <c r="A628" s="79" t="n">
        <v>33298</v>
      </c>
      <c r="B628" t="n">
        <v>66.3</v>
      </c>
      <c r="C628" t="n">
        <v>108574</v>
      </c>
      <c r="D628" t="n">
        <v>6.8</v>
      </c>
    </row>
    <row r="629">
      <c r="A629" s="79" t="n">
        <v>33329</v>
      </c>
      <c r="B629" t="n">
        <v>66.40000000000001</v>
      </c>
      <c r="C629" t="n">
        <v>108364</v>
      </c>
      <c r="D629" t="n">
        <v>6.7</v>
      </c>
    </row>
    <row r="630">
      <c r="A630" s="79" t="n">
        <v>33359</v>
      </c>
      <c r="B630" t="n">
        <v>66.2</v>
      </c>
      <c r="C630" t="n">
        <v>108249</v>
      </c>
      <c r="D630" t="n">
        <v>6.9</v>
      </c>
    </row>
    <row r="631">
      <c r="A631" s="79" t="n">
        <v>33390</v>
      </c>
      <c r="B631" t="n">
        <v>66.2</v>
      </c>
      <c r="C631" t="n">
        <v>108334</v>
      </c>
      <c r="D631" t="n">
        <v>6.9</v>
      </c>
    </row>
    <row r="632">
      <c r="A632" s="79" t="n">
        <v>33420</v>
      </c>
      <c r="B632" t="n">
        <v>66.09999999999999</v>
      </c>
      <c r="C632" t="n">
        <v>108292</v>
      </c>
      <c r="D632" t="n">
        <v>6.8</v>
      </c>
    </row>
    <row r="633">
      <c r="A633" s="79" t="n">
        <v>33451</v>
      </c>
      <c r="B633" t="n">
        <v>66</v>
      </c>
      <c r="C633" t="n">
        <v>108310</v>
      </c>
      <c r="D633" t="n">
        <v>6.9</v>
      </c>
    </row>
    <row r="634">
      <c r="A634" s="79" t="n">
        <v>33482</v>
      </c>
      <c r="B634" t="n">
        <v>66.2</v>
      </c>
      <c r="C634" t="n">
        <v>108336</v>
      </c>
      <c r="D634" t="n">
        <v>6.9</v>
      </c>
    </row>
    <row r="635">
      <c r="A635" s="79" t="n">
        <v>33512</v>
      </c>
      <c r="B635" t="n">
        <v>66.09999999999999</v>
      </c>
      <c r="C635" t="n">
        <v>108357</v>
      </c>
      <c r="D635" t="n">
        <v>7</v>
      </c>
    </row>
    <row r="636">
      <c r="A636" s="79" t="n">
        <v>33543</v>
      </c>
      <c r="B636" t="n">
        <v>66.09999999999999</v>
      </c>
      <c r="C636" t="n">
        <v>108296</v>
      </c>
      <c r="D636" t="n">
        <v>7</v>
      </c>
    </row>
    <row r="637">
      <c r="A637" s="79" t="n">
        <v>33573</v>
      </c>
      <c r="B637" t="n">
        <v>66</v>
      </c>
      <c r="C637" t="n">
        <v>108328</v>
      </c>
      <c r="D637" t="n">
        <v>7.3</v>
      </c>
    </row>
    <row r="638">
      <c r="A638" s="79" t="n">
        <v>33604</v>
      </c>
      <c r="B638" t="n">
        <v>66.3</v>
      </c>
      <c r="C638" t="n">
        <v>108369</v>
      </c>
      <c r="D638" t="n">
        <v>7.3</v>
      </c>
    </row>
    <row r="639">
      <c r="A639" s="79" t="n">
        <v>33635</v>
      </c>
      <c r="B639" t="n">
        <v>66.2</v>
      </c>
      <c r="C639" t="n">
        <v>108311</v>
      </c>
      <c r="D639" t="n">
        <v>7.4</v>
      </c>
    </row>
    <row r="640">
      <c r="A640" s="79" t="n">
        <v>33664</v>
      </c>
      <c r="B640" t="n">
        <v>66.40000000000001</v>
      </c>
      <c r="C640" t="n">
        <v>108365</v>
      </c>
      <c r="D640" t="n">
        <v>7.4</v>
      </c>
    </row>
    <row r="641">
      <c r="A641" s="79" t="n">
        <v>33695</v>
      </c>
      <c r="B641" t="n">
        <v>66.5</v>
      </c>
      <c r="C641" t="n">
        <v>108519</v>
      </c>
      <c r="D641" t="n">
        <v>7.4</v>
      </c>
    </row>
    <row r="642">
      <c r="A642" s="79" t="n">
        <v>33725</v>
      </c>
      <c r="B642" t="n">
        <v>66.59999999999999</v>
      </c>
      <c r="C642" t="n">
        <v>108649</v>
      </c>
      <c r="D642" t="n">
        <v>7.6</v>
      </c>
    </row>
    <row r="643">
      <c r="A643" s="79" t="n">
        <v>33756</v>
      </c>
      <c r="B643" t="n">
        <v>66.7</v>
      </c>
      <c r="C643" t="n">
        <v>108715</v>
      </c>
      <c r="D643" t="n">
        <v>7.8</v>
      </c>
    </row>
    <row r="644">
      <c r="A644" s="79" t="n">
        <v>33786</v>
      </c>
      <c r="B644" t="n">
        <v>66.7</v>
      </c>
      <c r="C644" t="n">
        <v>108793</v>
      </c>
      <c r="D644" t="n">
        <v>7.7</v>
      </c>
    </row>
    <row r="645">
      <c r="A645" s="79" t="n">
        <v>33817</v>
      </c>
      <c r="B645" t="n">
        <v>66.59999999999999</v>
      </c>
      <c r="C645" t="n">
        <v>108925</v>
      </c>
      <c r="D645" t="n">
        <v>7.6</v>
      </c>
    </row>
    <row r="646">
      <c r="A646" s="79" t="n">
        <v>33848</v>
      </c>
      <c r="B646" t="n">
        <v>66.5</v>
      </c>
      <c r="C646" t="n">
        <v>108959</v>
      </c>
      <c r="D646" t="n">
        <v>7.6</v>
      </c>
    </row>
    <row r="647">
      <c r="A647" s="79" t="n">
        <v>33878</v>
      </c>
      <c r="B647" t="n">
        <v>66.2</v>
      </c>
      <c r="C647" t="n">
        <v>109139</v>
      </c>
      <c r="D647" t="n">
        <v>7.3</v>
      </c>
    </row>
    <row r="648">
      <c r="A648" s="79" t="n">
        <v>33909</v>
      </c>
      <c r="B648" t="n">
        <v>66.3</v>
      </c>
      <c r="C648" t="n">
        <v>109272</v>
      </c>
      <c r="D648" t="n">
        <v>7.4</v>
      </c>
    </row>
    <row r="649">
      <c r="A649" s="79" t="n">
        <v>33939</v>
      </c>
      <c r="B649" t="n">
        <v>66.3</v>
      </c>
      <c r="C649" t="n">
        <v>109495</v>
      </c>
      <c r="D649" t="n">
        <v>7.4</v>
      </c>
    </row>
    <row r="650">
      <c r="A650" s="79" t="n">
        <v>33970</v>
      </c>
      <c r="B650" t="n">
        <v>66.2</v>
      </c>
      <c r="C650" t="n">
        <v>109794</v>
      </c>
      <c r="D650" t="n">
        <v>7.3</v>
      </c>
    </row>
    <row r="651">
      <c r="A651" s="79" t="n">
        <v>34001</v>
      </c>
      <c r="B651" t="n">
        <v>66.2</v>
      </c>
      <c r="C651" t="n">
        <v>110044</v>
      </c>
      <c r="D651" t="n">
        <v>7.1</v>
      </c>
    </row>
    <row r="652">
      <c r="A652" s="79" t="n">
        <v>34029</v>
      </c>
      <c r="B652" t="n">
        <v>66.2</v>
      </c>
      <c r="C652" t="n">
        <v>109994</v>
      </c>
      <c r="D652" t="n">
        <v>7</v>
      </c>
    </row>
    <row r="653">
      <c r="A653" s="79" t="n">
        <v>34060</v>
      </c>
      <c r="B653" t="n">
        <v>66.09999999999999</v>
      </c>
      <c r="C653" t="n">
        <v>110296</v>
      </c>
      <c r="D653" t="n">
        <v>7.1</v>
      </c>
    </row>
    <row r="654">
      <c r="A654" s="79" t="n">
        <v>34090</v>
      </c>
      <c r="B654" t="n">
        <v>66.40000000000001</v>
      </c>
      <c r="C654" t="n">
        <v>110568</v>
      </c>
      <c r="D654" t="n">
        <v>7.1</v>
      </c>
    </row>
    <row r="655">
      <c r="A655" s="79" t="n">
        <v>34121</v>
      </c>
      <c r="B655" t="n">
        <v>66.5</v>
      </c>
      <c r="C655" t="n">
        <v>110749</v>
      </c>
      <c r="D655" t="n">
        <v>7</v>
      </c>
    </row>
    <row r="656">
      <c r="A656" s="79" t="n">
        <v>34151</v>
      </c>
      <c r="B656" t="n">
        <v>66.40000000000001</v>
      </c>
      <c r="C656" t="n">
        <v>111055</v>
      </c>
      <c r="D656" t="n">
        <v>6.9</v>
      </c>
    </row>
    <row r="657">
      <c r="A657" s="79" t="n">
        <v>34182</v>
      </c>
      <c r="B657" t="n">
        <v>66.40000000000001</v>
      </c>
      <c r="C657" t="n">
        <v>111206</v>
      </c>
      <c r="D657" t="n">
        <v>6.8</v>
      </c>
    </row>
    <row r="658">
      <c r="A658" s="79" t="n">
        <v>34213</v>
      </c>
      <c r="B658" t="n">
        <v>66.2</v>
      </c>
      <c r="C658" t="n">
        <v>111448</v>
      </c>
      <c r="D658" t="n">
        <v>6.7</v>
      </c>
    </row>
    <row r="659">
      <c r="A659" s="79" t="n">
        <v>34243</v>
      </c>
      <c r="B659" t="n">
        <v>66.3</v>
      </c>
      <c r="C659" t="n">
        <v>111733</v>
      </c>
      <c r="D659" t="n">
        <v>6.8</v>
      </c>
    </row>
    <row r="660">
      <c r="A660" s="79" t="n">
        <v>34274</v>
      </c>
      <c r="B660" t="n">
        <v>66.3</v>
      </c>
      <c r="C660" t="n">
        <v>111984</v>
      </c>
      <c r="D660" t="n">
        <v>6.6</v>
      </c>
    </row>
    <row r="661">
      <c r="A661" s="79" t="n">
        <v>34304</v>
      </c>
      <c r="B661" t="n">
        <v>66.40000000000001</v>
      </c>
      <c r="C661" t="n">
        <v>112314</v>
      </c>
      <c r="D661" t="n">
        <v>6.5</v>
      </c>
    </row>
    <row r="662">
      <c r="A662" s="79" t="n">
        <v>34335</v>
      </c>
      <c r="B662" t="n">
        <v>66.59999999999999</v>
      </c>
      <c r="C662" t="n">
        <v>112595</v>
      </c>
      <c r="D662" t="n">
        <v>6.6</v>
      </c>
    </row>
    <row r="663">
      <c r="A663" s="79" t="n">
        <v>34366</v>
      </c>
      <c r="B663" t="n">
        <v>66.59999999999999</v>
      </c>
      <c r="C663" t="n">
        <v>112781</v>
      </c>
      <c r="D663" t="n">
        <v>6.6</v>
      </c>
    </row>
    <row r="664">
      <c r="A664" s="79" t="n">
        <v>34394</v>
      </c>
      <c r="B664" t="n">
        <v>66.5</v>
      </c>
      <c r="C664" t="n">
        <v>113242</v>
      </c>
      <c r="D664" t="n">
        <v>6.5</v>
      </c>
    </row>
    <row r="665">
      <c r="A665" s="79" t="n">
        <v>34425</v>
      </c>
      <c r="B665" t="n">
        <v>66.5</v>
      </c>
      <c r="C665" t="n">
        <v>113586</v>
      </c>
      <c r="D665" t="n">
        <v>6.4</v>
      </c>
    </row>
    <row r="666">
      <c r="A666" s="79" t="n">
        <v>34455</v>
      </c>
      <c r="B666" t="n">
        <v>66.59999999999999</v>
      </c>
      <c r="C666" t="n">
        <v>113921</v>
      </c>
      <c r="D666" t="n">
        <v>6.1</v>
      </c>
    </row>
    <row r="667">
      <c r="A667" s="79" t="n">
        <v>34486</v>
      </c>
      <c r="B667" t="n">
        <v>66.40000000000001</v>
      </c>
      <c r="C667" t="n">
        <v>114238</v>
      </c>
      <c r="D667" t="n">
        <v>6.1</v>
      </c>
    </row>
    <row r="668">
      <c r="A668" s="79" t="n">
        <v>34516</v>
      </c>
      <c r="B668" t="n">
        <v>66.40000000000001</v>
      </c>
      <c r="C668" t="n">
        <v>114610</v>
      </c>
      <c r="D668" t="n">
        <v>6.1</v>
      </c>
    </row>
    <row r="669">
      <c r="A669" s="79" t="n">
        <v>34547</v>
      </c>
      <c r="B669" t="n">
        <v>66.59999999999999</v>
      </c>
      <c r="C669" t="n">
        <v>114896</v>
      </c>
      <c r="D669" t="n">
        <v>6</v>
      </c>
    </row>
    <row r="670">
      <c r="A670" s="79" t="n">
        <v>34578</v>
      </c>
      <c r="B670" t="n">
        <v>66.59999999999999</v>
      </c>
      <c r="C670" t="n">
        <v>115247</v>
      </c>
      <c r="D670" t="n">
        <v>5.9</v>
      </c>
    </row>
    <row r="671">
      <c r="A671" s="79" t="n">
        <v>34608</v>
      </c>
      <c r="B671" t="n">
        <v>66.7</v>
      </c>
      <c r="C671" t="n">
        <v>115458</v>
      </c>
      <c r="D671" t="n">
        <v>5.8</v>
      </c>
    </row>
    <row r="672">
      <c r="A672" s="79" t="n">
        <v>34639</v>
      </c>
      <c r="B672" t="n">
        <v>66.7</v>
      </c>
      <c r="C672" t="n">
        <v>115869</v>
      </c>
      <c r="D672" t="n">
        <v>5.6</v>
      </c>
    </row>
    <row r="673">
      <c r="A673" s="79" t="n">
        <v>34669</v>
      </c>
      <c r="B673" t="n">
        <v>66.7</v>
      </c>
      <c r="C673" t="n">
        <v>116165</v>
      </c>
      <c r="D673" t="n">
        <v>5.5</v>
      </c>
    </row>
    <row r="674">
      <c r="A674" s="79" t="n">
        <v>34700</v>
      </c>
      <c r="B674" t="n">
        <v>66.8</v>
      </c>
      <c r="C674" t="n">
        <v>116501</v>
      </c>
      <c r="D674" t="n">
        <v>5.6</v>
      </c>
    </row>
    <row r="675">
      <c r="A675" s="79" t="n">
        <v>34731</v>
      </c>
      <c r="B675" t="n">
        <v>66.8</v>
      </c>
      <c r="C675" t="n">
        <v>116697</v>
      </c>
      <c r="D675" t="n">
        <v>5.4</v>
      </c>
    </row>
    <row r="676">
      <c r="A676" s="79" t="n">
        <v>34759</v>
      </c>
      <c r="B676" t="n">
        <v>66.7</v>
      </c>
      <c r="C676" t="n">
        <v>116907</v>
      </c>
      <c r="D676" t="n">
        <v>5.4</v>
      </c>
    </row>
    <row r="677">
      <c r="A677" s="79" t="n">
        <v>34790</v>
      </c>
      <c r="B677" t="n">
        <v>66.90000000000001</v>
      </c>
      <c r="C677" t="n">
        <v>117069</v>
      </c>
      <c r="D677" t="n">
        <v>5.8</v>
      </c>
    </row>
    <row r="678">
      <c r="A678" s="79" t="n">
        <v>34820</v>
      </c>
      <c r="B678" t="n">
        <v>66.5</v>
      </c>
      <c r="C678" t="n">
        <v>117049</v>
      </c>
      <c r="D678" t="n">
        <v>5.6</v>
      </c>
    </row>
    <row r="679">
      <c r="A679" s="79" t="n">
        <v>34851</v>
      </c>
      <c r="B679" t="n">
        <v>66.5</v>
      </c>
      <c r="C679" t="n">
        <v>117286</v>
      </c>
      <c r="D679" t="n">
        <v>5.6</v>
      </c>
    </row>
    <row r="680">
      <c r="A680" s="79" t="n">
        <v>34881</v>
      </c>
      <c r="B680" t="n">
        <v>66.59999999999999</v>
      </c>
      <c r="C680" t="n">
        <v>117380</v>
      </c>
      <c r="D680" t="n">
        <v>5.7</v>
      </c>
    </row>
    <row r="681">
      <c r="A681" s="79" t="n">
        <v>34912</v>
      </c>
      <c r="B681" t="n">
        <v>66.59999999999999</v>
      </c>
      <c r="C681" t="n">
        <v>117634</v>
      </c>
      <c r="D681" t="n">
        <v>5.7</v>
      </c>
    </row>
    <row r="682">
      <c r="A682" s="79" t="n">
        <v>34943</v>
      </c>
      <c r="B682" t="n">
        <v>66.59999999999999</v>
      </c>
      <c r="C682" t="n">
        <v>117875</v>
      </c>
      <c r="D682" t="n">
        <v>5.6</v>
      </c>
    </row>
    <row r="683">
      <c r="A683" s="79" t="n">
        <v>34973</v>
      </c>
      <c r="B683" t="n">
        <v>66.59999999999999</v>
      </c>
      <c r="C683" t="n">
        <v>118031</v>
      </c>
      <c r="D683" t="n">
        <v>5.5</v>
      </c>
    </row>
    <row r="684">
      <c r="A684" s="79" t="n">
        <v>35004</v>
      </c>
      <c r="B684" t="n">
        <v>66.5</v>
      </c>
      <c r="C684" t="n">
        <v>118175</v>
      </c>
      <c r="D684" t="n">
        <v>5.6</v>
      </c>
    </row>
    <row r="685">
      <c r="A685" s="79" t="n">
        <v>35034</v>
      </c>
      <c r="B685" t="n">
        <v>66.40000000000001</v>
      </c>
      <c r="C685" t="n">
        <v>118320</v>
      </c>
      <c r="D685" t="n">
        <v>5.6</v>
      </c>
    </row>
    <row r="686">
      <c r="A686" s="79" t="n">
        <v>35065</v>
      </c>
      <c r="B686" t="n">
        <v>66.40000000000001</v>
      </c>
      <c r="C686" t="n">
        <v>118316</v>
      </c>
      <c r="D686" t="n">
        <v>5.6</v>
      </c>
    </row>
    <row r="687">
      <c r="A687" s="79" t="n">
        <v>35096</v>
      </c>
      <c r="B687" t="n">
        <v>66.59999999999999</v>
      </c>
      <c r="C687" t="n">
        <v>118739</v>
      </c>
      <c r="D687" t="n">
        <v>5.5</v>
      </c>
    </row>
    <row r="688">
      <c r="A688" s="79" t="n">
        <v>35125</v>
      </c>
      <c r="B688" t="n">
        <v>66.59999999999999</v>
      </c>
      <c r="C688" t="n">
        <v>118993</v>
      </c>
      <c r="D688" t="n">
        <v>5.5</v>
      </c>
    </row>
    <row r="689">
      <c r="A689" s="79" t="n">
        <v>35156</v>
      </c>
      <c r="B689" t="n">
        <v>66.7</v>
      </c>
      <c r="C689" t="n">
        <v>119158</v>
      </c>
      <c r="D689" t="n">
        <v>5.6</v>
      </c>
    </row>
    <row r="690">
      <c r="A690" s="79" t="n">
        <v>35186</v>
      </c>
      <c r="B690" t="n">
        <v>66.7</v>
      </c>
      <c r="C690" t="n">
        <v>119486</v>
      </c>
      <c r="D690" t="n">
        <v>5.6</v>
      </c>
    </row>
    <row r="691">
      <c r="A691" s="79" t="n">
        <v>35217</v>
      </c>
      <c r="B691" t="n">
        <v>66.7</v>
      </c>
      <c r="C691" t="n">
        <v>119769</v>
      </c>
      <c r="D691" t="n">
        <v>5.3</v>
      </c>
    </row>
    <row r="692">
      <c r="A692" s="79" t="n">
        <v>35247</v>
      </c>
      <c r="B692" t="n">
        <v>66.90000000000001</v>
      </c>
      <c r="C692" t="n">
        <v>120015</v>
      </c>
      <c r="D692" t="n">
        <v>5.5</v>
      </c>
    </row>
    <row r="693">
      <c r="A693" s="79" t="n">
        <v>35278</v>
      </c>
      <c r="B693" t="n">
        <v>66.7</v>
      </c>
      <c r="C693" t="n">
        <v>120199</v>
      </c>
      <c r="D693" t="n">
        <v>5.1</v>
      </c>
    </row>
    <row r="694">
      <c r="A694" s="79" t="n">
        <v>35309</v>
      </c>
      <c r="B694" t="n">
        <v>66.90000000000001</v>
      </c>
      <c r="C694" t="n">
        <v>120410</v>
      </c>
      <c r="D694" t="n">
        <v>5.2</v>
      </c>
    </row>
    <row r="695">
      <c r="A695" s="79" t="n">
        <v>35339</v>
      </c>
      <c r="B695" t="n">
        <v>67</v>
      </c>
      <c r="C695" t="n">
        <v>120665</v>
      </c>
      <c r="D695" t="n">
        <v>5.2</v>
      </c>
    </row>
    <row r="696">
      <c r="A696" s="79" t="n">
        <v>35370</v>
      </c>
      <c r="B696" t="n">
        <v>67</v>
      </c>
      <c r="C696" t="n">
        <v>120961</v>
      </c>
      <c r="D696" t="n">
        <v>5.4</v>
      </c>
    </row>
    <row r="697">
      <c r="A697" s="79" t="n">
        <v>35400</v>
      </c>
      <c r="B697" t="n">
        <v>67</v>
      </c>
      <c r="C697" t="n">
        <v>121143</v>
      </c>
      <c r="D697" t="n">
        <v>5.4</v>
      </c>
    </row>
    <row r="698">
      <c r="A698" s="79" t="n">
        <v>35431</v>
      </c>
      <c r="B698" t="n">
        <v>67</v>
      </c>
      <c r="C698" t="n">
        <v>121363</v>
      </c>
      <c r="D698" t="n">
        <v>5.3</v>
      </c>
    </row>
    <row r="699">
      <c r="A699" s="79" t="n">
        <v>35462</v>
      </c>
      <c r="B699" t="n">
        <v>66.90000000000001</v>
      </c>
      <c r="C699" t="n">
        <v>121675</v>
      </c>
      <c r="D699" t="n">
        <v>5.2</v>
      </c>
    </row>
    <row r="700">
      <c r="A700" s="79" t="n">
        <v>35490</v>
      </c>
      <c r="B700" t="n">
        <v>67.09999999999999</v>
      </c>
      <c r="C700" t="n">
        <v>121990</v>
      </c>
      <c r="D700" t="n">
        <v>5.2</v>
      </c>
    </row>
    <row r="701">
      <c r="A701" s="79" t="n">
        <v>35521</v>
      </c>
      <c r="B701" t="n">
        <v>67.09999999999999</v>
      </c>
      <c r="C701" t="n">
        <v>122286</v>
      </c>
      <c r="D701" t="n">
        <v>5.1</v>
      </c>
    </row>
    <row r="702">
      <c r="A702" s="79" t="n">
        <v>35551</v>
      </c>
      <c r="B702" t="n">
        <v>67.09999999999999</v>
      </c>
      <c r="C702" t="n">
        <v>122546</v>
      </c>
      <c r="D702" t="n">
        <v>4.9</v>
      </c>
    </row>
    <row r="703">
      <c r="A703" s="79" t="n">
        <v>35582</v>
      </c>
      <c r="B703" t="n">
        <v>67.09999999999999</v>
      </c>
      <c r="C703" t="n">
        <v>122814</v>
      </c>
      <c r="D703" t="n">
        <v>5</v>
      </c>
    </row>
    <row r="704">
      <c r="A704" s="79" t="n">
        <v>35612</v>
      </c>
      <c r="B704" t="n">
        <v>67.2</v>
      </c>
      <c r="C704" t="n">
        <v>123111</v>
      </c>
      <c r="D704" t="n">
        <v>4.9</v>
      </c>
    </row>
    <row r="705">
      <c r="A705" s="79" t="n">
        <v>35643</v>
      </c>
      <c r="B705" t="n">
        <v>67.2</v>
      </c>
      <c r="C705" t="n">
        <v>123093</v>
      </c>
      <c r="D705" t="n">
        <v>4.8</v>
      </c>
    </row>
    <row r="706">
      <c r="A706" s="79" t="n">
        <v>35674</v>
      </c>
      <c r="B706" t="n">
        <v>67.09999999999999</v>
      </c>
      <c r="C706" t="n">
        <v>123585</v>
      </c>
      <c r="D706" t="n">
        <v>4.9</v>
      </c>
    </row>
    <row r="707">
      <c r="A707" s="79" t="n">
        <v>35704</v>
      </c>
      <c r="B707" t="n">
        <v>67.09999999999999</v>
      </c>
      <c r="C707" t="n">
        <v>123929</v>
      </c>
      <c r="D707" t="n">
        <v>4.7</v>
      </c>
    </row>
    <row r="708">
      <c r="A708" s="79" t="n">
        <v>35735</v>
      </c>
      <c r="B708" t="n">
        <v>67.2</v>
      </c>
      <c r="C708" t="n">
        <v>124235</v>
      </c>
      <c r="D708" t="n">
        <v>4.6</v>
      </c>
    </row>
    <row r="709">
      <c r="A709" s="79" t="n">
        <v>35765</v>
      </c>
      <c r="B709" t="n">
        <v>67.2</v>
      </c>
      <c r="C709" t="n">
        <v>124549</v>
      </c>
      <c r="D709" t="n">
        <v>4.7</v>
      </c>
    </row>
    <row r="710">
      <c r="A710" s="79" t="n">
        <v>35796</v>
      </c>
      <c r="B710" t="n">
        <v>67.09999999999999</v>
      </c>
      <c r="C710" t="n">
        <v>124812</v>
      </c>
      <c r="D710" t="n">
        <v>4.6</v>
      </c>
    </row>
    <row r="711">
      <c r="A711" s="79" t="n">
        <v>35827</v>
      </c>
      <c r="B711" t="n">
        <v>67.09999999999999</v>
      </c>
      <c r="C711" t="n">
        <v>125016</v>
      </c>
      <c r="D711" t="n">
        <v>4.6</v>
      </c>
    </row>
    <row r="712">
      <c r="A712" s="79" t="n">
        <v>35855</v>
      </c>
      <c r="B712" t="n">
        <v>67.09999999999999</v>
      </c>
      <c r="C712" t="n">
        <v>125164</v>
      </c>
      <c r="D712" t="n">
        <v>4.7</v>
      </c>
    </row>
    <row r="713">
      <c r="A713" s="79" t="n">
        <v>35886</v>
      </c>
      <c r="B713" t="n">
        <v>67</v>
      </c>
      <c r="C713" t="n">
        <v>125442</v>
      </c>
      <c r="D713" t="n">
        <v>4.3</v>
      </c>
    </row>
    <row r="714">
      <c r="A714" s="79" t="n">
        <v>35916</v>
      </c>
      <c r="B714" t="n">
        <v>67</v>
      </c>
      <c r="C714" t="n">
        <v>125844</v>
      </c>
      <c r="D714" t="n">
        <v>4.4</v>
      </c>
    </row>
    <row r="715">
      <c r="A715" s="79" t="n">
        <v>35947</v>
      </c>
      <c r="B715" t="n">
        <v>67</v>
      </c>
      <c r="C715" t="n">
        <v>126076</v>
      </c>
      <c r="D715" t="n">
        <v>4.5</v>
      </c>
    </row>
    <row r="716">
      <c r="A716" s="79" t="n">
        <v>35977</v>
      </c>
      <c r="B716" t="n">
        <v>67</v>
      </c>
      <c r="C716" t="n">
        <v>126205</v>
      </c>
      <c r="D716" t="n">
        <v>4.5</v>
      </c>
    </row>
    <row r="717">
      <c r="A717" s="79" t="n">
        <v>36008</v>
      </c>
      <c r="B717" t="n">
        <v>67</v>
      </c>
      <c r="C717" t="n">
        <v>126544</v>
      </c>
      <c r="D717" t="n">
        <v>4.5</v>
      </c>
    </row>
    <row r="718">
      <c r="A718" s="79" t="n">
        <v>36039</v>
      </c>
      <c r="B718" t="n">
        <v>67.2</v>
      </c>
      <c r="C718" t="n">
        <v>126752</v>
      </c>
      <c r="D718" t="n">
        <v>4.6</v>
      </c>
    </row>
    <row r="719">
      <c r="A719" s="79" t="n">
        <v>36069</v>
      </c>
      <c r="B719" t="n">
        <v>67.2</v>
      </c>
      <c r="C719" t="n">
        <v>126954</v>
      </c>
      <c r="D719" t="n">
        <v>4.5</v>
      </c>
    </row>
    <row r="720">
      <c r="A720" s="79" t="n">
        <v>36100</v>
      </c>
      <c r="B720" t="n">
        <v>67.09999999999999</v>
      </c>
      <c r="C720" t="n">
        <v>127231</v>
      </c>
      <c r="D720" t="n">
        <v>4.4</v>
      </c>
    </row>
    <row r="721">
      <c r="A721" s="79" t="n">
        <v>36130</v>
      </c>
      <c r="B721" t="n">
        <v>67.2</v>
      </c>
      <c r="C721" t="n">
        <v>127596</v>
      </c>
      <c r="D721" t="n">
        <v>4.4</v>
      </c>
    </row>
    <row r="722">
      <c r="A722" s="79" t="n">
        <v>36161</v>
      </c>
      <c r="B722" t="n">
        <v>67.2</v>
      </c>
      <c r="C722" t="n">
        <v>127702</v>
      </c>
      <c r="D722" t="n">
        <v>4.3</v>
      </c>
    </row>
    <row r="723">
      <c r="A723" s="79" t="n">
        <v>36192</v>
      </c>
      <c r="B723" t="n">
        <v>67.2</v>
      </c>
      <c r="C723" t="n">
        <v>128120</v>
      </c>
      <c r="D723" t="n">
        <v>4.4</v>
      </c>
    </row>
    <row r="724">
      <c r="A724" s="79" t="n">
        <v>36220</v>
      </c>
      <c r="B724" t="n">
        <v>67</v>
      </c>
      <c r="C724" t="n">
        <v>128227</v>
      </c>
      <c r="D724" t="n">
        <v>4.2</v>
      </c>
    </row>
    <row r="725">
      <c r="A725" s="79" t="n">
        <v>36251</v>
      </c>
      <c r="B725" t="n">
        <v>67.09999999999999</v>
      </c>
      <c r="C725" t="n">
        <v>128597</v>
      </c>
      <c r="D725" t="n">
        <v>4.3</v>
      </c>
    </row>
    <row r="726">
      <c r="A726" s="79" t="n">
        <v>36281</v>
      </c>
      <c r="B726" t="n">
        <v>67.09999999999999</v>
      </c>
      <c r="C726" t="n">
        <v>128808</v>
      </c>
      <c r="D726" t="n">
        <v>4.2</v>
      </c>
    </row>
    <row r="727">
      <c r="A727" s="79" t="n">
        <v>36312</v>
      </c>
      <c r="B727" t="n">
        <v>67.09999999999999</v>
      </c>
      <c r="C727" t="n">
        <v>129089</v>
      </c>
      <c r="D727" t="n">
        <v>4.3</v>
      </c>
    </row>
    <row r="728">
      <c r="A728" s="79" t="n">
        <v>36342</v>
      </c>
      <c r="B728" t="n">
        <v>67.09999999999999</v>
      </c>
      <c r="C728" t="n">
        <v>129414</v>
      </c>
      <c r="D728" t="n">
        <v>4.3</v>
      </c>
    </row>
    <row r="729">
      <c r="A729" s="79" t="n">
        <v>36373</v>
      </c>
      <c r="B729" t="n">
        <v>67</v>
      </c>
      <c r="C729" t="n">
        <v>129569</v>
      </c>
      <c r="D729" t="n">
        <v>4.2</v>
      </c>
    </row>
    <row r="730">
      <c r="A730" s="79" t="n">
        <v>36404</v>
      </c>
      <c r="B730" t="n">
        <v>67</v>
      </c>
      <c r="C730" t="n">
        <v>129772</v>
      </c>
      <c r="D730" t="n">
        <v>4.2</v>
      </c>
    </row>
    <row r="731">
      <c r="A731" s="79" t="n">
        <v>36434</v>
      </c>
      <c r="B731" t="n">
        <v>67</v>
      </c>
      <c r="C731" t="n">
        <v>130177</v>
      </c>
      <c r="D731" t="n">
        <v>4.1</v>
      </c>
    </row>
    <row r="732">
      <c r="A732" s="79" t="n">
        <v>36465</v>
      </c>
      <c r="B732" t="n">
        <v>67.09999999999999</v>
      </c>
      <c r="C732" t="n">
        <v>130466</v>
      </c>
      <c r="D732" t="n">
        <v>4.1</v>
      </c>
    </row>
    <row r="733">
      <c r="A733" s="79" t="n">
        <v>36495</v>
      </c>
      <c r="B733" t="n">
        <v>67.09999999999999</v>
      </c>
      <c r="C733" t="n">
        <v>130772</v>
      </c>
      <c r="D733" t="n">
        <v>4</v>
      </c>
    </row>
    <row r="734">
      <c r="A734" s="79" t="n">
        <v>36526</v>
      </c>
      <c r="B734" t="n">
        <v>67.3</v>
      </c>
      <c r="C734" t="n">
        <v>131005</v>
      </c>
      <c r="D734" t="n">
        <v>4</v>
      </c>
    </row>
    <row r="735">
      <c r="A735" s="79" t="n">
        <v>36557</v>
      </c>
      <c r="B735" t="n">
        <v>67.3</v>
      </c>
      <c r="C735" t="n">
        <v>131124</v>
      </c>
      <c r="D735" t="n">
        <v>4.1</v>
      </c>
    </row>
    <row r="736">
      <c r="A736" s="79" t="n">
        <v>36586</v>
      </c>
      <c r="B736" t="n">
        <v>67.3</v>
      </c>
      <c r="C736" t="n">
        <v>131596</v>
      </c>
      <c r="D736" t="n">
        <v>4</v>
      </c>
    </row>
    <row r="737">
      <c r="A737" s="79" t="n">
        <v>36617</v>
      </c>
      <c r="B737" t="n">
        <v>67.3</v>
      </c>
      <c r="C737" t="n">
        <v>131888</v>
      </c>
      <c r="D737" t="n">
        <v>3.8</v>
      </c>
    </row>
    <row r="738">
      <c r="A738" s="79" t="n">
        <v>36647</v>
      </c>
      <c r="B738" t="n">
        <v>67.09999999999999</v>
      </c>
      <c r="C738" t="n">
        <v>132105</v>
      </c>
      <c r="D738" t="n">
        <v>4</v>
      </c>
    </row>
    <row r="739">
      <c r="A739" s="79" t="n">
        <v>36678</v>
      </c>
      <c r="B739" t="n">
        <v>67.09999999999999</v>
      </c>
      <c r="C739" t="n">
        <v>132061</v>
      </c>
      <c r="D739" t="n">
        <v>4</v>
      </c>
    </row>
    <row r="740">
      <c r="A740" s="79" t="n">
        <v>36708</v>
      </c>
      <c r="B740" t="n">
        <v>66.90000000000001</v>
      </c>
      <c r="C740" t="n">
        <v>132236</v>
      </c>
      <c r="D740" t="n">
        <v>4</v>
      </c>
    </row>
    <row r="741">
      <c r="A741" s="79" t="n">
        <v>36739</v>
      </c>
      <c r="B741" t="n">
        <v>66.90000000000001</v>
      </c>
      <c r="C741" t="n">
        <v>132230</v>
      </c>
      <c r="D741" t="n">
        <v>4.1</v>
      </c>
    </row>
    <row r="742">
      <c r="A742" s="79" t="n">
        <v>36770</v>
      </c>
      <c r="B742" t="n">
        <v>66.90000000000001</v>
      </c>
      <c r="C742" t="n">
        <v>132353</v>
      </c>
      <c r="D742" t="n">
        <v>3.9</v>
      </c>
    </row>
    <row r="743">
      <c r="A743" s="79" t="n">
        <v>36800</v>
      </c>
      <c r="B743" t="n">
        <v>66.8</v>
      </c>
      <c r="C743" t="n">
        <v>132351</v>
      </c>
      <c r="D743" t="n">
        <v>3.9</v>
      </c>
    </row>
    <row r="744">
      <c r="A744" s="79" t="n">
        <v>36831</v>
      </c>
      <c r="B744" t="n">
        <v>66.90000000000001</v>
      </c>
      <c r="C744" t="n">
        <v>132556</v>
      </c>
      <c r="D744" t="n">
        <v>3.9</v>
      </c>
    </row>
    <row r="745">
      <c r="A745" s="79" t="n">
        <v>36861</v>
      </c>
      <c r="B745" t="n">
        <v>67</v>
      </c>
      <c r="C745" t="n">
        <v>132709</v>
      </c>
      <c r="D745" t="n">
        <v>3.9</v>
      </c>
    </row>
    <row r="746">
      <c r="A746" s="79" t="n">
        <v>36892</v>
      </c>
      <c r="B746" t="n">
        <v>67.2</v>
      </c>
      <c r="C746" t="n">
        <v>132698</v>
      </c>
      <c r="D746" t="n">
        <v>4.2</v>
      </c>
    </row>
    <row r="747">
      <c r="A747" s="79" t="n">
        <v>36923</v>
      </c>
      <c r="B747" t="n">
        <v>67.09999999999999</v>
      </c>
      <c r="C747" t="n">
        <v>132789</v>
      </c>
      <c r="D747" t="n">
        <v>4.2</v>
      </c>
    </row>
    <row r="748">
      <c r="A748" s="79" t="n">
        <v>36951</v>
      </c>
      <c r="B748" t="n">
        <v>67.2</v>
      </c>
      <c r="C748" t="n">
        <v>132747</v>
      </c>
      <c r="D748" t="n">
        <v>4.3</v>
      </c>
    </row>
    <row r="749">
      <c r="A749" s="79" t="n">
        <v>36982</v>
      </c>
      <c r="B749" t="n">
        <v>66.90000000000001</v>
      </c>
      <c r="C749" t="n">
        <v>132463</v>
      </c>
      <c r="D749" t="n">
        <v>4.4</v>
      </c>
    </row>
    <row r="750">
      <c r="A750" s="79" t="n">
        <v>37012</v>
      </c>
      <c r="B750" t="n">
        <v>66.7</v>
      </c>
      <c r="C750" t="n">
        <v>132410</v>
      </c>
      <c r="D750" t="n">
        <v>4.3</v>
      </c>
    </row>
    <row r="751">
      <c r="A751" s="79" t="n">
        <v>37043</v>
      </c>
      <c r="B751" t="n">
        <v>66.7</v>
      </c>
      <c r="C751" t="n">
        <v>132299</v>
      </c>
      <c r="D751" t="n">
        <v>4.5</v>
      </c>
    </row>
    <row r="752">
      <c r="A752" s="79" t="n">
        <v>37073</v>
      </c>
      <c r="B752" t="n">
        <v>66.8</v>
      </c>
      <c r="C752" t="n">
        <v>132177</v>
      </c>
      <c r="D752" t="n">
        <v>4.6</v>
      </c>
    </row>
    <row r="753">
      <c r="A753" s="79" t="n">
        <v>37104</v>
      </c>
      <c r="B753" t="n">
        <v>66.5</v>
      </c>
      <c r="C753" t="n">
        <v>132028</v>
      </c>
      <c r="D753" t="n">
        <v>4.9</v>
      </c>
    </row>
    <row r="754">
      <c r="A754" s="79" t="n">
        <v>37135</v>
      </c>
      <c r="B754" t="n">
        <v>66.8</v>
      </c>
      <c r="C754" t="n">
        <v>131771</v>
      </c>
      <c r="D754" t="n">
        <v>5</v>
      </c>
    </row>
    <row r="755">
      <c r="A755" s="79" t="n">
        <v>37165</v>
      </c>
      <c r="B755" t="n">
        <v>66.7</v>
      </c>
      <c r="C755" t="n">
        <v>131454</v>
      </c>
      <c r="D755" t="n">
        <v>5.3</v>
      </c>
    </row>
    <row r="756">
      <c r="A756" s="79" t="n">
        <v>37196</v>
      </c>
      <c r="B756" t="n">
        <v>66.7</v>
      </c>
      <c r="C756" t="n">
        <v>131142</v>
      </c>
      <c r="D756" t="n">
        <v>5.5</v>
      </c>
    </row>
    <row r="757">
      <c r="A757" s="79" t="n">
        <v>37226</v>
      </c>
      <c r="B757" t="n">
        <v>66.7</v>
      </c>
      <c r="C757" t="n">
        <v>130982</v>
      </c>
      <c r="D757" t="n">
        <v>5.7</v>
      </c>
    </row>
    <row r="758">
      <c r="A758" s="79" t="n">
        <v>37257</v>
      </c>
      <c r="B758" t="n">
        <v>66.5</v>
      </c>
      <c r="C758" t="n">
        <v>130852</v>
      </c>
      <c r="D758" t="n">
        <v>5.7</v>
      </c>
    </row>
    <row r="759">
      <c r="A759" s="79" t="n">
        <v>37288</v>
      </c>
      <c r="B759" t="n">
        <v>66.8</v>
      </c>
      <c r="C759" t="n">
        <v>130736</v>
      </c>
      <c r="D759" t="n">
        <v>5.7</v>
      </c>
    </row>
    <row r="760">
      <c r="A760" s="79" t="n">
        <v>37316</v>
      </c>
      <c r="B760" t="n">
        <v>66.59999999999999</v>
      </c>
      <c r="C760" t="n">
        <v>130717</v>
      </c>
      <c r="D760" t="n">
        <v>5.7</v>
      </c>
    </row>
    <row r="761">
      <c r="A761" s="79" t="n">
        <v>37347</v>
      </c>
      <c r="B761" t="n">
        <v>66.7</v>
      </c>
      <c r="C761" t="n">
        <v>130623</v>
      </c>
      <c r="D761" t="n">
        <v>5.9</v>
      </c>
    </row>
    <row r="762">
      <c r="A762" s="79" t="n">
        <v>37377</v>
      </c>
      <c r="B762" t="n">
        <v>66.7</v>
      </c>
      <c r="C762" t="n">
        <v>130634</v>
      </c>
      <c r="D762" t="n">
        <v>5.8</v>
      </c>
    </row>
    <row r="763">
      <c r="A763" s="79" t="n">
        <v>37408</v>
      </c>
      <c r="B763" t="n">
        <v>66.59999999999999</v>
      </c>
      <c r="C763" t="n">
        <v>130684</v>
      </c>
      <c r="D763" t="n">
        <v>5.8</v>
      </c>
    </row>
    <row r="764">
      <c r="A764" s="79" t="n">
        <v>37438</v>
      </c>
      <c r="B764" t="n">
        <v>66.5</v>
      </c>
      <c r="C764" t="n">
        <v>130590</v>
      </c>
      <c r="D764" t="n">
        <v>5.8</v>
      </c>
    </row>
    <row r="765">
      <c r="A765" s="79" t="n">
        <v>37469</v>
      </c>
      <c r="B765" t="n">
        <v>66.59999999999999</v>
      </c>
      <c r="C765" t="n">
        <v>130587</v>
      </c>
      <c r="D765" t="n">
        <v>5.7</v>
      </c>
    </row>
    <row r="766">
      <c r="A766" s="79" t="n">
        <v>37500</v>
      </c>
      <c r="B766" t="n">
        <v>66.7</v>
      </c>
      <c r="C766" t="n">
        <v>130501</v>
      </c>
      <c r="D766" t="n">
        <v>5.7</v>
      </c>
    </row>
    <row r="767">
      <c r="A767" s="79" t="n">
        <v>37530</v>
      </c>
      <c r="B767" t="n">
        <v>66.59999999999999</v>
      </c>
      <c r="C767" t="n">
        <v>130628</v>
      </c>
      <c r="D767" t="n">
        <v>5.7</v>
      </c>
    </row>
    <row r="768">
      <c r="A768" s="79" t="n">
        <v>37561</v>
      </c>
      <c r="B768" t="n">
        <v>66.40000000000001</v>
      </c>
      <c r="C768" t="n">
        <v>130615</v>
      </c>
      <c r="D768" t="n">
        <v>5.9</v>
      </c>
    </row>
    <row r="769">
      <c r="A769" s="79" t="n">
        <v>37591</v>
      </c>
      <c r="B769" t="n">
        <v>66.3</v>
      </c>
      <c r="C769" t="n">
        <v>130472</v>
      </c>
      <c r="D769" t="n">
        <v>6</v>
      </c>
    </row>
    <row r="770">
      <c r="A770" s="79" t="n">
        <v>37622</v>
      </c>
      <c r="B770" t="n">
        <v>66.40000000000001</v>
      </c>
      <c r="C770" t="n">
        <v>130580</v>
      </c>
      <c r="D770" t="n">
        <v>5.8</v>
      </c>
    </row>
    <row r="771">
      <c r="A771" s="79" t="n">
        <v>37653</v>
      </c>
      <c r="B771" t="n">
        <v>66.40000000000001</v>
      </c>
      <c r="C771" t="n">
        <v>130444</v>
      </c>
      <c r="D771" t="n">
        <v>5.9</v>
      </c>
    </row>
    <row r="772">
      <c r="A772" s="79" t="n">
        <v>37681</v>
      </c>
      <c r="B772" t="n">
        <v>66.3</v>
      </c>
      <c r="C772" t="n">
        <v>130232</v>
      </c>
      <c r="D772" t="n">
        <v>5.9</v>
      </c>
    </row>
    <row r="773">
      <c r="A773" s="79" t="n">
        <v>37712</v>
      </c>
      <c r="B773" t="n">
        <v>66.40000000000001</v>
      </c>
      <c r="C773" t="n">
        <v>130177</v>
      </c>
      <c r="D773" t="n">
        <v>6</v>
      </c>
    </row>
    <row r="774">
      <c r="A774" s="79" t="n">
        <v>37742</v>
      </c>
      <c r="B774" t="n">
        <v>66.40000000000001</v>
      </c>
      <c r="C774" t="n">
        <v>130196</v>
      </c>
      <c r="D774" t="n">
        <v>6.1</v>
      </c>
    </row>
    <row r="775">
      <c r="A775" s="79" t="n">
        <v>37773</v>
      </c>
      <c r="B775" t="n">
        <v>66.5</v>
      </c>
      <c r="C775" t="n">
        <v>130194</v>
      </c>
      <c r="D775" t="n">
        <v>6.3</v>
      </c>
    </row>
    <row r="776">
      <c r="A776" s="79" t="n">
        <v>37803</v>
      </c>
      <c r="B776" t="n">
        <v>66.2</v>
      </c>
      <c r="C776" t="n">
        <v>130191</v>
      </c>
      <c r="D776" t="n">
        <v>6.2</v>
      </c>
    </row>
    <row r="777">
      <c r="A777" s="79" t="n">
        <v>37834</v>
      </c>
      <c r="B777" t="n">
        <v>66.09999999999999</v>
      </c>
      <c r="C777" t="n">
        <v>130149</v>
      </c>
      <c r="D777" t="n">
        <v>6.1</v>
      </c>
    </row>
    <row r="778">
      <c r="A778" s="79" t="n">
        <v>37865</v>
      </c>
      <c r="B778" t="n">
        <v>66.09999999999999</v>
      </c>
      <c r="C778" t="n">
        <v>130254</v>
      </c>
      <c r="D778" t="n">
        <v>6.1</v>
      </c>
    </row>
    <row r="779">
      <c r="A779" s="79" t="n">
        <v>37895</v>
      </c>
      <c r="B779" t="n">
        <v>66.09999999999999</v>
      </c>
      <c r="C779" t="n">
        <v>130454</v>
      </c>
      <c r="D779" t="n">
        <v>6</v>
      </c>
    </row>
    <row r="780">
      <c r="A780" s="79" t="n">
        <v>37926</v>
      </c>
      <c r="B780" t="n">
        <v>66.09999999999999</v>
      </c>
      <c r="C780" t="n">
        <v>130474</v>
      </c>
      <c r="D780" t="n">
        <v>5.8</v>
      </c>
    </row>
    <row r="781">
      <c r="A781" s="79" t="n">
        <v>37956</v>
      </c>
      <c r="B781" t="n">
        <v>65.90000000000001</v>
      </c>
      <c r="C781" t="n">
        <v>130588</v>
      </c>
      <c r="D781" t="n">
        <v>5.7</v>
      </c>
    </row>
    <row r="782">
      <c r="A782" s="79" t="n">
        <v>37987</v>
      </c>
      <c r="B782" t="n">
        <v>66.09999999999999</v>
      </c>
      <c r="C782" t="n">
        <v>130769</v>
      </c>
      <c r="D782" t="n">
        <v>5.7</v>
      </c>
    </row>
    <row r="783">
      <c r="A783" s="79" t="n">
        <v>38018</v>
      </c>
      <c r="B783" t="n">
        <v>66</v>
      </c>
      <c r="C783" t="n">
        <v>130825</v>
      </c>
      <c r="D783" t="n">
        <v>5.6</v>
      </c>
    </row>
    <row r="784">
      <c r="A784" s="79" t="n">
        <v>38047</v>
      </c>
      <c r="B784" t="n">
        <v>66</v>
      </c>
      <c r="C784" t="n">
        <v>131142</v>
      </c>
      <c r="D784" t="n">
        <v>5.8</v>
      </c>
    </row>
    <row r="785">
      <c r="A785" s="79" t="n">
        <v>38078</v>
      </c>
      <c r="B785" t="n">
        <v>65.90000000000001</v>
      </c>
      <c r="C785" t="n">
        <v>131411</v>
      </c>
      <c r="D785" t="n">
        <v>5.6</v>
      </c>
    </row>
    <row r="786">
      <c r="A786" s="79" t="n">
        <v>38108</v>
      </c>
      <c r="B786" t="n">
        <v>66</v>
      </c>
      <c r="C786" t="n">
        <v>131694</v>
      </c>
      <c r="D786" t="n">
        <v>5.6</v>
      </c>
    </row>
    <row r="787">
      <c r="A787" s="79" t="n">
        <v>38139</v>
      </c>
      <c r="B787" t="n">
        <v>66.09999999999999</v>
      </c>
      <c r="C787" t="n">
        <v>131793</v>
      </c>
      <c r="D787" t="n">
        <v>5.6</v>
      </c>
    </row>
    <row r="788">
      <c r="A788" s="79" t="n">
        <v>38169</v>
      </c>
      <c r="B788" t="n">
        <v>66.09999999999999</v>
      </c>
      <c r="C788" t="n">
        <v>131848</v>
      </c>
      <c r="D788" t="n">
        <v>5.5</v>
      </c>
    </row>
    <row r="789">
      <c r="A789" s="79" t="n">
        <v>38200</v>
      </c>
      <c r="B789" t="n">
        <v>66</v>
      </c>
      <c r="C789" t="n">
        <v>131937</v>
      </c>
      <c r="D789" t="n">
        <v>5.4</v>
      </c>
    </row>
    <row r="790">
      <c r="A790" s="79" t="n">
        <v>38231</v>
      </c>
      <c r="B790" t="n">
        <v>65.8</v>
      </c>
      <c r="C790" t="n">
        <v>132093</v>
      </c>
      <c r="D790" t="n">
        <v>5.4</v>
      </c>
    </row>
    <row r="791">
      <c r="A791" s="79" t="n">
        <v>38261</v>
      </c>
      <c r="B791" t="n">
        <v>65.90000000000001</v>
      </c>
      <c r="C791" t="n">
        <v>132447</v>
      </c>
      <c r="D791" t="n">
        <v>5.5</v>
      </c>
    </row>
    <row r="792">
      <c r="A792" s="79" t="n">
        <v>38292</v>
      </c>
      <c r="B792" t="n">
        <v>66</v>
      </c>
      <c r="C792" t="n">
        <v>132503</v>
      </c>
      <c r="D792" t="n">
        <v>5.4</v>
      </c>
    </row>
    <row r="793">
      <c r="A793" s="79" t="n">
        <v>38322</v>
      </c>
      <c r="B793" t="n">
        <v>65.90000000000001</v>
      </c>
      <c r="C793" t="n">
        <v>132624</v>
      </c>
      <c r="D793" t="n">
        <v>5.4</v>
      </c>
    </row>
    <row r="794">
      <c r="A794" s="79" t="n">
        <v>38353</v>
      </c>
      <c r="B794" t="n">
        <v>65.8</v>
      </c>
      <c r="C794" t="n">
        <v>132774</v>
      </c>
      <c r="D794" t="n">
        <v>5.3</v>
      </c>
    </row>
    <row r="795">
      <c r="A795" s="79" t="n">
        <v>38384</v>
      </c>
      <c r="B795" t="n">
        <v>65.90000000000001</v>
      </c>
      <c r="C795" t="n">
        <v>133032</v>
      </c>
      <c r="D795" t="n">
        <v>5.4</v>
      </c>
    </row>
    <row r="796">
      <c r="A796" s="79" t="n">
        <v>38412</v>
      </c>
      <c r="B796" t="n">
        <v>65.90000000000001</v>
      </c>
      <c r="C796" t="n">
        <v>133156</v>
      </c>
      <c r="D796" t="n">
        <v>5.2</v>
      </c>
    </row>
    <row r="797">
      <c r="A797" s="79" t="n">
        <v>38443</v>
      </c>
      <c r="B797" t="n">
        <v>66.09999999999999</v>
      </c>
      <c r="C797" t="n">
        <v>133518</v>
      </c>
      <c r="D797" t="n">
        <v>5.2</v>
      </c>
    </row>
    <row r="798">
      <c r="A798" s="79" t="n">
        <v>38473</v>
      </c>
      <c r="B798" t="n">
        <v>66.09999999999999</v>
      </c>
      <c r="C798" t="n">
        <v>133690</v>
      </c>
      <c r="D798" t="n">
        <v>5.1</v>
      </c>
    </row>
    <row r="799">
      <c r="A799" s="79" t="n">
        <v>38504</v>
      </c>
      <c r="B799" t="n">
        <v>66.09999999999999</v>
      </c>
      <c r="C799" t="n">
        <v>133942</v>
      </c>
      <c r="D799" t="n">
        <v>5</v>
      </c>
    </row>
    <row r="800">
      <c r="A800" s="79" t="n">
        <v>38534</v>
      </c>
      <c r="B800" t="n">
        <v>66.09999999999999</v>
      </c>
      <c r="C800" t="n">
        <v>134296</v>
      </c>
      <c r="D800" t="n">
        <v>5</v>
      </c>
    </row>
    <row r="801">
      <c r="A801" s="79" t="n">
        <v>38565</v>
      </c>
      <c r="B801" t="n">
        <v>66.2</v>
      </c>
      <c r="C801" t="n">
        <v>134498</v>
      </c>
      <c r="D801" t="n">
        <v>4.9</v>
      </c>
    </row>
    <row r="802">
      <c r="A802" s="79" t="n">
        <v>38596</v>
      </c>
      <c r="B802" t="n">
        <v>66.09999999999999</v>
      </c>
      <c r="C802" t="n">
        <v>134566</v>
      </c>
      <c r="D802" t="n">
        <v>5</v>
      </c>
    </row>
    <row r="803">
      <c r="A803" s="79" t="n">
        <v>38626</v>
      </c>
      <c r="B803" t="n">
        <v>66.09999999999999</v>
      </c>
      <c r="C803" t="n">
        <v>134655</v>
      </c>
      <c r="D803" t="n">
        <v>5</v>
      </c>
    </row>
    <row r="804">
      <c r="A804" s="79" t="n">
        <v>38657</v>
      </c>
      <c r="B804" t="n">
        <v>66</v>
      </c>
      <c r="C804" t="n">
        <v>134993</v>
      </c>
      <c r="D804" t="n">
        <v>5</v>
      </c>
    </row>
    <row r="805">
      <c r="A805" s="79" t="n">
        <v>38687</v>
      </c>
      <c r="B805" t="n">
        <v>66</v>
      </c>
      <c r="C805" t="n">
        <v>135149</v>
      </c>
      <c r="D805" t="n">
        <v>4.9</v>
      </c>
    </row>
    <row r="806">
      <c r="A806" s="79" t="n">
        <v>38718</v>
      </c>
      <c r="B806" t="n">
        <v>66</v>
      </c>
      <c r="C806" t="n">
        <v>135429</v>
      </c>
      <c r="D806" t="n">
        <v>4.7</v>
      </c>
    </row>
    <row r="807">
      <c r="A807" s="79" t="n">
        <v>38749</v>
      </c>
      <c r="B807" t="n">
        <v>66.09999999999999</v>
      </c>
      <c r="C807" t="n">
        <v>135737</v>
      </c>
      <c r="D807" t="n">
        <v>4.8</v>
      </c>
    </row>
    <row r="808">
      <c r="A808" s="79" t="n">
        <v>38777</v>
      </c>
      <c r="B808" t="n">
        <v>66.2</v>
      </c>
      <c r="C808" t="n">
        <v>136047</v>
      </c>
      <c r="D808" t="n">
        <v>4.7</v>
      </c>
    </row>
    <row r="809">
      <c r="A809" s="79" t="n">
        <v>38808</v>
      </c>
      <c r="B809" t="n">
        <v>66.09999999999999</v>
      </c>
      <c r="C809" t="n">
        <v>136205</v>
      </c>
      <c r="D809" t="n">
        <v>4.7</v>
      </c>
    </row>
    <row r="810">
      <c r="A810" s="79" t="n">
        <v>38838</v>
      </c>
      <c r="B810" t="n">
        <v>66.09999999999999</v>
      </c>
      <c r="C810" t="n">
        <v>136244</v>
      </c>
      <c r="D810" t="n">
        <v>4.6</v>
      </c>
    </row>
    <row r="811">
      <c r="A811" s="79" t="n">
        <v>38869</v>
      </c>
      <c r="B811" t="n">
        <v>66.2</v>
      </c>
      <c r="C811" t="n">
        <v>136325</v>
      </c>
      <c r="D811" t="n">
        <v>4.6</v>
      </c>
    </row>
    <row r="812">
      <c r="A812" s="79" t="n">
        <v>38899</v>
      </c>
      <c r="B812" t="n">
        <v>66.09999999999999</v>
      </c>
      <c r="C812" t="n">
        <v>136520</v>
      </c>
      <c r="D812" t="n">
        <v>4.7</v>
      </c>
    </row>
    <row r="813">
      <c r="A813" s="79" t="n">
        <v>38930</v>
      </c>
      <c r="B813" t="n">
        <v>66.2</v>
      </c>
      <c r="C813" t="n">
        <v>136694</v>
      </c>
      <c r="D813" t="n">
        <v>4.7</v>
      </c>
    </row>
    <row r="814">
      <c r="A814" s="79" t="n">
        <v>38961</v>
      </c>
      <c r="B814" t="n">
        <v>66.09999999999999</v>
      </c>
      <c r="C814" t="n">
        <v>136843</v>
      </c>
      <c r="D814" t="n">
        <v>4.5</v>
      </c>
    </row>
    <row r="815">
      <c r="A815" s="79" t="n">
        <v>38991</v>
      </c>
      <c r="B815" t="n">
        <v>66.2</v>
      </c>
      <c r="C815" t="n">
        <v>136852</v>
      </c>
      <c r="D815" t="n">
        <v>4.4</v>
      </c>
    </row>
    <row r="816">
      <c r="A816" s="79" t="n">
        <v>39022</v>
      </c>
      <c r="B816" t="n">
        <v>66.3</v>
      </c>
      <c r="C816" t="n">
        <v>137063</v>
      </c>
      <c r="D816" t="n">
        <v>4.5</v>
      </c>
    </row>
    <row r="817">
      <c r="A817" s="79" t="n">
        <v>39052</v>
      </c>
      <c r="B817" t="n">
        <v>66.40000000000001</v>
      </c>
      <c r="C817" t="n">
        <v>137249</v>
      </c>
      <c r="D817" t="n">
        <v>4.4</v>
      </c>
    </row>
    <row r="818">
      <c r="A818" s="79" t="n">
        <v>39083</v>
      </c>
      <c r="B818" t="n">
        <v>66.40000000000001</v>
      </c>
      <c r="C818" t="n">
        <v>137477</v>
      </c>
      <c r="D818" t="n">
        <v>4.6</v>
      </c>
    </row>
    <row r="819">
      <c r="A819" s="79" t="n">
        <v>39114</v>
      </c>
      <c r="B819" t="n">
        <v>66.3</v>
      </c>
      <c r="C819" t="n">
        <v>137558</v>
      </c>
      <c r="D819" t="n">
        <v>4.5</v>
      </c>
    </row>
    <row r="820">
      <c r="A820" s="79" t="n">
        <v>39142</v>
      </c>
      <c r="B820" t="n">
        <v>66.2</v>
      </c>
      <c r="C820" t="n">
        <v>137793</v>
      </c>
      <c r="D820" t="n">
        <v>4.4</v>
      </c>
    </row>
    <row r="821">
      <c r="A821" s="79" t="n">
        <v>39173</v>
      </c>
      <c r="B821" t="n">
        <v>65.90000000000001</v>
      </c>
      <c r="C821" t="n">
        <v>137842</v>
      </c>
      <c r="D821" t="n">
        <v>4.5</v>
      </c>
    </row>
    <row r="822">
      <c r="A822" s="79" t="n">
        <v>39203</v>
      </c>
      <c r="B822" t="n">
        <v>66</v>
      </c>
      <c r="C822" t="n">
        <v>137993</v>
      </c>
      <c r="D822" t="n">
        <v>4.4</v>
      </c>
    </row>
    <row r="823">
      <c r="A823" s="79" t="n">
        <v>39234</v>
      </c>
      <c r="B823" t="n">
        <v>66</v>
      </c>
      <c r="C823" t="n">
        <v>138069</v>
      </c>
      <c r="D823" t="n">
        <v>4.6</v>
      </c>
    </row>
    <row r="824">
      <c r="A824" s="79" t="n">
        <v>39264</v>
      </c>
      <c r="B824" t="n">
        <v>66</v>
      </c>
      <c r="C824" t="n">
        <v>138038</v>
      </c>
      <c r="D824" t="n">
        <v>4.7</v>
      </c>
    </row>
    <row r="825">
      <c r="A825" s="79" t="n">
        <v>39295</v>
      </c>
      <c r="B825" t="n">
        <v>65.8</v>
      </c>
      <c r="C825" t="n">
        <v>138015</v>
      </c>
      <c r="D825" t="n">
        <v>4.6</v>
      </c>
    </row>
    <row r="826">
      <c r="A826" s="79" t="n">
        <v>39326</v>
      </c>
      <c r="B826" t="n">
        <v>66</v>
      </c>
      <c r="C826" t="n">
        <v>138095</v>
      </c>
      <c r="D826" t="n">
        <v>4.7</v>
      </c>
    </row>
    <row r="827">
      <c r="A827" s="79" t="n">
        <v>39356</v>
      </c>
      <c r="B827" t="n">
        <v>65.8</v>
      </c>
      <c r="C827" t="n">
        <v>138174</v>
      </c>
      <c r="D827" t="n">
        <v>4.7</v>
      </c>
    </row>
    <row r="828">
      <c r="A828" s="79" t="n">
        <v>39387</v>
      </c>
      <c r="B828" t="n">
        <v>66</v>
      </c>
      <c r="C828" t="n">
        <v>138284</v>
      </c>
      <c r="D828" t="n">
        <v>4.7</v>
      </c>
    </row>
    <row r="829">
      <c r="A829" s="79" t="n">
        <v>39417</v>
      </c>
      <c r="B829" t="n">
        <v>66</v>
      </c>
      <c r="C829" t="n">
        <v>138392</v>
      </c>
      <c r="D829" t="n">
        <v>5</v>
      </c>
    </row>
    <row r="830">
      <c r="A830" s="79" t="n">
        <v>39448</v>
      </c>
      <c r="B830" t="n">
        <v>66.2</v>
      </c>
      <c r="C830" t="n">
        <v>138403</v>
      </c>
      <c r="D830" t="n">
        <v>5</v>
      </c>
    </row>
    <row r="831">
      <c r="A831" s="79" t="n">
        <v>39479</v>
      </c>
      <c r="B831" t="n">
        <v>66</v>
      </c>
      <c r="C831" t="n">
        <v>138324</v>
      </c>
      <c r="D831" t="n">
        <v>4.9</v>
      </c>
    </row>
    <row r="832">
      <c r="A832" s="79" t="n">
        <v>39508</v>
      </c>
      <c r="B832" t="n">
        <v>66.09999999999999</v>
      </c>
      <c r="C832" t="n">
        <v>138275</v>
      </c>
      <c r="D832" t="n">
        <v>5.1</v>
      </c>
    </row>
    <row r="833">
      <c r="A833" s="79" t="n">
        <v>39539</v>
      </c>
      <c r="B833" t="n">
        <v>65.90000000000001</v>
      </c>
      <c r="C833" t="n">
        <v>138035</v>
      </c>
      <c r="D833" t="n">
        <v>5</v>
      </c>
    </row>
    <row r="834">
      <c r="A834" s="79" t="n">
        <v>39569</v>
      </c>
      <c r="B834" t="n">
        <v>66.09999999999999</v>
      </c>
      <c r="C834" t="n">
        <v>137858</v>
      </c>
      <c r="D834" t="n">
        <v>5.4</v>
      </c>
    </row>
    <row r="835">
      <c r="A835" s="79" t="n">
        <v>39600</v>
      </c>
      <c r="B835" t="n">
        <v>66.09999999999999</v>
      </c>
      <c r="C835" t="n">
        <v>137687</v>
      </c>
      <c r="D835" t="n">
        <v>5.6</v>
      </c>
    </row>
    <row r="836">
      <c r="A836" s="79" t="n">
        <v>39630</v>
      </c>
      <c r="B836" t="n">
        <v>66.09999999999999</v>
      </c>
      <c r="C836" t="n">
        <v>137491</v>
      </c>
      <c r="D836" t="n">
        <v>5.8</v>
      </c>
    </row>
    <row r="837">
      <c r="A837" s="79" t="n">
        <v>39661</v>
      </c>
      <c r="B837" t="n">
        <v>66.09999999999999</v>
      </c>
      <c r="C837" t="n">
        <v>137213</v>
      </c>
      <c r="D837" t="n">
        <v>6.1</v>
      </c>
    </row>
    <row r="838">
      <c r="A838" s="79" t="n">
        <v>39692</v>
      </c>
      <c r="B838" t="n">
        <v>66</v>
      </c>
      <c r="C838" t="n">
        <v>136753</v>
      </c>
      <c r="D838" t="n">
        <v>6.1</v>
      </c>
    </row>
    <row r="839">
      <c r="A839" s="79" t="n">
        <v>39722</v>
      </c>
      <c r="B839" t="n">
        <v>66</v>
      </c>
      <c r="C839" t="n">
        <v>136272</v>
      </c>
      <c r="D839" t="n">
        <v>6.5</v>
      </c>
    </row>
    <row r="840">
      <c r="A840" s="79" t="n">
        <v>39753</v>
      </c>
      <c r="B840" t="n">
        <v>65.90000000000001</v>
      </c>
      <c r="C840" t="n">
        <v>135545</v>
      </c>
      <c r="D840" t="n">
        <v>6.8</v>
      </c>
    </row>
    <row r="841">
      <c r="A841" s="79" t="n">
        <v>39783</v>
      </c>
      <c r="B841" t="n">
        <v>65.8</v>
      </c>
      <c r="C841" t="n">
        <v>134839</v>
      </c>
      <c r="D841" t="n">
        <v>7.3</v>
      </c>
    </row>
    <row r="842">
      <c r="A842" s="79" t="n">
        <v>39814</v>
      </c>
      <c r="B842" t="n">
        <v>65.7</v>
      </c>
      <c r="C842" t="n">
        <v>134055</v>
      </c>
      <c r="D842" t="n">
        <v>7.8</v>
      </c>
    </row>
    <row r="843">
      <c r="A843" s="79" t="n">
        <v>39845</v>
      </c>
      <c r="B843" t="n">
        <v>65.8</v>
      </c>
      <c r="C843" t="n">
        <v>133312</v>
      </c>
      <c r="D843" t="n">
        <v>8.300000000000001</v>
      </c>
    </row>
    <row r="844">
      <c r="A844" s="79" t="n">
        <v>39873</v>
      </c>
      <c r="B844" t="n">
        <v>65.59999999999999</v>
      </c>
      <c r="C844" t="n">
        <v>132512</v>
      </c>
      <c r="D844" t="n">
        <v>8.699999999999999</v>
      </c>
    </row>
    <row r="845">
      <c r="A845" s="79" t="n">
        <v>39904</v>
      </c>
      <c r="B845" t="n">
        <v>65.7</v>
      </c>
      <c r="C845" t="n">
        <v>131817</v>
      </c>
      <c r="D845" t="n">
        <v>9</v>
      </c>
    </row>
    <row r="846">
      <c r="A846" s="79" t="n">
        <v>39934</v>
      </c>
      <c r="B846" t="n">
        <v>65.7</v>
      </c>
      <c r="C846" t="n">
        <v>131475</v>
      </c>
      <c r="D846" t="n">
        <v>9.4</v>
      </c>
    </row>
    <row r="847">
      <c r="A847" s="79" t="n">
        <v>39965</v>
      </c>
      <c r="B847" t="n">
        <v>65.7</v>
      </c>
      <c r="C847" t="n">
        <v>131008</v>
      </c>
      <c r="D847" t="n">
        <v>9.5</v>
      </c>
    </row>
    <row r="848">
      <c r="A848" s="79" t="n">
        <v>39995</v>
      </c>
      <c r="B848" t="n">
        <v>65.5</v>
      </c>
      <c r="C848" t="n">
        <v>130668</v>
      </c>
      <c r="D848" t="n">
        <v>9.5</v>
      </c>
    </row>
    <row r="849">
      <c r="A849" s="79" t="n">
        <v>40026</v>
      </c>
      <c r="B849" t="n">
        <v>65.40000000000001</v>
      </c>
      <c r="C849" t="n">
        <v>130485</v>
      </c>
      <c r="D849" t="n">
        <v>9.6</v>
      </c>
    </row>
    <row r="850">
      <c r="A850" s="79" t="n">
        <v>40057</v>
      </c>
      <c r="B850" t="n">
        <v>65.09999999999999</v>
      </c>
      <c r="C850" t="n">
        <v>130244</v>
      </c>
      <c r="D850" t="n">
        <v>9.800000000000001</v>
      </c>
    </row>
    <row r="851">
      <c r="A851" s="79" t="n">
        <v>40087</v>
      </c>
      <c r="B851" t="n">
        <v>65</v>
      </c>
      <c r="C851" t="n">
        <v>130045</v>
      </c>
      <c r="D851" t="n">
        <v>10</v>
      </c>
    </row>
    <row r="852">
      <c r="A852" s="79" t="n">
        <v>40118</v>
      </c>
      <c r="B852" t="n">
        <v>65</v>
      </c>
      <c r="C852" t="n">
        <v>130057</v>
      </c>
      <c r="D852" t="n">
        <v>9.9</v>
      </c>
    </row>
    <row r="853">
      <c r="A853" s="79" t="n">
        <v>40148</v>
      </c>
      <c r="B853" t="n">
        <v>64.59999999999999</v>
      </c>
      <c r="C853" t="n">
        <v>129788</v>
      </c>
      <c r="D853" t="n">
        <v>9.9</v>
      </c>
    </row>
    <row r="854">
      <c r="A854" s="79" t="n">
        <v>40179</v>
      </c>
      <c r="B854" t="n">
        <v>64.8</v>
      </c>
      <c r="C854" t="n">
        <v>129790</v>
      </c>
      <c r="D854" t="n">
        <v>9.800000000000001</v>
      </c>
    </row>
    <row r="855">
      <c r="A855" s="79" t="n">
        <v>40210</v>
      </c>
      <c r="B855" t="n">
        <v>64.90000000000001</v>
      </c>
      <c r="C855" t="n">
        <v>129698</v>
      </c>
      <c r="D855" t="n">
        <v>9.800000000000001</v>
      </c>
    </row>
    <row r="856">
      <c r="A856" s="79" t="n">
        <v>40238</v>
      </c>
      <c r="B856" t="n">
        <v>64.90000000000001</v>
      </c>
      <c r="C856" t="n">
        <v>129879</v>
      </c>
      <c r="D856" t="n">
        <v>9.9</v>
      </c>
    </row>
    <row r="857">
      <c r="A857" s="79" t="n">
        <v>40269</v>
      </c>
      <c r="B857" t="n">
        <v>65.2</v>
      </c>
      <c r="C857" t="n">
        <v>130110</v>
      </c>
      <c r="D857" t="n">
        <v>9.9</v>
      </c>
    </row>
    <row r="858">
      <c r="A858" s="79" t="n">
        <v>40299</v>
      </c>
      <c r="B858" t="n">
        <v>64.90000000000001</v>
      </c>
      <c r="C858" t="n">
        <v>130650</v>
      </c>
      <c r="D858" t="n">
        <v>9.6</v>
      </c>
    </row>
    <row r="859">
      <c r="A859" s="79" t="n">
        <v>40330</v>
      </c>
      <c r="B859" t="n">
        <v>64.59999999999999</v>
      </c>
      <c r="C859" t="n">
        <v>130511</v>
      </c>
      <c r="D859" t="n">
        <v>9.4</v>
      </c>
    </row>
    <row r="860">
      <c r="A860" s="79" t="n">
        <v>40360</v>
      </c>
      <c r="B860" t="n">
        <v>64.59999999999999</v>
      </c>
      <c r="C860" t="n">
        <v>130427</v>
      </c>
      <c r="D860" t="n">
        <v>9.4</v>
      </c>
    </row>
    <row r="861">
      <c r="A861" s="79" t="n">
        <v>40391</v>
      </c>
      <c r="B861" t="n">
        <v>64.7</v>
      </c>
      <c r="C861" t="n">
        <v>130422</v>
      </c>
      <c r="D861" t="n">
        <v>9.5</v>
      </c>
    </row>
    <row r="862">
      <c r="A862" s="79" t="n">
        <v>40422</v>
      </c>
      <c r="B862" t="n">
        <v>64.59999999999999</v>
      </c>
      <c r="C862" t="n">
        <v>130357</v>
      </c>
      <c r="D862" t="n">
        <v>9.5</v>
      </c>
    </row>
    <row r="863">
      <c r="A863" s="79" t="n">
        <v>40452</v>
      </c>
      <c r="B863" t="n">
        <v>64.40000000000001</v>
      </c>
      <c r="C863" t="n">
        <v>130625</v>
      </c>
      <c r="D863" t="n">
        <v>9.4</v>
      </c>
    </row>
    <row r="864">
      <c r="A864" s="79" t="n">
        <v>40483</v>
      </c>
      <c r="B864" t="n">
        <v>64.59999999999999</v>
      </c>
      <c r="C864" t="n">
        <v>130750</v>
      </c>
      <c r="D864" t="n">
        <v>9.800000000000001</v>
      </c>
    </row>
    <row r="865">
      <c r="A865" s="79" t="n">
        <v>40513</v>
      </c>
      <c r="B865" t="n">
        <v>64.3</v>
      </c>
      <c r="C865" t="n">
        <v>130822</v>
      </c>
      <c r="D865" t="n">
        <v>9.300000000000001</v>
      </c>
    </row>
    <row r="866">
      <c r="A866" s="79" t="n">
        <v>40544</v>
      </c>
      <c r="B866" t="n">
        <v>64.2</v>
      </c>
      <c r="C866" t="n">
        <v>130841</v>
      </c>
      <c r="D866" t="n">
        <v>9.1</v>
      </c>
    </row>
    <row r="867">
      <c r="A867" s="79" t="n">
        <v>40575</v>
      </c>
      <c r="B867" t="n">
        <v>64.09999999999999</v>
      </c>
      <c r="C867" t="n">
        <v>131053</v>
      </c>
      <c r="D867" t="n">
        <v>9</v>
      </c>
    </row>
    <row r="868">
      <c r="A868" s="79" t="n">
        <v>40603</v>
      </c>
      <c r="B868" t="n">
        <v>64.2</v>
      </c>
      <c r="C868" t="n">
        <v>131288</v>
      </c>
      <c r="D868" t="n">
        <v>9</v>
      </c>
    </row>
    <row r="869">
      <c r="A869" s="79" t="n">
        <v>40634</v>
      </c>
      <c r="B869" t="n">
        <v>64.2</v>
      </c>
      <c r="C869" t="n">
        <v>131602</v>
      </c>
      <c r="D869" t="n">
        <v>9.1</v>
      </c>
    </row>
    <row r="870">
      <c r="A870" s="79" t="n">
        <v>40664</v>
      </c>
      <c r="B870" t="n">
        <v>64.09999999999999</v>
      </c>
      <c r="C870" t="n">
        <v>131703</v>
      </c>
      <c r="D870" t="n">
        <v>9</v>
      </c>
    </row>
    <row r="871">
      <c r="A871" s="79" t="n">
        <v>40695</v>
      </c>
      <c r="B871" t="n">
        <v>64</v>
      </c>
      <c r="C871" t="n">
        <v>131939</v>
      </c>
      <c r="D871" t="n">
        <v>9.1</v>
      </c>
    </row>
    <row r="872">
      <c r="A872" s="79" t="n">
        <v>40725</v>
      </c>
      <c r="B872" t="n">
        <v>64</v>
      </c>
      <c r="C872" t="n">
        <v>131999</v>
      </c>
      <c r="D872" t="n">
        <v>9</v>
      </c>
    </row>
    <row r="873">
      <c r="A873" s="79" t="n">
        <v>40756</v>
      </c>
      <c r="B873" t="n">
        <v>64.09999999999999</v>
      </c>
      <c r="C873" t="n">
        <v>132125</v>
      </c>
      <c r="D873" t="n">
        <v>9</v>
      </c>
    </row>
    <row r="874">
      <c r="A874" s="79" t="n">
        <v>40787</v>
      </c>
      <c r="B874" t="n">
        <v>64.2</v>
      </c>
      <c r="C874" t="n">
        <v>132358</v>
      </c>
      <c r="D874" t="n">
        <v>9</v>
      </c>
    </row>
    <row r="875">
      <c r="A875" s="79" t="n">
        <v>40817</v>
      </c>
      <c r="B875" t="n">
        <v>64.09999999999999</v>
      </c>
      <c r="C875" t="n">
        <v>132562</v>
      </c>
      <c r="D875" t="n">
        <v>8.800000000000001</v>
      </c>
    </row>
    <row r="876">
      <c r="A876" s="79" t="n">
        <v>40848</v>
      </c>
      <c r="B876" t="n">
        <v>64.09999999999999</v>
      </c>
      <c r="C876" t="n">
        <v>132694</v>
      </c>
      <c r="D876" t="n">
        <v>8.6</v>
      </c>
    </row>
    <row r="877">
      <c r="A877" s="79" t="n">
        <v>40878</v>
      </c>
      <c r="B877" t="n">
        <v>64</v>
      </c>
      <c r="C877" t="n">
        <v>132896</v>
      </c>
      <c r="D877" t="n">
        <v>8.5</v>
      </c>
    </row>
    <row r="878">
      <c r="A878" s="79" t="n">
        <v>40909</v>
      </c>
      <c r="B878" t="n">
        <v>63.7</v>
      </c>
      <c r="C878" t="n">
        <v>133250</v>
      </c>
      <c r="D878" t="n">
        <v>8.300000000000001</v>
      </c>
    </row>
    <row r="879">
      <c r="A879" s="79" t="n">
        <v>40940</v>
      </c>
      <c r="B879" t="n">
        <v>63.8</v>
      </c>
      <c r="C879" t="n">
        <v>133512</v>
      </c>
      <c r="D879" t="n">
        <v>8.300000000000001</v>
      </c>
    </row>
    <row r="880">
      <c r="A880" s="79" t="n">
        <v>40969</v>
      </c>
      <c r="B880" t="n">
        <v>63.8</v>
      </c>
      <c r="C880" t="n">
        <v>133752</v>
      </c>
      <c r="D880" t="n">
        <v>8.199999999999999</v>
      </c>
    </row>
    <row r="881">
      <c r="A881" s="79" t="n">
        <v>41000</v>
      </c>
      <c r="B881" t="n">
        <v>63.7</v>
      </c>
      <c r="C881" t="n">
        <v>133834</v>
      </c>
      <c r="D881" t="n">
        <v>8.199999999999999</v>
      </c>
    </row>
    <row r="882">
      <c r="A882" s="79" t="n">
        <v>41030</v>
      </c>
      <c r="B882" t="n">
        <v>63.7</v>
      </c>
      <c r="C882" t="n">
        <v>133934</v>
      </c>
      <c r="D882" t="n">
        <v>8.199999999999999</v>
      </c>
    </row>
    <row r="883">
      <c r="A883" s="79" t="n">
        <v>41061</v>
      </c>
      <c r="B883" t="n">
        <v>63.8</v>
      </c>
      <c r="C883" t="n">
        <v>134007</v>
      </c>
      <c r="D883" t="n">
        <v>8.199999999999999</v>
      </c>
    </row>
    <row r="884">
      <c r="A884" s="79" t="n">
        <v>41091</v>
      </c>
      <c r="B884" t="n">
        <v>63.7</v>
      </c>
      <c r="C884" t="n">
        <v>134159</v>
      </c>
      <c r="D884" t="n">
        <v>8.199999999999999</v>
      </c>
    </row>
    <row r="885">
      <c r="A885" s="79" t="n">
        <v>41122</v>
      </c>
      <c r="B885" t="n">
        <v>63.5</v>
      </c>
      <c r="C885" t="n">
        <v>134331</v>
      </c>
      <c r="D885" t="n">
        <v>8.1</v>
      </c>
    </row>
    <row r="886">
      <c r="A886" s="79" t="n">
        <v>41153</v>
      </c>
      <c r="B886" t="n">
        <v>63.6</v>
      </c>
      <c r="C886" t="n">
        <v>134518</v>
      </c>
      <c r="D886" t="n">
        <v>7.8</v>
      </c>
    </row>
    <row r="887">
      <c r="A887" s="79" t="n">
        <v>41183</v>
      </c>
      <c r="B887" t="n">
        <v>63.8</v>
      </c>
      <c r="C887" t="n">
        <v>134677</v>
      </c>
      <c r="D887" t="n">
        <v>7.8</v>
      </c>
    </row>
    <row r="888">
      <c r="A888" s="79" t="n">
        <v>41214</v>
      </c>
      <c r="B888" t="n">
        <v>63.6</v>
      </c>
      <c r="C888" t="n">
        <v>134833</v>
      </c>
      <c r="D888" t="n">
        <v>7.7</v>
      </c>
    </row>
    <row r="889">
      <c r="A889" s="79" t="n">
        <v>41244</v>
      </c>
      <c r="B889" t="n">
        <v>63.7</v>
      </c>
      <c r="C889" t="n">
        <v>135072</v>
      </c>
      <c r="D889" t="n">
        <v>7.9</v>
      </c>
    </row>
    <row r="890">
      <c r="A890" s="79" t="n">
        <v>41275</v>
      </c>
      <c r="B890" t="n">
        <v>63.7</v>
      </c>
      <c r="C890" t="n">
        <v>135263</v>
      </c>
      <c r="D890" t="n">
        <v>8</v>
      </c>
    </row>
    <row r="891">
      <c r="A891" s="79" t="n">
        <v>41306</v>
      </c>
      <c r="B891" t="n">
        <v>63.4</v>
      </c>
      <c r="C891" t="n">
        <v>135541</v>
      </c>
      <c r="D891" t="n">
        <v>7.7</v>
      </c>
    </row>
    <row r="892">
      <c r="A892" s="79" t="n">
        <v>41334</v>
      </c>
      <c r="B892" t="n">
        <v>63.3</v>
      </c>
      <c r="C892" t="n">
        <v>135680</v>
      </c>
      <c r="D892" t="n">
        <v>7.5</v>
      </c>
    </row>
    <row r="893">
      <c r="A893" s="79" t="n">
        <v>41365</v>
      </c>
      <c r="B893" t="n">
        <v>63.4</v>
      </c>
      <c r="C893" t="n">
        <v>135871</v>
      </c>
      <c r="D893" t="n">
        <v>7.6</v>
      </c>
    </row>
    <row r="894">
      <c r="A894" s="79" t="n">
        <v>41395</v>
      </c>
      <c r="B894" t="n">
        <v>63.4</v>
      </c>
      <c r="C894" t="n">
        <v>136093</v>
      </c>
      <c r="D894" t="n">
        <v>7.5</v>
      </c>
    </row>
    <row r="895">
      <c r="A895" s="79" t="n">
        <v>41426</v>
      </c>
      <c r="B895" t="n">
        <v>63.4</v>
      </c>
      <c r="C895" t="n">
        <v>136274</v>
      </c>
      <c r="D895" t="n">
        <v>7.5</v>
      </c>
    </row>
    <row r="896">
      <c r="A896" s="79" t="n">
        <v>41456</v>
      </c>
      <c r="B896" t="n">
        <v>63.3</v>
      </c>
      <c r="C896" t="n">
        <v>136386</v>
      </c>
      <c r="D896" t="n">
        <v>7.3</v>
      </c>
    </row>
    <row r="897">
      <c r="A897" s="79" t="n">
        <v>41487</v>
      </c>
      <c r="B897" t="n">
        <v>63.3</v>
      </c>
      <c r="C897" t="n">
        <v>136628</v>
      </c>
      <c r="D897" t="n">
        <v>7.2</v>
      </c>
    </row>
    <row r="898">
      <c r="A898" s="79" t="n">
        <v>41518</v>
      </c>
      <c r="B898" t="n">
        <v>63.2</v>
      </c>
      <c r="C898" t="n">
        <v>136815</v>
      </c>
      <c r="D898" t="n">
        <v>7.2</v>
      </c>
    </row>
    <row r="899">
      <c r="A899" s="79" t="n">
        <v>41548</v>
      </c>
      <c r="B899" t="n">
        <v>62.8</v>
      </c>
      <c r="C899" t="n">
        <v>137040</v>
      </c>
      <c r="D899" t="n">
        <v>7.2</v>
      </c>
    </row>
    <row r="900">
      <c r="A900" s="79" t="n">
        <v>41579</v>
      </c>
      <c r="B900" t="n">
        <v>63</v>
      </c>
      <c r="C900" t="n">
        <v>137304</v>
      </c>
      <c r="D900" t="n">
        <v>6.9</v>
      </c>
    </row>
    <row r="901">
      <c r="A901" s="79" t="n">
        <v>41609</v>
      </c>
      <c r="B901" t="n">
        <v>62.9</v>
      </c>
      <c r="C901" t="n">
        <v>137373</v>
      </c>
      <c r="D901" t="n">
        <v>6.7</v>
      </c>
    </row>
    <row r="902">
      <c r="A902" s="79" t="n">
        <v>41640</v>
      </c>
      <c r="B902" t="n">
        <v>62.9</v>
      </c>
      <c r="C902" t="n">
        <v>137548</v>
      </c>
      <c r="D902" t="n">
        <v>6.6</v>
      </c>
    </row>
    <row r="903">
      <c r="A903" s="79" t="n">
        <v>41671</v>
      </c>
      <c r="B903" t="n">
        <v>62.9</v>
      </c>
      <c r="C903" t="n">
        <v>137714</v>
      </c>
      <c r="D903" t="n">
        <v>6.7</v>
      </c>
    </row>
    <row r="904">
      <c r="A904" s="79" t="n">
        <v>41699</v>
      </c>
      <c r="B904" t="n">
        <v>63.1</v>
      </c>
      <c r="C904" t="n">
        <v>137968</v>
      </c>
      <c r="D904" t="n">
        <v>6.7</v>
      </c>
    </row>
    <row r="905">
      <c r="A905" s="79" t="n">
        <v>41730</v>
      </c>
      <c r="B905" t="n">
        <v>62.8</v>
      </c>
      <c r="C905" t="n">
        <v>138293</v>
      </c>
      <c r="D905" t="n">
        <v>6.2</v>
      </c>
    </row>
    <row r="906">
      <c r="A906" s="79" t="n">
        <v>41760</v>
      </c>
      <c r="B906" t="n">
        <v>62.9</v>
      </c>
      <c r="C906" t="n">
        <v>138511</v>
      </c>
      <c r="D906" t="n">
        <v>6.3</v>
      </c>
    </row>
    <row r="907">
      <c r="A907" s="79" t="n">
        <v>41791</v>
      </c>
      <c r="B907" t="n">
        <v>62.8</v>
      </c>
      <c r="C907" t="n">
        <v>138837</v>
      </c>
      <c r="D907" t="n">
        <v>6.1</v>
      </c>
    </row>
    <row r="908">
      <c r="A908" s="79" t="n">
        <v>41821</v>
      </c>
      <c r="B908" t="n">
        <v>62.9</v>
      </c>
      <c r="C908" t="n">
        <v>139069</v>
      </c>
      <c r="D908" t="n">
        <v>6.2</v>
      </c>
    </row>
    <row r="909">
      <c r="A909" s="79" t="n">
        <v>41852</v>
      </c>
      <c r="B909" t="n">
        <v>62.9</v>
      </c>
      <c r="C909" t="n">
        <v>139257</v>
      </c>
      <c r="D909" t="n">
        <v>6.1</v>
      </c>
    </row>
    <row r="910">
      <c r="A910" s="79" t="n">
        <v>41883</v>
      </c>
      <c r="B910" t="n">
        <v>62.8</v>
      </c>
      <c r="C910" t="n">
        <v>139566</v>
      </c>
      <c r="D910" t="n">
        <v>5.9</v>
      </c>
    </row>
    <row r="911">
      <c r="A911" s="79" t="n">
        <v>41913</v>
      </c>
      <c r="B911" t="n">
        <v>62.9</v>
      </c>
      <c r="C911" t="n">
        <v>139818</v>
      </c>
      <c r="D911" t="n">
        <v>5.7</v>
      </c>
    </row>
    <row r="912">
      <c r="A912" s="79" t="n">
        <v>41944</v>
      </c>
      <c r="B912" t="n">
        <v>62.9</v>
      </c>
      <c r="C912" t="n">
        <v>140109</v>
      </c>
      <c r="D912" t="n">
        <v>5.8</v>
      </c>
    </row>
    <row r="913">
      <c r="A913" s="79" t="n">
        <v>41974</v>
      </c>
      <c r="B913" t="n">
        <v>62.8</v>
      </c>
      <c r="C913" t="n">
        <v>140377</v>
      </c>
      <c r="D913" t="n">
        <v>5.6</v>
      </c>
    </row>
    <row r="914">
      <c r="A914" s="79" t="n">
        <v>42005</v>
      </c>
      <c r="B914" t="n">
        <v>62.9</v>
      </c>
      <c r="C914" t="n">
        <v>140568</v>
      </c>
      <c r="D914" t="n">
        <v>5.7</v>
      </c>
    </row>
    <row r="915">
      <c r="A915" s="79" t="n">
        <v>42036</v>
      </c>
      <c r="B915" t="n">
        <v>62.7</v>
      </c>
      <c r="C915" t="n">
        <v>140839</v>
      </c>
      <c r="D915" t="n">
        <v>5.5</v>
      </c>
    </row>
    <row r="916">
      <c r="A916" s="79" t="n">
        <v>42064</v>
      </c>
      <c r="B916" t="n">
        <v>62.6</v>
      </c>
      <c r="C916" t="n">
        <v>140910</v>
      </c>
      <c r="D916" t="n">
        <v>5.4</v>
      </c>
    </row>
    <row r="917">
      <c r="A917" s="79" t="n">
        <v>42095</v>
      </c>
      <c r="B917" t="n">
        <v>62.8</v>
      </c>
      <c r="C917" t="n">
        <v>141194</v>
      </c>
      <c r="D917" t="n">
        <v>5.4</v>
      </c>
    </row>
    <row r="918">
      <c r="A918" s="79" t="n">
        <v>42125</v>
      </c>
      <c r="B918" t="n">
        <v>62.9</v>
      </c>
      <c r="C918" t="n">
        <v>141525</v>
      </c>
      <c r="D918" t="n">
        <v>5.6</v>
      </c>
    </row>
    <row r="919">
      <c r="A919" s="79" t="n">
        <v>42156</v>
      </c>
      <c r="B919" t="n">
        <v>62.7</v>
      </c>
      <c r="C919" t="n">
        <v>141699</v>
      </c>
      <c r="D919" t="n">
        <v>5.3</v>
      </c>
    </row>
    <row r="920">
      <c r="A920" s="79" t="n">
        <v>42186</v>
      </c>
      <c r="B920" t="n">
        <v>62.6</v>
      </c>
      <c r="C920" t="n">
        <v>142001</v>
      </c>
      <c r="D920" t="n">
        <v>5.2</v>
      </c>
    </row>
    <row r="921">
      <c r="A921" s="79" t="n">
        <v>42217</v>
      </c>
      <c r="B921" t="n">
        <v>62.6</v>
      </c>
      <c r="C921" t="n">
        <v>142126</v>
      </c>
      <c r="D921" t="n">
        <v>5.1</v>
      </c>
    </row>
    <row r="922">
      <c r="A922" s="79" t="n">
        <v>42248</v>
      </c>
      <c r="B922" t="n">
        <v>62.4</v>
      </c>
      <c r="C922" t="n">
        <v>142281</v>
      </c>
      <c r="D922" t="n">
        <v>5</v>
      </c>
    </row>
    <row r="923">
      <c r="A923" s="79" t="n">
        <v>42278</v>
      </c>
      <c r="B923" t="n">
        <v>62.5</v>
      </c>
      <c r="C923" t="n">
        <v>142587</v>
      </c>
      <c r="D923" t="n">
        <v>5</v>
      </c>
    </row>
    <row r="924">
      <c r="A924" s="79" t="n">
        <v>42309</v>
      </c>
      <c r="B924" t="n">
        <v>62.5</v>
      </c>
      <c r="C924" t="n">
        <v>142824</v>
      </c>
      <c r="D924" t="n">
        <v>5.1</v>
      </c>
    </row>
    <row r="925">
      <c r="A925" s="79" t="n">
        <v>42339</v>
      </c>
      <c r="B925" t="n">
        <v>62.7</v>
      </c>
      <c r="C925" t="n">
        <v>143097</v>
      </c>
      <c r="D925" t="n">
        <v>5</v>
      </c>
    </row>
    <row r="926">
      <c r="A926" s="79" t="n">
        <v>42370</v>
      </c>
      <c r="B926" t="n">
        <v>62.7</v>
      </c>
      <c r="C926" t="n">
        <v>143205</v>
      </c>
      <c r="D926" t="n">
        <v>4.8</v>
      </c>
    </row>
    <row r="927">
      <c r="A927" s="79" t="n">
        <v>42401</v>
      </c>
      <c r="B927" t="n">
        <v>62.8</v>
      </c>
      <c r="C927" t="n">
        <v>143417</v>
      </c>
      <c r="D927" t="n">
        <v>4.9</v>
      </c>
    </row>
    <row r="928">
      <c r="A928" s="79" t="n">
        <v>42430</v>
      </c>
      <c r="B928" t="n">
        <v>63</v>
      </c>
      <c r="C928" t="n">
        <v>143654</v>
      </c>
      <c r="D928" t="n">
        <v>5</v>
      </c>
    </row>
    <row r="929">
      <c r="A929" s="79" t="n">
        <v>42461</v>
      </c>
      <c r="B929" t="n">
        <v>62.9</v>
      </c>
      <c r="C929" t="n">
        <v>143851</v>
      </c>
      <c r="D929" t="n">
        <v>5.1</v>
      </c>
    </row>
    <row r="930">
      <c r="A930" s="79" t="n">
        <v>42491</v>
      </c>
      <c r="B930" t="n">
        <v>62.7</v>
      </c>
      <c r="C930" t="n">
        <v>143892</v>
      </c>
      <c r="D930" t="n">
        <v>4.8</v>
      </c>
    </row>
    <row r="931">
      <c r="A931" s="79" t="n">
        <v>42522</v>
      </c>
      <c r="B931" t="n">
        <v>62.7</v>
      </c>
      <c r="C931" t="n">
        <v>144150</v>
      </c>
      <c r="D931" t="n">
        <v>4.9</v>
      </c>
    </row>
    <row r="932">
      <c r="A932" s="79" t="n">
        <v>42552</v>
      </c>
      <c r="B932" t="n">
        <v>62.8</v>
      </c>
      <c r="C932" t="n">
        <v>144521</v>
      </c>
      <c r="D932" t="n">
        <v>4.8</v>
      </c>
    </row>
    <row r="933">
      <c r="A933" s="79" t="n">
        <v>42583</v>
      </c>
      <c r="B933" t="n">
        <v>62.9</v>
      </c>
      <c r="C933" t="n">
        <v>144664</v>
      </c>
      <c r="D933" t="n">
        <v>4.9</v>
      </c>
    </row>
    <row r="934">
      <c r="A934" s="79" t="n">
        <v>42614</v>
      </c>
      <c r="B934" t="n">
        <v>62.9</v>
      </c>
      <c r="C934" t="n">
        <v>144953</v>
      </c>
      <c r="D934" t="n">
        <v>5</v>
      </c>
    </row>
    <row r="935">
      <c r="A935" s="79" t="n">
        <v>42644</v>
      </c>
      <c r="B935" t="n">
        <v>62.8</v>
      </c>
      <c r="C935" t="n">
        <v>145071</v>
      </c>
      <c r="D935" t="n">
        <v>4.9</v>
      </c>
    </row>
    <row r="936">
      <c r="A936" s="79" t="n">
        <v>42675</v>
      </c>
      <c r="B936" t="n">
        <v>62.7</v>
      </c>
      <c r="C936" t="n">
        <v>145201</v>
      </c>
      <c r="D936" t="n">
        <v>4.7</v>
      </c>
    </row>
    <row r="937">
      <c r="A937" s="79" t="n">
        <v>42705</v>
      </c>
      <c r="B937" t="n">
        <v>62.7</v>
      </c>
      <c r="C937" t="n">
        <v>145415</v>
      </c>
      <c r="D937" t="n">
        <v>4.7</v>
      </c>
    </row>
    <row r="938">
      <c r="A938" s="79" t="n">
        <v>42736</v>
      </c>
      <c r="B938" t="n">
        <v>62.8</v>
      </c>
      <c r="C938" t="n">
        <v>145612</v>
      </c>
      <c r="D938" t="n">
        <v>4.7</v>
      </c>
    </row>
    <row r="939">
      <c r="A939" s="79" t="n">
        <v>42767</v>
      </c>
      <c r="B939" t="n">
        <v>62.8</v>
      </c>
      <c r="C939" t="n">
        <v>145795</v>
      </c>
      <c r="D939" t="n">
        <v>4.6</v>
      </c>
    </row>
    <row r="940">
      <c r="A940" s="79" t="n">
        <v>42795</v>
      </c>
      <c r="B940" t="n">
        <v>63</v>
      </c>
      <c r="C940" t="n">
        <v>145934</v>
      </c>
      <c r="D940" t="n">
        <v>4.4</v>
      </c>
    </row>
    <row r="941">
      <c r="A941" s="79" t="n">
        <v>42826</v>
      </c>
      <c r="B941" t="n">
        <v>63</v>
      </c>
      <c r="C941" t="n">
        <v>146154</v>
      </c>
      <c r="D941" t="n">
        <v>4.5</v>
      </c>
    </row>
    <row r="942">
      <c r="A942" s="79" t="n">
        <v>42856</v>
      </c>
      <c r="B942" t="n">
        <v>62.8</v>
      </c>
      <c r="C942" t="n">
        <v>146295</v>
      </c>
      <c r="D942" t="n">
        <v>4.4</v>
      </c>
    </row>
    <row r="943">
      <c r="A943" s="79" t="n">
        <v>42887</v>
      </c>
      <c r="B943" t="n">
        <v>62.8</v>
      </c>
      <c r="C943" t="n">
        <v>146506</v>
      </c>
      <c r="D943" t="n">
        <v>4.3</v>
      </c>
    </row>
    <row r="944">
      <c r="A944" s="79" t="n">
        <v>42917</v>
      </c>
      <c r="B944" t="n">
        <v>62.9</v>
      </c>
      <c r="C944" t="n">
        <v>146734</v>
      </c>
      <c r="D944" t="n">
        <v>4.3</v>
      </c>
    </row>
    <row r="945">
      <c r="A945" s="79" t="n">
        <v>42948</v>
      </c>
      <c r="B945" t="n">
        <v>62.9</v>
      </c>
      <c r="C945" t="n">
        <v>146924</v>
      </c>
      <c r="D945" t="n">
        <v>4.4</v>
      </c>
    </row>
    <row r="946">
      <c r="A946" s="79" t="n">
        <v>42979</v>
      </c>
      <c r="B946" t="n">
        <v>63</v>
      </c>
      <c r="C946" t="n">
        <v>146966</v>
      </c>
      <c r="D946" t="n">
        <v>4.2</v>
      </c>
    </row>
    <row r="947">
      <c r="A947" s="79" t="n">
        <v>43009</v>
      </c>
      <c r="B947" t="n">
        <v>62.7</v>
      </c>
      <c r="C947" t="n">
        <v>147215</v>
      </c>
      <c r="D947" t="n">
        <v>4.1</v>
      </c>
    </row>
    <row r="948">
      <c r="A948" s="79" t="n">
        <v>43040</v>
      </c>
      <c r="B948" t="n">
        <v>62.7</v>
      </c>
      <c r="C948" t="n">
        <v>147411</v>
      </c>
      <c r="D948" t="n">
        <v>4.2</v>
      </c>
    </row>
    <row r="949">
      <c r="A949" s="79" t="n">
        <v>43070</v>
      </c>
      <c r="B949" t="n">
        <v>62.7</v>
      </c>
      <c r="C949" t="n">
        <v>147590</v>
      </c>
      <c r="D949" t="n">
        <v>4.1</v>
      </c>
    </row>
    <row r="950">
      <c r="A950" s="79" t="n">
        <v>43101</v>
      </c>
      <c r="B950" t="n">
        <v>62.7</v>
      </c>
      <c r="C950" t="n">
        <v>147671</v>
      </c>
      <c r="D950" t="n">
        <v>4</v>
      </c>
    </row>
    <row r="951">
      <c r="A951" s="79" t="n">
        <v>43132</v>
      </c>
      <c r="B951" t="n">
        <v>63</v>
      </c>
      <c r="C951" t="n">
        <v>148049</v>
      </c>
      <c r="D951" t="n">
        <v>4.1</v>
      </c>
    </row>
    <row r="952">
      <c r="A952" s="79" t="n">
        <v>43160</v>
      </c>
      <c r="B952" t="n">
        <v>62.9</v>
      </c>
      <c r="C952" t="n">
        <v>148244</v>
      </c>
      <c r="D952" t="n">
        <v>4</v>
      </c>
    </row>
    <row r="953">
      <c r="A953" s="79" t="n">
        <v>43191</v>
      </c>
      <c r="B953" t="n">
        <v>62.9</v>
      </c>
      <c r="C953" t="n">
        <v>148397</v>
      </c>
      <c r="D953" t="n">
        <v>4</v>
      </c>
    </row>
    <row r="954">
      <c r="A954" s="79" t="n">
        <v>43221</v>
      </c>
      <c r="B954" t="n">
        <v>62.9</v>
      </c>
      <c r="C954" t="n">
        <v>148667</v>
      </c>
      <c r="D954" t="n">
        <v>3.8</v>
      </c>
    </row>
    <row r="955">
      <c r="A955" s="79" t="n">
        <v>43252</v>
      </c>
      <c r="B955" t="n">
        <v>63</v>
      </c>
      <c r="C955" t="n">
        <v>148881</v>
      </c>
      <c r="D955" t="n">
        <v>4</v>
      </c>
    </row>
    <row r="956">
      <c r="A956" s="79" t="n">
        <v>43282</v>
      </c>
      <c r="B956" t="n">
        <v>63</v>
      </c>
      <c r="C956" t="n">
        <v>149030</v>
      </c>
      <c r="D956" t="n">
        <v>3.8</v>
      </c>
    </row>
    <row r="957">
      <c r="A957" s="79" t="n">
        <v>43313</v>
      </c>
      <c r="B957" t="n">
        <v>62.7</v>
      </c>
      <c r="C957" t="n">
        <v>149259</v>
      </c>
      <c r="D957" t="n">
        <v>3.8</v>
      </c>
    </row>
    <row r="958">
      <c r="A958" s="79" t="n">
        <v>43344</v>
      </c>
      <c r="B958" t="n">
        <v>62.7</v>
      </c>
      <c r="C958" t="n">
        <v>149364</v>
      </c>
      <c r="D958" t="n">
        <v>3.7</v>
      </c>
    </row>
    <row r="959">
      <c r="A959" s="79" t="n">
        <v>43374</v>
      </c>
      <c r="B959" t="n">
        <v>62.8</v>
      </c>
      <c r="C959" t="n">
        <v>149576</v>
      </c>
      <c r="D959" t="n">
        <v>3.8</v>
      </c>
    </row>
    <row r="960">
      <c r="A960" s="79" t="n">
        <v>43405</v>
      </c>
      <c r="B960" t="n">
        <v>62.9</v>
      </c>
      <c r="C960" t="n">
        <v>149668</v>
      </c>
      <c r="D960" t="n">
        <v>3.8</v>
      </c>
    </row>
    <row r="961">
      <c r="A961" s="79" t="n">
        <v>43435</v>
      </c>
      <c r="B961" t="n">
        <v>63</v>
      </c>
      <c r="C961" t="n">
        <v>149908</v>
      </c>
      <c r="D961" t="n">
        <v>3.9</v>
      </c>
    </row>
    <row r="962">
      <c r="A962" s="79" t="n">
        <v>43466</v>
      </c>
      <c r="B962" t="n">
        <v>63.1</v>
      </c>
      <c r="C962" t="n">
        <v>150145</v>
      </c>
      <c r="D962" t="n">
        <v>4</v>
      </c>
    </row>
    <row r="963">
      <c r="A963" s="79" t="n">
        <v>43497</v>
      </c>
      <c r="B963" t="n">
        <v>63.1</v>
      </c>
      <c r="C963" t="n">
        <v>150095</v>
      </c>
      <c r="D963" t="n">
        <v>3.8</v>
      </c>
    </row>
    <row r="964">
      <c r="A964" s="79" t="n">
        <v>43525</v>
      </c>
      <c r="B964" t="n">
        <v>63.1</v>
      </c>
      <c r="C964" t="n">
        <v>150263</v>
      </c>
      <c r="D964" t="n">
        <v>3.8</v>
      </c>
    </row>
    <row r="965">
      <c r="A965" s="79" t="n">
        <v>43556</v>
      </c>
      <c r="B965" t="n">
        <v>62.9</v>
      </c>
      <c r="C965" t="n">
        <v>150482</v>
      </c>
      <c r="D965" t="n">
        <v>3.7</v>
      </c>
    </row>
    <row r="966">
      <c r="A966" s="79" t="n">
        <v>43586</v>
      </c>
      <c r="B966" t="n">
        <v>62.9</v>
      </c>
      <c r="C966" t="n">
        <v>150545</v>
      </c>
      <c r="D966" t="n">
        <v>3.7</v>
      </c>
    </row>
    <row r="967">
      <c r="A967" s="79" t="n">
        <v>43617</v>
      </c>
      <c r="B967" t="n">
        <v>62.9</v>
      </c>
      <c r="C967" t="n">
        <v>150720</v>
      </c>
      <c r="D967" t="n">
        <v>3.6</v>
      </c>
    </row>
    <row r="968">
      <c r="A968" s="79" t="n">
        <v>43647</v>
      </c>
      <c r="B968" t="n">
        <v>63.1</v>
      </c>
      <c r="C968" t="n">
        <v>150913</v>
      </c>
      <c r="D968" t="n">
        <v>3.6</v>
      </c>
    </row>
    <row r="969">
      <c r="A969" s="79" t="n">
        <v>43678</v>
      </c>
      <c r="B969" t="n">
        <v>63.2</v>
      </c>
      <c r="C969" t="n">
        <v>151108</v>
      </c>
      <c r="D969" t="n">
        <v>3.7</v>
      </c>
    </row>
    <row r="970">
      <c r="A970" s="79" t="n">
        <v>43709</v>
      </c>
      <c r="B970" t="n">
        <v>63.1</v>
      </c>
      <c r="C970" t="n">
        <v>151329</v>
      </c>
      <c r="D970" t="n">
        <v>3.5</v>
      </c>
    </row>
    <row r="971">
      <c r="A971" s="79" t="n">
        <v>43739</v>
      </c>
      <c r="B971" t="n">
        <v>63.2</v>
      </c>
      <c r="C971" t="n">
        <v>151524</v>
      </c>
      <c r="D971" t="n">
        <v>3.6</v>
      </c>
    </row>
    <row r="972">
      <c r="A972" s="79" t="n">
        <v>43770</v>
      </c>
      <c r="B972" t="n">
        <v>63.2</v>
      </c>
      <c r="C972" t="n">
        <v>151758</v>
      </c>
      <c r="D972" t="n">
        <v>3.6</v>
      </c>
    </row>
    <row r="973">
      <c r="A973" s="79" t="n">
        <v>43800</v>
      </c>
      <c r="B973" t="n">
        <v>63.3</v>
      </c>
      <c r="C973" t="n">
        <v>151919</v>
      </c>
      <c r="D973" t="n">
        <v>3.6</v>
      </c>
    </row>
    <row r="974">
      <c r="A974" s="79" t="n">
        <v>43831</v>
      </c>
      <c r="B974" t="n">
        <v>63.4</v>
      </c>
      <c r="C974" t="n">
        <v>152234</v>
      </c>
      <c r="D974" t="n">
        <v>3.5</v>
      </c>
    </row>
    <row r="975">
      <c r="A975" s="79" t="n">
        <v>43862</v>
      </c>
      <c r="B975" t="n">
        <v>63.3</v>
      </c>
      <c r="C975" t="n">
        <v>152523</v>
      </c>
      <c r="D975" t="n">
        <v>3.5</v>
      </c>
    </row>
    <row r="976">
      <c r="A976" s="79" t="n">
        <v>43891</v>
      </c>
      <c r="B976" t="n">
        <v>62.6</v>
      </c>
      <c r="C976" t="n">
        <v>150840</v>
      </c>
      <c r="D976" t="n">
        <v>4.4</v>
      </c>
    </row>
    <row r="977">
      <c r="A977" s="79" t="n">
        <v>43922</v>
      </c>
      <c r="B977" t="n">
        <v>60.2</v>
      </c>
      <c r="C977" t="n">
        <v>130161</v>
      </c>
      <c r="D977" t="n">
        <v>14.8</v>
      </c>
    </row>
    <row r="978">
      <c r="A978" s="79" t="n">
        <v>43952</v>
      </c>
      <c r="B978" t="n">
        <v>60.8</v>
      </c>
      <c r="C978" t="n">
        <v>132994</v>
      </c>
      <c r="D978" t="n">
        <v>13.3</v>
      </c>
    </row>
    <row r="979">
      <c r="A979" s="79" t="n">
        <v>43983</v>
      </c>
      <c r="B979" t="n">
        <v>61.4</v>
      </c>
      <c r="C979" t="n">
        <v>137840</v>
      </c>
      <c r="D979" t="n">
        <v>11.1</v>
      </c>
    </row>
    <row r="980">
      <c r="A980" s="79" t="n">
        <v>44013</v>
      </c>
      <c r="B980" t="n">
        <v>61.5</v>
      </c>
      <c r="C980" t="n">
        <v>139566</v>
      </c>
      <c r="D980" t="n">
        <v>10.2</v>
      </c>
    </row>
    <row r="981">
      <c r="A981" s="79" t="n">
        <v>44044</v>
      </c>
      <c r="B981" t="n">
        <v>61.7</v>
      </c>
      <c r="C981" t="n">
        <v>141149</v>
      </c>
      <c r="D981" t="n">
        <v>8.4</v>
      </c>
    </row>
    <row r="982">
      <c r="A982" s="79" t="n">
        <v>44075</v>
      </c>
      <c r="B982" t="n">
        <v>61.4</v>
      </c>
      <c r="C982" t="n">
        <v>141865</v>
      </c>
      <c r="D982" t="n">
        <v>7.8</v>
      </c>
    </row>
    <row r="983">
      <c r="A983" s="79" t="n">
        <v>44105</v>
      </c>
      <c r="B983" t="n">
        <v>61.6</v>
      </c>
      <c r="C983" t="n">
        <v>142545</v>
      </c>
      <c r="D983" t="n">
        <v>6.9</v>
      </c>
    </row>
    <row r="984">
      <c r="A984" s="79" t="n">
        <v>44136</v>
      </c>
      <c r="B984" t="n">
        <v>61.5</v>
      </c>
      <c r="C984" t="n">
        <v>142809</v>
      </c>
      <c r="D984" t="n">
        <v>6.7</v>
      </c>
    </row>
    <row r="985">
      <c r="A985" s="79" t="n">
        <v>44166</v>
      </c>
      <c r="B985" t="n">
        <v>61.5</v>
      </c>
      <c r="C985" t="n">
        <v>142503</v>
      </c>
      <c r="D985" t="n">
        <v>6.7</v>
      </c>
    </row>
    <row r="986">
      <c r="A986" s="79" t="n">
        <v>44197</v>
      </c>
      <c r="B986" t="n">
        <v>61.4</v>
      </c>
      <c r="C986" t="n">
        <v>142736</v>
      </c>
      <c r="D986" t="n">
        <v>6.3</v>
      </c>
    </row>
    <row r="987">
      <c r="A987" s="79" t="n">
        <v>44228</v>
      </c>
      <c r="B987" t="n">
        <v>61.4</v>
      </c>
      <c r="C987" t="n">
        <v>143272</v>
      </c>
      <c r="D987" t="n">
        <v>6.2</v>
      </c>
    </row>
    <row r="988">
      <c r="A988" s="79" t="n">
        <v>44256</v>
      </c>
      <c r="B988" t="n">
        <v>61.5</v>
      </c>
      <c r="C988" t="n">
        <v>144057</v>
      </c>
      <c r="D988" t="n">
        <v>6</v>
      </c>
    </row>
    <row r="989">
      <c r="A989" s="79" t="n">
        <v>44287</v>
      </c>
      <c r="B989" t="n">
        <v>61.7</v>
      </c>
      <c r="C989" t="n">
        <v>144326</v>
      </c>
      <c r="D989" t="n">
        <v>6.1</v>
      </c>
    </row>
    <row r="990">
      <c r="A990" s="79" t="n">
        <v>44317</v>
      </c>
      <c r="B990" t="n">
        <v>61.6</v>
      </c>
      <c r="C990" t="n">
        <v>144940</v>
      </c>
      <c r="D990" t="n">
        <v>5.8</v>
      </c>
    </row>
    <row r="991">
      <c r="A991" s="79" t="n">
        <v>44348</v>
      </c>
      <c r="B991" t="n">
        <v>61.6</v>
      </c>
      <c r="C991" t="n">
        <v>145902</v>
      </c>
      <c r="D991" t="n">
        <v>5.9</v>
      </c>
    </row>
    <row r="992">
      <c r="A992" s="79" t="n">
        <v>44378</v>
      </c>
      <c r="B992" t="n">
        <v>61.7</v>
      </c>
      <c r="C992" t="n">
        <v>146993</v>
      </c>
      <c r="D992" t="n">
        <v>5.4</v>
      </c>
    </row>
    <row r="993">
      <c r="A993" s="79" t="n">
        <v>44409</v>
      </c>
      <c r="B993" t="n">
        <v>61.7</v>
      </c>
      <c r="C993" t="n">
        <v>147476</v>
      </c>
      <c r="D993" t="n">
        <v>5.2</v>
      </c>
    </row>
    <row r="994">
      <c r="A994" s="79" t="n">
        <v>44440</v>
      </c>
      <c r="B994" t="n">
        <v>61.6</v>
      </c>
      <c r="C994" t="n">
        <v>147855</v>
      </c>
      <c r="D994" t="n">
        <v>4.8</v>
      </c>
    </row>
    <row r="995">
      <c r="A995" s="79" t="n">
        <v>44470</v>
      </c>
      <c r="B995" t="n">
        <v>61.6</v>
      </c>
      <c r="C995" t="n">
        <v>148401</v>
      </c>
      <c r="D995" t="n">
        <v>4.6</v>
      </c>
    </row>
    <row r="996">
      <c r="A996" s="79" t="n">
        <v>44501</v>
      </c>
      <c r="B996" t="n">
        <v>61.8</v>
      </c>
      <c r="C996" t="n">
        <v>148611</v>
      </c>
      <c r="D996" t="n">
        <v>4.2</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68"/>
  <sheetViews>
    <sheetView workbookViewId="0">
      <pane ySplit="1" topLeftCell="A2840"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1"/>
    <col width="8.83203125" customWidth="1" style="49" min="12" max="16384"/>
  </cols>
  <sheetData>
    <row r="1">
      <c r="A1" t="inlineStr">
        <is>
          <t>DATE</t>
        </is>
      </c>
      <c r="B1" t="inlineStr">
        <is>
          <t>CCSA</t>
        </is>
      </c>
      <c r="C1" t="inlineStr">
        <is>
          <t>ICSA</t>
        </is>
      </c>
    </row>
    <row r="2">
      <c r="A2" s="79" t="n">
        <v>24479</v>
      </c>
      <c r="B2" t="n">
        <v>1134000</v>
      </c>
      <c r="C2" t="n">
        <v>208000</v>
      </c>
    </row>
    <row r="3">
      <c r="A3" s="79" t="n">
        <v>24486</v>
      </c>
      <c r="B3" t="n">
        <v>1119000</v>
      </c>
      <c r="C3" t="n">
        <v>207000</v>
      </c>
    </row>
    <row r="4">
      <c r="A4" s="79" t="n">
        <v>24493</v>
      </c>
      <c r="B4" t="n">
        <v>1119000</v>
      </c>
      <c r="C4" t="n">
        <v>217000</v>
      </c>
    </row>
    <row r="5">
      <c r="A5" s="79" t="n">
        <v>24500</v>
      </c>
      <c r="B5" t="n">
        <v>1103000</v>
      </c>
      <c r="C5" t="n">
        <v>204000</v>
      </c>
    </row>
    <row r="6">
      <c r="A6" s="79" t="n">
        <v>24507</v>
      </c>
      <c r="B6" t="n">
        <v>1131000</v>
      </c>
      <c r="C6" t="n">
        <v>216000</v>
      </c>
    </row>
    <row r="7">
      <c r="A7" s="79" t="n">
        <v>24514</v>
      </c>
      <c r="B7" t="n">
        <v>1153000</v>
      </c>
      <c r="C7" t="n">
        <v>229000</v>
      </c>
    </row>
    <row r="8">
      <c r="A8" s="79" t="n">
        <v>24521</v>
      </c>
      <c r="B8" t="n">
        <v>1167000</v>
      </c>
      <c r="C8" t="n">
        <v>229000</v>
      </c>
    </row>
    <row r="9">
      <c r="A9" s="79" t="n">
        <v>24528</v>
      </c>
      <c r="B9" t="n">
        <v>1199000</v>
      </c>
      <c r="C9" t="n">
        <v>242000</v>
      </c>
    </row>
    <row r="10">
      <c r="A10" s="79" t="n">
        <v>24535</v>
      </c>
      <c r="B10" t="n">
        <v>1235000</v>
      </c>
      <c r="C10" t="n">
        <v>310000</v>
      </c>
    </row>
    <row r="11">
      <c r="A11" s="79" t="n">
        <v>24542</v>
      </c>
      <c r="B11" t="n">
        <v>1234000</v>
      </c>
      <c r="C11" t="n">
        <v>241000</v>
      </c>
    </row>
    <row r="12">
      <c r="A12" s="79" t="n">
        <v>24549</v>
      </c>
      <c r="B12" t="n">
        <v>1236000</v>
      </c>
      <c r="C12" t="n">
        <v>245000</v>
      </c>
    </row>
    <row r="13">
      <c r="A13" s="79" t="n">
        <v>24556</v>
      </c>
      <c r="B13" t="n">
        <v>1268000</v>
      </c>
      <c r="C13" t="n">
        <v>247000</v>
      </c>
    </row>
    <row r="14">
      <c r="A14" s="79" t="n">
        <v>24563</v>
      </c>
      <c r="B14" t="n">
        <v>1291000</v>
      </c>
      <c r="C14" t="n">
        <v>259000</v>
      </c>
    </row>
    <row r="15">
      <c r="A15" s="79" t="n">
        <v>24570</v>
      </c>
      <c r="B15" t="n">
        <v>1273000</v>
      </c>
      <c r="C15" t="n">
        <v>257000</v>
      </c>
    </row>
    <row r="16">
      <c r="A16" s="79" t="n">
        <v>24577</v>
      </c>
      <c r="B16" t="n">
        <v>1278000</v>
      </c>
      <c r="C16" t="n">
        <v>299000</v>
      </c>
    </row>
    <row r="17">
      <c r="A17" s="79" t="n">
        <v>24584</v>
      </c>
      <c r="B17" t="n">
        <v>1277000</v>
      </c>
      <c r="C17" t="n">
        <v>245000</v>
      </c>
    </row>
    <row r="18">
      <c r="A18" s="79" t="n">
        <v>24591</v>
      </c>
      <c r="B18" t="n">
        <v>1286000</v>
      </c>
      <c r="C18" t="n">
        <v>255000</v>
      </c>
    </row>
    <row r="19">
      <c r="A19" s="79" t="n">
        <v>24598</v>
      </c>
      <c r="B19" t="n">
        <v>1308000</v>
      </c>
      <c r="C19" t="n">
        <v>254000</v>
      </c>
    </row>
    <row r="20">
      <c r="A20" s="79" t="n">
        <v>24605</v>
      </c>
      <c r="B20" t="n">
        <v>1284000</v>
      </c>
      <c r="C20" t="n">
        <v>231000</v>
      </c>
    </row>
    <row r="21">
      <c r="A21" s="79" t="n">
        <v>24612</v>
      </c>
      <c r="B21" t="n">
        <v>1265000</v>
      </c>
      <c r="C21" t="n">
        <v>230000</v>
      </c>
    </row>
    <row r="22">
      <c r="A22" s="79" t="n">
        <v>24619</v>
      </c>
      <c r="B22" t="n">
        <v>1253000</v>
      </c>
      <c r="C22" t="n">
        <v>228000</v>
      </c>
    </row>
    <row r="23">
      <c r="A23" s="79" t="n">
        <v>24626</v>
      </c>
      <c r="B23" t="n">
        <v>1265000</v>
      </c>
      <c r="C23" t="n">
        <v>248000</v>
      </c>
    </row>
    <row r="24">
      <c r="A24" s="79" t="n">
        <v>24633</v>
      </c>
      <c r="B24" t="n">
        <v>1251000</v>
      </c>
      <c r="C24" t="n">
        <v>238000</v>
      </c>
    </row>
    <row r="25">
      <c r="A25" s="79" t="n">
        <v>24640</v>
      </c>
      <c r="B25" t="n">
        <v>1248000</v>
      </c>
      <c r="C25" t="n">
        <v>224000</v>
      </c>
    </row>
    <row r="26">
      <c r="A26" s="79" t="n">
        <v>24647</v>
      </c>
      <c r="B26" t="n">
        <v>1220000</v>
      </c>
      <c r="C26" t="n">
        <v>218000</v>
      </c>
    </row>
    <row r="27">
      <c r="A27" s="79" t="n">
        <v>24654</v>
      </c>
      <c r="B27" t="n">
        <v>1193000</v>
      </c>
      <c r="C27" t="n">
        <v>209000</v>
      </c>
    </row>
    <row r="28">
      <c r="A28" s="79" t="n">
        <v>24661</v>
      </c>
      <c r="B28" t="n">
        <v>1248000</v>
      </c>
      <c r="C28" t="n">
        <v>240000</v>
      </c>
    </row>
    <row r="29">
      <c r="A29" s="79" t="n">
        <v>24668</v>
      </c>
      <c r="B29" t="n">
        <v>1258000</v>
      </c>
      <c r="C29" t="n">
        <v>241000</v>
      </c>
    </row>
    <row r="30">
      <c r="A30" s="79" t="n">
        <v>24675</v>
      </c>
      <c r="B30" t="n">
        <v>1252000</v>
      </c>
      <c r="C30" t="n">
        <v>240000</v>
      </c>
    </row>
    <row r="31">
      <c r="A31" s="79" t="n">
        <v>24682</v>
      </c>
      <c r="B31" t="n">
        <v>1280000</v>
      </c>
      <c r="C31" t="n">
        <v>209000</v>
      </c>
    </row>
    <row r="32">
      <c r="A32" s="79" t="n">
        <v>24689</v>
      </c>
      <c r="B32" t="n">
        <v>1240000</v>
      </c>
      <c r="C32" t="n">
        <v>221000</v>
      </c>
    </row>
    <row r="33">
      <c r="A33" s="79" t="n">
        <v>24696</v>
      </c>
      <c r="B33" t="n">
        <v>1215000</v>
      </c>
      <c r="C33" t="n">
        <v>202000</v>
      </c>
    </row>
    <row r="34">
      <c r="A34" s="79" t="n">
        <v>24703</v>
      </c>
      <c r="B34" t="n">
        <v>1202000</v>
      </c>
      <c r="C34" t="n">
        <v>215000</v>
      </c>
    </row>
    <row r="35">
      <c r="A35" s="79" t="n">
        <v>24710</v>
      </c>
      <c r="B35" t="n">
        <v>1180000</v>
      </c>
      <c r="C35" t="n">
        <v>213000</v>
      </c>
    </row>
    <row r="36">
      <c r="A36" s="79" t="n">
        <v>24717</v>
      </c>
      <c r="B36" t="n">
        <v>1204000</v>
      </c>
      <c r="C36" t="n">
        <v>218000</v>
      </c>
    </row>
    <row r="37">
      <c r="A37" s="79" t="n">
        <v>24724</v>
      </c>
      <c r="B37" t="n">
        <v>1189000</v>
      </c>
      <c r="C37" t="n">
        <v>231000</v>
      </c>
    </row>
    <row r="38">
      <c r="A38" s="79" t="n">
        <v>24731</v>
      </c>
      <c r="B38" t="n">
        <v>1179000</v>
      </c>
      <c r="C38" t="n">
        <v>220000</v>
      </c>
    </row>
    <row r="39">
      <c r="A39" s="79" t="n">
        <v>24738</v>
      </c>
      <c r="B39" t="n">
        <v>1178000</v>
      </c>
      <c r="C39" t="n">
        <v>209000</v>
      </c>
    </row>
    <row r="40">
      <c r="A40" s="79" t="n">
        <v>24745</v>
      </c>
      <c r="B40" t="n">
        <v>1157000</v>
      </c>
      <c r="C40" t="n">
        <v>204000</v>
      </c>
    </row>
    <row r="41">
      <c r="A41" s="79" t="n">
        <v>24752</v>
      </c>
      <c r="B41" t="n">
        <v>1165000</v>
      </c>
      <c r="C41" t="n">
        <v>231000</v>
      </c>
    </row>
    <row r="42">
      <c r="A42" s="79" t="n">
        <v>24759</v>
      </c>
      <c r="B42" t="n">
        <v>1189000</v>
      </c>
      <c r="C42" t="n">
        <v>206000</v>
      </c>
    </row>
    <row r="43">
      <c r="A43" s="79" t="n">
        <v>24766</v>
      </c>
      <c r="B43" t="n">
        <v>1174000</v>
      </c>
      <c r="C43" t="n">
        <v>223000</v>
      </c>
    </row>
    <row r="44">
      <c r="A44" s="79" t="n">
        <v>24773</v>
      </c>
      <c r="B44" t="n">
        <v>1161000</v>
      </c>
      <c r="C44" t="n">
        <v>207000</v>
      </c>
    </row>
    <row r="45">
      <c r="A45" s="79" t="n">
        <v>24780</v>
      </c>
      <c r="B45" t="n">
        <v>1176000</v>
      </c>
      <c r="C45" t="n">
        <v>222000</v>
      </c>
    </row>
    <row r="46">
      <c r="A46" s="79" t="n">
        <v>24787</v>
      </c>
      <c r="B46" t="n">
        <v>1142000</v>
      </c>
      <c r="C46" t="n">
        <v>214000</v>
      </c>
    </row>
    <row r="47">
      <c r="A47" s="79" t="n">
        <v>24794</v>
      </c>
      <c r="B47" t="n">
        <v>1133000</v>
      </c>
      <c r="C47" t="n">
        <v>198000</v>
      </c>
    </row>
    <row r="48">
      <c r="A48" s="79" t="n">
        <v>24801</v>
      </c>
      <c r="B48" t="n">
        <v>1142000</v>
      </c>
      <c r="C48" t="n">
        <v>191000</v>
      </c>
    </row>
    <row r="49">
      <c r="A49" s="79" t="n">
        <v>24808</v>
      </c>
      <c r="B49" t="n">
        <v>1150000</v>
      </c>
      <c r="C49" t="n">
        <v>196000</v>
      </c>
    </row>
    <row r="50">
      <c r="A50" s="79" t="n">
        <v>24815</v>
      </c>
      <c r="B50" t="n">
        <v>1153000</v>
      </c>
      <c r="C50" t="n">
        <v>221000</v>
      </c>
    </row>
    <row r="51">
      <c r="A51" s="79" t="n">
        <v>24822</v>
      </c>
      <c r="B51" t="n">
        <v>1188000</v>
      </c>
      <c r="C51" t="n">
        <v>204000</v>
      </c>
    </row>
    <row r="52">
      <c r="A52" s="79" t="n">
        <v>24829</v>
      </c>
      <c r="B52" t="n">
        <v>1195000</v>
      </c>
      <c r="C52" t="n">
        <v>219000</v>
      </c>
    </row>
    <row r="53">
      <c r="A53" s="79" t="n">
        <v>24836</v>
      </c>
      <c r="B53" t="n">
        <v>1167000</v>
      </c>
      <c r="C53" t="n">
        <v>216000</v>
      </c>
    </row>
    <row r="54">
      <c r="A54" s="79" t="n">
        <v>24843</v>
      </c>
      <c r="B54" t="n">
        <v>1158000</v>
      </c>
      <c r="C54" t="n">
        <v>222000</v>
      </c>
    </row>
    <row r="55">
      <c r="A55" s="79" t="n">
        <v>24850</v>
      </c>
      <c r="B55" t="n">
        <v>1187000</v>
      </c>
      <c r="C55" t="n">
        <v>222000</v>
      </c>
    </row>
    <row r="56">
      <c r="A56" s="79" t="n">
        <v>24857</v>
      </c>
      <c r="B56" t="n">
        <v>1191000</v>
      </c>
      <c r="C56" t="n">
        <v>221000</v>
      </c>
    </row>
    <row r="57">
      <c r="A57" s="79" t="n">
        <v>24864</v>
      </c>
      <c r="B57" t="n">
        <v>1157000</v>
      </c>
      <c r="C57" t="n">
        <v>198000</v>
      </c>
    </row>
    <row r="58">
      <c r="A58" s="79" t="n">
        <v>24871</v>
      </c>
      <c r="B58" t="n">
        <v>1173000</v>
      </c>
      <c r="C58" t="n">
        <v>244000</v>
      </c>
    </row>
    <row r="59">
      <c r="A59" s="79" t="n">
        <v>24878</v>
      </c>
      <c r="B59" t="n">
        <v>1175000</v>
      </c>
      <c r="C59" t="n">
        <v>210000</v>
      </c>
    </row>
    <row r="60">
      <c r="A60" s="79" t="n">
        <v>24885</v>
      </c>
      <c r="B60" t="n">
        <v>1143000</v>
      </c>
      <c r="C60" t="n">
        <v>196000</v>
      </c>
    </row>
    <row r="61">
      <c r="A61" s="79" t="n">
        <v>24892</v>
      </c>
      <c r="B61" t="n">
        <v>1165000</v>
      </c>
      <c r="C61" t="n">
        <v>193000</v>
      </c>
    </row>
    <row r="62">
      <c r="A62" s="79" t="n">
        <v>24899</v>
      </c>
      <c r="B62" t="n">
        <v>1151000</v>
      </c>
      <c r="C62" t="n">
        <v>190000</v>
      </c>
    </row>
    <row r="63">
      <c r="A63" s="79" t="n">
        <v>24906</v>
      </c>
      <c r="B63" t="n">
        <v>1147000</v>
      </c>
      <c r="C63" t="n">
        <v>204000</v>
      </c>
    </row>
    <row r="64">
      <c r="A64" s="79" t="n">
        <v>24913</v>
      </c>
      <c r="B64" t="n">
        <v>1143000</v>
      </c>
      <c r="C64" t="n">
        <v>190000</v>
      </c>
    </row>
    <row r="65">
      <c r="A65" s="79" t="n">
        <v>24920</v>
      </c>
      <c r="B65" t="n">
        <v>1136000</v>
      </c>
      <c r="C65" t="n">
        <v>200000</v>
      </c>
    </row>
    <row r="66">
      <c r="A66" s="79" t="n">
        <v>24927</v>
      </c>
      <c r="B66" t="n">
        <v>1119000</v>
      </c>
      <c r="C66" t="n">
        <v>192000</v>
      </c>
    </row>
    <row r="67">
      <c r="A67" s="79" t="n">
        <v>24934</v>
      </c>
      <c r="B67" t="n">
        <v>1079000</v>
      </c>
      <c r="C67" t="n">
        <v>191000</v>
      </c>
    </row>
    <row r="68">
      <c r="A68" s="79" t="n">
        <v>24941</v>
      </c>
      <c r="B68" t="n">
        <v>1079000</v>
      </c>
      <c r="C68" t="n">
        <v>171000</v>
      </c>
    </row>
    <row r="69">
      <c r="A69" s="79" t="n">
        <v>24948</v>
      </c>
      <c r="B69" t="n">
        <v>1059000</v>
      </c>
      <c r="C69" t="n">
        <v>183000</v>
      </c>
    </row>
    <row r="70">
      <c r="A70" s="79" t="n">
        <v>24955</v>
      </c>
      <c r="B70" t="n">
        <v>1087000</v>
      </c>
      <c r="C70" t="n">
        <v>251000</v>
      </c>
    </row>
    <row r="71">
      <c r="A71" s="79" t="n">
        <v>24962</v>
      </c>
      <c r="B71" t="n">
        <v>1079000</v>
      </c>
      <c r="C71" t="n">
        <v>209000</v>
      </c>
    </row>
    <row r="72">
      <c r="A72" s="79" t="n">
        <v>24969</v>
      </c>
      <c r="B72" t="n">
        <v>1091000</v>
      </c>
      <c r="C72" t="n">
        <v>194000</v>
      </c>
    </row>
    <row r="73">
      <c r="A73" s="79" t="n">
        <v>24976</v>
      </c>
      <c r="B73" t="n">
        <v>1071000</v>
      </c>
      <c r="C73" t="n">
        <v>199000</v>
      </c>
    </row>
    <row r="74">
      <c r="A74" s="79" t="n">
        <v>24983</v>
      </c>
      <c r="B74" t="n">
        <v>1073000</v>
      </c>
      <c r="C74" t="n">
        <v>194000</v>
      </c>
    </row>
    <row r="75">
      <c r="A75" s="79" t="n">
        <v>24990</v>
      </c>
      <c r="B75" t="n">
        <v>1063000</v>
      </c>
      <c r="C75" t="n">
        <v>199000</v>
      </c>
    </row>
    <row r="76">
      <c r="A76" s="79" t="n">
        <v>24997</v>
      </c>
      <c r="B76" t="n">
        <v>1097000</v>
      </c>
      <c r="C76" t="n">
        <v>192000</v>
      </c>
    </row>
    <row r="77">
      <c r="A77" s="79" t="n">
        <v>25004</v>
      </c>
      <c r="B77" t="n">
        <v>1071000</v>
      </c>
      <c r="C77" t="n">
        <v>194000</v>
      </c>
    </row>
    <row r="78">
      <c r="A78" s="79" t="n">
        <v>25011</v>
      </c>
      <c r="B78" t="n">
        <v>1060000</v>
      </c>
      <c r="C78" t="n">
        <v>189000</v>
      </c>
    </row>
    <row r="79">
      <c r="A79" s="79" t="n">
        <v>25018</v>
      </c>
      <c r="B79" t="n">
        <v>1038000</v>
      </c>
      <c r="C79" t="n">
        <v>194000</v>
      </c>
    </row>
    <row r="80">
      <c r="A80" s="79" t="n">
        <v>25025</v>
      </c>
      <c r="B80" t="n">
        <v>1097000</v>
      </c>
      <c r="C80" t="n">
        <v>214000</v>
      </c>
    </row>
    <row r="81">
      <c r="A81" s="79" t="n">
        <v>25032</v>
      </c>
      <c r="B81" t="n">
        <v>1076000</v>
      </c>
      <c r="C81" t="n">
        <v>186000</v>
      </c>
    </row>
    <row r="82">
      <c r="A82" s="79" t="n">
        <v>25039</v>
      </c>
      <c r="B82" t="n">
        <v>1033000</v>
      </c>
      <c r="C82" t="n">
        <v>180000</v>
      </c>
    </row>
    <row r="83">
      <c r="A83" s="79" t="n">
        <v>25046</v>
      </c>
      <c r="B83" t="n">
        <v>1036000</v>
      </c>
      <c r="C83" t="n">
        <v>205000</v>
      </c>
    </row>
    <row r="84">
      <c r="A84" s="79" t="n">
        <v>25053</v>
      </c>
      <c r="B84" t="n">
        <v>1072000</v>
      </c>
      <c r="C84" t="n">
        <v>206000</v>
      </c>
    </row>
    <row r="85">
      <c r="A85" s="79" t="n">
        <v>25060</v>
      </c>
      <c r="B85" t="n">
        <v>1088000</v>
      </c>
      <c r="C85" t="n">
        <v>218000</v>
      </c>
    </row>
    <row r="86">
      <c r="A86" s="79" t="n">
        <v>25067</v>
      </c>
      <c r="B86" t="n">
        <v>1107000</v>
      </c>
      <c r="C86" t="n">
        <v>192000</v>
      </c>
    </row>
    <row r="87">
      <c r="A87" s="79" t="n">
        <v>25074</v>
      </c>
      <c r="B87" t="n">
        <v>1094000</v>
      </c>
      <c r="C87" t="n">
        <v>193000</v>
      </c>
    </row>
    <row r="88">
      <c r="A88" s="79" t="n">
        <v>25081</v>
      </c>
      <c r="B88" t="n">
        <v>1064000</v>
      </c>
      <c r="C88" t="n">
        <v>188000</v>
      </c>
    </row>
    <row r="89">
      <c r="A89" s="79" t="n">
        <v>25088</v>
      </c>
      <c r="B89" t="n">
        <v>1067000</v>
      </c>
      <c r="C89" t="n">
        <v>189000</v>
      </c>
    </row>
    <row r="90">
      <c r="A90" s="79" t="n">
        <v>25095</v>
      </c>
      <c r="B90" t="n">
        <v>1044000</v>
      </c>
      <c r="C90" t="n">
        <v>195000</v>
      </c>
    </row>
    <row r="91">
      <c r="A91" s="79" t="n">
        <v>25102</v>
      </c>
      <c r="B91" t="n">
        <v>1047000</v>
      </c>
      <c r="C91" t="n">
        <v>191000</v>
      </c>
    </row>
    <row r="92">
      <c r="A92" s="79" t="n">
        <v>25109</v>
      </c>
      <c r="B92" t="n">
        <v>1048000</v>
      </c>
      <c r="C92" t="n">
        <v>189000</v>
      </c>
    </row>
    <row r="93">
      <c r="A93" s="79" t="n">
        <v>25116</v>
      </c>
      <c r="B93" t="n">
        <v>1060000</v>
      </c>
      <c r="C93" t="n">
        <v>185000</v>
      </c>
    </row>
    <row r="94">
      <c r="A94" s="79" t="n">
        <v>25123</v>
      </c>
      <c r="B94" t="n">
        <v>1045000</v>
      </c>
      <c r="C94" t="n">
        <v>186000</v>
      </c>
    </row>
    <row r="95">
      <c r="A95" s="79" t="n">
        <v>25130</v>
      </c>
      <c r="B95" t="n">
        <v>1035000</v>
      </c>
      <c r="C95" t="n">
        <v>191000</v>
      </c>
    </row>
    <row r="96">
      <c r="A96" s="79" t="n">
        <v>25137</v>
      </c>
      <c r="B96" t="n">
        <v>1033000</v>
      </c>
      <c r="C96" t="n">
        <v>182000</v>
      </c>
    </row>
    <row r="97">
      <c r="A97" s="79" t="n">
        <v>25144</v>
      </c>
      <c r="B97" t="n">
        <v>1028000</v>
      </c>
      <c r="C97" t="n">
        <v>181000</v>
      </c>
    </row>
    <row r="98">
      <c r="A98" s="79" t="n">
        <v>25151</v>
      </c>
      <c r="B98" t="n">
        <v>1028000</v>
      </c>
      <c r="C98" t="n">
        <v>183000</v>
      </c>
    </row>
    <row r="99">
      <c r="A99" s="79" t="n">
        <v>25158</v>
      </c>
      <c r="B99" t="n">
        <v>1076000</v>
      </c>
      <c r="C99" t="n">
        <v>192000</v>
      </c>
    </row>
    <row r="100">
      <c r="A100" s="79" t="n">
        <v>25165</v>
      </c>
      <c r="B100" t="n">
        <v>1023000</v>
      </c>
      <c r="C100" t="n">
        <v>199000</v>
      </c>
    </row>
    <row r="101">
      <c r="A101" s="79" t="n">
        <v>25172</v>
      </c>
      <c r="B101" t="n">
        <v>1056000</v>
      </c>
      <c r="C101" t="n">
        <v>162000</v>
      </c>
    </row>
    <row r="102">
      <c r="A102" s="79" t="n">
        <v>25179</v>
      </c>
      <c r="B102" t="n">
        <v>1063000</v>
      </c>
      <c r="C102" t="n">
        <v>188000</v>
      </c>
    </row>
    <row r="103">
      <c r="A103" s="79" t="n">
        <v>25186</v>
      </c>
      <c r="B103" t="n">
        <v>1061000</v>
      </c>
      <c r="C103" t="n">
        <v>195000</v>
      </c>
    </row>
    <row r="104">
      <c r="A104" s="79" t="n">
        <v>25193</v>
      </c>
      <c r="B104" t="n">
        <v>1063000</v>
      </c>
      <c r="C104" t="n">
        <v>192000</v>
      </c>
    </row>
    <row r="105">
      <c r="A105" s="79" t="n">
        <v>25200</v>
      </c>
      <c r="B105" t="n">
        <v>1116000</v>
      </c>
      <c r="C105" t="n">
        <v>223000</v>
      </c>
    </row>
    <row r="106">
      <c r="A106" s="79" t="n">
        <v>25207</v>
      </c>
      <c r="B106" t="n">
        <v>1118000</v>
      </c>
      <c r="C106" t="n">
        <v>190000</v>
      </c>
    </row>
    <row r="107">
      <c r="A107" s="79" t="n">
        <v>25214</v>
      </c>
      <c r="B107" t="n">
        <v>1099000</v>
      </c>
      <c r="C107" t="n">
        <v>191000</v>
      </c>
    </row>
    <row r="108">
      <c r="A108" s="79" t="n">
        <v>25221</v>
      </c>
      <c r="B108" t="n">
        <v>1072000</v>
      </c>
      <c r="C108" t="n">
        <v>192000</v>
      </c>
    </row>
    <row r="109">
      <c r="A109" s="79" t="n">
        <v>25228</v>
      </c>
      <c r="B109" t="n">
        <v>1077000</v>
      </c>
      <c r="C109" t="n">
        <v>193000</v>
      </c>
    </row>
    <row r="110">
      <c r="A110" s="79" t="n">
        <v>25235</v>
      </c>
      <c r="B110" t="n">
        <v>1099000</v>
      </c>
      <c r="C110" t="n">
        <v>203000</v>
      </c>
    </row>
    <row r="111">
      <c r="A111" s="79" t="n">
        <v>25242</v>
      </c>
      <c r="B111" t="n">
        <v>1088000</v>
      </c>
      <c r="C111" t="n">
        <v>197000</v>
      </c>
    </row>
    <row r="112">
      <c r="A112" s="79" t="n">
        <v>25249</v>
      </c>
      <c r="B112" t="n">
        <v>1115000</v>
      </c>
      <c r="C112" t="n">
        <v>192000</v>
      </c>
    </row>
    <row r="113">
      <c r="A113" s="79" t="n">
        <v>25256</v>
      </c>
      <c r="B113" t="n">
        <v>1092000</v>
      </c>
      <c r="C113" t="n">
        <v>192000</v>
      </c>
    </row>
    <row r="114">
      <c r="A114" s="79" t="n">
        <v>25263</v>
      </c>
      <c r="B114" t="n">
        <v>1098000</v>
      </c>
      <c r="C114" t="n">
        <v>201000</v>
      </c>
    </row>
    <row r="115">
      <c r="A115" s="79" t="n">
        <v>25270</v>
      </c>
      <c r="B115" t="n">
        <v>1099000</v>
      </c>
      <c r="C115" t="n">
        <v>191000</v>
      </c>
    </row>
    <row r="116">
      <c r="A116" s="79" t="n">
        <v>25277</v>
      </c>
      <c r="B116" t="n">
        <v>1080000</v>
      </c>
      <c r="C116" t="n">
        <v>189000</v>
      </c>
    </row>
    <row r="117">
      <c r="A117" s="79" t="n">
        <v>25284</v>
      </c>
      <c r="B117" t="n">
        <v>1071000</v>
      </c>
      <c r="C117" t="n">
        <v>181000</v>
      </c>
    </row>
    <row r="118">
      <c r="A118" s="79" t="n">
        <v>25291</v>
      </c>
      <c r="B118" t="n">
        <v>1041000</v>
      </c>
      <c r="C118" t="n">
        <v>183000</v>
      </c>
    </row>
    <row r="119">
      <c r="A119" s="79" t="n">
        <v>25298</v>
      </c>
      <c r="B119" t="n">
        <v>1076000</v>
      </c>
      <c r="C119" t="n">
        <v>182000</v>
      </c>
    </row>
    <row r="120">
      <c r="A120" s="79" t="n">
        <v>25305</v>
      </c>
      <c r="B120" t="n">
        <v>1050000</v>
      </c>
      <c r="C120" t="n">
        <v>190000</v>
      </c>
    </row>
    <row r="121">
      <c r="A121" s="79" t="n">
        <v>25312</v>
      </c>
      <c r="B121" t="n">
        <v>1025000</v>
      </c>
      <c r="C121" t="n">
        <v>187000</v>
      </c>
    </row>
    <row r="122">
      <c r="A122" s="79" t="n">
        <v>25319</v>
      </c>
      <c r="B122" t="n">
        <v>992000</v>
      </c>
      <c r="C122" t="n">
        <v>177000</v>
      </c>
    </row>
    <row r="123">
      <c r="A123" s="79" t="n">
        <v>25326</v>
      </c>
      <c r="B123" t="n">
        <v>1003000</v>
      </c>
      <c r="C123" t="n">
        <v>177000</v>
      </c>
    </row>
    <row r="124">
      <c r="A124" s="79" t="n">
        <v>25333</v>
      </c>
      <c r="B124" t="n">
        <v>1018000</v>
      </c>
      <c r="C124" t="n">
        <v>183000</v>
      </c>
    </row>
    <row r="125">
      <c r="A125" s="79" t="n">
        <v>25340</v>
      </c>
      <c r="B125" t="n">
        <v>1007000</v>
      </c>
      <c r="C125" t="n">
        <v>179000</v>
      </c>
    </row>
    <row r="126">
      <c r="A126" s="79" t="n">
        <v>25347</v>
      </c>
      <c r="B126" t="n">
        <v>1006000</v>
      </c>
      <c r="C126" t="n">
        <v>180000</v>
      </c>
    </row>
    <row r="127">
      <c r="A127" s="79" t="n">
        <v>25354</v>
      </c>
      <c r="B127" t="n">
        <v>988000</v>
      </c>
      <c r="C127" t="n">
        <v>187000</v>
      </c>
    </row>
    <row r="128">
      <c r="A128" s="79" t="n">
        <v>25361</v>
      </c>
      <c r="B128" t="n">
        <v>992000</v>
      </c>
      <c r="C128" t="n">
        <v>192000</v>
      </c>
    </row>
    <row r="129">
      <c r="A129" s="79" t="n">
        <v>25368</v>
      </c>
      <c r="B129" t="n">
        <v>1010000</v>
      </c>
      <c r="C129" t="n">
        <v>182000</v>
      </c>
    </row>
    <row r="130">
      <c r="A130" s="79" t="n">
        <v>25375</v>
      </c>
      <c r="B130" t="n">
        <v>1012000</v>
      </c>
      <c r="C130" t="n">
        <v>191000</v>
      </c>
    </row>
    <row r="131">
      <c r="A131" s="79" t="n">
        <v>25382</v>
      </c>
      <c r="B131" t="n">
        <v>1021000</v>
      </c>
      <c r="C131" t="n">
        <v>203000</v>
      </c>
    </row>
    <row r="132">
      <c r="A132" s="79" t="n">
        <v>25389</v>
      </c>
      <c r="B132" t="n">
        <v>1072000</v>
      </c>
      <c r="C132" t="n">
        <v>227000</v>
      </c>
    </row>
    <row r="133">
      <c r="A133" s="79" t="n">
        <v>25396</v>
      </c>
      <c r="B133" t="n">
        <v>1092000</v>
      </c>
      <c r="C133" t="n">
        <v>210000</v>
      </c>
    </row>
    <row r="134">
      <c r="A134" s="79" t="n">
        <v>25403</v>
      </c>
      <c r="B134" t="n">
        <v>1072000</v>
      </c>
      <c r="C134" t="n">
        <v>206000</v>
      </c>
    </row>
    <row r="135">
      <c r="A135" s="79" t="n">
        <v>25410</v>
      </c>
      <c r="B135" t="n">
        <v>1110000</v>
      </c>
      <c r="C135" t="n">
        <v>192000</v>
      </c>
    </row>
    <row r="136">
      <c r="A136" s="79" t="n">
        <v>25417</v>
      </c>
      <c r="B136" t="n">
        <v>1126000</v>
      </c>
      <c r="C136" t="n">
        <v>196000</v>
      </c>
    </row>
    <row r="137">
      <c r="A137" s="79" t="n">
        <v>25424</v>
      </c>
      <c r="B137" t="n">
        <v>1093000</v>
      </c>
      <c r="C137" t="n">
        <v>203000</v>
      </c>
    </row>
    <row r="138">
      <c r="A138" s="79" t="n">
        <v>25431</v>
      </c>
      <c r="B138" t="n">
        <v>1067000</v>
      </c>
      <c r="C138" t="n">
        <v>199000</v>
      </c>
    </row>
    <row r="139">
      <c r="A139" s="79" t="n">
        <v>25438</v>
      </c>
      <c r="B139" t="n">
        <v>1060000</v>
      </c>
      <c r="C139" t="n">
        <v>199000</v>
      </c>
    </row>
    <row r="140">
      <c r="A140" s="79" t="n">
        <v>25445</v>
      </c>
      <c r="B140" t="n">
        <v>1074000</v>
      </c>
      <c r="C140" t="n">
        <v>195000</v>
      </c>
    </row>
    <row r="141">
      <c r="A141" s="79" t="n">
        <v>25452</v>
      </c>
      <c r="B141" t="n">
        <v>1111000</v>
      </c>
      <c r="C141" t="n">
        <v>182000</v>
      </c>
    </row>
    <row r="142">
      <c r="A142" s="79" t="n">
        <v>25459</v>
      </c>
      <c r="B142" t="n">
        <v>1082000</v>
      </c>
      <c r="C142" t="n">
        <v>209000</v>
      </c>
    </row>
    <row r="143">
      <c r="A143" s="79" t="n">
        <v>25466</v>
      </c>
      <c r="B143" t="n">
        <v>1083000</v>
      </c>
      <c r="C143" t="n">
        <v>195000</v>
      </c>
    </row>
    <row r="144">
      <c r="A144" s="79" t="n">
        <v>25473</v>
      </c>
      <c r="B144" t="n">
        <v>1086000</v>
      </c>
      <c r="C144" t="n">
        <v>193000</v>
      </c>
    </row>
    <row r="145">
      <c r="A145" s="79" t="n">
        <v>25480</v>
      </c>
      <c r="B145" t="n">
        <v>1103000</v>
      </c>
      <c r="C145" t="n">
        <v>193000</v>
      </c>
    </row>
    <row r="146">
      <c r="A146" s="79" t="n">
        <v>25487</v>
      </c>
      <c r="B146" t="n">
        <v>1100000</v>
      </c>
      <c r="C146" t="n">
        <v>200000</v>
      </c>
    </row>
    <row r="147">
      <c r="A147" s="79" t="n">
        <v>25494</v>
      </c>
      <c r="B147" t="n">
        <v>1118000</v>
      </c>
      <c r="C147" t="n">
        <v>199000</v>
      </c>
    </row>
    <row r="148">
      <c r="A148" s="79" t="n">
        <v>25501</v>
      </c>
      <c r="B148" t="n">
        <v>1136000</v>
      </c>
      <c r="C148" t="n">
        <v>205000</v>
      </c>
    </row>
    <row r="149">
      <c r="A149" s="79" t="n">
        <v>25508</v>
      </c>
      <c r="B149" t="n">
        <v>1143000</v>
      </c>
      <c r="C149" t="n">
        <v>198000</v>
      </c>
    </row>
    <row r="150">
      <c r="A150" s="79" t="n">
        <v>25515</v>
      </c>
      <c r="B150" t="n">
        <v>1146000</v>
      </c>
      <c r="C150" t="n">
        <v>211000</v>
      </c>
    </row>
    <row r="151">
      <c r="A151" s="79" t="n">
        <v>25522</v>
      </c>
      <c r="B151" t="n">
        <v>1181000</v>
      </c>
      <c r="C151" t="n">
        <v>197000</v>
      </c>
    </row>
    <row r="152">
      <c r="A152" s="79" t="n">
        <v>25529</v>
      </c>
      <c r="B152" t="n">
        <v>1158000</v>
      </c>
      <c r="C152" t="n">
        <v>217000</v>
      </c>
    </row>
    <row r="153">
      <c r="A153" s="79" t="n">
        <v>25536</v>
      </c>
      <c r="B153" t="n">
        <v>1211000</v>
      </c>
      <c r="C153" t="n">
        <v>202000</v>
      </c>
    </row>
    <row r="154">
      <c r="A154" s="79" t="n">
        <v>25543</v>
      </c>
      <c r="B154" t="n">
        <v>1226000</v>
      </c>
      <c r="C154" t="n">
        <v>202000</v>
      </c>
    </row>
    <row r="155">
      <c r="A155" s="79" t="n">
        <v>25550</v>
      </c>
      <c r="B155" t="n">
        <v>1233000</v>
      </c>
      <c r="C155" t="n">
        <v>222000</v>
      </c>
    </row>
    <row r="156">
      <c r="A156" s="79" t="n">
        <v>25557</v>
      </c>
      <c r="B156" t="n">
        <v>1252000</v>
      </c>
      <c r="C156" t="n">
        <v>232000</v>
      </c>
    </row>
    <row r="157">
      <c r="A157" s="79" t="n">
        <v>25564</v>
      </c>
      <c r="B157" t="n">
        <v>1304000</v>
      </c>
      <c r="C157" t="n">
        <v>223000</v>
      </c>
    </row>
    <row r="158">
      <c r="A158" s="79" t="n">
        <v>25571</v>
      </c>
      <c r="B158" t="n">
        <v>1332000</v>
      </c>
      <c r="C158" t="n">
        <v>230000</v>
      </c>
    </row>
    <row r="159">
      <c r="A159" s="79" t="n">
        <v>25578</v>
      </c>
      <c r="B159" t="n">
        <v>1353000</v>
      </c>
      <c r="C159" t="n">
        <v>242000</v>
      </c>
    </row>
    <row r="160">
      <c r="A160" s="79" t="n">
        <v>25585</v>
      </c>
      <c r="B160" t="n">
        <v>1371000</v>
      </c>
      <c r="C160" t="n">
        <v>268000</v>
      </c>
    </row>
    <row r="161">
      <c r="A161" s="79" t="n">
        <v>25592</v>
      </c>
      <c r="B161" t="n">
        <v>1388000</v>
      </c>
      <c r="C161" t="n">
        <v>256000</v>
      </c>
    </row>
    <row r="162">
      <c r="A162" s="79" t="n">
        <v>25599</v>
      </c>
      <c r="B162" t="n">
        <v>1385000</v>
      </c>
      <c r="C162" t="n">
        <v>239000</v>
      </c>
    </row>
    <row r="163">
      <c r="A163" s="79" t="n">
        <v>25606</v>
      </c>
      <c r="B163" t="n">
        <v>1397000</v>
      </c>
      <c r="C163" t="n">
        <v>256000</v>
      </c>
    </row>
    <row r="164">
      <c r="A164" s="79" t="n">
        <v>25613</v>
      </c>
      <c r="B164" t="n">
        <v>1445000</v>
      </c>
      <c r="C164" t="n">
        <v>265000</v>
      </c>
    </row>
    <row r="165">
      <c r="A165" s="79" t="n">
        <v>25620</v>
      </c>
      <c r="B165" t="n">
        <v>1412000</v>
      </c>
      <c r="C165" t="n">
        <v>271000</v>
      </c>
    </row>
    <row r="166">
      <c r="A166" s="79" t="n">
        <v>25627</v>
      </c>
      <c r="B166" t="n">
        <v>1430000</v>
      </c>
      <c r="C166" t="n">
        <v>242000</v>
      </c>
    </row>
    <row r="167">
      <c r="A167" s="79" t="n">
        <v>25634</v>
      </c>
      <c r="B167" t="n">
        <v>1443000</v>
      </c>
      <c r="C167" t="n">
        <v>262000</v>
      </c>
    </row>
    <row r="168">
      <c r="A168" s="79" t="n">
        <v>25641</v>
      </c>
      <c r="B168" t="n">
        <v>1456000</v>
      </c>
      <c r="C168" t="n">
        <v>271000</v>
      </c>
    </row>
    <row r="169">
      <c r="A169" s="79" t="n">
        <v>25648</v>
      </c>
      <c r="B169" t="n">
        <v>1498000</v>
      </c>
      <c r="C169" t="n">
        <v>264000</v>
      </c>
    </row>
    <row r="170">
      <c r="A170" s="79" t="n">
        <v>25655</v>
      </c>
      <c r="B170" t="n">
        <v>1537000</v>
      </c>
      <c r="C170" t="n">
        <v>276000</v>
      </c>
    </row>
    <row r="171">
      <c r="A171" s="79" t="n">
        <v>25662</v>
      </c>
      <c r="B171" t="n">
        <v>1573000</v>
      </c>
      <c r="C171" t="n">
        <v>273000</v>
      </c>
    </row>
    <row r="172">
      <c r="A172" s="79" t="n">
        <v>25669</v>
      </c>
      <c r="B172" t="n">
        <v>1586000</v>
      </c>
      <c r="C172" t="n">
        <v>305000</v>
      </c>
    </row>
    <row r="173">
      <c r="A173" s="79" t="n">
        <v>25676</v>
      </c>
      <c r="B173" t="n">
        <v>1653000</v>
      </c>
      <c r="C173" t="n">
        <v>374000</v>
      </c>
    </row>
    <row r="174">
      <c r="A174" s="79" t="n">
        <v>25683</v>
      </c>
      <c r="B174" t="n">
        <v>1748000</v>
      </c>
      <c r="C174" t="n">
        <v>349000</v>
      </c>
    </row>
    <row r="175">
      <c r="A175" s="79" t="n">
        <v>25690</v>
      </c>
      <c r="B175" t="n">
        <v>1811000</v>
      </c>
      <c r="C175" t="n">
        <v>334000</v>
      </c>
    </row>
    <row r="176">
      <c r="A176" s="79" t="n">
        <v>25697</v>
      </c>
      <c r="B176" t="n">
        <v>1847000</v>
      </c>
      <c r="C176" t="n">
        <v>318000</v>
      </c>
    </row>
    <row r="177">
      <c r="A177" s="79" t="n">
        <v>25704</v>
      </c>
      <c r="B177" t="n">
        <v>1840000</v>
      </c>
      <c r="C177" t="n">
        <v>303000</v>
      </c>
    </row>
    <row r="178">
      <c r="A178" s="79" t="n">
        <v>25711</v>
      </c>
      <c r="B178" t="n">
        <v>1827000</v>
      </c>
      <c r="C178" t="n">
        <v>296000</v>
      </c>
    </row>
    <row r="179">
      <c r="A179" s="79" t="n">
        <v>25718</v>
      </c>
      <c r="B179" t="n">
        <v>1807000</v>
      </c>
      <c r="C179" t="n">
        <v>301000</v>
      </c>
    </row>
    <row r="180">
      <c r="A180" s="79" t="n">
        <v>25725</v>
      </c>
      <c r="B180" t="n">
        <v>1817000</v>
      </c>
      <c r="C180" t="n">
        <v>301000</v>
      </c>
    </row>
    <row r="181">
      <c r="A181" s="79" t="n">
        <v>25732</v>
      </c>
      <c r="B181" t="n">
        <v>1852000</v>
      </c>
      <c r="C181" t="n">
        <v>298000</v>
      </c>
    </row>
    <row r="182">
      <c r="A182" s="79" t="n">
        <v>25739</v>
      </c>
      <c r="B182" t="n">
        <v>1864000</v>
      </c>
      <c r="C182" t="n">
        <v>296000</v>
      </c>
    </row>
    <row r="183">
      <c r="A183" s="79" t="n">
        <v>25746</v>
      </c>
      <c r="B183" t="n">
        <v>1866000</v>
      </c>
      <c r="C183" t="n">
        <v>291000</v>
      </c>
    </row>
    <row r="184">
      <c r="A184" s="79" t="n">
        <v>25753</v>
      </c>
      <c r="B184" t="n">
        <v>1853000</v>
      </c>
      <c r="C184" t="n">
        <v>277000</v>
      </c>
    </row>
    <row r="185">
      <c r="A185" s="79" t="n">
        <v>25760</v>
      </c>
      <c r="B185" t="n">
        <v>1868000</v>
      </c>
      <c r="C185" t="n">
        <v>288000</v>
      </c>
    </row>
    <row r="186">
      <c r="A186" s="79" t="n">
        <v>25767</v>
      </c>
      <c r="B186" t="n">
        <v>1877000</v>
      </c>
      <c r="C186" t="n">
        <v>294000</v>
      </c>
    </row>
    <row r="187">
      <c r="A187" s="79" t="n">
        <v>25774</v>
      </c>
      <c r="B187" t="n">
        <v>1918000</v>
      </c>
      <c r="C187" t="n">
        <v>287000</v>
      </c>
    </row>
    <row r="188">
      <c r="A188" s="79" t="n">
        <v>25781</v>
      </c>
      <c r="B188" t="n">
        <v>1900000</v>
      </c>
      <c r="C188" t="n">
        <v>261000</v>
      </c>
    </row>
    <row r="189">
      <c r="A189" s="79" t="n">
        <v>25788</v>
      </c>
      <c r="B189" t="n">
        <v>1890000</v>
      </c>
      <c r="C189" t="n">
        <v>266000</v>
      </c>
    </row>
    <row r="190">
      <c r="A190" s="79" t="n">
        <v>25795</v>
      </c>
      <c r="B190" t="n">
        <v>1933000</v>
      </c>
      <c r="C190" t="n">
        <v>300000</v>
      </c>
    </row>
    <row r="191">
      <c r="A191" s="79" t="n">
        <v>25802</v>
      </c>
      <c r="B191" t="n">
        <v>1970000</v>
      </c>
      <c r="C191" t="n">
        <v>303000</v>
      </c>
    </row>
    <row r="192">
      <c r="A192" s="79" t="n">
        <v>25809</v>
      </c>
      <c r="B192" t="n">
        <v>2005000</v>
      </c>
      <c r="C192" t="n">
        <v>297000</v>
      </c>
    </row>
    <row r="193">
      <c r="A193" s="79" t="n">
        <v>25816</v>
      </c>
      <c r="B193" t="n">
        <v>1996000</v>
      </c>
      <c r="C193" t="n">
        <v>324000</v>
      </c>
    </row>
    <row r="194">
      <c r="A194" s="79" t="n">
        <v>25823</v>
      </c>
      <c r="B194" t="n">
        <v>2068000</v>
      </c>
      <c r="C194" t="n">
        <v>292000</v>
      </c>
    </row>
    <row r="195">
      <c r="A195" s="79" t="n">
        <v>25830</v>
      </c>
      <c r="B195" t="n">
        <v>2069000</v>
      </c>
      <c r="C195" t="n">
        <v>325000</v>
      </c>
    </row>
    <row r="196">
      <c r="A196" s="79" t="n">
        <v>25837</v>
      </c>
      <c r="B196" t="n">
        <v>2092000</v>
      </c>
      <c r="C196" t="n">
        <v>333000</v>
      </c>
    </row>
    <row r="197">
      <c r="A197" s="79" t="n">
        <v>25844</v>
      </c>
      <c r="B197" t="n">
        <v>2164000</v>
      </c>
      <c r="C197" t="n">
        <v>350000</v>
      </c>
    </row>
    <row r="198">
      <c r="A198" s="79" t="n">
        <v>25851</v>
      </c>
      <c r="B198" t="n">
        <v>2207000</v>
      </c>
      <c r="C198" t="n">
        <v>327000</v>
      </c>
    </row>
    <row r="199">
      <c r="A199" s="79" t="n">
        <v>25858</v>
      </c>
      <c r="B199" t="n">
        <v>2210000</v>
      </c>
      <c r="C199" t="n">
        <v>334000</v>
      </c>
    </row>
    <row r="200">
      <c r="A200" s="79" t="n">
        <v>25865</v>
      </c>
      <c r="B200" t="n">
        <v>2257000</v>
      </c>
      <c r="C200" t="n">
        <v>330000</v>
      </c>
    </row>
    <row r="201">
      <c r="A201" s="79" t="n">
        <v>25872</v>
      </c>
      <c r="B201" t="n">
        <v>2233000</v>
      </c>
      <c r="C201" t="n">
        <v>327000</v>
      </c>
    </row>
    <row r="202">
      <c r="A202" s="79" t="n">
        <v>25879</v>
      </c>
      <c r="B202" t="n">
        <v>2279000</v>
      </c>
      <c r="C202" t="n">
        <v>336000</v>
      </c>
    </row>
    <row r="203">
      <c r="A203" s="79" t="n">
        <v>25886</v>
      </c>
      <c r="B203" t="n">
        <v>2343000</v>
      </c>
      <c r="C203" t="n">
        <v>314000</v>
      </c>
    </row>
    <row r="204">
      <c r="A204" s="79" t="n">
        <v>25893</v>
      </c>
      <c r="B204" t="n">
        <v>2285000</v>
      </c>
      <c r="C204" t="n">
        <v>314000</v>
      </c>
    </row>
    <row r="205">
      <c r="A205" s="79" t="n">
        <v>25900</v>
      </c>
      <c r="B205" t="n">
        <v>2292000</v>
      </c>
      <c r="C205" t="n">
        <v>337000</v>
      </c>
    </row>
    <row r="206">
      <c r="A206" s="79" t="n">
        <v>25907</v>
      </c>
      <c r="B206" t="n">
        <v>2276000</v>
      </c>
      <c r="C206" t="n">
        <v>308000</v>
      </c>
    </row>
    <row r="207">
      <c r="A207" s="79" t="n">
        <v>25914</v>
      </c>
      <c r="B207" t="n">
        <v>2193000</v>
      </c>
      <c r="C207" t="n">
        <v>306000</v>
      </c>
    </row>
    <row r="208">
      <c r="A208" s="79" t="n">
        <v>25921</v>
      </c>
      <c r="B208" t="n">
        <v>2224000</v>
      </c>
      <c r="C208" t="n">
        <v>289000</v>
      </c>
    </row>
    <row r="209">
      <c r="A209" s="79" t="n">
        <v>25928</v>
      </c>
      <c r="B209" t="n">
        <v>2147000</v>
      </c>
      <c r="C209" t="n">
        <v>321000</v>
      </c>
    </row>
    <row r="210">
      <c r="A210" s="79" t="n">
        <v>25935</v>
      </c>
      <c r="B210" t="n">
        <v>2102000</v>
      </c>
      <c r="C210" t="n">
        <v>303000</v>
      </c>
    </row>
    <row r="211">
      <c r="A211" s="79" t="n">
        <v>25942</v>
      </c>
      <c r="B211" t="n">
        <v>2124000</v>
      </c>
      <c r="C211" t="n">
        <v>288000</v>
      </c>
    </row>
    <row r="212">
      <c r="A212" s="79" t="n">
        <v>25949</v>
      </c>
      <c r="B212" t="n">
        <v>2100000</v>
      </c>
      <c r="C212" t="n">
        <v>299000</v>
      </c>
    </row>
    <row r="213">
      <c r="A213" s="79" t="n">
        <v>25956</v>
      </c>
      <c r="B213" t="n">
        <v>2091000</v>
      </c>
      <c r="C213" t="n">
        <v>312000</v>
      </c>
    </row>
    <row r="214">
      <c r="A214" s="79" t="n">
        <v>25963</v>
      </c>
      <c r="B214" t="n">
        <v>2086000</v>
      </c>
      <c r="C214" t="n">
        <v>292000</v>
      </c>
    </row>
    <row r="215">
      <c r="A215" s="79" t="n">
        <v>25970</v>
      </c>
      <c r="B215" t="n">
        <v>2120000</v>
      </c>
      <c r="C215" t="n">
        <v>296000</v>
      </c>
    </row>
    <row r="216">
      <c r="A216" s="79" t="n">
        <v>25977</v>
      </c>
      <c r="B216" t="n">
        <v>2079000</v>
      </c>
      <c r="C216" t="n">
        <v>282000</v>
      </c>
    </row>
    <row r="217">
      <c r="A217" s="79" t="n">
        <v>25984</v>
      </c>
      <c r="B217" t="n">
        <v>2120000</v>
      </c>
      <c r="C217" t="n">
        <v>268000</v>
      </c>
    </row>
    <row r="218">
      <c r="A218" s="79" t="n">
        <v>25991</v>
      </c>
      <c r="B218" t="n">
        <v>2081000</v>
      </c>
      <c r="C218" t="n">
        <v>290000</v>
      </c>
    </row>
    <row r="219">
      <c r="A219" s="79" t="n">
        <v>25998</v>
      </c>
      <c r="B219" t="n">
        <v>2132000</v>
      </c>
      <c r="C219" t="n">
        <v>297000</v>
      </c>
    </row>
    <row r="220">
      <c r="A220" s="79" t="n">
        <v>26005</v>
      </c>
      <c r="B220" t="n">
        <v>2126000</v>
      </c>
      <c r="C220" t="n">
        <v>287000</v>
      </c>
    </row>
    <row r="221">
      <c r="A221" s="79" t="n">
        <v>26012</v>
      </c>
      <c r="B221" t="n">
        <v>2140000</v>
      </c>
      <c r="C221" t="n">
        <v>291000</v>
      </c>
    </row>
    <row r="222">
      <c r="A222" s="79" t="n">
        <v>26019</v>
      </c>
      <c r="B222" t="n">
        <v>2157000</v>
      </c>
      <c r="C222" t="n">
        <v>300000</v>
      </c>
    </row>
    <row r="223">
      <c r="A223" s="79" t="n">
        <v>26026</v>
      </c>
      <c r="B223" t="n">
        <v>2135000</v>
      </c>
      <c r="C223" t="n">
        <v>299000</v>
      </c>
    </row>
    <row r="224">
      <c r="A224" s="79" t="n">
        <v>26033</v>
      </c>
      <c r="B224" t="n">
        <v>2156000</v>
      </c>
      <c r="C224" t="n">
        <v>279000</v>
      </c>
    </row>
    <row r="225">
      <c r="A225" s="79" t="n">
        <v>26040</v>
      </c>
      <c r="B225" t="n">
        <v>2163000</v>
      </c>
      <c r="C225" t="n">
        <v>284000</v>
      </c>
    </row>
    <row r="226">
      <c r="A226" s="79" t="n">
        <v>26047</v>
      </c>
      <c r="B226" t="n">
        <v>2127000</v>
      </c>
      <c r="C226" t="n">
        <v>288000</v>
      </c>
    </row>
    <row r="227">
      <c r="A227" s="79" t="n">
        <v>26054</v>
      </c>
      <c r="B227" t="n">
        <v>2157000</v>
      </c>
      <c r="C227" t="n">
        <v>290000</v>
      </c>
    </row>
    <row r="228">
      <c r="A228" s="79" t="n">
        <v>26061</v>
      </c>
      <c r="B228" t="n">
        <v>2179000</v>
      </c>
      <c r="C228" t="n">
        <v>293000</v>
      </c>
    </row>
    <row r="229">
      <c r="A229" s="79" t="n">
        <v>26068</v>
      </c>
      <c r="B229" t="n">
        <v>2179000</v>
      </c>
      <c r="C229" t="n">
        <v>284000</v>
      </c>
    </row>
    <row r="230">
      <c r="A230" s="79" t="n">
        <v>26075</v>
      </c>
      <c r="B230" t="n">
        <v>2167000</v>
      </c>
      <c r="C230" t="n">
        <v>295000</v>
      </c>
    </row>
    <row r="231">
      <c r="A231" s="79" t="n">
        <v>26082</v>
      </c>
      <c r="B231" t="n">
        <v>2171000</v>
      </c>
      <c r="C231" t="n">
        <v>299000</v>
      </c>
    </row>
    <row r="232">
      <c r="A232" s="79" t="n">
        <v>26089</v>
      </c>
      <c r="B232" t="n">
        <v>2194000</v>
      </c>
      <c r="C232" t="n">
        <v>301000</v>
      </c>
    </row>
    <row r="233">
      <c r="A233" s="79" t="n">
        <v>26096</v>
      </c>
      <c r="B233" t="n">
        <v>2199000</v>
      </c>
      <c r="C233" t="n">
        <v>295000</v>
      </c>
    </row>
    <row r="234">
      <c r="A234" s="79" t="n">
        <v>26103</v>
      </c>
      <c r="B234" t="n">
        <v>2182000</v>
      </c>
      <c r="C234" t="n">
        <v>299000</v>
      </c>
    </row>
    <row r="235">
      <c r="A235" s="79" t="n">
        <v>26110</v>
      </c>
      <c r="B235" t="n">
        <v>2172000</v>
      </c>
      <c r="C235" t="n">
        <v>291000</v>
      </c>
    </row>
    <row r="236">
      <c r="A236" s="79" t="n">
        <v>26117</v>
      </c>
      <c r="B236" t="n">
        <v>2116000</v>
      </c>
      <c r="C236" t="n">
        <v>277000</v>
      </c>
    </row>
    <row r="237">
      <c r="A237" s="79" t="n">
        <v>26124</v>
      </c>
      <c r="B237" t="n">
        <v>2130000</v>
      </c>
      <c r="C237" t="n">
        <v>264000</v>
      </c>
    </row>
    <row r="238">
      <c r="A238" s="79" t="n">
        <v>26131</v>
      </c>
      <c r="B238" t="n">
        <v>2087000</v>
      </c>
      <c r="C238" t="n">
        <v>313000</v>
      </c>
    </row>
    <row r="239">
      <c r="A239" s="79" t="n">
        <v>26138</v>
      </c>
      <c r="B239" t="n">
        <v>2129000</v>
      </c>
      <c r="C239" t="n">
        <v>304000</v>
      </c>
    </row>
    <row r="240">
      <c r="A240" s="79" t="n">
        <v>26145</v>
      </c>
      <c r="B240" t="n">
        <v>2150000</v>
      </c>
      <c r="C240" t="n">
        <v>308000</v>
      </c>
    </row>
    <row r="241">
      <c r="A241" s="79" t="n">
        <v>26152</v>
      </c>
      <c r="B241" t="n">
        <v>2174000</v>
      </c>
      <c r="C241" t="n">
        <v>349000</v>
      </c>
    </row>
    <row r="242">
      <c r="A242" s="79" t="n">
        <v>26159</v>
      </c>
      <c r="B242" t="n">
        <v>2202000</v>
      </c>
      <c r="C242" t="n">
        <v>325000</v>
      </c>
    </row>
    <row r="243">
      <c r="A243" s="79" t="n">
        <v>26166</v>
      </c>
      <c r="B243" t="n">
        <v>2186000</v>
      </c>
      <c r="C243" t="n">
        <v>320000</v>
      </c>
    </row>
    <row r="244">
      <c r="A244" s="79" t="n">
        <v>26173</v>
      </c>
      <c r="B244" t="n">
        <v>2188000</v>
      </c>
      <c r="C244" t="n">
        <v>307000</v>
      </c>
    </row>
    <row r="245">
      <c r="A245" s="79" t="n">
        <v>26180</v>
      </c>
      <c r="B245" t="n">
        <v>2228000</v>
      </c>
      <c r="C245" t="n">
        <v>359000</v>
      </c>
    </row>
    <row r="246">
      <c r="A246" s="79" t="n">
        <v>26187</v>
      </c>
      <c r="B246" t="n">
        <v>2250000</v>
      </c>
      <c r="C246" t="n">
        <v>312000</v>
      </c>
    </row>
    <row r="247">
      <c r="A247" s="79" t="n">
        <v>26194</v>
      </c>
      <c r="B247" t="n">
        <v>2246000</v>
      </c>
      <c r="C247" t="n">
        <v>302000</v>
      </c>
    </row>
    <row r="248">
      <c r="A248" s="79" t="n">
        <v>26201</v>
      </c>
      <c r="B248" t="n">
        <v>2233000</v>
      </c>
      <c r="C248" t="n">
        <v>308000</v>
      </c>
    </row>
    <row r="249">
      <c r="A249" s="79" t="n">
        <v>26208</v>
      </c>
      <c r="B249" t="n">
        <v>2216000</v>
      </c>
      <c r="C249" t="n">
        <v>299000</v>
      </c>
    </row>
    <row r="250">
      <c r="A250" s="79" t="n">
        <v>26215</v>
      </c>
      <c r="B250" t="n">
        <v>2247000</v>
      </c>
      <c r="C250" t="n">
        <v>313000</v>
      </c>
    </row>
    <row r="251">
      <c r="A251" s="79" t="n">
        <v>26222</v>
      </c>
      <c r="B251" t="n">
        <v>2190000</v>
      </c>
      <c r="C251" t="n">
        <v>299000</v>
      </c>
    </row>
    <row r="252">
      <c r="A252" s="79" t="n">
        <v>26229</v>
      </c>
      <c r="B252" t="n">
        <v>2176000</v>
      </c>
      <c r="C252" t="n">
        <v>294000</v>
      </c>
    </row>
    <row r="253">
      <c r="A253" s="79" t="n">
        <v>26236</v>
      </c>
      <c r="B253" t="n">
        <v>2194000</v>
      </c>
      <c r="C253" t="n">
        <v>283000</v>
      </c>
    </row>
    <row r="254">
      <c r="A254" s="79" t="n">
        <v>26243</v>
      </c>
      <c r="B254" t="n">
        <v>2204000</v>
      </c>
      <c r="C254" t="n">
        <v>301000</v>
      </c>
    </row>
    <row r="255">
      <c r="A255" s="79" t="n">
        <v>26250</v>
      </c>
      <c r="B255" t="n">
        <v>2134000</v>
      </c>
      <c r="C255" t="n">
        <v>295000</v>
      </c>
    </row>
    <row r="256">
      <c r="A256" s="79" t="n">
        <v>26257</v>
      </c>
      <c r="B256" t="n">
        <v>2134000</v>
      </c>
      <c r="C256" t="n">
        <v>274000</v>
      </c>
    </row>
    <row r="257">
      <c r="A257" s="79" t="n">
        <v>26264</v>
      </c>
      <c r="B257" t="n">
        <v>2111000</v>
      </c>
      <c r="C257" t="n">
        <v>278000</v>
      </c>
    </row>
    <row r="258">
      <c r="A258" s="79" t="n">
        <v>26271</v>
      </c>
      <c r="B258" t="n">
        <v>2117000</v>
      </c>
      <c r="C258" t="n">
        <v>299000</v>
      </c>
    </row>
    <row r="259">
      <c r="A259" s="79" t="n">
        <v>26278</v>
      </c>
      <c r="B259" t="n">
        <v>2085000</v>
      </c>
      <c r="C259" t="n">
        <v>280000</v>
      </c>
    </row>
    <row r="260">
      <c r="A260" s="79" t="n">
        <v>26285</v>
      </c>
      <c r="B260" t="n">
        <v>2109000</v>
      </c>
      <c r="C260" t="n">
        <v>269000</v>
      </c>
    </row>
    <row r="261">
      <c r="A261" s="79" t="n">
        <v>26292</v>
      </c>
      <c r="B261" t="n">
        <v>2037000</v>
      </c>
      <c r="C261" t="n">
        <v>244000</v>
      </c>
    </row>
    <row r="262">
      <c r="A262" s="79" t="n">
        <v>26299</v>
      </c>
      <c r="B262" t="n">
        <v>1934000</v>
      </c>
      <c r="C262" t="n">
        <v>279000</v>
      </c>
    </row>
    <row r="263">
      <c r="A263" s="79" t="n">
        <v>26306</v>
      </c>
      <c r="B263" t="n">
        <v>1931000</v>
      </c>
      <c r="C263" t="n">
        <v>295000</v>
      </c>
    </row>
    <row r="264">
      <c r="A264" s="79" t="n">
        <v>26313</v>
      </c>
      <c r="B264" t="n">
        <v>1923000</v>
      </c>
      <c r="C264" t="n">
        <v>250000</v>
      </c>
    </row>
    <row r="265">
      <c r="A265" s="79" t="n">
        <v>26320</v>
      </c>
      <c r="B265" t="n">
        <v>1907000</v>
      </c>
      <c r="C265" t="n">
        <v>263000</v>
      </c>
    </row>
    <row r="266">
      <c r="A266" s="79" t="n">
        <v>26327</v>
      </c>
      <c r="B266" t="n">
        <v>1921000</v>
      </c>
      <c r="C266" t="n">
        <v>269000</v>
      </c>
    </row>
    <row r="267">
      <c r="A267" s="79" t="n">
        <v>26334</v>
      </c>
      <c r="B267" t="n">
        <v>1941000</v>
      </c>
      <c r="C267" t="n">
        <v>276000</v>
      </c>
    </row>
    <row r="268">
      <c r="A268" s="79" t="n">
        <v>26341</v>
      </c>
      <c r="B268" t="n">
        <v>1960000</v>
      </c>
      <c r="C268" t="n">
        <v>266000</v>
      </c>
    </row>
    <row r="269">
      <c r="A269" s="79" t="n">
        <v>26348</v>
      </c>
      <c r="B269" t="n">
        <v>1902000</v>
      </c>
      <c r="C269" t="n">
        <v>258000</v>
      </c>
    </row>
    <row r="270">
      <c r="A270" s="79" t="n">
        <v>26355</v>
      </c>
      <c r="B270" t="n">
        <v>1903000</v>
      </c>
      <c r="C270" t="n">
        <v>254000</v>
      </c>
    </row>
    <row r="271">
      <c r="A271" s="79" t="n">
        <v>26362</v>
      </c>
      <c r="B271" t="n">
        <v>1905000</v>
      </c>
      <c r="C271" t="n">
        <v>257000</v>
      </c>
    </row>
    <row r="272">
      <c r="A272" s="79" t="n">
        <v>26369</v>
      </c>
      <c r="B272" t="n">
        <v>1906000</v>
      </c>
      <c r="C272" t="n">
        <v>264000</v>
      </c>
    </row>
    <row r="273">
      <c r="A273" s="79" t="n">
        <v>26376</v>
      </c>
      <c r="B273" t="n">
        <v>1907000</v>
      </c>
      <c r="C273" t="n">
        <v>266000</v>
      </c>
    </row>
    <row r="274">
      <c r="A274" s="79" t="n">
        <v>26383</v>
      </c>
      <c r="B274" t="n">
        <v>1877000</v>
      </c>
      <c r="C274" t="n">
        <v>264000</v>
      </c>
    </row>
    <row r="275">
      <c r="A275" s="79" t="n">
        <v>26390</v>
      </c>
      <c r="B275" t="n">
        <v>1913000</v>
      </c>
      <c r="C275" t="n">
        <v>258000</v>
      </c>
    </row>
    <row r="276">
      <c r="A276" s="79" t="n">
        <v>26397</v>
      </c>
      <c r="B276" t="n">
        <v>1910000</v>
      </c>
      <c r="C276" t="n">
        <v>274000</v>
      </c>
    </row>
    <row r="277">
      <c r="A277" s="79" t="n">
        <v>26404</v>
      </c>
      <c r="B277" t="n">
        <v>1891000</v>
      </c>
      <c r="C277" t="n">
        <v>259000</v>
      </c>
    </row>
    <row r="278">
      <c r="A278" s="79" t="n">
        <v>26411</v>
      </c>
      <c r="B278" t="n">
        <v>1855000</v>
      </c>
      <c r="C278" t="n">
        <v>259000</v>
      </c>
    </row>
    <row r="279">
      <c r="A279" s="79" t="n">
        <v>26418</v>
      </c>
      <c r="B279" t="n">
        <v>1870000</v>
      </c>
      <c r="C279" t="n">
        <v>265000</v>
      </c>
    </row>
    <row r="280">
      <c r="A280" s="79" t="n">
        <v>26425</v>
      </c>
      <c r="B280" t="n">
        <v>1893000</v>
      </c>
      <c r="C280" t="n">
        <v>271000</v>
      </c>
    </row>
    <row r="281">
      <c r="A281" s="79" t="n">
        <v>26432</v>
      </c>
      <c r="B281" t="n">
        <v>1874000</v>
      </c>
      <c r="C281" t="n">
        <v>266000</v>
      </c>
    </row>
    <row r="282">
      <c r="A282" s="79" t="n">
        <v>26439</v>
      </c>
      <c r="B282" t="n">
        <v>1863000</v>
      </c>
      <c r="C282" t="n">
        <v>267000</v>
      </c>
    </row>
    <row r="283">
      <c r="A283" s="79" t="n">
        <v>26446</v>
      </c>
      <c r="B283" t="n">
        <v>1871000</v>
      </c>
      <c r="C283" t="n">
        <v>267000</v>
      </c>
    </row>
    <row r="284">
      <c r="A284" s="79" t="n">
        <v>26453</v>
      </c>
      <c r="B284" t="n">
        <v>1857000</v>
      </c>
      <c r="C284" t="n">
        <v>264000</v>
      </c>
    </row>
    <row r="285">
      <c r="A285" s="79" t="n">
        <v>26460</v>
      </c>
      <c r="B285" t="n">
        <v>1870000</v>
      </c>
      <c r="C285" t="n">
        <v>268000</v>
      </c>
    </row>
    <row r="286">
      <c r="A286" s="79" t="n">
        <v>26467</v>
      </c>
      <c r="B286" t="n">
        <v>1855000</v>
      </c>
      <c r="C286" t="n">
        <v>275000</v>
      </c>
    </row>
    <row r="287">
      <c r="A287" s="79" t="n">
        <v>26474</v>
      </c>
      <c r="B287" t="n">
        <v>1871000</v>
      </c>
      <c r="C287" t="n">
        <v>286000</v>
      </c>
    </row>
    <row r="288">
      <c r="A288" s="79" t="n">
        <v>26481</v>
      </c>
      <c r="B288" t="n">
        <v>1935000</v>
      </c>
      <c r="C288" t="n">
        <v>350000</v>
      </c>
    </row>
    <row r="289">
      <c r="A289" s="79" t="n">
        <v>26488</v>
      </c>
      <c r="B289" t="n">
        <v>1977000</v>
      </c>
      <c r="C289" t="n">
        <v>297000</v>
      </c>
    </row>
    <row r="290">
      <c r="A290" s="79" t="n">
        <v>26495</v>
      </c>
      <c r="B290" t="n">
        <v>1947000</v>
      </c>
      <c r="C290" t="n">
        <v>318000</v>
      </c>
    </row>
    <row r="291">
      <c r="A291" s="79" t="n">
        <v>26502</v>
      </c>
      <c r="B291" t="n">
        <v>1962000</v>
      </c>
      <c r="C291" t="n">
        <v>276000</v>
      </c>
    </row>
    <row r="292">
      <c r="A292" s="79" t="n">
        <v>26509</v>
      </c>
      <c r="B292" t="n">
        <v>1928000</v>
      </c>
      <c r="C292" t="n">
        <v>247000</v>
      </c>
    </row>
    <row r="293">
      <c r="A293" s="79" t="n">
        <v>26516</v>
      </c>
      <c r="B293" t="n">
        <v>1855000</v>
      </c>
      <c r="C293" t="n">
        <v>250000</v>
      </c>
    </row>
    <row r="294">
      <c r="A294" s="79" t="n">
        <v>26523</v>
      </c>
      <c r="B294" t="n">
        <v>1812000</v>
      </c>
      <c r="C294" t="n">
        <v>246000</v>
      </c>
    </row>
    <row r="295">
      <c r="A295" s="79" t="n">
        <v>26530</v>
      </c>
      <c r="B295" t="n">
        <v>1794000</v>
      </c>
      <c r="C295" t="n">
        <v>256000</v>
      </c>
    </row>
    <row r="296">
      <c r="A296" s="79" t="n">
        <v>26537</v>
      </c>
      <c r="B296" t="n">
        <v>1792000</v>
      </c>
      <c r="C296" t="n">
        <v>262000</v>
      </c>
    </row>
    <row r="297">
      <c r="A297" s="79" t="n">
        <v>26544</v>
      </c>
      <c r="B297" t="n">
        <v>1838000</v>
      </c>
      <c r="C297" t="n">
        <v>258000</v>
      </c>
    </row>
    <row r="298">
      <c r="A298" s="79" t="n">
        <v>26551</v>
      </c>
      <c r="B298" t="n">
        <v>1802000</v>
      </c>
      <c r="C298" t="n">
        <v>259000</v>
      </c>
    </row>
    <row r="299">
      <c r="A299" s="79" t="n">
        <v>26558</v>
      </c>
      <c r="B299" t="n">
        <v>1799000</v>
      </c>
      <c r="C299" t="n">
        <v>258000</v>
      </c>
    </row>
    <row r="300">
      <c r="A300" s="79" t="n">
        <v>26565</v>
      </c>
      <c r="B300" t="n">
        <v>1791000</v>
      </c>
      <c r="C300" t="n">
        <v>255000</v>
      </c>
    </row>
    <row r="301">
      <c r="A301" s="79" t="n">
        <v>26572</v>
      </c>
      <c r="B301" t="n">
        <v>1763000</v>
      </c>
      <c r="C301" t="n">
        <v>251000</v>
      </c>
    </row>
    <row r="302">
      <c r="A302" s="79" t="n">
        <v>26579</v>
      </c>
      <c r="B302" t="n">
        <v>1771000</v>
      </c>
      <c r="C302" t="n">
        <v>263000</v>
      </c>
    </row>
    <row r="303">
      <c r="A303" s="79" t="n">
        <v>26586</v>
      </c>
      <c r="B303" t="n">
        <v>1760000</v>
      </c>
      <c r="C303" t="n">
        <v>250000</v>
      </c>
    </row>
    <row r="304">
      <c r="A304" s="79" t="n">
        <v>26593</v>
      </c>
      <c r="B304" t="n">
        <v>1733000</v>
      </c>
      <c r="C304" t="n">
        <v>257000</v>
      </c>
    </row>
    <row r="305">
      <c r="A305" s="79" t="n">
        <v>26600</v>
      </c>
      <c r="B305" t="n">
        <v>1750000</v>
      </c>
      <c r="C305" t="n">
        <v>234000</v>
      </c>
    </row>
    <row r="306">
      <c r="A306" s="79" t="n">
        <v>26607</v>
      </c>
      <c r="B306" t="n">
        <v>1722000</v>
      </c>
      <c r="C306" t="n">
        <v>255000</v>
      </c>
    </row>
    <row r="307">
      <c r="A307" s="79" t="n">
        <v>26614</v>
      </c>
      <c r="B307" t="n">
        <v>1736000</v>
      </c>
      <c r="C307" t="n">
        <v>242000</v>
      </c>
    </row>
    <row r="308">
      <c r="A308" s="79" t="n">
        <v>26621</v>
      </c>
      <c r="B308" t="n">
        <v>1727000</v>
      </c>
      <c r="C308" t="n">
        <v>271000</v>
      </c>
    </row>
    <row r="309">
      <c r="A309" s="79" t="n">
        <v>26628</v>
      </c>
      <c r="B309" t="n">
        <v>1743000</v>
      </c>
      <c r="C309" t="n">
        <v>235000</v>
      </c>
    </row>
    <row r="310">
      <c r="A310" s="79" t="n">
        <v>26635</v>
      </c>
      <c r="B310" t="n">
        <v>1676000</v>
      </c>
      <c r="C310" t="n">
        <v>226000</v>
      </c>
    </row>
    <row r="311">
      <c r="A311" s="79" t="n">
        <v>26642</v>
      </c>
      <c r="B311" t="n">
        <v>1681000</v>
      </c>
      <c r="C311" t="n">
        <v>252000</v>
      </c>
    </row>
    <row r="312">
      <c r="A312" s="79" t="n">
        <v>26649</v>
      </c>
      <c r="B312" t="n">
        <v>1756000</v>
      </c>
      <c r="C312" t="n">
        <v>263000</v>
      </c>
    </row>
    <row r="313">
      <c r="A313" s="79" t="n">
        <v>26656</v>
      </c>
      <c r="B313" t="n">
        <v>1697000</v>
      </c>
      <c r="C313" t="n">
        <v>246000</v>
      </c>
    </row>
    <row r="314">
      <c r="A314" s="79" t="n">
        <v>26663</v>
      </c>
      <c r="B314" t="n">
        <v>1663000</v>
      </c>
      <c r="C314" t="n">
        <v>225000</v>
      </c>
    </row>
    <row r="315">
      <c r="A315" s="79" t="n">
        <v>26670</v>
      </c>
      <c r="B315" t="n">
        <v>1617000</v>
      </c>
      <c r="C315" t="n">
        <v>226000</v>
      </c>
    </row>
    <row r="316">
      <c r="A316" s="79" t="n">
        <v>26677</v>
      </c>
      <c r="B316" t="n">
        <v>1660000</v>
      </c>
      <c r="C316" t="n">
        <v>245000</v>
      </c>
    </row>
    <row r="317">
      <c r="A317" s="79" t="n">
        <v>26684</v>
      </c>
      <c r="B317" t="n">
        <v>1607000</v>
      </c>
      <c r="C317" t="n">
        <v>229000</v>
      </c>
    </row>
    <row r="318">
      <c r="A318" s="79" t="n">
        <v>26691</v>
      </c>
      <c r="B318" t="n">
        <v>1601000</v>
      </c>
      <c r="C318" t="n">
        <v>214000</v>
      </c>
    </row>
    <row r="319">
      <c r="A319" s="79" t="n">
        <v>26698</v>
      </c>
      <c r="B319" t="n">
        <v>1596000</v>
      </c>
      <c r="C319" t="n">
        <v>228000</v>
      </c>
    </row>
    <row r="320">
      <c r="A320" s="79" t="n">
        <v>26705</v>
      </c>
      <c r="B320" t="n">
        <v>1594000</v>
      </c>
      <c r="C320" t="n">
        <v>226000</v>
      </c>
    </row>
    <row r="321">
      <c r="A321" s="79" t="n">
        <v>26712</v>
      </c>
      <c r="B321" t="n">
        <v>1582000</v>
      </c>
      <c r="C321" t="n">
        <v>216000</v>
      </c>
    </row>
    <row r="322">
      <c r="A322" s="79" t="n">
        <v>26719</v>
      </c>
      <c r="B322" t="n">
        <v>1582000</v>
      </c>
      <c r="C322" t="n">
        <v>218000</v>
      </c>
    </row>
    <row r="323">
      <c r="A323" s="79" t="n">
        <v>26726</v>
      </c>
      <c r="B323" t="n">
        <v>1579000</v>
      </c>
      <c r="C323" t="n">
        <v>225000</v>
      </c>
    </row>
    <row r="324">
      <c r="A324" s="79" t="n">
        <v>26733</v>
      </c>
      <c r="B324" t="n">
        <v>1584000</v>
      </c>
      <c r="C324" t="n">
        <v>229000</v>
      </c>
    </row>
    <row r="325">
      <c r="A325" s="79" t="n">
        <v>26740</v>
      </c>
      <c r="B325" t="n">
        <v>1578000</v>
      </c>
      <c r="C325" t="n">
        <v>228000</v>
      </c>
    </row>
    <row r="326">
      <c r="A326" s="79" t="n">
        <v>26747</v>
      </c>
      <c r="B326" t="n">
        <v>1562000</v>
      </c>
      <c r="C326" t="n">
        <v>232000</v>
      </c>
    </row>
    <row r="327">
      <c r="A327" s="79" t="n">
        <v>26754</v>
      </c>
      <c r="B327" t="n">
        <v>1547000</v>
      </c>
      <c r="C327" t="n">
        <v>222000</v>
      </c>
    </row>
    <row r="328">
      <c r="A328" s="79" t="n">
        <v>26761</v>
      </c>
      <c r="B328" t="n">
        <v>1552000</v>
      </c>
      <c r="C328" t="n">
        <v>247000</v>
      </c>
    </row>
    <row r="329">
      <c r="A329" s="79" t="n">
        <v>26768</v>
      </c>
      <c r="B329" t="n">
        <v>1539000</v>
      </c>
      <c r="C329" t="n">
        <v>230000</v>
      </c>
    </row>
    <row r="330">
      <c r="A330" s="79" t="n">
        <v>26775</v>
      </c>
      <c r="B330" t="n">
        <v>1573000</v>
      </c>
      <c r="C330" t="n">
        <v>243000</v>
      </c>
    </row>
    <row r="331">
      <c r="A331" s="79" t="n">
        <v>26782</v>
      </c>
      <c r="B331" t="n">
        <v>1551000</v>
      </c>
      <c r="C331" t="n">
        <v>236000</v>
      </c>
    </row>
    <row r="332">
      <c r="A332" s="79" t="n">
        <v>26789</v>
      </c>
      <c r="B332" t="n">
        <v>1560000</v>
      </c>
      <c r="C332" t="n">
        <v>248000</v>
      </c>
    </row>
    <row r="333">
      <c r="A333" s="79" t="n">
        <v>26796</v>
      </c>
      <c r="B333" t="n">
        <v>1557000</v>
      </c>
      <c r="C333" t="n">
        <v>238000</v>
      </c>
    </row>
    <row r="334">
      <c r="A334" s="79" t="n">
        <v>26803</v>
      </c>
      <c r="B334" t="n">
        <v>1553000</v>
      </c>
      <c r="C334" t="n">
        <v>237000</v>
      </c>
    </row>
    <row r="335">
      <c r="A335" s="79" t="n">
        <v>26810</v>
      </c>
      <c r="B335" t="n">
        <v>1567000</v>
      </c>
      <c r="C335" t="n">
        <v>238000</v>
      </c>
    </row>
    <row r="336">
      <c r="A336" s="79" t="n">
        <v>26817</v>
      </c>
      <c r="B336" t="n">
        <v>1556000</v>
      </c>
      <c r="C336" t="n">
        <v>232000</v>
      </c>
    </row>
    <row r="337">
      <c r="A337" s="79" t="n">
        <v>26824</v>
      </c>
      <c r="B337" t="n">
        <v>1563000</v>
      </c>
      <c r="C337" t="n">
        <v>246000</v>
      </c>
    </row>
    <row r="338">
      <c r="A338" s="79" t="n">
        <v>26831</v>
      </c>
      <c r="B338" t="n">
        <v>1576000</v>
      </c>
      <c r="C338" t="n">
        <v>237000</v>
      </c>
    </row>
    <row r="339">
      <c r="A339" s="79" t="n">
        <v>26838</v>
      </c>
      <c r="B339" t="n">
        <v>1570000</v>
      </c>
      <c r="C339" t="n">
        <v>242000</v>
      </c>
    </row>
    <row r="340">
      <c r="A340" s="79" t="n">
        <v>26845</v>
      </c>
      <c r="B340" t="n">
        <v>1571000</v>
      </c>
      <c r="C340" t="n">
        <v>237000</v>
      </c>
    </row>
    <row r="341">
      <c r="A341" s="79" t="n">
        <v>26852</v>
      </c>
      <c r="B341" t="n">
        <v>1605000</v>
      </c>
      <c r="C341" t="n">
        <v>248000</v>
      </c>
    </row>
    <row r="342">
      <c r="A342" s="79" t="n">
        <v>26859</v>
      </c>
      <c r="B342" t="n">
        <v>1605000</v>
      </c>
      <c r="C342" t="n">
        <v>232000</v>
      </c>
    </row>
    <row r="343">
      <c r="A343" s="79" t="n">
        <v>26866</v>
      </c>
      <c r="B343" t="n">
        <v>1594000</v>
      </c>
      <c r="C343" t="n">
        <v>241000</v>
      </c>
    </row>
    <row r="344">
      <c r="A344" s="79" t="n">
        <v>26873</v>
      </c>
      <c r="B344" t="n">
        <v>1603000</v>
      </c>
      <c r="C344" t="n">
        <v>250000</v>
      </c>
    </row>
    <row r="345">
      <c r="A345" s="79" t="n">
        <v>26880</v>
      </c>
      <c r="B345" t="n">
        <v>1633000</v>
      </c>
      <c r="C345" t="n">
        <v>256000</v>
      </c>
    </row>
    <row r="346">
      <c r="A346" s="79" t="n">
        <v>26887</v>
      </c>
      <c r="B346" t="n">
        <v>1679000</v>
      </c>
      <c r="C346" t="n">
        <v>265000</v>
      </c>
    </row>
    <row r="347">
      <c r="A347" s="79" t="n">
        <v>26894</v>
      </c>
      <c r="B347" t="n">
        <v>1672000</v>
      </c>
      <c r="C347" t="n">
        <v>258000</v>
      </c>
    </row>
    <row r="348">
      <c r="A348" s="79" t="n">
        <v>26901</v>
      </c>
      <c r="B348" t="n">
        <v>1675000</v>
      </c>
      <c r="C348" t="n">
        <v>254000</v>
      </c>
    </row>
    <row r="349">
      <c r="A349" s="79" t="n">
        <v>26908</v>
      </c>
      <c r="B349" t="n">
        <v>1681000</v>
      </c>
      <c r="C349" t="n">
        <v>242000</v>
      </c>
    </row>
    <row r="350">
      <c r="A350" s="79" t="n">
        <v>26915</v>
      </c>
      <c r="B350" t="n">
        <v>1688000</v>
      </c>
      <c r="C350" t="n">
        <v>252000</v>
      </c>
    </row>
    <row r="351">
      <c r="A351" s="79" t="n">
        <v>26922</v>
      </c>
      <c r="B351" t="n">
        <v>1666000</v>
      </c>
      <c r="C351" t="n">
        <v>245000</v>
      </c>
    </row>
    <row r="352">
      <c r="A352" s="79" t="n">
        <v>26929</v>
      </c>
      <c r="B352" t="n">
        <v>1658000</v>
      </c>
      <c r="C352" t="n">
        <v>246000</v>
      </c>
    </row>
    <row r="353">
      <c r="A353" s="79" t="n">
        <v>26936</v>
      </c>
      <c r="B353" t="n">
        <v>1658000</v>
      </c>
      <c r="C353" t="n">
        <v>249000</v>
      </c>
    </row>
    <row r="354">
      <c r="A354" s="79" t="n">
        <v>26943</v>
      </c>
      <c r="B354" t="n">
        <v>1657000</v>
      </c>
      <c r="C354" t="n">
        <v>236000</v>
      </c>
    </row>
    <row r="355">
      <c r="A355" s="79" t="n">
        <v>26950</v>
      </c>
      <c r="B355" t="n">
        <v>1679000</v>
      </c>
      <c r="C355" t="n">
        <v>246000</v>
      </c>
    </row>
    <row r="356">
      <c r="A356" s="79" t="n">
        <v>26957</v>
      </c>
      <c r="B356" t="n">
        <v>1646000</v>
      </c>
      <c r="C356" t="n">
        <v>249000</v>
      </c>
    </row>
    <row r="357">
      <c r="A357" s="79" t="n">
        <v>26964</v>
      </c>
      <c r="B357" t="n">
        <v>1675000</v>
      </c>
      <c r="C357" t="n">
        <v>235000</v>
      </c>
    </row>
    <row r="358">
      <c r="A358" s="79" t="n">
        <v>26971</v>
      </c>
      <c r="B358" t="n">
        <v>1669000</v>
      </c>
      <c r="C358" t="n">
        <v>246000</v>
      </c>
    </row>
    <row r="359">
      <c r="A359" s="79" t="n">
        <v>26978</v>
      </c>
      <c r="B359" t="n">
        <v>1702000</v>
      </c>
      <c r="C359" t="n">
        <v>282000</v>
      </c>
    </row>
    <row r="360">
      <c r="A360" s="79" t="n">
        <v>26985</v>
      </c>
      <c r="B360" t="n">
        <v>1698000</v>
      </c>
      <c r="C360" t="n">
        <v>254000</v>
      </c>
    </row>
    <row r="361">
      <c r="A361" s="79" t="n">
        <v>26992</v>
      </c>
      <c r="B361" t="n">
        <v>1755000</v>
      </c>
      <c r="C361" t="n">
        <v>233000</v>
      </c>
    </row>
    <row r="362">
      <c r="A362" s="79" t="n">
        <v>26999</v>
      </c>
      <c r="B362" t="n">
        <v>1692000</v>
      </c>
      <c r="C362" t="n">
        <v>256000</v>
      </c>
    </row>
    <row r="363">
      <c r="A363" s="79" t="n">
        <v>27006</v>
      </c>
      <c r="B363" t="n">
        <v>1717000</v>
      </c>
      <c r="C363" t="n">
        <v>266000</v>
      </c>
    </row>
    <row r="364">
      <c r="A364" s="79" t="n">
        <v>27013</v>
      </c>
      <c r="B364" t="n">
        <v>1779000</v>
      </c>
      <c r="C364" t="n">
        <v>272000</v>
      </c>
    </row>
    <row r="365">
      <c r="A365" s="79" t="n">
        <v>27020</v>
      </c>
      <c r="B365" t="n">
        <v>1836000</v>
      </c>
      <c r="C365" t="n">
        <v>326000</v>
      </c>
    </row>
    <row r="366">
      <c r="A366" s="79" t="n">
        <v>27027</v>
      </c>
      <c r="B366" t="n">
        <v>1805000</v>
      </c>
      <c r="C366" t="n">
        <v>300000</v>
      </c>
    </row>
    <row r="367">
      <c r="A367" s="79" t="n">
        <v>27034</v>
      </c>
      <c r="B367" t="n">
        <v>1934000</v>
      </c>
      <c r="C367" t="n">
        <v>269000</v>
      </c>
    </row>
    <row r="368">
      <c r="A368" s="79" t="n">
        <v>27041</v>
      </c>
      <c r="B368" t="n">
        <v>1949000</v>
      </c>
      <c r="C368" t="n">
        <v>340000</v>
      </c>
    </row>
    <row r="369">
      <c r="A369" s="79" t="n">
        <v>27048</v>
      </c>
      <c r="B369" t="n">
        <v>1995000</v>
      </c>
      <c r="C369" t="n">
        <v>321000</v>
      </c>
    </row>
    <row r="370">
      <c r="A370" s="79" t="n">
        <v>27055</v>
      </c>
      <c r="B370" t="n">
        <v>1950000</v>
      </c>
      <c r="C370" t="n">
        <v>291000</v>
      </c>
    </row>
    <row r="371">
      <c r="A371" s="79" t="n">
        <v>27062</v>
      </c>
      <c r="B371" t="n">
        <v>1963000</v>
      </c>
      <c r="C371" t="n">
        <v>302000</v>
      </c>
    </row>
    <row r="372">
      <c r="A372" s="79" t="n">
        <v>27069</v>
      </c>
      <c r="B372" t="n">
        <v>2010000</v>
      </c>
      <c r="C372" t="n">
        <v>369000</v>
      </c>
    </row>
    <row r="373">
      <c r="A373" s="79" t="n">
        <v>27076</v>
      </c>
      <c r="B373" t="n">
        <v>2049000</v>
      </c>
      <c r="C373" t="n">
        <v>311000</v>
      </c>
    </row>
    <row r="374">
      <c r="A374" s="79" t="n">
        <v>27083</v>
      </c>
      <c r="B374" t="n">
        <v>2027000</v>
      </c>
      <c r="C374" t="n">
        <v>292000</v>
      </c>
    </row>
    <row r="375">
      <c r="A375" s="79" t="n">
        <v>27090</v>
      </c>
      <c r="B375" t="n">
        <v>2020000</v>
      </c>
      <c r="C375" t="n">
        <v>301000</v>
      </c>
    </row>
    <row r="376">
      <c r="A376" s="79" t="n">
        <v>27097</v>
      </c>
      <c r="B376" t="n">
        <v>2054000</v>
      </c>
      <c r="C376" t="n">
        <v>305000</v>
      </c>
    </row>
    <row r="377">
      <c r="A377" s="79" t="n">
        <v>27104</v>
      </c>
      <c r="B377" t="n">
        <v>2068000</v>
      </c>
      <c r="C377" t="n">
        <v>315000</v>
      </c>
    </row>
    <row r="378">
      <c r="A378" s="79" t="n">
        <v>27111</v>
      </c>
      <c r="B378" t="n">
        <v>2074000</v>
      </c>
      <c r="C378" t="n">
        <v>314000</v>
      </c>
    </row>
    <row r="379">
      <c r="A379" s="79" t="n">
        <v>27118</v>
      </c>
      <c r="B379" t="n">
        <v>2062000</v>
      </c>
      <c r="C379" t="n">
        <v>323000</v>
      </c>
    </row>
    <row r="380">
      <c r="A380" s="79" t="n">
        <v>27125</v>
      </c>
      <c r="B380" t="n">
        <v>2066000</v>
      </c>
      <c r="C380" t="n">
        <v>296000</v>
      </c>
    </row>
    <row r="381">
      <c r="A381" s="79" t="n">
        <v>27132</v>
      </c>
      <c r="B381" t="n">
        <v>2072000</v>
      </c>
      <c r="C381" t="n">
        <v>297000</v>
      </c>
    </row>
    <row r="382">
      <c r="A382" s="79" t="n">
        <v>27139</v>
      </c>
      <c r="B382" t="n">
        <v>2081000</v>
      </c>
      <c r="C382" t="n">
        <v>296000</v>
      </c>
    </row>
    <row r="383">
      <c r="A383" s="79" t="n">
        <v>27146</v>
      </c>
      <c r="B383" t="n">
        <v>2045000</v>
      </c>
      <c r="C383" t="n">
        <v>283000</v>
      </c>
    </row>
    <row r="384">
      <c r="A384" s="79" t="n">
        <v>27153</v>
      </c>
      <c r="B384" t="n">
        <v>2056000</v>
      </c>
      <c r="C384" t="n">
        <v>287000</v>
      </c>
    </row>
    <row r="385">
      <c r="A385" s="79" t="n">
        <v>27160</v>
      </c>
      <c r="B385" t="n">
        <v>2041000</v>
      </c>
      <c r="C385" t="n">
        <v>296000</v>
      </c>
    </row>
    <row r="386">
      <c r="A386" s="79" t="n">
        <v>27167</v>
      </c>
      <c r="B386" t="n">
        <v>2053000</v>
      </c>
      <c r="C386" t="n">
        <v>298000</v>
      </c>
    </row>
    <row r="387">
      <c r="A387" s="79" t="n">
        <v>27174</v>
      </c>
      <c r="B387" t="n">
        <v>2057000</v>
      </c>
      <c r="C387" t="n">
        <v>309000</v>
      </c>
    </row>
    <row r="388">
      <c r="A388" s="79" t="n">
        <v>27181</v>
      </c>
      <c r="B388" t="n">
        <v>2079000</v>
      </c>
      <c r="C388" t="n">
        <v>278000</v>
      </c>
    </row>
    <row r="389">
      <c r="A389" s="79" t="n">
        <v>27188</v>
      </c>
      <c r="B389" t="n">
        <v>2067000</v>
      </c>
      <c r="C389" t="n">
        <v>314000</v>
      </c>
    </row>
    <row r="390">
      <c r="A390" s="79" t="n">
        <v>27195</v>
      </c>
      <c r="B390" t="n">
        <v>2095000</v>
      </c>
      <c r="C390" t="n">
        <v>303000</v>
      </c>
    </row>
    <row r="391">
      <c r="A391" s="79" t="n">
        <v>27202</v>
      </c>
      <c r="B391" t="n">
        <v>2066000</v>
      </c>
      <c r="C391" t="n">
        <v>308000</v>
      </c>
    </row>
    <row r="392">
      <c r="A392" s="79" t="n">
        <v>27209</v>
      </c>
      <c r="B392" t="n">
        <v>2074000</v>
      </c>
      <c r="C392" t="n">
        <v>325000</v>
      </c>
    </row>
    <row r="393">
      <c r="A393" s="79" t="n">
        <v>27216</v>
      </c>
      <c r="B393" t="n">
        <v>2160000</v>
      </c>
      <c r="C393" t="n">
        <v>311000</v>
      </c>
    </row>
    <row r="394">
      <c r="A394" s="79" t="n">
        <v>27223</v>
      </c>
      <c r="B394" t="n">
        <v>2125000</v>
      </c>
      <c r="C394" t="n">
        <v>304000</v>
      </c>
    </row>
    <row r="395">
      <c r="A395" s="79" t="n">
        <v>27230</v>
      </c>
      <c r="B395" t="n">
        <v>2109000</v>
      </c>
      <c r="C395" t="n">
        <v>303000</v>
      </c>
    </row>
    <row r="396">
      <c r="A396" s="79" t="n">
        <v>27237</v>
      </c>
      <c r="B396" t="n">
        <v>2097000</v>
      </c>
      <c r="C396" t="n">
        <v>320000</v>
      </c>
    </row>
    <row r="397">
      <c r="A397" s="79" t="n">
        <v>27244</v>
      </c>
      <c r="B397" t="n">
        <v>2147000</v>
      </c>
      <c r="C397" t="n">
        <v>335000</v>
      </c>
    </row>
    <row r="398">
      <c r="A398" s="79" t="n">
        <v>27251</v>
      </c>
      <c r="B398" t="n">
        <v>2171000</v>
      </c>
      <c r="C398" t="n">
        <v>347000</v>
      </c>
    </row>
    <row r="399">
      <c r="A399" s="79" t="n">
        <v>27258</v>
      </c>
      <c r="B399" t="n">
        <v>2168000</v>
      </c>
      <c r="C399" t="n">
        <v>332000</v>
      </c>
    </row>
    <row r="400">
      <c r="A400" s="79" t="n">
        <v>27265</v>
      </c>
      <c r="B400" t="n">
        <v>2172000</v>
      </c>
      <c r="C400" t="n">
        <v>343000</v>
      </c>
    </row>
    <row r="401">
      <c r="A401" s="79" t="n">
        <v>27272</v>
      </c>
      <c r="B401" t="n">
        <v>2211000</v>
      </c>
      <c r="C401" t="n">
        <v>350000</v>
      </c>
    </row>
    <row r="402">
      <c r="A402" s="79" t="n">
        <v>27279</v>
      </c>
      <c r="B402" t="n">
        <v>2265000</v>
      </c>
      <c r="C402" t="n">
        <v>350000</v>
      </c>
    </row>
    <row r="403">
      <c r="A403" s="79" t="n">
        <v>27286</v>
      </c>
      <c r="B403" t="n">
        <v>2274000</v>
      </c>
      <c r="C403" t="n">
        <v>357000</v>
      </c>
    </row>
    <row r="404">
      <c r="A404" s="79" t="n">
        <v>27293</v>
      </c>
      <c r="B404" t="n">
        <v>2273000</v>
      </c>
      <c r="C404" t="n">
        <v>370000</v>
      </c>
    </row>
    <row r="405">
      <c r="A405" s="79" t="n">
        <v>27300</v>
      </c>
      <c r="B405" t="n">
        <v>2306000</v>
      </c>
      <c r="C405" t="n">
        <v>366000</v>
      </c>
    </row>
    <row r="406">
      <c r="A406" s="79" t="n">
        <v>27307</v>
      </c>
      <c r="B406" t="n">
        <v>2360000</v>
      </c>
      <c r="C406" t="n">
        <v>371000</v>
      </c>
    </row>
    <row r="407">
      <c r="A407" s="79" t="n">
        <v>27314</v>
      </c>
      <c r="B407" t="n">
        <v>2396000</v>
      </c>
      <c r="C407" t="n">
        <v>413000</v>
      </c>
    </row>
    <row r="408">
      <c r="A408" s="79" t="n">
        <v>27321</v>
      </c>
      <c r="B408" t="n">
        <v>2519000</v>
      </c>
      <c r="C408" t="n">
        <v>389000</v>
      </c>
    </row>
    <row r="409">
      <c r="A409" s="79" t="n">
        <v>27328</v>
      </c>
      <c r="B409" t="n">
        <v>2520000</v>
      </c>
      <c r="C409" t="n">
        <v>414000</v>
      </c>
    </row>
    <row r="410">
      <c r="A410" s="79" t="n">
        <v>27335</v>
      </c>
      <c r="B410" t="n">
        <v>2623000</v>
      </c>
      <c r="C410" t="n">
        <v>406000</v>
      </c>
    </row>
    <row r="411">
      <c r="A411" s="79" t="n">
        <v>27342</v>
      </c>
      <c r="B411" t="n">
        <v>2699000</v>
      </c>
      <c r="C411" t="n">
        <v>441000</v>
      </c>
    </row>
    <row r="412">
      <c r="A412" s="79" t="n">
        <v>27349</v>
      </c>
      <c r="B412" t="n">
        <v>2862000</v>
      </c>
      <c r="C412" t="n">
        <v>449000</v>
      </c>
    </row>
    <row r="413">
      <c r="A413" s="79" t="n">
        <v>27356</v>
      </c>
      <c r="B413" t="n">
        <v>2748000</v>
      </c>
      <c r="C413" t="n">
        <v>518000</v>
      </c>
    </row>
    <row r="414">
      <c r="A414" s="79" t="n">
        <v>27363</v>
      </c>
      <c r="B414" t="n">
        <v>3086000</v>
      </c>
      <c r="C414" t="n">
        <v>474000</v>
      </c>
    </row>
    <row r="415">
      <c r="A415" s="79" t="n">
        <v>27370</v>
      </c>
      <c r="B415" t="n">
        <v>3178000</v>
      </c>
      <c r="C415" t="n">
        <v>528000</v>
      </c>
    </row>
    <row r="416">
      <c r="A416" s="79" t="n">
        <v>27377</v>
      </c>
      <c r="B416" t="n">
        <v>3291000</v>
      </c>
      <c r="C416" t="n">
        <v>510000</v>
      </c>
    </row>
    <row r="417">
      <c r="A417" s="79" t="n">
        <v>27384</v>
      </c>
      <c r="B417" t="n">
        <v>3300000</v>
      </c>
      <c r="C417" t="n">
        <v>521000</v>
      </c>
    </row>
    <row r="418">
      <c r="A418" s="79" t="n">
        <v>27391</v>
      </c>
      <c r="B418" t="n">
        <v>3396000</v>
      </c>
      <c r="C418" t="n">
        <v>537000</v>
      </c>
    </row>
    <row r="419">
      <c r="A419" s="79" t="n">
        <v>27398</v>
      </c>
      <c r="B419" t="n">
        <v>3554000</v>
      </c>
      <c r="C419" t="n">
        <v>456000</v>
      </c>
    </row>
    <row r="420">
      <c r="A420" s="79" t="n">
        <v>27405</v>
      </c>
      <c r="B420" t="n">
        <v>3557000</v>
      </c>
      <c r="C420" t="n">
        <v>554000</v>
      </c>
    </row>
    <row r="421">
      <c r="A421" s="79" t="n">
        <v>27412</v>
      </c>
      <c r="B421" t="n">
        <v>3658000</v>
      </c>
      <c r="C421" t="n">
        <v>575000</v>
      </c>
    </row>
    <row r="422">
      <c r="A422" s="79" t="n">
        <v>27419</v>
      </c>
      <c r="B422" t="n">
        <v>3708000</v>
      </c>
      <c r="C422" t="n">
        <v>555000</v>
      </c>
    </row>
    <row r="423">
      <c r="A423" s="79" t="n">
        <v>27426</v>
      </c>
      <c r="B423" t="n">
        <v>3738000</v>
      </c>
      <c r="C423" t="n">
        <v>559000</v>
      </c>
    </row>
    <row r="424">
      <c r="A424" s="79" t="n">
        <v>27433</v>
      </c>
      <c r="B424" t="n">
        <v>3856000</v>
      </c>
      <c r="C424" t="n">
        <v>545000</v>
      </c>
    </row>
    <row r="425">
      <c r="A425" s="79" t="n">
        <v>27440</v>
      </c>
      <c r="B425" t="n">
        <v>3863000</v>
      </c>
      <c r="C425" t="n">
        <v>530000</v>
      </c>
    </row>
    <row r="426">
      <c r="A426" s="79" t="n">
        <v>27447</v>
      </c>
      <c r="B426" t="n">
        <v>3969000</v>
      </c>
      <c r="C426" t="n">
        <v>544000</v>
      </c>
    </row>
    <row r="427">
      <c r="A427" s="79" t="n">
        <v>27454</v>
      </c>
      <c r="B427" t="n">
        <v>4023000</v>
      </c>
      <c r="C427" t="n">
        <v>546000</v>
      </c>
    </row>
    <row r="428">
      <c r="A428" s="79" t="n">
        <v>27461</v>
      </c>
      <c r="B428" t="n">
        <v>4147000</v>
      </c>
      <c r="C428" t="n">
        <v>551000</v>
      </c>
    </row>
    <row r="429">
      <c r="A429" s="79" t="n">
        <v>27468</v>
      </c>
      <c r="B429" t="n">
        <v>4195000</v>
      </c>
      <c r="C429" t="n">
        <v>531000</v>
      </c>
    </row>
    <row r="430">
      <c r="A430" s="79" t="n">
        <v>27475</v>
      </c>
      <c r="B430" t="n">
        <v>4201000</v>
      </c>
      <c r="C430" t="n">
        <v>550000</v>
      </c>
    </row>
    <row r="431">
      <c r="A431" s="79" t="n">
        <v>27482</v>
      </c>
      <c r="B431" t="n">
        <v>4310000</v>
      </c>
      <c r="C431" t="n">
        <v>555000</v>
      </c>
    </row>
    <row r="432">
      <c r="A432" s="79" t="n">
        <v>27489</v>
      </c>
      <c r="B432" t="n">
        <v>4428000</v>
      </c>
      <c r="C432" t="n">
        <v>537000</v>
      </c>
    </row>
    <row r="433">
      <c r="A433" s="79" t="n">
        <v>27496</v>
      </c>
      <c r="B433" t="n">
        <v>4449000</v>
      </c>
      <c r="C433" t="n">
        <v>520000</v>
      </c>
    </row>
    <row r="434">
      <c r="A434" s="79" t="n">
        <v>27503</v>
      </c>
      <c r="B434" t="n">
        <v>4497000</v>
      </c>
      <c r="C434" t="n">
        <v>531000</v>
      </c>
    </row>
    <row r="435">
      <c r="A435" s="79" t="n">
        <v>27510</v>
      </c>
      <c r="B435" t="n">
        <v>4520000</v>
      </c>
      <c r="C435" t="n">
        <v>513000</v>
      </c>
    </row>
    <row r="436">
      <c r="A436" s="79" t="n">
        <v>27517</v>
      </c>
      <c r="B436" t="n">
        <v>4604000</v>
      </c>
      <c r="C436" t="n">
        <v>505000</v>
      </c>
    </row>
    <row r="437">
      <c r="A437" s="79" t="n">
        <v>27524</v>
      </c>
      <c r="B437" t="n">
        <v>4597000</v>
      </c>
      <c r="C437" t="n">
        <v>507000</v>
      </c>
    </row>
    <row r="438">
      <c r="A438" s="79" t="n">
        <v>27531</v>
      </c>
      <c r="B438" t="n">
        <v>4592000</v>
      </c>
      <c r="C438" t="n">
        <v>514000</v>
      </c>
    </row>
    <row r="439">
      <c r="A439" s="79" t="n">
        <v>27538</v>
      </c>
      <c r="B439" t="n">
        <v>4461000</v>
      </c>
      <c r="C439" t="n">
        <v>493000</v>
      </c>
    </row>
    <row r="440">
      <c r="A440" s="79" t="n">
        <v>27545</v>
      </c>
      <c r="B440" t="n">
        <v>4637000</v>
      </c>
      <c r="C440" t="n">
        <v>475000</v>
      </c>
    </row>
    <row r="441">
      <c r="A441" s="79" t="n">
        <v>27552</v>
      </c>
      <c r="B441" t="n">
        <v>4484000</v>
      </c>
      <c r="C441" t="n">
        <v>529000</v>
      </c>
    </row>
    <row r="442">
      <c r="A442" s="79" t="n">
        <v>27559</v>
      </c>
      <c r="B442" t="n">
        <v>4529000</v>
      </c>
      <c r="C442" t="n">
        <v>497000</v>
      </c>
    </row>
    <row r="443">
      <c r="A443" s="79" t="n">
        <v>27566</v>
      </c>
      <c r="B443" t="n">
        <v>4406000</v>
      </c>
      <c r="C443" t="n">
        <v>497000</v>
      </c>
    </row>
    <row r="444">
      <c r="A444" s="79" t="n">
        <v>27573</v>
      </c>
      <c r="B444" t="n">
        <v>4090000</v>
      </c>
      <c r="C444" t="n">
        <v>459000</v>
      </c>
    </row>
    <row r="445">
      <c r="A445" s="79" t="n">
        <v>27580</v>
      </c>
      <c r="B445" t="n">
        <v>4239000</v>
      </c>
      <c r="C445" t="n">
        <v>423000</v>
      </c>
    </row>
    <row r="446">
      <c r="A446" s="79" t="n">
        <v>27587</v>
      </c>
      <c r="B446" t="n">
        <v>4057000</v>
      </c>
      <c r="C446" t="n">
        <v>446000</v>
      </c>
    </row>
    <row r="447">
      <c r="A447" s="79" t="n">
        <v>27594</v>
      </c>
      <c r="B447" t="n">
        <v>4208000</v>
      </c>
      <c r="C447" t="n">
        <v>445000</v>
      </c>
    </row>
    <row r="448">
      <c r="A448" s="79" t="n">
        <v>27601</v>
      </c>
      <c r="B448" t="n">
        <v>4075000</v>
      </c>
      <c r="C448" t="n">
        <v>454000</v>
      </c>
    </row>
    <row r="449">
      <c r="A449" s="79" t="n">
        <v>27608</v>
      </c>
      <c r="B449" t="n">
        <v>4015000</v>
      </c>
      <c r="C449" t="n">
        <v>454000</v>
      </c>
    </row>
    <row r="450">
      <c r="A450" s="79" t="n">
        <v>27615</v>
      </c>
      <c r="B450" t="n">
        <v>4028000</v>
      </c>
      <c r="C450" t="n">
        <v>459000</v>
      </c>
    </row>
    <row r="451">
      <c r="A451" s="79" t="n">
        <v>27622</v>
      </c>
      <c r="B451" t="n">
        <v>3934000</v>
      </c>
      <c r="C451" t="n">
        <v>444000</v>
      </c>
    </row>
    <row r="452">
      <c r="A452" s="79" t="n">
        <v>27629</v>
      </c>
      <c r="B452" t="n">
        <v>3940000</v>
      </c>
      <c r="C452" t="n">
        <v>457000</v>
      </c>
    </row>
    <row r="453">
      <c r="A453" s="79" t="n">
        <v>27636</v>
      </c>
      <c r="B453" t="n">
        <v>3854000</v>
      </c>
      <c r="C453" t="n">
        <v>446000</v>
      </c>
    </row>
    <row r="454">
      <c r="A454" s="79" t="n">
        <v>27643</v>
      </c>
      <c r="B454" t="n">
        <v>3969000</v>
      </c>
      <c r="C454" t="n">
        <v>447000</v>
      </c>
    </row>
    <row r="455">
      <c r="A455" s="79" t="n">
        <v>27650</v>
      </c>
      <c r="B455" t="n">
        <v>3880000</v>
      </c>
      <c r="C455" t="n">
        <v>456000</v>
      </c>
    </row>
    <row r="456">
      <c r="A456" s="79" t="n">
        <v>27657</v>
      </c>
      <c r="B456" t="n">
        <v>3880000</v>
      </c>
      <c r="C456" t="n">
        <v>433000</v>
      </c>
    </row>
    <row r="457">
      <c r="A457" s="79" t="n">
        <v>27664</v>
      </c>
      <c r="B457" t="n">
        <v>3851000</v>
      </c>
      <c r="C457" t="n">
        <v>445000</v>
      </c>
    </row>
    <row r="458">
      <c r="A458" s="79" t="n">
        <v>27671</v>
      </c>
      <c r="B458" t="n">
        <v>3868000</v>
      </c>
      <c r="C458" t="n">
        <v>426000</v>
      </c>
    </row>
    <row r="459">
      <c r="A459" s="79" t="n">
        <v>27678</v>
      </c>
      <c r="B459" t="n">
        <v>3675000</v>
      </c>
      <c r="C459" t="n">
        <v>429000</v>
      </c>
    </row>
    <row r="460">
      <c r="A460" s="79" t="n">
        <v>27685</v>
      </c>
      <c r="B460" t="n">
        <v>3720000</v>
      </c>
      <c r="C460" t="n">
        <v>404000</v>
      </c>
    </row>
    <row r="461">
      <c r="A461" s="79" t="n">
        <v>27692</v>
      </c>
      <c r="B461" t="n">
        <v>3662000</v>
      </c>
      <c r="C461" t="n">
        <v>426000</v>
      </c>
    </row>
    <row r="462">
      <c r="A462" s="79" t="n">
        <v>27699</v>
      </c>
      <c r="B462" t="n">
        <v>3607000</v>
      </c>
      <c r="C462" t="n">
        <v>414000</v>
      </c>
    </row>
    <row r="463">
      <c r="A463" s="79" t="n">
        <v>27706</v>
      </c>
      <c r="B463" t="n">
        <v>3546000</v>
      </c>
      <c r="C463" t="n">
        <v>415000</v>
      </c>
    </row>
    <row r="464">
      <c r="A464" s="79" t="n">
        <v>27713</v>
      </c>
      <c r="B464" t="n">
        <v>3551000</v>
      </c>
      <c r="C464" t="n">
        <v>386000</v>
      </c>
    </row>
    <row r="465">
      <c r="A465" s="79" t="n">
        <v>27720</v>
      </c>
      <c r="B465" t="n">
        <v>3377000</v>
      </c>
      <c r="C465" t="n">
        <v>401000</v>
      </c>
    </row>
    <row r="466">
      <c r="A466" s="79" t="n">
        <v>27727</v>
      </c>
      <c r="B466" t="n">
        <v>3391000</v>
      </c>
      <c r="C466" t="n">
        <v>387000</v>
      </c>
    </row>
    <row r="467">
      <c r="A467" s="79" t="n">
        <v>27734</v>
      </c>
      <c r="B467" t="n">
        <v>3331000</v>
      </c>
      <c r="C467" t="n">
        <v>373000</v>
      </c>
    </row>
    <row r="468">
      <c r="A468" s="79" t="n">
        <v>27741</v>
      </c>
      <c r="B468" t="n">
        <v>3266000</v>
      </c>
      <c r="C468" t="n">
        <v>368000</v>
      </c>
    </row>
    <row r="469">
      <c r="A469" s="79" t="n">
        <v>27748</v>
      </c>
      <c r="B469" t="n">
        <v>3124000</v>
      </c>
      <c r="C469" t="n">
        <v>365000</v>
      </c>
    </row>
    <row r="470">
      <c r="A470" s="79" t="n">
        <v>27755</v>
      </c>
      <c r="B470" t="n">
        <v>3072000</v>
      </c>
      <c r="C470" t="n">
        <v>391000</v>
      </c>
    </row>
    <row r="471">
      <c r="A471" s="79" t="n">
        <v>27762</v>
      </c>
      <c r="B471" t="n">
        <v>3214000</v>
      </c>
      <c r="C471" t="n">
        <v>362000</v>
      </c>
    </row>
    <row r="472">
      <c r="A472" s="79" t="n">
        <v>27769</v>
      </c>
      <c r="B472" t="n">
        <v>3084000</v>
      </c>
      <c r="C472" t="n">
        <v>402000</v>
      </c>
    </row>
    <row r="473">
      <c r="A473" s="79" t="n">
        <v>27776</v>
      </c>
      <c r="B473" t="n">
        <v>3026000</v>
      </c>
      <c r="C473" t="n">
        <v>370000</v>
      </c>
    </row>
    <row r="474">
      <c r="A474" s="79" t="n">
        <v>27783</v>
      </c>
      <c r="B474" t="n">
        <v>2957000</v>
      </c>
      <c r="C474" t="n">
        <v>363000</v>
      </c>
    </row>
    <row r="475">
      <c r="A475" s="79" t="n">
        <v>27790</v>
      </c>
      <c r="B475" t="n">
        <v>2895000</v>
      </c>
      <c r="C475" t="n">
        <v>359000</v>
      </c>
    </row>
    <row r="476">
      <c r="A476" s="79" t="n">
        <v>27797</v>
      </c>
      <c r="B476" t="n">
        <v>2912000</v>
      </c>
      <c r="C476" t="n">
        <v>353000</v>
      </c>
    </row>
    <row r="477">
      <c r="A477" s="79" t="n">
        <v>27804</v>
      </c>
      <c r="B477" t="n">
        <v>2867000</v>
      </c>
      <c r="C477" t="n">
        <v>344000</v>
      </c>
    </row>
    <row r="478">
      <c r="A478" s="79" t="n">
        <v>27811</v>
      </c>
      <c r="B478" t="n">
        <v>2862000</v>
      </c>
      <c r="C478" t="n">
        <v>347000</v>
      </c>
    </row>
    <row r="479">
      <c r="A479" s="79" t="n">
        <v>27818</v>
      </c>
      <c r="B479" t="n">
        <v>2822000</v>
      </c>
      <c r="C479" t="n">
        <v>349000</v>
      </c>
    </row>
    <row r="480">
      <c r="A480" s="79" t="n">
        <v>27825</v>
      </c>
      <c r="B480" t="n">
        <v>2853000</v>
      </c>
      <c r="C480" t="n">
        <v>348000</v>
      </c>
    </row>
    <row r="481">
      <c r="A481" s="79" t="n">
        <v>27832</v>
      </c>
      <c r="B481" t="n">
        <v>2837000</v>
      </c>
      <c r="C481" t="n">
        <v>360000</v>
      </c>
    </row>
    <row r="482">
      <c r="A482" s="79" t="n">
        <v>27839</v>
      </c>
      <c r="B482" t="n">
        <v>2852000</v>
      </c>
      <c r="C482" t="n">
        <v>368000</v>
      </c>
    </row>
    <row r="483">
      <c r="A483" s="79" t="n">
        <v>27846</v>
      </c>
      <c r="B483" t="n">
        <v>2830000</v>
      </c>
      <c r="C483" t="n">
        <v>366000</v>
      </c>
    </row>
    <row r="484">
      <c r="A484" s="79" t="n">
        <v>27853</v>
      </c>
      <c r="B484" t="n">
        <v>2859000</v>
      </c>
      <c r="C484" t="n">
        <v>380000</v>
      </c>
    </row>
    <row r="485">
      <c r="A485" s="79" t="n">
        <v>27860</v>
      </c>
      <c r="B485" t="n">
        <v>2840000</v>
      </c>
      <c r="C485" t="n">
        <v>373000</v>
      </c>
    </row>
    <row r="486">
      <c r="A486" s="79" t="n">
        <v>27867</v>
      </c>
      <c r="B486" t="n">
        <v>2890000</v>
      </c>
      <c r="C486" t="n">
        <v>361000</v>
      </c>
    </row>
    <row r="487">
      <c r="A487" s="79" t="n">
        <v>27874</v>
      </c>
      <c r="B487" t="n">
        <v>2900000</v>
      </c>
      <c r="C487" t="n">
        <v>367000</v>
      </c>
    </row>
    <row r="488">
      <c r="A488" s="79" t="n">
        <v>27881</v>
      </c>
      <c r="B488" t="n">
        <v>2940000</v>
      </c>
      <c r="C488" t="n">
        <v>385000</v>
      </c>
    </row>
    <row r="489">
      <c r="A489" s="79" t="n">
        <v>27888</v>
      </c>
      <c r="B489" t="n">
        <v>2941000</v>
      </c>
      <c r="C489" t="n">
        <v>395000</v>
      </c>
    </row>
    <row r="490">
      <c r="A490" s="79" t="n">
        <v>27895</v>
      </c>
      <c r="B490" t="n">
        <v>2947000</v>
      </c>
      <c r="C490" t="n">
        <v>382000</v>
      </c>
    </row>
    <row r="491">
      <c r="A491" s="79" t="n">
        <v>27902</v>
      </c>
      <c r="B491" t="n">
        <v>2961000</v>
      </c>
      <c r="C491" t="n">
        <v>394000</v>
      </c>
    </row>
    <row r="492">
      <c r="A492" s="79" t="n">
        <v>27909</v>
      </c>
      <c r="B492" t="n">
        <v>2916000</v>
      </c>
      <c r="C492" t="n">
        <v>402000</v>
      </c>
    </row>
    <row r="493">
      <c r="A493" s="79" t="n">
        <v>27916</v>
      </c>
      <c r="B493" t="n">
        <v>2970000</v>
      </c>
      <c r="C493" t="n">
        <v>382000</v>
      </c>
    </row>
    <row r="494">
      <c r="A494" s="79" t="n">
        <v>27923</v>
      </c>
      <c r="B494" t="n">
        <v>2950000</v>
      </c>
      <c r="C494" t="n">
        <v>407000</v>
      </c>
    </row>
    <row r="495">
      <c r="A495" s="79" t="n">
        <v>27930</v>
      </c>
      <c r="B495" t="n">
        <v>3003000</v>
      </c>
      <c r="C495" t="n">
        <v>399000</v>
      </c>
    </row>
    <row r="496">
      <c r="A496" s="79" t="n">
        <v>27937</v>
      </c>
      <c r="B496" t="n">
        <v>3035000</v>
      </c>
      <c r="C496" t="n">
        <v>387000</v>
      </c>
    </row>
    <row r="497">
      <c r="A497" s="79" t="n">
        <v>27944</v>
      </c>
      <c r="B497" t="n">
        <v>2958000</v>
      </c>
      <c r="C497" t="n">
        <v>394000</v>
      </c>
    </row>
    <row r="498">
      <c r="A498" s="79" t="n">
        <v>27951</v>
      </c>
      <c r="B498" t="n">
        <v>2995000</v>
      </c>
      <c r="C498" t="n">
        <v>372000</v>
      </c>
    </row>
    <row r="499">
      <c r="A499" s="79" t="n">
        <v>27958</v>
      </c>
      <c r="B499" t="n">
        <v>3011000</v>
      </c>
      <c r="C499" t="n">
        <v>406000</v>
      </c>
    </row>
    <row r="500">
      <c r="A500" s="79" t="n">
        <v>27965</v>
      </c>
      <c r="B500" t="n">
        <v>3019000</v>
      </c>
      <c r="C500" t="n">
        <v>394000</v>
      </c>
    </row>
    <row r="501">
      <c r="A501" s="79" t="n">
        <v>27972</v>
      </c>
      <c r="B501" t="n">
        <v>2996000</v>
      </c>
      <c r="C501" t="n">
        <v>388000</v>
      </c>
    </row>
    <row r="502">
      <c r="A502" s="79" t="n">
        <v>27979</v>
      </c>
      <c r="B502" t="n">
        <v>3007000</v>
      </c>
      <c r="C502" t="n">
        <v>378000</v>
      </c>
    </row>
    <row r="503">
      <c r="A503" s="79" t="n">
        <v>27986</v>
      </c>
      <c r="B503" t="n">
        <v>2990000</v>
      </c>
      <c r="C503" t="n">
        <v>382000</v>
      </c>
    </row>
    <row r="504">
      <c r="A504" s="79" t="n">
        <v>27993</v>
      </c>
      <c r="B504" t="n">
        <v>2983000</v>
      </c>
      <c r="C504" t="n">
        <v>400000</v>
      </c>
    </row>
    <row r="505">
      <c r="A505" s="79" t="n">
        <v>28000</v>
      </c>
      <c r="B505" t="n">
        <v>3081000</v>
      </c>
      <c r="C505" t="n">
        <v>394000</v>
      </c>
    </row>
    <row r="506">
      <c r="A506" s="79" t="n">
        <v>28007</v>
      </c>
      <c r="B506" t="n">
        <v>2988000</v>
      </c>
      <c r="C506" t="n">
        <v>421000</v>
      </c>
    </row>
    <row r="507">
      <c r="A507" s="79" t="n">
        <v>28014</v>
      </c>
      <c r="B507" t="n">
        <v>3092000</v>
      </c>
      <c r="C507" t="n">
        <v>383000</v>
      </c>
    </row>
    <row r="508">
      <c r="A508" s="79" t="n">
        <v>28021</v>
      </c>
      <c r="B508" t="n">
        <v>3097000</v>
      </c>
      <c r="C508" t="n">
        <v>403000</v>
      </c>
    </row>
    <row r="509">
      <c r="A509" s="79" t="n">
        <v>28028</v>
      </c>
      <c r="B509" t="n">
        <v>3103000</v>
      </c>
      <c r="C509" t="n">
        <v>423000</v>
      </c>
    </row>
    <row r="510">
      <c r="A510" s="79" t="n">
        <v>28035</v>
      </c>
      <c r="B510" t="n">
        <v>3104000</v>
      </c>
      <c r="C510" t="n">
        <v>408000</v>
      </c>
    </row>
    <row r="511">
      <c r="A511" s="79" t="n">
        <v>28042</v>
      </c>
      <c r="B511" t="n">
        <v>3119000</v>
      </c>
      <c r="C511" t="n">
        <v>411000</v>
      </c>
    </row>
    <row r="512">
      <c r="A512" s="79" t="n">
        <v>28049</v>
      </c>
      <c r="B512" t="n">
        <v>3074000</v>
      </c>
      <c r="C512" t="n">
        <v>403000</v>
      </c>
    </row>
    <row r="513">
      <c r="A513" s="79" t="n">
        <v>28056</v>
      </c>
      <c r="B513" t="n">
        <v>3088000</v>
      </c>
      <c r="C513" t="n">
        <v>409000</v>
      </c>
    </row>
    <row r="514">
      <c r="A514" s="79" t="n">
        <v>28063</v>
      </c>
      <c r="B514" t="n">
        <v>3080000</v>
      </c>
      <c r="C514" t="n">
        <v>414000</v>
      </c>
    </row>
    <row r="515">
      <c r="A515" s="79" t="n">
        <v>28070</v>
      </c>
      <c r="B515" t="n">
        <v>3079000</v>
      </c>
      <c r="C515" t="n">
        <v>390000</v>
      </c>
    </row>
    <row r="516">
      <c r="A516" s="79" t="n">
        <v>28077</v>
      </c>
      <c r="B516" t="n">
        <v>3064000</v>
      </c>
      <c r="C516" t="n">
        <v>383000</v>
      </c>
    </row>
    <row r="517">
      <c r="A517" s="79" t="n">
        <v>28084</v>
      </c>
      <c r="B517" t="n">
        <v>3061000</v>
      </c>
      <c r="C517" t="n">
        <v>408000</v>
      </c>
    </row>
    <row r="518">
      <c r="A518" s="79" t="n">
        <v>28091</v>
      </c>
      <c r="B518" t="n">
        <v>3019000</v>
      </c>
      <c r="C518" t="n">
        <v>377000</v>
      </c>
    </row>
    <row r="519">
      <c r="A519" s="79" t="n">
        <v>28098</v>
      </c>
      <c r="B519" t="n">
        <v>2994000</v>
      </c>
      <c r="C519" t="n">
        <v>402000</v>
      </c>
    </row>
    <row r="520">
      <c r="A520" s="79" t="n">
        <v>28105</v>
      </c>
      <c r="B520" t="n">
        <v>2978000</v>
      </c>
      <c r="C520" t="n">
        <v>395000</v>
      </c>
    </row>
    <row r="521">
      <c r="A521" s="79" t="n">
        <v>28112</v>
      </c>
      <c r="B521" t="n">
        <v>2900000</v>
      </c>
      <c r="C521" t="n">
        <v>365000</v>
      </c>
    </row>
    <row r="522">
      <c r="A522" s="79" t="n">
        <v>28119</v>
      </c>
      <c r="B522" t="n">
        <v>2822000</v>
      </c>
      <c r="C522" t="n">
        <v>333000</v>
      </c>
    </row>
    <row r="523">
      <c r="A523" s="79" t="n">
        <v>28126</v>
      </c>
      <c r="B523" t="n">
        <v>2818000</v>
      </c>
      <c r="C523" t="n">
        <v>380000</v>
      </c>
    </row>
    <row r="524">
      <c r="A524" s="79" t="n">
        <v>28133</v>
      </c>
      <c r="B524" t="n">
        <v>2764000</v>
      </c>
      <c r="C524" t="n">
        <v>416000</v>
      </c>
    </row>
    <row r="525">
      <c r="A525" s="79" t="n">
        <v>28140</v>
      </c>
      <c r="B525" t="n">
        <v>2841000</v>
      </c>
      <c r="C525" t="n">
        <v>368000</v>
      </c>
    </row>
    <row r="526">
      <c r="A526" s="79" t="n">
        <v>28147</v>
      </c>
      <c r="B526" t="n">
        <v>2834000</v>
      </c>
      <c r="C526" t="n">
        <v>423000</v>
      </c>
    </row>
    <row r="527">
      <c r="A527" s="79" t="n">
        <v>28154</v>
      </c>
      <c r="B527" t="n">
        <v>2879000</v>
      </c>
      <c r="C527" t="n">
        <v>422000</v>
      </c>
    </row>
    <row r="528">
      <c r="A528" s="79" t="n">
        <v>28161</v>
      </c>
      <c r="B528" t="n">
        <v>2956000</v>
      </c>
      <c r="C528" t="n">
        <v>565000</v>
      </c>
    </row>
    <row r="529">
      <c r="A529" s="79" t="n">
        <v>28168</v>
      </c>
      <c r="B529" t="n">
        <v>2904000</v>
      </c>
      <c r="C529" t="n">
        <v>477000</v>
      </c>
    </row>
    <row r="530">
      <c r="A530" s="79" t="n">
        <v>28175</v>
      </c>
      <c r="B530" t="n">
        <v>2772000</v>
      </c>
      <c r="C530" t="n">
        <v>399000</v>
      </c>
    </row>
    <row r="531">
      <c r="A531" s="79" t="n">
        <v>28182</v>
      </c>
      <c r="B531" t="n">
        <v>2764000</v>
      </c>
      <c r="C531" t="n">
        <v>362000</v>
      </c>
    </row>
    <row r="532">
      <c r="A532" s="79" t="n">
        <v>28189</v>
      </c>
      <c r="B532" t="n">
        <v>2717000</v>
      </c>
      <c r="C532" t="n">
        <v>361000</v>
      </c>
    </row>
    <row r="533">
      <c r="A533" s="79" t="n">
        <v>28196</v>
      </c>
      <c r="B533" t="n">
        <v>2728000</v>
      </c>
      <c r="C533" t="n">
        <v>355000</v>
      </c>
    </row>
    <row r="534">
      <c r="A534" s="79" t="n">
        <v>28203</v>
      </c>
      <c r="B534" t="n">
        <v>2695000</v>
      </c>
      <c r="C534" t="n">
        <v>369000</v>
      </c>
    </row>
    <row r="535">
      <c r="A535" s="79" t="n">
        <v>28210</v>
      </c>
      <c r="B535" t="n">
        <v>2671000</v>
      </c>
      <c r="C535" t="n">
        <v>356000</v>
      </c>
    </row>
    <row r="536">
      <c r="A536" s="79" t="n">
        <v>28217</v>
      </c>
      <c r="B536" t="n">
        <v>2655000</v>
      </c>
      <c r="C536" t="n">
        <v>350000</v>
      </c>
    </row>
    <row r="537">
      <c r="A537" s="79" t="n">
        <v>28224</v>
      </c>
      <c r="B537" t="n">
        <v>2717000</v>
      </c>
      <c r="C537" t="n">
        <v>376000</v>
      </c>
    </row>
    <row r="538">
      <c r="A538" s="79" t="n">
        <v>28231</v>
      </c>
      <c r="B538" t="n">
        <v>2680000</v>
      </c>
      <c r="C538" t="n">
        <v>361000</v>
      </c>
    </row>
    <row r="539">
      <c r="A539" s="79" t="n">
        <v>28238</v>
      </c>
      <c r="B539" t="n">
        <v>2660000</v>
      </c>
      <c r="C539" t="n">
        <v>375000</v>
      </c>
    </row>
    <row r="540">
      <c r="A540" s="79" t="n">
        <v>28245</v>
      </c>
      <c r="B540" t="n">
        <v>2644000</v>
      </c>
      <c r="C540" t="n">
        <v>375000</v>
      </c>
    </row>
    <row r="541">
      <c r="A541" s="79" t="n">
        <v>28252</v>
      </c>
      <c r="B541" t="n">
        <v>2618000</v>
      </c>
      <c r="C541" t="n">
        <v>384000</v>
      </c>
    </row>
    <row r="542">
      <c r="A542" s="79" t="n">
        <v>28259</v>
      </c>
      <c r="B542" t="n">
        <v>2635000</v>
      </c>
      <c r="C542" t="n">
        <v>381000</v>
      </c>
    </row>
    <row r="543">
      <c r="A543" s="79" t="n">
        <v>28266</v>
      </c>
      <c r="B543" t="n">
        <v>2647000</v>
      </c>
      <c r="C543" t="n">
        <v>375000</v>
      </c>
    </row>
    <row r="544">
      <c r="A544" s="79" t="n">
        <v>28273</v>
      </c>
      <c r="B544" t="n">
        <v>2625000</v>
      </c>
      <c r="C544" t="n">
        <v>381000</v>
      </c>
    </row>
    <row r="545">
      <c r="A545" s="79" t="n">
        <v>28280</v>
      </c>
      <c r="B545" t="n">
        <v>2650000</v>
      </c>
      <c r="C545" t="n">
        <v>363000</v>
      </c>
    </row>
    <row r="546">
      <c r="A546" s="79" t="n">
        <v>28287</v>
      </c>
      <c r="B546" t="n">
        <v>2589000</v>
      </c>
      <c r="C546" t="n">
        <v>358000</v>
      </c>
    </row>
    <row r="547">
      <c r="A547" s="79" t="n">
        <v>28294</v>
      </c>
      <c r="B547" t="n">
        <v>2622000</v>
      </c>
      <c r="C547" t="n">
        <v>359000</v>
      </c>
    </row>
    <row r="548">
      <c r="A548" s="79" t="n">
        <v>28301</v>
      </c>
      <c r="B548" t="n">
        <v>2616000</v>
      </c>
      <c r="C548" t="n">
        <v>365000</v>
      </c>
    </row>
    <row r="549">
      <c r="A549" s="79" t="n">
        <v>28308</v>
      </c>
      <c r="B549" t="n">
        <v>2572000</v>
      </c>
      <c r="C549" t="n">
        <v>350000</v>
      </c>
    </row>
    <row r="550">
      <c r="A550" s="79" t="n">
        <v>28315</v>
      </c>
      <c r="B550" t="n">
        <v>2563000</v>
      </c>
      <c r="C550" t="n">
        <v>361000</v>
      </c>
    </row>
    <row r="551">
      <c r="A551" s="79" t="n">
        <v>28322</v>
      </c>
      <c r="B551" t="n">
        <v>2591000</v>
      </c>
      <c r="C551" t="n">
        <v>366000</v>
      </c>
    </row>
    <row r="552">
      <c r="A552" s="79" t="n">
        <v>28329</v>
      </c>
      <c r="B552" t="n">
        <v>2584000</v>
      </c>
      <c r="C552" t="n">
        <v>365000</v>
      </c>
    </row>
    <row r="553">
      <c r="A553" s="79" t="n">
        <v>28336</v>
      </c>
      <c r="B553" t="n">
        <v>2605000</v>
      </c>
      <c r="C553" t="n">
        <v>365000</v>
      </c>
    </row>
    <row r="554">
      <c r="A554" s="79" t="n">
        <v>28343</v>
      </c>
      <c r="B554" t="n">
        <v>2605000</v>
      </c>
      <c r="C554" t="n">
        <v>378000</v>
      </c>
    </row>
    <row r="555">
      <c r="A555" s="79" t="n">
        <v>28350</v>
      </c>
      <c r="B555" t="n">
        <v>2618000</v>
      </c>
      <c r="C555" t="n">
        <v>359000</v>
      </c>
    </row>
    <row r="556">
      <c r="A556" s="79" t="n">
        <v>28357</v>
      </c>
      <c r="B556" t="n">
        <v>2612000</v>
      </c>
      <c r="C556" t="n">
        <v>367000</v>
      </c>
    </row>
    <row r="557">
      <c r="A557" s="79" t="n">
        <v>28364</v>
      </c>
      <c r="B557" t="n">
        <v>2607000</v>
      </c>
      <c r="C557" t="n">
        <v>365000</v>
      </c>
    </row>
    <row r="558">
      <c r="A558" s="79" t="n">
        <v>28371</v>
      </c>
      <c r="B558" t="n">
        <v>2571000</v>
      </c>
      <c r="C558" t="n">
        <v>374000</v>
      </c>
    </row>
    <row r="559">
      <c r="A559" s="79" t="n">
        <v>28378</v>
      </c>
      <c r="B559" t="n">
        <v>2601000</v>
      </c>
      <c r="C559" t="n">
        <v>359000</v>
      </c>
    </row>
    <row r="560">
      <c r="A560" s="79" t="n">
        <v>28385</v>
      </c>
      <c r="B560" t="n">
        <v>2605000</v>
      </c>
      <c r="C560" t="n">
        <v>362000</v>
      </c>
    </row>
    <row r="561">
      <c r="A561" s="79" t="n">
        <v>28392</v>
      </c>
      <c r="B561" t="n">
        <v>2581000</v>
      </c>
      <c r="C561" t="n">
        <v>380000</v>
      </c>
    </row>
    <row r="562">
      <c r="A562" s="79" t="n">
        <v>28399</v>
      </c>
      <c r="B562" t="n">
        <v>2583000</v>
      </c>
      <c r="C562" t="n">
        <v>348000</v>
      </c>
    </row>
    <row r="563">
      <c r="A563" s="79" t="n">
        <v>28406</v>
      </c>
      <c r="B563" t="n">
        <v>2575000</v>
      </c>
      <c r="C563" t="n">
        <v>365000</v>
      </c>
    </row>
    <row r="564">
      <c r="A564" s="79" t="n">
        <v>28413</v>
      </c>
      <c r="B564" t="n">
        <v>2575000</v>
      </c>
      <c r="C564" t="n">
        <v>358000</v>
      </c>
    </row>
    <row r="565">
      <c r="A565" s="79" t="n">
        <v>28420</v>
      </c>
      <c r="B565" t="n">
        <v>2561000</v>
      </c>
      <c r="C565" t="n">
        <v>375000</v>
      </c>
    </row>
    <row r="566">
      <c r="A566" s="79" t="n">
        <v>28427</v>
      </c>
      <c r="B566" t="n">
        <v>2587000</v>
      </c>
      <c r="C566" t="n">
        <v>349000</v>
      </c>
    </row>
    <row r="567">
      <c r="A567" s="79" t="n">
        <v>28434</v>
      </c>
      <c r="B567" t="n">
        <v>2535000</v>
      </c>
      <c r="C567" t="n">
        <v>366000</v>
      </c>
    </row>
    <row r="568">
      <c r="A568" s="79" t="n">
        <v>28441</v>
      </c>
      <c r="B568" t="n">
        <v>2592000</v>
      </c>
      <c r="C568" t="n">
        <v>334000</v>
      </c>
    </row>
    <row r="569">
      <c r="A569" s="79" t="n">
        <v>28448</v>
      </c>
      <c r="B569" t="n">
        <v>2527000</v>
      </c>
      <c r="C569" t="n">
        <v>360000</v>
      </c>
    </row>
    <row r="570">
      <c r="A570" s="79" t="n">
        <v>28455</v>
      </c>
      <c r="B570" t="n">
        <v>2620000</v>
      </c>
      <c r="C570" t="n">
        <v>354000</v>
      </c>
    </row>
    <row r="571">
      <c r="A571" s="79" t="n">
        <v>28462</v>
      </c>
      <c r="B571" t="n">
        <v>2505000</v>
      </c>
      <c r="C571" t="n">
        <v>367000</v>
      </c>
    </row>
    <row r="572">
      <c r="A572" s="79" t="n">
        <v>28469</v>
      </c>
      <c r="B572" t="n">
        <v>2529000</v>
      </c>
      <c r="C572" t="n">
        <v>364000</v>
      </c>
    </row>
    <row r="573">
      <c r="A573" s="79" t="n">
        <v>28476</v>
      </c>
      <c r="B573" t="n">
        <v>2558000</v>
      </c>
      <c r="C573" t="n">
        <v>359000</v>
      </c>
    </row>
    <row r="574">
      <c r="A574" s="79" t="n">
        <v>28483</v>
      </c>
      <c r="B574" t="n">
        <v>2482000</v>
      </c>
      <c r="C574" t="n">
        <v>344000</v>
      </c>
    </row>
    <row r="575">
      <c r="A575" s="79" t="n">
        <v>28490</v>
      </c>
      <c r="B575" t="n">
        <v>2461000</v>
      </c>
      <c r="C575" t="n">
        <v>364000</v>
      </c>
    </row>
    <row r="576">
      <c r="A576" s="79" t="n">
        <v>28497</v>
      </c>
      <c r="B576" t="n">
        <v>2456000</v>
      </c>
      <c r="C576" t="n">
        <v>346000</v>
      </c>
    </row>
    <row r="577">
      <c r="A577" s="79" t="n">
        <v>28504</v>
      </c>
      <c r="B577" t="n">
        <v>2418000</v>
      </c>
      <c r="C577" t="n">
        <v>343000</v>
      </c>
    </row>
    <row r="578">
      <c r="A578" s="79" t="n">
        <v>28511</v>
      </c>
      <c r="B578" t="n">
        <v>2522000</v>
      </c>
      <c r="C578" t="n">
        <v>352000</v>
      </c>
    </row>
    <row r="579">
      <c r="A579" s="79" t="n">
        <v>28518</v>
      </c>
      <c r="B579" t="n">
        <v>2578000</v>
      </c>
      <c r="C579" t="n">
        <v>363000</v>
      </c>
    </row>
    <row r="580">
      <c r="A580" s="79" t="n">
        <v>28525</v>
      </c>
      <c r="B580" t="n">
        <v>2468000</v>
      </c>
      <c r="C580" t="n">
        <v>360000</v>
      </c>
    </row>
    <row r="581">
      <c r="A581" s="79" t="n">
        <v>28532</v>
      </c>
      <c r="B581" t="n">
        <v>2656000</v>
      </c>
      <c r="C581" t="n">
        <v>373000</v>
      </c>
    </row>
    <row r="582">
      <c r="A582" s="79" t="n">
        <v>28539</v>
      </c>
      <c r="B582" t="n">
        <v>2545000</v>
      </c>
      <c r="C582" t="n">
        <v>429000</v>
      </c>
    </row>
    <row r="583">
      <c r="A583" s="79" t="n">
        <v>28546</v>
      </c>
      <c r="B583" t="n">
        <v>2553000</v>
      </c>
      <c r="C583" t="n">
        <v>371000</v>
      </c>
    </row>
    <row r="584">
      <c r="A584" s="79" t="n">
        <v>28553</v>
      </c>
      <c r="B584" t="n">
        <v>2529000</v>
      </c>
      <c r="C584" t="n">
        <v>355000</v>
      </c>
    </row>
    <row r="585">
      <c r="A585" s="79" t="n">
        <v>28560</v>
      </c>
      <c r="B585" t="n">
        <v>2526000</v>
      </c>
      <c r="C585" t="n">
        <v>359000</v>
      </c>
    </row>
    <row r="586">
      <c r="A586" s="79" t="n">
        <v>28567</v>
      </c>
      <c r="B586" t="n">
        <v>2471000</v>
      </c>
      <c r="C586" t="n">
        <v>347000</v>
      </c>
    </row>
    <row r="587">
      <c r="A587" s="79" t="n">
        <v>28574</v>
      </c>
      <c r="B587" t="n">
        <v>2473000</v>
      </c>
      <c r="C587" t="n">
        <v>335000</v>
      </c>
    </row>
    <row r="588">
      <c r="A588" s="79" t="n">
        <v>28581</v>
      </c>
      <c r="B588" t="n">
        <v>2453000</v>
      </c>
      <c r="C588" t="n">
        <v>333000</v>
      </c>
    </row>
    <row r="589">
      <c r="A589" s="79" t="n">
        <v>28588</v>
      </c>
      <c r="B589" t="n">
        <v>2397000</v>
      </c>
      <c r="C589" t="n">
        <v>345000</v>
      </c>
    </row>
    <row r="590">
      <c r="A590" s="79" t="n">
        <v>28595</v>
      </c>
      <c r="B590" t="n">
        <v>2339000</v>
      </c>
      <c r="C590" t="n">
        <v>309000</v>
      </c>
    </row>
    <row r="591">
      <c r="A591" s="79" t="n">
        <v>28602</v>
      </c>
      <c r="B591" t="n">
        <v>2287000</v>
      </c>
      <c r="C591" t="n">
        <v>319000</v>
      </c>
    </row>
    <row r="592">
      <c r="A592" s="79" t="n">
        <v>28609</v>
      </c>
      <c r="B592" t="n">
        <v>2272000</v>
      </c>
      <c r="C592" t="n">
        <v>324000</v>
      </c>
    </row>
    <row r="593">
      <c r="A593" s="79" t="n">
        <v>28616</v>
      </c>
      <c r="B593" t="n">
        <v>2246000</v>
      </c>
      <c r="C593" t="n">
        <v>334000</v>
      </c>
    </row>
    <row r="594">
      <c r="A594" s="79" t="n">
        <v>28623</v>
      </c>
      <c r="B594" t="n">
        <v>2231000</v>
      </c>
      <c r="C594" t="n">
        <v>322000</v>
      </c>
    </row>
    <row r="595">
      <c r="A595" s="79" t="n">
        <v>28630</v>
      </c>
      <c r="B595" t="n">
        <v>2238000</v>
      </c>
      <c r="C595" t="n">
        <v>334000</v>
      </c>
    </row>
    <row r="596">
      <c r="A596" s="79" t="n">
        <v>28637</v>
      </c>
      <c r="B596" t="n">
        <v>2211000</v>
      </c>
      <c r="C596" t="n">
        <v>318000</v>
      </c>
    </row>
    <row r="597">
      <c r="A597" s="79" t="n">
        <v>28644</v>
      </c>
      <c r="B597" t="n">
        <v>2224000</v>
      </c>
      <c r="C597" t="n">
        <v>310000</v>
      </c>
    </row>
    <row r="598">
      <c r="A598" s="79" t="n">
        <v>28651</v>
      </c>
      <c r="B598" t="n">
        <v>2189000</v>
      </c>
      <c r="C598" t="n">
        <v>331000</v>
      </c>
    </row>
    <row r="599">
      <c r="A599" s="79" t="n">
        <v>28658</v>
      </c>
      <c r="B599" t="n">
        <v>2225000</v>
      </c>
      <c r="C599" t="n">
        <v>326000</v>
      </c>
    </row>
    <row r="600">
      <c r="A600" s="79" t="n">
        <v>28665</v>
      </c>
      <c r="B600" t="n">
        <v>2249000</v>
      </c>
      <c r="C600" t="n">
        <v>330000</v>
      </c>
    </row>
    <row r="601">
      <c r="A601" s="79" t="n">
        <v>28672</v>
      </c>
      <c r="B601" t="n">
        <v>2242000</v>
      </c>
      <c r="C601" t="n">
        <v>348000</v>
      </c>
    </row>
    <row r="602">
      <c r="A602" s="79" t="n">
        <v>28679</v>
      </c>
      <c r="B602" t="n">
        <v>2331000</v>
      </c>
      <c r="C602" t="n">
        <v>356000</v>
      </c>
    </row>
    <row r="603">
      <c r="A603" s="79" t="n">
        <v>28686</v>
      </c>
      <c r="B603" t="n">
        <v>2328000</v>
      </c>
      <c r="C603" t="n">
        <v>352000</v>
      </c>
    </row>
    <row r="604">
      <c r="A604" s="79" t="n">
        <v>28693</v>
      </c>
      <c r="B604" t="n">
        <v>2321000</v>
      </c>
      <c r="C604" t="n">
        <v>349000</v>
      </c>
    </row>
    <row r="605">
      <c r="A605" s="79" t="n">
        <v>28700</v>
      </c>
      <c r="B605" t="n">
        <v>2344000</v>
      </c>
      <c r="C605" t="n">
        <v>346000</v>
      </c>
    </row>
    <row r="606">
      <c r="A606" s="79" t="n">
        <v>28707</v>
      </c>
      <c r="B606" t="n">
        <v>2395000</v>
      </c>
      <c r="C606" t="n">
        <v>365000</v>
      </c>
    </row>
    <row r="607">
      <c r="A607" s="79" t="n">
        <v>28714</v>
      </c>
      <c r="B607" t="n">
        <v>2422000</v>
      </c>
      <c r="C607" t="n">
        <v>354000</v>
      </c>
    </row>
    <row r="608">
      <c r="A608" s="79" t="n">
        <v>28721</v>
      </c>
      <c r="B608" t="n">
        <v>2405000</v>
      </c>
      <c r="C608" t="n">
        <v>343000</v>
      </c>
    </row>
    <row r="609">
      <c r="A609" s="79" t="n">
        <v>28728</v>
      </c>
      <c r="B609" t="n">
        <v>2370000</v>
      </c>
      <c r="C609" t="n">
        <v>333000</v>
      </c>
    </row>
    <row r="610">
      <c r="A610" s="79" t="n">
        <v>28735</v>
      </c>
      <c r="B610" t="n">
        <v>2336000</v>
      </c>
      <c r="C610" t="n">
        <v>313000</v>
      </c>
    </row>
    <row r="611">
      <c r="A611" s="79" t="n">
        <v>28742</v>
      </c>
      <c r="B611" t="n">
        <v>2278000</v>
      </c>
      <c r="C611" t="n">
        <v>337000</v>
      </c>
    </row>
    <row r="612">
      <c r="A612" s="79" t="n">
        <v>28749</v>
      </c>
      <c r="B612" t="n">
        <v>2271000</v>
      </c>
      <c r="C612" t="n">
        <v>322000</v>
      </c>
    </row>
    <row r="613">
      <c r="A613" s="79" t="n">
        <v>28756</v>
      </c>
      <c r="B613" t="n">
        <v>2247000</v>
      </c>
      <c r="C613" t="n">
        <v>323000</v>
      </c>
    </row>
    <row r="614">
      <c r="A614" s="79" t="n">
        <v>28763</v>
      </c>
      <c r="B614" t="n">
        <v>2217000</v>
      </c>
      <c r="C614" t="n">
        <v>318000</v>
      </c>
    </row>
    <row r="615">
      <c r="A615" s="79" t="n">
        <v>28770</v>
      </c>
      <c r="B615" t="n">
        <v>2219000</v>
      </c>
      <c r="C615" t="n">
        <v>343000</v>
      </c>
    </row>
    <row r="616">
      <c r="A616" s="79" t="n">
        <v>28777</v>
      </c>
      <c r="B616" t="n">
        <v>2274000</v>
      </c>
      <c r="C616" t="n">
        <v>316000</v>
      </c>
    </row>
    <row r="617">
      <c r="A617" s="79" t="n">
        <v>28784</v>
      </c>
      <c r="B617" t="n">
        <v>2207000</v>
      </c>
      <c r="C617" t="n">
        <v>338000</v>
      </c>
    </row>
    <row r="618">
      <c r="A618" s="79" t="n">
        <v>28791</v>
      </c>
      <c r="B618" t="n">
        <v>2222000</v>
      </c>
      <c r="C618" t="n">
        <v>316000</v>
      </c>
    </row>
    <row r="619">
      <c r="A619" s="79" t="n">
        <v>28798</v>
      </c>
      <c r="B619" t="n">
        <v>2188000</v>
      </c>
      <c r="C619" t="n">
        <v>317000</v>
      </c>
    </row>
    <row r="620">
      <c r="A620" s="79" t="n">
        <v>28805</v>
      </c>
      <c r="B620" t="n">
        <v>2200000</v>
      </c>
      <c r="C620" t="n">
        <v>304000</v>
      </c>
    </row>
    <row r="621">
      <c r="A621" s="79" t="n">
        <v>28812</v>
      </c>
      <c r="B621" t="n">
        <v>2158000</v>
      </c>
      <c r="C621" t="n">
        <v>342000</v>
      </c>
    </row>
    <row r="622">
      <c r="A622" s="79" t="n">
        <v>28819</v>
      </c>
      <c r="B622" t="n">
        <v>2349000</v>
      </c>
      <c r="C622" t="n">
        <v>359000</v>
      </c>
    </row>
    <row r="623">
      <c r="A623" s="79" t="n">
        <v>28826</v>
      </c>
      <c r="B623" t="n">
        <v>2248000</v>
      </c>
      <c r="C623" t="n">
        <v>377000</v>
      </c>
    </row>
    <row r="624">
      <c r="A624" s="79" t="n">
        <v>28833</v>
      </c>
      <c r="B624" t="n">
        <v>2292000</v>
      </c>
      <c r="C624" t="n">
        <v>344000</v>
      </c>
    </row>
    <row r="625">
      <c r="A625" s="79" t="n">
        <v>28840</v>
      </c>
      <c r="B625" t="n">
        <v>2328000</v>
      </c>
      <c r="C625" t="n">
        <v>347000</v>
      </c>
    </row>
    <row r="626">
      <c r="A626" s="79" t="n">
        <v>28847</v>
      </c>
      <c r="B626" t="n">
        <v>2276000</v>
      </c>
      <c r="C626" t="n">
        <v>352000</v>
      </c>
    </row>
    <row r="627">
      <c r="A627" s="79" t="n">
        <v>28854</v>
      </c>
      <c r="B627" t="n">
        <v>2289000</v>
      </c>
      <c r="C627" t="n">
        <v>358000</v>
      </c>
    </row>
    <row r="628">
      <c r="A628" s="79" t="n">
        <v>28861</v>
      </c>
      <c r="B628" t="n">
        <v>2366000</v>
      </c>
      <c r="C628" t="n">
        <v>359000</v>
      </c>
    </row>
    <row r="629">
      <c r="A629" s="79" t="n">
        <v>28868</v>
      </c>
      <c r="B629" t="n">
        <v>2368000</v>
      </c>
      <c r="C629" t="n">
        <v>392000</v>
      </c>
    </row>
    <row r="630">
      <c r="A630" s="79" t="n">
        <v>28875</v>
      </c>
      <c r="B630" t="n">
        <v>2403000</v>
      </c>
      <c r="C630" t="n">
        <v>337000</v>
      </c>
    </row>
    <row r="631">
      <c r="A631" s="79" t="n">
        <v>28882</v>
      </c>
      <c r="B631" t="n">
        <v>2393000</v>
      </c>
      <c r="C631" t="n">
        <v>342000</v>
      </c>
    </row>
    <row r="632">
      <c r="A632" s="79" t="n">
        <v>28889</v>
      </c>
      <c r="B632" t="n">
        <v>2411000</v>
      </c>
      <c r="C632" t="n">
        <v>348000</v>
      </c>
    </row>
    <row r="633">
      <c r="A633" s="79" t="n">
        <v>28896</v>
      </c>
      <c r="B633" t="n">
        <v>2412000</v>
      </c>
      <c r="C633" t="n">
        <v>359000</v>
      </c>
    </row>
    <row r="634">
      <c r="A634" s="79" t="n">
        <v>28903</v>
      </c>
      <c r="B634" t="n">
        <v>2383000</v>
      </c>
      <c r="C634" t="n">
        <v>367000</v>
      </c>
    </row>
    <row r="635">
      <c r="A635" s="79" t="n">
        <v>28910</v>
      </c>
      <c r="B635" t="n">
        <v>2451000</v>
      </c>
      <c r="C635" t="n">
        <v>360000</v>
      </c>
    </row>
    <row r="636">
      <c r="A636" s="79" t="n">
        <v>28917</v>
      </c>
      <c r="B636" t="n">
        <v>2451000</v>
      </c>
      <c r="C636" t="n">
        <v>355000</v>
      </c>
    </row>
    <row r="637">
      <c r="A637" s="79" t="n">
        <v>28924</v>
      </c>
      <c r="B637" t="n">
        <v>2413000</v>
      </c>
      <c r="C637" t="n">
        <v>363000</v>
      </c>
    </row>
    <row r="638">
      <c r="A638" s="79" t="n">
        <v>28931</v>
      </c>
      <c r="B638" t="n">
        <v>2377000</v>
      </c>
      <c r="C638" t="n">
        <v>359000</v>
      </c>
    </row>
    <row r="639">
      <c r="A639" s="79" t="n">
        <v>28938</v>
      </c>
      <c r="B639" t="n">
        <v>2353000</v>
      </c>
      <c r="C639" t="n">
        <v>353000</v>
      </c>
    </row>
    <row r="640">
      <c r="A640" s="79" t="n">
        <v>28945</v>
      </c>
      <c r="B640" t="n">
        <v>2335000</v>
      </c>
      <c r="C640" t="n">
        <v>360000</v>
      </c>
    </row>
    <row r="641">
      <c r="A641" s="79" t="n">
        <v>28952</v>
      </c>
      <c r="B641" t="n">
        <v>2368000</v>
      </c>
      <c r="C641" t="n">
        <v>465000</v>
      </c>
    </row>
    <row r="642">
      <c r="A642" s="79" t="n">
        <v>28959</v>
      </c>
      <c r="B642" t="n">
        <v>2467000</v>
      </c>
      <c r="C642" t="n">
        <v>457000</v>
      </c>
    </row>
    <row r="643">
      <c r="A643" s="79" t="n">
        <v>28966</v>
      </c>
      <c r="B643" t="n">
        <v>2408000</v>
      </c>
      <c r="C643" t="n">
        <v>383000</v>
      </c>
    </row>
    <row r="644">
      <c r="A644" s="79" t="n">
        <v>28973</v>
      </c>
      <c r="B644" t="n">
        <v>2351000</v>
      </c>
      <c r="C644" t="n">
        <v>357000</v>
      </c>
    </row>
    <row r="645">
      <c r="A645" s="79" t="n">
        <v>28980</v>
      </c>
      <c r="B645" t="n">
        <v>2292000</v>
      </c>
      <c r="C645" t="n">
        <v>353000</v>
      </c>
    </row>
    <row r="646">
      <c r="A646" s="79" t="n">
        <v>28987</v>
      </c>
      <c r="B646" t="n">
        <v>2261000</v>
      </c>
      <c r="C646" t="n">
        <v>344000</v>
      </c>
    </row>
    <row r="647">
      <c r="A647" s="79" t="n">
        <v>28994</v>
      </c>
      <c r="B647" t="n">
        <v>2238000</v>
      </c>
      <c r="C647" t="n">
        <v>346000</v>
      </c>
    </row>
    <row r="648">
      <c r="A648" s="79" t="n">
        <v>29001</v>
      </c>
      <c r="B648" t="n">
        <v>2246000</v>
      </c>
      <c r="C648" t="n">
        <v>349000</v>
      </c>
    </row>
    <row r="649">
      <c r="A649" s="79" t="n">
        <v>29008</v>
      </c>
      <c r="B649" t="n">
        <v>2260000</v>
      </c>
      <c r="C649" t="n">
        <v>336000</v>
      </c>
    </row>
    <row r="650">
      <c r="A650" s="79" t="n">
        <v>29015</v>
      </c>
      <c r="B650" t="n">
        <v>2207000</v>
      </c>
      <c r="C650" t="n">
        <v>365000</v>
      </c>
    </row>
    <row r="651">
      <c r="A651" s="79" t="n">
        <v>29022</v>
      </c>
      <c r="B651" t="n">
        <v>2234000</v>
      </c>
      <c r="C651" t="n">
        <v>351000</v>
      </c>
    </row>
    <row r="652">
      <c r="A652" s="79" t="n">
        <v>29029</v>
      </c>
      <c r="B652" t="n">
        <v>2275000</v>
      </c>
      <c r="C652" t="n">
        <v>379000</v>
      </c>
    </row>
    <row r="653">
      <c r="A653" s="79" t="n">
        <v>29036</v>
      </c>
      <c r="B653" t="n">
        <v>2282000</v>
      </c>
      <c r="C653" t="n">
        <v>369000</v>
      </c>
    </row>
    <row r="654">
      <c r="A654" s="79" t="n">
        <v>29043</v>
      </c>
      <c r="B654" t="n">
        <v>2368000</v>
      </c>
      <c r="C654" t="n">
        <v>368000</v>
      </c>
    </row>
    <row r="655">
      <c r="A655" s="79" t="n">
        <v>29050</v>
      </c>
      <c r="B655" t="n">
        <v>2356000</v>
      </c>
      <c r="C655" t="n">
        <v>368000</v>
      </c>
    </row>
    <row r="656">
      <c r="A656" s="79" t="n">
        <v>29057</v>
      </c>
      <c r="B656" t="n">
        <v>2335000</v>
      </c>
      <c r="C656" t="n">
        <v>395000</v>
      </c>
    </row>
    <row r="657">
      <c r="A657" s="79" t="n">
        <v>29064</v>
      </c>
      <c r="B657" t="n">
        <v>2375000</v>
      </c>
      <c r="C657" t="n">
        <v>386000</v>
      </c>
    </row>
    <row r="658">
      <c r="A658" s="79" t="n">
        <v>29071</v>
      </c>
      <c r="B658" t="n">
        <v>2422000</v>
      </c>
      <c r="C658" t="n">
        <v>412000</v>
      </c>
    </row>
    <row r="659">
      <c r="A659" s="79" t="n">
        <v>29078</v>
      </c>
      <c r="B659" t="n">
        <v>2466000</v>
      </c>
      <c r="C659" t="n">
        <v>386000</v>
      </c>
    </row>
    <row r="660">
      <c r="A660" s="79" t="n">
        <v>29085</v>
      </c>
      <c r="B660" t="n">
        <v>2474000</v>
      </c>
      <c r="C660" t="n">
        <v>387000</v>
      </c>
    </row>
    <row r="661">
      <c r="A661" s="79" t="n">
        <v>29092</v>
      </c>
      <c r="B661" t="n">
        <v>2471000</v>
      </c>
      <c r="C661" t="n">
        <v>390000</v>
      </c>
    </row>
    <row r="662">
      <c r="A662" s="79" t="n">
        <v>29099</v>
      </c>
      <c r="B662" t="n">
        <v>2448000</v>
      </c>
      <c r="C662" t="n">
        <v>389000</v>
      </c>
    </row>
    <row r="663">
      <c r="A663" s="79" t="n">
        <v>29106</v>
      </c>
      <c r="B663" t="n">
        <v>2432000</v>
      </c>
      <c r="C663" t="n">
        <v>378000</v>
      </c>
    </row>
    <row r="664">
      <c r="A664" s="79" t="n">
        <v>29113</v>
      </c>
      <c r="B664" t="n">
        <v>2431000</v>
      </c>
      <c r="C664" t="n">
        <v>384000</v>
      </c>
    </row>
    <row r="665">
      <c r="A665" s="79" t="n">
        <v>29120</v>
      </c>
      <c r="B665" t="n">
        <v>2404000</v>
      </c>
      <c r="C665" t="n">
        <v>388000</v>
      </c>
    </row>
    <row r="666">
      <c r="A666" s="79" t="n">
        <v>29127</v>
      </c>
      <c r="B666" t="n">
        <v>2426000</v>
      </c>
      <c r="C666" t="n">
        <v>390000</v>
      </c>
    </row>
    <row r="667">
      <c r="A667" s="79" t="n">
        <v>29134</v>
      </c>
      <c r="B667" t="n">
        <v>2428000</v>
      </c>
      <c r="C667" t="n">
        <v>412000</v>
      </c>
    </row>
    <row r="668">
      <c r="A668" s="79" t="n">
        <v>29141</v>
      </c>
      <c r="B668" t="n">
        <v>2535000</v>
      </c>
      <c r="C668" t="n">
        <v>393000</v>
      </c>
    </row>
    <row r="669">
      <c r="A669" s="79" t="n">
        <v>29148</v>
      </c>
      <c r="B669" t="n">
        <v>2475000</v>
      </c>
      <c r="C669" t="n">
        <v>406000</v>
      </c>
    </row>
    <row r="670">
      <c r="A670" s="79" t="n">
        <v>29155</v>
      </c>
      <c r="B670" t="n">
        <v>2522000</v>
      </c>
      <c r="C670" t="n">
        <v>398000</v>
      </c>
    </row>
    <row r="671">
      <c r="A671" s="79" t="n">
        <v>29162</v>
      </c>
      <c r="B671" t="n">
        <v>2569000</v>
      </c>
      <c r="C671" t="n">
        <v>395000</v>
      </c>
    </row>
    <row r="672">
      <c r="A672" s="79" t="n">
        <v>29169</v>
      </c>
      <c r="B672" t="n">
        <v>2537000</v>
      </c>
      <c r="C672" t="n">
        <v>414000</v>
      </c>
    </row>
    <row r="673">
      <c r="A673" s="79" t="n">
        <v>29176</v>
      </c>
      <c r="B673" t="n">
        <v>2656000</v>
      </c>
      <c r="C673" t="n">
        <v>430000</v>
      </c>
    </row>
    <row r="674">
      <c r="A674" s="79" t="n">
        <v>29183</v>
      </c>
      <c r="B674" t="n">
        <v>2648000</v>
      </c>
      <c r="C674" t="n">
        <v>414000</v>
      </c>
    </row>
    <row r="675">
      <c r="A675" s="79" t="n">
        <v>29190</v>
      </c>
      <c r="B675" t="n">
        <v>2698000</v>
      </c>
      <c r="C675" t="n">
        <v>416000</v>
      </c>
    </row>
    <row r="676">
      <c r="A676" s="79" t="n">
        <v>29197</v>
      </c>
      <c r="B676" t="n">
        <v>2685000</v>
      </c>
      <c r="C676" t="n">
        <v>415000</v>
      </c>
    </row>
    <row r="677">
      <c r="A677" s="79" t="n">
        <v>29204</v>
      </c>
      <c r="B677" t="n">
        <v>2712000</v>
      </c>
      <c r="C677" t="n">
        <v>411000</v>
      </c>
    </row>
    <row r="678">
      <c r="A678" s="79" t="n">
        <v>29211</v>
      </c>
      <c r="B678" t="n">
        <v>2674000</v>
      </c>
      <c r="C678" t="n">
        <v>471000</v>
      </c>
    </row>
    <row r="679">
      <c r="A679" s="79" t="n">
        <v>29218</v>
      </c>
      <c r="B679" t="n">
        <v>2725000</v>
      </c>
      <c r="C679" t="n">
        <v>428000</v>
      </c>
    </row>
    <row r="680">
      <c r="A680" s="79" t="n">
        <v>29225</v>
      </c>
      <c r="B680" t="n">
        <v>2749000</v>
      </c>
      <c r="C680" t="n">
        <v>394000</v>
      </c>
    </row>
    <row r="681">
      <c r="A681" s="79" t="n">
        <v>29232</v>
      </c>
      <c r="B681" t="n">
        <v>2778000</v>
      </c>
      <c r="C681" t="n">
        <v>405000</v>
      </c>
    </row>
    <row r="682">
      <c r="A682" s="79" t="n">
        <v>29239</v>
      </c>
      <c r="B682" t="n">
        <v>2783000</v>
      </c>
      <c r="C682" t="n">
        <v>446000</v>
      </c>
    </row>
    <row r="683">
      <c r="A683" s="79" t="n">
        <v>29246</v>
      </c>
      <c r="B683" t="n">
        <v>2817000</v>
      </c>
      <c r="C683" t="n">
        <v>412000</v>
      </c>
    </row>
    <row r="684">
      <c r="A684" s="79" t="n">
        <v>29253</v>
      </c>
      <c r="B684" t="n">
        <v>2864000</v>
      </c>
      <c r="C684" t="n">
        <v>404000</v>
      </c>
    </row>
    <row r="685">
      <c r="A685" s="79" t="n">
        <v>29260</v>
      </c>
      <c r="B685" t="n">
        <v>2867000</v>
      </c>
      <c r="C685" t="n">
        <v>425000</v>
      </c>
    </row>
    <row r="686">
      <c r="A686" s="79" t="n">
        <v>29267</v>
      </c>
      <c r="B686" t="n">
        <v>2877000</v>
      </c>
      <c r="C686" t="n">
        <v>415000</v>
      </c>
    </row>
    <row r="687">
      <c r="A687" s="79" t="n">
        <v>29274</v>
      </c>
      <c r="B687" t="n">
        <v>2866000</v>
      </c>
      <c r="C687" t="n">
        <v>428000</v>
      </c>
    </row>
    <row r="688">
      <c r="A688" s="79" t="n">
        <v>29281</v>
      </c>
      <c r="B688" t="n">
        <v>2848000</v>
      </c>
      <c r="C688" t="n">
        <v>409000</v>
      </c>
    </row>
    <row r="689">
      <c r="A689" s="79" t="n">
        <v>29288</v>
      </c>
      <c r="B689" t="n">
        <v>2883000</v>
      </c>
      <c r="C689" t="n">
        <v>418000</v>
      </c>
    </row>
    <row r="690">
      <c r="A690" s="79" t="n">
        <v>29295</v>
      </c>
      <c r="B690" t="n">
        <v>2888000</v>
      </c>
      <c r="C690" t="n">
        <v>432000</v>
      </c>
    </row>
    <row r="691">
      <c r="A691" s="79" t="n">
        <v>29302</v>
      </c>
      <c r="B691" t="n">
        <v>2921000</v>
      </c>
      <c r="C691" t="n">
        <v>435000</v>
      </c>
    </row>
    <row r="692">
      <c r="A692" s="79" t="n">
        <v>29309</v>
      </c>
      <c r="B692" t="n">
        <v>2866000</v>
      </c>
      <c r="C692" t="n">
        <v>475000</v>
      </c>
    </row>
    <row r="693">
      <c r="A693" s="79" t="n">
        <v>29316</v>
      </c>
      <c r="B693" t="n">
        <v>3007000</v>
      </c>
      <c r="C693" t="n">
        <v>464000</v>
      </c>
    </row>
    <row r="694">
      <c r="A694" s="79" t="n">
        <v>29323</v>
      </c>
      <c r="B694" t="n">
        <v>3085000</v>
      </c>
      <c r="C694" t="n">
        <v>544000</v>
      </c>
    </row>
    <row r="695">
      <c r="A695" s="79" t="n">
        <v>29330</v>
      </c>
      <c r="B695" t="n">
        <v>3188000</v>
      </c>
      <c r="C695" t="n">
        <v>548000</v>
      </c>
    </row>
    <row r="696">
      <c r="A696" s="79" t="n">
        <v>29337</v>
      </c>
      <c r="B696" t="n">
        <v>3226000</v>
      </c>
      <c r="C696" t="n">
        <v>563000</v>
      </c>
    </row>
    <row r="697">
      <c r="A697" s="79" t="n">
        <v>29344</v>
      </c>
      <c r="B697" t="n">
        <v>3334000</v>
      </c>
      <c r="C697" t="n">
        <v>572000</v>
      </c>
    </row>
    <row r="698">
      <c r="A698" s="79" t="n">
        <v>29351</v>
      </c>
      <c r="B698" t="n">
        <v>3417000</v>
      </c>
      <c r="C698" t="n">
        <v>601000</v>
      </c>
    </row>
    <row r="699">
      <c r="A699" s="79" t="n">
        <v>29358</v>
      </c>
      <c r="B699" t="n">
        <v>3544000</v>
      </c>
      <c r="C699" t="n">
        <v>642000</v>
      </c>
    </row>
    <row r="700">
      <c r="A700" s="79" t="n">
        <v>29365</v>
      </c>
      <c r="B700" t="n">
        <v>3698000</v>
      </c>
      <c r="C700" t="n">
        <v>627000</v>
      </c>
    </row>
    <row r="701">
      <c r="A701" s="79" t="n">
        <v>29372</v>
      </c>
      <c r="B701" t="n">
        <v>3731000</v>
      </c>
      <c r="C701" t="n">
        <v>637000</v>
      </c>
    </row>
    <row r="702">
      <c r="A702" s="79" t="n">
        <v>29379</v>
      </c>
      <c r="B702" t="n">
        <v>3781000</v>
      </c>
      <c r="C702" t="n">
        <v>610000</v>
      </c>
    </row>
    <row r="703">
      <c r="A703" s="79" t="n">
        <v>29386</v>
      </c>
      <c r="B703" t="n">
        <v>3779000</v>
      </c>
      <c r="C703" t="n">
        <v>592000</v>
      </c>
    </row>
    <row r="704">
      <c r="A704" s="79" t="n">
        <v>29393</v>
      </c>
      <c r="B704" t="n">
        <v>3858000</v>
      </c>
      <c r="C704" t="n">
        <v>599000</v>
      </c>
    </row>
    <row r="705">
      <c r="A705" s="79" t="n">
        <v>29400</v>
      </c>
      <c r="B705" t="n">
        <v>3912000</v>
      </c>
      <c r="C705" t="n">
        <v>627000</v>
      </c>
    </row>
    <row r="706">
      <c r="A706" s="79" t="n">
        <v>29407</v>
      </c>
      <c r="B706" t="n">
        <v>3823000</v>
      </c>
      <c r="C706" t="n">
        <v>579000</v>
      </c>
    </row>
    <row r="707">
      <c r="A707" s="79" t="n">
        <v>29414</v>
      </c>
      <c r="B707" t="n">
        <v>3836000</v>
      </c>
      <c r="C707" t="n">
        <v>533000</v>
      </c>
    </row>
    <row r="708">
      <c r="A708" s="79" t="n">
        <v>29421</v>
      </c>
      <c r="B708" t="n">
        <v>3872000</v>
      </c>
      <c r="C708" t="n">
        <v>567000</v>
      </c>
    </row>
    <row r="709">
      <c r="A709" s="79" t="n">
        <v>29428</v>
      </c>
      <c r="B709" t="n">
        <v>3851000</v>
      </c>
      <c r="C709" t="n">
        <v>558000</v>
      </c>
    </row>
    <row r="710">
      <c r="A710" s="79" t="n">
        <v>29435</v>
      </c>
      <c r="B710" t="n">
        <v>3789000</v>
      </c>
      <c r="C710" t="n">
        <v>569000</v>
      </c>
    </row>
    <row r="711">
      <c r="A711" s="79" t="n">
        <v>29442</v>
      </c>
      <c r="B711" t="n">
        <v>3862000</v>
      </c>
      <c r="C711" t="n">
        <v>533000</v>
      </c>
    </row>
    <row r="712">
      <c r="A712" s="79" t="n">
        <v>29449</v>
      </c>
      <c r="B712" t="n">
        <v>3813000</v>
      </c>
      <c r="C712" t="n">
        <v>525000</v>
      </c>
    </row>
    <row r="713">
      <c r="A713" s="79" t="n">
        <v>29456</v>
      </c>
      <c r="B713" t="n">
        <v>3754000</v>
      </c>
      <c r="C713" t="n">
        <v>512000</v>
      </c>
    </row>
    <row r="714">
      <c r="A714" s="79" t="n">
        <v>29463</v>
      </c>
      <c r="B714" t="n">
        <v>3808000</v>
      </c>
      <c r="C714" t="n">
        <v>502000</v>
      </c>
    </row>
    <row r="715">
      <c r="A715" s="79" t="n">
        <v>29470</v>
      </c>
      <c r="B715" t="n">
        <v>3698000</v>
      </c>
      <c r="C715" t="n">
        <v>511000</v>
      </c>
    </row>
    <row r="716">
      <c r="A716" s="79" t="n">
        <v>29477</v>
      </c>
      <c r="B716" t="n">
        <v>3699000</v>
      </c>
      <c r="C716" t="n">
        <v>492000</v>
      </c>
    </row>
    <row r="717">
      <c r="A717" s="79" t="n">
        <v>29484</v>
      </c>
      <c r="B717" t="n">
        <v>3698000</v>
      </c>
      <c r="C717" t="n">
        <v>465000</v>
      </c>
    </row>
    <row r="718">
      <c r="A718" s="79" t="n">
        <v>29491</v>
      </c>
      <c r="B718" t="n">
        <v>3679000</v>
      </c>
      <c r="C718" t="n">
        <v>463000</v>
      </c>
    </row>
    <row r="719">
      <c r="A719" s="79" t="n">
        <v>29498</v>
      </c>
      <c r="B719" t="n">
        <v>3672000</v>
      </c>
      <c r="C719" t="n">
        <v>462000</v>
      </c>
    </row>
    <row r="720">
      <c r="A720" s="79" t="n">
        <v>29505</v>
      </c>
      <c r="B720" t="n">
        <v>3549000</v>
      </c>
      <c r="C720" t="n">
        <v>447000</v>
      </c>
    </row>
    <row r="721">
      <c r="A721" s="79" t="n">
        <v>29512</v>
      </c>
      <c r="B721" t="n">
        <v>3477000</v>
      </c>
      <c r="C721" t="n">
        <v>425000</v>
      </c>
    </row>
    <row r="722">
      <c r="A722" s="79" t="n">
        <v>29519</v>
      </c>
      <c r="B722" t="n">
        <v>3527000</v>
      </c>
      <c r="C722" t="n">
        <v>418000</v>
      </c>
    </row>
    <row r="723">
      <c r="A723" s="79" t="n">
        <v>29526</v>
      </c>
      <c r="B723" t="n">
        <v>3391000</v>
      </c>
      <c r="C723" t="n">
        <v>419000</v>
      </c>
    </row>
    <row r="724">
      <c r="A724" s="79" t="n">
        <v>29533</v>
      </c>
      <c r="B724" t="n">
        <v>3380000</v>
      </c>
      <c r="C724" t="n">
        <v>407000</v>
      </c>
    </row>
    <row r="725">
      <c r="A725" s="79" t="n">
        <v>29540</v>
      </c>
      <c r="B725" t="n">
        <v>3260000</v>
      </c>
      <c r="C725" t="n">
        <v>427000</v>
      </c>
    </row>
    <row r="726">
      <c r="A726" s="79" t="n">
        <v>29547</v>
      </c>
      <c r="B726" t="n">
        <v>3303000</v>
      </c>
      <c r="C726" t="n">
        <v>398000</v>
      </c>
    </row>
    <row r="727">
      <c r="A727" s="79" t="n">
        <v>29554</v>
      </c>
      <c r="B727" t="n">
        <v>3169000</v>
      </c>
      <c r="C727" t="n">
        <v>412000</v>
      </c>
    </row>
    <row r="728">
      <c r="A728" s="79" t="n">
        <v>29561</v>
      </c>
      <c r="B728" t="n">
        <v>3185000</v>
      </c>
      <c r="C728" t="n">
        <v>416000</v>
      </c>
    </row>
    <row r="729">
      <c r="A729" s="79" t="n">
        <v>29568</v>
      </c>
      <c r="B729" t="n">
        <v>3125000</v>
      </c>
      <c r="C729" t="n">
        <v>413000</v>
      </c>
    </row>
    <row r="730">
      <c r="A730" s="79" t="n">
        <v>29575</v>
      </c>
      <c r="B730" t="n">
        <v>3056000</v>
      </c>
      <c r="C730" t="n">
        <v>412000</v>
      </c>
    </row>
    <row r="731">
      <c r="A731" s="79" t="n">
        <v>29582</v>
      </c>
      <c r="B731" t="n">
        <v>3136000</v>
      </c>
      <c r="C731" t="n">
        <v>399000</v>
      </c>
    </row>
    <row r="732">
      <c r="A732" s="79" t="n">
        <v>29589</v>
      </c>
      <c r="B732" t="n">
        <v>3123000</v>
      </c>
      <c r="C732" t="n">
        <v>410000</v>
      </c>
    </row>
    <row r="733">
      <c r="A733" s="79" t="n">
        <v>29596</v>
      </c>
      <c r="B733" t="n">
        <v>3082000</v>
      </c>
      <c r="C733" t="n">
        <v>419000</v>
      </c>
    </row>
    <row r="734">
      <c r="A734" s="79" t="n">
        <v>29603</v>
      </c>
      <c r="B734" t="n">
        <v>3023000</v>
      </c>
      <c r="C734" t="n">
        <v>421000</v>
      </c>
    </row>
    <row r="735">
      <c r="A735" s="79" t="n">
        <v>29610</v>
      </c>
      <c r="B735" t="n">
        <v>2988000</v>
      </c>
      <c r="C735" t="n">
        <v>396000</v>
      </c>
    </row>
    <row r="736">
      <c r="A736" s="79" t="n">
        <v>29617</v>
      </c>
      <c r="B736" t="n">
        <v>2975000</v>
      </c>
      <c r="C736" t="n">
        <v>419000</v>
      </c>
    </row>
    <row r="737">
      <c r="A737" s="79" t="n">
        <v>29624</v>
      </c>
      <c r="B737" t="n">
        <v>2945000</v>
      </c>
      <c r="C737" t="n">
        <v>420000</v>
      </c>
    </row>
    <row r="738">
      <c r="A738" s="79" t="n">
        <v>29631</v>
      </c>
      <c r="B738" t="n">
        <v>3043000</v>
      </c>
      <c r="C738" t="n">
        <v>423000</v>
      </c>
    </row>
    <row r="739">
      <c r="A739" s="79" t="n">
        <v>29638</v>
      </c>
      <c r="B739" t="n">
        <v>3023000</v>
      </c>
      <c r="C739" t="n">
        <v>438000</v>
      </c>
    </row>
    <row r="740">
      <c r="A740" s="79" t="n">
        <v>29645</v>
      </c>
      <c r="B740" t="n">
        <v>2901000</v>
      </c>
      <c r="C740" t="n">
        <v>434000</v>
      </c>
    </row>
    <row r="741">
      <c r="A741" s="79" t="n">
        <v>29652</v>
      </c>
      <c r="B741" t="n">
        <v>2931000</v>
      </c>
      <c r="C741" t="n">
        <v>409000</v>
      </c>
    </row>
    <row r="742">
      <c r="A742" s="79" t="n">
        <v>29659</v>
      </c>
      <c r="B742" t="n">
        <v>2905000</v>
      </c>
      <c r="C742" t="n">
        <v>408000</v>
      </c>
    </row>
    <row r="743">
      <c r="A743" s="79" t="n">
        <v>29666</v>
      </c>
      <c r="B743" t="n">
        <v>2885000</v>
      </c>
      <c r="C743" t="n">
        <v>401000</v>
      </c>
    </row>
    <row r="744">
      <c r="A744" s="79" t="n">
        <v>29673</v>
      </c>
      <c r="B744" t="n">
        <v>2876000</v>
      </c>
      <c r="C744" t="n">
        <v>412000</v>
      </c>
    </row>
    <row r="745">
      <c r="A745" s="79" t="n">
        <v>29680</v>
      </c>
      <c r="B745" t="n">
        <v>2875000</v>
      </c>
      <c r="C745" t="n">
        <v>417000</v>
      </c>
    </row>
    <row r="746">
      <c r="A746" s="79" t="n">
        <v>29687</v>
      </c>
      <c r="B746" t="n">
        <v>2800000</v>
      </c>
      <c r="C746" t="n">
        <v>396000</v>
      </c>
    </row>
    <row r="747">
      <c r="A747" s="79" t="n">
        <v>29694</v>
      </c>
      <c r="B747" t="n">
        <v>2860000</v>
      </c>
      <c r="C747" t="n">
        <v>392000</v>
      </c>
    </row>
    <row r="748">
      <c r="A748" s="79" t="n">
        <v>29701</v>
      </c>
      <c r="B748" t="n">
        <v>2893000</v>
      </c>
      <c r="C748" t="n">
        <v>436000</v>
      </c>
    </row>
    <row r="749">
      <c r="A749" s="79" t="n">
        <v>29708</v>
      </c>
      <c r="B749" t="n">
        <v>2944000</v>
      </c>
      <c r="C749" t="n">
        <v>413000</v>
      </c>
    </row>
    <row r="750">
      <c r="A750" s="79" t="n">
        <v>29715</v>
      </c>
      <c r="B750" t="n">
        <v>2887000</v>
      </c>
      <c r="C750" t="n">
        <v>423000</v>
      </c>
    </row>
    <row r="751">
      <c r="A751" s="79" t="n">
        <v>29722</v>
      </c>
      <c r="B751" t="n">
        <v>2865000</v>
      </c>
      <c r="C751" t="n">
        <v>414000</v>
      </c>
    </row>
    <row r="752">
      <c r="A752" s="79" t="n">
        <v>29729</v>
      </c>
      <c r="B752" t="n">
        <v>2862000</v>
      </c>
      <c r="C752" t="n">
        <v>415000</v>
      </c>
    </row>
    <row r="753">
      <c r="A753" s="79" t="n">
        <v>29736</v>
      </c>
      <c r="B753" t="n">
        <v>2962000</v>
      </c>
      <c r="C753" t="n">
        <v>417000</v>
      </c>
    </row>
    <row r="754">
      <c r="A754" s="79" t="n">
        <v>29743</v>
      </c>
      <c r="B754" t="n">
        <v>2877000</v>
      </c>
      <c r="C754" t="n">
        <v>428000</v>
      </c>
    </row>
    <row r="755">
      <c r="A755" s="79" t="n">
        <v>29750</v>
      </c>
      <c r="B755" t="n">
        <v>2867000</v>
      </c>
      <c r="C755" t="n">
        <v>425000</v>
      </c>
    </row>
    <row r="756">
      <c r="A756" s="79" t="n">
        <v>29757</v>
      </c>
      <c r="B756" t="n">
        <v>2886000</v>
      </c>
      <c r="C756" t="n">
        <v>435000</v>
      </c>
    </row>
    <row r="757">
      <c r="A757" s="79" t="n">
        <v>29764</v>
      </c>
      <c r="B757" t="n">
        <v>2983000</v>
      </c>
      <c r="C757" t="n">
        <v>444000</v>
      </c>
    </row>
    <row r="758">
      <c r="A758" s="79" t="n">
        <v>29771</v>
      </c>
      <c r="B758" t="n">
        <v>2886000</v>
      </c>
      <c r="C758" t="n">
        <v>460000</v>
      </c>
    </row>
    <row r="759">
      <c r="A759" s="79" t="n">
        <v>29778</v>
      </c>
      <c r="B759" t="n">
        <v>2845000</v>
      </c>
      <c r="C759" t="n">
        <v>426000</v>
      </c>
    </row>
    <row r="760">
      <c r="A760" s="79" t="n">
        <v>29785</v>
      </c>
      <c r="B760" t="n">
        <v>2902000</v>
      </c>
      <c r="C760" t="n">
        <v>430000</v>
      </c>
    </row>
    <row r="761">
      <c r="A761" s="79" t="n">
        <v>29792</v>
      </c>
      <c r="B761" t="n">
        <v>2899000</v>
      </c>
      <c r="C761" t="n">
        <v>407000</v>
      </c>
    </row>
    <row r="762">
      <c r="A762" s="79" t="n">
        <v>29799</v>
      </c>
      <c r="B762" t="n">
        <v>2867000</v>
      </c>
      <c r="C762" t="n">
        <v>476000</v>
      </c>
    </row>
    <row r="763">
      <c r="A763" s="79" t="n">
        <v>29806</v>
      </c>
      <c r="B763" t="n">
        <v>2998000</v>
      </c>
      <c r="C763" t="n">
        <v>448000</v>
      </c>
    </row>
    <row r="764">
      <c r="A764" s="79" t="n">
        <v>29813</v>
      </c>
      <c r="B764" t="n">
        <v>2966000</v>
      </c>
      <c r="C764" t="n">
        <v>442000</v>
      </c>
    </row>
    <row r="765">
      <c r="A765" s="79" t="n">
        <v>29820</v>
      </c>
      <c r="B765" t="n">
        <v>2957000</v>
      </c>
      <c r="C765" t="n">
        <v>434000</v>
      </c>
    </row>
    <row r="766">
      <c r="A766" s="79" t="n">
        <v>29827</v>
      </c>
      <c r="B766" t="n">
        <v>2954000</v>
      </c>
      <c r="C766" t="n">
        <v>451000</v>
      </c>
    </row>
    <row r="767">
      <c r="A767" s="79" t="n">
        <v>29834</v>
      </c>
      <c r="B767" t="n">
        <v>2914000</v>
      </c>
      <c r="C767" t="n">
        <v>473000</v>
      </c>
    </row>
    <row r="768">
      <c r="A768" s="79" t="n">
        <v>29841</v>
      </c>
      <c r="B768" t="n">
        <v>3051000</v>
      </c>
      <c r="C768" t="n">
        <v>454000</v>
      </c>
    </row>
    <row r="769">
      <c r="A769" s="79" t="n">
        <v>29848</v>
      </c>
      <c r="B769" t="n">
        <v>3014000</v>
      </c>
      <c r="C769" t="n">
        <v>475000</v>
      </c>
    </row>
    <row r="770">
      <c r="A770" s="79" t="n">
        <v>29855</v>
      </c>
      <c r="B770" t="n">
        <v>3073000</v>
      </c>
      <c r="C770" t="n">
        <v>491000</v>
      </c>
    </row>
    <row r="771">
      <c r="A771" s="79" t="n">
        <v>29862</v>
      </c>
      <c r="B771" t="n">
        <v>3069000</v>
      </c>
      <c r="C771" t="n">
        <v>489000</v>
      </c>
    </row>
    <row r="772">
      <c r="A772" s="79" t="n">
        <v>29869</v>
      </c>
      <c r="B772" t="n">
        <v>3098000</v>
      </c>
      <c r="C772" t="n">
        <v>491000</v>
      </c>
    </row>
    <row r="773">
      <c r="A773" s="79" t="n">
        <v>29876</v>
      </c>
      <c r="B773" t="n">
        <v>3104000</v>
      </c>
      <c r="C773" t="n">
        <v>487000</v>
      </c>
    </row>
    <row r="774">
      <c r="A774" s="79" t="n">
        <v>29883</v>
      </c>
      <c r="B774" t="n">
        <v>3181000</v>
      </c>
      <c r="C774" t="n">
        <v>483000</v>
      </c>
    </row>
    <row r="775">
      <c r="A775" s="79" t="n">
        <v>29890</v>
      </c>
      <c r="B775" t="n">
        <v>3183000</v>
      </c>
      <c r="C775" t="n">
        <v>514000</v>
      </c>
    </row>
    <row r="776">
      <c r="A776" s="79" t="n">
        <v>29897</v>
      </c>
      <c r="B776" t="n">
        <v>3282000</v>
      </c>
      <c r="C776" t="n">
        <v>514000</v>
      </c>
    </row>
    <row r="777">
      <c r="A777" s="79" t="n">
        <v>29904</v>
      </c>
      <c r="B777" t="n">
        <v>3291000</v>
      </c>
      <c r="C777" t="n">
        <v>517000</v>
      </c>
    </row>
    <row r="778">
      <c r="A778" s="79" t="n">
        <v>29911</v>
      </c>
      <c r="B778" t="n">
        <v>3416000</v>
      </c>
      <c r="C778" t="n">
        <v>464000</v>
      </c>
    </row>
    <row r="779">
      <c r="A779" s="79" t="n">
        <v>29918</v>
      </c>
      <c r="B779" t="n">
        <v>3360000</v>
      </c>
      <c r="C779" t="n">
        <v>552000</v>
      </c>
    </row>
    <row r="780">
      <c r="A780" s="79" t="n">
        <v>29925</v>
      </c>
      <c r="B780" t="n">
        <v>3517000</v>
      </c>
      <c r="C780" t="n">
        <v>558000</v>
      </c>
    </row>
    <row r="781">
      <c r="A781" s="79" t="n">
        <v>29932</v>
      </c>
      <c r="B781" t="n">
        <v>3397000</v>
      </c>
      <c r="C781" t="n">
        <v>551000</v>
      </c>
    </row>
    <row r="782">
      <c r="A782" s="79" t="n">
        <v>29939</v>
      </c>
      <c r="B782" t="n">
        <v>3551000</v>
      </c>
      <c r="C782" t="n">
        <v>539000</v>
      </c>
    </row>
    <row r="783">
      <c r="A783" s="79" t="n">
        <v>29946</v>
      </c>
      <c r="B783" t="n">
        <v>3636000</v>
      </c>
      <c r="C783" t="n">
        <v>556000</v>
      </c>
    </row>
    <row r="784">
      <c r="A784" s="79" t="n">
        <v>29953</v>
      </c>
      <c r="B784" t="n">
        <v>3523000</v>
      </c>
      <c r="C784" t="n">
        <v>495000</v>
      </c>
    </row>
    <row r="785">
      <c r="A785" s="79" t="n">
        <v>29960</v>
      </c>
      <c r="B785" t="n">
        <v>3398000</v>
      </c>
      <c r="C785" t="n">
        <v>545000</v>
      </c>
    </row>
    <row r="786">
      <c r="A786" s="79" t="n">
        <v>29967</v>
      </c>
      <c r="B786" t="n">
        <v>3624000</v>
      </c>
      <c r="C786" t="n">
        <v>489000</v>
      </c>
    </row>
    <row r="787">
      <c r="A787" s="79" t="n">
        <v>29974</v>
      </c>
      <c r="B787" t="n">
        <v>3602000</v>
      </c>
      <c r="C787" t="n">
        <v>564000</v>
      </c>
    </row>
    <row r="788">
      <c r="A788" s="79" t="n">
        <v>29981</v>
      </c>
      <c r="B788" t="n">
        <v>3521000</v>
      </c>
      <c r="C788" t="n">
        <v>583000</v>
      </c>
    </row>
    <row r="789">
      <c r="A789" s="79" t="n">
        <v>29988</v>
      </c>
      <c r="B789" t="n">
        <v>3617000</v>
      </c>
      <c r="C789" t="n">
        <v>556000</v>
      </c>
    </row>
    <row r="790">
      <c r="A790" s="79" t="n">
        <v>29995</v>
      </c>
      <c r="B790" t="n">
        <v>3490000</v>
      </c>
      <c r="C790" t="n">
        <v>507000</v>
      </c>
    </row>
    <row r="791">
      <c r="A791" s="79" t="n">
        <v>30002</v>
      </c>
      <c r="B791" t="n">
        <v>3562000</v>
      </c>
      <c r="C791" t="n">
        <v>544000</v>
      </c>
    </row>
    <row r="792">
      <c r="A792" s="79" t="n">
        <v>30009</v>
      </c>
      <c r="B792" t="n">
        <v>3553000</v>
      </c>
      <c r="C792" t="n">
        <v>528000</v>
      </c>
    </row>
    <row r="793">
      <c r="A793" s="79" t="n">
        <v>30016</v>
      </c>
      <c r="B793" t="n">
        <v>3619000</v>
      </c>
      <c r="C793" t="n">
        <v>556000</v>
      </c>
    </row>
    <row r="794">
      <c r="A794" s="79" t="n">
        <v>30023</v>
      </c>
      <c r="B794" t="n">
        <v>3605000</v>
      </c>
      <c r="C794" t="n">
        <v>539000</v>
      </c>
    </row>
    <row r="795">
      <c r="A795" s="79" t="n">
        <v>30030</v>
      </c>
      <c r="B795" t="n">
        <v>3684000</v>
      </c>
      <c r="C795" t="n">
        <v>557000</v>
      </c>
    </row>
    <row r="796">
      <c r="A796" s="79" t="n">
        <v>30037</v>
      </c>
      <c r="B796" t="n">
        <v>3714000</v>
      </c>
      <c r="C796" t="n">
        <v>574000</v>
      </c>
    </row>
    <row r="797">
      <c r="A797" s="79" t="n">
        <v>30044</v>
      </c>
      <c r="B797" t="n">
        <v>3720000</v>
      </c>
      <c r="C797" t="n">
        <v>578000</v>
      </c>
    </row>
    <row r="798">
      <c r="A798" s="79" t="n">
        <v>30051</v>
      </c>
      <c r="B798" t="n">
        <v>3841000</v>
      </c>
      <c r="C798" t="n">
        <v>585000</v>
      </c>
    </row>
    <row r="799">
      <c r="A799" s="79" t="n">
        <v>30058</v>
      </c>
      <c r="B799" t="n">
        <v>3967000</v>
      </c>
      <c r="C799" t="n">
        <v>597000</v>
      </c>
    </row>
    <row r="800">
      <c r="A800" s="79" t="n">
        <v>30065</v>
      </c>
      <c r="B800" t="n">
        <v>3930000</v>
      </c>
      <c r="C800" t="n">
        <v>588000</v>
      </c>
    </row>
    <row r="801">
      <c r="A801" s="79" t="n">
        <v>30072</v>
      </c>
      <c r="B801" t="n">
        <v>3960000</v>
      </c>
      <c r="C801" t="n">
        <v>576000</v>
      </c>
    </row>
    <row r="802">
      <c r="A802" s="79" t="n">
        <v>30079</v>
      </c>
      <c r="B802" t="n">
        <v>3972000</v>
      </c>
      <c r="C802" t="n">
        <v>584000</v>
      </c>
    </row>
    <row r="803">
      <c r="A803" s="79" t="n">
        <v>30086</v>
      </c>
      <c r="B803" t="n">
        <v>3968000</v>
      </c>
      <c r="C803" t="n">
        <v>585000</v>
      </c>
    </row>
    <row r="804">
      <c r="A804" s="79" t="n">
        <v>30093</v>
      </c>
      <c r="B804" t="n">
        <v>4103000</v>
      </c>
      <c r="C804" t="n">
        <v>586000</v>
      </c>
    </row>
    <row r="805">
      <c r="A805" s="79" t="n">
        <v>30100</v>
      </c>
      <c r="B805" t="n">
        <v>3956000</v>
      </c>
      <c r="C805" t="n">
        <v>588000</v>
      </c>
    </row>
    <row r="806">
      <c r="A806" s="79" t="n">
        <v>30107</v>
      </c>
      <c r="B806" t="n">
        <v>4094000</v>
      </c>
      <c r="C806" t="n">
        <v>611000</v>
      </c>
    </row>
    <row r="807">
      <c r="A807" s="79" t="n">
        <v>30114</v>
      </c>
      <c r="B807" t="n">
        <v>4121000</v>
      </c>
      <c r="C807" t="n">
        <v>614000</v>
      </c>
    </row>
    <row r="808">
      <c r="A808" s="79" t="n">
        <v>30121</v>
      </c>
      <c r="B808" t="n">
        <v>4105000</v>
      </c>
      <c r="C808" t="n">
        <v>591000</v>
      </c>
    </row>
    <row r="809">
      <c r="A809" s="79" t="n">
        <v>30128</v>
      </c>
      <c r="B809" t="n">
        <v>4057000</v>
      </c>
      <c r="C809" t="n">
        <v>582000</v>
      </c>
    </row>
    <row r="810">
      <c r="A810" s="79" t="n">
        <v>30135</v>
      </c>
      <c r="B810" t="n">
        <v>4139000</v>
      </c>
      <c r="C810" t="n">
        <v>600000</v>
      </c>
    </row>
    <row r="811">
      <c r="A811" s="79" t="n">
        <v>30142</v>
      </c>
      <c r="B811" t="n">
        <v>4025000</v>
      </c>
      <c r="C811" t="n">
        <v>572000</v>
      </c>
    </row>
    <row r="812">
      <c r="A812" s="79" t="n">
        <v>30149</v>
      </c>
      <c r="B812" t="n">
        <v>4148000</v>
      </c>
      <c r="C812" t="n">
        <v>567000</v>
      </c>
    </row>
    <row r="813">
      <c r="A813" s="79" t="n">
        <v>30156</v>
      </c>
      <c r="B813" t="n">
        <v>4155000</v>
      </c>
      <c r="C813" t="n">
        <v>536000</v>
      </c>
    </row>
    <row r="814">
      <c r="A814" s="79" t="n">
        <v>30163</v>
      </c>
      <c r="B814" t="n">
        <v>4040000</v>
      </c>
      <c r="C814" t="n">
        <v>605000</v>
      </c>
    </row>
    <row r="815">
      <c r="A815" s="79" t="n">
        <v>30170</v>
      </c>
      <c r="B815" t="n">
        <v>4191000</v>
      </c>
      <c r="C815" t="n">
        <v>606000</v>
      </c>
    </row>
    <row r="816">
      <c r="A816" s="79" t="n">
        <v>30177</v>
      </c>
      <c r="B816" t="n">
        <v>4234000</v>
      </c>
      <c r="C816" t="n">
        <v>637000</v>
      </c>
    </row>
    <row r="817">
      <c r="A817" s="79" t="n">
        <v>30184</v>
      </c>
      <c r="B817" t="n">
        <v>4300000</v>
      </c>
      <c r="C817" t="n">
        <v>628000</v>
      </c>
    </row>
    <row r="818">
      <c r="A818" s="79" t="n">
        <v>30191</v>
      </c>
      <c r="B818" t="n">
        <v>4316000</v>
      </c>
      <c r="C818" t="n">
        <v>647000</v>
      </c>
    </row>
    <row r="819">
      <c r="A819" s="79" t="n">
        <v>30198</v>
      </c>
      <c r="B819" t="n">
        <v>4356000</v>
      </c>
      <c r="C819" t="n">
        <v>651000</v>
      </c>
    </row>
    <row r="820">
      <c r="A820" s="79" t="n">
        <v>30205</v>
      </c>
      <c r="B820" t="n">
        <v>4445000</v>
      </c>
      <c r="C820" t="n">
        <v>641000</v>
      </c>
    </row>
    <row r="821">
      <c r="A821" s="79" t="n">
        <v>30212</v>
      </c>
      <c r="B821" t="n">
        <v>4468000</v>
      </c>
      <c r="C821" t="n">
        <v>680000</v>
      </c>
    </row>
    <row r="822">
      <c r="A822" s="79" t="n">
        <v>30219</v>
      </c>
      <c r="B822" t="n">
        <v>4542000</v>
      </c>
      <c r="C822" t="n">
        <v>671000</v>
      </c>
    </row>
    <row r="823">
      <c r="A823" s="79" t="n">
        <v>30226</v>
      </c>
      <c r="B823" t="n">
        <v>4629000</v>
      </c>
      <c r="C823" t="n">
        <v>695000</v>
      </c>
    </row>
    <row r="824">
      <c r="A824" s="79" t="n">
        <v>30233</v>
      </c>
      <c r="B824" t="n">
        <v>4689000</v>
      </c>
      <c r="C824" t="n">
        <v>651000</v>
      </c>
    </row>
    <row r="825">
      <c r="A825" s="79" t="n">
        <v>30240</v>
      </c>
      <c r="B825" t="n">
        <v>4599000</v>
      </c>
      <c r="C825" t="n">
        <v>656000</v>
      </c>
    </row>
    <row r="826">
      <c r="A826" s="79" t="n">
        <v>30247</v>
      </c>
      <c r="B826" t="n">
        <v>4686000</v>
      </c>
      <c r="C826" t="n">
        <v>623000</v>
      </c>
    </row>
    <row r="827">
      <c r="A827" s="79" t="n">
        <v>30254</v>
      </c>
      <c r="B827" t="n">
        <v>4595000</v>
      </c>
      <c r="C827" t="n">
        <v>637000</v>
      </c>
    </row>
    <row r="828">
      <c r="A828" s="79" t="n">
        <v>30261</v>
      </c>
      <c r="B828" t="n">
        <v>4713000</v>
      </c>
      <c r="C828" t="n">
        <v>589000</v>
      </c>
    </row>
    <row r="829">
      <c r="A829" s="79" t="n">
        <v>30268</v>
      </c>
      <c r="B829" t="n">
        <v>4554000</v>
      </c>
      <c r="C829" t="n">
        <v>599000</v>
      </c>
    </row>
    <row r="830">
      <c r="A830" s="79" t="n">
        <v>30275</v>
      </c>
      <c r="B830" t="n">
        <v>4695000</v>
      </c>
      <c r="C830" t="n">
        <v>577000</v>
      </c>
    </row>
    <row r="831">
      <c r="A831" s="79" t="n">
        <v>30282</v>
      </c>
      <c r="B831" t="n">
        <v>4442000</v>
      </c>
      <c r="C831" t="n">
        <v>612000</v>
      </c>
    </row>
    <row r="832">
      <c r="A832" s="79" t="n">
        <v>30289</v>
      </c>
      <c r="B832" t="n">
        <v>4509000</v>
      </c>
      <c r="C832" t="n">
        <v>557000</v>
      </c>
    </row>
    <row r="833">
      <c r="A833" s="79" t="n">
        <v>30296</v>
      </c>
      <c r="B833" t="n">
        <v>4339000</v>
      </c>
      <c r="C833" t="n">
        <v>533000</v>
      </c>
    </row>
    <row r="834">
      <c r="A834" s="79" t="n">
        <v>30303</v>
      </c>
      <c r="B834" t="n">
        <v>4371000</v>
      </c>
      <c r="C834" t="n">
        <v>516000</v>
      </c>
    </row>
    <row r="835">
      <c r="A835" s="79" t="n">
        <v>30310</v>
      </c>
      <c r="B835" t="n">
        <v>4381000</v>
      </c>
      <c r="C835" t="n">
        <v>489000</v>
      </c>
    </row>
    <row r="836">
      <c r="A836" s="79" t="n">
        <v>30317</v>
      </c>
      <c r="B836" t="n">
        <v>4010000</v>
      </c>
      <c r="C836" t="n">
        <v>534000</v>
      </c>
    </row>
    <row r="837">
      <c r="A837" s="79" t="n">
        <v>30324</v>
      </c>
      <c r="B837" t="n">
        <v>3885000</v>
      </c>
      <c r="C837" t="n">
        <v>510000</v>
      </c>
    </row>
    <row r="838">
      <c r="A838" s="79" t="n">
        <v>30331</v>
      </c>
      <c r="B838" t="n">
        <v>3950000</v>
      </c>
      <c r="C838" t="n">
        <v>479000</v>
      </c>
    </row>
    <row r="839">
      <c r="A839" s="79" t="n">
        <v>30338</v>
      </c>
      <c r="B839" t="n">
        <v>3860000</v>
      </c>
      <c r="C839" t="n">
        <v>479000</v>
      </c>
    </row>
    <row r="840">
      <c r="A840" s="79" t="n">
        <v>30345</v>
      </c>
      <c r="B840" t="n">
        <v>3890000</v>
      </c>
      <c r="C840" t="n">
        <v>503000</v>
      </c>
    </row>
    <row r="841">
      <c r="A841" s="79" t="n">
        <v>30352</v>
      </c>
      <c r="B841" t="n">
        <v>3877000</v>
      </c>
      <c r="C841" t="n">
        <v>501000</v>
      </c>
    </row>
    <row r="842">
      <c r="A842" s="79" t="n">
        <v>30359</v>
      </c>
      <c r="B842" t="n">
        <v>3865000</v>
      </c>
      <c r="C842" t="n">
        <v>486000</v>
      </c>
    </row>
    <row r="843">
      <c r="A843" s="79" t="n">
        <v>30366</v>
      </c>
      <c r="B843" t="n">
        <v>3819000</v>
      </c>
      <c r="C843" t="n">
        <v>487000</v>
      </c>
    </row>
    <row r="844">
      <c r="A844" s="79" t="n">
        <v>30373</v>
      </c>
      <c r="B844" t="n">
        <v>3876000</v>
      </c>
      <c r="C844" t="n">
        <v>481000</v>
      </c>
    </row>
    <row r="845">
      <c r="A845" s="79" t="n">
        <v>30380</v>
      </c>
      <c r="B845" t="n">
        <v>3797000</v>
      </c>
      <c r="C845" t="n">
        <v>495000</v>
      </c>
    </row>
    <row r="846">
      <c r="A846" s="79" t="n">
        <v>30387</v>
      </c>
      <c r="B846" t="n">
        <v>3787000</v>
      </c>
      <c r="C846" t="n">
        <v>475000</v>
      </c>
    </row>
    <row r="847">
      <c r="A847" s="79" t="n">
        <v>30394</v>
      </c>
      <c r="B847" t="n">
        <v>3752000</v>
      </c>
      <c r="C847" t="n">
        <v>470000</v>
      </c>
    </row>
    <row r="848">
      <c r="A848" s="79" t="n">
        <v>30401</v>
      </c>
      <c r="B848" t="n">
        <v>3734000</v>
      </c>
      <c r="C848" t="n">
        <v>481000</v>
      </c>
    </row>
    <row r="849">
      <c r="A849" s="79" t="n">
        <v>30408</v>
      </c>
      <c r="B849" t="n">
        <v>3759000</v>
      </c>
      <c r="C849" t="n">
        <v>491000</v>
      </c>
    </row>
    <row r="850">
      <c r="A850" s="79" t="n">
        <v>30415</v>
      </c>
      <c r="B850" t="n">
        <v>3814000</v>
      </c>
      <c r="C850" t="n">
        <v>496000</v>
      </c>
    </row>
    <row r="851">
      <c r="A851" s="79" t="n">
        <v>30422</v>
      </c>
      <c r="B851" t="n">
        <v>3744000</v>
      </c>
      <c r="C851" t="n">
        <v>515000</v>
      </c>
    </row>
    <row r="852">
      <c r="A852" s="79" t="n">
        <v>30429</v>
      </c>
      <c r="B852" t="n">
        <v>3762000</v>
      </c>
      <c r="C852" t="n">
        <v>488000</v>
      </c>
    </row>
    <row r="853">
      <c r="A853" s="79" t="n">
        <v>30436</v>
      </c>
      <c r="B853" t="n">
        <v>3722000</v>
      </c>
      <c r="C853" t="n">
        <v>490000</v>
      </c>
    </row>
    <row r="854">
      <c r="A854" s="79" t="n">
        <v>30443</v>
      </c>
      <c r="B854" t="n">
        <v>3714000</v>
      </c>
      <c r="C854" t="n">
        <v>494000</v>
      </c>
    </row>
    <row r="855">
      <c r="A855" s="79" t="n">
        <v>30450</v>
      </c>
      <c r="B855" t="n">
        <v>3625000</v>
      </c>
      <c r="C855" t="n">
        <v>464000</v>
      </c>
    </row>
    <row r="856">
      <c r="A856" s="79" t="n">
        <v>30457</v>
      </c>
      <c r="B856" t="n">
        <v>3701000</v>
      </c>
      <c r="C856" t="n">
        <v>460000</v>
      </c>
    </row>
    <row r="857">
      <c r="A857" s="79" t="n">
        <v>30464</v>
      </c>
      <c r="B857" t="n">
        <v>3457000</v>
      </c>
      <c r="C857" t="n">
        <v>454000</v>
      </c>
    </row>
    <row r="858">
      <c r="A858" s="79" t="n">
        <v>30471</v>
      </c>
      <c r="B858" t="n">
        <v>3548000</v>
      </c>
      <c r="C858" t="n">
        <v>459000</v>
      </c>
    </row>
    <row r="859">
      <c r="A859" s="79" t="n">
        <v>30478</v>
      </c>
      <c r="B859" t="n">
        <v>3453000</v>
      </c>
      <c r="C859" t="n">
        <v>442000</v>
      </c>
    </row>
    <row r="860">
      <c r="A860" s="79" t="n">
        <v>30485</v>
      </c>
      <c r="B860" t="n">
        <v>3452000</v>
      </c>
      <c r="C860" t="n">
        <v>434000</v>
      </c>
    </row>
    <row r="861">
      <c r="A861" s="79" t="n">
        <v>30492</v>
      </c>
      <c r="B861" t="n">
        <v>3369000</v>
      </c>
      <c r="C861" t="n">
        <v>442000</v>
      </c>
    </row>
    <row r="862">
      <c r="A862" s="79" t="n">
        <v>30499</v>
      </c>
      <c r="B862" t="n">
        <v>3239000</v>
      </c>
      <c r="C862" t="n">
        <v>422000</v>
      </c>
    </row>
    <row r="863">
      <c r="A863" s="79" t="n">
        <v>30506</v>
      </c>
      <c r="B863" t="n">
        <v>3226000</v>
      </c>
      <c r="C863" t="n">
        <v>412000</v>
      </c>
    </row>
    <row r="864">
      <c r="A864" s="79" t="n">
        <v>30513</v>
      </c>
      <c r="B864" t="n">
        <v>3216000</v>
      </c>
      <c r="C864" t="n">
        <v>396000</v>
      </c>
    </row>
    <row r="865">
      <c r="A865" s="79" t="n">
        <v>30520</v>
      </c>
      <c r="B865" t="n">
        <v>3155000</v>
      </c>
      <c r="C865" t="n">
        <v>395000</v>
      </c>
    </row>
    <row r="866">
      <c r="A866" s="79" t="n">
        <v>30527</v>
      </c>
      <c r="B866" t="n">
        <v>3112000</v>
      </c>
      <c r="C866" t="n">
        <v>415000</v>
      </c>
    </row>
    <row r="867">
      <c r="A867" s="79" t="n">
        <v>30534</v>
      </c>
      <c r="B867" t="n">
        <v>3106000</v>
      </c>
      <c r="C867" t="n">
        <v>415000</v>
      </c>
    </row>
    <row r="868">
      <c r="A868" s="79" t="n">
        <v>30541</v>
      </c>
      <c r="B868" t="n">
        <v>3107000</v>
      </c>
      <c r="C868" t="n">
        <v>457000</v>
      </c>
    </row>
    <row r="869">
      <c r="A869" s="79" t="n">
        <v>30548</v>
      </c>
      <c r="B869" t="n">
        <v>3131000</v>
      </c>
      <c r="C869" t="n">
        <v>445000</v>
      </c>
    </row>
    <row r="870">
      <c r="A870" s="79" t="n">
        <v>30555</v>
      </c>
      <c r="B870" t="n">
        <v>3079000</v>
      </c>
      <c r="C870" t="n">
        <v>426000</v>
      </c>
    </row>
    <row r="871">
      <c r="A871" s="79" t="n">
        <v>30562</v>
      </c>
      <c r="B871" t="n">
        <v>3055000</v>
      </c>
      <c r="C871" t="n">
        <v>411000</v>
      </c>
    </row>
    <row r="872">
      <c r="A872" s="79" t="n">
        <v>30569</v>
      </c>
      <c r="B872" t="n">
        <v>3007000</v>
      </c>
      <c r="C872" t="n">
        <v>403000</v>
      </c>
    </row>
    <row r="873">
      <c r="A873" s="79" t="n">
        <v>30576</v>
      </c>
      <c r="B873" t="n">
        <v>2993000</v>
      </c>
      <c r="C873" t="n">
        <v>405000</v>
      </c>
    </row>
    <row r="874">
      <c r="A874" s="79" t="n">
        <v>30583</v>
      </c>
      <c r="B874" t="n">
        <v>2973000</v>
      </c>
      <c r="C874" t="n">
        <v>416000</v>
      </c>
    </row>
    <row r="875">
      <c r="A875" s="79" t="n">
        <v>30590</v>
      </c>
      <c r="B875" t="n">
        <v>2926000</v>
      </c>
      <c r="C875" t="n">
        <v>413000</v>
      </c>
    </row>
    <row r="876">
      <c r="A876" s="79" t="n">
        <v>30597</v>
      </c>
      <c r="B876" t="n">
        <v>2929000</v>
      </c>
      <c r="C876" t="n">
        <v>406000</v>
      </c>
    </row>
    <row r="877">
      <c r="A877" s="79" t="n">
        <v>30604</v>
      </c>
      <c r="B877" t="n">
        <v>2913000</v>
      </c>
      <c r="C877" t="n">
        <v>394000</v>
      </c>
    </row>
    <row r="878">
      <c r="A878" s="79" t="n">
        <v>30611</v>
      </c>
      <c r="B878" t="n">
        <v>2886000</v>
      </c>
      <c r="C878" t="n">
        <v>394000</v>
      </c>
    </row>
    <row r="879">
      <c r="A879" s="79" t="n">
        <v>30618</v>
      </c>
      <c r="B879" t="n">
        <v>2860000</v>
      </c>
      <c r="C879" t="n">
        <v>404000</v>
      </c>
    </row>
    <row r="880">
      <c r="A880" s="79" t="n">
        <v>30625</v>
      </c>
      <c r="B880" t="n">
        <v>2750000</v>
      </c>
      <c r="C880" t="n">
        <v>395000</v>
      </c>
    </row>
    <row r="881">
      <c r="A881" s="79" t="n">
        <v>30632</v>
      </c>
      <c r="B881" t="n">
        <v>2789000</v>
      </c>
      <c r="C881" t="n">
        <v>390000</v>
      </c>
    </row>
    <row r="882">
      <c r="A882" s="79" t="n">
        <v>30639</v>
      </c>
      <c r="B882" t="n">
        <v>2879000</v>
      </c>
      <c r="C882" t="n">
        <v>387000</v>
      </c>
    </row>
    <row r="883">
      <c r="A883" s="79" t="n">
        <v>30646</v>
      </c>
      <c r="B883" t="n">
        <v>2733000</v>
      </c>
      <c r="C883" t="n">
        <v>398000</v>
      </c>
    </row>
    <row r="884">
      <c r="A884" s="79" t="n">
        <v>30653</v>
      </c>
      <c r="B884" t="n">
        <v>2737000</v>
      </c>
      <c r="C884" t="n">
        <v>365000</v>
      </c>
    </row>
    <row r="885">
      <c r="A885" s="79" t="n">
        <v>30660</v>
      </c>
      <c r="B885" t="n">
        <v>2666000</v>
      </c>
      <c r="C885" t="n">
        <v>368000</v>
      </c>
    </row>
    <row r="886">
      <c r="A886" s="79" t="n">
        <v>30667</v>
      </c>
      <c r="B886" t="n">
        <v>2796000</v>
      </c>
      <c r="C886" t="n">
        <v>362000</v>
      </c>
    </row>
    <row r="887">
      <c r="A887" s="79" t="n">
        <v>30674</v>
      </c>
      <c r="B887" t="n">
        <v>2718000</v>
      </c>
      <c r="C887" t="n">
        <v>377000</v>
      </c>
    </row>
    <row r="888">
      <c r="A888" s="79" t="n">
        <v>30681</v>
      </c>
      <c r="B888" t="n">
        <v>2644000</v>
      </c>
      <c r="C888" t="n">
        <v>372000</v>
      </c>
    </row>
    <row r="889">
      <c r="A889" s="79" t="n">
        <v>30688</v>
      </c>
      <c r="B889" t="n">
        <v>2588000</v>
      </c>
      <c r="C889" t="n">
        <v>356000</v>
      </c>
    </row>
    <row r="890">
      <c r="A890" s="79" t="n">
        <v>30695</v>
      </c>
      <c r="B890" t="n">
        <v>2522000</v>
      </c>
      <c r="C890" t="n">
        <v>351000</v>
      </c>
    </row>
    <row r="891">
      <c r="A891" s="79" t="n">
        <v>30702</v>
      </c>
      <c r="B891" t="n">
        <v>2531000</v>
      </c>
      <c r="C891" t="n">
        <v>333000</v>
      </c>
    </row>
    <row r="892">
      <c r="A892" s="79" t="n">
        <v>30709</v>
      </c>
      <c r="B892" t="n">
        <v>2556000</v>
      </c>
      <c r="C892" t="n">
        <v>364000</v>
      </c>
    </row>
    <row r="893">
      <c r="A893" s="79" t="n">
        <v>30716</v>
      </c>
      <c r="B893" t="n">
        <v>2531000</v>
      </c>
      <c r="C893" t="n">
        <v>342000</v>
      </c>
    </row>
    <row r="894">
      <c r="A894" s="79" t="n">
        <v>30723</v>
      </c>
      <c r="B894" t="n">
        <v>2453000</v>
      </c>
      <c r="C894" t="n">
        <v>338000</v>
      </c>
    </row>
    <row r="895">
      <c r="A895" s="79" t="n">
        <v>30730</v>
      </c>
      <c r="B895" t="n">
        <v>2425000</v>
      </c>
      <c r="C895" t="n">
        <v>334000</v>
      </c>
    </row>
    <row r="896">
      <c r="A896" s="79" t="n">
        <v>30737</v>
      </c>
      <c r="B896" t="n">
        <v>2469000</v>
      </c>
      <c r="C896" t="n">
        <v>343000</v>
      </c>
    </row>
    <row r="897">
      <c r="A897" s="79" t="n">
        <v>30744</v>
      </c>
      <c r="B897" t="n">
        <v>2441000</v>
      </c>
      <c r="C897" t="n">
        <v>347000</v>
      </c>
    </row>
    <row r="898">
      <c r="A898" s="79" t="n">
        <v>30751</v>
      </c>
      <c r="B898" t="n">
        <v>2431000</v>
      </c>
      <c r="C898" t="n">
        <v>346000</v>
      </c>
    </row>
    <row r="899">
      <c r="A899" s="79" t="n">
        <v>30758</v>
      </c>
      <c r="B899" t="n">
        <v>2426000</v>
      </c>
      <c r="C899" t="n">
        <v>349000</v>
      </c>
    </row>
    <row r="900">
      <c r="A900" s="79" t="n">
        <v>30765</v>
      </c>
      <c r="B900" t="n">
        <v>2412000</v>
      </c>
      <c r="C900" t="n">
        <v>346000</v>
      </c>
    </row>
    <row r="901">
      <c r="A901" s="79" t="n">
        <v>30772</v>
      </c>
      <c r="B901" t="n">
        <v>2412000</v>
      </c>
      <c r="C901" t="n">
        <v>341000</v>
      </c>
    </row>
    <row r="902">
      <c r="A902" s="79" t="n">
        <v>30779</v>
      </c>
      <c r="B902" t="n">
        <v>2425000</v>
      </c>
      <c r="C902" t="n">
        <v>381000</v>
      </c>
    </row>
    <row r="903">
      <c r="A903" s="79" t="n">
        <v>30786</v>
      </c>
      <c r="B903" t="n">
        <v>2396000</v>
      </c>
      <c r="C903" t="n">
        <v>357000</v>
      </c>
    </row>
    <row r="904">
      <c r="A904" s="79" t="n">
        <v>30793</v>
      </c>
      <c r="B904" t="n">
        <v>2433000</v>
      </c>
      <c r="C904" t="n">
        <v>364000</v>
      </c>
    </row>
    <row r="905">
      <c r="A905" s="79" t="n">
        <v>30800</v>
      </c>
      <c r="B905" t="n">
        <v>2435000</v>
      </c>
      <c r="C905" t="n">
        <v>375000</v>
      </c>
    </row>
    <row r="906">
      <c r="A906" s="79" t="n">
        <v>30807</v>
      </c>
      <c r="B906" t="n">
        <v>2430000</v>
      </c>
      <c r="C906" t="n">
        <v>365000</v>
      </c>
    </row>
    <row r="907">
      <c r="A907" s="79" t="n">
        <v>30814</v>
      </c>
      <c r="B907" t="n">
        <v>2386000</v>
      </c>
      <c r="C907" t="n">
        <v>368000</v>
      </c>
    </row>
    <row r="908">
      <c r="A908" s="79" t="n">
        <v>30821</v>
      </c>
      <c r="B908" t="n">
        <v>2401000</v>
      </c>
      <c r="C908" t="n">
        <v>354000</v>
      </c>
    </row>
    <row r="909">
      <c r="A909" s="79" t="n">
        <v>30828</v>
      </c>
      <c r="B909" t="n">
        <v>2323000</v>
      </c>
      <c r="C909" t="n">
        <v>354000</v>
      </c>
    </row>
    <row r="910">
      <c r="A910" s="79" t="n">
        <v>30835</v>
      </c>
      <c r="B910" t="n">
        <v>2379000</v>
      </c>
      <c r="C910" t="n">
        <v>355000</v>
      </c>
    </row>
    <row r="911">
      <c r="A911" s="79" t="n">
        <v>30842</v>
      </c>
      <c r="B911" t="n">
        <v>2391000</v>
      </c>
      <c r="C911" t="n">
        <v>369000</v>
      </c>
    </row>
    <row r="912">
      <c r="A912" s="79" t="n">
        <v>30849</v>
      </c>
      <c r="B912" t="n">
        <v>2364000</v>
      </c>
      <c r="C912" t="n">
        <v>361000</v>
      </c>
    </row>
    <row r="913">
      <c r="A913" s="79" t="n">
        <v>30856</v>
      </c>
      <c r="B913" t="n">
        <v>2339000</v>
      </c>
      <c r="C913" t="n">
        <v>362000</v>
      </c>
    </row>
    <row r="914">
      <c r="A914" s="79" t="n">
        <v>30863</v>
      </c>
      <c r="B914" t="n">
        <v>2329000</v>
      </c>
      <c r="C914" t="n">
        <v>360000</v>
      </c>
    </row>
    <row r="915">
      <c r="A915" s="79" t="n">
        <v>30870</v>
      </c>
      <c r="B915" t="n">
        <v>2375000</v>
      </c>
      <c r="C915" t="n">
        <v>366000</v>
      </c>
    </row>
    <row r="916">
      <c r="A916" s="79" t="n">
        <v>30877</v>
      </c>
      <c r="B916" t="n">
        <v>2371000</v>
      </c>
      <c r="C916" t="n">
        <v>360000</v>
      </c>
    </row>
    <row r="917">
      <c r="A917" s="79" t="n">
        <v>30884</v>
      </c>
      <c r="B917" t="n">
        <v>2337000</v>
      </c>
      <c r="C917" t="n">
        <v>357000</v>
      </c>
    </row>
    <row r="918">
      <c r="A918" s="79" t="n">
        <v>30891</v>
      </c>
      <c r="B918" t="n">
        <v>2329000</v>
      </c>
      <c r="C918" t="n">
        <v>359000</v>
      </c>
    </row>
    <row r="919">
      <c r="A919" s="79" t="n">
        <v>30898</v>
      </c>
      <c r="B919" t="n">
        <v>2332000</v>
      </c>
      <c r="C919" t="n">
        <v>382000</v>
      </c>
    </row>
    <row r="920">
      <c r="A920" s="79" t="n">
        <v>30905</v>
      </c>
      <c r="B920" t="n">
        <v>2390000</v>
      </c>
      <c r="C920" t="n">
        <v>380000</v>
      </c>
    </row>
    <row r="921">
      <c r="A921" s="79" t="n">
        <v>30912</v>
      </c>
      <c r="B921" t="n">
        <v>2416000</v>
      </c>
      <c r="C921" t="n">
        <v>401000</v>
      </c>
    </row>
    <row r="922">
      <c r="A922" s="79" t="n">
        <v>30919</v>
      </c>
      <c r="B922" t="n">
        <v>2405000</v>
      </c>
      <c r="C922" t="n">
        <v>395000</v>
      </c>
    </row>
    <row r="923">
      <c r="A923" s="79" t="n">
        <v>30926</v>
      </c>
      <c r="B923" t="n">
        <v>2410000</v>
      </c>
      <c r="C923" t="n">
        <v>385000</v>
      </c>
    </row>
    <row r="924">
      <c r="A924" s="79" t="n">
        <v>30933</v>
      </c>
      <c r="B924" t="n">
        <v>2435000</v>
      </c>
      <c r="C924" t="n">
        <v>402000</v>
      </c>
    </row>
    <row r="925">
      <c r="A925" s="79" t="n">
        <v>30940</v>
      </c>
      <c r="B925" t="n">
        <v>2434000</v>
      </c>
      <c r="C925" t="n">
        <v>393000</v>
      </c>
    </row>
    <row r="926">
      <c r="A926" s="79" t="n">
        <v>30947</v>
      </c>
      <c r="B926" t="n">
        <v>2421000</v>
      </c>
      <c r="C926" t="n">
        <v>395000</v>
      </c>
    </row>
    <row r="927">
      <c r="A927" s="79" t="n">
        <v>30954</v>
      </c>
      <c r="B927" t="n">
        <v>2474000</v>
      </c>
      <c r="C927" t="n">
        <v>402000</v>
      </c>
    </row>
    <row r="928">
      <c r="A928" s="79" t="n">
        <v>30961</v>
      </c>
      <c r="B928" t="n">
        <v>2455000</v>
      </c>
      <c r="C928" t="n">
        <v>403000</v>
      </c>
    </row>
    <row r="929">
      <c r="A929" s="79" t="n">
        <v>30968</v>
      </c>
      <c r="B929" t="n">
        <v>2538000</v>
      </c>
      <c r="C929" t="n">
        <v>410000</v>
      </c>
    </row>
    <row r="930">
      <c r="A930" s="79" t="n">
        <v>30975</v>
      </c>
      <c r="B930" t="n">
        <v>2529000</v>
      </c>
      <c r="C930" t="n">
        <v>439000</v>
      </c>
    </row>
    <row r="931">
      <c r="A931" s="79" t="n">
        <v>30982</v>
      </c>
      <c r="B931" t="n">
        <v>2574000</v>
      </c>
      <c r="C931" t="n">
        <v>425000</v>
      </c>
    </row>
    <row r="932">
      <c r="A932" s="79" t="n">
        <v>30989</v>
      </c>
      <c r="B932" t="n">
        <v>2578000</v>
      </c>
      <c r="C932" t="n">
        <v>423000</v>
      </c>
    </row>
    <row r="933">
      <c r="A933" s="79" t="n">
        <v>30996</v>
      </c>
      <c r="B933" t="n">
        <v>2545000</v>
      </c>
      <c r="C933" t="n">
        <v>393000</v>
      </c>
    </row>
    <row r="934">
      <c r="A934" s="79" t="n">
        <v>31003</v>
      </c>
      <c r="B934" t="n">
        <v>2645000</v>
      </c>
      <c r="C934" t="n">
        <v>383000</v>
      </c>
    </row>
    <row r="935">
      <c r="A935" s="79" t="n">
        <v>31010</v>
      </c>
      <c r="B935" t="n">
        <v>2569000</v>
      </c>
      <c r="C935" t="n">
        <v>429000</v>
      </c>
    </row>
    <row r="936">
      <c r="A936" s="79" t="n">
        <v>31017</v>
      </c>
      <c r="B936" t="n">
        <v>2529000</v>
      </c>
      <c r="C936" t="n">
        <v>401000</v>
      </c>
    </row>
    <row r="937">
      <c r="A937" s="79" t="n">
        <v>31024</v>
      </c>
      <c r="B937" t="n">
        <v>2589000</v>
      </c>
      <c r="C937" t="n">
        <v>383000</v>
      </c>
    </row>
    <row r="938">
      <c r="A938" s="79" t="n">
        <v>31031</v>
      </c>
      <c r="B938" t="n">
        <v>2594000</v>
      </c>
      <c r="C938" t="n">
        <v>386000</v>
      </c>
    </row>
    <row r="939">
      <c r="A939" s="79" t="n">
        <v>31038</v>
      </c>
      <c r="B939" t="n">
        <v>2487000</v>
      </c>
      <c r="C939" t="n">
        <v>379000</v>
      </c>
    </row>
    <row r="940">
      <c r="A940" s="79" t="n">
        <v>31045</v>
      </c>
      <c r="B940" t="n">
        <v>2536000</v>
      </c>
      <c r="C940" t="n">
        <v>379000</v>
      </c>
    </row>
    <row r="941">
      <c r="A941" s="79" t="n">
        <v>31052</v>
      </c>
      <c r="B941" t="n">
        <v>2593000</v>
      </c>
      <c r="C941" t="n">
        <v>369000</v>
      </c>
    </row>
    <row r="942">
      <c r="A942" s="79" t="n">
        <v>31059</v>
      </c>
      <c r="B942" t="n">
        <v>2543000</v>
      </c>
      <c r="C942" t="n">
        <v>387000</v>
      </c>
    </row>
    <row r="943">
      <c r="A943" s="79" t="n">
        <v>31066</v>
      </c>
      <c r="B943" t="n">
        <v>2472000</v>
      </c>
      <c r="C943" t="n">
        <v>359000</v>
      </c>
    </row>
    <row r="944">
      <c r="A944" s="79" t="n">
        <v>31073</v>
      </c>
      <c r="B944" t="n">
        <v>2601000</v>
      </c>
      <c r="C944" t="n">
        <v>368000</v>
      </c>
    </row>
    <row r="945">
      <c r="A945" s="79" t="n">
        <v>31080</v>
      </c>
      <c r="B945" t="n">
        <v>2632000</v>
      </c>
      <c r="C945" t="n">
        <v>386000</v>
      </c>
    </row>
    <row r="946">
      <c r="A946" s="79" t="n">
        <v>31087</v>
      </c>
      <c r="B946" t="n">
        <v>2608000</v>
      </c>
      <c r="C946" t="n">
        <v>401000</v>
      </c>
    </row>
    <row r="947">
      <c r="A947" s="79" t="n">
        <v>31094</v>
      </c>
      <c r="B947" t="n">
        <v>2613000</v>
      </c>
      <c r="C947" t="n">
        <v>390000</v>
      </c>
    </row>
    <row r="948">
      <c r="A948" s="79" t="n">
        <v>31101</v>
      </c>
      <c r="B948" t="n">
        <v>2641000</v>
      </c>
      <c r="C948" t="n">
        <v>390000</v>
      </c>
    </row>
    <row r="949">
      <c r="A949" s="79" t="n">
        <v>31108</v>
      </c>
      <c r="B949" t="n">
        <v>2571000</v>
      </c>
      <c r="C949" t="n">
        <v>374000</v>
      </c>
    </row>
    <row r="950">
      <c r="A950" s="79" t="n">
        <v>31115</v>
      </c>
      <c r="B950" t="n">
        <v>2591000</v>
      </c>
      <c r="C950" t="n">
        <v>385000</v>
      </c>
    </row>
    <row r="951">
      <c r="A951" s="79" t="n">
        <v>31122</v>
      </c>
      <c r="B951" t="n">
        <v>2578000</v>
      </c>
      <c r="C951" t="n">
        <v>386000</v>
      </c>
    </row>
    <row r="952">
      <c r="A952" s="79" t="n">
        <v>31129</v>
      </c>
      <c r="B952" t="n">
        <v>2556000</v>
      </c>
      <c r="C952" t="n">
        <v>373000</v>
      </c>
    </row>
    <row r="953">
      <c r="A953" s="79" t="n">
        <v>31136</v>
      </c>
      <c r="B953" t="n">
        <v>2526000</v>
      </c>
      <c r="C953" t="n">
        <v>386000</v>
      </c>
    </row>
    <row r="954">
      <c r="A954" s="79" t="n">
        <v>31143</v>
      </c>
      <c r="B954" t="n">
        <v>2569000</v>
      </c>
      <c r="C954" t="n">
        <v>405000</v>
      </c>
    </row>
    <row r="955">
      <c r="A955" s="79" t="n">
        <v>31150</v>
      </c>
      <c r="B955" t="n">
        <v>2600000</v>
      </c>
      <c r="C955" t="n">
        <v>411000</v>
      </c>
    </row>
    <row r="956">
      <c r="A956" s="79" t="n">
        <v>31157</v>
      </c>
      <c r="B956" t="n">
        <v>2584000</v>
      </c>
      <c r="C956" t="n">
        <v>391000</v>
      </c>
    </row>
    <row r="957">
      <c r="A957" s="79" t="n">
        <v>31164</v>
      </c>
      <c r="B957" t="n">
        <v>2562000</v>
      </c>
      <c r="C957" t="n">
        <v>386000</v>
      </c>
    </row>
    <row r="958">
      <c r="A958" s="79" t="n">
        <v>31171</v>
      </c>
      <c r="B958" t="n">
        <v>2582000</v>
      </c>
      <c r="C958" t="n">
        <v>390000</v>
      </c>
    </row>
    <row r="959">
      <c r="A959" s="79" t="n">
        <v>31178</v>
      </c>
      <c r="B959" t="n">
        <v>2569000</v>
      </c>
      <c r="C959" t="n">
        <v>394000</v>
      </c>
    </row>
    <row r="960">
      <c r="A960" s="79" t="n">
        <v>31185</v>
      </c>
      <c r="B960" t="n">
        <v>2547000</v>
      </c>
      <c r="C960" t="n">
        <v>391000</v>
      </c>
    </row>
    <row r="961">
      <c r="A961" s="79" t="n">
        <v>31192</v>
      </c>
      <c r="B961" t="n">
        <v>2545000</v>
      </c>
      <c r="C961" t="n">
        <v>396000</v>
      </c>
    </row>
    <row r="962">
      <c r="A962" s="79" t="n">
        <v>31199</v>
      </c>
      <c r="B962" t="n">
        <v>2591000</v>
      </c>
      <c r="C962" t="n">
        <v>393000</v>
      </c>
    </row>
    <row r="963">
      <c r="A963" s="79" t="n">
        <v>31206</v>
      </c>
      <c r="B963" t="n">
        <v>2564000</v>
      </c>
      <c r="C963" t="n">
        <v>403000</v>
      </c>
    </row>
    <row r="964">
      <c r="A964" s="79" t="n">
        <v>31213</v>
      </c>
      <c r="B964" t="n">
        <v>2549000</v>
      </c>
      <c r="C964" t="n">
        <v>390000</v>
      </c>
    </row>
    <row r="965">
      <c r="A965" s="79" t="n">
        <v>31220</v>
      </c>
      <c r="B965" t="n">
        <v>2550000</v>
      </c>
      <c r="C965" t="n">
        <v>386000</v>
      </c>
    </row>
    <row r="966">
      <c r="A966" s="79" t="n">
        <v>31227</v>
      </c>
      <c r="B966" t="n">
        <v>2505000</v>
      </c>
      <c r="C966" t="n">
        <v>390000</v>
      </c>
    </row>
    <row r="967">
      <c r="A967" s="79" t="n">
        <v>31234</v>
      </c>
      <c r="B967" t="n">
        <v>2609000</v>
      </c>
      <c r="C967" t="n">
        <v>395000</v>
      </c>
    </row>
    <row r="968">
      <c r="A968" s="79" t="n">
        <v>31241</v>
      </c>
      <c r="B968" t="n">
        <v>2519000</v>
      </c>
      <c r="C968" t="n">
        <v>386000</v>
      </c>
    </row>
    <row r="969">
      <c r="A969" s="79" t="n">
        <v>31248</v>
      </c>
      <c r="B969" t="n">
        <v>2520000</v>
      </c>
      <c r="C969" t="n">
        <v>370000</v>
      </c>
    </row>
    <row r="970">
      <c r="A970" s="79" t="n">
        <v>31255</v>
      </c>
      <c r="B970" t="n">
        <v>2522000</v>
      </c>
      <c r="C970" t="n">
        <v>362000</v>
      </c>
    </row>
    <row r="971">
      <c r="A971" s="79" t="n">
        <v>31262</v>
      </c>
      <c r="B971" t="n">
        <v>2518000</v>
      </c>
      <c r="C971" t="n">
        <v>407000</v>
      </c>
    </row>
    <row r="972">
      <c r="A972" s="79" t="n">
        <v>31269</v>
      </c>
      <c r="B972" t="n">
        <v>2565000</v>
      </c>
      <c r="C972" t="n">
        <v>402000</v>
      </c>
    </row>
    <row r="973">
      <c r="A973" s="79" t="n">
        <v>31276</v>
      </c>
      <c r="B973" t="n">
        <v>2574000</v>
      </c>
      <c r="C973" t="n">
        <v>399000</v>
      </c>
    </row>
    <row r="974">
      <c r="A974" s="79" t="n">
        <v>31283</v>
      </c>
      <c r="B974" t="n">
        <v>2561000</v>
      </c>
      <c r="C974" t="n">
        <v>405000</v>
      </c>
    </row>
    <row r="975">
      <c r="A975" s="79" t="n">
        <v>31290</v>
      </c>
      <c r="B975" t="n">
        <v>2595000</v>
      </c>
      <c r="C975" t="n">
        <v>409000</v>
      </c>
    </row>
    <row r="976">
      <c r="A976" s="79" t="n">
        <v>31297</v>
      </c>
      <c r="B976" t="n">
        <v>2596000</v>
      </c>
      <c r="C976" t="n">
        <v>426000</v>
      </c>
    </row>
    <row r="977">
      <c r="A977" s="79" t="n">
        <v>31304</v>
      </c>
      <c r="B977" t="n">
        <v>2590000</v>
      </c>
      <c r="C977" t="n">
        <v>408000</v>
      </c>
    </row>
    <row r="978">
      <c r="A978" s="79" t="n">
        <v>31311</v>
      </c>
      <c r="B978" t="n">
        <v>2513000</v>
      </c>
      <c r="C978" t="n">
        <v>401000</v>
      </c>
    </row>
    <row r="979">
      <c r="A979" s="79" t="n">
        <v>31318</v>
      </c>
      <c r="B979" t="n">
        <v>2623000</v>
      </c>
      <c r="C979" t="n">
        <v>399000</v>
      </c>
    </row>
    <row r="980">
      <c r="A980" s="79" t="n">
        <v>31325</v>
      </c>
      <c r="B980" t="n">
        <v>2657000</v>
      </c>
      <c r="C980" t="n">
        <v>405000</v>
      </c>
    </row>
    <row r="981">
      <c r="A981" s="79" t="n">
        <v>31332</v>
      </c>
      <c r="B981" t="n">
        <v>2569000</v>
      </c>
      <c r="C981" t="n">
        <v>400000</v>
      </c>
    </row>
    <row r="982">
      <c r="A982" s="79" t="n">
        <v>31339</v>
      </c>
      <c r="B982" t="n">
        <v>2644000</v>
      </c>
      <c r="C982" t="n">
        <v>400000</v>
      </c>
    </row>
    <row r="983">
      <c r="A983" s="79" t="n">
        <v>31346</v>
      </c>
      <c r="B983" t="n">
        <v>2657000</v>
      </c>
      <c r="C983" t="n">
        <v>418000</v>
      </c>
    </row>
    <row r="984">
      <c r="A984" s="79" t="n">
        <v>31353</v>
      </c>
      <c r="B984" t="n">
        <v>2673000</v>
      </c>
      <c r="C984" t="n">
        <v>398000</v>
      </c>
    </row>
    <row r="985">
      <c r="A985" s="79" t="n">
        <v>31360</v>
      </c>
      <c r="B985" t="n">
        <v>2612000</v>
      </c>
      <c r="C985" t="n">
        <v>397000</v>
      </c>
    </row>
    <row r="986">
      <c r="A986" s="79" t="n">
        <v>31367</v>
      </c>
      <c r="B986" t="n">
        <v>2618000</v>
      </c>
      <c r="C986" t="n">
        <v>397000</v>
      </c>
    </row>
    <row r="987">
      <c r="A987" s="79" t="n">
        <v>31374</v>
      </c>
      <c r="B987" t="n">
        <v>2585000</v>
      </c>
      <c r="C987" t="n">
        <v>382000</v>
      </c>
    </row>
    <row r="988">
      <c r="A988" s="79" t="n">
        <v>31381</v>
      </c>
      <c r="B988" t="n">
        <v>2638000</v>
      </c>
      <c r="C988" t="n">
        <v>393000</v>
      </c>
    </row>
    <row r="989">
      <c r="A989" s="79" t="n">
        <v>31388</v>
      </c>
      <c r="B989" t="n">
        <v>2744000</v>
      </c>
      <c r="C989" t="n">
        <v>399000</v>
      </c>
    </row>
    <row r="990">
      <c r="A990" s="79" t="n">
        <v>31395</v>
      </c>
      <c r="B990" t="n">
        <v>2680000</v>
      </c>
      <c r="C990" t="n">
        <v>382000</v>
      </c>
    </row>
    <row r="991">
      <c r="A991" s="79" t="n">
        <v>31402</v>
      </c>
      <c r="B991" t="n">
        <v>2543000</v>
      </c>
      <c r="C991" t="n">
        <v>370000</v>
      </c>
    </row>
    <row r="992">
      <c r="A992" s="79" t="n">
        <v>31409</v>
      </c>
      <c r="B992" t="n">
        <v>2608000</v>
      </c>
      <c r="C992" t="n">
        <v>390000</v>
      </c>
    </row>
    <row r="993">
      <c r="A993" s="79" t="n">
        <v>31416</v>
      </c>
      <c r="B993" t="n">
        <v>2694000</v>
      </c>
      <c r="C993" t="n">
        <v>362000</v>
      </c>
    </row>
    <row r="994">
      <c r="A994" s="79" t="n">
        <v>31423</v>
      </c>
      <c r="B994" t="n">
        <v>2636000</v>
      </c>
      <c r="C994" t="n">
        <v>397000</v>
      </c>
    </row>
    <row r="995">
      <c r="A995" s="79" t="n">
        <v>31430</v>
      </c>
      <c r="B995" t="n">
        <v>2516000</v>
      </c>
      <c r="C995" t="n">
        <v>364000</v>
      </c>
    </row>
    <row r="996">
      <c r="A996" s="79" t="n">
        <v>31437</v>
      </c>
      <c r="B996" t="n">
        <v>2570000</v>
      </c>
      <c r="C996" t="n">
        <v>344000</v>
      </c>
    </row>
    <row r="997">
      <c r="A997" s="79" t="n">
        <v>31444</v>
      </c>
      <c r="B997" t="n">
        <v>2531000</v>
      </c>
      <c r="C997" t="n">
        <v>364000</v>
      </c>
    </row>
    <row r="998">
      <c r="A998" s="79" t="n">
        <v>31451</v>
      </c>
      <c r="B998" t="n">
        <v>2548000</v>
      </c>
      <c r="C998" t="n">
        <v>366000</v>
      </c>
    </row>
    <row r="999">
      <c r="A999" s="79" t="n">
        <v>31458</v>
      </c>
      <c r="B999" t="n">
        <v>2569000</v>
      </c>
      <c r="C999" t="n">
        <v>358000</v>
      </c>
    </row>
    <row r="1000">
      <c r="A1000" s="79" t="n">
        <v>31465</v>
      </c>
      <c r="B1000" t="n">
        <v>2626000</v>
      </c>
      <c r="C1000" t="n">
        <v>390000</v>
      </c>
    </row>
    <row r="1001">
      <c r="A1001" s="79" t="n">
        <v>31472</v>
      </c>
      <c r="B1001" t="n">
        <v>2570000</v>
      </c>
      <c r="C1001" t="n">
        <v>375000</v>
      </c>
    </row>
    <row r="1002">
      <c r="A1002" s="79" t="n">
        <v>31479</v>
      </c>
      <c r="B1002" t="n">
        <v>2603000</v>
      </c>
      <c r="C1002" t="n">
        <v>366000</v>
      </c>
    </row>
    <row r="1003">
      <c r="A1003" s="79" t="n">
        <v>31486</v>
      </c>
      <c r="B1003" t="n">
        <v>2589000</v>
      </c>
      <c r="C1003" t="n">
        <v>382000</v>
      </c>
    </row>
    <row r="1004">
      <c r="A1004" s="79" t="n">
        <v>31493</v>
      </c>
      <c r="B1004" t="n">
        <v>2592000</v>
      </c>
      <c r="C1004" t="n">
        <v>387000</v>
      </c>
    </row>
    <row r="1005">
      <c r="A1005" s="79" t="n">
        <v>31500</v>
      </c>
      <c r="B1005" t="n">
        <v>2614000</v>
      </c>
      <c r="C1005" t="n">
        <v>396000</v>
      </c>
    </row>
    <row r="1006">
      <c r="A1006" s="79" t="n">
        <v>31507</v>
      </c>
      <c r="B1006" t="n">
        <v>2625000</v>
      </c>
      <c r="C1006" t="n">
        <v>381000</v>
      </c>
    </row>
    <row r="1007">
      <c r="A1007" s="79" t="n">
        <v>31514</v>
      </c>
      <c r="B1007" t="n">
        <v>2570000</v>
      </c>
      <c r="C1007" t="n">
        <v>388000</v>
      </c>
    </row>
    <row r="1008">
      <c r="A1008" s="79" t="n">
        <v>31521</v>
      </c>
      <c r="B1008" t="n">
        <v>2613000</v>
      </c>
      <c r="C1008" t="n">
        <v>383000</v>
      </c>
    </row>
    <row r="1009">
      <c r="A1009" s="79" t="n">
        <v>31528</v>
      </c>
      <c r="B1009" t="n">
        <v>2627000</v>
      </c>
      <c r="C1009" t="n">
        <v>391000</v>
      </c>
    </row>
    <row r="1010">
      <c r="A1010" s="79" t="n">
        <v>31535</v>
      </c>
      <c r="B1010" t="n">
        <v>2670000</v>
      </c>
      <c r="C1010" t="n">
        <v>392000</v>
      </c>
    </row>
    <row r="1011">
      <c r="A1011" s="79" t="n">
        <v>31542</v>
      </c>
      <c r="B1011" t="n">
        <v>2670000</v>
      </c>
      <c r="C1011" t="n">
        <v>395000</v>
      </c>
    </row>
    <row r="1012">
      <c r="A1012" s="79" t="n">
        <v>31549</v>
      </c>
      <c r="B1012" t="n">
        <v>2669000</v>
      </c>
      <c r="C1012" t="n">
        <v>384000</v>
      </c>
    </row>
    <row r="1013">
      <c r="A1013" s="79" t="n">
        <v>31556</v>
      </c>
      <c r="B1013" t="n">
        <v>2638000</v>
      </c>
      <c r="C1013" t="n">
        <v>386000</v>
      </c>
    </row>
    <row r="1014">
      <c r="A1014" s="79" t="n">
        <v>31563</v>
      </c>
      <c r="B1014" t="n">
        <v>2708000</v>
      </c>
      <c r="C1014" t="n">
        <v>373000</v>
      </c>
    </row>
    <row r="1015">
      <c r="A1015" s="79" t="n">
        <v>31570</v>
      </c>
      <c r="B1015" t="n">
        <v>2653000</v>
      </c>
      <c r="C1015" t="n">
        <v>375000</v>
      </c>
    </row>
    <row r="1016">
      <c r="A1016" s="79" t="n">
        <v>31577</v>
      </c>
      <c r="B1016" t="n">
        <v>2644000</v>
      </c>
      <c r="C1016" t="n">
        <v>369000</v>
      </c>
    </row>
    <row r="1017">
      <c r="A1017" s="79" t="n">
        <v>31584</v>
      </c>
      <c r="B1017" t="n">
        <v>2637000</v>
      </c>
      <c r="C1017" t="n">
        <v>367000</v>
      </c>
    </row>
    <row r="1018">
      <c r="A1018" s="79" t="n">
        <v>31591</v>
      </c>
      <c r="B1018" t="n">
        <v>2606000</v>
      </c>
      <c r="C1018" t="n">
        <v>371000</v>
      </c>
    </row>
    <row r="1019">
      <c r="A1019" s="79" t="n">
        <v>31598</v>
      </c>
      <c r="B1019" t="n">
        <v>2669000</v>
      </c>
      <c r="C1019" t="n">
        <v>371000</v>
      </c>
    </row>
    <row r="1020">
      <c r="A1020" s="79" t="n">
        <v>31605</v>
      </c>
      <c r="B1020" t="n">
        <v>2552000</v>
      </c>
      <c r="C1020" t="n">
        <v>361000</v>
      </c>
    </row>
    <row r="1021">
      <c r="A1021" s="79" t="n">
        <v>31612</v>
      </c>
      <c r="B1021" t="n">
        <v>2593000</v>
      </c>
      <c r="C1021" t="n">
        <v>354000</v>
      </c>
    </row>
    <row r="1022">
      <c r="A1022" s="79" t="n">
        <v>31619</v>
      </c>
      <c r="B1022" t="n">
        <v>2618000</v>
      </c>
      <c r="C1022" t="n">
        <v>362000</v>
      </c>
    </row>
    <row r="1023">
      <c r="A1023" s="79" t="n">
        <v>31626</v>
      </c>
      <c r="B1023" t="n">
        <v>2583000</v>
      </c>
      <c r="C1023" t="n">
        <v>416000</v>
      </c>
    </row>
    <row r="1024">
      <c r="A1024" s="79" t="n">
        <v>31633</v>
      </c>
      <c r="B1024" t="n">
        <v>2686000</v>
      </c>
      <c r="C1024" t="n">
        <v>416000</v>
      </c>
    </row>
    <row r="1025">
      <c r="A1025" s="79" t="n">
        <v>31640</v>
      </c>
      <c r="B1025" t="n">
        <v>2658000</v>
      </c>
      <c r="C1025" t="n">
        <v>407000</v>
      </c>
    </row>
    <row r="1026">
      <c r="A1026" s="79" t="n">
        <v>31647</v>
      </c>
      <c r="B1026" t="n">
        <v>2687000</v>
      </c>
      <c r="C1026" t="n">
        <v>397000</v>
      </c>
    </row>
    <row r="1027">
      <c r="A1027" s="79" t="n">
        <v>31654</v>
      </c>
      <c r="B1027" t="n">
        <v>2664000</v>
      </c>
      <c r="C1027" t="n">
        <v>401000</v>
      </c>
    </row>
    <row r="1028">
      <c r="A1028" s="79" t="n">
        <v>31661</v>
      </c>
      <c r="B1028" t="n">
        <v>2756000</v>
      </c>
      <c r="C1028" t="n">
        <v>400000</v>
      </c>
    </row>
    <row r="1029">
      <c r="A1029" s="79" t="n">
        <v>31668</v>
      </c>
      <c r="B1029" t="n">
        <v>2671000</v>
      </c>
      <c r="C1029" t="n">
        <v>394000</v>
      </c>
    </row>
    <row r="1030">
      <c r="A1030" s="79" t="n">
        <v>31675</v>
      </c>
      <c r="B1030" t="n">
        <v>2703000</v>
      </c>
      <c r="C1030" t="n">
        <v>399000</v>
      </c>
    </row>
    <row r="1031">
      <c r="A1031" s="79" t="n">
        <v>31682</v>
      </c>
      <c r="B1031" t="n">
        <v>2698000</v>
      </c>
      <c r="C1031" t="n">
        <v>389000</v>
      </c>
    </row>
    <row r="1032">
      <c r="A1032" s="79" t="n">
        <v>31689</v>
      </c>
      <c r="B1032" t="n">
        <v>2780000</v>
      </c>
      <c r="C1032" t="n">
        <v>391000</v>
      </c>
    </row>
    <row r="1033">
      <c r="A1033" s="79" t="n">
        <v>31696</v>
      </c>
      <c r="B1033" t="n">
        <v>2665000</v>
      </c>
      <c r="C1033" t="n">
        <v>387000</v>
      </c>
    </row>
    <row r="1034">
      <c r="A1034" s="79" t="n">
        <v>31703</v>
      </c>
      <c r="B1034" t="n">
        <v>2723000</v>
      </c>
      <c r="C1034" t="n">
        <v>385000</v>
      </c>
    </row>
    <row r="1035">
      <c r="A1035" s="79" t="n">
        <v>31710</v>
      </c>
      <c r="B1035" t="n">
        <v>2707000</v>
      </c>
      <c r="C1035" t="n">
        <v>370000</v>
      </c>
    </row>
    <row r="1036">
      <c r="A1036" s="79" t="n">
        <v>31717</v>
      </c>
      <c r="B1036" t="n">
        <v>2646000</v>
      </c>
      <c r="C1036" t="n">
        <v>364000</v>
      </c>
    </row>
    <row r="1037">
      <c r="A1037" s="79" t="n">
        <v>31724</v>
      </c>
      <c r="B1037" t="n">
        <v>2614000</v>
      </c>
      <c r="C1037" t="n">
        <v>349000</v>
      </c>
    </row>
    <row r="1038">
      <c r="A1038" s="79" t="n">
        <v>31731</v>
      </c>
      <c r="B1038" t="n">
        <v>2653000</v>
      </c>
      <c r="C1038" t="n">
        <v>368000</v>
      </c>
    </row>
    <row r="1039">
      <c r="A1039" s="79" t="n">
        <v>31738</v>
      </c>
      <c r="B1039" t="n">
        <v>2555000</v>
      </c>
      <c r="C1039" t="n">
        <v>369000</v>
      </c>
    </row>
    <row r="1040">
      <c r="A1040" s="79" t="n">
        <v>31745</v>
      </c>
      <c r="B1040" t="n">
        <v>2686000</v>
      </c>
      <c r="C1040" t="n">
        <v>366000</v>
      </c>
    </row>
    <row r="1041">
      <c r="A1041" s="79" t="n">
        <v>31752</v>
      </c>
      <c r="B1041" t="n">
        <v>2634000</v>
      </c>
      <c r="C1041" t="n">
        <v>363000</v>
      </c>
    </row>
    <row r="1042">
      <c r="A1042" s="79" t="n">
        <v>31759</v>
      </c>
      <c r="B1042" t="n">
        <v>2587000</v>
      </c>
      <c r="C1042" t="n">
        <v>375000</v>
      </c>
    </row>
    <row r="1043">
      <c r="A1043" s="79" t="n">
        <v>31766</v>
      </c>
      <c r="B1043" t="n">
        <v>2499000</v>
      </c>
      <c r="C1043" t="n">
        <v>350000</v>
      </c>
    </row>
    <row r="1044">
      <c r="A1044" s="79" t="n">
        <v>31773</v>
      </c>
      <c r="B1044" t="n">
        <v>2565000</v>
      </c>
      <c r="C1044" t="n">
        <v>345000</v>
      </c>
    </row>
    <row r="1045">
      <c r="A1045" s="79" t="n">
        <v>31780</v>
      </c>
      <c r="B1045" t="n">
        <v>2590000</v>
      </c>
      <c r="C1045" t="n">
        <v>323000</v>
      </c>
    </row>
    <row r="1046">
      <c r="A1046" s="79" t="n">
        <v>31787</v>
      </c>
      <c r="B1046" t="n">
        <v>2508000</v>
      </c>
      <c r="C1046" t="n">
        <v>348000</v>
      </c>
    </row>
    <row r="1047">
      <c r="A1047" s="79" t="n">
        <v>31794</v>
      </c>
      <c r="B1047" t="n">
        <v>2443000</v>
      </c>
      <c r="C1047" t="n">
        <v>341000</v>
      </c>
    </row>
    <row r="1048">
      <c r="A1048" s="79" t="n">
        <v>31801</v>
      </c>
      <c r="B1048" t="n">
        <v>2506000</v>
      </c>
      <c r="C1048" t="n">
        <v>346000</v>
      </c>
    </row>
    <row r="1049">
      <c r="A1049" s="79" t="n">
        <v>31808</v>
      </c>
      <c r="B1049" t="n">
        <v>2515000</v>
      </c>
      <c r="C1049" t="n">
        <v>370000</v>
      </c>
    </row>
    <row r="1050">
      <c r="A1050" s="79" t="n">
        <v>31815</v>
      </c>
      <c r="B1050" t="n">
        <v>2496000</v>
      </c>
      <c r="C1050" t="n">
        <v>368000</v>
      </c>
    </row>
    <row r="1051">
      <c r="A1051" s="79" t="n">
        <v>31822</v>
      </c>
      <c r="B1051" t="n">
        <v>2451000</v>
      </c>
      <c r="C1051" t="n">
        <v>338000</v>
      </c>
    </row>
    <row r="1052">
      <c r="A1052" s="79" t="n">
        <v>31829</v>
      </c>
      <c r="B1052" t="n">
        <v>2481000</v>
      </c>
      <c r="C1052" t="n">
        <v>341000</v>
      </c>
    </row>
    <row r="1053">
      <c r="A1053" s="79" t="n">
        <v>31836</v>
      </c>
      <c r="B1053" t="n">
        <v>2460000</v>
      </c>
      <c r="C1053" t="n">
        <v>348000</v>
      </c>
    </row>
    <row r="1054">
      <c r="A1054" s="79" t="n">
        <v>31843</v>
      </c>
      <c r="B1054" t="n">
        <v>2456000</v>
      </c>
      <c r="C1054" t="n">
        <v>337000</v>
      </c>
    </row>
    <row r="1055">
      <c r="A1055" s="79" t="n">
        <v>31850</v>
      </c>
      <c r="B1055" t="n">
        <v>2450000</v>
      </c>
      <c r="C1055" t="n">
        <v>335000</v>
      </c>
    </row>
    <row r="1056">
      <c r="A1056" s="79" t="n">
        <v>31857</v>
      </c>
      <c r="B1056" t="n">
        <v>2401000</v>
      </c>
      <c r="C1056" t="n">
        <v>335000</v>
      </c>
    </row>
    <row r="1057">
      <c r="A1057" s="79" t="n">
        <v>31864</v>
      </c>
      <c r="B1057" t="n">
        <v>2410000</v>
      </c>
      <c r="C1057" t="n">
        <v>326000</v>
      </c>
    </row>
    <row r="1058">
      <c r="A1058" s="79" t="n">
        <v>31871</v>
      </c>
      <c r="B1058" t="n">
        <v>2482000</v>
      </c>
      <c r="C1058" t="n">
        <v>330000</v>
      </c>
    </row>
    <row r="1059">
      <c r="A1059" s="79" t="n">
        <v>31878</v>
      </c>
      <c r="B1059" t="n">
        <v>2366000</v>
      </c>
      <c r="C1059" t="n">
        <v>338000</v>
      </c>
    </row>
    <row r="1060">
      <c r="A1060" s="79" t="n">
        <v>31885</v>
      </c>
      <c r="B1060" t="n">
        <v>2410000</v>
      </c>
      <c r="C1060" t="n">
        <v>349000</v>
      </c>
    </row>
    <row r="1061">
      <c r="A1061" s="79" t="n">
        <v>31892</v>
      </c>
      <c r="B1061" t="n">
        <v>2386000</v>
      </c>
      <c r="C1061" t="n">
        <v>328000</v>
      </c>
    </row>
    <row r="1062">
      <c r="A1062" s="79" t="n">
        <v>31899</v>
      </c>
      <c r="B1062" t="n">
        <v>2302000</v>
      </c>
      <c r="C1062" t="n">
        <v>330000</v>
      </c>
    </row>
    <row r="1063">
      <c r="A1063" s="79" t="n">
        <v>31906</v>
      </c>
      <c r="B1063" t="n">
        <v>2347000</v>
      </c>
      <c r="C1063" t="n">
        <v>315000</v>
      </c>
    </row>
    <row r="1064">
      <c r="A1064" s="79" t="n">
        <v>31913</v>
      </c>
      <c r="B1064" t="n">
        <v>2326000</v>
      </c>
      <c r="C1064" t="n">
        <v>341000</v>
      </c>
    </row>
    <row r="1065">
      <c r="A1065" s="79" t="n">
        <v>31920</v>
      </c>
      <c r="B1065" t="n">
        <v>2275000</v>
      </c>
      <c r="C1065" t="n">
        <v>343000</v>
      </c>
    </row>
    <row r="1066">
      <c r="A1066" s="79" t="n">
        <v>31927</v>
      </c>
      <c r="B1066" t="n">
        <v>2370000</v>
      </c>
      <c r="C1066" t="n">
        <v>326000</v>
      </c>
    </row>
    <row r="1067">
      <c r="A1067" s="79" t="n">
        <v>31934</v>
      </c>
      <c r="B1067" t="n">
        <v>2259000</v>
      </c>
      <c r="C1067" t="n">
        <v>328000</v>
      </c>
    </row>
    <row r="1068">
      <c r="A1068" s="79" t="n">
        <v>31941</v>
      </c>
      <c r="B1068" t="n">
        <v>2278000</v>
      </c>
      <c r="C1068" t="n">
        <v>316000</v>
      </c>
    </row>
    <row r="1069">
      <c r="A1069" s="79" t="n">
        <v>31948</v>
      </c>
      <c r="B1069" t="n">
        <v>2258000</v>
      </c>
      <c r="C1069" t="n">
        <v>319000</v>
      </c>
    </row>
    <row r="1070">
      <c r="A1070" s="79" t="n">
        <v>31955</v>
      </c>
      <c r="B1070" t="n">
        <v>2321000</v>
      </c>
      <c r="C1070" t="n">
        <v>326000</v>
      </c>
    </row>
    <row r="1071">
      <c r="A1071" s="79" t="n">
        <v>31962</v>
      </c>
      <c r="B1071" t="n">
        <v>2173000</v>
      </c>
      <c r="C1071" t="n">
        <v>326000</v>
      </c>
    </row>
    <row r="1072">
      <c r="A1072" s="79" t="n">
        <v>31969</v>
      </c>
      <c r="B1072" t="n">
        <v>2155000</v>
      </c>
      <c r="C1072" t="n">
        <v>317000</v>
      </c>
    </row>
    <row r="1073">
      <c r="A1073" s="79" t="n">
        <v>31976</v>
      </c>
      <c r="B1073" t="n">
        <v>2211000</v>
      </c>
      <c r="C1073" t="n">
        <v>310000</v>
      </c>
    </row>
    <row r="1074">
      <c r="A1074" s="79" t="n">
        <v>31983</v>
      </c>
      <c r="B1074" t="n">
        <v>2247000</v>
      </c>
      <c r="C1074" t="n">
        <v>324000</v>
      </c>
    </row>
    <row r="1075">
      <c r="A1075" s="79" t="n">
        <v>31990</v>
      </c>
      <c r="B1075" t="n">
        <v>2232000</v>
      </c>
      <c r="C1075" t="n">
        <v>348000</v>
      </c>
    </row>
    <row r="1076">
      <c r="A1076" s="79" t="n">
        <v>31997</v>
      </c>
      <c r="B1076" t="n">
        <v>2263000</v>
      </c>
      <c r="C1076" t="n">
        <v>327000</v>
      </c>
    </row>
    <row r="1077">
      <c r="A1077" s="79" t="n">
        <v>32004</v>
      </c>
      <c r="B1077" t="n">
        <v>2194000</v>
      </c>
      <c r="C1077" t="n">
        <v>319000</v>
      </c>
    </row>
    <row r="1078">
      <c r="A1078" s="79" t="n">
        <v>32011</v>
      </c>
      <c r="B1078" t="n">
        <v>2190000</v>
      </c>
      <c r="C1078" t="n">
        <v>312000</v>
      </c>
    </row>
    <row r="1079">
      <c r="A1079" s="79" t="n">
        <v>32018</v>
      </c>
      <c r="B1079" t="n">
        <v>2179000</v>
      </c>
      <c r="C1079" t="n">
        <v>322000</v>
      </c>
    </row>
    <row r="1080">
      <c r="A1080" s="79" t="n">
        <v>32025</v>
      </c>
      <c r="B1080" t="n">
        <v>2125000</v>
      </c>
      <c r="C1080" t="n">
        <v>316000</v>
      </c>
    </row>
    <row r="1081">
      <c r="A1081" s="79" t="n">
        <v>32032</v>
      </c>
      <c r="B1081" t="n">
        <v>2172000</v>
      </c>
      <c r="C1081" t="n">
        <v>297000</v>
      </c>
    </row>
    <row r="1082">
      <c r="A1082" s="79" t="n">
        <v>32039</v>
      </c>
      <c r="B1082" t="n">
        <v>2351000</v>
      </c>
      <c r="C1082" t="n">
        <v>309000</v>
      </c>
    </row>
    <row r="1083">
      <c r="A1083" s="79" t="n">
        <v>32046</v>
      </c>
      <c r="B1083" t="n">
        <v>2139000</v>
      </c>
      <c r="C1083" t="n">
        <v>317000</v>
      </c>
    </row>
    <row r="1084">
      <c r="A1084" s="79" t="n">
        <v>32053</v>
      </c>
      <c r="B1084" t="n">
        <v>2151000</v>
      </c>
      <c r="C1084" t="n">
        <v>301000</v>
      </c>
    </row>
    <row r="1085">
      <c r="A1085" s="79" t="n">
        <v>32060</v>
      </c>
      <c r="B1085" t="n">
        <v>2101000</v>
      </c>
      <c r="C1085" t="n">
        <v>308000</v>
      </c>
    </row>
    <row r="1086">
      <c r="A1086" s="79" t="n">
        <v>32067</v>
      </c>
      <c r="B1086" t="n">
        <v>2074000</v>
      </c>
      <c r="C1086" t="n">
        <v>301000</v>
      </c>
    </row>
    <row r="1087">
      <c r="A1087" s="79" t="n">
        <v>32074</v>
      </c>
      <c r="B1087" t="n">
        <v>1966000</v>
      </c>
      <c r="C1087" t="n">
        <v>301000</v>
      </c>
    </row>
    <row r="1088">
      <c r="A1088" s="79" t="n">
        <v>32081</v>
      </c>
      <c r="B1088" t="n">
        <v>1942000</v>
      </c>
      <c r="C1088" t="n">
        <v>289000</v>
      </c>
    </row>
    <row r="1089">
      <c r="A1089" s="79" t="n">
        <v>32088</v>
      </c>
      <c r="B1089" t="n">
        <v>2054000</v>
      </c>
      <c r="C1089" t="n">
        <v>297000</v>
      </c>
    </row>
    <row r="1090">
      <c r="A1090" s="79" t="n">
        <v>32095</v>
      </c>
      <c r="B1090" t="n">
        <v>2109000</v>
      </c>
      <c r="C1090" t="n">
        <v>307000</v>
      </c>
    </row>
    <row r="1091">
      <c r="A1091" s="79" t="n">
        <v>32102</v>
      </c>
      <c r="B1091" t="n">
        <v>2064000</v>
      </c>
      <c r="C1091" t="n">
        <v>317000</v>
      </c>
    </row>
    <row r="1092">
      <c r="A1092" s="79" t="n">
        <v>32109</v>
      </c>
      <c r="B1092" t="n">
        <v>2102000</v>
      </c>
      <c r="C1092" t="n">
        <v>306000</v>
      </c>
    </row>
    <row r="1093">
      <c r="A1093" s="79" t="n">
        <v>32116</v>
      </c>
      <c r="B1093" t="n">
        <v>2125000</v>
      </c>
      <c r="C1093" t="n">
        <v>319000</v>
      </c>
    </row>
    <row r="1094">
      <c r="A1094" s="79" t="n">
        <v>32123</v>
      </c>
      <c r="B1094" t="n">
        <v>2092000</v>
      </c>
      <c r="C1094" t="n">
        <v>317000</v>
      </c>
    </row>
    <row r="1095">
      <c r="A1095" s="79" t="n">
        <v>32130</v>
      </c>
      <c r="B1095" t="n">
        <v>2105000</v>
      </c>
      <c r="C1095" t="n">
        <v>323000</v>
      </c>
    </row>
    <row r="1096">
      <c r="A1096" s="79" t="n">
        <v>32137</v>
      </c>
      <c r="B1096" t="n">
        <v>2140000</v>
      </c>
      <c r="C1096" t="n">
        <v>316000</v>
      </c>
    </row>
    <row r="1097">
      <c r="A1097" s="79" t="n">
        <v>32144</v>
      </c>
      <c r="B1097" t="n">
        <v>2096000</v>
      </c>
      <c r="C1097" t="n">
        <v>315000</v>
      </c>
    </row>
    <row r="1098">
      <c r="A1098" s="79" t="n">
        <v>32151</v>
      </c>
      <c r="B1098" t="n">
        <v>2231000</v>
      </c>
      <c r="C1098" t="n">
        <v>325000</v>
      </c>
    </row>
    <row r="1099">
      <c r="A1099" s="79" t="n">
        <v>32158</v>
      </c>
      <c r="B1099" t="n">
        <v>2186000</v>
      </c>
      <c r="C1099" t="n">
        <v>361000</v>
      </c>
    </row>
    <row r="1100">
      <c r="A1100" s="79" t="n">
        <v>32165</v>
      </c>
      <c r="B1100" t="n">
        <v>2214000</v>
      </c>
      <c r="C1100" t="n">
        <v>335000</v>
      </c>
    </row>
    <row r="1101">
      <c r="A1101" s="79" t="n">
        <v>32172</v>
      </c>
      <c r="B1101" t="n">
        <v>2213000</v>
      </c>
      <c r="C1101" t="n">
        <v>342000</v>
      </c>
    </row>
    <row r="1102">
      <c r="A1102" s="79" t="n">
        <v>32179</v>
      </c>
      <c r="B1102" t="n">
        <v>2180000</v>
      </c>
      <c r="C1102" t="n">
        <v>318000</v>
      </c>
    </row>
    <row r="1103">
      <c r="A1103" s="79" t="n">
        <v>32186</v>
      </c>
      <c r="B1103" t="n">
        <v>2184000</v>
      </c>
      <c r="C1103" t="n">
        <v>311000</v>
      </c>
    </row>
    <row r="1104">
      <c r="A1104" s="79" t="n">
        <v>32193</v>
      </c>
      <c r="B1104" t="n">
        <v>2091000</v>
      </c>
      <c r="C1104" t="n">
        <v>327000</v>
      </c>
    </row>
    <row r="1105">
      <c r="A1105" s="79" t="n">
        <v>32200</v>
      </c>
      <c r="B1105" t="n">
        <v>2111000</v>
      </c>
      <c r="C1105" t="n">
        <v>319000</v>
      </c>
    </row>
    <row r="1106">
      <c r="A1106" s="79" t="n">
        <v>32207</v>
      </c>
      <c r="B1106" t="n">
        <v>2147000</v>
      </c>
      <c r="C1106" t="n">
        <v>307000</v>
      </c>
    </row>
    <row r="1107">
      <c r="A1107" s="79" t="n">
        <v>32214</v>
      </c>
      <c r="B1107" t="n">
        <v>2112000</v>
      </c>
      <c r="C1107" t="n">
        <v>304000</v>
      </c>
    </row>
    <row r="1108">
      <c r="A1108" s="79" t="n">
        <v>32221</v>
      </c>
      <c r="B1108" t="n">
        <v>2112000</v>
      </c>
      <c r="C1108" t="n">
        <v>307000</v>
      </c>
    </row>
    <row r="1109">
      <c r="A1109" s="79" t="n">
        <v>32228</v>
      </c>
      <c r="B1109" t="n">
        <v>2077000</v>
      </c>
      <c r="C1109" t="n">
        <v>304000</v>
      </c>
    </row>
    <row r="1110">
      <c r="A1110" s="79" t="n">
        <v>32235</v>
      </c>
      <c r="B1110" t="n">
        <v>2086000</v>
      </c>
      <c r="C1110" t="n">
        <v>309000</v>
      </c>
    </row>
    <row r="1111">
      <c r="A1111" s="79" t="n">
        <v>32242</v>
      </c>
      <c r="B1111" t="n">
        <v>2104000</v>
      </c>
      <c r="C1111" t="n">
        <v>313000</v>
      </c>
    </row>
    <row r="1112">
      <c r="A1112" s="79" t="n">
        <v>32249</v>
      </c>
      <c r="B1112" t="n">
        <v>2072000</v>
      </c>
      <c r="C1112" t="n">
        <v>314000</v>
      </c>
    </row>
    <row r="1113">
      <c r="A1113" s="79" t="n">
        <v>32256</v>
      </c>
      <c r="B1113" t="n">
        <v>2067000</v>
      </c>
      <c r="C1113" t="n">
        <v>312000</v>
      </c>
    </row>
    <row r="1114">
      <c r="A1114" s="79" t="n">
        <v>32263</v>
      </c>
      <c r="B1114" t="n">
        <v>2077000</v>
      </c>
      <c r="C1114" t="n">
        <v>313000</v>
      </c>
    </row>
    <row r="1115">
      <c r="A1115" s="79" t="n">
        <v>32270</v>
      </c>
      <c r="B1115" t="n">
        <v>2059000</v>
      </c>
      <c r="C1115" t="n">
        <v>309000</v>
      </c>
    </row>
    <row r="1116">
      <c r="A1116" s="79" t="n">
        <v>32277</v>
      </c>
      <c r="B1116" t="n">
        <v>2068000</v>
      </c>
      <c r="C1116" t="n">
        <v>314000</v>
      </c>
    </row>
    <row r="1117">
      <c r="A1117" s="79" t="n">
        <v>32284</v>
      </c>
      <c r="B1117" t="n">
        <v>2099000</v>
      </c>
      <c r="C1117" t="n">
        <v>319000</v>
      </c>
    </row>
    <row r="1118">
      <c r="A1118" s="79" t="n">
        <v>32291</v>
      </c>
      <c r="B1118" t="n">
        <v>2045000</v>
      </c>
      <c r="C1118" t="n">
        <v>313000</v>
      </c>
    </row>
    <row r="1119">
      <c r="A1119" s="79" t="n">
        <v>32298</v>
      </c>
      <c r="B1119" t="n">
        <v>2040000</v>
      </c>
      <c r="C1119" t="n">
        <v>310000</v>
      </c>
    </row>
    <row r="1120">
      <c r="A1120" s="79" t="n">
        <v>32305</v>
      </c>
      <c r="B1120" t="n">
        <v>2068000</v>
      </c>
      <c r="C1120" t="n">
        <v>305000</v>
      </c>
    </row>
    <row r="1121">
      <c r="A1121" s="79" t="n">
        <v>32312</v>
      </c>
      <c r="B1121" t="n">
        <v>2034000</v>
      </c>
      <c r="C1121" t="n">
        <v>311000</v>
      </c>
    </row>
    <row r="1122">
      <c r="A1122" s="79" t="n">
        <v>32319</v>
      </c>
      <c r="B1122" t="n">
        <v>2030000</v>
      </c>
      <c r="C1122" t="n">
        <v>307000</v>
      </c>
    </row>
    <row r="1123">
      <c r="A1123" s="79" t="n">
        <v>32326</v>
      </c>
      <c r="B1123" t="n">
        <v>2035000</v>
      </c>
      <c r="C1123" t="n">
        <v>305000</v>
      </c>
    </row>
    <row r="1124">
      <c r="A1124" s="79" t="n">
        <v>32333</v>
      </c>
      <c r="B1124" t="n">
        <v>2027000</v>
      </c>
      <c r="C1124" t="n">
        <v>303000</v>
      </c>
    </row>
    <row r="1125">
      <c r="A1125" s="79" t="n">
        <v>32340</v>
      </c>
      <c r="B1125" t="n">
        <v>2073000</v>
      </c>
      <c r="C1125" t="n">
        <v>315000</v>
      </c>
    </row>
    <row r="1126">
      <c r="A1126" s="79" t="n">
        <v>32347</v>
      </c>
      <c r="B1126" t="n">
        <v>2083000</v>
      </c>
      <c r="C1126" t="n">
        <v>354000</v>
      </c>
    </row>
    <row r="1127">
      <c r="A1127" s="79" t="n">
        <v>32354</v>
      </c>
      <c r="B1127" t="n">
        <v>2108000</v>
      </c>
      <c r="C1127" t="n">
        <v>331000</v>
      </c>
    </row>
    <row r="1128">
      <c r="A1128" s="79" t="n">
        <v>32361</v>
      </c>
      <c r="B1128" t="n">
        <v>2101000</v>
      </c>
      <c r="C1128" t="n">
        <v>316000</v>
      </c>
    </row>
    <row r="1129">
      <c r="A1129" s="79" t="n">
        <v>32368</v>
      </c>
      <c r="B1129" t="n">
        <v>2070000</v>
      </c>
      <c r="C1129" t="n">
        <v>312000</v>
      </c>
    </row>
    <row r="1130">
      <c r="A1130" s="79" t="n">
        <v>32375</v>
      </c>
      <c r="B1130" t="n">
        <v>2099000</v>
      </c>
      <c r="C1130" t="n">
        <v>316000</v>
      </c>
    </row>
    <row r="1131">
      <c r="A1131" s="79" t="n">
        <v>32382</v>
      </c>
      <c r="B1131" t="n">
        <v>2082000</v>
      </c>
      <c r="C1131" t="n">
        <v>315000</v>
      </c>
    </row>
    <row r="1132">
      <c r="A1132" s="79" t="n">
        <v>32389</v>
      </c>
      <c r="B1132" t="n">
        <v>2091000</v>
      </c>
      <c r="C1132" t="n">
        <v>306000</v>
      </c>
    </row>
    <row r="1133">
      <c r="A1133" s="79" t="n">
        <v>32396</v>
      </c>
      <c r="B1133" t="n">
        <v>2053000</v>
      </c>
      <c r="C1133" t="n">
        <v>305000</v>
      </c>
    </row>
    <row r="1134">
      <c r="A1134" s="79" t="n">
        <v>32403</v>
      </c>
      <c r="B1134" t="n">
        <v>2106000</v>
      </c>
      <c r="C1134" t="n">
        <v>306000</v>
      </c>
    </row>
    <row r="1135">
      <c r="A1135" s="79" t="n">
        <v>32410</v>
      </c>
      <c r="B1135" t="n">
        <v>2053000</v>
      </c>
      <c r="C1135" t="n">
        <v>301000</v>
      </c>
    </row>
    <row r="1136">
      <c r="A1136" s="79" t="n">
        <v>32417</v>
      </c>
      <c r="B1136" t="n">
        <v>2041000</v>
      </c>
      <c r="C1136" t="n">
        <v>292000</v>
      </c>
    </row>
    <row r="1137">
      <c r="A1137" s="79" t="n">
        <v>32424</v>
      </c>
      <c r="B1137" t="n">
        <v>2017000</v>
      </c>
      <c r="C1137" t="n">
        <v>292000</v>
      </c>
    </row>
    <row r="1138">
      <c r="A1138" s="79" t="n">
        <v>32431</v>
      </c>
      <c r="B1138" t="n">
        <v>1994000</v>
      </c>
      <c r="C1138" t="n">
        <v>293000</v>
      </c>
    </row>
    <row r="1139">
      <c r="A1139" s="79" t="n">
        <v>32438</v>
      </c>
      <c r="B1139" t="n">
        <v>2011000</v>
      </c>
      <c r="C1139" t="n">
        <v>286000</v>
      </c>
    </row>
    <row r="1140">
      <c r="A1140" s="79" t="n">
        <v>32445</v>
      </c>
      <c r="B1140" t="n">
        <v>2015000</v>
      </c>
      <c r="C1140" t="n">
        <v>294000</v>
      </c>
    </row>
    <row r="1141">
      <c r="A1141" s="79" t="n">
        <v>32452</v>
      </c>
      <c r="B1141" t="n">
        <v>1898000</v>
      </c>
      <c r="C1141" t="n">
        <v>285000</v>
      </c>
    </row>
    <row r="1142">
      <c r="A1142" s="79" t="n">
        <v>32459</v>
      </c>
      <c r="B1142" t="n">
        <v>2011000</v>
      </c>
      <c r="C1142" t="n">
        <v>284000</v>
      </c>
    </row>
    <row r="1143">
      <c r="A1143" s="79" t="n">
        <v>32466</v>
      </c>
      <c r="B1143" t="n">
        <v>1981000</v>
      </c>
      <c r="C1143" t="n">
        <v>294000</v>
      </c>
    </row>
    <row r="1144">
      <c r="A1144" s="79" t="n">
        <v>32473</v>
      </c>
      <c r="B1144" t="n">
        <v>2023000</v>
      </c>
      <c r="C1144" t="n">
        <v>299000</v>
      </c>
    </row>
    <row r="1145">
      <c r="A1145" s="79" t="n">
        <v>32480</v>
      </c>
      <c r="B1145" t="n">
        <v>2006000</v>
      </c>
      <c r="C1145" t="n">
        <v>298000</v>
      </c>
    </row>
    <row r="1146">
      <c r="A1146" s="79" t="n">
        <v>32487</v>
      </c>
      <c r="B1146" t="n">
        <v>2013000</v>
      </c>
      <c r="C1146" t="n">
        <v>285000</v>
      </c>
    </row>
    <row r="1147">
      <c r="A1147" s="79" t="n">
        <v>32494</v>
      </c>
      <c r="B1147" t="n">
        <v>2054000</v>
      </c>
      <c r="C1147" t="n">
        <v>293000</v>
      </c>
    </row>
    <row r="1148">
      <c r="A1148" s="79" t="n">
        <v>32501</v>
      </c>
      <c r="B1148" t="n">
        <v>2061000</v>
      </c>
      <c r="C1148" t="n">
        <v>286000</v>
      </c>
    </row>
    <row r="1149">
      <c r="A1149" s="79" t="n">
        <v>32508</v>
      </c>
      <c r="B1149" t="n">
        <v>2092000</v>
      </c>
      <c r="C1149" t="n">
        <v>304000</v>
      </c>
    </row>
    <row r="1150">
      <c r="A1150" s="79" t="n">
        <v>32515</v>
      </c>
      <c r="B1150" t="n">
        <v>2056000</v>
      </c>
      <c r="C1150" t="n">
        <v>299000</v>
      </c>
    </row>
    <row r="1151">
      <c r="A1151" s="79" t="n">
        <v>32522</v>
      </c>
      <c r="B1151" t="n">
        <v>2069000</v>
      </c>
      <c r="C1151" t="n">
        <v>283000</v>
      </c>
    </row>
    <row r="1152">
      <c r="A1152" s="79" t="n">
        <v>32529</v>
      </c>
      <c r="B1152" t="n">
        <v>2048000</v>
      </c>
      <c r="C1152" t="n">
        <v>282000</v>
      </c>
    </row>
    <row r="1153">
      <c r="A1153" s="79" t="n">
        <v>32536</v>
      </c>
      <c r="B1153" t="n">
        <v>2071000</v>
      </c>
      <c r="C1153" t="n">
        <v>295000</v>
      </c>
    </row>
    <row r="1154">
      <c r="A1154" s="79" t="n">
        <v>32543</v>
      </c>
      <c r="B1154" t="n">
        <v>2074000</v>
      </c>
      <c r="C1154" t="n">
        <v>288000</v>
      </c>
    </row>
    <row r="1155">
      <c r="A1155" s="79" t="n">
        <v>32550</v>
      </c>
      <c r="B1155" t="n">
        <v>2103000</v>
      </c>
      <c r="C1155" t="n">
        <v>322000</v>
      </c>
    </row>
    <row r="1156">
      <c r="A1156" s="79" t="n">
        <v>32557</v>
      </c>
      <c r="B1156" t="n">
        <v>2111000</v>
      </c>
      <c r="C1156" t="n">
        <v>305000</v>
      </c>
    </row>
    <row r="1157">
      <c r="A1157" s="79" t="n">
        <v>32564</v>
      </c>
      <c r="B1157" t="n">
        <v>2167000</v>
      </c>
      <c r="C1157" t="n">
        <v>300000</v>
      </c>
    </row>
    <row r="1158">
      <c r="A1158" s="79" t="n">
        <v>32571</v>
      </c>
      <c r="B1158" t="n">
        <v>2110000</v>
      </c>
      <c r="C1158" t="n">
        <v>325000</v>
      </c>
    </row>
    <row r="1159">
      <c r="A1159" s="79" t="n">
        <v>32578</v>
      </c>
      <c r="B1159" t="n">
        <v>2163000</v>
      </c>
      <c r="C1159" t="n">
        <v>325000</v>
      </c>
    </row>
    <row r="1160">
      <c r="A1160" s="79" t="n">
        <v>32585</v>
      </c>
      <c r="B1160" t="n">
        <v>2108000</v>
      </c>
      <c r="C1160" t="n">
        <v>319000</v>
      </c>
    </row>
    <row r="1161">
      <c r="A1161" s="79" t="n">
        <v>32592</v>
      </c>
      <c r="B1161" t="n">
        <v>2145000</v>
      </c>
      <c r="C1161" t="n">
        <v>319000</v>
      </c>
    </row>
    <row r="1162">
      <c r="A1162" s="79" t="n">
        <v>32599</v>
      </c>
      <c r="B1162" t="n">
        <v>2117000</v>
      </c>
      <c r="C1162" t="n">
        <v>323000</v>
      </c>
    </row>
    <row r="1163">
      <c r="A1163" s="79" t="n">
        <v>32606</v>
      </c>
      <c r="B1163" t="n">
        <v>2117000</v>
      </c>
      <c r="C1163" t="n">
        <v>314000</v>
      </c>
    </row>
    <row r="1164">
      <c r="A1164" s="79" t="n">
        <v>32613</v>
      </c>
      <c r="B1164" t="n">
        <v>2092000</v>
      </c>
      <c r="C1164" t="n">
        <v>307000</v>
      </c>
    </row>
    <row r="1165">
      <c r="A1165" s="79" t="n">
        <v>32620</v>
      </c>
      <c r="B1165" t="n">
        <v>2104000</v>
      </c>
      <c r="C1165" t="n">
        <v>304000</v>
      </c>
    </row>
    <row r="1166">
      <c r="A1166" s="79" t="n">
        <v>32627</v>
      </c>
      <c r="B1166" t="n">
        <v>2064000</v>
      </c>
      <c r="C1166" t="n">
        <v>311000</v>
      </c>
    </row>
    <row r="1167">
      <c r="A1167" s="79" t="n">
        <v>32634</v>
      </c>
      <c r="B1167" t="n">
        <v>2089000</v>
      </c>
      <c r="C1167" t="n">
        <v>320000</v>
      </c>
    </row>
    <row r="1168">
      <c r="A1168" s="79" t="n">
        <v>32641</v>
      </c>
      <c r="B1168" t="n">
        <v>2144000</v>
      </c>
      <c r="C1168" t="n">
        <v>332000</v>
      </c>
    </row>
    <row r="1169">
      <c r="A1169" s="79" t="n">
        <v>32648</v>
      </c>
      <c r="B1169" t="n">
        <v>2085000</v>
      </c>
      <c r="C1169" t="n">
        <v>321000</v>
      </c>
    </row>
    <row r="1170">
      <c r="A1170" s="79" t="n">
        <v>32655</v>
      </c>
      <c r="B1170" t="n">
        <v>2056000</v>
      </c>
      <c r="C1170" t="n">
        <v>325000</v>
      </c>
    </row>
    <row r="1171">
      <c r="A1171" s="79" t="n">
        <v>32662</v>
      </c>
      <c r="B1171" t="n">
        <v>2117000</v>
      </c>
      <c r="C1171" t="n">
        <v>325000</v>
      </c>
    </row>
    <row r="1172">
      <c r="A1172" s="79" t="n">
        <v>32669</v>
      </c>
      <c r="B1172" t="n">
        <v>2110000</v>
      </c>
      <c r="C1172" t="n">
        <v>332000</v>
      </c>
    </row>
    <row r="1173">
      <c r="A1173" s="79" t="n">
        <v>32676</v>
      </c>
      <c r="B1173" t="n">
        <v>2113000</v>
      </c>
      <c r="C1173" t="n">
        <v>337000</v>
      </c>
    </row>
    <row r="1174">
      <c r="A1174" s="79" t="n">
        <v>32683</v>
      </c>
      <c r="B1174" t="n">
        <v>2151000</v>
      </c>
      <c r="C1174" t="n">
        <v>338000</v>
      </c>
    </row>
    <row r="1175">
      <c r="A1175" s="79" t="n">
        <v>32690</v>
      </c>
      <c r="B1175" t="n">
        <v>2133000</v>
      </c>
      <c r="C1175" t="n">
        <v>349000</v>
      </c>
    </row>
    <row r="1176">
      <c r="A1176" s="79" t="n">
        <v>32697</v>
      </c>
      <c r="B1176" t="n">
        <v>2207000</v>
      </c>
      <c r="C1176" t="n">
        <v>341000</v>
      </c>
    </row>
    <row r="1177">
      <c r="A1177" s="79" t="n">
        <v>32704</v>
      </c>
      <c r="B1177" t="n">
        <v>2217000</v>
      </c>
      <c r="C1177" t="n">
        <v>349000</v>
      </c>
    </row>
    <row r="1178">
      <c r="A1178" s="79" t="n">
        <v>32711</v>
      </c>
      <c r="B1178" t="n">
        <v>2159000</v>
      </c>
      <c r="C1178" t="n">
        <v>332000</v>
      </c>
    </row>
    <row r="1179">
      <c r="A1179" s="79" t="n">
        <v>32718</v>
      </c>
      <c r="B1179" t="n">
        <v>2181000</v>
      </c>
      <c r="C1179" t="n">
        <v>337000</v>
      </c>
    </row>
    <row r="1180">
      <c r="A1180" s="79" t="n">
        <v>32725</v>
      </c>
      <c r="B1180" t="n">
        <v>2236000</v>
      </c>
      <c r="C1180" t="n">
        <v>338000</v>
      </c>
    </row>
    <row r="1181">
      <c r="A1181" s="79" t="n">
        <v>32732</v>
      </c>
      <c r="B1181" t="n">
        <v>2214000</v>
      </c>
      <c r="C1181" t="n">
        <v>341000</v>
      </c>
    </row>
    <row r="1182">
      <c r="A1182" s="79" t="n">
        <v>32739</v>
      </c>
      <c r="B1182" t="n">
        <v>2195000</v>
      </c>
      <c r="C1182" t="n">
        <v>327000</v>
      </c>
    </row>
    <row r="1183">
      <c r="A1183" s="79" t="n">
        <v>32746</v>
      </c>
      <c r="B1183" t="n">
        <v>2184000</v>
      </c>
      <c r="C1183" t="n">
        <v>332000</v>
      </c>
    </row>
    <row r="1184">
      <c r="A1184" s="79" t="n">
        <v>32753</v>
      </c>
      <c r="B1184" t="n">
        <v>2199000</v>
      </c>
      <c r="C1184" t="n">
        <v>329000</v>
      </c>
    </row>
    <row r="1185">
      <c r="A1185" s="79" t="n">
        <v>32760</v>
      </c>
      <c r="B1185" t="n">
        <v>2207000</v>
      </c>
      <c r="C1185" t="n">
        <v>336000</v>
      </c>
    </row>
    <row r="1186">
      <c r="A1186" s="79" t="n">
        <v>32767</v>
      </c>
      <c r="B1186" t="n">
        <v>2169000</v>
      </c>
      <c r="C1186" t="n">
        <v>334000</v>
      </c>
    </row>
    <row r="1187">
      <c r="A1187" s="79" t="n">
        <v>32774</v>
      </c>
      <c r="B1187" t="n">
        <v>2249000</v>
      </c>
      <c r="C1187" t="n">
        <v>334000</v>
      </c>
    </row>
    <row r="1188">
      <c r="A1188" s="79" t="n">
        <v>32781</v>
      </c>
      <c r="B1188" t="n">
        <v>2220000</v>
      </c>
      <c r="C1188" t="n">
        <v>347000</v>
      </c>
    </row>
    <row r="1189">
      <c r="A1189" s="79" t="n">
        <v>32788</v>
      </c>
      <c r="B1189" t="n">
        <v>2279000</v>
      </c>
      <c r="C1189" t="n">
        <v>407000</v>
      </c>
    </row>
    <row r="1190">
      <c r="A1190" s="79" t="n">
        <v>32795</v>
      </c>
      <c r="B1190" t="n">
        <v>2293000</v>
      </c>
      <c r="C1190" t="n">
        <v>345000</v>
      </c>
    </row>
    <row r="1191">
      <c r="A1191" s="79" t="n">
        <v>32802</v>
      </c>
      <c r="B1191" t="n">
        <v>2295000</v>
      </c>
      <c r="C1191" t="n">
        <v>347000</v>
      </c>
    </row>
    <row r="1192">
      <c r="A1192" s="79" t="n">
        <v>32809</v>
      </c>
      <c r="B1192" t="n">
        <v>2257000</v>
      </c>
      <c r="C1192" t="n">
        <v>354000</v>
      </c>
    </row>
    <row r="1193">
      <c r="A1193" s="79" t="n">
        <v>32816</v>
      </c>
      <c r="B1193" t="n">
        <v>2280000</v>
      </c>
      <c r="C1193" t="n">
        <v>333000</v>
      </c>
    </row>
    <row r="1194">
      <c r="A1194" s="79" t="n">
        <v>32823</v>
      </c>
      <c r="B1194" t="n">
        <v>2271000</v>
      </c>
      <c r="C1194" t="n">
        <v>336000</v>
      </c>
    </row>
    <row r="1195">
      <c r="A1195" s="79" t="n">
        <v>32830</v>
      </c>
      <c r="B1195" t="n">
        <v>2289000</v>
      </c>
      <c r="C1195" t="n">
        <v>336000</v>
      </c>
    </row>
    <row r="1196">
      <c r="A1196" s="79" t="n">
        <v>32837</v>
      </c>
      <c r="B1196" t="n">
        <v>2300000</v>
      </c>
      <c r="C1196" t="n">
        <v>342000</v>
      </c>
    </row>
    <row r="1197">
      <c r="A1197" s="79" t="n">
        <v>32844</v>
      </c>
      <c r="B1197" t="n">
        <v>2271000</v>
      </c>
      <c r="C1197" t="n">
        <v>344000</v>
      </c>
    </row>
    <row r="1198">
      <c r="A1198" s="79" t="n">
        <v>32851</v>
      </c>
      <c r="B1198" t="n">
        <v>2265000</v>
      </c>
      <c r="C1198" t="n">
        <v>338000</v>
      </c>
    </row>
    <row r="1199">
      <c r="A1199" s="79" t="n">
        <v>32858</v>
      </c>
      <c r="B1199" t="n">
        <v>2295000</v>
      </c>
      <c r="C1199" t="n">
        <v>355000</v>
      </c>
    </row>
    <row r="1200">
      <c r="A1200" s="79" t="n">
        <v>32865</v>
      </c>
      <c r="B1200" t="n">
        <v>2292000</v>
      </c>
      <c r="C1200" t="n">
        <v>381000</v>
      </c>
    </row>
    <row r="1201">
      <c r="A1201" s="79" t="n">
        <v>32872</v>
      </c>
      <c r="B1201" t="n">
        <v>2302000</v>
      </c>
      <c r="C1201" t="n">
        <v>358000</v>
      </c>
    </row>
    <row r="1202">
      <c r="A1202" s="79" t="n">
        <v>32879</v>
      </c>
      <c r="B1202" t="n">
        <v>2347000</v>
      </c>
      <c r="C1202" t="n">
        <v>355000</v>
      </c>
    </row>
    <row r="1203">
      <c r="A1203" s="79" t="n">
        <v>32886</v>
      </c>
      <c r="B1203" t="n">
        <v>2349000</v>
      </c>
      <c r="C1203" t="n">
        <v>369000</v>
      </c>
    </row>
    <row r="1204">
      <c r="A1204" s="79" t="n">
        <v>32893</v>
      </c>
      <c r="B1204" t="n">
        <v>2407000</v>
      </c>
      <c r="C1204" t="n">
        <v>375000</v>
      </c>
    </row>
    <row r="1205">
      <c r="A1205" s="79" t="n">
        <v>32900</v>
      </c>
      <c r="B1205" t="n">
        <v>2316000</v>
      </c>
      <c r="C1205" t="n">
        <v>345000</v>
      </c>
    </row>
    <row r="1206">
      <c r="A1206" s="79" t="n">
        <v>32907</v>
      </c>
      <c r="B1206" t="n">
        <v>2364000</v>
      </c>
      <c r="C1206" t="n">
        <v>368000</v>
      </c>
    </row>
    <row r="1207">
      <c r="A1207" s="79" t="n">
        <v>32914</v>
      </c>
      <c r="B1207" t="n">
        <v>2323000</v>
      </c>
      <c r="C1207" t="n">
        <v>367000</v>
      </c>
    </row>
    <row r="1208">
      <c r="A1208" s="79" t="n">
        <v>32921</v>
      </c>
      <c r="B1208" t="n">
        <v>2382000</v>
      </c>
      <c r="C1208" t="n">
        <v>348000</v>
      </c>
    </row>
    <row r="1209">
      <c r="A1209" s="79" t="n">
        <v>32928</v>
      </c>
      <c r="B1209" t="n">
        <v>2347000</v>
      </c>
      <c r="C1209" t="n">
        <v>350000</v>
      </c>
    </row>
    <row r="1210">
      <c r="A1210" s="79" t="n">
        <v>32935</v>
      </c>
      <c r="B1210" t="n">
        <v>2385000</v>
      </c>
      <c r="C1210" t="n">
        <v>351000</v>
      </c>
    </row>
    <row r="1211">
      <c r="A1211" s="79" t="n">
        <v>32942</v>
      </c>
      <c r="B1211" t="n">
        <v>2341000</v>
      </c>
      <c r="C1211" t="n">
        <v>349000</v>
      </c>
    </row>
    <row r="1212">
      <c r="A1212" s="79" t="n">
        <v>32949</v>
      </c>
      <c r="B1212" t="n">
        <v>2384000</v>
      </c>
      <c r="C1212" t="n">
        <v>349000</v>
      </c>
    </row>
    <row r="1213">
      <c r="A1213" s="79" t="n">
        <v>32956</v>
      </c>
      <c r="B1213" t="n">
        <v>2344000</v>
      </c>
      <c r="C1213" t="n">
        <v>331000</v>
      </c>
    </row>
    <row r="1214">
      <c r="A1214" s="79" t="n">
        <v>32963</v>
      </c>
      <c r="B1214" t="n">
        <v>2365000</v>
      </c>
      <c r="C1214" t="n">
        <v>346000</v>
      </c>
    </row>
    <row r="1215">
      <c r="A1215" s="79" t="n">
        <v>32970</v>
      </c>
      <c r="B1215" t="n">
        <v>2323000</v>
      </c>
      <c r="C1215" t="n">
        <v>367000</v>
      </c>
    </row>
    <row r="1216">
      <c r="A1216" s="79" t="n">
        <v>32977</v>
      </c>
      <c r="B1216" t="n">
        <v>2410000</v>
      </c>
      <c r="C1216" t="n">
        <v>357000</v>
      </c>
    </row>
    <row r="1217">
      <c r="A1217" s="79" t="n">
        <v>32984</v>
      </c>
      <c r="B1217" t="n">
        <v>2385000</v>
      </c>
      <c r="C1217" t="n">
        <v>360000</v>
      </c>
    </row>
    <row r="1218">
      <c r="A1218" s="79" t="n">
        <v>32991</v>
      </c>
      <c r="B1218" t="n">
        <v>2403000</v>
      </c>
      <c r="C1218" t="n">
        <v>363000</v>
      </c>
    </row>
    <row r="1219">
      <c r="A1219" s="79" t="n">
        <v>32998</v>
      </c>
      <c r="B1219" t="n">
        <v>2374000</v>
      </c>
      <c r="C1219" t="n">
        <v>354000</v>
      </c>
    </row>
    <row r="1220">
      <c r="A1220" s="79" t="n">
        <v>33005</v>
      </c>
      <c r="B1220" t="n">
        <v>2374000</v>
      </c>
      <c r="C1220" t="n">
        <v>355000</v>
      </c>
    </row>
    <row r="1221">
      <c r="A1221" s="79" t="n">
        <v>33012</v>
      </c>
      <c r="B1221" t="n">
        <v>2381000</v>
      </c>
      <c r="C1221" t="n">
        <v>353000</v>
      </c>
    </row>
    <row r="1222">
      <c r="A1222" s="79" t="n">
        <v>33019</v>
      </c>
      <c r="B1222" t="n">
        <v>2431000</v>
      </c>
      <c r="C1222" t="n">
        <v>359000</v>
      </c>
    </row>
    <row r="1223">
      <c r="A1223" s="79" t="n">
        <v>33026</v>
      </c>
      <c r="B1223" t="n">
        <v>2406000</v>
      </c>
      <c r="C1223" t="n">
        <v>368000</v>
      </c>
    </row>
    <row r="1224">
      <c r="A1224" s="79" t="n">
        <v>33033</v>
      </c>
      <c r="B1224" t="n">
        <v>2438000</v>
      </c>
      <c r="C1224" t="n">
        <v>359000</v>
      </c>
    </row>
    <row r="1225">
      <c r="A1225" s="79" t="n">
        <v>33040</v>
      </c>
      <c r="B1225" t="n">
        <v>2402000</v>
      </c>
      <c r="C1225" t="n">
        <v>359000</v>
      </c>
    </row>
    <row r="1226">
      <c r="A1226" s="79" t="n">
        <v>33047</v>
      </c>
      <c r="B1226" t="n">
        <v>2431000</v>
      </c>
      <c r="C1226" t="n">
        <v>362000</v>
      </c>
    </row>
    <row r="1227">
      <c r="A1227" s="79" t="n">
        <v>33054</v>
      </c>
      <c r="B1227" t="n">
        <v>2442000</v>
      </c>
      <c r="C1227" t="n">
        <v>364000</v>
      </c>
    </row>
    <row r="1228">
      <c r="A1228" s="79" t="n">
        <v>33061</v>
      </c>
      <c r="B1228" t="n">
        <v>2487000</v>
      </c>
      <c r="C1228" t="n">
        <v>362000</v>
      </c>
    </row>
    <row r="1229">
      <c r="A1229" s="79" t="n">
        <v>33068</v>
      </c>
      <c r="B1229" t="n">
        <v>2498000</v>
      </c>
      <c r="C1229" t="n">
        <v>367000</v>
      </c>
    </row>
    <row r="1230">
      <c r="A1230" s="79" t="n">
        <v>33075</v>
      </c>
      <c r="B1230" t="n">
        <v>2441000</v>
      </c>
      <c r="C1230" t="n">
        <v>370000</v>
      </c>
    </row>
    <row r="1231">
      <c r="A1231" s="79" t="n">
        <v>33082</v>
      </c>
      <c r="B1231" t="n">
        <v>2461000</v>
      </c>
      <c r="C1231" t="n">
        <v>369000</v>
      </c>
    </row>
    <row r="1232">
      <c r="A1232" s="79" t="n">
        <v>33089</v>
      </c>
      <c r="B1232" t="n">
        <v>2460000</v>
      </c>
      <c r="C1232" t="n">
        <v>369000</v>
      </c>
    </row>
    <row r="1233">
      <c r="A1233" s="79" t="n">
        <v>33096</v>
      </c>
      <c r="B1233" t="n">
        <v>2500000</v>
      </c>
      <c r="C1233" t="n">
        <v>381000</v>
      </c>
    </row>
    <row r="1234">
      <c r="A1234" s="79" t="n">
        <v>33103</v>
      </c>
      <c r="B1234" t="n">
        <v>2537000</v>
      </c>
      <c r="C1234" t="n">
        <v>393000</v>
      </c>
    </row>
    <row r="1235">
      <c r="A1235" s="79" t="n">
        <v>33110</v>
      </c>
      <c r="B1235" t="n">
        <v>2540000</v>
      </c>
      <c r="C1235" t="n">
        <v>394000</v>
      </c>
    </row>
    <row r="1236">
      <c r="A1236" s="79" t="n">
        <v>33117</v>
      </c>
      <c r="B1236" t="n">
        <v>2579000</v>
      </c>
      <c r="C1236" t="n">
        <v>392000</v>
      </c>
    </row>
    <row r="1237">
      <c r="A1237" s="79" t="n">
        <v>33124</v>
      </c>
      <c r="B1237" t="n">
        <v>2585000</v>
      </c>
      <c r="C1237" t="n">
        <v>390000</v>
      </c>
    </row>
    <row r="1238">
      <c r="A1238" s="79" t="n">
        <v>33131</v>
      </c>
      <c r="B1238" t="n">
        <v>2591000</v>
      </c>
      <c r="C1238" t="n">
        <v>395000</v>
      </c>
    </row>
    <row r="1239">
      <c r="A1239" s="79" t="n">
        <v>33138</v>
      </c>
      <c r="B1239" t="n">
        <v>2578000</v>
      </c>
      <c r="C1239" t="n">
        <v>389000</v>
      </c>
    </row>
    <row r="1240">
      <c r="A1240" s="79" t="n">
        <v>33145</v>
      </c>
      <c r="B1240" t="n">
        <v>2644000</v>
      </c>
      <c r="C1240" t="n">
        <v>404000</v>
      </c>
    </row>
    <row r="1241">
      <c r="A1241" s="79" t="n">
        <v>33152</v>
      </c>
      <c r="B1241" t="n">
        <v>2621000</v>
      </c>
      <c r="C1241" t="n">
        <v>404000</v>
      </c>
    </row>
    <row r="1242">
      <c r="A1242" s="79" t="n">
        <v>33159</v>
      </c>
      <c r="B1242" t="n">
        <v>2753000</v>
      </c>
      <c r="C1242" t="n">
        <v>422000</v>
      </c>
    </row>
    <row r="1243">
      <c r="A1243" s="79" t="n">
        <v>33166</v>
      </c>
      <c r="B1243" t="n">
        <v>2722000</v>
      </c>
      <c r="C1243" t="n">
        <v>435000</v>
      </c>
    </row>
    <row r="1244">
      <c r="A1244" s="79" t="n">
        <v>33173</v>
      </c>
      <c r="B1244" t="n">
        <v>2787000</v>
      </c>
      <c r="C1244" t="n">
        <v>440000</v>
      </c>
    </row>
    <row r="1245">
      <c r="A1245" s="79" t="n">
        <v>33180</v>
      </c>
      <c r="B1245" t="n">
        <v>2813000</v>
      </c>
      <c r="C1245" t="n">
        <v>430000</v>
      </c>
    </row>
    <row r="1246">
      <c r="A1246" s="79" t="n">
        <v>33187</v>
      </c>
      <c r="B1246" t="n">
        <v>2789000</v>
      </c>
      <c r="C1246" t="n">
        <v>448000</v>
      </c>
    </row>
    <row r="1247">
      <c r="A1247" s="79" t="n">
        <v>33194</v>
      </c>
      <c r="B1247" t="n">
        <v>2996000</v>
      </c>
      <c r="C1247" t="n">
        <v>447000</v>
      </c>
    </row>
    <row r="1248">
      <c r="A1248" s="79" t="n">
        <v>33201</v>
      </c>
      <c r="B1248" t="n">
        <v>2955000</v>
      </c>
      <c r="C1248" t="n">
        <v>462000</v>
      </c>
    </row>
    <row r="1249">
      <c r="A1249" s="79" t="n">
        <v>33208</v>
      </c>
      <c r="B1249" t="n">
        <v>2918000</v>
      </c>
      <c r="C1249" t="n">
        <v>451000</v>
      </c>
    </row>
    <row r="1250">
      <c r="A1250" s="79" t="n">
        <v>33215</v>
      </c>
      <c r="B1250" t="n">
        <v>3000000</v>
      </c>
      <c r="C1250" t="n">
        <v>449000</v>
      </c>
    </row>
    <row r="1251">
      <c r="A1251" s="79" t="n">
        <v>33222</v>
      </c>
      <c r="B1251" t="n">
        <v>2984000</v>
      </c>
      <c r="C1251" t="n">
        <v>447000</v>
      </c>
    </row>
    <row r="1252">
      <c r="A1252" s="79" t="n">
        <v>33229</v>
      </c>
      <c r="B1252" t="n">
        <v>3001000</v>
      </c>
      <c r="C1252" t="n">
        <v>474000</v>
      </c>
    </row>
    <row r="1253">
      <c r="A1253" s="79" t="n">
        <v>33236</v>
      </c>
      <c r="B1253" t="n">
        <v>2938000</v>
      </c>
      <c r="C1253" t="n">
        <v>454000</v>
      </c>
    </row>
    <row r="1254">
      <c r="A1254" s="79" t="n">
        <v>33243</v>
      </c>
      <c r="B1254" t="n">
        <v>3062000</v>
      </c>
      <c r="C1254" t="n">
        <v>415000</v>
      </c>
    </row>
    <row r="1255">
      <c r="A1255" s="79" t="n">
        <v>33250</v>
      </c>
      <c r="B1255" t="n">
        <v>3111000</v>
      </c>
      <c r="C1255" t="n">
        <v>437000</v>
      </c>
    </row>
    <row r="1256">
      <c r="A1256" s="79" t="n">
        <v>33257</v>
      </c>
      <c r="B1256" t="n">
        <v>3017000</v>
      </c>
      <c r="C1256" t="n">
        <v>445000</v>
      </c>
    </row>
    <row r="1257">
      <c r="A1257" s="79" t="n">
        <v>33264</v>
      </c>
      <c r="B1257" t="n">
        <v>3162000</v>
      </c>
      <c r="C1257" t="n">
        <v>462000</v>
      </c>
    </row>
    <row r="1258">
      <c r="A1258" s="79" t="n">
        <v>33271</v>
      </c>
      <c r="B1258" t="n">
        <v>3228000</v>
      </c>
      <c r="C1258" t="n">
        <v>483000</v>
      </c>
    </row>
    <row r="1259">
      <c r="A1259" s="79" t="n">
        <v>33278</v>
      </c>
      <c r="B1259" t="n">
        <v>3226000</v>
      </c>
      <c r="C1259" t="n">
        <v>480000</v>
      </c>
    </row>
    <row r="1260">
      <c r="A1260" s="79" t="n">
        <v>33285</v>
      </c>
      <c r="B1260" t="n">
        <v>3293000</v>
      </c>
      <c r="C1260" t="n">
        <v>474000</v>
      </c>
    </row>
    <row r="1261">
      <c r="A1261" s="79" t="n">
        <v>33292</v>
      </c>
      <c r="B1261" t="n">
        <v>3304000</v>
      </c>
      <c r="C1261" t="n">
        <v>499000</v>
      </c>
    </row>
    <row r="1262">
      <c r="A1262" s="79" t="n">
        <v>33299</v>
      </c>
      <c r="B1262" t="n">
        <v>3357000</v>
      </c>
      <c r="C1262" t="n">
        <v>488000</v>
      </c>
    </row>
    <row r="1263">
      <c r="A1263" s="79" t="n">
        <v>33306</v>
      </c>
      <c r="B1263" t="n">
        <v>3384000</v>
      </c>
      <c r="C1263" t="n">
        <v>499000</v>
      </c>
    </row>
    <row r="1264">
      <c r="A1264" s="79" t="n">
        <v>33313</v>
      </c>
      <c r="B1264" t="n">
        <v>3448000</v>
      </c>
      <c r="C1264" t="n">
        <v>498000</v>
      </c>
    </row>
    <row r="1265">
      <c r="A1265" s="79" t="n">
        <v>33320</v>
      </c>
      <c r="B1265" t="n">
        <v>3404000</v>
      </c>
      <c r="C1265" t="n">
        <v>509000</v>
      </c>
    </row>
    <row r="1266">
      <c r="A1266" s="79" t="n">
        <v>33327</v>
      </c>
      <c r="B1266" t="n">
        <v>3502000</v>
      </c>
      <c r="C1266" t="n">
        <v>499000</v>
      </c>
    </row>
    <row r="1267">
      <c r="A1267" s="79" t="n">
        <v>33334</v>
      </c>
      <c r="B1267" t="n">
        <v>3493000</v>
      </c>
      <c r="C1267" t="n">
        <v>452000</v>
      </c>
    </row>
    <row r="1268">
      <c r="A1268" s="79" t="n">
        <v>33341</v>
      </c>
      <c r="B1268" t="n">
        <v>3464000</v>
      </c>
      <c r="C1268" t="n">
        <v>477000</v>
      </c>
    </row>
    <row r="1269">
      <c r="A1269" s="79" t="n">
        <v>33348</v>
      </c>
      <c r="B1269" t="n">
        <v>3502000</v>
      </c>
      <c r="C1269" t="n">
        <v>478000</v>
      </c>
    </row>
    <row r="1270">
      <c r="A1270" s="79" t="n">
        <v>33355</v>
      </c>
      <c r="B1270" t="n">
        <v>3474000</v>
      </c>
      <c r="C1270" t="n">
        <v>462000</v>
      </c>
    </row>
    <row r="1271">
      <c r="A1271" s="79" t="n">
        <v>33362</v>
      </c>
      <c r="B1271" t="n">
        <v>3524000</v>
      </c>
      <c r="C1271" t="n">
        <v>451000</v>
      </c>
    </row>
    <row r="1272">
      <c r="A1272" s="79" t="n">
        <v>33369</v>
      </c>
      <c r="B1272" t="n">
        <v>3492000</v>
      </c>
      <c r="C1272" t="n">
        <v>446000</v>
      </c>
    </row>
    <row r="1273">
      <c r="A1273" s="79" t="n">
        <v>33376</v>
      </c>
      <c r="B1273" t="n">
        <v>3459000</v>
      </c>
      <c r="C1273" t="n">
        <v>448000</v>
      </c>
    </row>
    <row r="1274">
      <c r="A1274" s="79" t="n">
        <v>33383</v>
      </c>
      <c r="B1274" t="n">
        <v>3472000</v>
      </c>
      <c r="C1274" t="n">
        <v>443000</v>
      </c>
    </row>
    <row r="1275">
      <c r="A1275" s="79" t="n">
        <v>33390</v>
      </c>
      <c r="B1275" t="n">
        <v>3522000</v>
      </c>
      <c r="C1275" t="n">
        <v>432000</v>
      </c>
    </row>
    <row r="1276">
      <c r="A1276" s="79" t="n">
        <v>33397</v>
      </c>
      <c r="B1276" t="n">
        <v>3439000</v>
      </c>
      <c r="C1276" t="n">
        <v>441000</v>
      </c>
    </row>
    <row r="1277">
      <c r="A1277" s="79" t="n">
        <v>33404</v>
      </c>
      <c r="B1277" t="n">
        <v>3428000</v>
      </c>
      <c r="C1277" t="n">
        <v>429000</v>
      </c>
    </row>
    <row r="1278">
      <c r="A1278" s="79" t="n">
        <v>33411</v>
      </c>
      <c r="B1278" t="n">
        <v>3389000</v>
      </c>
      <c r="C1278" t="n">
        <v>423000</v>
      </c>
    </row>
    <row r="1279">
      <c r="A1279" s="79" t="n">
        <v>33418</v>
      </c>
      <c r="B1279" t="n">
        <v>3356000</v>
      </c>
      <c r="C1279" t="n">
        <v>418000</v>
      </c>
    </row>
    <row r="1280">
      <c r="A1280" s="79" t="n">
        <v>33425</v>
      </c>
      <c r="B1280" t="n">
        <v>3393000</v>
      </c>
      <c r="C1280" t="n">
        <v>422000</v>
      </c>
    </row>
    <row r="1281">
      <c r="A1281" s="79" t="n">
        <v>33432</v>
      </c>
      <c r="B1281" t="n">
        <v>3255000</v>
      </c>
      <c r="C1281" t="n">
        <v>420000</v>
      </c>
    </row>
    <row r="1282">
      <c r="A1282" s="79" t="n">
        <v>33439</v>
      </c>
      <c r="B1282" t="n">
        <v>3276000</v>
      </c>
      <c r="C1282" t="n">
        <v>408000</v>
      </c>
    </row>
    <row r="1283">
      <c r="A1283" s="79" t="n">
        <v>33446</v>
      </c>
      <c r="B1283" t="n">
        <v>3306000</v>
      </c>
      <c r="C1283" t="n">
        <v>423000</v>
      </c>
    </row>
    <row r="1284">
      <c r="A1284" s="79" t="n">
        <v>33453</v>
      </c>
      <c r="B1284" t="n">
        <v>3307000</v>
      </c>
      <c r="C1284" t="n">
        <v>438000</v>
      </c>
    </row>
    <row r="1285">
      <c r="A1285" s="79" t="n">
        <v>33460</v>
      </c>
      <c r="B1285" t="n">
        <v>3314000</v>
      </c>
      <c r="C1285" t="n">
        <v>437000</v>
      </c>
    </row>
    <row r="1286">
      <c r="A1286" s="79" t="n">
        <v>33467</v>
      </c>
      <c r="B1286" t="n">
        <v>3282000</v>
      </c>
      <c r="C1286" t="n">
        <v>433000</v>
      </c>
    </row>
    <row r="1287">
      <c r="A1287" s="79" t="n">
        <v>33474</v>
      </c>
      <c r="B1287" t="n">
        <v>3277000</v>
      </c>
      <c r="C1287" t="n">
        <v>425000</v>
      </c>
    </row>
    <row r="1288">
      <c r="A1288" s="79" t="n">
        <v>33481</v>
      </c>
      <c r="B1288" t="n">
        <v>3279000</v>
      </c>
      <c r="C1288" t="n">
        <v>425000</v>
      </c>
    </row>
    <row r="1289">
      <c r="A1289" s="79" t="n">
        <v>33488</v>
      </c>
      <c r="B1289" t="n">
        <v>3326000</v>
      </c>
      <c r="C1289" t="n">
        <v>424000</v>
      </c>
    </row>
    <row r="1290">
      <c r="A1290" s="79" t="n">
        <v>33495</v>
      </c>
      <c r="B1290" t="n">
        <v>3275000</v>
      </c>
      <c r="C1290" t="n">
        <v>418000</v>
      </c>
    </row>
    <row r="1291">
      <c r="A1291" s="79" t="n">
        <v>33502</v>
      </c>
      <c r="B1291" t="n">
        <v>3294000</v>
      </c>
      <c r="C1291" t="n">
        <v>419000</v>
      </c>
    </row>
    <row r="1292">
      <c r="A1292" s="79" t="n">
        <v>33509</v>
      </c>
      <c r="B1292" t="n">
        <v>3290000</v>
      </c>
      <c r="C1292" t="n">
        <v>437000</v>
      </c>
    </row>
    <row r="1293">
      <c r="A1293" s="79" t="n">
        <v>33516</v>
      </c>
      <c r="B1293" t="n">
        <v>3388000</v>
      </c>
      <c r="C1293" t="n">
        <v>424000</v>
      </c>
    </row>
    <row r="1294">
      <c r="A1294" s="79" t="n">
        <v>33523</v>
      </c>
      <c r="B1294" t="n">
        <v>3237000</v>
      </c>
      <c r="C1294" t="n">
        <v>425000</v>
      </c>
    </row>
    <row r="1295">
      <c r="A1295" s="79" t="n">
        <v>33530</v>
      </c>
      <c r="B1295" t="n">
        <v>3320000</v>
      </c>
      <c r="C1295" t="n">
        <v>419000</v>
      </c>
    </row>
    <row r="1296">
      <c r="A1296" s="79" t="n">
        <v>33537</v>
      </c>
      <c r="B1296" t="n">
        <v>3299000</v>
      </c>
      <c r="C1296" t="n">
        <v>423000</v>
      </c>
    </row>
    <row r="1297">
      <c r="A1297" s="79" t="n">
        <v>33544</v>
      </c>
      <c r="B1297" t="n">
        <v>3336000</v>
      </c>
      <c r="C1297" t="n">
        <v>447000</v>
      </c>
    </row>
    <row r="1298">
      <c r="A1298" s="79" t="n">
        <v>33551</v>
      </c>
      <c r="B1298" t="n">
        <v>3328000</v>
      </c>
      <c r="C1298" t="n">
        <v>453000</v>
      </c>
    </row>
    <row r="1299">
      <c r="A1299" s="79" t="n">
        <v>33558</v>
      </c>
      <c r="B1299" t="n">
        <v>3315000</v>
      </c>
      <c r="C1299" t="n">
        <v>439000</v>
      </c>
    </row>
    <row r="1300">
      <c r="A1300" s="79" t="n">
        <v>33565</v>
      </c>
      <c r="B1300" t="n">
        <v>3226000</v>
      </c>
      <c r="C1300" t="n">
        <v>444000</v>
      </c>
    </row>
    <row r="1301">
      <c r="A1301" s="79" t="n">
        <v>33572</v>
      </c>
      <c r="B1301" t="n">
        <v>3348000</v>
      </c>
      <c r="C1301" t="n">
        <v>444000</v>
      </c>
    </row>
    <row r="1302">
      <c r="A1302" s="79" t="n">
        <v>33579</v>
      </c>
      <c r="B1302" t="n">
        <v>3388000</v>
      </c>
      <c r="C1302" t="n">
        <v>475000</v>
      </c>
    </row>
    <row r="1303">
      <c r="A1303" s="79" t="n">
        <v>33586</v>
      </c>
      <c r="B1303" t="n">
        <v>3405000</v>
      </c>
      <c r="C1303" t="n">
        <v>475000</v>
      </c>
    </row>
    <row r="1304">
      <c r="A1304" s="79" t="n">
        <v>33593</v>
      </c>
      <c r="B1304" t="n">
        <v>3264000</v>
      </c>
      <c r="C1304" t="n">
        <v>436000</v>
      </c>
    </row>
    <row r="1305">
      <c r="A1305" s="79" t="n">
        <v>33600</v>
      </c>
      <c r="B1305" t="n">
        <v>3340000</v>
      </c>
      <c r="C1305" t="n">
        <v>441000</v>
      </c>
    </row>
    <row r="1306">
      <c r="A1306" s="79" t="n">
        <v>33607</v>
      </c>
      <c r="B1306" t="n">
        <v>3410000</v>
      </c>
      <c r="C1306" t="n">
        <v>432000</v>
      </c>
    </row>
    <row r="1307">
      <c r="A1307" s="79" t="n">
        <v>33614</v>
      </c>
      <c r="B1307" t="n">
        <v>3342000</v>
      </c>
      <c r="C1307" t="n">
        <v>440000</v>
      </c>
    </row>
    <row r="1308">
      <c r="A1308" s="79" t="n">
        <v>33621</v>
      </c>
      <c r="B1308" t="n">
        <v>3297000</v>
      </c>
      <c r="C1308" t="n">
        <v>443000</v>
      </c>
    </row>
    <row r="1309">
      <c r="A1309" s="79" t="n">
        <v>33628</v>
      </c>
      <c r="B1309" t="n">
        <v>3364000</v>
      </c>
      <c r="C1309" t="n">
        <v>441000</v>
      </c>
    </row>
    <row r="1310">
      <c r="A1310" s="79" t="n">
        <v>33635</v>
      </c>
      <c r="B1310" t="n">
        <v>3301000</v>
      </c>
      <c r="C1310" t="n">
        <v>440000</v>
      </c>
    </row>
    <row r="1311">
      <c r="A1311" s="79" t="n">
        <v>33642</v>
      </c>
      <c r="B1311" t="n">
        <v>3320000</v>
      </c>
      <c r="C1311" t="n">
        <v>445000</v>
      </c>
    </row>
    <row r="1312">
      <c r="A1312" s="79" t="n">
        <v>33649</v>
      </c>
      <c r="B1312" t="n">
        <v>3260000</v>
      </c>
      <c r="C1312" t="n">
        <v>446000</v>
      </c>
    </row>
    <row r="1313">
      <c r="A1313" s="79" t="n">
        <v>33656</v>
      </c>
      <c r="B1313" t="n">
        <v>3412000</v>
      </c>
      <c r="C1313" t="n">
        <v>436000</v>
      </c>
    </row>
    <row r="1314">
      <c r="A1314" s="79" t="n">
        <v>33663</v>
      </c>
      <c r="B1314" t="n">
        <v>3280000</v>
      </c>
      <c r="C1314" t="n">
        <v>444000</v>
      </c>
    </row>
    <row r="1315">
      <c r="A1315" s="79" t="n">
        <v>33670</v>
      </c>
      <c r="B1315" t="n">
        <v>3288000</v>
      </c>
      <c r="C1315" t="n">
        <v>421000</v>
      </c>
    </row>
    <row r="1316">
      <c r="A1316" s="79" t="n">
        <v>33677</v>
      </c>
      <c r="B1316" t="n">
        <v>3280000</v>
      </c>
      <c r="C1316" t="n">
        <v>437000</v>
      </c>
    </row>
    <row r="1317">
      <c r="A1317" s="79" t="n">
        <v>33684</v>
      </c>
      <c r="B1317" t="n">
        <v>3344000</v>
      </c>
      <c r="C1317" t="n">
        <v>440000</v>
      </c>
    </row>
    <row r="1318">
      <c r="A1318" s="79" t="n">
        <v>33691</v>
      </c>
      <c r="B1318" t="n">
        <v>3336000</v>
      </c>
      <c r="C1318" t="n">
        <v>420000</v>
      </c>
    </row>
    <row r="1319">
      <c r="A1319" s="79" t="n">
        <v>33698</v>
      </c>
      <c r="B1319" t="n">
        <v>3383000</v>
      </c>
      <c r="C1319" t="n">
        <v>412000</v>
      </c>
    </row>
    <row r="1320">
      <c r="A1320" s="79" t="n">
        <v>33705</v>
      </c>
      <c r="B1320" t="n">
        <v>3288000</v>
      </c>
      <c r="C1320" t="n">
        <v>413000</v>
      </c>
    </row>
    <row r="1321">
      <c r="A1321" s="79" t="n">
        <v>33712</v>
      </c>
      <c r="B1321" t="n">
        <v>3339000</v>
      </c>
      <c r="C1321" t="n">
        <v>424000</v>
      </c>
    </row>
    <row r="1322">
      <c r="A1322" s="79" t="n">
        <v>33719</v>
      </c>
      <c r="B1322" t="n">
        <v>3365000</v>
      </c>
      <c r="C1322" t="n">
        <v>424000</v>
      </c>
    </row>
    <row r="1323">
      <c r="A1323" s="79" t="n">
        <v>33726</v>
      </c>
      <c r="B1323" t="n">
        <v>3397000</v>
      </c>
      <c r="C1323" t="n">
        <v>431000</v>
      </c>
    </row>
    <row r="1324">
      <c r="A1324" s="79" t="n">
        <v>33733</v>
      </c>
      <c r="B1324" t="n">
        <v>3354000</v>
      </c>
      <c r="C1324" t="n">
        <v>417000</v>
      </c>
    </row>
    <row r="1325">
      <c r="A1325" s="79" t="n">
        <v>33740</v>
      </c>
      <c r="B1325" t="n">
        <v>3296000</v>
      </c>
      <c r="C1325" t="n">
        <v>414000</v>
      </c>
    </row>
    <row r="1326">
      <c r="A1326" s="79" t="n">
        <v>33747</v>
      </c>
      <c r="B1326" t="n">
        <v>3285000</v>
      </c>
      <c r="C1326" t="n">
        <v>414000</v>
      </c>
    </row>
    <row r="1327">
      <c r="A1327" s="79" t="n">
        <v>33754</v>
      </c>
      <c r="B1327" t="n">
        <v>3392000</v>
      </c>
      <c r="C1327" t="n">
        <v>411000</v>
      </c>
    </row>
    <row r="1328">
      <c r="A1328" s="79" t="n">
        <v>33761</v>
      </c>
      <c r="B1328" t="n">
        <v>3265000</v>
      </c>
      <c r="C1328" t="n">
        <v>416000</v>
      </c>
    </row>
    <row r="1329">
      <c r="A1329" s="79" t="n">
        <v>33768</v>
      </c>
      <c r="B1329" t="n">
        <v>3270000</v>
      </c>
      <c r="C1329" t="n">
        <v>420000</v>
      </c>
    </row>
    <row r="1330">
      <c r="A1330" s="79" t="n">
        <v>33775</v>
      </c>
      <c r="B1330" t="n">
        <v>3284000</v>
      </c>
      <c r="C1330" t="n">
        <v>419000</v>
      </c>
    </row>
    <row r="1331">
      <c r="A1331" s="79" t="n">
        <v>33782</v>
      </c>
      <c r="B1331" t="n">
        <v>3340000</v>
      </c>
      <c r="C1331" t="n">
        <v>420000</v>
      </c>
    </row>
    <row r="1332">
      <c r="A1332" s="79" t="n">
        <v>33789</v>
      </c>
      <c r="B1332" t="n">
        <v>3212000</v>
      </c>
      <c r="C1332" t="n">
        <v>407000</v>
      </c>
    </row>
    <row r="1333">
      <c r="A1333" s="79" t="n">
        <v>33796</v>
      </c>
      <c r="B1333" t="n">
        <v>3103000</v>
      </c>
      <c r="C1333" t="n">
        <v>408000</v>
      </c>
    </row>
    <row r="1334">
      <c r="A1334" s="79" t="n">
        <v>33803</v>
      </c>
      <c r="B1334" t="n">
        <v>3238000</v>
      </c>
      <c r="C1334" t="n">
        <v>392000</v>
      </c>
    </row>
    <row r="1335">
      <c r="A1335" s="79" t="n">
        <v>33810</v>
      </c>
      <c r="B1335" t="n">
        <v>3318000</v>
      </c>
      <c r="C1335" t="n">
        <v>564000</v>
      </c>
    </row>
    <row r="1336">
      <c r="A1336" s="79" t="n">
        <v>33817</v>
      </c>
      <c r="B1336" t="n">
        <v>3467000</v>
      </c>
      <c r="C1336" t="n">
        <v>423000</v>
      </c>
    </row>
    <row r="1337">
      <c r="A1337" s="79" t="n">
        <v>33824</v>
      </c>
      <c r="B1337" t="n">
        <v>3211000</v>
      </c>
      <c r="C1337" t="n">
        <v>406000</v>
      </c>
    </row>
    <row r="1338">
      <c r="A1338" s="79" t="n">
        <v>33831</v>
      </c>
      <c r="B1338" t="n">
        <v>3210000</v>
      </c>
      <c r="C1338" t="n">
        <v>401000</v>
      </c>
    </row>
    <row r="1339">
      <c r="A1339" s="79" t="n">
        <v>33838</v>
      </c>
      <c r="B1339" t="n">
        <v>3188000</v>
      </c>
      <c r="C1339" t="n">
        <v>398000</v>
      </c>
    </row>
    <row r="1340">
      <c r="A1340" s="79" t="n">
        <v>33845</v>
      </c>
      <c r="B1340" t="n">
        <v>3175000</v>
      </c>
      <c r="C1340" t="n">
        <v>408000</v>
      </c>
    </row>
    <row r="1341">
      <c r="A1341" s="79" t="n">
        <v>33852</v>
      </c>
      <c r="B1341" t="n">
        <v>3167000</v>
      </c>
      <c r="C1341" t="n">
        <v>416000</v>
      </c>
    </row>
    <row r="1342">
      <c r="A1342" s="79" t="n">
        <v>33859</v>
      </c>
      <c r="B1342" t="n">
        <v>3261000</v>
      </c>
      <c r="C1342" t="n">
        <v>416000</v>
      </c>
    </row>
    <row r="1343">
      <c r="A1343" s="79" t="n">
        <v>33866</v>
      </c>
      <c r="B1343" t="n">
        <v>3195000</v>
      </c>
      <c r="C1343" t="n">
        <v>427000</v>
      </c>
    </row>
    <row r="1344">
      <c r="A1344" s="79" t="n">
        <v>33873</v>
      </c>
      <c r="B1344" t="n">
        <v>3194000</v>
      </c>
      <c r="C1344" t="n">
        <v>409000</v>
      </c>
    </row>
    <row r="1345">
      <c r="A1345" s="79" t="n">
        <v>33880</v>
      </c>
      <c r="B1345" t="n">
        <v>3121000</v>
      </c>
      <c r="C1345" t="n">
        <v>398000</v>
      </c>
    </row>
    <row r="1346">
      <c r="A1346" s="79" t="n">
        <v>33887</v>
      </c>
      <c r="B1346" t="n">
        <v>3072000</v>
      </c>
      <c r="C1346" t="n">
        <v>374000</v>
      </c>
    </row>
    <row r="1347">
      <c r="A1347" s="79" t="n">
        <v>33894</v>
      </c>
      <c r="B1347" t="n">
        <v>3083000</v>
      </c>
      <c r="C1347" t="n">
        <v>385000</v>
      </c>
    </row>
    <row r="1348">
      <c r="A1348" s="79" t="n">
        <v>33901</v>
      </c>
      <c r="B1348" t="n">
        <v>3063000</v>
      </c>
      <c r="C1348" t="n">
        <v>367000</v>
      </c>
    </row>
    <row r="1349">
      <c r="A1349" s="79" t="n">
        <v>33908</v>
      </c>
      <c r="B1349" t="n">
        <v>2973000</v>
      </c>
      <c r="C1349" t="n">
        <v>365000</v>
      </c>
    </row>
    <row r="1350">
      <c r="A1350" s="79" t="n">
        <v>33915</v>
      </c>
      <c r="B1350" t="n">
        <v>3017000</v>
      </c>
      <c r="C1350" t="n">
        <v>374000</v>
      </c>
    </row>
    <row r="1351">
      <c r="A1351" s="79" t="n">
        <v>33922</v>
      </c>
      <c r="B1351" t="n">
        <v>2962000</v>
      </c>
      <c r="C1351" t="n">
        <v>377000</v>
      </c>
    </row>
    <row r="1352">
      <c r="A1352" s="79" t="n">
        <v>33929</v>
      </c>
      <c r="B1352" t="n">
        <v>2906000</v>
      </c>
      <c r="C1352" t="n">
        <v>357000</v>
      </c>
    </row>
    <row r="1353">
      <c r="A1353" s="79" t="n">
        <v>33936</v>
      </c>
      <c r="B1353" t="n">
        <v>2911000</v>
      </c>
      <c r="C1353" t="n">
        <v>341000</v>
      </c>
    </row>
    <row r="1354">
      <c r="A1354" s="79" t="n">
        <v>33943</v>
      </c>
      <c r="B1354" t="n">
        <v>2918000</v>
      </c>
      <c r="C1354" t="n">
        <v>350000</v>
      </c>
    </row>
    <row r="1355">
      <c r="A1355" s="79" t="n">
        <v>33950</v>
      </c>
      <c r="B1355" t="n">
        <v>2807000</v>
      </c>
      <c r="C1355" t="n">
        <v>359000</v>
      </c>
    </row>
    <row r="1356">
      <c r="A1356" s="79" t="n">
        <v>33957</v>
      </c>
      <c r="B1356" t="n">
        <v>2770000</v>
      </c>
      <c r="C1356" t="n">
        <v>334000</v>
      </c>
    </row>
    <row r="1357">
      <c r="A1357" s="79" t="n">
        <v>33964</v>
      </c>
      <c r="B1357" t="n">
        <v>2800000</v>
      </c>
      <c r="C1357" t="n">
        <v>313000</v>
      </c>
    </row>
    <row r="1358">
      <c r="A1358" s="79" t="n">
        <v>33971</v>
      </c>
      <c r="B1358" t="n">
        <v>2729000</v>
      </c>
      <c r="C1358" t="n">
        <v>341000</v>
      </c>
    </row>
    <row r="1359">
      <c r="A1359" s="79" t="n">
        <v>33978</v>
      </c>
      <c r="B1359" t="n">
        <v>2697000</v>
      </c>
      <c r="C1359" t="n">
        <v>354000</v>
      </c>
    </row>
    <row r="1360">
      <c r="A1360" s="79" t="n">
        <v>33985</v>
      </c>
      <c r="B1360" t="n">
        <v>2749000</v>
      </c>
      <c r="C1360" t="n">
        <v>352000</v>
      </c>
    </row>
    <row r="1361">
      <c r="A1361" s="79" t="n">
        <v>33992</v>
      </c>
      <c r="B1361" t="n">
        <v>2727000</v>
      </c>
      <c r="C1361" t="n">
        <v>341000</v>
      </c>
    </row>
    <row r="1362">
      <c r="A1362" s="79" t="n">
        <v>33999</v>
      </c>
      <c r="B1362" t="n">
        <v>2663000</v>
      </c>
      <c r="C1362" t="n">
        <v>340000</v>
      </c>
    </row>
    <row r="1363">
      <c r="A1363" s="79" t="n">
        <v>34006</v>
      </c>
      <c r="B1363" t="n">
        <v>2645000</v>
      </c>
      <c r="C1363" t="n">
        <v>319000</v>
      </c>
    </row>
    <row r="1364">
      <c r="A1364" s="79" t="n">
        <v>34013</v>
      </c>
      <c r="B1364" t="n">
        <v>2628000</v>
      </c>
      <c r="C1364" t="n">
        <v>321000</v>
      </c>
    </row>
    <row r="1365">
      <c r="A1365" s="79" t="n">
        <v>34020</v>
      </c>
      <c r="B1365" t="n">
        <v>2646000</v>
      </c>
      <c r="C1365" t="n">
        <v>351000</v>
      </c>
    </row>
    <row r="1366">
      <c r="A1366" s="79" t="n">
        <v>34027</v>
      </c>
      <c r="B1366" t="n">
        <v>2645000</v>
      </c>
      <c r="C1366" t="n">
        <v>362000</v>
      </c>
    </row>
    <row r="1367">
      <c r="A1367" s="79" t="n">
        <v>34034</v>
      </c>
      <c r="B1367" t="n">
        <v>2683000</v>
      </c>
      <c r="C1367" t="n">
        <v>354000</v>
      </c>
    </row>
    <row r="1368">
      <c r="A1368" s="79" t="n">
        <v>34041</v>
      </c>
      <c r="B1368" t="n">
        <v>2618000</v>
      </c>
      <c r="C1368" t="n">
        <v>346000</v>
      </c>
    </row>
    <row r="1369">
      <c r="A1369" s="79" t="n">
        <v>34048</v>
      </c>
      <c r="B1369" t="n">
        <v>2724000</v>
      </c>
      <c r="C1369" t="n">
        <v>338000</v>
      </c>
    </row>
    <row r="1370">
      <c r="A1370" s="79" t="n">
        <v>34055</v>
      </c>
      <c r="B1370" t="n">
        <v>2725000</v>
      </c>
      <c r="C1370" t="n">
        <v>366000</v>
      </c>
    </row>
    <row r="1371">
      <c r="A1371" s="79" t="n">
        <v>34062</v>
      </c>
      <c r="B1371" t="n">
        <v>2729000</v>
      </c>
      <c r="C1371" t="n">
        <v>365000</v>
      </c>
    </row>
    <row r="1372">
      <c r="A1372" s="79" t="n">
        <v>34069</v>
      </c>
      <c r="B1372" t="n">
        <v>2781000</v>
      </c>
      <c r="C1372" t="n">
        <v>353000</v>
      </c>
    </row>
    <row r="1373">
      <c r="A1373" s="79" t="n">
        <v>34076</v>
      </c>
      <c r="B1373" t="n">
        <v>2800000</v>
      </c>
      <c r="C1373" t="n">
        <v>351000</v>
      </c>
    </row>
    <row r="1374">
      <c r="A1374" s="79" t="n">
        <v>34083</v>
      </c>
      <c r="B1374" t="n">
        <v>2792000</v>
      </c>
      <c r="C1374" t="n">
        <v>350000</v>
      </c>
    </row>
    <row r="1375">
      <c r="A1375" s="79" t="n">
        <v>34090</v>
      </c>
      <c r="B1375" t="n">
        <v>2747000</v>
      </c>
      <c r="C1375" t="n">
        <v>343000</v>
      </c>
    </row>
    <row r="1376">
      <c r="A1376" s="79" t="n">
        <v>34097</v>
      </c>
      <c r="B1376" t="n">
        <v>2820000</v>
      </c>
      <c r="C1376" t="n">
        <v>339000</v>
      </c>
    </row>
    <row r="1377">
      <c r="A1377" s="79" t="n">
        <v>34104</v>
      </c>
      <c r="B1377" t="n">
        <v>2772000</v>
      </c>
      <c r="C1377" t="n">
        <v>345000</v>
      </c>
    </row>
    <row r="1378">
      <c r="A1378" s="79" t="n">
        <v>34111</v>
      </c>
      <c r="B1378" t="n">
        <v>2816000</v>
      </c>
      <c r="C1378" t="n">
        <v>342000</v>
      </c>
    </row>
    <row r="1379">
      <c r="A1379" s="79" t="n">
        <v>34118</v>
      </c>
      <c r="B1379" t="n">
        <v>2737000</v>
      </c>
      <c r="C1379" t="n">
        <v>349000</v>
      </c>
    </row>
    <row r="1380">
      <c r="A1380" s="79" t="n">
        <v>34125</v>
      </c>
      <c r="B1380" t="n">
        <v>2808000</v>
      </c>
      <c r="C1380" t="n">
        <v>343000</v>
      </c>
    </row>
    <row r="1381">
      <c r="A1381" s="79" t="n">
        <v>34132</v>
      </c>
      <c r="B1381" t="n">
        <v>2836000</v>
      </c>
      <c r="C1381" t="n">
        <v>343000</v>
      </c>
    </row>
    <row r="1382">
      <c r="A1382" s="79" t="n">
        <v>34139</v>
      </c>
      <c r="B1382" t="n">
        <v>2857000</v>
      </c>
      <c r="C1382" t="n">
        <v>345000</v>
      </c>
    </row>
    <row r="1383">
      <c r="A1383" s="79" t="n">
        <v>34146</v>
      </c>
      <c r="B1383" t="n">
        <v>2747000</v>
      </c>
      <c r="C1383" t="n">
        <v>340000</v>
      </c>
    </row>
    <row r="1384">
      <c r="A1384" s="79" t="n">
        <v>34153</v>
      </c>
      <c r="B1384" t="n">
        <v>2724000</v>
      </c>
      <c r="C1384" t="n">
        <v>334000</v>
      </c>
    </row>
    <row r="1385">
      <c r="A1385" s="79" t="n">
        <v>34160</v>
      </c>
      <c r="B1385" t="n">
        <v>2778000</v>
      </c>
      <c r="C1385" t="n">
        <v>314000</v>
      </c>
    </row>
    <row r="1386">
      <c r="A1386" s="79" t="n">
        <v>34167</v>
      </c>
      <c r="B1386" t="n">
        <v>2766000</v>
      </c>
      <c r="C1386" t="n">
        <v>335000</v>
      </c>
    </row>
    <row r="1387">
      <c r="A1387" s="79" t="n">
        <v>34174</v>
      </c>
      <c r="B1387" t="n">
        <v>2803000</v>
      </c>
      <c r="C1387" t="n">
        <v>415000</v>
      </c>
    </row>
    <row r="1388">
      <c r="A1388" s="79" t="n">
        <v>34181</v>
      </c>
      <c r="B1388" t="n">
        <v>2843000</v>
      </c>
      <c r="C1388" t="n">
        <v>356000</v>
      </c>
    </row>
    <row r="1389">
      <c r="A1389" s="79" t="n">
        <v>34188</v>
      </c>
      <c r="B1389" t="n">
        <v>2813000</v>
      </c>
      <c r="C1389" t="n">
        <v>346000</v>
      </c>
    </row>
    <row r="1390">
      <c r="A1390" s="79" t="n">
        <v>34195</v>
      </c>
      <c r="B1390" t="n">
        <v>2791000</v>
      </c>
      <c r="C1390" t="n">
        <v>339000</v>
      </c>
    </row>
    <row r="1391">
      <c r="A1391" s="79" t="n">
        <v>34202</v>
      </c>
      <c r="B1391" t="n">
        <v>2821000</v>
      </c>
      <c r="C1391" t="n">
        <v>342000</v>
      </c>
    </row>
    <row r="1392">
      <c r="A1392" s="79" t="n">
        <v>34209</v>
      </c>
      <c r="B1392" t="n">
        <v>2788000</v>
      </c>
      <c r="C1392" t="n">
        <v>337000</v>
      </c>
    </row>
    <row r="1393">
      <c r="A1393" s="79" t="n">
        <v>34216</v>
      </c>
      <c r="B1393" t="n">
        <v>2768000</v>
      </c>
      <c r="C1393" t="n">
        <v>334000</v>
      </c>
    </row>
    <row r="1394">
      <c r="A1394" s="79" t="n">
        <v>34223</v>
      </c>
      <c r="B1394" t="n">
        <v>2844000</v>
      </c>
      <c r="C1394" t="n">
        <v>333000</v>
      </c>
    </row>
    <row r="1395">
      <c r="A1395" s="79" t="n">
        <v>34230</v>
      </c>
      <c r="B1395" t="n">
        <v>2856000</v>
      </c>
      <c r="C1395" t="n">
        <v>346000</v>
      </c>
    </row>
    <row r="1396">
      <c r="A1396" s="79" t="n">
        <v>34237</v>
      </c>
      <c r="B1396" t="n">
        <v>2836000</v>
      </c>
      <c r="C1396" t="n">
        <v>343000</v>
      </c>
    </row>
    <row r="1397">
      <c r="A1397" s="79" t="n">
        <v>34244</v>
      </c>
      <c r="B1397" t="n">
        <v>2810000</v>
      </c>
      <c r="C1397" t="n">
        <v>333000</v>
      </c>
    </row>
    <row r="1398">
      <c r="A1398" s="79" t="n">
        <v>34251</v>
      </c>
      <c r="B1398" t="n">
        <v>2799000</v>
      </c>
      <c r="C1398" t="n">
        <v>355000</v>
      </c>
    </row>
    <row r="1399">
      <c r="A1399" s="79" t="n">
        <v>34258</v>
      </c>
      <c r="B1399" t="n">
        <v>2833000</v>
      </c>
      <c r="C1399" t="n">
        <v>359000</v>
      </c>
    </row>
    <row r="1400">
      <c r="A1400" s="79" t="n">
        <v>34265</v>
      </c>
      <c r="B1400" t="n">
        <v>2882000</v>
      </c>
      <c r="C1400" t="n">
        <v>354000</v>
      </c>
    </row>
    <row r="1401">
      <c r="A1401" s="79" t="n">
        <v>34272</v>
      </c>
      <c r="B1401" t="n">
        <v>2801000</v>
      </c>
      <c r="C1401" t="n">
        <v>348000</v>
      </c>
    </row>
    <row r="1402">
      <c r="A1402" s="79" t="n">
        <v>34279</v>
      </c>
      <c r="B1402" t="n">
        <v>2833000</v>
      </c>
      <c r="C1402" t="n">
        <v>350000</v>
      </c>
    </row>
    <row r="1403">
      <c r="A1403" s="79" t="n">
        <v>34286</v>
      </c>
      <c r="B1403" t="n">
        <v>2785000</v>
      </c>
      <c r="C1403" t="n">
        <v>341000</v>
      </c>
    </row>
    <row r="1404">
      <c r="A1404" s="79" t="n">
        <v>34293</v>
      </c>
      <c r="B1404" t="n">
        <v>2801000</v>
      </c>
      <c r="C1404" t="n">
        <v>336000</v>
      </c>
    </row>
    <row r="1405">
      <c r="A1405" s="79" t="n">
        <v>34300</v>
      </c>
      <c r="B1405" t="n">
        <v>2784000</v>
      </c>
      <c r="C1405" t="n">
        <v>337000</v>
      </c>
    </row>
    <row r="1406">
      <c r="A1406" s="79" t="n">
        <v>34307</v>
      </c>
      <c r="B1406" t="n">
        <v>2802000</v>
      </c>
      <c r="C1406" t="n">
        <v>337000</v>
      </c>
    </row>
    <row r="1407">
      <c r="A1407" s="79" t="n">
        <v>34314</v>
      </c>
      <c r="B1407" t="n">
        <v>2747000</v>
      </c>
      <c r="C1407" t="n">
        <v>334000</v>
      </c>
    </row>
    <row r="1408">
      <c r="A1408" s="79" t="n">
        <v>34321</v>
      </c>
      <c r="B1408" t="n">
        <v>2780000</v>
      </c>
      <c r="C1408" t="n">
        <v>331000</v>
      </c>
    </row>
    <row r="1409">
      <c r="A1409" s="79" t="n">
        <v>34328</v>
      </c>
      <c r="B1409" t="n">
        <v>2720000</v>
      </c>
      <c r="C1409" t="n">
        <v>290000</v>
      </c>
    </row>
    <row r="1410">
      <c r="A1410" s="79" t="n">
        <v>34335</v>
      </c>
      <c r="B1410" t="n">
        <v>2633000</v>
      </c>
      <c r="C1410" t="n">
        <v>341000</v>
      </c>
    </row>
    <row r="1411">
      <c r="A1411" s="79" t="n">
        <v>34342</v>
      </c>
      <c r="B1411" t="n">
        <v>2705000</v>
      </c>
      <c r="C1411" t="n">
        <v>343000</v>
      </c>
    </row>
    <row r="1412">
      <c r="A1412" s="79" t="n">
        <v>34349</v>
      </c>
      <c r="B1412" t="n">
        <v>2634000</v>
      </c>
      <c r="C1412" t="n">
        <v>355000</v>
      </c>
    </row>
    <row r="1413">
      <c r="A1413" s="79" t="n">
        <v>34356</v>
      </c>
      <c r="B1413" t="n">
        <v>2814000</v>
      </c>
      <c r="C1413" t="n">
        <v>351000</v>
      </c>
    </row>
    <row r="1414">
      <c r="A1414" s="79" t="n">
        <v>34363</v>
      </c>
      <c r="B1414" t="n">
        <v>2762000</v>
      </c>
      <c r="C1414" t="n">
        <v>406000</v>
      </c>
    </row>
    <row r="1415">
      <c r="A1415" s="79" t="n">
        <v>34370</v>
      </c>
      <c r="B1415" t="n">
        <v>2764000</v>
      </c>
      <c r="C1415" t="n">
        <v>361000</v>
      </c>
    </row>
    <row r="1416">
      <c r="A1416" s="79" t="n">
        <v>34377</v>
      </c>
      <c r="B1416" t="n">
        <v>2861000</v>
      </c>
      <c r="C1416" t="n">
        <v>354000</v>
      </c>
    </row>
    <row r="1417">
      <c r="A1417" s="79" t="n">
        <v>34384</v>
      </c>
      <c r="B1417" t="n">
        <v>2748000</v>
      </c>
      <c r="C1417" t="n">
        <v>352000</v>
      </c>
    </row>
    <row r="1418">
      <c r="A1418" s="79" t="n">
        <v>34391</v>
      </c>
      <c r="B1418" t="n">
        <v>2797000</v>
      </c>
      <c r="C1418" t="n">
        <v>327000</v>
      </c>
    </row>
    <row r="1419">
      <c r="A1419" s="79" t="n">
        <v>34398</v>
      </c>
      <c r="B1419" t="n">
        <v>2779000</v>
      </c>
      <c r="C1419" t="n">
        <v>348000</v>
      </c>
    </row>
    <row r="1420">
      <c r="A1420" s="79" t="n">
        <v>34405</v>
      </c>
      <c r="B1420" t="n">
        <v>2783000</v>
      </c>
      <c r="C1420" t="n">
        <v>341000</v>
      </c>
    </row>
    <row r="1421">
      <c r="A1421" s="79" t="n">
        <v>34412</v>
      </c>
      <c r="B1421" t="n">
        <v>2746000</v>
      </c>
      <c r="C1421" t="n">
        <v>332000</v>
      </c>
    </row>
    <row r="1422">
      <c r="A1422" s="79" t="n">
        <v>34419</v>
      </c>
      <c r="B1422" t="n">
        <v>2710000</v>
      </c>
      <c r="C1422" t="n">
        <v>322000</v>
      </c>
    </row>
    <row r="1423">
      <c r="A1423" s="79" t="n">
        <v>34426</v>
      </c>
      <c r="B1423" t="n">
        <v>2730000</v>
      </c>
      <c r="C1423" t="n">
        <v>342000</v>
      </c>
    </row>
    <row r="1424">
      <c r="A1424" s="79" t="n">
        <v>34433</v>
      </c>
      <c r="B1424" t="n">
        <v>2773000</v>
      </c>
      <c r="C1424" t="n">
        <v>349000</v>
      </c>
    </row>
    <row r="1425">
      <c r="A1425" s="79" t="n">
        <v>34440</v>
      </c>
      <c r="B1425" t="n">
        <v>2716000</v>
      </c>
      <c r="C1425" t="n">
        <v>354000</v>
      </c>
    </row>
    <row r="1426">
      <c r="A1426" s="79" t="n">
        <v>34447</v>
      </c>
      <c r="B1426" t="n">
        <v>2695000</v>
      </c>
      <c r="C1426" t="n">
        <v>331000</v>
      </c>
    </row>
    <row r="1427">
      <c r="A1427" s="79" t="n">
        <v>34454</v>
      </c>
      <c r="B1427" t="n">
        <v>2769000</v>
      </c>
      <c r="C1427" t="n">
        <v>344000</v>
      </c>
    </row>
    <row r="1428">
      <c r="A1428" s="79" t="n">
        <v>34461</v>
      </c>
      <c r="B1428" t="n">
        <v>2726000</v>
      </c>
      <c r="C1428" t="n">
        <v>371000</v>
      </c>
    </row>
    <row r="1429">
      <c r="A1429" s="79" t="n">
        <v>34468</v>
      </c>
      <c r="B1429" t="n">
        <v>2792000</v>
      </c>
      <c r="C1429" t="n">
        <v>360000</v>
      </c>
    </row>
    <row r="1430">
      <c r="A1430" s="79" t="n">
        <v>34475</v>
      </c>
      <c r="B1430" t="n">
        <v>2766000</v>
      </c>
      <c r="C1430" t="n">
        <v>357000</v>
      </c>
    </row>
    <row r="1431">
      <c r="A1431" s="79" t="n">
        <v>34482</v>
      </c>
      <c r="B1431" t="n">
        <v>2727000</v>
      </c>
      <c r="C1431" t="n">
        <v>348000</v>
      </c>
    </row>
    <row r="1432">
      <c r="A1432" s="79" t="n">
        <v>34489</v>
      </c>
      <c r="B1432" t="n">
        <v>2740000</v>
      </c>
      <c r="C1432" t="n">
        <v>345000</v>
      </c>
    </row>
    <row r="1433">
      <c r="A1433" s="79" t="n">
        <v>34496</v>
      </c>
      <c r="B1433" t="n">
        <v>2755000</v>
      </c>
      <c r="C1433" t="n">
        <v>338000</v>
      </c>
    </row>
    <row r="1434">
      <c r="A1434" s="79" t="n">
        <v>34503</v>
      </c>
      <c r="B1434" t="n">
        <v>2698000</v>
      </c>
      <c r="C1434" t="n">
        <v>336000</v>
      </c>
    </row>
    <row r="1435">
      <c r="A1435" s="79" t="n">
        <v>34510</v>
      </c>
      <c r="B1435" t="n">
        <v>2687000</v>
      </c>
      <c r="C1435" t="n">
        <v>341000</v>
      </c>
    </row>
    <row r="1436">
      <c r="A1436" s="79" t="n">
        <v>34517</v>
      </c>
      <c r="B1436" t="n">
        <v>2672000</v>
      </c>
      <c r="C1436" t="n">
        <v>334000</v>
      </c>
    </row>
    <row r="1437">
      <c r="A1437" s="79" t="n">
        <v>34524</v>
      </c>
      <c r="B1437" t="n">
        <v>2670000</v>
      </c>
      <c r="C1437" t="n">
        <v>341000</v>
      </c>
    </row>
    <row r="1438">
      <c r="A1438" s="79" t="n">
        <v>34531</v>
      </c>
      <c r="B1438" t="n">
        <v>2680000</v>
      </c>
      <c r="C1438" t="n">
        <v>359000</v>
      </c>
    </row>
    <row r="1439">
      <c r="A1439" s="79" t="n">
        <v>34538</v>
      </c>
      <c r="B1439" t="n">
        <v>2650000</v>
      </c>
      <c r="C1439" t="n">
        <v>345000</v>
      </c>
    </row>
    <row r="1440">
      <c r="A1440" s="79" t="n">
        <v>34545</v>
      </c>
      <c r="B1440" t="n">
        <v>2626000</v>
      </c>
      <c r="C1440" t="n">
        <v>332000</v>
      </c>
    </row>
    <row r="1441">
      <c r="A1441" s="79" t="n">
        <v>34552</v>
      </c>
      <c r="B1441" t="n">
        <v>2644000</v>
      </c>
      <c r="C1441" t="n">
        <v>338000</v>
      </c>
    </row>
    <row r="1442">
      <c r="A1442" s="79" t="n">
        <v>34559</v>
      </c>
      <c r="B1442" t="n">
        <v>2639000</v>
      </c>
      <c r="C1442" t="n">
        <v>335000</v>
      </c>
    </row>
    <row r="1443">
      <c r="A1443" s="79" t="n">
        <v>34566</v>
      </c>
      <c r="B1443" t="n">
        <v>2659000</v>
      </c>
      <c r="C1443" t="n">
        <v>331000</v>
      </c>
    </row>
    <row r="1444">
      <c r="A1444" s="79" t="n">
        <v>34573</v>
      </c>
      <c r="B1444" t="n">
        <v>2648000</v>
      </c>
      <c r="C1444" t="n">
        <v>341000</v>
      </c>
    </row>
    <row r="1445">
      <c r="A1445" s="79" t="n">
        <v>34580</v>
      </c>
      <c r="B1445" t="n">
        <v>2645000</v>
      </c>
      <c r="C1445" t="n">
        <v>339000</v>
      </c>
    </row>
    <row r="1446">
      <c r="A1446" s="79" t="n">
        <v>34587</v>
      </c>
      <c r="B1446" t="n">
        <v>2633000</v>
      </c>
      <c r="C1446" t="n">
        <v>331000</v>
      </c>
    </row>
    <row r="1447">
      <c r="A1447" s="79" t="n">
        <v>34594</v>
      </c>
      <c r="B1447" t="n">
        <v>2638000</v>
      </c>
      <c r="C1447" t="n">
        <v>326000</v>
      </c>
    </row>
    <row r="1448">
      <c r="A1448" s="79" t="n">
        <v>34601</v>
      </c>
      <c r="B1448" t="n">
        <v>2601000</v>
      </c>
      <c r="C1448" t="n">
        <v>325000</v>
      </c>
    </row>
    <row r="1449">
      <c r="A1449" s="79" t="n">
        <v>34608</v>
      </c>
      <c r="B1449" t="n">
        <v>2597000</v>
      </c>
      <c r="C1449" t="n">
        <v>330000</v>
      </c>
    </row>
    <row r="1450">
      <c r="A1450" s="79" t="n">
        <v>34615</v>
      </c>
      <c r="B1450" t="n">
        <v>2561000</v>
      </c>
      <c r="C1450" t="n">
        <v>341000</v>
      </c>
    </row>
    <row r="1451">
      <c r="A1451" s="79" t="n">
        <v>34622</v>
      </c>
      <c r="B1451" t="n">
        <v>2620000</v>
      </c>
      <c r="C1451" t="n">
        <v>335000</v>
      </c>
    </row>
    <row r="1452">
      <c r="A1452" s="79" t="n">
        <v>34629</v>
      </c>
      <c r="B1452" t="n">
        <v>2556000</v>
      </c>
      <c r="C1452" t="n">
        <v>330000</v>
      </c>
    </row>
    <row r="1453">
      <c r="A1453" s="79" t="n">
        <v>34636</v>
      </c>
      <c r="B1453" t="n">
        <v>2536000</v>
      </c>
      <c r="C1453" t="n">
        <v>331000</v>
      </c>
    </row>
    <row r="1454">
      <c r="A1454" s="79" t="n">
        <v>34643</v>
      </c>
      <c r="B1454" t="n">
        <v>2538000</v>
      </c>
      <c r="C1454" t="n">
        <v>328000</v>
      </c>
    </row>
    <row r="1455">
      <c r="A1455" s="79" t="n">
        <v>34650</v>
      </c>
      <c r="B1455" t="n">
        <v>2528000</v>
      </c>
      <c r="C1455" t="n">
        <v>329000</v>
      </c>
    </row>
    <row r="1456">
      <c r="A1456" s="79" t="n">
        <v>34657</v>
      </c>
      <c r="B1456" t="n">
        <v>2533000</v>
      </c>
      <c r="C1456" t="n">
        <v>326000</v>
      </c>
    </row>
    <row r="1457">
      <c r="A1457" s="79" t="n">
        <v>34664</v>
      </c>
      <c r="B1457" t="n">
        <v>2530000</v>
      </c>
      <c r="C1457" t="n">
        <v>329000</v>
      </c>
    </row>
    <row r="1458">
      <c r="A1458" s="79" t="n">
        <v>34671</v>
      </c>
      <c r="B1458" t="n">
        <v>2513000</v>
      </c>
      <c r="C1458" t="n">
        <v>324000</v>
      </c>
    </row>
    <row r="1459">
      <c r="A1459" s="79" t="n">
        <v>34678</v>
      </c>
      <c r="B1459" t="n">
        <v>2508000</v>
      </c>
      <c r="C1459" t="n">
        <v>329000</v>
      </c>
    </row>
    <row r="1460">
      <c r="A1460" s="79" t="n">
        <v>34685</v>
      </c>
      <c r="B1460" t="n">
        <v>2557000</v>
      </c>
      <c r="C1460" t="n">
        <v>330000</v>
      </c>
    </row>
    <row r="1461">
      <c r="A1461" s="79" t="n">
        <v>34692</v>
      </c>
      <c r="B1461" t="n">
        <v>2567000</v>
      </c>
      <c r="C1461" t="n">
        <v>314000</v>
      </c>
    </row>
    <row r="1462">
      <c r="A1462" s="79" t="n">
        <v>34699</v>
      </c>
      <c r="B1462" t="n">
        <v>2499000</v>
      </c>
      <c r="C1462" t="n">
        <v>319000</v>
      </c>
    </row>
    <row r="1463">
      <c r="A1463" s="79" t="n">
        <v>34706</v>
      </c>
      <c r="B1463" t="n">
        <v>2486000</v>
      </c>
      <c r="C1463" t="n">
        <v>338000</v>
      </c>
    </row>
    <row r="1464">
      <c r="A1464" s="79" t="n">
        <v>34713</v>
      </c>
      <c r="B1464" t="n">
        <v>2559000</v>
      </c>
      <c r="C1464" t="n">
        <v>347000</v>
      </c>
    </row>
    <row r="1465">
      <c r="A1465" s="79" t="n">
        <v>34720</v>
      </c>
      <c r="B1465" t="n">
        <v>2473000</v>
      </c>
      <c r="C1465" t="n">
        <v>325000</v>
      </c>
    </row>
    <row r="1466">
      <c r="A1466" s="79" t="n">
        <v>34727</v>
      </c>
      <c r="B1466" t="n">
        <v>2532000</v>
      </c>
      <c r="C1466" t="n">
        <v>324000</v>
      </c>
    </row>
    <row r="1467">
      <c r="A1467" s="79" t="n">
        <v>34734</v>
      </c>
      <c r="B1467" t="n">
        <v>2501000</v>
      </c>
      <c r="C1467" t="n">
        <v>324000</v>
      </c>
    </row>
    <row r="1468">
      <c r="A1468" s="79" t="n">
        <v>34741</v>
      </c>
      <c r="B1468" t="n">
        <v>2515000</v>
      </c>
      <c r="C1468" t="n">
        <v>348000</v>
      </c>
    </row>
    <row r="1469">
      <c r="A1469" s="79" t="n">
        <v>34748</v>
      </c>
      <c r="B1469" t="n">
        <v>2541000</v>
      </c>
      <c r="C1469" t="n">
        <v>343000</v>
      </c>
    </row>
    <row r="1470">
      <c r="A1470" s="79" t="n">
        <v>34755</v>
      </c>
      <c r="B1470" t="n">
        <v>2533000</v>
      </c>
      <c r="C1470" t="n">
        <v>336000</v>
      </c>
    </row>
    <row r="1471">
      <c r="A1471" s="79" t="n">
        <v>34762</v>
      </c>
      <c r="B1471" t="n">
        <v>2518000</v>
      </c>
      <c r="C1471" t="n">
        <v>339000</v>
      </c>
    </row>
    <row r="1472">
      <c r="A1472" s="79" t="n">
        <v>34769</v>
      </c>
      <c r="B1472" t="n">
        <v>2564000</v>
      </c>
      <c r="C1472" t="n">
        <v>347000</v>
      </c>
    </row>
    <row r="1473">
      <c r="A1473" s="79" t="n">
        <v>34776</v>
      </c>
      <c r="B1473" t="n">
        <v>2513000</v>
      </c>
      <c r="C1473" t="n">
        <v>343000</v>
      </c>
    </row>
    <row r="1474">
      <c r="A1474" s="79" t="n">
        <v>34783</v>
      </c>
      <c r="B1474" t="n">
        <v>2530000</v>
      </c>
      <c r="C1474" t="n">
        <v>332000</v>
      </c>
    </row>
    <row r="1475">
      <c r="A1475" s="79" t="n">
        <v>34790</v>
      </c>
      <c r="B1475" t="n">
        <v>2484000</v>
      </c>
      <c r="C1475" t="n">
        <v>335000</v>
      </c>
    </row>
    <row r="1476">
      <c r="A1476" s="79" t="n">
        <v>34797</v>
      </c>
      <c r="B1476" t="n">
        <v>2500000</v>
      </c>
      <c r="C1476" t="n">
        <v>347000</v>
      </c>
    </row>
    <row r="1477">
      <c r="A1477" s="79" t="n">
        <v>34804</v>
      </c>
      <c r="B1477" t="n">
        <v>2505000</v>
      </c>
      <c r="C1477" t="n">
        <v>355000</v>
      </c>
    </row>
    <row r="1478">
      <c r="A1478" s="79" t="n">
        <v>34811</v>
      </c>
      <c r="B1478" t="n">
        <v>2569000</v>
      </c>
      <c r="C1478" t="n">
        <v>349000</v>
      </c>
    </row>
    <row r="1479">
      <c r="A1479" s="79" t="n">
        <v>34818</v>
      </c>
      <c r="B1479" t="n">
        <v>2539000</v>
      </c>
      <c r="C1479" t="n">
        <v>365000</v>
      </c>
    </row>
    <row r="1480">
      <c r="A1480" s="79" t="n">
        <v>34825</v>
      </c>
      <c r="B1480" t="n">
        <v>2535000</v>
      </c>
      <c r="C1480" t="n">
        <v>364000</v>
      </c>
    </row>
    <row r="1481">
      <c r="A1481" s="79" t="n">
        <v>34832</v>
      </c>
      <c r="B1481" t="n">
        <v>2567000</v>
      </c>
      <c r="C1481" t="n">
        <v>366000</v>
      </c>
    </row>
    <row r="1482">
      <c r="A1482" s="79" t="n">
        <v>34839</v>
      </c>
      <c r="B1482" t="n">
        <v>2616000</v>
      </c>
      <c r="C1482" t="n">
        <v>377000</v>
      </c>
    </row>
    <row r="1483">
      <c r="A1483" s="79" t="n">
        <v>34846</v>
      </c>
      <c r="B1483" t="n">
        <v>2574000</v>
      </c>
      <c r="C1483" t="n">
        <v>374000</v>
      </c>
    </row>
    <row r="1484">
      <c r="A1484" s="79" t="n">
        <v>34853</v>
      </c>
      <c r="B1484" t="n">
        <v>2608000</v>
      </c>
      <c r="C1484" t="n">
        <v>362000</v>
      </c>
    </row>
    <row r="1485">
      <c r="A1485" s="79" t="n">
        <v>34860</v>
      </c>
      <c r="B1485" t="n">
        <v>2614000</v>
      </c>
      <c r="C1485" t="n">
        <v>367000</v>
      </c>
    </row>
    <row r="1486">
      <c r="A1486" s="79" t="n">
        <v>34867</v>
      </c>
      <c r="B1486" t="n">
        <v>2603000</v>
      </c>
      <c r="C1486" t="n">
        <v>378000</v>
      </c>
    </row>
    <row r="1487">
      <c r="A1487" s="79" t="n">
        <v>34874</v>
      </c>
      <c r="B1487" t="n">
        <v>2602000</v>
      </c>
      <c r="C1487" t="n">
        <v>358000</v>
      </c>
    </row>
    <row r="1488">
      <c r="A1488" s="79" t="n">
        <v>34881</v>
      </c>
      <c r="B1488" t="n">
        <v>2596000</v>
      </c>
      <c r="C1488" t="n">
        <v>355000</v>
      </c>
    </row>
    <row r="1489">
      <c r="A1489" s="79" t="n">
        <v>34888</v>
      </c>
      <c r="B1489" t="n">
        <v>2651000</v>
      </c>
      <c r="C1489" t="n">
        <v>372000</v>
      </c>
    </row>
    <row r="1490">
      <c r="A1490" s="79" t="n">
        <v>34895</v>
      </c>
      <c r="B1490" t="n">
        <v>2677000</v>
      </c>
      <c r="C1490" t="n">
        <v>389000</v>
      </c>
    </row>
    <row r="1491">
      <c r="A1491" s="79" t="n">
        <v>34902</v>
      </c>
      <c r="B1491" t="n">
        <v>2605000</v>
      </c>
      <c r="C1491" t="n">
        <v>390000</v>
      </c>
    </row>
    <row r="1492">
      <c r="A1492" s="79" t="n">
        <v>34909</v>
      </c>
      <c r="B1492" t="n">
        <v>2585000</v>
      </c>
      <c r="C1492" t="n">
        <v>351000</v>
      </c>
    </row>
    <row r="1493">
      <c r="A1493" s="79" t="n">
        <v>34916</v>
      </c>
      <c r="B1493" t="n">
        <v>2592000</v>
      </c>
      <c r="C1493" t="n">
        <v>351000</v>
      </c>
    </row>
    <row r="1494">
      <c r="A1494" s="79" t="n">
        <v>34923</v>
      </c>
      <c r="B1494" t="n">
        <v>2612000</v>
      </c>
      <c r="C1494" t="n">
        <v>353000</v>
      </c>
    </row>
    <row r="1495">
      <c r="A1495" s="79" t="n">
        <v>34930</v>
      </c>
      <c r="B1495" t="n">
        <v>2615000</v>
      </c>
      <c r="C1495" t="n">
        <v>362000</v>
      </c>
    </row>
    <row r="1496">
      <c r="A1496" s="79" t="n">
        <v>34937</v>
      </c>
      <c r="B1496" t="n">
        <v>2610000</v>
      </c>
      <c r="C1496" t="n">
        <v>359000</v>
      </c>
    </row>
    <row r="1497">
      <c r="A1497" s="79" t="n">
        <v>34944</v>
      </c>
      <c r="B1497" t="n">
        <v>2613000</v>
      </c>
      <c r="C1497" t="n">
        <v>355000</v>
      </c>
    </row>
    <row r="1498">
      <c r="A1498" s="79" t="n">
        <v>34951</v>
      </c>
      <c r="B1498" t="n">
        <v>2636000</v>
      </c>
      <c r="C1498" t="n">
        <v>371000</v>
      </c>
    </row>
    <row r="1499">
      <c r="A1499" s="79" t="n">
        <v>34958</v>
      </c>
      <c r="B1499" t="n">
        <v>2650000</v>
      </c>
      <c r="C1499" t="n">
        <v>376000</v>
      </c>
    </row>
    <row r="1500">
      <c r="A1500" s="79" t="n">
        <v>34965</v>
      </c>
      <c r="B1500" t="n">
        <v>2626000</v>
      </c>
      <c r="C1500" t="n">
        <v>353000</v>
      </c>
    </row>
    <row r="1501">
      <c r="A1501" s="79" t="n">
        <v>34972</v>
      </c>
      <c r="B1501" t="n">
        <v>2609000</v>
      </c>
      <c r="C1501" t="n">
        <v>355000</v>
      </c>
    </row>
    <row r="1502">
      <c r="A1502" s="79" t="n">
        <v>34979</v>
      </c>
      <c r="B1502" t="n">
        <v>2651000</v>
      </c>
      <c r="C1502" t="n">
        <v>374000</v>
      </c>
    </row>
    <row r="1503">
      <c r="A1503" s="79" t="n">
        <v>34986</v>
      </c>
      <c r="B1503" t="n">
        <v>2688000</v>
      </c>
      <c r="C1503" t="n">
        <v>369000</v>
      </c>
    </row>
    <row r="1504">
      <c r="A1504" s="79" t="n">
        <v>34993</v>
      </c>
      <c r="B1504" t="n">
        <v>2640000</v>
      </c>
      <c r="C1504" t="n">
        <v>366000</v>
      </c>
    </row>
    <row r="1505">
      <c r="A1505" s="79" t="n">
        <v>35000</v>
      </c>
      <c r="B1505" t="n">
        <v>2674000</v>
      </c>
      <c r="C1505" t="n">
        <v>377000</v>
      </c>
    </row>
    <row r="1506">
      <c r="A1506" s="79" t="n">
        <v>35007</v>
      </c>
      <c r="B1506" t="n">
        <v>2649000</v>
      </c>
      <c r="C1506" t="n">
        <v>380000</v>
      </c>
    </row>
    <row r="1507">
      <c r="A1507" s="79" t="n">
        <v>35014</v>
      </c>
      <c r="B1507" t="n">
        <v>2674000</v>
      </c>
      <c r="C1507" t="n">
        <v>370000</v>
      </c>
    </row>
    <row r="1508">
      <c r="A1508" s="79" t="n">
        <v>35021</v>
      </c>
      <c r="B1508" t="n">
        <v>2653000</v>
      </c>
      <c r="C1508" t="n">
        <v>379000</v>
      </c>
    </row>
    <row r="1509">
      <c r="A1509" s="79" t="n">
        <v>35028</v>
      </c>
      <c r="B1509" t="n">
        <v>2712000</v>
      </c>
      <c r="C1509" t="n">
        <v>379000</v>
      </c>
    </row>
    <row r="1510">
      <c r="A1510" s="79" t="n">
        <v>35035</v>
      </c>
      <c r="B1510" t="n">
        <v>2623000</v>
      </c>
      <c r="C1510" t="n">
        <v>373000</v>
      </c>
    </row>
    <row r="1511">
      <c r="A1511" s="79" t="n">
        <v>35042</v>
      </c>
      <c r="B1511" t="n">
        <v>2629000</v>
      </c>
      <c r="C1511" t="n">
        <v>346000</v>
      </c>
    </row>
    <row r="1512">
      <c r="A1512" s="79" t="n">
        <v>35049</v>
      </c>
      <c r="B1512" t="n">
        <v>2631000</v>
      </c>
      <c r="C1512" t="n">
        <v>373000</v>
      </c>
    </row>
    <row r="1513">
      <c r="A1513" s="79" t="n">
        <v>35056</v>
      </c>
      <c r="B1513" t="n">
        <v>2622000</v>
      </c>
      <c r="C1513" t="n">
        <v>374000</v>
      </c>
    </row>
    <row r="1514">
      <c r="A1514" s="79" t="n">
        <v>35063</v>
      </c>
      <c r="B1514" t="n">
        <v>2558000</v>
      </c>
      <c r="C1514" t="n">
        <v>359000</v>
      </c>
    </row>
    <row r="1515">
      <c r="A1515" s="79" t="n">
        <v>35070</v>
      </c>
      <c r="B1515" t="n">
        <v>2549000</v>
      </c>
      <c r="C1515" t="n">
        <v>361000</v>
      </c>
    </row>
    <row r="1516">
      <c r="A1516" s="79" t="n">
        <v>35077</v>
      </c>
      <c r="B1516" t="n">
        <v>2702000</v>
      </c>
      <c r="C1516" t="n">
        <v>333000</v>
      </c>
    </row>
    <row r="1517">
      <c r="A1517" s="79" t="n">
        <v>35084</v>
      </c>
      <c r="B1517" t="n">
        <v>2707000</v>
      </c>
      <c r="C1517" t="n">
        <v>415000</v>
      </c>
    </row>
    <row r="1518">
      <c r="A1518" s="79" t="n">
        <v>35091</v>
      </c>
      <c r="B1518" t="n">
        <v>2637000</v>
      </c>
      <c r="C1518" t="n">
        <v>387000</v>
      </c>
    </row>
    <row r="1519">
      <c r="A1519" s="79" t="n">
        <v>35098</v>
      </c>
      <c r="B1519" t="n">
        <v>2750000</v>
      </c>
      <c r="C1519" t="n">
        <v>374000</v>
      </c>
    </row>
    <row r="1520">
      <c r="A1520" s="79" t="n">
        <v>35105</v>
      </c>
      <c r="B1520" t="n">
        <v>2672000</v>
      </c>
      <c r="C1520" t="n">
        <v>387000</v>
      </c>
    </row>
    <row r="1521">
      <c r="A1521" s="79" t="n">
        <v>35112</v>
      </c>
      <c r="B1521" t="n">
        <v>2694000</v>
      </c>
      <c r="C1521" t="n">
        <v>383000</v>
      </c>
    </row>
    <row r="1522">
      <c r="A1522" s="79" t="n">
        <v>35119</v>
      </c>
      <c r="B1522" t="n">
        <v>2655000</v>
      </c>
      <c r="C1522" t="n">
        <v>365000</v>
      </c>
    </row>
    <row r="1523">
      <c r="A1523" s="79" t="n">
        <v>35126</v>
      </c>
      <c r="B1523" t="n">
        <v>2688000</v>
      </c>
      <c r="C1523" t="n">
        <v>368000</v>
      </c>
    </row>
    <row r="1524">
      <c r="A1524" s="79" t="n">
        <v>35133</v>
      </c>
      <c r="B1524" t="n">
        <v>2647000</v>
      </c>
      <c r="C1524" t="n">
        <v>361000</v>
      </c>
    </row>
    <row r="1525">
      <c r="A1525" s="79" t="n">
        <v>35140</v>
      </c>
      <c r="B1525" t="n">
        <v>2677000</v>
      </c>
      <c r="C1525" t="n">
        <v>384000</v>
      </c>
    </row>
    <row r="1526">
      <c r="A1526" s="79" t="n">
        <v>35147</v>
      </c>
      <c r="B1526" t="n">
        <v>2738000</v>
      </c>
      <c r="C1526" t="n">
        <v>426000</v>
      </c>
    </row>
    <row r="1527">
      <c r="A1527" s="79" t="n">
        <v>35154</v>
      </c>
      <c r="B1527" t="n">
        <v>2675000</v>
      </c>
      <c r="C1527" t="n">
        <v>393000</v>
      </c>
    </row>
    <row r="1528">
      <c r="A1528" s="79" t="n">
        <v>35161</v>
      </c>
      <c r="B1528" t="n">
        <v>2648000</v>
      </c>
      <c r="C1528" t="n">
        <v>369000</v>
      </c>
    </row>
    <row r="1529">
      <c r="A1529" s="79" t="n">
        <v>35168</v>
      </c>
      <c r="B1529" t="n">
        <v>2657000</v>
      </c>
      <c r="C1529" t="n">
        <v>357000</v>
      </c>
    </row>
    <row r="1530">
      <c r="A1530" s="79" t="n">
        <v>35175</v>
      </c>
      <c r="B1530" t="n">
        <v>2620000</v>
      </c>
      <c r="C1530" t="n">
        <v>368000</v>
      </c>
    </row>
    <row r="1531">
      <c r="A1531" s="79" t="n">
        <v>35182</v>
      </c>
      <c r="B1531" t="n">
        <v>2609000</v>
      </c>
      <c r="C1531" t="n">
        <v>343000</v>
      </c>
    </row>
    <row r="1532">
      <c r="A1532" s="79" t="n">
        <v>35189</v>
      </c>
      <c r="B1532" t="n">
        <v>2602000</v>
      </c>
      <c r="C1532" t="n">
        <v>338000</v>
      </c>
    </row>
    <row r="1533">
      <c r="A1533" s="79" t="n">
        <v>35196</v>
      </c>
      <c r="B1533" t="n">
        <v>2586000</v>
      </c>
      <c r="C1533" t="n">
        <v>352000</v>
      </c>
    </row>
    <row r="1534">
      <c r="A1534" s="79" t="n">
        <v>35203</v>
      </c>
      <c r="B1534" t="n">
        <v>2584000</v>
      </c>
      <c r="C1534" t="n">
        <v>345000</v>
      </c>
    </row>
    <row r="1535">
      <c r="A1535" s="79" t="n">
        <v>35210</v>
      </c>
      <c r="B1535" t="n">
        <v>2590000</v>
      </c>
      <c r="C1535" t="n">
        <v>343000</v>
      </c>
    </row>
    <row r="1536">
      <c r="A1536" s="79" t="n">
        <v>35217</v>
      </c>
      <c r="B1536" t="n">
        <v>2553000</v>
      </c>
      <c r="C1536" t="n">
        <v>340000</v>
      </c>
    </row>
    <row r="1537">
      <c r="A1537" s="79" t="n">
        <v>35224</v>
      </c>
      <c r="B1537" t="n">
        <v>2521000</v>
      </c>
      <c r="C1537" t="n">
        <v>351000</v>
      </c>
    </row>
    <row r="1538">
      <c r="A1538" s="79" t="n">
        <v>35231</v>
      </c>
      <c r="B1538" t="n">
        <v>2560000</v>
      </c>
      <c r="C1538" t="n">
        <v>342000</v>
      </c>
    </row>
    <row r="1539">
      <c r="A1539" s="79" t="n">
        <v>35238</v>
      </c>
      <c r="B1539" t="n">
        <v>2550000</v>
      </c>
      <c r="C1539" t="n">
        <v>341000</v>
      </c>
    </row>
    <row r="1540">
      <c r="A1540" s="79" t="n">
        <v>35245</v>
      </c>
      <c r="B1540" t="n">
        <v>2556000</v>
      </c>
      <c r="C1540" t="n">
        <v>337000</v>
      </c>
    </row>
    <row r="1541">
      <c r="A1541" s="79" t="n">
        <v>35252</v>
      </c>
      <c r="B1541" t="n">
        <v>2501000</v>
      </c>
      <c r="C1541" t="n">
        <v>342000</v>
      </c>
    </row>
    <row r="1542">
      <c r="A1542" s="79" t="n">
        <v>35259</v>
      </c>
      <c r="B1542" t="n">
        <v>2495000</v>
      </c>
      <c r="C1542" t="n">
        <v>347000</v>
      </c>
    </row>
    <row r="1543">
      <c r="A1543" s="79" t="n">
        <v>35266</v>
      </c>
      <c r="B1543" t="n">
        <v>2492000</v>
      </c>
      <c r="C1543" t="n">
        <v>332000</v>
      </c>
    </row>
    <row r="1544">
      <c r="A1544" s="79" t="n">
        <v>35273</v>
      </c>
      <c r="B1544" t="n">
        <v>2472000</v>
      </c>
      <c r="C1544" t="n">
        <v>327000</v>
      </c>
    </row>
    <row r="1545">
      <c r="A1545" s="79" t="n">
        <v>35280</v>
      </c>
      <c r="B1545" t="n">
        <v>2476000</v>
      </c>
      <c r="C1545" t="n">
        <v>326000</v>
      </c>
    </row>
    <row r="1546">
      <c r="A1546" s="79" t="n">
        <v>35287</v>
      </c>
      <c r="B1546" t="n">
        <v>2492000</v>
      </c>
      <c r="C1546" t="n">
        <v>331000</v>
      </c>
    </row>
    <row r="1547">
      <c r="A1547" s="79" t="n">
        <v>35294</v>
      </c>
      <c r="B1547" t="n">
        <v>2495000</v>
      </c>
      <c r="C1547" t="n">
        <v>336000</v>
      </c>
    </row>
    <row r="1548">
      <c r="A1548" s="79" t="n">
        <v>35301</v>
      </c>
      <c r="B1548" t="n">
        <v>2493000</v>
      </c>
      <c r="C1548" t="n">
        <v>337000</v>
      </c>
    </row>
    <row r="1549">
      <c r="A1549" s="79" t="n">
        <v>35308</v>
      </c>
      <c r="B1549" t="n">
        <v>2516000</v>
      </c>
      <c r="C1549" t="n">
        <v>329000</v>
      </c>
    </row>
    <row r="1550">
      <c r="A1550" s="79" t="n">
        <v>35315</v>
      </c>
      <c r="B1550" t="n">
        <v>2443000</v>
      </c>
      <c r="C1550" t="n">
        <v>333000</v>
      </c>
    </row>
    <row r="1551">
      <c r="A1551" s="79" t="n">
        <v>35322</v>
      </c>
      <c r="B1551" t="n">
        <v>2486000</v>
      </c>
      <c r="C1551" t="n">
        <v>338000</v>
      </c>
    </row>
    <row r="1552">
      <c r="A1552" s="79" t="n">
        <v>35329</v>
      </c>
      <c r="B1552" t="n">
        <v>2484000</v>
      </c>
      <c r="C1552" t="n">
        <v>352000</v>
      </c>
    </row>
    <row r="1553">
      <c r="A1553" s="79" t="n">
        <v>35336</v>
      </c>
      <c r="B1553" t="n">
        <v>2479000</v>
      </c>
      <c r="C1553" t="n">
        <v>348000</v>
      </c>
    </row>
    <row r="1554">
      <c r="A1554" s="79" t="n">
        <v>35343</v>
      </c>
      <c r="B1554" t="n">
        <v>2496000</v>
      </c>
      <c r="C1554" t="n">
        <v>335000</v>
      </c>
    </row>
    <row r="1555">
      <c r="A1555" s="79" t="n">
        <v>35350</v>
      </c>
      <c r="B1555" t="n">
        <v>2422000</v>
      </c>
      <c r="C1555" t="n">
        <v>334000</v>
      </c>
    </row>
    <row r="1556">
      <c r="A1556" s="79" t="n">
        <v>35357</v>
      </c>
      <c r="B1556" t="n">
        <v>2449000</v>
      </c>
      <c r="C1556" t="n">
        <v>335000</v>
      </c>
    </row>
    <row r="1557">
      <c r="A1557" s="79" t="n">
        <v>35364</v>
      </c>
      <c r="B1557" t="n">
        <v>2474000</v>
      </c>
      <c r="C1557" t="n">
        <v>352000</v>
      </c>
    </row>
    <row r="1558">
      <c r="A1558" s="79" t="n">
        <v>35371</v>
      </c>
      <c r="B1558" t="n">
        <v>2452000</v>
      </c>
      <c r="C1558" t="n">
        <v>334000</v>
      </c>
    </row>
    <row r="1559">
      <c r="A1559" s="79" t="n">
        <v>35378</v>
      </c>
      <c r="B1559" t="n">
        <v>2475000</v>
      </c>
      <c r="C1559" t="n">
        <v>327000</v>
      </c>
    </row>
    <row r="1560">
      <c r="A1560" s="79" t="n">
        <v>35385</v>
      </c>
      <c r="B1560" t="n">
        <v>2406000</v>
      </c>
      <c r="C1560" t="n">
        <v>342000</v>
      </c>
    </row>
    <row r="1561">
      <c r="A1561" s="79" t="n">
        <v>35392</v>
      </c>
      <c r="B1561" t="n">
        <v>2350000</v>
      </c>
      <c r="C1561" t="n">
        <v>347000</v>
      </c>
    </row>
    <row r="1562">
      <c r="A1562" s="79" t="n">
        <v>35399</v>
      </c>
      <c r="B1562" t="n">
        <v>2460000</v>
      </c>
      <c r="C1562" t="n">
        <v>332000</v>
      </c>
    </row>
    <row r="1563">
      <c r="A1563" s="79" t="n">
        <v>35406</v>
      </c>
      <c r="B1563" t="n">
        <v>2484000</v>
      </c>
      <c r="C1563" t="n">
        <v>355000</v>
      </c>
    </row>
    <row r="1564">
      <c r="A1564" s="79" t="n">
        <v>35413</v>
      </c>
      <c r="B1564" t="n">
        <v>2464000</v>
      </c>
      <c r="C1564" t="n">
        <v>352000</v>
      </c>
    </row>
    <row r="1565">
      <c r="A1565" s="79" t="n">
        <v>35420</v>
      </c>
      <c r="B1565" t="n">
        <v>2506000</v>
      </c>
      <c r="C1565" t="n">
        <v>350000</v>
      </c>
    </row>
    <row r="1566">
      <c r="A1566" s="79" t="n">
        <v>35427</v>
      </c>
      <c r="B1566" t="n">
        <v>2497000</v>
      </c>
      <c r="C1566" t="n">
        <v>357000</v>
      </c>
    </row>
    <row r="1567">
      <c r="A1567" s="79" t="n">
        <v>35434</v>
      </c>
      <c r="B1567" t="n">
        <v>2552000</v>
      </c>
      <c r="C1567" t="n">
        <v>347000</v>
      </c>
    </row>
    <row r="1568">
      <c r="A1568" s="79" t="n">
        <v>35441</v>
      </c>
      <c r="B1568" t="n">
        <v>2473000</v>
      </c>
      <c r="C1568" t="n">
        <v>324000</v>
      </c>
    </row>
    <row r="1569">
      <c r="A1569" s="79" t="n">
        <v>35448</v>
      </c>
      <c r="B1569" t="n">
        <v>2434000</v>
      </c>
      <c r="C1569" t="n">
        <v>345000</v>
      </c>
    </row>
    <row r="1570">
      <c r="A1570" s="79" t="n">
        <v>35455</v>
      </c>
      <c r="B1570" t="n">
        <v>2492000</v>
      </c>
      <c r="C1570" t="n">
        <v>340000</v>
      </c>
    </row>
    <row r="1571">
      <c r="A1571" s="79" t="n">
        <v>35462</v>
      </c>
      <c r="B1571" t="n">
        <v>2403000</v>
      </c>
      <c r="C1571" t="n">
        <v>333000</v>
      </c>
    </row>
    <row r="1572">
      <c r="A1572" s="79" t="n">
        <v>35469</v>
      </c>
      <c r="B1572" t="n">
        <v>2436000</v>
      </c>
      <c r="C1572" t="n">
        <v>315000</v>
      </c>
    </row>
    <row r="1573">
      <c r="A1573" s="79" t="n">
        <v>35476</v>
      </c>
      <c r="B1573" t="n">
        <v>2407000</v>
      </c>
      <c r="C1573" t="n">
        <v>313000</v>
      </c>
    </row>
    <row r="1574">
      <c r="A1574" s="79" t="n">
        <v>35483</v>
      </c>
      <c r="B1574" t="n">
        <v>2414000</v>
      </c>
      <c r="C1574" t="n">
        <v>322000</v>
      </c>
    </row>
    <row r="1575">
      <c r="A1575" s="79" t="n">
        <v>35490</v>
      </c>
      <c r="B1575" t="n">
        <v>2370000</v>
      </c>
      <c r="C1575" t="n">
        <v>321000</v>
      </c>
    </row>
    <row r="1576">
      <c r="A1576" s="79" t="n">
        <v>35497</v>
      </c>
      <c r="B1576" t="n">
        <v>2371000</v>
      </c>
      <c r="C1576" t="n">
        <v>317000</v>
      </c>
    </row>
    <row r="1577">
      <c r="A1577" s="79" t="n">
        <v>35504</v>
      </c>
      <c r="B1577" t="n">
        <v>2344000</v>
      </c>
      <c r="C1577" t="n">
        <v>319000</v>
      </c>
    </row>
    <row r="1578">
      <c r="A1578" s="79" t="n">
        <v>35511</v>
      </c>
      <c r="B1578" t="n">
        <v>2322000</v>
      </c>
      <c r="C1578" t="n">
        <v>315000</v>
      </c>
    </row>
    <row r="1579">
      <c r="A1579" s="79" t="n">
        <v>35518</v>
      </c>
      <c r="B1579" t="n">
        <v>2331000</v>
      </c>
      <c r="C1579" t="n">
        <v>325000</v>
      </c>
    </row>
    <row r="1580">
      <c r="A1580" s="79" t="n">
        <v>35525</v>
      </c>
      <c r="B1580" t="n">
        <v>2359000</v>
      </c>
      <c r="C1580" t="n">
        <v>325000</v>
      </c>
    </row>
    <row r="1581">
      <c r="A1581" s="79" t="n">
        <v>35532</v>
      </c>
      <c r="B1581" t="n">
        <v>2307000</v>
      </c>
      <c r="C1581" t="n">
        <v>330000</v>
      </c>
    </row>
    <row r="1582">
      <c r="A1582" s="79" t="n">
        <v>35539</v>
      </c>
      <c r="B1582" t="n">
        <v>2304000</v>
      </c>
      <c r="C1582" t="n">
        <v>316000</v>
      </c>
    </row>
    <row r="1583">
      <c r="A1583" s="79" t="n">
        <v>35546</v>
      </c>
      <c r="B1583" t="n">
        <v>2327000</v>
      </c>
      <c r="C1583" t="n">
        <v>337000</v>
      </c>
    </row>
    <row r="1584">
      <c r="A1584" s="79" t="n">
        <v>35553</v>
      </c>
      <c r="B1584" t="n">
        <v>2339000</v>
      </c>
      <c r="C1584" t="n">
        <v>342000</v>
      </c>
    </row>
    <row r="1585">
      <c r="A1585" s="79" t="n">
        <v>35560</v>
      </c>
      <c r="B1585" t="n">
        <v>2318000</v>
      </c>
      <c r="C1585" t="n">
        <v>318000</v>
      </c>
    </row>
    <row r="1586">
      <c r="A1586" s="79" t="n">
        <v>35567</v>
      </c>
      <c r="B1586" t="n">
        <v>2276000</v>
      </c>
      <c r="C1586" t="n">
        <v>322000</v>
      </c>
    </row>
    <row r="1587">
      <c r="A1587" s="79" t="n">
        <v>35574</v>
      </c>
      <c r="B1587" t="n">
        <v>2274000</v>
      </c>
      <c r="C1587" t="n">
        <v>316000</v>
      </c>
    </row>
    <row r="1588">
      <c r="A1588" s="79" t="n">
        <v>35581</v>
      </c>
      <c r="B1588" t="n">
        <v>2307000</v>
      </c>
      <c r="C1588" t="n">
        <v>321000</v>
      </c>
    </row>
    <row r="1589">
      <c r="A1589" s="79" t="n">
        <v>35588</v>
      </c>
      <c r="B1589" t="n">
        <v>2276000</v>
      </c>
      <c r="C1589" t="n">
        <v>329000</v>
      </c>
    </row>
    <row r="1590">
      <c r="A1590" s="79" t="n">
        <v>35595</v>
      </c>
      <c r="B1590" t="n">
        <v>2265000</v>
      </c>
      <c r="C1590" t="n">
        <v>335000</v>
      </c>
    </row>
    <row r="1591">
      <c r="A1591" s="79" t="n">
        <v>35602</v>
      </c>
      <c r="B1591" t="n">
        <v>2303000</v>
      </c>
      <c r="C1591" t="n">
        <v>316000</v>
      </c>
    </row>
    <row r="1592">
      <c r="A1592" s="79" t="n">
        <v>35609</v>
      </c>
      <c r="B1592" t="n">
        <v>2338000</v>
      </c>
      <c r="C1592" t="n">
        <v>322000</v>
      </c>
    </row>
    <row r="1593">
      <c r="A1593" s="79" t="n">
        <v>35616</v>
      </c>
      <c r="B1593" t="n">
        <v>2289000</v>
      </c>
      <c r="C1593" t="n">
        <v>346000</v>
      </c>
    </row>
    <row r="1594">
      <c r="A1594" s="79" t="n">
        <v>35623</v>
      </c>
      <c r="B1594" t="n">
        <v>2262000</v>
      </c>
      <c r="C1594" t="n">
        <v>328000</v>
      </c>
    </row>
    <row r="1595">
      <c r="A1595" s="79" t="n">
        <v>35630</v>
      </c>
      <c r="B1595" t="n">
        <v>2268000</v>
      </c>
      <c r="C1595" t="n">
        <v>301000</v>
      </c>
    </row>
    <row r="1596">
      <c r="A1596" s="79" t="n">
        <v>35637</v>
      </c>
      <c r="B1596" t="n">
        <v>2259000</v>
      </c>
      <c r="C1596" t="n">
        <v>306000</v>
      </c>
    </row>
    <row r="1597">
      <c r="A1597" s="79" t="n">
        <v>35644</v>
      </c>
      <c r="B1597" t="n">
        <v>2235000</v>
      </c>
      <c r="C1597" t="n">
        <v>320000</v>
      </c>
    </row>
    <row r="1598">
      <c r="A1598" s="79" t="n">
        <v>35651</v>
      </c>
      <c r="B1598" t="n">
        <v>2270000</v>
      </c>
      <c r="C1598" t="n">
        <v>329000</v>
      </c>
    </row>
    <row r="1599">
      <c r="A1599" s="79" t="n">
        <v>35658</v>
      </c>
      <c r="B1599" t="n">
        <v>2290000</v>
      </c>
      <c r="C1599" t="n">
        <v>343000</v>
      </c>
    </row>
    <row r="1600">
      <c r="A1600" s="79" t="n">
        <v>35665</v>
      </c>
      <c r="B1600" t="n">
        <v>2283000</v>
      </c>
      <c r="C1600" t="n">
        <v>327000</v>
      </c>
    </row>
    <row r="1601">
      <c r="A1601" s="79" t="n">
        <v>35672</v>
      </c>
      <c r="B1601" t="n">
        <v>2284000</v>
      </c>
      <c r="C1601" t="n">
        <v>332000</v>
      </c>
    </row>
    <row r="1602">
      <c r="A1602" s="79" t="n">
        <v>35679</v>
      </c>
      <c r="B1602" t="n">
        <v>2265000</v>
      </c>
      <c r="C1602" t="n">
        <v>313000</v>
      </c>
    </row>
    <row r="1603">
      <c r="A1603" s="79" t="n">
        <v>35686</v>
      </c>
      <c r="B1603" t="n">
        <v>2200000</v>
      </c>
      <c r="C1603" t="n">
        <v>314000</v>
      </c>
    </row>
    <row r="1604">
      <c r="A1604" s="79" t="n">
        <v>35693</v>
      </c>
      <c r="B1604" t="n">
        <v>2241000</v>
      </c>
      <c r="C1604" t="n">
        <v>317000</v>
      </c>
    </row>
    <row r="1605">
      <c r="A1605" s="79" t="n">
        <v>35700</v>
      </c>
      <c r="B1605" t="n">
        <v>2233000</v>
      </c>
      <c r="C1605" t="n">
        <v>317000</v>
      </c>
    </row>
    <row r="1606">
      <c r="A1606" s="79" t="n">
        <v>35707</v>
      </c>
      <c r="B1606" t="n">
        <v>2239000</v>
      </c>
      <c r="C1606" t="n">
        <v>311000</v>
      </c>
    </row>
    <row r="1607">
      <c r="A1607" s="79" t="n">
        <v>35714</v>
      </c>
      <c r="B1607" t="n">
        <v>2213000</v>
      </c>
      <c r="C1607" t="n">
        <v>305000</v>
      </c>
    </row>
    <row r="1608">
      <c r="A1608" s="79" t="n">
        <v>35721</v>
      </c>
      <c r="B1608" t="n">
        <v>2182000</v>
      </c>
      <c r="C1608" t="n">
        <v>318000</v>
      </c>
    </row>
    <row r="1609">
      <c r="A1609" s="79" t="n">
        <v>35728</v>
      </c>
      <c r="B1609" t="n">
        <v>2228000</v>
      </c>
      <c r="C1609" t="n">
        <v>306000</v>
      </c>
    </row>
    <row r="1610">
      <c r="A1610" s="79" t="n">
        <v>35735</v>
      </c>
      <c r="B1610" t="n">
        <v>2201000</v>
      </c>
      <c r="C1610" t="n">
        <v>313000</v>
      </c>
    </row>
    <row r="1611">
      <c r="A1611" s="79" t="n">
        <v>35742</v>
      </c>
      <c r="B1611" t="n">
        <v>2207000</v>
      </c>
      <c r="C1611" t="n">
        <v>308000</v>
      </c>
    </row>
    <row r="1612">
      <c r="A1612" s="79" t="n">
        <v>35749</v>
      </c>
      <c r="B1612" t="n">
        <v>2209000</v>
      </c>
      <c r="C1612" t="n">
        <v>325000</v>
      </c>
    </row>
    <row r="1613">
      <c r="A1613" s="79" t="n">
        <v>35756</v>
      </c>
      <c r="B1613" t="n">
        <v>2216000</v>
      </c>
      <c r="C1613" t="n">
        <v>309000</v>
      </c>
    </row>
    <row r="1614">
      <c r="A1614" s="79" t="n">
        <v>35763</v>
      </c>
      <c r="B1614" t="n">
        <v>2242000</v>
      </c>
      <c r="C1614" t="n">
        <v>318000</v>
      </c>
    </row>
    <row r="1615">
      <c r="A1615" s="79" t="n">
        <v>35770</v>
      </c>
      <c r="B1615" t="n">
        <v>2230000</v>
      </c>
      <c r="C1615" t="n">
        <v>317000</v>
      </c>
    </row>
    <row r="1616">
      <c r="A1616" s="79" t="n">
        <v>35777</v>
      </c>
      <c r="B1616" t="n">
        <v>2231000</v>
      </c>
      <c r="C1616" t="n">
        <v>323000</v>
      </c>
    </row>
    <row r="1617">
      <c r="A1617" s="79" t="n">
        <v>35784</v>
      </c>
      <c r="B1617" t="n">
        <v>2189000</v>
      </c>
      <c r="C1617" t="n">
        <v>310000</v>
      </c>
    </row>
    <row r="1618">
      <c r="A1618" s="79" t="n">
        <v>35791</v>
      </c>
      <c r="B1618" t="n">
        <v>2291000</v>
      </c>
      <c r="C1618" t="n">
        <v>303000</v>
      </c>
    </row>
    <row r="1619">
      <c r="A1619" s="79" t="n">
        <v>35798</v>
      </c>
      <c r="B1619" t="n">
        <v>2369000</v>
      </c>
      <c r="C1619" t="n">
        <v>312000</v>
      </c>
    </row>
    <row r="1620">
      <c r="A1620" s="79" t="n">
        <v>35805</v>
      </c>
      <c r="B1620" t="n">
        <v>2291000</v>
      </c>
      <c r="C1620" t="n">
        <v>331000</v>
      </c>
    </row>
    <row r="1621">
      <c r="A1621" s="79" t="n">
        <v>35812</v>
      </c>
      <c r="B1621" t="n">
        <v>2241000</v>
      </c>
      <c r="C1621" t="n">
        <v>341000</v>
      </c>
    </row>
    <row r="1622">
      <c r="A1622" s="79" t="n">
        <v>35819</v>
      </c>
      <c r="B1622" t="n">
        <v>2275000</v>
      </c>
      <c r="C1622" t="n">
        <v>307000</v>
      </c>
    </row>
    <row r="1623">
      <c r="A1623" s="79" t="n">
        <v>35826</v>
      </c>
      <c r="B1623" t="n">
        <v>2200000</v>
      </c>
      <c r="C1623" t="n">
        <v>315000</v>
      </c>
    </row>
    <row r="1624">
      <c r="A1624" s="79" t="n">
        <v>35833</v>
      </c>
      <c r="B1624" t="n">
        <v>2253000</v>
      </c>
      <c r="C1624" t="n">
        <v>311000</v>
      </c>
    </row>
    <row r="1625">
      <c r="A1625" s="79" t="n">
        <v>35840</v>
      </c>
      <c r="B1625" t="n">
        <v>2227000</v>
      </c>
      <c r="C1625" t="n">
        <v>321000</v>
      </c>
    </row>
    <row r="1626">
      <c r="A1626" s="79" t="n">
        <v>35847</v>
      </c>
      <c r="B1626" t="n">
        <v>2208000</v>
      </c>
      <c r="C1626" t="n">
        <v>327000</v>
      </c>
    </row>
    <row r="1627">
      <c r="A1627" s="79" t="n">
        <v>35854</v>
      </c>
      <c r="B1627" t="n">
        <v>2209000</v>
      </c>
      <c r="C1627" t="n">
        <v>317000</v>
      </c>
    </row>
    <row r="1628">
      <c r="A1628" s="79" t="n">
        <v>35861</v>
      </c>
      <c r="B1628" t="n">
        <v>2208000</v>
      </c>
      <c r="C1628" t="n">
        <v>308000</v>
      </c>
    </row>
    <row r="1629">
      <c r="A1629" s="79" t="n">
        <v>35868</v>
      </c>
      <c r="B1629" t="n">
        <v>2237000</v>
      </c>
      <c r="C1629" t="n">
        <v>319000</v>
      </c>
    </row>
    <row r="1630">
      <c r="A1630" s="79" t="n">
        <v>35875</v>
      </c>
      <c r="B1630" t="n">
        <v>2227000</v>
      </c>
      <c r="C1630" t="n">
        <v>321000</v>
      </c>
    </row>
    <row r="1631">
      <c r="A1631" s="79" t="n">
        <v>35882</v>
      </c>
      <c r="B1631" t="n">
        <v>2215000</v>
      </c>
      <c r="C1631" t="n">
        <v>312000</v>
      </c>
    </row>
    <row r="1632">
      <c r="A1632" s="79" t="n">
        <v>35889</v>
      </c>
      <c r="B1632" t="n">
        <v>2166000</v>
      </c>
      <c r="C1632" t="n">
        <v>312000</v>
      </c>
    </row>
    <row r="1633">
      <c r="A1633" s="79" t="n">
        <v>35896</v>
      </c>
      <c r="B1633" t="n">
        <v>2202000</v>
      </c>
      <c r="C1633" t="n">
        <v>304000</v>
      </c>
    </row>
    <row r="1634">
      <c r="A1634" s="79" t="n">
        <v>35903</v>
      </c>
      <c r="B1634" t="n">
        <v>2210000</v>
      </c>
      <c r="C1634" t="n">
        <v>317000</v>
      </c>
    </row>
    <row r="1635">
      <c r="A1635" s="79" t="n">
        <v>35910</v>
      </c>
      <c r="B1635" t="n">
        <v>2152000</v>
      </c>
      <c r="C1635" t="n">
        <v>311000</v>
      </c>
    </row>
    <row r="1636">
      <c r="A1636" s="79" t="n">
        <v>35917</v>
      </c>
      <c r="B1636" t="n">
        <v>2135000</v>
      </c>
      <c r="C1636" t="n">
        <v>304000</v>
      </c>
    </row>
    <row r="1637">
      <c r="A1637" s="79" t="n">
        <v>35924</v>
      </c>
      <c r="B1637" t="n">
        <v>2140000</v>
      </c>
      <c r="C1637" t="n">
        <v>306000</v>
      </c>
    </row>
    <row r="1638">
      <c r="A1638" s="79" t="n">
        <v>35931</v>
      </c>
      <c r="B1638" t="n">
        <v>2118000</v>
      </c>
      <c r="C1638" t="n">
        <v>315000</v>
      </c>
    </row>
    <row r="1639">
      <c r="A1639" s="79" t="n">
        <v>35938</v>
      </c>
      <c r="B1639" t="n">
        <v>2134000</v>
      </c>
      <c r="C1639" t="n">
        <v>309000</v>
      </c>
    </row>
    <row r="1640">
      <c r="A1640" s="79" t="n">
        <v>35945</v>
      </c>
      <c r="B1640" t="n">
        <v>2146000</v>
      </c>
      <c r="C1640" t="n">
        <v>322000</v>
      </c>
    </row>
    <row r="1641">
      <c r="A1641" s="79" t="n">
        <v>35952</v>
      </c>
      <c r="B1641" t="n">
        <v>2122000</v>
      </c>
      <c r="C1641" t="n">
        <v>306000</v>
      </c>
    </row>
    <row r="1642">
      <c r="A1642" s="79" t="n">
        <v>35959</v>
      </c>
      <c r="B1642" t="n">
        <v>2159000</v>
      </c>
      <c r="C1642" t="n">
        <v>321000</v>
      </c>
    </row>
    <row r="1643">
      <c r="A1643" s="79" t="n">
        <v>35966</v>
      </c>
      <c r="B1643" t="n">
        <v>2188000</v>
      </c>
      <c r="C1643" t="n">
        <v>349000</v>
      </c>
    </row>
    <row r="1644">
      <c r="A1644" s="79" t="n">
        <v>35973</v>
      </c>
      <c r="B1644" t="n">
        <v>2388000</v>
      </c>
      <c r="C1644" t="n">
        <v>376000</v>
      </c>
    </row>
    <row r="1645">
      <c r="A1645" s="79" t="n">
        <v>35980</v>
      </c>
      <c r="B1645" t="n">
        <v>2290000</v>
      </c>
      <c r="C1645" t="n">
        <v>362000</v>
      </c>
    </row>
    <row r="1646">
      <c r="A1646" s="79" t="n">
        <v>35987</v>
      </c>
      <c r="B1646" t="n">
        <v>2323000</v>
      </c>
      <c r="C1646" t="n">
        <v>320000</v>
      </c>
    </row>
    <row r="1647">
      <c r="A1647" s="79" t="n">
        <v>35994</v>
      </c>
      <c r="B1647" t="n">
        <v>2339000</v>
      </c>
      <c r="C1647" t="n">
        <v>315000</v>
      </c>
    </row>
    <row r="1648">
      <c r="A1648" s="79" t="n">
        <v>36001</v>
      </c>
      <c r="B1648" t="n">
        <v>2383000</v>
      </c>
      <c r="C1648" t="n">
        <v>335000</v>
      </c>
    </row>
    <row r="1649">
      <c r="A1649" s="79" t="n">
        <v>36008</v>
      </c>
      <c r="B1649" t="n">
        <v>2336000</v>
      </c>
      <c r="C1649" t="n">
        <v>327000</v>
      </c>
    </row>
    <row r="1650">
      <c r="A1650" s="79" t="n">
        <v>36015</v>
      </c>
      <c r="B1650" t="n">
        <v>2258000</v>
      </c>
      <c r="C1650" t="n">
        <v>316000</v>
      </c>
    </row>
    <row r="1651">
      <c r="A1651" s="79" t="n">
        <v>36022</v>
      </c>
      <c r="B1651" t="n">
        <v>2210000</v>
      </c>
      <c r="C1651" t="n">
        <v>308000</v>
      </c>
    </row>
    <row r="1652">
      <c r="A1652" s="79" t="n">
        <v>36029</v>
      </c>
      <c r="B1652" t="n">
        <v>2202000</v>
      </c>
      <c r="C1652" t="n">
        <v>302000</v>
      </c>
    </row>
    <row r="1653">
      <c r="A1653" s="79" t="n">
        <v>36036</v>
      </c>
      <c r="B1653" t="n">
        <v>2182000</v>
      </c>
      <c r="C1653" t="n">
        <v>310000</v>
      </c>
    </row>
    <row r="1654">
      <c r="A1654" s="79" t="n">
        <v>36043</v>
      </c>
      <c r="B1654" t="n">
        <v>2160000</v>
      </c>
      <c r="C1654" t="n">
        <v>313000</v>
      </c>
    </row>
    <row r="1655">
      <c r="A1655" s="79" t="n">
        <v>36050</v>
      </c>
      <c r="B1655" t="n">
        <v>2190000</v>
      </c>
      <c r="C1655" t="n">
        <v>304000</v>
      </c>
    </row>
    <row r="1656">
      <c r="A1656" s="79" t="n">
        <v>36057</v>
      </c>
      <c r="B1656" t="n">
        <v>2114000</v>
      </c>
      <c r="C1656" t="n">
        <v>305000</v>
      </c>
    </row>
    <row r="1657">
      <c r="A1657" s="79" t="n">
        <v>36064</v>
      </c>
      <c r="B1657" t="n">
        <v>2148000</v>
      </c>
      <c r="C1657" t="n">
        <v>294000</v>
      </c>
    </row>
    <row r="1658">
      <c r="A1658" s="79" t="n">
        <v>36071</v>
      </c>
      <c r="B1658" t="n">
        <v>2156000</v>
      </c>
      <c r="C1658" t="n">
        <v>302000</v>
      </c>
    </row>
    <row r="1659">
      <c r="A1659" s="79" t="n">
        <v>36078</v>
      </c>
      <c r="B1659" t="n">
        <v>2167000</v>
      </c>
      <c r="C1659" t="n">
        <v>316000</v>
      </c>
    </row>
    <row r="1660">
      <c r="A1660" s="79" t="n">
        <v>36085</v>
      </c>
      <c r="B1660" t="n">
        <v>2168000</v>
      </c>
      <c r="C1660" t="n">
        <v>318000</v>
      </c>
    </row>
    <row r="1661">
      <c r="A1661" s="79" t="n">
        <v>36092</v>
      </c>
      <c r="B1661" t="n">
        <v>2169000</v>
      </c>
      <c r="C1661" t="n">
        <v>309000</v>
      </c>
    </row>
    <row r="1662">
      <c r="A1662" s="79" t="n">
        <v>36099</v>
      </c>
      <c r="B1662" t="n">
        <v>2162000</v>
      </c>
      <c r="C1662" t="n">
        <v>308000</v>
      </c>
    </row>
    <row r="1663">
      <c r="A1663" s="79" t="n">
        <v>36106</v>
      </c>
      <c r="B1663" t="n">
        <v>2195000</v>
      </c>
      <c r="C1663" t="n">
        <v>316000</v>
      </c>
    </row>
    <row r="1664">
      <c r="A1664" s="79" t="n">
        <v>36113</v>
      </c>
      <c r="B1664" t="n">
        <v>2177000</v>
      </c>
      <c r="C1664" t="n">
        <v>334000</v>
      </c>
    </row>
    <row r="1665">
      <c r="A1665" s="79" t="n">
        <v>36120</v>
      </c>
      <c r="B1665" t="n">
        <v>2207000</v>
      </c>
      <c r="C1665" t="n">
        <v>304000</v>
      </c>
    </row>
    <row r="1666">
      <c r="A1666" s="79" t="n">
        <v>36127</v>
      </c>
      <c r="B1666" t="n">
        <v>2236000</v>
      </c>
      <c r="C1666" t="n">
        <v>310000</v>
      </c>
    </row>
    <row r="1667">
      <c r="A1667" s="79" t="n">
        <v>36134</v>
      </c>
      <c r="B1667" t="n">
        <v>2239000</v>
      </c>
      <c r="C1667" t="n">
        <v>326000</v>
      </c>
    </row>
    <row r="1668">
      <c r="A1668" s="79" t="n">
        <v>36141</v>
      </c>
      <c r="B1668" t="n">
        <v>2205000</v>
      </c>
      <c r="C1668" t="n">
        <v>305000</v>
      </c>
    </row>
    <row r="1669">
      <c r="A1669" s="79" t="n">
        <v>36148</v>
      </c>
      <c r="B1669" t="n">
        <v>2171000</v>
      </c>
      <c r="C1669" t="n">
        <v>297000</v>
      </c>
    </row>
    <row r="1670">
      <c r="A1670" s="79" t="n">
        <v>36155</v>
      </c>
      <c r="B1670" t="n">
        <v>2266000</v>
      </c>
      <c r="C1670" t="n">
        <v>336000</v>
      </c>
    </row>
    <row r="1671">
      <c r="A1671" s="79" t="n">
        <v>36162</v>
      </c>
      <c r="B1671" t="n">
        <v>2303000</v>
      </c>
      <c r="C1671" t="n">
        <v>331000</v>
      </c>
    </row>
    <row r="1672">
      <c r="A1672" s="79" t="n">
        <v>36169</v>
      </c>
      <c r="B1672" t="n">
        <v>2289000</v>
      </c>
      <c r="C1672" t="n">
        <v>345000</v>
      </c>
    </row>
    <row r="1673">
      <c r="A1673" s="79" t="n">
        <v>36176</v>
      </c>
      <c r="B1673" t="n">
        <v>2316000</v>
      </c>
      <c r="C1673" t="n">
        <v>339000</v>
      </c>
    </row>
    <row r="1674">
      <c r="A1674" s="79" t="n">
        <v>36183</v>
      </c>
      <c r="B1674" t="n">
        <v>2269000</v>
      </c>
      <c r="C1674" t="n">
        <v>311000</v>
      </c>
    </row>
    <row r="1675">
      <c r="A1675" s="79" t="n">
        <v>36190</v>
      </c>
      <c r="B1675" t="n">
        <v>2259000</v>
      </c>
      <c r="C1675" t="n">
        <v>305000</v>
      </c>
    </row>
    <row r="1676">
      <c r="A1676" s="79" t="n">
        <v>36197</v>
      </c>
      <c r="B1676" t="n">
        <v>2253000</v>
      </c>
      <c r="C1676" t="n">
        <v>291000</v>
      </c>
    </row>
    <row r="1677">
      <c r="A1677" s="79" t="n">
        <v>36204</v>
      </c>
      <c r="B1677" t="n">
        <v>2253000</v>
      </c>
      <c r="C1677" t="n">
        <v>312000</v>
      </c>
    </row>
    <row r="1678">
      <c r="A1678" s="79" t="n">
        <v>36211</v>
      </c>
      <c r="B1678" t="n">
        <v>2237000</v>
      </c>
      <c r="C1678" t="n">
        <v>302000</v>
      </c>
    </row>
    <row r="1679">
      <c r="A1679" s="79" t="n">
        <v>36218</v>
      </c>
      <c r="B1679" t="n">
        <v>2219000</v>
      </c>
      <c r="C1679" t="n">
        <v>301000</v>
      </c>
    </row>
    <row r="1680">
      <c r="A1680" s="79" t="n">
        <v>36225</v>
      </c>
      <c r="B1680" t="n">
        <v>2238000</v>
      </c>
      <c r="C1680" t="n">
        <v>300000</v>
      </c>
    </row>
    <row r="1681">
      <c r="A1681" s="79" t="n">
        <v>36232</v>
      </c>
      <c r="B1681" t="n">
        <v>2232000</v>
      </c>
      <c r="C1681" t="n">
        <v>308000</v>
      </c>
    </row>
    <row r="1682">
      <c r="A1682" s="79" t="n">
        <v>36239</v>
      </c>
      <c r="B1682" t="n">
        <v>2247000</v>
      </c>
      <c r="C1682" t="n">
        <v>305000</v>
      </c>
    </row>
    <row r="1683">
      <c r="A1683" s="79" t="n">
        <v>36246</v>
      </c>
      <c r="B1683" t="n">
        <v>2191000</v>
      </c>
      <c r="C1683" t="n">
        <v>298000</v>
      </c>
    </row>
    <row r="1684">
      <c r="A1684" s="79" t="n">
        <v>36253</v>
      </c>
      <c r="B1684" t="n">
        <v>2280000</v>
      </c>
      <c r="C1684" t="n">
        <v>310000</v>
      </c>
    </row>
    <row r="1685">
      <c r="A1685" s="79" t="n">
        <v>36260</v>
      </c>
      <c r="B1685" t="n">
        <v>2247000</v>
      </c>
      <c r="C1685" t="n">
        <v>319000</v>
      </c>
    </row>
    <row r="1686">
      <c r="A1686" s="79" t="n">
        <v>36267</v>
      </c>
      <c r="B1686" t="n">
        <v>2230000</v>
      </c>
      <c r="C1686" t="n">
        <v>314000</v>
      </c>
    </row>
    <row r="1687">
      <c r="A1687" s="79" t="n">
        <v>36274</v>
      </c>
      <c r="B1687" t="n">
        <v>2193000</v>
      </c>
      <c r="C1687" t="n">
        <v>291000</v>
      </c>
    </row>
    <row r="1688">
      <c r="A1688" s="79" t="n">
        <v>36281</v>
      </c>
      <c r="B1688" t="n">
        <v>2226000</v>
      </c>
      <c r="C1688" t="n">
        <v>296000</v>
      </c>
    </row>
    <row r="1689">
      <c r="A1689" s="79" t="n">
        <v>36288</v>
      </c>
      <c r="B1689" t="n">
        <v>2200000</v>
      </c>
      <c r="C1689" t="n">
        <v>310000</v>
      </c>
    </row>
    <row r="1690">
      <c r="A1690" s="79" t="n">
        <v>36295</v>
      </c>
      <c r="B1690" t="n">
        <v>2232000</v>
      </c>
      <c r="C1690" t="n">
        <v>301000</v>
      </c>
    </row>
    <row r="1691">
      <c r="A1691" s="79" t="n">
        <v>36302</v>
      </c>
      <c r="B1691" t="n">
        <v>2223000</v>
      </c>
      <c r="C1691" t="n">
        <v>298000</v>
      </c>
    </row>
    <row r="1692">
      <c r="A1692" s="79" t="n">
        <v>36309</v>
      </c>
      <c r="B1692" t="n">
        <v>2191000</v>
      </c>
      <c r="C1692" t="n">
        <v>303000</v>
      </c>
    </row>
    <row r="1693">
      <c r="A1693" s="79" t="n">
        <v>36316</v>
      </c>
      <c r="B1693" t="n">
        <v>2194000</v>
      </c>
      <c r="C1693" t="n">
        <v>303000</v>
      </c>
    </row>
    <row r="1694">
      <c r="A1694" s="79" t="n">
        <v>36323</v>
      </c>
      <c r="B1694" t="n">
        <v>2215000</v>
      </c>
      <c r="C1694" t="n">
        <v>290000</v>
      </c>
    </row>
    <row r="1695">
      <c r="A1695" s="79" t="n">
        <v>36330</v>
      </c>
      <c r="B1695" t="n">
        <v>2183000</v>
      </c>
      <c r="C1695" t="n">
        <v>292000</v>
      </c>
    </row>
    <row r="1696">
      <c r="A1696" s="79" t="n">
        <v>36337</v>
      </c>
      <c r="B1696" t="n">
        <v>2177000</v>
      </c>
      <c r="C1696" t="n">
        <v>291000</v>
      </c>
    </row>
    <row r="1697">
      <c r="A1697" s="79" t="n">
        <v>36344</v>
      </c>
      <c r="B1697" t="n">
        <v>2202000</v>
      </c>
      <c r="C1697" t="n">
        <v>287000</v>
      </c>
    </row>
    <row r="1698">
      <c r="A1698" s="79" t="n">
        <v>36351</v>
      </c>
      <c r="B1698" t="n">
        <v>2171000</v>
      </c>
      <c r="C1698" t="n">
        <v>288000</v>
      </c>
    </row>
    <row r="1699">
      <c r="A1699" s="79" t="n">
        <v>36358</v>
      </c>
      <c r="B1699" t="n">
        <v>2226000</v>
      </c>
      <c r="C1699" t="n">
        <v>309000</v>
      </c>
    </row>
    <row r="1700">
      <c r="A1700" s="79" t="n">
        <v>36365</v>
      </c>
      <c r="B1700" t="n">
        <v>2203000</v>
      </c>
      <c r="C1700" t="n">
        <v>306000</v>
      </c>
    </row>
    <row r="1701">
      <c r="A1701" s="79" t="n">
        <v>36372</v>
      </c>
      <c r="B1701" t="n">
        <v>2164000</v>
      </c>
      <c r="C1701" t="n">
        <v>300000</v>
      </c>
    </row>
    <row r="1702">
      <c r="A1702" s="79" t="n">
        <v>36379</v>
      </c>
      <c r="B1702" t="n">
        <v>2192000</v>
      </c>
      <c r="C1702" t="n">
        <v>295000</v>
      </c>
    </row>
    <row r="1703">
      <c r="A1703" s="79" t="n">
        <v>36386</v>
      </c>
      <c r="B1703" t="n">
        <v>2176000</v>
      </c>
      <c r="C1703" t="n">
        <v>292000</v>
      </c>
    </row>
    <row r="1704">
      <c r="A1704" s="79" t="n">
        <v>36393</v>
      </c>
      <c r="B1704" t="n">
        <v>2185000</v>
      </c>
      <c r="C1704" t="n">
        <v>286000</v>
      </c>
    </row>
    <row r="1705">
      <c r="A1705" s="79" t="n">
        <v>36400</v>
      </c>
      <c r="B1705" t="n">
        <v>2168000</v>
      </c>
      <c r="C1705" t="n">
        <v>290000</v>
      </c>
    </row>
    <row r="1706">
      <c r="A1706" s="79" t="n">
        <v>36407</v>
      </c>
      <c r="B1706" t="n">
        <v>2157000</v>
      </c>
      <c r="C1706" t="n">
        <v>290000</v>
      </c>
    </row>
    <row r="1707">
      <c r="A1707" s="79" t="n">
        <v>36414</v>
      </c>
      <c r="B1707" t="n">
        <v>2163000</v>
      </c>
      <c r="C1707" t="n">
        <v>281000</v>
      </c>
    </row>
    <row r="1708">
      <c r="A1708" s="79" t="n">
        <v>36421</v>
      </c>
      <c r="B1708" t="n">
        <v>2170000</v>
      </c>
      <c r="C1708" t="n">
        <v>281000</v>
      </c>
    </row>
    <row r="1709">
      <c r="A1709" s="79" t="n">
        <v>36428</v>
      </c>
      <c r="B1709" t="n">
        <v>2158000</v>
      </c>
      <c r="C1709" t="n">
        <v>306000</v>
      </c>
    </row>
    <row r="1710">
      <c r="A1710" s="79" t="n">
        <v>36435</v>
      </c>
      <c r="B1710" t="n">
        <v>2139000</v>
      </c>
      <c r="C1710" t="n">
        <v>309000</v>
      </c>
    </row>
    <row r="1711">
      <c r="A1711" s="79" t="n">
        <v>36442</v>
      </c>
      <c r="B1711" t="n">
        <v>2105000</v>
      </c>
      <c r="C1711" t="n">
        <v>291000</v>
      </c>
    </row>
    <row r="1712">
      <c r="A1712" s="79" t="n">
        <v>36449</v>
      </c>
      <c r="B1712" t="n">
        <v>2102000</v>
      </c>
      <c r="C1712" t="n">
        <v>287000</v>
      </c>
    </row>
    <row r="1713">
      <c r="A1713" s="79" t="n">
        <v>36456</v>
      </c>
      <c r="B1713" t="n">
        <v>2086000</v>
      </c>
      <c r="C1713" t="n">
        <v>280000</v>
      </c>
    </row>
    <row r="1714">
      <c r="A1714" s="79" t="n">
        <v>36463</v>
      </c>
      <c r="B1714" t="n">
        <v>2082000</v>
      </c>
      <c r="C1714" t="n">
        <v>285000</v>
      </c>
    </row>
    <row r="1715">
      <c r="A1715" s="79" t="n">
        <v>36470</v>
      </c>
      <c r="B1715" t="n">
        <v>2099000</v>
      </c>
      <c r="C1715" t="n">
        <v>282000</v>
      </c>
    </row>
    <row r="1716">
      <c r="A1716" s="79" t="n">
        <v>36477</v>
      </c>
      <c r="B1716" t="n">
        <v>2035000</v>
      </c>
      <c r="C1716" t="n">
        <v>281000</v>
      </c>
    </row>
    <row r="1717">
      <c r="A1717" s="79" t="n">
        <v>36484</v>
      </c>
      <c r="B1717" t="n">
        <v>2111000</v>
      </c>
      <c r="C1717" t="n">
        <v>276000</v>
      </c>
    </row>
    <row r="1718">
      <c r="A1718" s="79" t="n">
        <v>36491</v>
      </c>
      <c r="B1718" t="n">
        <v>2098000</v>
      </c>
      <c r="C1718" t="n">
        <v>288000</v>
      </c>
    </row>
    <row r="1719">
      <c r="A1719" s="79" t="n">
        <v>36498</v>
      </c>
      <c r="B1719" t="n">
        <v>2094000</v>
      </c>
      <c r="C1719" t="n">
        <v>287000</v>
      </c>
    </row>
    <row r="1720">
      <c r="A1720" s="79" t="n">
        <v>36505</v>
      </c>
      <c r="B1720" t="n">
        <v>2070000</v>
      </c>
      <c r="C1720" t="n">
        <v>272000</v>
      </c>
    </row>
    <row r="1721">
      <c r="A1721" s="79" t="n">
        <v>36512</v>
      </c>
      <c r="B1721" t="n">
        <v>2123000</v>
      </c>
      <c r="C1721" t="n">
        <v>287000</v>
      </c>
    </row>
    <row r="1722">
      <c r="A1722" s="79" t="n">
        <v>36519</v>
      </c>
      <c r="B1722" t="n">
        <v>2102000</v>
      </c>
      <c r="C1722" t="n">
        <v>268000</v>
      </c>
    </row>
    <row r="1723">
      <c r="A1723" s="79" t="n">
        <v>36526</v>
      </c>
      <c r="B1723" t="n">
        <v>2102000</v>
      </c>
      <c r="C1723" t="n">
        <v>286000</v>
      </c>
    </row>
    <row r="1724">
      <c r="A1724" s="79" t="n">
        <v>36533</v>
      </c>
      <c r="B1724" t="n">
        <v>2107000</v>
      </c>
      <c r="C1724" t="n">
        <v>298000</v>
      </c>
    </row>
    <row r="1725">
      <c r="A1725" s="79" t="n">
        <v>36540</v>
      </c>
      <c r="B1725" t="n">
        <v>2115000</v>
      </c>
      <c r="C1725" t="n">
        <v>289000</v>
      </c>
    </row>
    <row r="1726">
      <c r="A1726" s="79" t="n">
        <v>36547</v>
      </c>
      <c r="B1726" t="n">
        <v>2061000</v>
      </c>
      <c r="C1726" t="n">
        <v>284000</v>
      </c>
    </row>
    <row r="1727">
      <c r="A1727" s="79" t="n">
        <v>36554</v>
      </c>
      <c r="B1727" t="n">
        <v>2164000</v>
      </c>
      <c r="C1727" t="n">
        <v>285000</v>
      </c>
    </row>
    <row r="1728">
      <c r="A1728" s="79" t="n">
        <v>36561</v>
      </c>
      <c r="B1728" t="n">
        <v>2160000</v>
      </c>
      <c r="C1728" t="n">
        <v>312000</v>
      </c>
    </row>
    <row r="1729">
      <c r="A1729" s="79" t="n">
        <v>36568</v>
      </c>
      <c r="B1729" t="n">
        <v>2141000</v>
      </c>
      <c r="C1729" t="n">
        <v>300000</v>
      </c>
    </row>
    <row r="1730">
      <c r="A1730" s="79" t="n">
        <v>36575</v>
      </c>
      <c r="B1730" t="n">
        <v>2132000</v>
      </c>
      <c r="C1730" t="n">
        <v>283000</v>
      </c>
    </row>
    <row r="1731">
      <c r="A1731" s="79" t="n">
        <v>36582</v>
      </c>
      <c r="B1731" t="n">
        <v>2157000</v>
      </c>
      <c r="C1731" t="n">
        <v>280000</v>
      </c>
    </row>
    <row r="1732">
      <c r="A1732" s="79" t="n">
        <v>36589</v>
      </c>
      <c r="B1732" t="n">
        <v>2098000</v>
      </c>
      <c r="C1732" t="n">
        <v>286000</v>
      </c>
    </row>
    <row r="1733">
      <c r="A1733" s="79" t="n">
        <v>36596</v>
      </c>
      <c r="B1733" t="n">
        <v>2099000</v>
      </c>
      <c r="C1733" t="n">
        <v>270000</v>
      </c>
    </row>
    <row r="1734">
      <c r="A1734" s="79" t="n">
        <v>36603</v>
      </c>
      <c r="B1734" t="n">
        <v>2051000</v>
      </c>
      <c r="C1734" t="n">
        <v>271000</v>
      </c>
    </row>
    <row r="1735">
      <c r="A1735" s="79" t="n">
        <v>36610</v>
      </c>
      <c r="B1735" t="n">
        <v>2068000</v>
      </c>
      <c r="C1735" t="n">
        <v>272000</v>
      </c>
    </row>
    <row r="1736">
      <c r="A1736" s="79" t="n">
        <v>36617</v>
      </c>
      <c r="B1736" t="n">
        <v>2026000</v>
      </c>
      <c r="C1736" t="n">
        <v>266000</v>
      </c>
    </row>
    <row r="1737">
      <c r="A1737" s="79" t="n">
        <v>36624</v>
      </c>
      <c r="B1737" t="n">
        <v>2027000</v>
      </c>
      <c r="C1737" t="n">
        <v>268000</v>
      </c>
    </row>
    <row r="1738">
      <c r="A1738" s="79" t="n">
        <v>36631</v>
      </c>
      <c r="B1738" t="n">
        <v>1962000</v>
      </c>
      <c r="C1738" t="n">
        <v>259000</v>
      </c>
    </row>
    <row r="1739">
      <c r="A1739" s="79" t="n">
        <v>36638</v>
      </c>
      <c r="B1739" t="n">
        <v>2035000</v>
      </c>
      <c r="C1739" t="n">
        <v>274000</v>
      </c>
    </row>
    <row r="1740">
      <c r="A1740" s="79" t="n">
        <v>36645</v>
      </c>
      <c r="B1740" t="n">
        <v>2027000</v>
      </c>
      <c r="C1740" t="n">
        <v>291000</v>
      </c>
    </row>
    <row r="1741">
      <c r="A1741" s="79" t="n">
        <v>36652</v>
      </c>
      <c r="B1741" t="n">
        <v>1991000</v>
      </c>
      <c r="C1741" t="n">
        <v>293000</v>
      </c>
    </row>
    <row r="1742">
      <c r="A1742" s="79" t="n">
        <v>36659</v>
      </c>
      <c r="B1742" t="n">
        <v>1982000</v>
      </c>
      <c r="C1742" t="n">
        <v>276000</v>
      </c>
    </row>
    <row r="1743">
      <c r="A1743" s="79" t="n">
        <v>36666</v>
      </c>
      <c r="B1743" t="n">
        <v>1998000</v>
      </c>
      <c r="C1743" t="n">
        <v>280000</v>
      </c>
    </row>
    <row r="1744">
      <c r="A1744" s="79" t="n">
        <v>36673</v>
      </c>
      <c r="B1744" t="n">
        <v>1987000</v>
      </c>
      <c r="C1744" t="n">
        <v>280000</v>
      </c>
    </row>
    <row r="1745">
      <c r="A1745" s="79" t="n">
        <v>36680</v>
      </c>
      <c r="B1745" t="n">
        <v>2019000</v>
      </c>
      <c r="C1745" t="n">
        <v>290000</v>
      </c>
    </row>
    <row r="1746">
      <c r="A1746" s="79" t="n">
        <v>36687</v>
      </c>
      <c r="B1746" t="n">
        <v>2020000</v>
      </c>
      <c r="C1746" t="n">
        <v>284000</v>
      </c>
    </row>
    <row r="1747">
      <c r="A1747" s="79" t="n">
        <v>36694</v>
      </c>
      <c r="B1747" t="n">
        <v>2041000</v>
      </c>
      <c r="C1747" t="n">
        <v>294000</v>
      </c>
    </row>
    <row r="1748">
      <c r="A1748" s="79" t="n">
        <v>36701</v>
      </c>
      <c r="B1748" t="n">
        <v>2033000</v>
      </c>
      <c r="C1748" t="n">
        <v>296000</v>
      </c>
    </row>
    <row r="1749">
      <c r="A1749" s="79" t="n">
        <v>36708</v>
      </c>
      <c r="B1749" t="n">
        <v>2052000</v>
      </c>
      <c r="C1749" t="n">
        <v>281000</v>
      </c>
    </row>
    <row r="1750">
      <c r="A1750" s="79" t="n">
        <v>36715</v>
      </c>
      <c r="B1750" t="n">
        <v>2099000</v>
      </c>
      <c r="C1750" t="n">
        <v>293000</v>
      </c>
    </row>
    <row r="1751">
      <c r="A1751" s="79" t="n">
        <v>36722</v>
      </c>
      <c r="B1751" t="n">
        <v>2122000</v>
      </c>
      <c r="C1751" t="n">
        <v>303000</v>
      </c>
    </row>
    <row r="1752">
      <c r="A1752" s="79" t="n">
        <v>36729</v>
      </c>
      <c r="B1752" t="n">
        <v>2070000</v>
      </c>
      <c r="C1752" t="n">
        <v>300000</v>
      </c>
    </row>
    <row r="1753">
      <c r="A1753" s="79" t="n">
        <v>36736</v>
      </c>
      <c r="B1753" t="n">
        <v>2085000</v>
      </c>
      <c r="C1753" t="n">
        <v>298000</v>
      </c>
    </row>
    <row r="1754">
      <c r="A1754" s="79" t="n">
        <v>36743</v>
      </c>
      <c r="B1754" t="n">
        <v>2096000</v>
      </c>
      <c r="C1754" t="n">
        <v>306000</v>
      </c>
    </row>
    <row r="1755">
      <c r="A1755" s="79" t="n">
        <v>36750</v>
      </c>
      <c r="B1755" t="n">
        <v>2109000</v>
      </c>
      <c r="C1755" t="n">
        <v>315000</v>
      </c>
    </row>
    <row r="1756">
      <c r="A1756" s="79" t="n">
        <v>36757</v>
      </c>
      <c r="B1756" t="n">
        <v>2145000</v>
      </c>
      <c r="C1756" t="n">
        <v>318000</v>
      </c>
    </row>
    <row r="1757">
      <c r="A1757" s="79" t="n">
        <v>36764</v>
      </c>
      <c r="B1757" t="n">
        <v>2119000</v>
      </c>
      <c r="C1757" t="n">
        <v>312000</v>
      </c>
    </row>
    <row r="1758">
      <c r="A1758" s="79" t="n">
        <v>36771</v>
      </c>
      <c r="B1758" t="n">
        <v>2169000</v>
      </c>
      <c r="C1758" t="n">
        <v>301000</v>
      </c>
    </row>
    <row r="1759">
      <c r="A1759" s="79" t="n">
        <v>36778</v>
      </c>
      <c r="B1759" t="n">
        <v>2139000</v>
      </c>
      <c r="C1759" t="n">
        <v>309000</v>
      </c>
    </row>
    <row r="1760">
      <c r="A1760" s="79" t="n">
        <v>36785</v>
      </c>
      <c r="B1760" t="n">
        <v>2115000</v>
      </c>
      <c r="C1760" t="n">
        <v>311000</v>
      </c>
    </row>
    <row r="1761">
      <c r="A1761" s="79" t="n">
        <v>36792</v>
      </c>
      <c r="B1761" t="n">
        <v>2098000</v>
      </c>
      <c r="C1761" t="n">
        <v>288000</v>
      </c>
    </row>
    <row r="1762">
      <c r="A1762" s="79" t="n">
        <v>36799</v>
      </c>
      <c r="B1762" t="n">
        <v>2077000</v>
      </c>
      <c r="C1762" t="n">
        <v>292000</v>
      </c>
    </row>
    <row r="1763">
      <c r="A1763" s="79" t="n">
        <v>36806</v>
      </c>
      <c r="B1763" t="n">
        <v>2133000</v>
      </c>
      <c r="C1763" t="n">
        <v>309000</v>
      </c>
    </row>
    <row r="1764">
      <c r="A1764" s="79" t="n">
        <v>36813</v>
      </c>
      <c r="B1764" t="n">
        <v>2124000</v>
      </c>
      <c r="C1764" t="n">
        <v>299000</v>
      </c>
    </row>
    <row r="1765">
      <c r="A1765" s="79" t="n">
        <v>36820</v>
      </c>
      <c r="B1765" t="n">
        <v>2082000</v>
      </c>
      <c r="C1765" t="n">
        <v>295000</v>
      </c>
    </row>
    <row r="1766">
      <c r="A1766" s="79" t="n">
        <v>36827</v>
      </c>
      <c r="B1766" t="n">
        <v>2126000</v>
      </c>
      <c r="C1766" t="n">
        <v>301000</v>
      </c>
    </row>
    <row r="1767">
      <c r="A1767" s="79" t="n">
        <v>36834</v>
      </c>
      <c r="B1767" t="n">
        <v>2110000</v>
      </c>
      <c r="C1767" t="n">
        <v>331000</v>
      </c>
    </row>
    <row r="1768">
      <c r="A1768" s="79" t="n">
        <v>36841</v>
      </c>
      <c r="B1768" t="n">
        <v>2161000</v>
      </c>
      <c r="C1768" t="n">
        <v>318000</v>
      </c>
    </row>
    <row r="1769">
      <c r="A1769" s="79" t="n">
        <v>36848</v>
      </c>
      <c r="B1769" t="n">
        <v>2279000</v>
      </c>
      <c r="C1769" t="n">
        <v>332000</v>
      </c>
    </row>
    <row r="1770">
      <c r="A1770" s="79" t="n">
        <v>36855</v>
      </c>
      <c r="B1770" t="n">
        <v>2295000</v>
      </c>
      <c r="C1770" t="n">
        <v>356000</v>
      </c>
    </row>
    <row r="1771">
      <c r="A1771" s="79" t="n">
        <v>36862</v>
      </c>
      <c r="B1771" t="n">
        <v>2229000</v>
      </c>
      <c r="C1771" t="n">
        <v>338000</v>
      </c>
    </row>
    <row r="1772">
      <c r="A1772" s="79" t="n">
        <v>36869</v>
      </c>
      <c r="B1772" t="n">
        <v>2263000</v>
      </c>
      <c r="C1772" t="n">
        <v>321000</v>
      </c>
    </row>
    <row r="1773">
      <c r="A1773" s="79" t="n">
        <v>36876</v>
      </c>
      <c r="B1773" t="n">
        <v>2322000</v>
      </c>
      <c r="C1773" t="n">
        <v>354000</v>
      </c>
    </row>
    <row r="1774">
      <c r="A1774" s="79" t="n">
        <v>36883</v>
      </c>
      <c r="B1774" t="n">
        <v>2340000</v>
      </c>
      <c r="C1774" t="n">
        <v>364000</v>
      </c>
    </row>
    <row r="1775">
      <c r="A1775" s="79" t="n">
        <v>36890</v>
      </c>
      <c r="B1775" t="n">
        <v>2378000</v>
      </c>
      <c r="C1775" t="n">
        <v>353000</v>
      </c>
    </row>
    <row r="1776">
      <c r="A1776" s="79" t="n">
        <v>36897</v>
      </c>
      <c r="B1776" t="n">
        <v>2357000</v>
      </c>
      <c r="C1776" t="n">
        <v>337000</v>
      </c>
    </row>
    <row r="1777">
      <c r="A1777" s="79" t="n">
        <v>36904</v>
      </c>
      <c r="B1777" t="n">
        <v>2367000</v>
      </c>
      <c r="C1777" t="n">
        <v>318000</v>
      </c>
    </row>
    <row r="1778">
      <c r="A1778" s="79" t="n">
        <v>36911</v>
      </c>
      <c r="B1778" t="n">
        <v>2419000</v>
      </c>
      <c r="C1778" t="n">
        <v>343000</v>
      </c>
    </row>
    <row r="1779">
      <c r="A1779" s="79" t="n">
        <v>36918</v>
      </c>
      <c r="B1779" t="n">
        <v>2440000</v>
      </c>
      <c r="C1779" t="n">
        <v>362000</v>
      </c>
    </row>
    <row r="1780">
      <c r="A1780" s="79" t="n">
        <v>36925</v>
      </c>
      <c r="B1780" t="n">
        <v>2489000</v>
      </c>
      <c r="C1780" t="n">
        <v>376000</v>
      </c>
    </row>
    <row r="1781">
      <c r="A1781" s="79" t="n">
        <v>36932</v>
      </c>
      <c r="B1781" t="n">
        <v>2435000</v>
      </c>
      <c r="C1781" t="n">
        <v>365000</v>
      </c>
    </row>
    <row r="1782">
      <c r="A1782" s="79" t="n">
        <v>36939</v>
      </c>
      <c r="B1782" t="n">
        <v>2516000</v>
      </c>
      <c r="C1782" t="n">
        <v>358000</v>
      </c>
    </row>
    <row r="1783">
      <c r="A1783" s="79" t="n">
        <v>36946</v>
      </c>
      <c r="B1783" t="n">
        <v>2506000</v>
      </c>
      <c r="C1783" t="n">
        <v>386000</v>
      </c>
    </row>
    <row r="1784">
      <c r="A1784" s="79" t="n">
        <v>36953</v>
      </c>
      <c r="B1784" t="n">
        <v>2558000</v>
      </c>
      <c r="C1784" t="n">
        <v>384000</v>
      </c>
    </row>
    <row r="1785">
      <c r="A1785" s="79" t="n">
        <v>36960</v>
      </c>
      <c r="B1785" t="n">
        <v>2557000</v>
      </c>
      <c r="C1785" t="n">
        <v>393000</v>
      </c>
    </row>
    <row r="1786">
      <c r="A1786" s="79" t="n">
        <v>36967</v>
      </c>
      <c r="B1786" t="n">
        <v>2605000</v>
      </c>
      <c r="C1786" t="n">
        <v>393000</v>
      </c>
    </row>
    <row r="1787">
      <c r="A1787" s="79" t="n">
        <v>36974</v>
      </c>
      <c r="B1787" t="n">
        <v>2587000</v>
      </c>
      <c r="C1787" t="n">
        <v>378000</v>
      </c>
    </row>
    <row r="1788">
      <c r="A1788" s="79" t="n">
        <v>36981</v>
      </c>
      <c r="B1788" t="n">
        <v>2620000</v>
      </c>
      <c r="C1788" t="n">
        <v>388000</v>
      </c>
    </row>
    <row r="1789">
      <c r="A1789" s="79" t="n">
        <v>36988</v>
      </c>
      <c r="B1789" t="n">
        <v>2582000</v>
      </c>
      <c r="C1789" t="n">
        <v>398000</v>
      </c>
    </row>
    <row r="1790">
      <c r="A1790" s="79" t="n">
        <v>36995</v>
      </c>
      <c r="B1790" t="n">
        <v>2742000</v>
      </c>
      <c r="C1790" t="n">
        <v>383000</v>
      </c>
    </row>
    <row r="1791">
      <c r="A1791" s="79" t="n">
        <v>37002</v>
      </c>
      <c r="B1791" t="n">
        <v>2737000</v>
      </c>
      <c r="C1791" t="n">
        <v>400000</v>
      </c>
    </row>
    <row r="1792">
      <c r="A1792" s="79" t="n">
        <v>37009</v>
      </c>
      <c r="B1792" t="n">
        <v>2728000</v>
      </c>
      <c r="C1792" t="n">
        <v>406000</v>
      </c>
    </row>
    <row r="1793">
      <c r="A1793" s="79" t="n">
        <v>37016</v>
      </c>
      <c r="B1793" t="n">
        <v>2732000</v>
      </c>
      <c r="C1793" t="n">
        <v>381000</v>
      </c>
    </row>
    <row r="1794">
      <c r="A1794" s="79" t="n">
        <v>37023</v>
      </c>
      <c r="B1794" t="n">
        <v>2800000</v>
      </c>
      <c r="C1794" t="n">
        <v>390000</v>
      </c>
    </row>
    <row r="1795">
      <c r="A1795" s="79" t="n">
        <v>37030</v>
      </c>
      <c r="B1795" t="n">
        <v>2819000</v>
      </c>
      <c r="C1795" t="n">
        <v>402000</v>
      </c>
    </row>
    <row r="1796">
      <c r="A1796" s="79" t="n">
        <v>37037</v>
      </c>
      <c r="B1796" t="n">
        <v>2926000</v>
      </c>
      <c r="C1796" t="n">
        <v>405000</v>
      </c>
    </row>
    <row r="1797">
      <c r="A1797" s="79" t="n">
        <v>37044</v>
      </c>
      <c r="B1797" t="n">
        <v>2919000</v>
      </c>
      <c r="C1797" t="n">
        <v>406000</v>
      </c>
    </row>
    <row r="1798">
      <c r="A1798" s="79" t="n">
        <v>37051</v>
      </c>
      <c r="B1798" t="n">
        <v>2948000</v>
      </c>
      <c r="C1798" t="n">
        <v>411000</v>
      </c>
    </row>
    <row r="1799">
      <c r="A1799" s="79" t="n">
        <v>37058</v>
      </c>
      <c r="B1799" t="n">
        <v>2939000</v>
      </c>
      <c r="C1799" t="n">
        <v>394000</v>
      </c>
    </row>
    <row r="1800">
      <c r="A1800" s="79" t="n">
        <v>37065</v>
      </c>
      <c r="B1800" t="n">
        <v>2972000</v>
      </c>
      <c r="C1800" t="n">
        <v>381000</v>
      </c>
    </row>
    <row r="1801">
      <c r="A1801" s="79" t="n">
        <v>37072</v>
      </c>
      <c r="B1801" t="n">
        <v>2959000</v>
      </c>
      <c r="C1801" t="n">
        <v>394000</v>
      </c>
    </row>
    <row r="1802">
      <c r="A1802" s="79" t="n">
        <v>37079</v>
      </c>
      <c r="B1802" t="n">
        <v>3063000</v>
      </c>
      <c r="C1802" t="n">
        <v>401000</v>
      </c>
    </row>
    <row r="1803">
      <c r="A1803" s="79" t="n">
        <v>37086</v>
      </c>
      <c r="B1803" t="n">
        <v>3029000</v>
      </c>
      <c r="C1803" t="n">
        <v>405000</v>
      </c>
    </row>
    <row r="1804">
      <c r="A1804" s="79" t="n">
        <v>37093</v>
      </c>
      <c r="B1804" t="n">
        <v>2975000</v>
      </c>
      <c r="C1804" t="n">
        <v>398000</v>
      </c>
    </row>
    <row r="1805">
      <c r="A1805" s="79" t="n">
        <v>37100</v>
      </c>
      <c r="B1805" t="n">
        <v>3056000</v>
      </c>
      <c r="C1805" t="n">
        <v>388000</v>
      </c>
    </row>
    <row r="1806">
      <c r="A1806" s="79" t="n">
        <v>37107</v>
      </c>
      <c r="B1806" t="n">
        <v>3079000</v>
      </c>
      <c r="C1806" t="n">
        <v>401000</v>
      </c>
    </row>
    <row r="1807">
      <c r="A1807" s="79" t="n">
        <v>37114</v>
      </c>
      <c r="B1807" t="n">
        <v>3125000</v>
      </c>
      <c r="C1807" t="n">
        <v>394000</v>
      </c>
    </row>
    <row r="1808">
      <c r="A1808" s="79" t="n">
        <v>37121</v>
      </c>
      <c r="B1808" t="n">
        <v>3113000</v>
      </c>
      <c r="C1808" t="n">
        <v>402000</v>
      </c>
    </row>
    <row r="1809">
      <c r="A1809" s="79" t="n">
        <v>37128</v>
      </c>
      <c r="B1809" t="n">
        <v>3163000</v>
      </c>
      <c r="C1809" t="n">
        <v>395000</v>
      </c>
    </row>
    <row r="1810">
      <c r="A1810" s="79" t="n">
        <v>37135</v>
      </c>
      <c r="B1810" t="n">
        <v>3213000</v>
      </c>
      <c r="C1810" t="n">
        <v>402000</v>
      </c>
    </row>
    <row r="1811">
      <c r="A1811" s="79" t="n">
        <v>37142</v>
      </c>
      <c r="B1811" t="n">
        <v>3197000</v>
      </c>
      <c r="C1811" t="n">
        <v>408000</v>
      </c>
    </row>
    <row r="1812">
      <c r="A1812" s="79" t="n">
        <v>37149</v>
      </c>
      <c r="B1812" t="n">
        <v>3214000</v>
      </c>
      <c r="C1812" t="n">
        <v>395000</v>
      </c>
    </row>
    <row r="1813">
      <c r="A1813" s="79" t="n">
        <v>37156</v>
      </c>
      <c r="B1813" t="n">
        <v>3302000</v>
      </c>
      <c r="C1813" t="n">
        <v>453000</v>
      </c>
    </row>
    <row r="1814">
      <c r="A1814" s="79" t="n">
        <v>37163</v>
      </c>
      <c r="B1814" t="n">
        <v>3385000</v>
      </c>
      <c r="C1814" t="n">
        <v>517000</v>
      </c>
    </row>
    <row r="1815">
      <c r="A1815" s="79" t="n">
        <v>37170</v>
      </c>
      <c r="B1815" t="n">
        <v>3432000</v>
      </c>
      <c r="C1815" t="n">
        <v>476000</v>
      </c>
    </row>
    <row r="1816">
      <c r="A1816" s="79" t="n">
        <v>37177</v>
      </c>
      <c r="B1816" t="n">
        <v>3521000</v>
      </c>
      <c r="C1816" t="n">
        <v>482000</v>
      </c>
    </row>
    <row r="1817">
      <c r="A1817" s="79" t="n">
        <v>37184</v>
      </c>
      <c r="B1817" t="n">
        <v>3557000</v>
      </c>
      <c r="C1817" t="n">
        <v>482000</v>
      </c>
    </row>
    <row r="1818">
      <c r="A1818" s="79" t="n">
        <v>37191</v>
      </c>
      <c r="B1818" t="n">
        <v>3600000</v>
      </c>
      <c r="C1818" t="n">
        <v>483000</v>
      </c>
    </row>
    <row r="1819">
      <c r="A1819" s="79" t="n">
        <v>37198</v>
      </c>
      <c r="B1819" t="n">
        <v>3616000</v>
      </c>
      <c r="C1819" t="n">
        <v>440000</v>
      </c>
    </row>
    <row r="1820">
      <c r="A1820" s="79" t="n">
        <v>37205</v>
      </c>
      <c r="B1820" t="n">
        <v>3627000</v>
      </c>
      <c r="C1820" t="n">
        <v>428000</v>
      </c>
    </row>
    <row r="1821">
      <c r="A1821" s="79" t="n">
        <v>37212</v>
      </c>
      <c r="B1821" t="n">
        <v>3790000</v>
      </c>
      <c r="C1821" t="n">
        <v>431000</v>
      </c>
    </row>
    <row r="1822">
      <c r="A1822" s="79" t="n">
        <v>37219</v>
      </c>
      <c r="B1822" t="n">
        <v>3593000</v>
      </c>
      <c r="C1822" t="n">
        <v>491000</v>
      </c>
    </row>
    <row r="1823">
      <c r="A1823" s="79" t="n">
        <v>37226</v>
      </c>
      <c r="B1823" t="n">
        <v>3619000</v>
      </c>
      <c r="C1823" t="n">
        <v>465000</v>
      </c>
    </row>
    <row r="1824">
      <c r="A1824" s="79" t="n">
        <v>37233</v>
      </c>
      <c r="B1824" t="n">
        <v>3626000</v>
      </c>
      <c r="C1824" t="n">
        <v>393000</v>
      </c>
    </row>
    <row r="1825">
      <c r="A1825" s="79" t="n">
        <v>37240</v>
      </c>
      <c r="B1825" t="n">
        <v>3637000</v>
      </c>
      <c r="C1825" t="n">
        <v>389000</v>
      </c>
    </row>
    <row r="1826">
      <c r="A1826" s="79" t="n">
        <v>37247</v>
      </c>
      <c r="B1826" t="n">
        <v>3591000</v>
      </c>
      <c r="C1826" t="n">
        <v>416000</v>
      </c>
    </row>
    <row r="1827">
      <c r="A1827" s="79" t="n">
        <v>37254</v>
      </c>
      <c r="B1827" t="n">
        <v>3474000</v>
      </c>
      <c r="C1827" t="n">
        <v>421000</v>
      </c>
    </row>
    <row r="1828">
      <c r="A1828" s="79" t="n">
        <v>37261</v>
      </c>
      <c r="B1828" t="n">
        <v>3587000</v>
      </c>
      <c r="C1828" t="n">
        <v>397000</v>
      </c>
    </row>
    <row r="1829">
      <c r="A1829" s="79" t="n">
        <v>37268</v>
      </c>
      <c r="B1829" t="n">
        <v>3500000</v>
      </c>
      <c r="C1829" t="n">
        <v>418000</v>
      </c>
    </row>
    <row r="1830">
      <c r="A1830" s="79" t="n">
        <v>37275</v>
      </c>
      <c r="B1830" t="n">
        <v>3557000</v>
      </c>
      <c r="C1830" t="n">
        <v>405000</v>
      </c>
    </row>
    <row r="1831">
      <c r="A1831" s="79" t="n">
        <v>37282</v>
      </c>
      <c r="B1831" t="n">
        <v>3558000</v>
      </c>
      <c r="C1831" t="n">
        <v>414000</v>
      </c>
    </row>
    <row r="1832">
      <c r="A1832" s="79" t="n">
        <v>37289</v>
      </c>
      <c r="B1832" t="n">
        <v>3537000</v>
      </c>
      <c r="C1832" t="n">
        <v>404000</v>
      </c>
    </row>
    <row r="1833">
      <c r="A1833" s="79" t="n">
        <v>37296</v>
      </c>
      <c r="B1833" t="n">
        <v>3562000</v>
      </c>
      <c r="C1833" t="n">
        <v>397000</v>
      </c>
    </row>
    <row r="1834">
      <c r="A1834" s="79" t="n">
        <v>37303</v>
      </c>
      <c r="B1834" t="n">
        <v>3580000</v>
      </c>
      <c r="C1834" t="n">
        <v>397000</v>
      </c>
    </row>
    <row r="1835">
      <c r="A1835" s="79" t="n">
        <v>37310</v>
      </c>
      <c r="B1835" t="n">
        <v>3538000</v>
      </c>
      <c r="C1835" t="n">
        <v>398000</v>
      </c>
    </row>
    <row r="1836">
      <c r="A1836" s="79" t="n">
        <v>37317</v>
      </c>
      <c r="B1836" t="n">
        <v>3567000</v>
      </c>
      <c r="C1836" t="n">
        <v>392000</v>
      </c>
    </row>
    <row r="1837">
      <c r="A1837" s="79" t="n">
        <v>37324</v>
      </c>
      <c r="B1837" t="n">
        <v>3567000</v>
      </c>
      <c r="C1837" t="n">
        <v>399000</v>
      </c>
    </row>
    <row r="1838">
      <c r="A1838" s="79" t="n">
        <v>37331</v>
      </c>
      <c r="B1838" t="n">
        <v>3598000</v>
      </c>
      <c r="C1838" t="n">
        <v>392000</v>
      </c>
    </row>
    <row r="1839">
      <c r="A1839" s="79" t="n">
        <v>37338</v>
      </c>
      <c r="B1839" t="n">
        <v>3599000</v>
      </c>
      <c r="C1839" t="n">
        <v>415000</v>
      </c>
    </row>
    <row r="1840">
      <c r="A1840" s="79" t="n">
        <v>37345</v>
      </c>
      <c r="B1840" t="n">
        <v>3723000</v>
      </c>
      <c r="C1840" t="n">
        <v>479000</v>
      </c>
    </row>
    <row r="1841">
      <c r="A1841" s="79" t="n">
        <v>37352</v>
      </c>
      <c r="B1841" t="n">
        <v>3732000</v>
      </c>
      <c r="C1841" t="n">
        <v>445000</v>
      </c>
    </row>
    <row r="1842">
      <c r="A1842" s="79" t="n">
        <v>37359</v>
      </c>
      <c r="B1842" t="n">
        <v>3650000</v>
      </c>
      <c r="C1842" t="n">
        <v>442000</v>
      </c>
    </row>
    <row r="1843">
      <c r="A1843" s="79" t="n">
        <v>37366</v>
      </c>
      <c r="B1843" t="n">
        <v>3675000</v>
      </c>
      <c r="C1843" t="n">
        <v>416000</v>
      </c>
    </row>
    <row r="1844">
      <c r="A1844" s="79" t="n">
        <v>37373</v>
      </c>
      <c r="B1844" t="n">
        <v>3700000</v>
      </c>
      <c r="C1844" t="n">
        <v>414000</v>
      </c>
    </row>
    <row r="1845">
      <c r="A1845" s="79" t="n">
        <v>37380</v>
      </c>
      <c r="B1845" t="n">
        <v>3712000</v>
      </c>
      <c r="C1845" t="n">
        <v>409000</v>
      </c>
    </row>
    <row r="1846">
      <c r="A1846" s="79" t="n">
        <v>37387</v>
      </c>
      <c r="B1846" t="n">
        <v>3729000</v>
      </c>
      <c r="C1846" t="n">
        <v>413000</v>
      </c>
    </row>
    <row r="1847">
      <c r="A1847" s="79" t="n">
        <v>37394</v>
      </c>
      <c r="B1847" t="n">
        <v>3695000</v>
      </c>
      <c r="C1847" t="n">
        <v>411000</v>
      </c>
    </row>
    <row r="1848">
      <c r="A1848" s="79" t="n">
        <v>37401</v>
      </c>
      <c r="B1848" t="n">
        <v>3712000</v>
      </c>
      <c r="C1848" t="n">
        <v>403000</v>
      </c>
    </row>
    <row r="1849">
      <c r="A1849" s="79" t="n">
        <v>37408</v>
      </c>
      <c r="B1849" t="n">
        <v>3664000</v>
      </c>
      <c r="C1849" t="n">
        <v>378000</v>
      </c>
    </row>
    <row r="1850">
      <c r="A1850" s="79" t="n">
        <v>37415</v>
      </c>
      <c r="B1850" t="n">
        <v>3681000</v>
      </c>
      <c r="C1850" t="n">
        <v>388000</v>
      </c>
    </row>
    <row r="1851">
      <c r="A1851" s="79" t="n">
        <v>37422</v>
      </c>
      <c r="B1851" t="n">
        <v>3604000</v>
      </c>
      <c r="C1851" t="n">
        <v>396000</v>
      </c>
    </row>
    <row r="1852">
      <c r="A1852" s="79" t="n">
        <v>37429</v>
      </c>
      <c r="B1852" t="n">
        <v>3639000</v>
      </c>
      <c r="C1852" t="n">
        <v>388000</v>
      </c>
    </row>
    <row r="1853">
      <c r="A1853" s="79" t="n">
        <v>37436</v>
      </c>
      <c r="B1853" t="n">
        <v>3588000</v>
      </c>
      <c r="C1853" t="n">
        <v>386000</v>
      </c>
    </row>
    <row r="1854">
      <c r="A1854" s="79" t="n">
        <v>37443</v>
      </c>
      <c r="B1854" t="n">
        <v>3554000</v>
      </c>
      <c r="C1854" t="n">
        <v>391000</v>
      </c>
    </row>
    <row r="1855">
      <c r="A1855" s="79" t="n">
        <v>37450</v>
      </c>
      <c r="B1855" t="n">
        <v>3495000</v>
      </c>
      <c r="C1855" t="n">
        <v>384000</v>
      </c>
    </row>
    <row r="1856">
      <c r="A1856" s="79" t="n">
        <v>37457</v>
      </c>
      <c r="B1856" t="n">
        <v>3473000</v>
      </c>
      <c r="C1856" t="n">
        <v>379000</v>
      </c>
    </row>
    <row r="1857">
      <c r="A1857" s="79" t="n">
        <v>37464</v>
      </c>
      <c r="B1857" t="n">
        <v>3495000</v>
      </c>
      <c r="C1857" t="n">
        <v>390000</v>
      </c>
    </row>
    <row r="1858">
      <c r="A1858" s="79" t="n">
        <v>37471</v>
      </c>
      <c r="B1858" t="n">
        <v>3498000</v>
      </c>
      <c r="C1858" t="n">
        <v>388000</v>
      </c>
    </row>
    <row r="1859">
      <c r="A1859" s="79" t="n">
        <v>37478</v>
      </c>
      <c r="B1859" t="n">
        <v>3485000</v>
      </c>
      <c r="C1859" t="n">
        <v>389000</v>
      </c>
    </row>
    <row r="1860">
      <c r="A1860" s="79" t="n">
        <v>37485</v>
      </c>
      <c r="B1860" t="n">
        <v>3531000</v>
      </c>
      <c r="C1860" t="n">
        <v>399000</v>
      </c>
    </row>
    <row r="1861">
      <c r="A1861" s="79" t="n">
        <v>37492</v>
      </c>
      <c r="B1861" t="n">
        <v>3521000</v>
      </c>
      <c r="C1861" t="n">
        <v>398000</v>
      </c>
    </row>
    <row r="1862">
      <c r="A1862" s="79" t="n">
        <v>37499</v>
      </c>
      <c r="B1862" t="n">
        <v>3549000</v>
      </c>
      <c r="C1862" t="n">
        <v>394000</v>
      </c>
    </row>
    <row r="1863">
      <c r="A1863" s="79" t="n">
        <v>37506</v>
      </c>
      <c r="B1863" t="n">
        <v>3532000</v>
      </c>
      <c r="C1863" t="n">
        <v>416000</v>
      </c>
    </row>
    <row r="1864">
      <c r="A1864" s="79" t="n">
        <v>37513</v>
      </c>
      <c r="B1864" t="n">
        <v>3554000</v>
      </c>
      <c r="C1864" t="n">
        <v>412000</v>
      </c>
    </row>
    <row r="1865">
      <c r="A1865" s="79" t="n">
        <v>37520</v>
      </c>
      <c r="B1865" t="n">
        <v>3579000</v>
      </c>
      <c r="C1865" t="n">
        <v>401000</v>
      </c>
    </row>
    <row r="1866">
      <c r="A1866" s="79" t="n">
        <v>37527</v>
      </c>
      <c r="B1866" t="n">
        <v>3555000</v>
      </c>
      <c r="C1866" t="n">
        <v>409000</v>
      </c>
    </row>
    <row r="1867">
      <c r="A1867" s="79" t="n">
        <v>37534</v>
      </c>
      <c r="B1867" t="n">
        <v>3619000</v>
      </c>
      <c r="C1867" t="n">
        <v>404000</v>
      </c>
    </row>
    <row r="1868">
      <c r="A1868" s="79" t="n">
        <v>37541</v>
      </c>
      <c r="B1868" t="n">
        <v>3529000</v>
      </c>
      <c r="C1868" t="n">
        <v>405000</v>
      </c>
    </row>
    <row r="1869">
      <c r="A1869" s="79" t="n">
        <v>37548</v>
      </c>
      <c r="B1869" t="n">
        <v>3518000</v>
      </c>
      <c r="C1869" t="n">
        <v>412000</v>
      </c>
    </row>
    <row r="1870">
      <c r="A1870" s="79" t="n">
        <v>37555</v>
      </c>
      <c r="B1870" t="n">
        <v>3557000</v>
      </c>
      <c r="C1870" t="n">
        <v>409000</v>
      </c>
    </row>
    <row r="1871">
      <c r="A1871" s="79" t="n">
        <v>37562</v>
      </c>
      <c r="B1871" t="n">
        <v>3557000</v>
      </c>
      <c r="C1871" t="n">
        <v>405000</v>
      </c>
    </row>
    <row r="1872">
      <c r="A1872" s="79" t="n">
        <v>37569</v>
      </c>
      <c r="B1872" t="n">
        <v>3539000</v>
      </c>
      <c r="C1872" t="n">
        <v>400000</v>
      </c>
    </row>
    <row r="1873">
      <c r="A1873" s="79" t="n">
        <v>37576</v>
      </c>
      <c r="B1873" t="n">
        <v>3438000</v>
      </c>
      <c r="C1873" t="n">
        <v>389000</v>
      </c>
    </row>
    <row r="1874">
      <c r="A1874" s="79" t="n">
        <v>37583</v>
      </c>
      <c r="B1874" t="n">
        <v>3474000</v>
      </c>
      <c r="C1874" t="n">
        <v>390000</v>
      </c>
    </row>
    <row r="1875">
      <c r="A1875" s="79" t="n">
        <v>37590</v>
      </c>
      <c r="B1875" t="n">
        <v>3404000</v>
      </c>
      <c r="C1875" t="n">
        <v>377000</v>
      </c>
    </row>
    <row r="1876">
      <c r="A1876" s="79" t="n">
        <v>37597</v>
      </c>
      <c r="B1876" t="n">
        <v>3537000</v>
      </c>
      <c r="C1876" t="n">
        <v>425000</v>
      </c>
    </row>
    <row r="1877">
      <c r="A1877" s="79" t="n">
        <v>37604</v>
      </c>
      <c r="B1877" t="n">
        <v>3497000</v>
      </c>
      <c r="C1877" t="n">
        <v>429000</v>
      </c>
    </row>
    <row r="1878">
      <c r="A1878" s="79" t="n">
        <v>37611</v>
      </c>
      <c r="B1878" t="n">
        <v>3435000</v>
      </c>
      <c r="C1878" t="n">
        <v>394000</v>
      </c>
    </row>
    <row r="1879">
      <c r="A1879" s="79" t="n">
        <v>37618</v>
      </c>
      <c r="B1879" t="n">
        <v>3462000</v>
      </c>
      <c r="C1879" t="n">
        <v>409000</v>
      </c>
    </row>
    <row r="1880">
      <c r="A1880" s="79" t="n">
        <v>37625</v>
      </c>
      <c r="B1880" t="n">
        <v>3438000</v>
      </c>
      <c r="C1880" t="n">
        <v>393000</v>
      </c>
    </row>
    <row r="1881">
      <c r="A1881" s="79" t="n">
        <v>37632</v>
      </c>
      <c r="B1881" t="n">
        <v>3388000</v>
      </c>
      <c r="C1881" t="n">
        <v>378000</v>
      </c>
    </row>
    <row r="1882">
      <c r="A1882" s="79" t="n">
        <v>37639</v>
      </c>
      <c r="B1882" t="n">
        <v>3357000</v>
      </c>
      <c r="C1882" t="n">
        <v>402000</v>
      </c>
    </row>
    <row r="1883">
      <c r="A1883" s="79" t="n">
        <v>37646</v>
      </c>
      <c r="B1883" t="n">
        <v>3475000</v>
      </c>
      <c r="C1883" t="n">
        <v>407000</v>
      </c>
    </row>
    <row r="1884">
      <c r="A1884" s="79" t="n">
        <v>37653</v>
      </c>
      <c r="B1884" t="n">
        <v>3368000</v>
      </c>
      <c r="C1884" t="n">
        <v>413000</v>
      </c>
    </row>
    <row r="1885">
      <c r="A1885" s="79" t="n">
        <v>37660</v>
      </c>
      <c r="B1885" t="n">
        <v>3457000</v>
      </c>
      <c r="C1885" t="n">
        <v>390000</v>
      </c>
    </row>
    <row r="1886">
      <c r="A1886" s="79" t="n">
        <v>37667</v>
      </c>
      <c r="B1886" t="n">
        <v>3423000</v>
      </c>
      <c r="C1886" t="n">
        <v>420000</v>
      </c>
    </row>
    <row r="1887">
      <c r="A1887" s="79" t="n">
        <v>37674</v>
      </c>
      <c r="B1887" t="n">
        <v>3500000</v>
      </c>
      <c r="C1887" t="n">
        <v>421000</v>
      </c>
    </row>
    <row r="1888">
      <c r="A1888" s="79" t="n">
        <v>37681</v>
      </c>
      <c r="B1888" t="n">
        <v>3496000</v>
      </c>
      <c r="C1888" t="n">
        <v>436000</v>
      </c>
    </row>
    <row r="1889">
      <c r="A1889" s="79" t="n">
        <v>37688</v>
      </c>
      <c r="B1889" t="n">
        <v>3559000</v>
      </c>
      <c r="C1889" t="n">
        <v>424000</v>
      </c>
    </row>
    <row r="1890">
      <c r="A1890" s="79" t="n">
        <v>37695</v>
      </c>
      <c r="B1890" t="n">
        <v>3528000</v>
      </c>
      <c r="C1890" t="n">
        <v>430000</v>
      </c>
    </row>
    <row r="1891">
      <c r="A1891" s="79" t="n">
        <v>37702</v>
      </c>
      <c r="B1891" t="n">
        <v>3585000</v>
      </c>
      <c r="C1891" t="n">
        <v>411000</v>
      </c>
    </row>
    <row r="1892">
      <c r="A1892" s="79" t="n">
        <v>37709</v>
      </c>
      <c r="B1892" t="n">
        <v>3536000</v>
      </c>
      <c r="C1892" t="n">
        <v>436000</v>
      </c>
    </row>
    <row r="1893">
      <c r="A1893" s="79" t="n">
        <v>37716</v>
      </c>
      <c r="B1893" t="n">
        <v>3583000</v>
      </c>
      <c r="C1893" t="n">
        <v>417000</v>
      </c>
    </row>
    <row r="1894">
      <c r="A1894" s="79" t="n">
        <v>37723</v>
      </c>
      <c r="B1894" t="n">
        <v>3586000</v>
      </c>
      <c r="C1894" t="n">
        <v>434000</v>
      </c>
    </row>
    <row r="1895">
      <c r="A1895" s="79" t="n">
        <v>37730</v>
      </c>
      <c r="B1895" t="n">
        <v>3674000</v>
      </c>
      <c r="C1895" t="n">
        <v>450000</v>
      </c>
    </row>
    <row r="1896">
      <c r="A1896" s="79" t="n">
        <v>37737</v>
      </c>
      <c r="B1896" t="n">
        <v>3676000</v>
      </c>
      <c r="C1896" t="n">
        <v>444000</v>
      </c>
    </row>
    <row r="1897">
      <c r="A1897" s="79" t="n">
        <v>37744</v>
      </c>
      <c r="B1897" t="n">
        <v>3730000</v>
      </c>
      <c r="C1897" t="n">
        <v>428000</v>
      </c>
    </row>
    <row r="1898">
      <c r="A1898" s="79" t="n">
        <v>37751</v>
      </c>
      <c r="B1898" t="n">
        <v>3704000</v>
      </c>
      <c r="C1898" t="n">
        <v>417000</v>
      </c>
    </row>
    <row r="1899">
      <c r="A1899" s="79" t="n">
        <v>37758</v>
      </c>
      <c r="B1899" t="n">
        <v>3716000</v>
      </c>
      <c r="C1899" t="n">
        <v>425000</v>
      </c>
    </row>
    <row r="1900">
      <c r="A1900" s="79" t="n">
        <v>37765</v>
      </c>
      <c r="B1900" t="n">
        <v>3672000</v>
      </c>
      <c r="C1900" t="n">
        <v>419000</v>
      </c>
    </row>
    <row r="1901">
      <c r="A1901" s="79" t="n">
        <v>37772</v>
      </c>
      <c r="B1901" t="n">
        <v>3774000</v>
      </c>
      <c r="C1901" t="n">
        <v>431000</v>
      </c>
    </row>
    <row r="1902">
      <c r="A1902" s="79" t="n">
        <v>37779</v>
      </c>
      <c r="B1902" t="n">
        <v>3682000</v>
      </c>
      <c r="C1902" t="n">
        <v>429000</v>
      </c>
    </row>
    <row r="1903">
      <c r="A1903" s="79" t="n">
        <v>37786</v>
      </c>
      <c r="B1903" t="n">
        <v>3695000</v>
      </c>
      <c r="C1903" t="n">
        <v>421000</v>
      </c>
    </row>
    <row r="1904">
      <c r="A1904" s="79" t="n">
        <v>37793</v>
      </c>
      <c r="B1904" t="n">
        <v>3692000</v>
      </c>
      <c r="C1904" t="n">
        <v>408000</v>
      </c>
    </row>
    <row r="1905">
      <c r="A1905" s="79" t="n">
        <v>37800</v>
      </c>
      <c r="B1905" t="n">
        <v>3737000</v>
      </c>
      <c r="C1905" t="n">
        <v>429000</v>
      </c>
    </row>
    <row r="1906">
      <c r="A1906" s="79" t="n">
        <v>37807</v>
      </c>
      <c r="B1906" t="n">
        <v>3627000</v>
      </c>
      <c r="C1906" t="n">
        <v>433000</v>
      </c>
    </row>
    <row r="1907">
      <c r="A1907" s="79" t="n">
        <v>37814</v>
      </c>
      <c r="B1907" t="n">
        <v>3599000</v>
      </c>
      <c r="C1907" t="n">
        <v>412000</v>
      </c>
    </row>
    <row r="1908">
      <c r="A1908" s="79" t="n">
        <v>37821</v>
      </c>
      <c r="B1908" t="n">
        <v>3592000</v>
      </c>
      <c r="C1908" t="n">
        <v>403000</v>
      </c>
    </row>
    <row r="1909">
      <c r="A1909" s="79" t="n">
        <v>37828</v>
      </c>
      <c r="B1909" t="n">
        <v>3647000</v>
      </c>
      <c r="C1909" t="n">
        <v>398000</v>
      </c>
    </row>
    <row r="1910">
      <c r="A1910" s="79" t="n">
        <v>37835</v>
      </c>
      <c r="B1910" t="n">
        <v>3601000</v>
      </c>
      <c r="C1910" t="n">
        <v>401000</v>
      </c>
    </row>
    <row r="1911">
      <c r="A1911" s="79" t="n">
        <v>37842</v>
      </c>
      <c r="B1911" t="n">
        <v>3596000</v>
      </c>
      <c r="C1911" t="n">
        <v>404000</v>
      </c>
    </row>
    <row r="1912">
      <c r="A1912" s="79" t="n">
        <v>37849</v>
      </c>
      <c r="B1912" t="n">
        <v>3603000</v>
      </c>
      <c r="C1912" t="n">
        <v>398000</v>
      </c>
    </row>
    <row r="1913">
      <c r="A1913" s="79" t="n">
        <v>37856</v>
      </c>
      <c r="B1913" t="n">
        <v>3574000</v>
      </c>
      <c r="C1913" t="n">
        <v>391000</v>
      </c>
    </row>
    <row r="1914">
      <c r="A1914" s="79" t="n">
        <v>37863</v>
      </c>
      <c r="B1914" t="n">
        <v>3608000</v>
      </c>
      <c r="C1914" t="n">
        <v>407000</v>
      </c>
    </row>
    <row r="1915">
      <c r="A1915" s="79" t="n">
        <v>37870</v>
      </c>
      <c r="B1915" t="n">
        <v>3598000</v>
      </c>
      <c r="C1915" t="n">
        <v>422000</v>
      </c>
    </row>
    <row r="1916">
      <c r="A1916" s="79" t="n">
        <v>37877</v>
      </c>
      <c r="B1916" t="n">
        <v>3559000</v>
      </c>
      <c r="C1916" t="n">
        <v>394000</v>
      </c>
    </row>
    <row r="1917">
      <c r="A1917" s="79" t="n">
        <v>37884</v>
      </c>
      <c r="B1917" t="n">
        <v>3588000</v>
      </c>
      <c r="C1917" t="n">
        <v>379000</v>
      </c>
    </row>
    <row r="1918">
      <c r="A1918" s="79" t="n">
        <v>37891</v>
      </c>
      <c r="B1918" t="n">
        <v>3558000</v>
      </c>
      <c r="C1918" t="n">
        <v>387000</v>
      </c>
    </row>
    <row r="1919">
      <c r="A1919" s="79" t="n">
        <v>37898</v>
      </c>
      <c r="B1919" t="n">
        <v>3570000</v>
      </c>
      <c r="C1919" t="n">
        <v>386000</v>
      </c>
    </row>
    <row r="1920">
      <c r="A1920" s="79" t="n">
        <v>37905</v>
      </c>
      <c r="B1920" t="n">
        <v>3468000</v>
      </c>
      <c r="C1920" t="n">
        <v>376000</v>
      </c>
    </row>
    <row r="1921">
      <c r="A1921" s="79" t="n">
        <v>37912</v>
      </c>
      <c r="B1921" t="n">
        <v>3466000</v>
      </c>
      <c r="C1921" t="n">
        <v>387000</v>
      </c>
    </row>
    <row r="1922">
      <c r="A1922" s="79" t="n">
        <v>37919</v>
      </c>
      <c r="B1922" t="n">
        <v>3441000</v>
      </c>
      <c r="C1922" t="n">
        <v>379000</v>
      </c>
    </row>
    <row r="1923">
      <c r="A1923" s="79" t="n">
        <v>37926</v>
      </c>
      <c r="B1923" t="n">
        <v>3427000</v>
      </c>
      <c r="C1923" t="n">
        <v>363000</v>
      </c>
    </row>
    <row r="1924">
      <c r="A1924" s="79" t="n">
        <v>37933</v>
      </c>
      <c r="B1924" t="n">
        <v>3441000</v>
      </c>
      <c r="C1924" t="n">
        <v>371000</v>
      </c>
    </row>
    <row r="1925">
      <c r="A1925" s="79" t="n">
        <v>37940</v>
      </c>
      <c r="B1925" t="n">
        <v>3331000</v>
      </c>
      <c r="C1925" t="n">
        <v>370000</v>
      </c>
    </row>
    <row r="1926">
      <c r="A1926" s="79" t="n">
        <v>37947</v>
      </c>
      <c r="B1926" t="n">
        <v>3337000</v>
      </c>
      <c r="C1926" t="n">
        <v>354000</v>
      </c>
    </row>
    <row r="1927">
      <c r="A1927" s="79" t="n">
        <v>37954</v>
      </c>
      <c r="B1927" t="n">
        <v>3331000</v>
      </c>
      <c r="C1927" t="n">
        <v>357000</v>
      </c>
    </row>
    <row r="1928">
      <c r="A1928" s="79" t="n">
        <v>37961</v>
      </c>
      <c r="B1928" t="n">
        <v>3318000</v>
      </c>
      <c r="C1928" t="n">
        <v>367000</v>
      </c>
    </row>
    <row r="1929">
      <c r="A1929" s="79" t="n">
        <v>37968</v>
      </c>
      <c r="B1929" t="n">
        <v>3251000</v>
      </c>
      <c r="C1929" t="n">
        <v>363000</v>
      </c>
    </row>
    <row r="1930">
      <c r="A1930" s="79" t="n">
        <v>37975</v>
      </c>
      <c r="B1930" t="n">
        <v>3254000</v>
      </c>
      <c r="C1930" t="n">
        <v>354000</v>
      </c>
    </row>
    <row r="1931">
      <c r="A1931" s="79" t="n">
        <v>37982</v>
      </c>
      <c r="B1931" t="n">
        <v>3258000</v>
      </c>
      <c r="C1931" t="n">
        <v>349000</v>
      </c>
    </row>
    <row r="1932">
      <c r="A1932" s="79" t="n">
        <v>37989</v>
      </c>
      <c r="B1932" t="n">
        <v>3188000</v>
      </c>
      <c r="C1932" t="n">
        <v>356000</v>
      </c>
    </row>
    <row r="1933">
      <c r="A1933" s="79" t="n">
        <v>37996</v>
      </c>
      <c r="B1933" t="n">
        <v>3154000</v>
      </c>
      <c r="C1933" t="n">
        <v>354000</v>
      </c>
    </row>
    <row r="1934">
      <c r="A1934" s="79" t="n">
        <v>38003</v>
      </c>
      <c r="B1934" t="n">
        <v>3139000</v>
      </c>
      <c r="C1934" t="n">
        <v>362000</v>
      </c>
    </row>
    <row r="1935">
      <c r="A1935" s="79" t="n">
        <v>38010</v>
      </c>
      <c r="B1935" t="n">
        <v>3142000</v>
      </c>
      <c r="C1935" t="n">
        <v>353000</v>
      </c>
    </row>
    <row r="1936">
      <c r="A1936" s="79" t="n">
        <v>38017</v>
      </c>
      <c r="B1936" t="n">
        <v>3118000</v>
      </c>
      <c r="C1936" t="n">
        <v>376000</v>
      </c>
    </row>
    <row r="1937">
      <c r="A1937" s="79" t="n">
        <v>38024</v>
      </c>
      <c r="B1937" t="n">
        <v>3179000</v>
      </c>
      <c r="C1937" t="n">
        <v>380000</v>
      </c>
    </row>
    <row r="1938">
      <c r="A1938" s="79" t="n">
        <v>38031</v>
      </c>
      <c r="B1938" t="n">
        <v>3131000</v>
      </c>
      <c r="C1938" t="n">
        <v>356000</v>
      </c>
    </row>
    <row r="1939">
      <c r="A1939" s="79" t="n">
        <v>38038</v>
      </c>
      <c r="B1939" t="n">
        <v>3092000</v>
      </c>
      <c r="C1939" t="n">
        <v>359000</v>
      </c>
    </row>
    <row r="1940">
      <c r="A1940" s="79" t="n">
        <v>38045</v>
      </c>
      <c r="B1940" t="n">
        <v>3057000</v>
      </c>
      <c r="C1940" t="n">
        <v>348000</v>
      </c>
    </row>
    <row r="1941">
      <c r="A1941" s="79" t="n">
        <v>38052</v>
      </c>
      <c r="B1941" t="n">
        <v>3072000</v>
      </c>
      <c r="C1941" t="n">
        <v>344000</v>
      </c>
    </row>
    <row r="1942">
      <c r="A1942" s="79" t="n">
        <v>38059</v>
      </c>
      <c r="B1942" t="n">
        <v>3040000</v>
      </c>
      <c r="C1942" t="n">
        <v>338000</v>
      </c>
    </row>
    <row r="1943">
      <c r="A1943" s="79" t="n">
        <v>38066</v>
      </c>
      <c r="B1943" t="n">
        <v>3066000</v>
      </c>
      <c r="C1943" t="n">
        <v>346000</v>
      </c>
    </row>
    <row r="1944">
      <c r="A1944" s="79" t="n">
        <v>38073</v>
      </c>
      <c r="B1944" t="n">
        <v>3007000</v>
      </c>
      <c r="C1944" t="n">
        <v>340000</v>
      </c>
    </row>
    <row r="1945">
      <c r="A1945" s="79" t="n">
        <v>38080</v>
      </c>
      <c r="B1945" t="n">
        <v>2990000</v>
      </c>
      <c r="C1945" t="n">
        <v>335000</v>
      </c>
    </row>
    <row r="1946">
      <c r="A1946" s="79" t="n">
        <v>38087</v>
      </c>
      <c r="B1946" t="n">
        <v>3022000</v>
      </c>
      <c r="C1946" t="n">
        <v>355000</v>
      </c>
    </row>
    <row r="1947">
      <c r="A1947" s="79" t="n">
        <v>38094</v>
      </c>
      <c r="B1947" t="n">
        <v>3031000</v>
      </c>
      <c r="C1947" t="n">
        <v>364000</v>
      </c>
    </row>
    <row r="1948">
      <c r="A1948" s="79" t="n">
        <v>38101</v>
      </c>
      <c r="B1948" t="n">
        <v>2960000</v>
      </c>
      <c r="C1948" t="n">
        <v>339000</v>
      </c>
    </row>
    <row r="1949">
      <c r="A1949" s="79" t="n">
        <v>38108</v>
      </c>
      <c r="B1949" t="n">
        <v>2998000</v>
      </c>
      <c r="C1949" t="n">
        <v>324000</v>
      </c>
    </row>
    <row r="1950">
      <c r="A1950" s="79" t="n">
        <v>38115</v>
      </c>
      <c r="B1950" t="n">
        <v>2978000</v>
      </c>
      <c r="C1950" t="n">
        <v>329000</v>
      </c>
    </row>
    <row r="1951">
      <c r="A1951" s="79" t="n">
        <v>38122</v>
      </c>
      <c r="B1951" t="n">
        <v>2976000</v>
      </c>
      <c r="C1951" t="n">
        <v>349000</v>
      </c>
    </row>
    <row r="1952">
      <c r="A1952" s="79" t="n">
        <v>38129</v>
      </c>
      <c r="B1952" t="n">
        <v>3010000</v>
      </c>
      <c r="C1952" t="n">
        <v>342000</v>
      </c>
    </row>
    <row r="1953">
      <c r="A1953" s="79" t="n">
        <v>38136</v>
      </c>
      <c r="B1953" t="n">
        <v>2916000</v>
      </c>
      <c r="C1953" t="n">
        <v>337000</v>
      </c>
    </row>
    <row r="1954">
      <c r="A1954" s="79" t="n">
        <v>38143</v>
      </c>
      <c r="B1954" t="n">
        <v>2923000</v>
      </c>
      <c r="C1954" t="n">
        <v>355000</v>
      </c>
    </row>
    <row r="1955">
      <c r="A1955" s="79" t="n">
        <v>38150</v>
      </c>
      <c r="B1955" t="n">
        <v>2990000</v>
      </c>
      <c r="C1955" t="n">
        <v>339000</v>
      </c>
    </row>
    <row r="1956">
      <c r="A1956" s="79" t="n">
        <v>38157</v>
      </c>
      <c r="B1956" t="n">
        <v>2973000</v>
      </c>
      <c r="C1956" t="n">
        <v>354000</v>
      </c>
    </row>
    <row r="1957">
      <c r="A1957" s="79" t="n">
        <v>38164</v>
      </c>
      <c r="B1957" t="n">
        <v>2917000</v>
      </c>
      <c r="C1957" t="n">
        <v>348000</v>
      </c>
    </row>
    <row r="1958">
      <c r="A1958" s="79" t="n">
        <v>38171</v>
      </c>
      <c r="B1958" t="n">
        <v>2948000</v>
      </c>
      <c r="C1958" t="n">
        <v>326000</v>
      </c>
    </row>
    <row r="1959">
      <c r="A1959" s="79" t="n">
        <v>38178</v>
      </c>
      <c r="B1959" t="n">
        <v>2852000</v>
      </c>
      <c r="C1959" t="n">
        <v>345000</v>
      </c>
    </row>
    <row r="1960">
      <c r="A1960" s="79" t="n">
        <v>38185</v>
      </c>
      <c r="B1960" t="n">
        <v>2956000</v>
      </c>
      <c r="C1960" t="n">
        <v>355000</v>
      </c>
    </row>
    <row r="1961">
      <c r="A1961" s="79" t="n">
        <v>38192</v>
      </c>
      <c r="B1961" t="n">
        <v>2935000</v>
      </c>
      <c r="C1961" t="n">
        <v>348000</v>
      </c>
    </row>
    <row r="1962">
      <c r="A1962" s="79" t="n">
        <v>38199</v>
      </c>
      <c r="B1962" t="n">
        <v>2894000</v>
      </c>
      <c r="C1962" t="n">
        <v>341000</v>
      </c>
    </row>
    <row r="1963">
      <c r="A1963" s="79" t="n">
        <v>38206</v>
      </c>
      <c r="B1963" t="n">
        <v>2920000</v>
      </c>
      <c r="C1963" t="n">
        <v>336000</v>
      </c>
    </row>
    <row r="1964">
      <c r="A1964" s="79" t="n">
        <v>38213</v>
      </c>
      <c r="B1964" t="n">
        <v>2889000</v>
      </c>
      <c r="C1964" t="n">
        <v>332000</v>
      </c>
    </row>
    <row r="1965">
      <c r="A1965" s="79" t="n">
        <v>38220</v>
      </c>
      <c r="B1965" t="n">
        <v>2877000</v>
      </c>
      <c r="C1965" t="n">
        <v>343000</v>
      </c>
    </row>
    <row r="1966">
      <c r="A1966" s="79" t="n">
        <v>38227</v>
      </c>
      <c r="B1966" t="n">
        <v>2880000</v>
      </c>
      <c r="C1966" t="n">
        <v>352000</v>
      </c>
    </row>
    <row r="1967">
      <c r="A1967" s="79" t="n">
        <v>38234</v>
      </c>
      <c r="B1967" t="n">
        <v>2872000</v>
      </c>
      <c r="C1967" t="n">
        <v>326000</v>
      </c>
    </row>
    <row r="1968">
      <c r="A1968" s="79" t="n">
        <v>38241</v>
      </c>
      <c r="B1968" t="n">
        <v>2875000</v>
      </c>
      <c r="C1968" t="n">
        <v>331000</v>
      </c>
    </row>
    <row r="1969">
      <c r="A1969" s="79" t="n">
        <v>38248</v>
      </c>
      <c r="B1969" t="n">
        <v>2865000</v>
      </c>
      <c r="C1969" t="n">
        <v>341000</v>
      </c>
    </row>
    <row r="1970">
      <c r="A1970" s="79" t="n">
        <v>38255</v>
      </c>
      <c r="B1970" t="n">
        <v>2839000</v>
      </c>
      <c r="C1970" t="n">
        <v>351000</v>
      </c>
    </row>
    <row r="1971">
      <c r="A1971" s="79" t="n">
        <v>38262</v>
      </c>
      <c r="B1971" t="n">
        <v>2799000</v>
      </c>
      <c r="C1971" t="n">
        <v>335000</v>
      </c>
    </row>
    <row r="1972">
      <c r="A1972" s="79" t="n">
        <v>38269</v>
      </c>
      <c r="B1972" t="n">
        <v>2773000</v>
      </c>
      <c r="C1972" t="n">
        <v>338000</v>
      </c>
    </row>
    <row r="1973">
      <c r="A1973" s="79" t="n">
        <v>38276</v>
      </c>
      <c r="B1973" t="n">
        <v>2781000</v>
      </c>
      <c r="C1973" t="n">
        <v>327000</v>
      </c>
    </row>
    <row r="1974">
      <c r="A1974" s="79" t="n">
        <v>38283</v>
      </c>
      <c r="B1974" t="n">
        <v>2774000</v>
      </c>
      <c r="C1974" t="n">
        <v>338000</v>
      </c>
    </row>
    <row r="1975">
      <c r="A1975" s="79" t="n">
        <v>38290</v>
      </c>
      <c r="B1975" t="n">
        <v>2763000</v>
      </c>
      <c r="C1975" t="n">
        <v>332000</v>
      </c>
    </row>
    <row r="1976">
      <c r="A1976" s="79" t="n">
        <v>38297</v>
      </c>
      <c r="B1976" t="n">
        <v>2765000</v>
      </c>
      <c r="C1976" t="n">
        <v>330000</v>
      </c>
    </row>
    <row r="1977">
      <c r="A1977" s="79" t="n">
        <v>38304</v>
      </c>
      <c r="B1977" t="n">
        <v>2707000</v>
      </c>
      <c r="C1977" t="n">
        <v>337000</v>
      </c>
    </row>
    <row r="1978">
      <c r="A1978" s="79" t="n">
        <v>38311</v>
      </c>
      <c r="B1978" t="n">
        <v>2705000</v>
      </c>
      <c r="C1978" t="n">
        <v>313000</v>
      </c>
    </row>
    <row r="1979">
      <c r="A1979" s="79" t="n">
        <v>38318</v>
      </c>
      <c r="B1979" t="n">
        <v>2761000</v>
      </c>
      <c r="C1979" t="n">
        <v>335000</v>
      </c>
    </row>
    <row r="1980">
      <c r="A1980" s="79" t="n">
        <v>38325</v>
      </c>
      <c r="B1980" t="n">
        <v>2725000</v>
      </c>
      <c r="C1980" t="n">
        <v>343000</v>
      </c>
    </row>
    <row r="1981">
      <c r="A1981" s="79" t="n">
        <v>38332</v>
      </c>
      <c r="B1981" t="n">
        <v>2692000</v>
      </c>
      <c r="C1981" t="n">
        <v>316000</v>
      </c>
    </row>
    <row r="1982">
      <c r="A1982" s="79" t="n">
        <v>38339</v>
      </c>
      <c r="B1982" t="n">
        <v>2688000</v>
      </c>
      <c r="C1982" t="n">
        <v>322000</v>
      </c>
    </row>
    <row r="1983">
      <c r="A1983" s="79" t="n">
        <v>38346</v>
      </c>
      <c r="B1983" t="n">
        <v>2771000</v>
      </c>
      <c r="C1983" t="n">
        <v>320000</v>
      </c>
    </row>
    <row r="1984">
      <c r="A1984" s="79" t="n">
        <v>38353</v>
      </c>
      <c r="B1984" t="n">
        <v>2672000</v>
      </c>
      <c r="C1984" t="n">
        <v>356000</v>
      </c>
    </row>
    <row r="1985">
      <c r="A1985" s="79" t="n">
        <v>38360</v>
      </c>
      <c r="B1985" t="n">
        <v>2720000</v>
      </c>
      <c r="C1985" t="n">
        <v>369000</v>
      </c>
    </row>
    <row r="1986">
      <c r="A1986" s="79" t="n">
        <v>38367</v>
      </c>
      <c r="B1986" t="n">
        <v>2790000</v>
      </c>
      <c r="C1986" t="n">
        <v>332000</v>
      </c>
    </row>
    <row r="1987">
      <c r="A1987" s="79" t="n">
        <v>38374</v>
      </c>
      <c r="B1987" t="n">
        <v>2706000</v>
      </c>
      <c r="C1987" t="n">
        <v>329000</v>
      </c>
    </row>
    <row r="1988">
      <c r="A1988" s="79" t="n">
        <v>38381</v>
      </c>
      <c r="B1988" t="n">
        <v>2731000</v>
      </c>
      <c r="C1988" t="n">
        <v>331000</v>
      </c>
    </row>
    <row r="1989">
      <c r="A1989" s="79" t="n">
        <v>38388</v>
      </c>
      <c r="B1989" t="n">
        <v>2710000</v>
      </c>
      <c r="C1989" t="n">
        <v>307000</v>
      </c>
    </row>
    <row r="1990">
      <c r="A1990" s="79" t="n">
        <v>38395</v>
      </c>
      <c r="B1990" t="n">
        <v>2666000</v>
      </c>
      <c r="C1990" t="n">
        <v>308000</v>
      </c>
    </row>
    <row r="1991">
      <c r="A1991" s="79" t="n">
        <v>38402</v>
      </c>
      <c r="B1991" t="n">
        <v>2667000</v>
      </c>
      <c r="C1991" t="n">
        <v>318000</v>
      </c>
    </row>
    <row r="1992">
      <c r="A1992" s="79" t="n">
        <v>38409</v>
      </c>
      <c r="B1992" t="n">
        <v>2703000</v>
      </c>
      <c r="C1992" t="n">
        <v>314000</v>
      </c>
    </row>
    <row r="1993">
      <c r="A1993" s="79" t="n">
        <v>38416</v>
      </c>
      <c r="B1993" t="n">
        <v>2658000</v>
      </c>
      <c r="C1993" t="n">
        <v>333000</v>
      </c>
    </row>
    <row r="1994">
      <c r="A1994" s="79" t="n">
        <v>38423</v>
      </c>
      <c r="B1994" t="n">
        <v>2681000</v>
      </c>
      <c r="C1994" t="n">
        <v>324000</v>
      </c>
    </row>
    <row r="1995">
      <c r="A1995" s="79" t="n">
        <v>38430</v>
      </c>
      <c r="B1995" t="n">
        <v>2616000</v>
      </c>
      <c r="C1995" t="n">
        <v>329000</v>
      </c>
    </row>
    <row r="1996">
      <c r="A1996" s="79" t="n">
        <v>38437</v>
      </c>
      <c r="B1996" t="n">
        <v>2683000</v>
      </c>
      <c r="C1996" t="n">
        <v>342000</v>
      </c>
    </row>
    <row r="1997">
      <c r="A1997" s="79" t="n">
        <v>38444</v>
      </c>
      <c r="B1997" t="n">
        <v>2653000</v>
      </c>
      <c r="C1997" t="n">
        <v>335000</v>
      </c>
    </row>
    <row r="1998">
      <c r="A1998" s="79" t="n">
        <v>38451</v>
      </c>
      <c r="B1998" t="n">
        <v>2626000</v>
      </c>
      <c r="C1998" t="n">
        <v>323000</v>
      </c>
    </row>
    <row r="1999">
      <c r="A1999" s="79" t="n">
        <v>38458</v>
      </c>
      <c r="B1999" t="n">
        <v>2559000</v>
      </c>
      <c r="C1999" t="n">
        <v>307000</v>
      </c>
    </row>
    <row r="2000">
      <c r="A2000" s="79" t="n">
        <v>38465</v>
      </c>
      <c r="B2000" t="n">
        <v>2588000</v>
      </c>
      <c r="C2000" t="n">
        <v>317000</v>
      </c>
    </row>
    <row r="2001">
      <c r="A2001" s="79" t="n">
        <v>38472</v>
      </c>
      <c r="B2001" t="n">
        <v>2596000</v>
      </c>
      <c r="C2001" t="n">
        <v>334000</v>
      </c>
    </row>
    <row r="2002">
      <c r="A2002" s="79" t="n">
        <v>38479</v>
      </c>
      <c r="B2002" t="n">
        <v>2605000</v>
      </c>
      <c r="C2002" t="n">
        <v>327000</v>
      </c>
    </row>
    <row r="2003">
      <c r="A2003" s="79" t="n">
        <v>38486</v>
      </c>
      <c r="B2003" t="n">
        <v>2568000</v>
      </c>
      <c r="C2003" t="n">
        <v>321000</v>
      </c>
    </row>
    <row r="2004">
      <c r="A2004" s="79" t="n">
        <v>38493</v>
      </c>
      <c r="B2004" t="n">
        <v>2595000</v>
      </c>
      <c r="C2004" t="n">
        <v>320000</v>
      </c>
    </row>
    <row r="2005">
      <c r="A2005" s="79" t="n">
        <v>38500</v>
      </c>
      <c r="B2005" t="n">
        <v>2577000</v>
      </c>
      <c r="C2005" t="n">
        <v>340000</v>
      </c>
    </row>
    <row r="2006">
      <c r="A2006" s="79" t="n">
        <v>38507</v>
      </c>
      <c r="B2006" t="n">
        <v>2630000</v>
      </c>
      <c r="C2006" t="n">
        <v>338000</v>
      </c>
    </row>
    <row r="2007">
      <c r="A2007" s="79" t="n">
        <v>38514</v>
      </c>
      <c r="B2007" t="n">
        <v>2599000</v>
      </c>
      <c r="C2007" t="n">
        <v>333000</v>
      </c>
    </row>
    <row r="2008">
      <c r="A2008" s="79" t="n">
        <v>38521</v>
      </c>
      <c r="B2008" t="n">
        <v>2602000</v>
      </c>
      <c r="C2008" t="n">
        <v>321000</v>
      </c>
    </row>
    <row r="2009">
      <c r="A2009" s="79" t="n">
        <v>38528</v>
      </c>
      <c r="B2009" t="n">
        <v>2569000</v>
      </c>
      <c r="C2009" t="n">
        <v>311000</v>
      </c>
    </row>
    <row r="2010">
      <c r="A2010" s="79" t="n">
        <v>38535</v>
      </c>
      <c r="B2010" t="n">
        <v>2612000</v>
      </c>
      <c r="C2010" t="n">
        <v>327000</v>
      </c>
    </row>
    <row r="2011">
      <c r="A2011" s="79" t="n">
        <v>38542</v>
      </c>
      <c r="B2011" t="n">
        <v>2583000</v>
      </c>
      <c r="C2011" t="n">
        <v>338000</v>
      </c>
    </row>
    <row r="2012">
      <c r="A2012" s="79" t="n">
        <v>38549</v>
      </c>
      <c r="B2012" t="n">
        <v>2619000</v>
      </c>
      <c r="C2012" t="n">
        <v>323000</v>
      </c>
    </row>
    <row r="2013">
      <c r="A2013" s="79" t="n">
        <v>38556</v>
      </c>
      <c r="B2013" t="n">
        <v>2592000</v>
      </c>
      <c r="C2013" t="n">
        <v>318000</v>
      </c>
    </row>
    <row r="2014">
      <c r="A2014" s="79" t="n">
        <v>38563</v>
      </c>
      <c r="B2014" t="n">
        <v>2570000</v>
      </c>
      <c r="C2014" t="n">
        <v>316000</v>
      </c>
    </row>
    <row r="2015">
      <c r="A2015" s="79" t="n">
        <v>38570</v>
      </c>
      <c r="B2015" t="n">
        <v>2584000</v>
      </c>
      <c r="C2015" t="n">
        <v>311000</v>
      </c>
    </row>
    <row r="2016">
      <c r="A2016" s="79" t="n">
        <v>38577</v>
      </c>
      <c r="B2016" t="n">
        <v>2573000</v>
      </c>
      <c r="C2016" t="n">
        <v>319000</v>
      </c>
    </row>
    <row r="2017">
      <c r="A2017" s="79" t="n">
        <v>38584</v>
      </c>
      <c r="B2017" t="n">
        <v>2598000</v>
      </c>
      <c r="C2017" t="n">
        <v>315000</v>
      </c>
    </row>
    <row r="2018">
      <c r="A2018" s="79" t="n">
        <v>38591</v>
      </c>
      <c r="B2018" t="n">
        <v>2568000</v>
      </c>
      <c r="C2018" t="n">
        <v>318000</v>
      </c>
    </row>
    <row r="2019">
      <c r="A2019" s="79" t="n">
        <v>38598</v>
      </c>
      <c r="B2019" t="n">
        <v>2575000</v>
      </c>
      <c r="C2019" t="n">
        <v>326000</v>
      </c>
    </row>
    <row r="2020">
      <c r="A2020" s="79" t="n">
        <v>38605</v>
      </c>
      <c r="B2020" t="n">
        <v>2651000</v>
      </c>
      <c r="C2020" t="n">
        <v>422000</v>
      </c>
    </row>
    <row r="2021">
      <c r="A2021" s="79" t="n">
        <v>38612</v>
      </c>
      <c r="B2021" t="n">
        <v>2787000</v>
      </c>
      <c r="C2021" t="n">
        <v>424000</v>
      </c>
    </row>
    <row r="2022">
      <c r="A2022" s="79" t="n">
        <v>38619</v>
      </c>
      <c r="B2022" t="n">
        <v>2853000</v>
      </c>
      <c r="C2022" t="n">
        <v>359000</v>
      </c>
    </row>
    <row r="2023">
      <c r="A2023" s="79" t="n">
        <v>38626</v>
      </c>
      <c r="B2023" t="n">
        <v>2841000</v>
      </c>
      <c r="C2023" t="n">
        <v>384000</v>
      </c>
    </row>
    <row r="2024">
      <c r="A2024" s="79" t="n">
        <v>38633</v>
      </c>
      <c r="B2024" t="n">
        <v>2831000</v>
      </c>
      <c r="C2024" t="n">
        <v>383000</v>
      </c>
    </row>
    <row r="2025">
      <c r="A2025" s="79" t="n">
        <v>38640</v>
      </c>
      <c r="B2025" t="n">
        <v>2821000</v>
      </c>
      <c r="C2025" t="n">
        <v>348000</v>
      </c>
    </row>
    <row r="2026">
      <c r="A2026" s="79" t="n">
        <v>38647</v>
      </c>
      <c r="B2026" t="n">
        <v>2772000</v>
      </c>
      <c r="C2026" t="n">
        <v>324000</v>
      </c>
    </row>
    <row r="2027">
      <c r="A2027" s="79" t="n">
        <v>38654</v>
      </c>
      <c r="B2027" t="n">
        <v>2752000</v>
      </c>
      <c r="C2027" t="n">
        <v>322000</v>
      </c>
    </row>
    <row r="2028">
      <c r="A2028" s="79" t="n">
        <v>38661</v>
      </c>
      <c r="B2028" t="n">
        <v>2746000</v>
      </c>
      <c r="C2028" t="n">
        <v>325000</v>
      </c>
    </row>
    <row r="2029">
      <c r="A2029" s="79" t="n">
        <v>38668</v>
      </c>
      <c r="B2029" t="n">
        <v>2760000</v>
      </c>
      <c r="C2029" t="n">
        <v>309000</v>
      </c>
    </row>
    <row r="2030">
      <c r="A2030" s="79" t="n">
        <v>38675</v>
      </c>
      <c r="B2030" t="n">
        <v>2712000</v>
      </c>
      <c r="C2030" t="n">
        <v>324000</v>
      </c>
    </row>
    <row r="2031">
      <c r="A2031" s="79" t="n">
        <v>38682</v>
      </c>
      <c r="B2031" t="n">
        <v>2587000</v>
      </c>
      <c r="C2031" t="n">
        <v>311000</v>
      </c>
    </row>
    <row r="2032">
      <c r="A2032" s="79" t="n">
        <v>38689</v>
      </c>
      <c r="B2032" t="n">
        <v>2589000</v>
      </c>
      <c r="C2032" t="n">
        <v>321000</v>
      </c>
    </row>
    <row r="2033">
      <c r="A2033" s="79" t="n">
        <v>38696</v>
      </c>
      <c r="B2033" t="n">
        <v>2620000</v>
      </c>
      <c r="C2033" t="n">
        <v>327000</v>
      </c>
    </row>
    <row r="2034">
      <c r="A2034" s="79" t="n">
        <v>38703</v>
      </c>
      <c r="B2034" t="n">
        <v>2660000</v>
      </c>
      <c r="C2034" t="n">
        <v>312000</v>
      </c>
    </row>
    <row r="2035">
      <c r="A2035" s="79" t="n">
        <v>38710</v>
      </c>
      <c r="B2035" t="n">
        <v>2668000</v>
      </c>
      <c r="C2035" t="n">
        <v>320000</v>
      </c>
    </row>
    <row r="2036">
      <c r="A2036" s="79" t="n">
        <v>38717</v>
      </c>
      <c r="B2036" t="n">
        <v>2660000</v>
      </c>
      <c r="C2036" t="n">
        <v>302000</v>
      </c>
    </row>
    <row r="2037">
      <c r="A2037" s="79" t="n">
        <v>38724</v>
      </c>
      <c r="B2037" t="n">
        <v>2561000</v>
      </c>
      <c r="C2037" t="n">
        <v>326000</v>
      </c>
    </row>
    <row r="2038">
      <c r="A2038" s="79" t="n">
        <v>38731</v>
      </c>
      <c r="B2038" t="n">
        <v>2586000</v>
      </c>
      <c r="C2038" t="n">
        <v>285000</v>
      </c>
    </row>
    <row r="2039">
      <c r="A2039" s="79" t="n">
        <v>38738</v>
      </c>
      <c r="B2039" t="n">
        <v>2516000</v>
      </c>
      <c r="C2039" t="n">
        <v>290000</v>
      </c>
    </row>
    <row r="2040">
      <c r="A2040" s="79" t="n">
        <v>38745</v>
      </c>
      <c r="B2040" t="n">
        <v>2565000</v>
      </c>
      <c r="C2040" t="n">
        <v>282000</v>
      </c>
    </row>
    <row r="2041">
      <c r="A2041" s="79" t="n">
        <v>38752</v>
      </c>
      <c r="B2041" t="n">
        <v>2520000</v>
      </c>
      <c r="C2041" t="n">
        <v>289000</v>
      </c>
    </row>
    <row r="2042">
      <c r="A2042" s="79" t="n">
        <v>38759</v>
      </c>
      <c r="B2042" t="n">
        <v>2517000</v>
      </c>
      <c r="C2042" t="n">
        <v>298000</v>
      </c>
    </row>
    <row r="2043">
      <c r="A2043" s="79" t="n">
        <v>38766</v>
      </c>
      <c r="B2043" t="n">
        <v>2488000</v>
      </c>
      <c r="C2043" t="n">
        <v>283000</v>
      </c>
    </row>
    <row r="2044">
      <c r="A2044" s="79" t="n">
        <v>38773</v>
      </c>
      <c r="B2044" t="n">
        <v>2504000</v>
      </c>
      <c r="C2044" t="n">
        <v>293000</v>
      </c>
    </row>
    <row r="2045">
      <c r="A2045" s="79" t="n">
        <v>38780</v>
      </c>
      <c r="B2045" t="n">
        <v>2453000</v>
      </c>
      <c r="C2045" t="n">
        <v>302000</v>
      </c>
    </row>
    <row r="2046">
      <c r="A2046" s="79" t="n">
        <v>38787</v>
      </c>
      <c r="B2046" t="n">
        <v>2474000</v>
      </c>
      <c r="C2046" t="n">
        <v>307000</v>
      </c>
    </row>
    <row r="2047">
      <c r="A2047" s="79" t="n">
        <v>38794</v>
      </c>
      <c r="B2047" t="n">
        <v>2456000</v>
      </c>
      <c r="C2047" t="n">
        <v>303000</v>
      </c>
    </row>
    <row r="2048">
      <c r="A2048" s="79" t="n">
        <v>38801</v>
      </c>
      <c r="B2048" t="n">
        <v>2439000</v>
      </c>
      <c r="C2048" t="n">
        <v>295000</v>
      </c>
    </row>
    <row r="2049">
      <c r="A2049" s="79" t="n">
        <v>38808</v>
      </c>
      <c r="B2049" t="n">
        <v>2405000</v>
      </c>
      <c r="C2049" t="n">
        <v>291000</v>
      </c>
    </row>
    <row r="2050">
      <c r="A2050" s="79" t="n">
        <v>38815</v>
      </c>
      <c r="B2050" t="n">
        <v>2411000</v>
      </c>
      <c r="C2050" t="n">
        <v>299000</v>
      </c>
    </row>
    <row r="2051">
      <c r="A2051" s="79" t="n">
        <v>38822</v>
      </c>
      <c r="B2051" t="n">
        <v>2408000</v>
      </c>
      <c r="C2051" t="n">
        <v>299000</v>
      </c>
    </row>
    <row r="2052">
      <c r="A2052" s="79" t="n">
        <v>38829</v>
      </c>
      <c r="B2052" t="n">
        <v>2424000</v>
      </c>
      <c r="C2052" t="n">
        <v>308000</v>
      </c>
    </row>
    <row r="2053">
      <c r="A2053" s="79" t="n">
        <v>38836</v>
      </c>
      <c r="B2053" t="n">
        <v>2357000</v>
      </c>
      <c r="C2053" t="n">
        <v>321000</v>
      </c>
    </row>
    <row r="2054">
      <c r="A2054" s="79" t="n">
        <v>38843</v>
      </c>
      <c r="B2054" t="n">
        <v>2372000</v>
      </c>
      <c r="C2054" t="n">
        <v>347000</v>
      </c>
    </row>
    <row r="2055">
      <c r="A2055" s="79" t="n">
        <v>38850</v>
      </c>
      <c r="B2055" t="n">
        <v>2383000</v>
      </c>
      <c r="C2055" t="n">
        <v>335000</v>
      </c>
    </row>
    <row r="2056">
      <c r="A2056" s="79" t="n">
        <v>38857</v>
      </c>
      <c r="B2056" t="n">
        <v>2399000</v>
      </c>
      <c r="C2056" t="n">
        <v>319000</v>
      </c>
    </row>
    <row r="2057">
      <c r="A2057" s="79" t="n">
        <v>38864</v>
      </c>
      <c r="B2057" t="n">
        <v>2381000</v>
      </c>
      <c r="C2057" t="n">
        <v>330000</v>
      </c>
    </row>
    <row r="2058">
      <c r="A2058" s="79" t="n">
        <v>38871</v>
      </c>
      <c r="B2058" t="n">
        <v>2408000</v>
      </c>
      <c r="C2058" t="n">
        <v>307000</v>
      </c>
    </row>
    <row r="2059">
      <c r="A2059" s="79" t="n">
        <v>38878</v>
      </c>
      <c r="B2059" t="n">
        <v>2412000</v>
      </c>
      <c r="C2059" t="n">
        <v>298000</v>
      </c>
    </row>
    <row r="2060">
      <c r="A2060" s="79" t="n">
        <v>38885</v>
      </c>
      <c r="B2060" t="n">
        <v>2395000</v>
      </c>
      <c r="C2060" t="n">
        <v>308000</v>
      </c>
    </row>
    <row r="2061">
      <c r="A2061" s="79" t="n">
        <v>38892</v>
      </c>
      <c r="B2061" t="n">
        <v>2419000</v>
      </c>
      <c r="C2061" t="n">
        <v>309000</v>
      </c>
    </row>
    <row r="2062">
      <c r="A2062" s="79" t="n">
        <v>38899</v>
      </c>
      <c r="B2062" t="n">
        <v>2399000</v>
      </c>
      <c r="C2062" t="n">
        <v>316000</v>
      </c>
    </row>
    <row r="2063">
      <c r="A2063" s="79" t="n">
        <v>38906</v>
      </c>
      <c r="B2063" t="n">
        <v>2491000</v>
      </c>
      <c r="C2063" t="n">
        <v>343000</v>
      </c>
    </row>
    <row r="2064">
      <c r="A2064" s="79" t="n">
        <v>38913</v>
      </c>
      <c r="B2064" t="n">
        <v>2475000</v>
      </c>
      <c r="C2064" t="n">
        <v>318000</v>
      </c>
    </row>
    <row r="2065">
      <c r="A2065" s="79" t="n">
        <v>38920</v>
      </c>
      <c r="B2065" t="n">
        <v>2422000</v>
      </c>
      <c r="C2065" t="n">
        <v>306000</v>
      </c>
    </row>
    <row r="2066">
      <c r="A2066" s="79" t="n">
        <v>38927</v>
      </c>
      <c r="B2066" t="n">
        <v>2460000</v>
      </c>
      <c r="C2066" t="n">
        <v>311000</v>
      </c>
    </row>
    <row r="2067">
      <c r="A2067" s="79" t="n">
        <v>38934</v>
      </c>
      <c r="B2067" t="n">
        <v>2477000</v>
      </c>
      <c r="C2067" t="n">
        <v>318000</v>
      </c>
    </row>
    <row r="2068">
      <c r="A2068" s="79" t="n">
        <v>38941</v>
      </c>
      <c r="B2068" t="n">
        <v>2467000</v>
      </c>
      <c r="C2068" t="n">
        <v>310000</v>
      </c>
    </row>
    <row r="2069">
      <c r="A2069" s="79" t="n">
        <v>38948</v>
      </c>
      <c r="B2069" t="n">
        <v>2464000</v>
      </c>
      <c r="C2069" t="n">
        <v>315000</v>
      </c>
    </row>
    <row r="2070">
      <c r="A2070" s="79" t="n">
        <v>38955</v>
      </c>
      <c r="B2070" t="n">
        <v>2457000</v>
      </c>
      <c r="C2070" t="n">
        <v>314000</v>
      </c>
    </row>
    <row r="2071">
      <c r="A2071" s="79" t="n">
        <v>38962</v>
      </c>
      <c r="B2071" t="n">
        <v>2467000</v>
      </c>
      <c r="C2071" t="n">
        <v>315000</v>
      </c>
    </row>
    <row r="2072">
      <c r="A2072" s="79" t="n">
        <v>38969</v>
      </c>
      <c r="B2072" t="n">
        <v>2449000</v>
      </c>
      <c r="C2072" t="n">
        <v>314000</v>
      </c>
    </row>
    <row r="2073">
      <c r="A2073" s="79" t="n">
        <v>38976</v>
      </c>
      <c r="B2073" t="n">
        <v>2438000</v>
      </c>
      <c r="C2073" t="n">
        <v>324000</v>
      </c>
    </row>
    <row r="2074">
      <c r="A2074" s="79" t="n">
        <v>38983</v>
      </c>
      <c r="B2074" t="n">
        <v>2440000</v>
      </c>
      <c r="C2074" t="n">
        <v>319000</v>
      </c>
    </row>
    <row r="2075">
      <c r="A2075" s="79" t="n">
        <v>38990</v>
      </c>
      <c r="B2075" t="n">
        <v>2437000</v>
      </c>
      <c r="C2075" t="n">
        <v>309000</v>
      </c>
    </row>
    <row r="2076">
      <c r="A2076" s="79" t="n">
        <v>38997</v>
      </c>
      <c r="B2076" t="n">
        <v>2449000</v>
      </c>
      <c r="C2076" t="n">
        <v>316000</v>
      </c>
    </row>
    <row r="2077">
      <c r="A2077" s="79" t="n">
        <v>39004</v>
      </c>
      <c r="B2077" t="n">
        <v>2459000</v>
      </c>
      <c r="C2077" t="n">
        <v>305000</v>
      </c>
    </row>
    <row r="2078">
      <c r="A2078" s="79" t="n">
        <v>39011</v>
      </c>
      <c r="B2078" t="n">
        <v>2428000</v>
      </c>
      <c r="C2078" t="n">
        <v>313000</v>
      </c>
    </row>
    <row r="2079">
      <c r="A2079" s="79" t="n">
        <v>39018</v>
      </c>
      <c r="B2079" t="n">
        <v>2449000</v>
      </c>
      <c r="C2079" t="n">
        <v>328000</v>
      </c>
    </row>
    <row r="2080">
      <c r="A2080" s="79" t="n">
        <v>39025</v>
      </c>
      <c r="B2080" t="n">
        <v>2414000</v>
      </c>
      <c r="C2080" t="n">
        <v>319000</v>
      </c>
    </row>
    <row r="2081">
      <c r="A2081" s="79" t="n">
        <v>39032</v>
      </c>
      <c r="B2081" t="n">
        <v>2467000</v>
      </c>
      <c r="C2081" t="n">
        <v>311000</v>
      </c>
    </row>
    <row r="2082">
      <c r="A2082" s="79" t="n">
        <v>39039</v>
      </c>
      <c r="B2082" t="n">
        <v>2506000</v>
      </c>
      <c r="C2082" t="n">
        <v>326000</v>
      </c>
    </row>
    <row r="2083">
      <c r="A2083" s="79" t="n">
        <v>39046</v>
      </c>
      <c r="B2083" t="n">
        <v>2517000</v>
      </c>
      <c r="C2083" t="n">
        <v>349000</v>
      </c>
    </row>
    <row r="2084">
      <c r="A2084" s="79" t="n">
        <v>39053</v>
      </c>
      <c r="B2084" t="n">
        <v>2472000</v>
      </c>
      <c r="C2084" t="n">
        <v>327000</v>
      </c>
    </row>
    <row r="2085">
      <c r="A2085" s="79" t="n">
        <v>39060</v>
      </c>
      <c r="B2085" t="n">
        <v>2517000</v>
      </c>
      <c r="C2085" t="n">
        <v>311000</v>
      </c>
    </row>
    <row r="2086">
      <c r="A2086" s="79" t="n">
        <v>39067</v>
      </c>
      <c r="B2086" t="n">
        <v>2513000</v>
      </c>
      <c r="C2086" t="n">
        <v>318000</v>
      </c>
    </row>
    <row r="2087">
      <c r="A2087" s="79" t="n">
        <v>39074</v>
      </c>
      <c r="B2087" t="n">
        <v>2449000</v>
      </c>
      <c r="C2087" t="n">
        <v>323000</v>
      </c>
    </row>
    <row r="2088">
      <c r="A2088" s="79" t="n">
        <v>39081</v>
      </c>
      <c r="B2088" t="n">
        <v>2455000</v>
      </c>
      <c r="C2088" t="n">
        <v>341000</v>
      </c>
    </row>
    <row r="2089">
      <c r="A2089" s="79" t="n">
        <v>39088</v>
      </c>
      <c r="B2089" t="n">
        <v>2518000</v>
      </c>
      <c r="C2089" t="n">
        <v>330000</v>
      </c>
    </row>
    <row r="2090">
      <c r="A2090" s="79" t="n">
        <v>39095</v>
      </c>
      <c r="B2090" t="n">
        <v>2507000</v>
      </c>
      <c r="C2090" t="n">
        <v>296000</v>
      </c>
    </row>
    <row r="2091">
      <c r="A2091" s="79" t="n">
        <v>39102</v>
      </c>
      <c r="B2091" t="n">
        <v>2552000</v>
      </c>
      <c r="C2091" t="n">
        <v>335000</v>
      </c>
    </row>
    <row r="2092">
      <c r="A2092" s="79" t="n">
        <v>39109</v>
      </c>
      <c r="B2092" t="n">
        <v>2520000</v>
      </c>
      <c r="C2092" t="n">
        <v>308000</v>
      </c>
    </row>
    <row r="2093">
      <c r="A2093" s="79" t="n">
        <v>39116</v>
      </c>
      <c r="B2093" t="n">
        <v>2575000</v>
      </c>
      <c r="C2093" t="n">
        <v>310000</v>
      </c>
    </row>
    <row r="2094">
      <c r="A2094" s="79" t="n">
        <v>39123</v>
      </c>
      <c r="B2094" t="n">
        <v>2527000</v>
      </c>
      <c r="C2094" t="n">
        <v>338000</v>
      </c>
    </row>
    <row r="2095">
      <c r="A2095" s="79" t="n">
        <v>39130</v>
      </c>
      <c r="B2095" t="n">
        <v>2626000</v>
      </c>
      <c r="C2095" t="n">
        <v>321000</v>
      </c>
    </row>
    <row r="2096">
      <c r="A2096" s="79" t="n">
        <v>39137</v>
      </c>
      <c r="B2096" t="n">
        <v>2549000</v>
      </c>
      <c r="C2096" t="n">
        <v>322000</v>
      </c>
    </row>
    <row r="2097">
      <c r="A2097" s="79" t="n">
        <v>39144</v>
      </c>
      <c r="B2097" t="n">
        <v>2581000</v>
      </c>
      <c r="C2097" t="n">
        <v>320000</v>
      </c>
    </row>
    <row r="2098">
      <c r="A2098" s="79" t="n">
        <v>39151</v>
      </c>
      <c r="B2098" t="n">
        <v>2511000</v>
      </c>
      <c r="C2098" t="n">
        <v>308000</v>
      </c>
    </row>
    <row r="2099">
      <c r="A2099" s="79" t="n">
        <v>39158</v>
      </c>
      <c r="B2099" t="n">
        <v>2515000</v>
      </c>
      <c r="C2099" t="n">
        <v>309000</v>
      </c>
    </row>
    <row r="2100">
      <c r="A2100" s="79" t="n">
        <v>39165</v>
      </c>
      <c r="B2100" t="n">
        <v>2489000</v>
      </c>
      <c r="C2100" t="n">
        <v>303000</v>
      </c>
    </row>
    <row r="2101">
      <c r="A2101" s="79" t="n">
        <v>39172</v>
      </c>
      <c r="B2101" t="n">
        <v>2499000</v>
      </c>
      <c r="C2101" t="n">
        <v>307000</v>
      </c>
    </row>
    <row r="2102">
      <c r="A2102" s="79" t="n">
        <v>39179</v>
      </c>
      <c r="B2102" t="n">
        <v>2497000</v>
      </c>
      <c r="C2102" t="n">
        <v>332000</v>
      </c>
    </row>
    <row r="2103">
      <c r="A2103" s="79" t="n">
        <v>39186</v>
      </c>
      <c r="B2103" t="n">
        <v>2538000</v>
      </c>
      <c r="C2103" t="n">
        <v>327000</v>
      </c>
    </row>
    <row r="2104">
      <c r="A2104" s="79" t="n">
        <v>39193</v>
      </c>
      <c r="B2104" t="n">
        <v>2463000</v>
      </c>
      <c r="C2104" t="n">
        <v>321000</v>
      </c>
    </row>
    <row r="2105">
      <c r="A2105" s="79" t="n">
        <v>39200</v>
      </c>
      <c r="B2105" t="n">
        <v>2486000</v>
      </c>
      <c r="C2105" t="n">
        <v>301000</v>
      </c>
    </row>
    <row r="2106">
      <c r="A2106" s="79" t="n">
        <v>39207</v>
      </c>
      <c r="B2106" t="n">
        <v>2429000</v>
      </c>
      <c r="C2106" t="n">
        <v>300000</v>
      </c>
    </row>
    <row r="2107">
      <c r="A2107" s="79" t="n">
        <v>39214</v>
      </c>
      <c r="B2107" t="n">
        <v>2465000</v>
      </c>
      <c r="C2107" t="n">
        <v>297000</v>
      </c>
    </row>
    <row r="2108">
      <c r="A2108" s="79" t="n">
        <v>39221</v>
      </c>
      <c r="B2108" t="n">
        <v>2417000</v>
      </c>
      <c r="C2108" t="n">
        <v>310000</v>
      </c>
    </row>
    <row r="2109">
      <c r="A2109" s="79" t="n">
        <v>39228</v>
      </c>
      <c r="B2109" t="n">
        <v>2480000</v>
      </c>
      <c r="C2109" t="n">
        <v>310000</v>
      </c>
    </row>
    <row r="2110">
      <c r="A2110" s="79" t="n">
        <v>39235</v>
      </c>
      <c r="B2110" t="n">
        <v>2452000</v>
      </c>
      <c r="C2110" t="n">
        <v>313000</v>
      </c>
    </row>
    <row r="2111">
      <c r="A2111" s="79" t="n">
        <v>39242</v>
      </c>
      <c r="B2111" t="n">
        <v>2484000</v>
      </c>
      <c r="C2111" t="n">
        <v>313000</v>
      </c>
    </row>
    <row r="2112">
      <c r="A2112" s="79" t="n">
        <v>39249</v>
      </c>
      <c r="B2112" t="n">
        <v>2453000</v>
      </c>
      <c r="C2112" t="n">
        <v>320000</v>
      </c>
    </row>
    <row r="2113">
      <c r="A2113" s="79" t="n">
        <v>39256</v>
      </c>
      <c r="B2113" t="n">
        <v>2520000</v>
      </c>
      <c r="C2113" t="n">
        <v>313000</v>
      </c>
    </row>
    <row r="2114">
      <c r="A2114" s="79" t="n">
        <v>39263</v>
      </c>
      <c r="B2114" t="n">
        <v>2501000</v>
      </c>
      <c r="C2114" t="n">
        <v>317000</v>
      </c>
    </row>
    <row r="2115">
      <c r="A2115" s="79" t="n">
        <v>39270</v>
      </c>
      <c r="B2115" t="n">
        <v>2563000</v>
      </c>
      <c r="C2115" t="n">
        <v>321000</v>
      </c>
    </row>
    <row r="2116">
      <c r="A2116" s="79" t="n">
        <v>39277</v>
      </c>
      <c r="B2116" t="n">
        <v>2555000</v>
      </c>
      <c r="C2116" t="n">
        <v>317000</v>
      </c>
    </row>
    <row r="2117">
      <c r="A2117" s="79" t="n">
        <v>39284</v>
      </c>
      <c r="B2117" t="n">
        <v>2514000</v>
      </c>
      <c r="C2117" t="n">
        <v>310000</v>
      </c>
    </row>
    <row r="2118">
      <c r="A2118" s="79" t="n">
        <v>39291</v>
      </c>
      <c r="B2118" t="n">
        <v>2537000</v>
      </c>
      <c r="C2118" t="n">
        <v>305000</v>
      </c>
    </row>
    <row r="2119">
      <c r="A2119" s="79" t="n">
        <v>39298</v>
      </c>
      <c r="B2119" t="n">
        <v>2531000</v>
      </c>
      <c r="C2119" t="n">
        <v>314000</v>
      </c>
    </row>
    <row r="2120">
      <c r="A2120" s="79" t="n">
        <v>39305</v>
      </c>
      <c r="B2120" t="n">
        <v>2556000</v>
      </c>
      <c r="C2120" t="n">
        <v>316000</v>
      </c>
    </row>
    <row r="2121">
      <c r="A2121" s="79" t="n">
        <v>39312</v>
      </c>
      <c r="B2121" t="n">
        <v>2556000</v>
      </c>
      <c r="C2121" t="n">
        <v>321000</v>
      </c>
    </row>
    <row r="2122">
      <c r="A2122" s="79" t="n">
        <v>39319</v>
      </c>
      <c r="B2122" t="n">
        <v>2569000</v>
      </c>
      <c r="C2122" t="n">
        <v>329000</v>
      </c>
    </row>
    <row r="2123">
      <c r="A2123" s="79" t="n">
        <v>39326</v>
      </c>
      <c r="B2123" t="n">
        <v>2565000</v>
      </c>
      <c r="C2123" t="n">
        <v>314000</v>
      </c>
    </row>
    <row r="2124">
      <c r="A2124" s="79" t="n">
        <v>39333</v>
      </c>
      <c r="B2124" t="n">
        <v>2537000</v>
      </c>
      <c r="C2124" t="n">
        <v>321000</v>
      </c>
    </row>
    <row r="2125">
      <c r="A2125" s="79" t="n">
        <v>39340</v>
      </c>
      <c r="B2125" t="n">
        <v>2536000</v>
      </c>
      <c r="C2125" t="n">
        <v>313000</v>
      </c>
    </row>
    <row r="2126">
      <c r="A2126" s="79" t="n">
        <v>39347</v>
      </c>
      <c r="B2126" t="n">
        <v>2530000</v>
      </c>
      <c r="C2126" t="n">
        <v>302000</v>
      </c>
    </row>
    <row r="2127">
      <c r="A2127" s="79" t="n">
        <v>39354</v>
      </c>
      <c r="B2127" t="n">
        <v>2518000</v>
      </c>
      <c r="C2127" t="n">
        <v>317000</v>
      </c>
    </row>
    <row r="2128">
      <c r="A2128" s="79" t="n">
        <v>39361</v>
      </c>
      <c r="B2128" t="n">
        <v>2521000</v>
      </c>
      <c r="C2128" t="n">
        <v>316000</v>
      </c>
    </row>
    <row r="2129">
      <c r="A2129" s="79" t="n">
        <v>39368</v>
      </c>
      <c r="B2129" t="n">
        <v>2541000</v>
      </c>
      <c r="C2129" t="n">
        <v>335000</v>
      </c>
    </row>
    <row r="2130">
      <c r="A2130" s="79" t="n">
        <v>39375</v>
      </c>
      <c r="B2130" t="n">
        <v>2598000</v>
      </c>
      <c r="C2130" t="n">
        <v>334000</v>
      </c>
    </row>
    <row r="2131">
      <c r="A2131" s="79" t="n">
        <v>39382</v>
      </c>
      <c r="B2131" t="n">
        <v>2587000</v>
      </c>
      <c r="C2131" t="n">
        <v>328000</v>
      </c>
    </row>
    <row r="2132">
      <c r="A2132" s="79" t="n">
        <v>39389</v>
      </c>
      <c r="B2132" t="n">
        <v>2617000</v>
      </c>
      <c r="C2132" t="n">
        <v>327000</v>
      </c>
    </row>
    <row r="2133">
      <c r="A2133" s="79" t="n">
        <v>39396</v>
      </c>
      <c r="B2133" t="n">
        <v>2607000</v>
      </c>
      <c r="C2133" t="n">
        <v>333000</v>
      </c>
    </row>
    <row r="2134">
      <c r="A2134" s="79" t="n">
        <v>39403</v>
      </c>
      <c r="B2134" t="n">
        <v>2609000</v>
      </c>
      <c r="C2134" t="n">
        <v>332000</v>
      </c>
    </row>
    <row r="2135">
      <c r="A2135" s="79" t="n">
        <v>39410</v>
      </c>
      <c r="B2135" t="n">
        <v>2634000</v>
      </c>
      <c r="C2135" t="n">
        <v>352000</v>
      </c>
    </row>
    <row r="2136">
      <c r="A2136" s="79" t="n">
        <v>39417</v>
      </c>
      <c r="B2136" t="n">
        <v>2639000</v>
      </c>
      <c r="C2136" t="n">
        <v>344000</v>
      </c>
    </row>
    <row r="2137">
      <c r="A2137" s="79" t="n">
        <v>39424</v>
      </c>
      <c r="B2137" t="n">
        <v>2672000</v>
      </c>
      <c r="C2137" t="n">
        <v>332000</v>
      </c>
    </row>
    <row r="2138">
      <c r="A2138" s="79" t="n">
        <v>39431</v>
      </c>
      <c r="B2138" t="n">
        <v>2737000</v>
      </c>
      <c r="C2138" t="n">
        <v>350000</v>
      </c>
    </row>
    <row r="2139">
      <c r="A2139" s="79" t="n">
        <v>39438</v>
      </c>
      <c r="B2139" t="n">
        <v>2752000</v>
      </c>
      <c r="C2139" t="n">
        <v>355000</v>
      </c>
    </row>
    <row r="2140">
      <c r="A2140" s="79" t="n">
        <v>39445</v>
      </c>
      <c r="B2140" t="n">
        <v>2760000</v>
      </c>
      <c r="C2140" t="n">
        <v>360000</v>
      </c>
    </row>
    <row r="2141">
      <c r="A2141" s="79" t="n">
        <v>39452</v>
      </c>
      <c r="B2141" t="n">
        <v>2828000</v>
      </c>
      <c r="C2141" t="n">
        <v>346000</v>
      </c>
    </row>
    <row r="2142">
      <c r="A2142" s="79" t="n">
        <v>39459</v>
      </c>
      <c r="B2142" t="n">
        <v>2752000</v>
      </c>
      <c r="C2142" t="n">
        <v>322000</v>
      </c>
    </row>
    <row r="2143">
      <c r="A2143" s="79" t="n">
        <v>39466</v>
      </c>
      <c r="B2143" t="n">
        <v>2770000</v>
      </c>
      <c r="C2143" t="n">
        <v>321000</v>
      </c>
    </row>
    <row r="2144">
      <c r="A2144" s="79" t="n">
        <v>39473</v>
      </c>
      <c r="B2144" t="n">
        <v>2845000</v>
      </c>
      <c r="C2144" t="n">
        <v>366000</v>
      </c>
    </row>
    <row r="2145">
      <c r="A2145" s="79" t="n">
        <v>39480</v>
      </c>
      <c r="B2145" t="n">
        <v>2810000</v>
      </c>
      <c r="C2145" t="n">
        <v>350000</v>
      </c>
    </row>
    <row r="2146">
      <c r="A2146" s="79" t="n">
        <v>39487</v>
      </c>
      <c r="B2146" t="n">
        <v>2846000</v>
      </c>
      <c r="C2146" t="n">
        <v>344000</v>
      </c>
    </row>
    <row r="2147">
      <c r="A2147" s="79" t="n">
        <v>39494</v>
      </c>
      <c r="B2147" t="n">
        <v>2837000</v>
      </c>
      <c r="C2147" t="n">
        <v>339000</v>
      </c>
    </row>
    <row r="2148">
      <c r="A2148" s="79" t="n">
        <v>39501</v>
      </c>
      <c r="B2148" t="n">
        <v>2884000</v>
      </c>
      <c r="C2148" t="n">
        <v>354000</v>
      </c>
    </row>
    <row r="2149">
      <c r="A2149" s="79" t="n">
        <v>39508</v>
      </c>
      <c r="B2149" t="n">
        <v>2867000</v>
      </c>
      <c r="C2149" t="n">
        <v>345000</v>
      </c>
    </row>
    <row r="2150">
      <c r="A2150" s="79" t="n">
        <v>39515</v>
      </c>
      <c r="B2150" t="n">
        <v>2895000</v>
      </c>
      <c r="C2150" t="n">
        <v>348000</v>
      </c>
    </row>
    <row r="2151">
      <c r="A2151" s="79" t="n">
        <v>39522</v>
      </c>
      <c r="B2151" t="n">
        <v>2897000</v>
      </c>
      <c r="C2151" t="n">
        <v>369000</v>
      </c>
    </row>
    <row r="2152">
      <c r="A2152" s="79" t="n">
        <v>39529</v>
      </c>
      <c r="B2152" t="n">
        <v>2938000</v>
      </c>
      <c r="C2152" t="n">
        <v>368000</v>
      </c>
    </row>
    <row r="2153">
      <c r="A2153" s="79" t="n">
        <v>39536</v>
      </c>
      <c r="B2153" t="n">
        <v>2967000</v>
      </c>
      <c r="C2153" t="n">
        <v>387000</v>
      </c>
    </row>
    <row r="2154">
      <c r="A2154" s="79" t="n">
        <v>39543</v>
      </c>
      <c r="B2154" t="n">
        <v>2969000</v>
      </c>
      <c r="C2154" t="n">
        <v>354000</v>
      </c>
    </row>
    <row r="2155">
      <c r="A2155" s="79" t="n">
        <v>39550</v>
      </c>
      <c r="B2155" t="n">
        <v>2937000</v>
      </c>
      <c r="C2155" t="n">
        <v>365000</v>
      </c>
    </row>
    <row r="2156">
      <c r="A2156" s="79" t="n">
        <v>39557</v>
      </c>
      <c r="B2156" t="n">
        <v>2964000</v>
      </c>
      <c r="C2156" t="n">
        <v>349000</v>
      </c>
    </row>
    <row r="2157">
      <c r="A2157" s="79" t="n">
        <v>39564</v>
      </c>
      <c r="B2157" t="n">
        <v>2986000</v>
      </c>
      <c r="C2157" t="n">
        <v>370000</v>
      </c>
    </row>
    <row r="2158">
      <c r="A2158" s="79" t="n">
        <v>39571</v>
      </c>
      <c r="B2158" t="n">
        <v>2993000</v>
      </c>
      <c r="C2158" t="n">
        <v>370000</v>
      </c>
    </row>
    <row r="2159">
      <c r="A2159" s="79" t="n">
        <v>39578</v>
      </c>
      <c r="B2159" t="n">
        <v>2997000</v>
      </c>
      <c r="C2159" t="n">
        <v>366000</v>
      </c>
    </row>
    <row r="2160">
      <c r="A2160" s="79" t="n">
        <v>39585</v>
      </c>
      <c r="B2160" t="n">
        <v>3016000</v>
      </c>
      <c r="C2160" t="n">
        <v>367000</v>
      </c>
    </row>
    <row r="2161">
      <c r="A2161" s="79" t="n">
        <v>39592</v>
      </c>
      <c r="B2161" t="n">
        <v>3007000</v>
      </c>
      <c r="C2161" t="n">
        <v>369000</v>
      </c>
    </row>
    <row r="2162">
      <c r="A2162" s="79" t="n">
        <v>39599</v>
      </c>
      <c r="B2162" t="n">
        <v>3055000</v>
      </c>
      <c r="C2162" t="n">
        <v>362000</v>
      </c>
    </row>
    <row r="2163">
      <c r="A2163" s="79" t="n">
        <v>39606</v>
      </c>
      <c r="B2163" t="n">
        <v>3010000</v>
      </c>
      <c r="C2163" t="n">
        <v>382000</v>
      </c>
    </row>
    <row r="2164">
      <c r="A2164" s="79" t="n">
        <v>39613</v>
      </c>
      <c r="B2164" t="n">
        <v>3057000</v>
      </c>
      <c r="C2164" t="n">
        <v>378000</v>
      </c>
    </row>
    <row r="2165">
      <c r="A2165" s="79" t="n">
        <v>39620</v>
      </c>
      <c r="B2165" t="n">
        <v>3054000</v>
      </c>
      <c r="C2165" t="n">
        <v>381000</v>
      </c>
    </row>
    <row r="2166">
      <c r="A2166" s="79" t="n">
        <v>39627</v>
      </c>
      <c r="B2166" t="n">
        <v>3110000</v>
      </c>
      <c r="C2166" t="n">
        <v>392000</v>
      </c>
    </row>
    <row r="2167">
      <c r="A2167" s="79" t="n">
        <v>39634</v>
      </c>
      <c r="B2167" t="n">
        <v>3113000</v>
      </c>
      <c r="C2167" t="n">
        <v>371000</v>
      </c>
    </row>
    <row r="2168">
      <c r="A2168" s="79" t="n">
        <v>39641</v>
      </c>
      <c r="B2168" t="n">
        <v>3104000</v>
      </c>
      <c r="C2168" t="n">
        <v>385000</v>
      </c>
    </row>
    <row r="2169">
      <c r="A2169" s="79" t="n">
        <v>39648</v>
      </c>
      <c r="B2169" t="n">
        <v>3227000</v>
      </c>
      <c r="C2169" t="n">
        <v>402000</v>
      </c>
    </row>
    <row r="2170">
      <c r="A2170" s="79" t="n">
        <v>39655</v>
      </c>
      <c r="B2170" t="n">
        <v>3261000</v>
      </c>
      <c r="C2170" t="n">
        <v>434000</v>
      </c>
    </row>
    <row r="2171">
      <c r="A2171" s="79" t="n">
        <v>39662</v>
      </c>
      <c r="B2171" t="n">
        <v>3330000</v>
      </c>
      <c r="C2171" t="n">
        <v>448000</v>
      </c>
    </row>
    <row r="2172">
      <c r="A2172" s="79" t="n">
        <v>39669</v>
      </c>
      <c r="B2172" t="n">
        <v>3327000</v>
      </c>
      <c r="C2172" t="n">
        <v>430000</v>
      </c>
    </row>
    <row r="2173">
      <c r="A2173" s="79" t="n">
        <v>39676</v>
      </c>
      <c r="B2173" t="n">
        <v>3385000</v>
      </c>
      <c r="C2173" t="n">
        <v>424000</v>
      </c>
    </row>
    <row r="2174">
      <c r="A2174" s="79" t="n">
        <v>39683</v>
      </c>
      <c r="B2174" t="n">
        <v>3384000</v>
      </c>
      <c r="C2174" t="n">
        <v>421000</v>
      </c>
    </row>
    <row r="2175">
      <c r="A2175" s="79" t="n">
        <v>39690</v>
      </c>
      <c r="B2175" t="n">
        <v>3464000</v>
      </c>
      <c r="C2175" t="n">
        <v>442000</v>
      </c>
    </row>
    <row r="2176">
      <c r="A2176" s="79" t="n">
        <v>39697</v>
      </c>
      <c r="B2176" t="n">
        <v>3420000</v>
      </c>
      <c r="C2176" t="n">
        <v>441000</v>
      </c>
    </row>
    <row r="2177">
      <c r="A2177" s="79" t="n">
        <v>39704</v>
      </c>
      <c r="B2177" t="n">
        <v>3493000</v>
      </c>
      <c r="C2177" t="n">
        <v>449000</v>
      </c>
    </row>
    <row r="2178">
      <c r="A2178" s="79" t="n">
        <v>39711</v>
      </c>
      <c r="B2178" t="n">
        <v>3551000</v>
      </c>
      <c r="C2178" t="n">
        <v>483000</v>
      </c>
    </row>
    <row r="2179">
      <c r="A2179" s="79" t="n">
        <v>39718</v>
      </c>
      <c r="B2179" t="n">
        <v>3623000</v>
      </c>
      <c r="C2179" t="n">
        <v>483000</v>
      </c>
    </row>
    <row r="2180">
      <c r="A2180" s="79" t="n">
        <v>39725</v>
      </c>
      <c r="B2180" t="n">
        <v>3676000</v>
      </c>
      <c r="C2180" t="n">
        <v>482000</v>
      </c>
    </row>
    <row r="2181">
      <c r="A2181" s="79" t="n">
        <v>39732</v>
      </c>
      <c r="B2181" t="n">
        <v>3696000</v>
      </c>
      <c r="C2181" t="n">
        <v>461000</v>
      </c>
    </row>
    <row r="2182">
      <c r="A2182" s="79" t="n">
        <v>39739</v>
      </c>
      <c r="B2182" t="n">
        <v>3729000</v>
      </c>
      <c r="C2182" t="n">
        <v>478000</v>
      </c>
    </row>
    <row r="2183">
      <c r="A2183" s="79" t="n">
        <v>39746</v>
      </c>
      <c r="B2183" t="n">
        <v>3823000</v>
      </c>
      <c r="C2183" t="n">
        <v>480000</v>
      </c>
    </row>
    <row r="2184">
      <c r="A2184" s="79" t="n">
        <v>39753</v>
      </c>
      <c r="B2184" t="n">
        <v>3928000</v>
      </c>
      <c r="C2184" t="n">
        <v>490000</v>
      </c>
    </row>
    <row r="2185">
      <c r="A2185" s="79" t="n">
        <v>39760</v>
      </c>
      <c r="B2185" t="n">
        <v>4011000</v>
      </c>
      <c r="C2185" t="n">
        <v>512000</v>
      </c>
    </row>
    <row r="2186">
      <c r="A2186" s="79" t="n">
        <v>39767</v>
      </c>
      <c r="B2186" t="n">
        <v>4002000</v>
      </c>
      <c r="C2186" t="n">
        <v>536000</v>
      </c>
    </row>
    <row r="2187">
      <c r="A2187" s="79" t="n">
        <v>39774</v>
      </c>
      <c r="B2187" t="n">
        <v>4095000</v>
      </c>
      <c r="C2187" t="n">
        <v>532000</v>
      </c>
    </row>
    <row r="2188">
      <c r="A2188" s="79" t="n">
        <v>39781</v>
      </c>
      <c r="B2188" t="n">
        <v>4447000</v>
      </c>
      <c r="C2188" t="n">
        <v>529000</v>
      </c>
    </row>
    <row r="2189">
      <c r="A2189" s="79" t="n">
        <v>39788</v>
      </c>
      <c r="B2189" t="n">
        <v>4417000</v>
      </c>
      <c r="C2189" t="n">
        <v>570000</v>
      </c>
    </row>
    <row r="2190">
      <c r="A2190" s="79" t="n">
        <v>39795</v>
      </c>
      <c r="B2190" t="n">
        <v>4445000</v>
      </c>
      <c r="C2190" t="n">
        <v>566000</v>
      </c>
    </row>
    <row r="2191">
      <c r="A2191" s="79" t="n">
        <v>39802</v>
      </c>
      <c r="B2191" t="n">
        <v>4548000</v>
      </c>
      <c r="C2191" t="n">
        <v>587000</v>
      </c>
    </row>
    <row r="2192">
      <c r="A2192" s="79" t="n">
        <v>39809</v>
      </c>
      <c r="B2192" t="n">
        <v>4679000</v>
      </c>
      <c r="C2192" t="n">
        <v>533000</v>
      </c>
    </row>
    <row r="2193">
      <c r="A2193" s="79" t="n">
        <v>39816</v>
      </c>
      <c r="B2193" t="n">
        <v>4692000</v>
      </c>
      <c r="C2193" t="n">
        <v>503000</v>
      </c>
    </row>
    <row r="2194">
      <c r="A2194" s="79" t="n">
        <v>39823</v>
      </c>
      <c r="B2194" t="n">
        <v>4760000</v>
      </c>
      <c r="C2194" t="n">
        <v>551000</v>
      </c>
    </row>
    <row r="2195">
      <c r="A2195" s="79" t="n">
        <v>39830</v>
      </c>
      <c r="B2195" t="n">
        <v>4864000</v>
      </c>
      <c r="C2195" t="n">
        <v>591000</v>
      </c>
    </row>
    <row r="2196">
      <c r="A2196" s="79" t="n">
        <v>39837</v>
      </c>
      <c r="B2196" t="n">
        <v>4980000</v>
      </c>
      <c r="C2196" t="n">
        <v>586000</v>
      </c>
    </row>
    <row r="2197">
      <c r="A2197" s="79" t="n">
        <v>39844</v>
      </c>
      <c r="B2197" t="n">
        <v>5010000</v>
      </c>
      <c r="C2197" t="n">
        <v>629000</v>
      </c>
    </row>
    <row r="2198">
      <c r="A2198" s="79" t="n">
        <v>39851</v>
      </c>
      <c r="B2198" t="n">
        <v>5157000</v>
      </c>
      <c r="C2198" t="n">
        <v>637000</v>
      </c>
    </row>
    <row r="2199">
      <c r="A2199" s="79" t="n">
        <v>39858</v>
      </c>
      <c r="B2199" t="n">
        <v>5279000</v>
      </c>
      <c r="C2199" t="n">
        <v>632000</v>
      </c>
    </row>
    <row r="2200">
      <c r="A2200" s="79" t="n">
        <v>39865</v>
      </c>
      <c r="B2200" t="n">
        <v>5307000</v>
      </c>
      <c r="C2200" t="n">
        <v>655000</v>
      </c>
    </row>
    <row r="2201">
      <c r="A2201" s="79" t="n">
        <v>39872</v>
      </c>
      <c r="B2201" t="n">
        <v>5445000</v>
      </c>
      <c r="C2201" t="n">
        <v>652000</v>
      </c>
    </row>
    <row r="2202">
      <c r="A2202" s="79" t="n">
        <v>39879</v>
      </c>
      <c r="B2202" t="n">
        <v>5600000</v>
      </c>
      <c r="C2202" t="n">
        <v>660000</v>
      </c>
    </row>
    <row r="2203">
      <c r="A2203" s="79" t="n">
        <v>39886</v>
      </c>
      <c r="B2203" t="n">
        <v>5699000</v>
      </c>
      <c r="C2203" t="n">
        <v>651000</v>
      </c>
    </row>
    <row r="2204">
      <c r="A2204" s="79" t="n">
        <v>39893</v>
      </c>
      <c r="B2204" t="n">
        <v>5829000</v>
      </c>
      <c r="C2204" t="n">
        <v>661000</v>
      </c>
    </row>
    <row r="2205">
      <c r="A2205" s="79" t="n">
        <v>39900</v>
      </c>
      <c r="B2205" t="n">
        <v>5935000</v>
      </c>
      <c r="C2205" t="n">
        <v>665000</v>
      </c>
    </row>
    <row r="2206">
      <c r="A2206" s="79" t="n">
        <v>39907</v>
      </c>
      <c r="B2206" t="n">
        <v>6044000</v>
      </c>
      <c r="C2206" t="n">
        <v>653000</v>
      </c>
    </row>
    <row r="2207">
      <c r="A2207" s="79" t="n">
        <v>39914</v>
      </c>
      <c r="B2207" t="n">
        <v>6130000</v>
      </c>
      <c r="C2207" t="n">
        <v>599000</v>
      </c>
    </row>
    <row r="2208">
      <c r="A2208" s="79" t="n">
        <v>39921</v>
      </c>
      <c r="B2208" t="n">
        <v>6264000</v>
      </c>
      <c r="C2208" t="n">
        <v>639000</v>
      </c>
    </row>
    <row r="2209">
      <c r="A2209" s="79" t="n">
        <v>39928</v>
      </c>
      <c r="B2209" t="n">
        <v>6300000</v>
      </c>
      <c r="C2209" t="n">
        <v>620000</v>
      </c>
    </row>
    <row r="2210">
      <c r="A2210" s="79" t="n">
        <v>39935</v>
      </c>
      <c r="B2210" t="n">
        <v>6416000</v>
      </c>
      <c r="C2210" t="n">
        <v>602000</v>
      </c>
    </row>
    <row r="2211">
      <c r="A2211" s="79" t="n">
        <v>39942</v>
      </c>
      <c r="B2211" t="n">
        <v>6516000</v>
      </c>
      <c r="C2211" t="n">
        <v>625000</v>
      </c>
    </row>
    <row r="2212">
      <c r="A2212" s="79" t="n">
        <v>39949</v>
      </c>
      <c r="B2212" t="n">
        <v>6539000</v>
      </c>
      <c r="C2212" t="n">
        <v>620000</v>
      </c>
    </row>
    <row r="2213">
      <c r="A2213" s="79" t="n">
        <v>39956</v>
      </c>
      <c r="B2213" t="n">
        <v>6522000</v>
      </c>
      <c r="C2213" t="n">
        <v>606000</v>
      </c>
    </row>
    <row r="2214">
      <c r="A2214" s="79" t="n">
        <v>39963</v>
      </c>
      <c r="B2214" t="n">
        <v>6635000</v>
      </c>
      <c r="C2214" t="n">
        <v>607000</v>
      </c>
    </row>
    <row r="2215">
      <c r="A2215" s="79" t="n">
        <v>39970</v>
      </c>
      <c r="B2215" t="n">
        <v>6506000</v>
      </c>
      <c r="C2215" t="n">
        <v>596000</v>
      </c>
    </row>
    <row r="2216">
      <c r="A2216" s="79" t="n">
        <v>39977</v>
      </c>
      <c r="B2216" t="n">
        <v>6525000</v>
      </c>
      <c r="C2216" t="n">
        <v>595000</v>
      </c>
    </row>
    <row r="2217">
      <c r="A2217" s="79" t="n">
        <v>39984</v>
      </c>
      <c r="B2217" t="n">
        <v>6488000</v>
      </c>
      <c r="C2217" t="n">
        <v>608000</v>
      </c>
    </row>
    <row r="2218">
      <c r="A2218" s="79" t="n">
        <v>39991</v>
      </c>
      <c r="B2218" t="n">
        <v>6618000</v>
      </c>
      <c r="C2218" t="n">
        <v>594000</v>
      </c>
    </row>
    <row r="2219">
      <c r="A2219" s="79" t="n">
        <v>39998</v>
      </c>
      <c r="B2219" t="n">
        <v>6145000</v>
      </c>
      <c r="C2219" t="n">
        <v>573000</v>
      </c>
    </row>
    <row r="2220">
      <c r="A2220" s="79" t="n">
        <v>40005</v>
      </c>
      <c r="B2220" t="n">
        <v>6136000</v>
      </c>
      <c r="C2220" t="n">
        <v>546000</v>
      </c>
    </row>
    <row r="2221">
      <c r="A2221" s="79" t="n">
        <v>40012</v>
      </c>
      <c r="B2221" t="n">
        <v>6118000</v>
      </c>
      <c r="C2221" t="n">
        <v>560000</v>
      </c>
    </row>
    <row r="2222">
      <c r="A2222" s="79" t="n">
        <v>40019</v>
      </c>
      <c r="B2222" t="n">
        <v>6157000</v>
      </c>
      <c r="C2222" t="n">
        <v>587000</v>
      </c>
    </row>
    <row r="2223">
      <c r="A2223" s="79" t="n">
        <v>40026</v>
      </c>
      <c r="B2223" t="n">
        <v>6111000</v>
      </c>
      <c r="C2223" t="n">
        <v>555000</v>
      </c>
    </row>
    <row r="2224">
      <c r="A2224" s="79" t="n">
        <v>40033</v>
      </c>
      <c r="B2224" t="n">
        <v>6090000</v>
      </c>
      <c r="C2224" t="n">
        <v>555000</v>
      </c>
    </row>
    <row r="2225">
      <c r="A2225" s="79" t="n">
        <v>40040</v>
      </c>
      <c r="B2225" t="n">
        <v>6008000</v>
      </c>
      <c r="C2225" t="n">
        <v>562000</v>
      </c>
    </row>
    <row r="2226">
      <c r="A2226" s="79" t="n">
        <v>40047</v>
      </c>
      <c r="B2226" t="n">
        <v>6060000</v>
      </c>
      <c r="C2226" t="n">
        <v>560000</v>
      </c>
    </row>
    <row r="2227">
      <c r="A2227" s="79" t="n">
        <v>40054</v>
      </c>
      <c r="B2227" t="n">
        <v>5970000</v>
      </c>
      <c r="C2227" t="n">
        <v>564000</v>
      </c>
    </row>
    <row r="2228">
      <c r="A2228" s="79" t="n">
        <v>40061</v>
      </c>
      <c r="B2228" t="n">
        <v>6079000</v>
      </c>
      <c r="C2228" t="n">
        <v>558000</v>
      </c>
    </row>
    <row r="2229">
      <c r="A2229" s="79" t="n">
        <v>40068</v>
      </c>
      <c r="B2229" t="n">
        <v>6006000</v>
      </c>
      <c r="C2229" t="n">
        <v>542000</v>
      </c>
    </row>
    <row r="2230">
      <c r="A2230" s="79" t="n">
        <v>40075</v>
      </c>
      <c r="B2230" t="n">
        <v>5942000</v>
      </c>
      <c r="C2230" t="n">
        <v>536000</v>
      </c>
    </row>
    <row r="2231">
      <c r="A2231" s="79" t="n">
        <v>40082</v>
      </c>
      <c r="B2231" t="n">
        <v>5912000</v>
      </c>
      <c r="C2231" t="n">
        <v>554000</v>
      </c>
    </row>
    <row r="2232">
      <c r="A2232" s="79" t="n">
        <v>40089</v>
      </c>
      <c r="B2232" t="n">
        <v>5900000</v>
      </c>
      <c r="C2232" t="n">
        <v>533000</v>
      </c>
    </row>
    <row r="2233">
      <c r="A2233" s="79" t="n">
        <v>40096</v>
      </c>
      <c r="B2233" t="n">
        <v>5828000</v>
      </c>
      <c r="C2233" t="n">
        <v>511000</v>
      </c>
    </row>
    <row r="2234">
      <c r="A2234" s="79" t="n">
        <v>40103</v>
      </c>
      <c r="B2234" t="n">
        <v>5746000</v>
      </c>
      <c r="C2234" t="n">
        <v>531000</v>
      </c>
    </row>
    <row r="2235">
      <c r="A2235" s="79" t="n">
        <v>40110</v>
      </c>
      <c r="B2235" t="n">
        <v>5705000</v>
      </c>
      <c r="C2235" t="n">
        <v>530000</v>
      </c>
    </row>
    <row r="2236">
      <c r="A2236" s="79" t="n">
        <v>40117</v>
      </c>
      <c r="B2236" t="n">
        <v>5649000</v>
      </c>
      <c r="C2236" t="n">
        <v>522000</v>
      </c>
    </row>
    <row r="2237">
      <c r="A2237" s="79" t="n">
        <v>40124</v>
      </c>
      <c r="B2237" t="n">
        <v>5568000</v>
      </c>
      <c r="C2237" t="n">
        <v>512000</v>
      </c>
    </row>
    <row r="2238">
      <c r="A2238" s="79" t="n">
        <v>40131</v>
      </c>
      <c r="B2238" t="n">
        <v>5462000</v>
      </c>
      <c r="C2238" t="n">
        <v>507000</v>
      </c>
    </row>
    <row r="2239">
      <c r="A2239" s="79" t="n">
        <v>40138</v>
      </c>
      <c r="B2239" t="n">
        <v>5489000</v>
      </c>
      <c r="C2239" t="n">
        <v>482000</v>
      </c>
    </row>
    <row r="2240">
      <c r="A2240" s="79" t="n">
        <v>40145</v>
      </c>
      <c r="B2240" t="n">
        <v>5323000</v>
      </c>
      <c r="C2240" t="n">
        <v>475000</v>
      </c>
    </row>
    <row r="2241">
      <c r="A2241" s="79" t="n">
        <v>40152</v>
      </c>
      <c r="B2241" t="n">
        <v>5289000</v>
      </c>
      <c r="C2241" t="n">
        <v>497000</v>
      </c>
    </row>
    <row r="2242">
      <c r="A2242" s="79" t="n">
        <v>40159</v>
      </c>
      <c r="B2242" t="n">
        <v>5191000</v>
      </c>
      <c r="C2242" t="n">
        <v>498000</v>
      </c>
    </row>
    <row r="2243">
      <c r="A2243" s="79" t="n">
        <v>40166</v>
      </c>
      <c r="B2243" t="n">
        <v>5100000</v>
      </c>
      <c r="C2243" t="n">
        <v>479000</v>
      </c>
    </row>
    <row r="2244">
      <c r="A2244" s="79" t="n">
        <v>40173</v>
      </c>
      <c r="B2244" t="n">
        <v>4987000</v>
      </c>
      <c r="C2244" t="n">
        <v>468000</v>
      </c>
    </row>
    <row r="2245">
      <c r="A2245" s="79" t="n">
        <v>40180</v>
      </c>
      <c r="B2245" t="n">
        <v>4870000</v>
      </c>
      <c r="C2245" t="n">
        <v>456000</v>
      </c>
    </row>
    <row r="2246">
      <c r="A2246" s="79" t="n">
        <v>40187</v>
      </c>
      <c r="B2246" t="n">
        <v>4879000</v>
      </c>
      <c r="C2246" t="n">
        <v>469000</v>
      </c>
    </row>
    <row r="2247">
      <c r="A2247" s="79" t="n">
        <v>40194</v>
      </c>
      <c r="B2247" t="n">
        <v>4809000</v>
      </c>
      <c r="C2247" t="n">
        <v>507000</v>
      </c>
    </row>
    <row r="2248">
      <c r="A2248" s="79" t="n">
        <v>40201</v>
      </c>
      <c r="B2248" t="n">
        <v>4841000</v>
      </c>
      <c r="C2248" t="n">
        <v>471000</v>
      </c>
    </row>
    <row r="2249">
      <c r="A2249" s="79" t="n">
        <v>40208</v>
      </c>
      <c r="B2249" t="n">
        <v>4796000</v>
      </c>
      <c r="C2249" t="n">
        <v>496000</v>
      </c>
    </row>
    <row r="2250">
      <c r="A2250" s="79" t="n">
        <v>40215</v>
      </c>
      <c r="B2250" t="n">
        <v>4838000</v>
      </c>
      <c r="C2250" t="n">
        <v>466000</v>
      </c>
    </row>
    <row r="2251">
      <c r="A2251" s="79" t="n">
        <v>40222</v>
      </c>
      <c r="B2251" t="n">
        <v>4815000</v>
      </c>
      <c r="C2251" t="n">
        <v>489000</v>
      </c>
    </row>
    <row r="2252">
      <c r="A2252" s="79" t="n">
        <v>40229</v>
      </c>
      <c r="B2252" t="n">
        <v>4767000</v>
      </c>
      <c r="C2252" t="n">
        <v>500000</v>
      </c>
    </row>
    <row r="2253">
      <c r="A2253" s="79" t="n">
        <v>40236</v>
      </c>
      <c r="B2253" t="n">
        <v>4755000</v>
      </c>
      <c r="C2253" t="n">
        <v>488000</v>
      </c>
    </row>
    <row r="2254">
      <c r="A2254" s="79" t="n">
        <v>40243</v>
      </c>
      <c r="B2254" t="n">
        <v>4766000</v>
      </c>
      <c r="C2254" t="n">
        <v>472000</v>
      </c>
    </row>
    <row r="2255">
      <c r="A2255" s="79" t="n">
        <v>40250</v>
      </c>
      <c r="B2255" t="n">
        <v>4750000</v>
      </c>
      <c r="C2255" t="n">
        <v>478000</v>
      </c>
    </row>
    <row r="2256">
      <c r="A2256" s="79" t="n">
        <v>40257</v>
      </c>
      <c r="B2256" t="n">
        <v>4743000</v>
      </c>
      <c r="C2256" t="n">
        <v>472000</v>
      </c>
    </row>
    <row r="2257">
      <c r="A2257" s="79" t="n">
        <v>40264</v>
      </c>
      <c r="B2257" t="n">
        <v>4668000</v>
      </c>
      <c r="C2257" t="n">
        <v>459000</v>
      </c>
    </row>
    <row r="2258">
      <c r="A2258" s="79" t="n">
        <v>40271</v>
      </c>
      <c r="B2258" t="n">
        <v>4755000</v>
      </c>
      <c r="C2258" t="n">
        <v>479000</v>
      </c>
    </row>
    <row r="2259">
      <c r="A2259" s="79" t="n">
        <v>40278</v>
      </c>
      <c r="B2259" t="n">
        <v>4746000</v>
      </c>
      <c r="C2259" t="n">
        <v>479000</v>
      </c>
    </row>
    <row r="2260">
      <c r="A2260" s="79" t="n">
        <v>40285</v>
      </c>
      <c r="B2260" t="n">
        <v>4721000</v>
      </c>
      <c r="C2260" t="n">
        <v>469000</v>
      </c>
    </row>
    <row r="2261">
      <c r="A2261" s="79" t="n">
        <v>40292</v>
      </c>
      <c r="B2261" t="n">
        <v>4690000</v>
      </c>
      <c r="C2261" t="n">
        <v>449000</v>
      </c>
    </row>
    <row r="2262">
      <c r="A2262" s="79" t="n">
        <v>40299</v>
      </c>
      <c r="B2262" t="n">
        <v>4695000</v>
      </c>
      <c r="C2262" t="n">
        <v>451000</v>
      </c>
    </row>
    <row r="2263">
      <c r="A2263" s="79" t="n">
        <v>40306</v>
      </c>
      <c r="B2263" t="n">
        <v>4707000</v>
      </c>
      <c r="C2263" t="n">
        <v>451000</v>
      </c>
    </row>
    <row r="2264">
      <c r="A2264" s="79" t="n">
        <v>40313</v>
      </c>
      <c r="B2264" t="n">
        <v>4688000</v>
      </c>
      <c r="C2264" t="n">
        <v>474000</v>
      </c>
    </row>
    <row r="2265">
      <c r="A2265" s="79" t="n">
        <v>40320</v>
      </c>
      <c r="B2265" t="n">
        <v>4731000</v>
      </c>
      <c r="C2265" t="n">
        <v>463000</v>
      </c>
    </row>
    <row r="2266">
      <c r="A2266" s="79" t="n">
        <v>40327</v>
      </c>
      <c r="B2266" t="n">
        <v>4553000</v>
      </c>
      <c r="C2266" t="n">
        <v>458000</v>
      </c>
    </row>
    <row r="2267">
      <c r="A2267" s="79" t="n">
        <v>40334</v>
      </c>
      <c r="B2267" t="n">
        <v>4624000</v>
      </c>
      <c r="C2267" t="n">
        <v>459000</v>
      </c>
    </row>
    <row r="2268">
      <c r="A2268" s="79" t="n">
        <v>40341</v>
      </c>
      <c r="B2268" t="n">
        <v>4606000</v>
      </c>
      <c r="C2268" t="n">
        <v>467000</v>
      </c>
    </row>
    <row r="2269">
      <c r="A2269" s="79" t="n">
        <v>40348</v>
      </c>
      <c r="B2269" t="n">
        <v>4619000</v>
      </c>
      <c r="C2269" t="n">
        <v>452000</v>
      </c>
    </row>
    <row r="2270">
      <c r="A2270" s="79" t="n">
        <v>40355</v>
      </c>
      <c r="B2270" t="n">
        <v>4484000</v>
      </c>
      <c r="C2270" t="n">
        <v>464000</v>
      </c>
    </row>
    <row r="2271">
      <c r="A2271" s="79" t="n">
        <v>40362</v>
      </c>
      <c r="B2271" t="n">
        <v>4620000</v>
      </c>
      <c r="C2271" t="n">
        <v>454000</v>
      </c>
    </row>
    <row r="2272">
      <c r="A2272" s="79" t="n">
        <v>40369</v>
      </c>
      <c r="B2272" t="n">
        <v>4482000</v>
      </c>
      <c r="C2272" t="n">
        <v>439000</v>
      </c>
    </row>
    <row r="2273">
      <c r="A2273" s="79" t="n">
        <v>40376</v>
      </c>
      <c r="B2273" t="n">
        <v>4545000</v>
      </c>
      <c r="C2273" t="n">
        <v>462000</v>
      </c>
    </row>
    <row r="2274">
      <c r="A2274" s="79" t="n">
        <v>40383</v>
      </c>
      <c r="B2274" t="n">
        <v>4529000</v>
      </c>
      <c r="C2274" t="n">
        <v>465000</v>
      </c>
    </row>
    <row r="2275">
      <c r="A2275" s="79" t="n">
        <v>40390</v>
      </c>
      <c r="B2275" t="n">
        <v>4467000</v>
      </c>
      <c r="C2275" t="n">
        <v>476000</v>
      </c>
    </row>
    <row r="2276">
      <c r="A2276" s="79" t="n">
        <v>40397</v>
      </c>
      <c r="B2276" t="n">
        <v>4478000</v>
      </c>
      <c r="C2276" t="n">
        <v>483000</v>
      </c>
    </row>
    <row r="2277">
      <c r="A2277" s="79" t="n">
        <v>40404</v>
      </c>
      <c r="B2277" t="n">
        <v>4432000</v>
      </c>
      <c r="C2277" t="n">
        <v>486000</v>
      </c>
    </row>
    <row r="2278">
      <c r="A2278" s="79" t="n">
        <v>40411</v>
      </c>
      <c r="B2278" t="n">
        <v>4426000</v>
      </c>
      <c r="C2278" t="n">
        <v>464000</v>
      </c>
    </row>
    <row r="2279">
      <c r="A2279" s="79" t="n">
        <v>40418</v>
      </c>
      <c r="B2279" t="n">
        <v>4509000</v>
      </c>
      <c r="C2279" t="n">
        <v>467000</v>
      </c>
    </row>
    <row r="2280">
      <c r="A2280" s="79" t="n">
        <v>40425</v>
      </c>
      <c r="B2280" t="n">
        <v>4501000</v>
      </c>
      <c r="C2280" t="n">
        <v>452000</v>
      </c>
    </row>
    <row r="2281">
      <c r="A2281" s="79" t="n">
        <v>40432</v>
      </c>
      <c r="B2281" t="n">
        <v>4487000</v>
      </c>
      <c r="C2281" t="n">
        <v>444000</v>
      </c>
    </row>
    <row r="2282">
      <c r="A2282" s="79" t="n">
        <v>40439</v>
      </c>
      <c r="B2282" t="n">
        <v>4452000</v>
      </c>
      <c r="C2282" t="n">
        <v>459000</v>
      </c>
    </row>
    <row r="2283">
      <c r="A2283" s="79" t="n">
        <v>40446</v>
      </c>
      <c r="B2283" t="n">
        <v>4431000</v>
      </c>
      <c r="C2283" t="n">
        <v>459000</v>
      </c>
    </row>
    <row r="2284">
      <c r="A2284" s="79" t="n">
        <v>40453</v>
      </c>
      <c r="B2284" t="n">
        <v>4407000</v>
      </c>
      <c r="C2284" t="n">
        <v>446000</v>
      </c>
    </row>
    <row r="2285">
      <c r="A2285" s="79" t="n">
        <v>40460</v>
      </c>
      <c r="B2285" t="n">
        <v>4403000</v>
      </c>
      <c r="C2285" t="n">
        <v>459000</v>
      </c>
    </row>
    <row r="2286">
      <c r="A2286" s="79" t="n">
        <v>40467</v>
      </c>
      <c r="B2286" t="n">
        <v>4348000</v>
      </c>
      <c r="C2286" t="n">
        <v>444000</v>
      </c>
    </row>
    <row r="2287">
      <c r="A2287" s="79" t="n">
        <v>40474</v>
      </c>
      <c r="B2287" t="n">
        <v>4331000</v>
      </c>
      <c r="C2287" t="n">
        <v>432000</v>
      </c>
    </row>
    <row r="2288">
      <c r="A2288" s="79" t="n">
        <v>40481</v>
      </c>
      <c r="B2288" t="n">
        <v>4328000</v>
      </c>
      <c r="C2288" t="n">
        <v>453000</v>
      </c>
    </row>
    <row r="2289">
      <c r="A2289" s="79" t="n">
        <v>40488</v>
      </c>
      <c r="B2289" t="n">
        <v>4270000</v>
      </c>
      <c r="C2289" t="n">
        <v>434000</v>
      </c>
    </row>
    <row r="2290">
      <c r="A2290" s="79" t="n">
        <v>40495</v>
      </c>
      <c r="B2290" t="n">
        <v>4176000</v>
      </c>
      <c r="C2290" t="n">
        <v>432000</v>
      </c>
    </row>
    <row r="2291">
      <c r="A2291" s="79" t="n">
        <v>40502</v>
      </c>
      <c r="B2291" t="n">
        <v>4218000</v>
      </c>
      <c r="C2291" t="n">
        <v>407000</v>
      </c>
    </row>
    <row r="2292">
      <c r="A2292" s="79" t="n">
        <v>40509</v>
      </c>
      <c r="B2292" t="n">
        <v>4118000</v>
      </c>
      <c r="C2292" t="n">
        <v>432000</v>
      </c>
    </row>
    <row r="2293">
      <c r="A2293" s="79" t="n">
        <v>40516</v>
      </c>
      <c r="B2293" t="n">
        <v>4137000</v>
      </c>
      <c r="C2293" t="n">
        <v>428000</v>
      </c>
    </row>
    <row r="2294">
      <c r="A2294" s="79" t="n">
        <v>40523</v>
      </c>
      <c r="B2294" t="n">
        <v>4062000</v>
      </c>
      <c r="C2294" t="n">
        <v>425000</v>
      </c>
    </row>
    <row r="2295">
      <c r="A2295" s="79" t="n">
        <v>40530</v>
      </c>
      <c r="B2295" t="n">
        <v>4113000</v>
      </c>
      <c r="C2295" t="n">
        <v>424000</v>
      </c>
    </row>
    <row r="2296">
      <c r="A2296" s="79" t="n">
        <v>40537</v>
      </c>
      <c r="B2296" t="n">
        <v>4088000</v>
      </c>
      <c r="C2296" t="n">
        <v>404000</v>
      </c>
    </row>
    <row r="2297">
      <c r="A2297" s="79" t="n">
        <v>40544</v>
      </c>
      <c r="B2297" t="n">
        <v>3898000</v>
      </c>
      <c r="C2297" t="n">
        <v>413000</v>
      </c>
    </row>
    <row r="2298">
      <c r="A2298" s="79" t="n">
        <v>40551</v>
      </c>
      <c r="B2298" t="n">
        <v>3907000</v>
      </c>
      <c r="C2298" t="n">
        <v>434000</v>
      </c>
    </row>
    <row r="2299">
      <c r="A2299" s="79" t="n">
        <v>40558</v>
      </c>
      <c r="B2299" t="n">
        <v>3974000</v>
      </c>
      <c r="C2299" t="n">
        <v>421000</v>
      </c>
    </row>
    <row r="2300">
      <c r="A2300" s="79" t="n">
        <v>40565</v>
      </c>
      <c r="B2300" t="n">
        <v>3926000</v>
      </c>
      <c r="C2300" t="n">
        <v>446000</v>
      </c>
    </row>
    <row r="2301">
      <c r="A2301" s="79" t="n">
        <v>40572</v>
      </c>
      <c r="B2301" t="n">
        <v>3887000</v>
      </c>
      <c r="C2301" t="n">
        <v>420000</v>
      </c>
    </row>
    <row r="2302">
      <c r="A2302" s="79" t="n">
        <v>40579</v>
      </c>
      <c r="B2302" t="n">
        <v>3928000</v>
      </c>
      <c r="C2302" t="n">
        <v>402000</v>
      </c>
    </row>
    <row r="2303">
      <c r="A2303" s="79" t="n">
        <v>40586</v>
      </c>
      <c r="B2303" t="n">
        <v>3839000</v>
      </c>
      <c r="C2303" t="n">
        <v>425000</v>
      </c>
    </row>
    <row r="2304">
      <c r="A2304" s="79" t="n">
        <v>40593</v>
      </c>
      <c r="B2304" t="n">
        <v>3821000</v>
      </c>
      <c r="C2304" t="n">
        <v>394000</v>
      </c>
    </row>
    <row r="2305">
      <c r="A2305" s="79" t="n">
        <v>40600</v>
      </c>
      <c r="B2305" t="n">
        <v>3809000</v>
      </c>
      <c r="C2305" t="n">
        <v>385000</v>
      </c>
    </row>
    <row r="2306">
      <c r="A2306" s="79" t="n">
        <v>40607</v>
      </c>
      <c r="B2306" t="n">
        <v>3772000</v>
      </c>
      <c r="C2306" t="n">
        <v>414000</v>
      </c>
    </row>
    <row r="2307">
      <c r="A2307" s="79" t="n">
        <v>40614</v>
      </c>
      <c r="B2307" t="n">
        <v>3772000</v>
      </c>
      <c r="C2307" t="n">
        <v>404000</v>
      </c>
    </row>
    <row r="2308">
      <c r="A2308" s="79" t="n">
        <v>40621</v>
      </c>
      <c r="B2308" t="n">
        <v>3752000</v>
      </c>
      <c r="C2308" t="n">
        <v>407000</v>
      </c>
    </row>
    <row r="2309">
      <c r="A2309" s="79" t="n">
        <v>40628</v>
      </c>
      <c r="B2309" t="n">
        <v>3766000</v>
      </c>
      <c r="C2309" t="n">
        <v>399000</v>
      </c>
    </row>
    <row r="2310">
      <c r="A2310" s="79" t="n">
        <v>40635</v>
      </c>
      <c r="B2310" t="n">
        <v>3756000</v>
      </c>
      <c r="C2310" t="n">
        <v>395000</v>
      </c>
    </row>
    <row r="2311">
      <c r="A2311" s="79" t="n">
        <v>40642</v>
      </c>
      <c r="B2311" t="n">
        <v>3751000</v>
      </c>
      <c r="C2311" t="n">
        <v>416000</v>
      </c>
    </row>
    <row r="2312">
      <c r="A2312" s="79" t="n">
        <v>40649</v>
      </c>
      <c r="B2312" t="n">
        <v>3717000</v>
      </c>
      <c r="C2312" t="n">
        <v>402000</v>
      </c>
    </row>
    <row r="2313">
      <c r="A2313" s="79" t="n">
        <v>40656</v>
      </c>
      <c r="B2313" t="n">
        <v>3796000</v>
      </c>
      <c r="C2313" t="n">
        <v>422000</v>
      </c>
    </row>
    <row r="2314">
      <c r="A2314" s="79" t="n">
        <v>40663</v>
      </c>
      <c r="B2314" t="n">
        <v>3834000</v>
      </c>
      <c r="C2314" t="n">
        <v>468000</v>
      </c>
    </row>
    <row r="2315">
      <c r="A2315" s="79" t="n">
        <v>40670</v>
      </c>
      <c r="B2315" t="n">
        <v>3787000</v>
      </c>
      <c r="C2315" t="n">
        <v>435000</v>
      </c>
    </row>
    <row r="2316">
      <c r="A2316" s="79" t="n">
        <v>40677</v>
      </c>
      <c r="B2316" t="n">
        <v>3781000</v>
      </c>
      <c r="C2316" t="n">
        <v>414000</v>
      </c>
    </row>
    <row r="2317">
      <c r="A2317" s="79" t="n">
        <v>40684</v>
      </c>
      <c r="B2317" t="n">
        <v>3799000</v>
      </c>
      <c r="C2317" t="n">
        <v>423000</v>
      </c>
    </row>
    <row r="2318">
      <c r="A2318" s="79" t="n">
        <v>40691</v>
      </c>
      <c r="B2318" t="n">
        <v>3728000</v>
      </c>
      <c r="C2318" t="n">
        <v>418000</v>
      </c>
    </row>
    <row r="2319">
      <c r="A2319" s="79" t="n">
        <v>40698</v>
      </c>
      <c r="B2319" t="n">
        <v>3750000</v>
      </c>
      <c r="C2319" t="n">
        <v>423000</v>
      </c>
    </row>
    <row r="2320">
      <c r="A2320" s="79" t="n">
        <v>40705</v>
      </c>
      <c r="B2320" t="n">
        <v>3746000</v>
      </c>
      <c r="C2320" t="n">
        <v>413000</v>
      </c>
    </row>
    <row r="2321">
      <c r="A2321" s="79" t="n">
        <v>40712</v>
      </c>
      <c r="B2321" t="n">
        <v>3752000</v>
      </c>
      <c r="C2321" t="n">
        <v>416000</v>
      </c>
    </row>
    <row r="2322">
      <c r="A2322" s="79" t="n">
        <v>40719</v>
      </c>
      <c r="B2322" t="n">
        <v>3719000</v>
      </c>
      <c r="C2322" t="n">
        <v>421000</v>
      </c>
    </row>
    <row r="2323">
      <c r="A2323" s="79" t="n">
        <v>40726</v>
      </c>
      <c r="B2323" t="n">
        <v>3733000</v>
      </c>
      <c r="C2323" t="n">
        <v>418000</v>
      </c>
    </row>
    <row r="2324">
      <c r="A2324" s="79" t="n">
        <v>40733</v>
      </c>
      <c r="B2324" t="n">
        <v>3724000</v>
      </c>
      <c r="C2324" t="n">
        <v>408000</v>
      </c>
    </row>
    <row r="2325">
      <c r="A2325" s="79" t="n">
        <v>40740</v>
      </c>
      <c r="B2325" t="n">
        <v>3734000</v>
      </c>
      <c r="C2325" t="n">
        <v>420000</v>
      </c>
    </row>
    <row r="2326">
      <c r="A2326" s="79" t="n">
        <v>40747</v>
      </c>
      <c r="B2326" t="n">
        <v>3741000</v>
      </c>
      <c r="C2326" t="n">
        <v>411000</v>
      </c>
    </row>
    <row r="2327">
      <c r="A2327" s="79" t="n">
        <v>40754</v>
      </c>
      <c r="B2327" t="n">
        <v>3676000</v>
      </c>
      <c r="C2327" t="n">
        <v>406000</v>
      </c>
    </row>
    <row r="2328">
      <c r="A2328" s="79" t="n">
        <v>40761</v>
      </c>
      <c r="B2328" t="n">
        <v>3709000</v>
      </c>
      <c r="C2328" t="n">
        <v>405000</v>
      </c>
    </row>
    <row r="2329">
      <c r="A2329" s="79" t="n">
        <v>40768</v>
      </c>
      <c r="B2329" t="n">
        <v>3717000</v>
      </c>
      <c r="C2329" t="n">
        <v>409000</v>
      </c>
    </row>
    <row r="2330">
      <c r="A2330" s="79" t="n">
        <v>40775</v>
      </c>
      <c r="B2330" t="n">
        <v>3715000</v>
      </c>
      <c r="C2330" t="n">
        <v>415000</v>
      </c>
    </row>
    <row r="2331">
      <c r="A2331" s="79" t="n">
        <v>40782</v>
      </c>
      <c r="B2331" t="n">
        <v>3723000</v>
      </c>
      <c r="C2331" t="n">
        <v>409000</v>
      </c>
    </row>
    <row r="2332">
      <c r="A2332" s="79" t="n">
        <v>40789</v>
      </c>
      <c r="B2332" t="n">
        <v>3759000</v>
      </c>
      <c r="C2332" t="n">
        <v>414000</v>
      </c>
    </row>
    <row r="2333">
      <c r="A2333" s="79" t="n">
        <v>40796</v>
      </c>
      <c r="B2333" t="n">
        <v>3758000</v>
      </c>
      <c r="C2333" t="n">
        <v>429000</v>
      </c>
    </row>
    <row r="2334">
      <c r="A2334" s="79" t="n">
        <v>40803</v>
      </c>
      <c r="B2334" t="n">
        <v>3747000</v>
      </c>
      <c r="C2334" t="n">
        <v>422000</v>
      </c>
    </row>
    <row r="2335">
      <c r="A2335" s="79" t="n">
        <v>40810</v>
      </c>
      <c r="B2335" t="n">
        <v>3707000</v>
      </c>
      <c r="C2335" t="n">
        <v>406000</v>
      </c>
    </row>
    <row r="2336">
      <c r="A2336" s="79" t="n">
        <v>40817</v>
      </c>
      <c r="B2336" t="n">
        <v>3697000</v>
      </c>
      <c r="C2336" t="n">
        <v>405000</v>
      </c>
    </row>
    <row r="2337">
      <c r="A2337" s="79" t="n">
        <v>40824</v>
      </c>
      <c r="B2337" t="n">
        <v>3731000</v>
      </c>
      <c r="C2337" t="n">
        <v>410000</v>
      </c>
    </row>
    <row r="2338">
      <c r="A2338" s="79" t="n">
        <v>40831</v>
      </c>
      <c r="B2338" t="n">
        <v>3704000</v>
      </c>
      <c r="C2338" t="n">
        <v>395000</v>
      </c>
    </row>
    <row r="2339">
      <c r="A2339" s="79" t="n">
        <v>40838</v>
      </c>
      <c r="B2339" t="n">
        <v>3699000</v>
      </c>
      <c r="C2339" t="n">
        <v>403000</v>
      </c>
    </row>
    <row r="2340">
      <c r="A2340" s="79" t="n">
        <v>40845</v>
      </c>
      <c r="B2340" t="n">
        <v>3677000</v>
      </c>
      <c r="C2340" t="n">
        <v>399000</v>
      </c>
    </row>
    <row r="2341">
      <c r="A2341" s="79" t="n">
        <v>40852</v>
      </c>
      <c r="B2341" t="n">
        <v>3603000</v>
      </c>
      <c r="C2341" t="n">
        <v>392000</v>
      </c>
    </row>
    <row r="2342">
      <c r="A2342" s="79" t="n">
        <v>40859</v>
      </c>
      <c r="B2342" t="n">
        <v>3676000</v>
      </c>
      <c r="C2342" t="n">
        <v>383000</v>
      </c>
    </row>
    <row r="2343">
      <c r="A2343" s="79" t="n">
        <v>40866</v>
      </c>
      <c r="B2343" t="n">
        <v>3739000</v>
      </c>
      <c r="C2343" t="n">
        <v>385000</v>
      </c>
    </row>
    <row r="2344">
      <c r="A2344" s="79" t="n">
        <v>40873</v>
      </c>
      <c r="B2344" t="n">
        <v>3592000</v>
      </c>
      <c r="C2344" t="n">
        <v>397000</v>
      </c>
    </row>
    <row r="2345">
      <c r="A2345" s="79" t="n">
        <v>40880</v>
      </c>
      <c r="B2345" t="n">
        <v>3595000</v>
      </c>
      <c r="C2345" t="n">
        <v>387000</v>
      </c>
    </row>
    <row r="2346">
      <c r="A2346" s="79" t="n">
        <v>40887</v>
      </c>
      <c r="B2346" t="n">
        <v>3543000</v>
      </c>
      <c r="C2346" t="n">
        <v>368000</v>
      </c>
    </row>
    <row r="2347">
      <c r="A2347" s="79" t="n">
        <v>40894</v>
      </c>
      <c r="B2347" t="n">
        <v>3588000</v>
      </c>
      <c r="C2347" t="n">
        <v>368000</v>
      </c>
    </row>
    <row r="2348">
      <c r="A2348" s="79" t="n">
        <v>40901</v>
      </c>
      <c r="B2348" t="n">
        <v>3575000</v>
      </c>
      <c r="C2348" t="n">
        <v>386000</v>
      </c>
    </row>
    <row r="2349">
      <c r="A2349" s="79" t="n">
        <v>40908</v>
      </c>
      <c r="B2349" t="n">
        <v>3566000</v>
      </c>
      <c r="C2349" t="n">
        <v>376000</v>
      </c>
    </row>
    <row r="2350">
      <c r="A2350" s="79" t="n">
        <v>40915</v>
      </c>
      <c r="B2350" t="n">
        <v>3421000</v>
      </c>
      <c r="C2350" t="n">
        <v>391000</v>
      </c>
    </row>
    <row r="2351">
      <c r="A2351" s="79" t="n">
        <v>40922</v>
      </c>
      <c r="B2351" t="n">
        <v>3511000</v>
      </c>
      <c r="C2351" t="n">
        <v>367000</v>
      </c>
    </row>
    <row r="2352">
      <c r="A2352" s="79" t="n">
        <v>40929</v>
      </c>
      <c r="B2352" t="n">
        <v>3419000</v>
      </c>
      <c r="C2352" t="n">
        <v>381000</v>
      </c>
    </row>
    <row r="2353">
      <c r="A2353" s="79" t="n">
        <v>40936</v>
      </c>
      <c r="B2353" t="n">
        <v>3454000</v>
      </c>
      <c r="C2353" t="n">
        <v>372000</v>
      </c>
    </row>
    <row r="2354">
      <c r="A2354" s="79" t="n">
        <v>40943</v>
      </c>
      <c r="B2354" t="n">
        <v>3391000</v>
      </c>
      <c r="C2354" t="n">
        <v>368000</v>
      </c>
    </row>
    <row r="2355">
      <c r="A2355" s="79" t="n">
        <v>40950</v>
      </c>
      <c r="B2355" t="n">
        <v>3362000</v>
      </c>
      <c r="C2355" t="n">
        <v>361000</v>
      </c>
    </row>
    <row r="2356">
      <c r="A2356" s="79" t="n">
        <v>40957</v>
      </c>
      <c r="B2356" t="n">
        <v>3382000</v>
      </c>
      <c r="C2356" t="n">
        <v>359000</v>
      </c>
    </row>
    <row r="2357">
      <c r="A2357" s="79" t="n">
        <v>40964</v>
      </c>
      <c r="B2357" t="n">
        <v>3392000</v>
      </c>
      <c r="C2357" t="n">
        <v>365000</v>
      </c>
    </row>
    <row r="2358">
      <c r="A2358" s="79" t="n">
        <v>40971</v>
      </c>
      <c r="B2358" t="n">
        <v>3367000</v>
      </c>
      <c r="C2358" t="n">
        <v>375000</v>
      </c>
    </row>
    <row r="2359">
      <c r="A2359" s="79" t="n">
        <v>40978</v>
      </c>
      <c r="B2359" t="n">
        <v>3353000</v>
      </c>
      <c r="C2359" t="n">
        <v>369000</v>
      </c>
    </row>
    <row r="2360">
      <c r="A2360" s="79" t="n">
        <v>40985</v>
      </c>
      <c r="B2360" t="n">
        <v>3342000</v>
      </c>
      <c r="C2360" t="n">
        <v>368000</v>
      </c>
    </row>
    <row r="2361">
      <c r="A2361" s="79" t="n">
        <v>40992</v>
      </c>
      <c r="B2361" t="n">
        <v>3336000</v>
      </c>
      <c r="C2361" t="n">
        <v>363000</v>
      </c>
    </row>
    <row r="2362">
      <c r="A2362" s="79" t="n">
        <v>40999</v>
      </c>
      <c r="B2362" t="n">
        <v>3286000</v>
      </c>
      <c r="C2362" t="n">
        <v>358000</v>
      </c>
    </row>
    <row r="2363">
      <c r="A2363" s="79" t="n">
        <v>41006</v>
      </c>
      <c r="B2363" t="n">
        <v>3325000</v>
      </c>
      <c r="C2363" t="n">
        <v>387000</v>
      </c>
    </row>
    <row r="2364">
      <c r="A2364" s="79" t="n">
        <v>41013</v>
      </c>
      <c r="B2364" t="n">
        <v>3355000</v>
      </c>
      <c r="C2364" t="n">
        <v>381000</v>
      </c>
    </row>
    <row r="2365">
      <c r="A2365" s="79" t="n">
        <v>41020</v>
      </c>
      <c r="B2365" t="n">
        <v>3316000</v>
      </c>
      <c r="C2365" t="n">
        <v>387000</v>
      </c>
    </row>
    <row r="2366">
      <c r="A2366" s="79" t="n">
        <v>41027</v>
      </c>
      <c r="B2366" t="n">
        <v>3296000</v>
      </c>
      <c r="C2366" t="n">
        <v>372000</v>
      </c>
    </row>
    <row r="2367">
      <c r="A2367" s="79" t="n">
        <v>41034</v>
      </c>
      <c r="B2367" t="n">
        <v>3326000</v>
      </c>
      <c r="C2367" t="n">
        <v>373000</v>
      </c>
    </row>
    <row r="2368">
      <c r="A2368" s="79" t="n">
        <v>41041</v>
      </c>
      <c r="B2368" t="n">
        <v>3334000</v>
      </c>
      <c r="C2368" t="n">
        <v>369000</v>
      </c>
    </row>
    <row r="2369">
      <c r="A2369" s="79" t="n">
        <v>41048</v>
      </c>
      <c r="B2369" t="n">
        <v>3301000</v>
      </c>
      <c r="C2369" t="n">
        <v>371000</v>
      </c>
    </row>
    <row r="2370">
      <c r="A2370" s="79" t="n">
        <v>41055</v>
      </c>
      <c r="B2370" t="n">
        <v>3351000</v>
      </c>
      <c r="C2370" t="n">
        <v>381000</v>
      </c>
    </row>
    <row r="2371">
      <c r="A2371" s="79" t="n">
        <v>41062</v>
      </c>
      <c r="B2371" t="n">
        <v>3327000</v>
      </c>
      <c r="C2371" t="n">
        <v>377000</v>
      </c>
    </row>
    <row r="2372">
      <c r="A2372" s="79" t="n">
        <v>41069</v>
      </c>
      <c r="B2372" t="n">
        <v>3343000</v>
      </c>
      <c r="C2372" t="n">
        <v>383000</v>
      </c>
    </row>
    <row r="2373">
      <c r="A2373" s="79" t="n">
        <v>41076</v>
      </c>
      <c r="B2373" t="n">
        <v>3323000</v>
      </c>
      <c r="C2373" t="n">
        <v>384000</v>
      </c>
    </row>
    <row r="2374">
      <c r="A2374" s="79" t="n">
        <v>41083</v>
      </c>
      <c r="B2374" t="n">
        <v>3325000</v>
      </c>
      <c r="C2374" t="n">
        <v>380000</v>
      </c>
    </row>
    <row r="2375">
      <c r="A2375" s="79" t="n">
        <v>41090</v>
      </c>
      <c r="B2375" t="n">
        <v>3304000</v>
      </c>
      <c r="C2375" t="n">
        <v>372000</v>
      </c>
    </row>
    <row r="2376">
      <c r="A2376" s="79" t="n">
        <v>41097</v>
      </c>
      <c r="B2376" t="n">
        <v>3314000</v>
      </c>
      <c r="C2376" t="n">
        <v>360000</v>
      </c>
    </row>
    <row r="2377">
      <c r="A2377" s="79" t="n">
        <v>41104</v>
      </c>
      <c r="B2377" t="n">
        <v>3307000</v>
      </c>
      <c r="C2377" t="n">
        <v>390000</v>
      </c>
    </row>
    <row r="2378">
      <c r="A2378" s="79" t="n">
        <v>41111</v>
      </c>
      <c r="B2378" t="n">
        <v>3290000</v>
      </c>
      <c r="C2378" t="n">
        <v>368000</v>
      </c>
    </row>
    <row r="2379">
      <c r="A2379" s="79" t="n">
        <v>41118</v>
      </c>
      <c r="B2379" t="n">
        <v>3312000</v>
      </c>
      <c r="C2379" t="n">
        <v>372000</v>
      </c>
    </row>
    <row r="2380">
      <c r="A2380" s="79" t="n">
        <v>41125</v>
      </c>
      <c r="B2380" t="n">
        <v>3302000</v>
      </c>
      <c r="C2380" t="n">
        <v>371000</v>
      </c>
    </row>
    <row r="2381">
      <c r="A2381" s="79" t="n">
        <v>41132</v>
      </c>
      <c r="B2381" t="n">
        <v>3296000</v>
      </c>
      <c r="C2381" t="n">
        <v>369000</v>
      </c>
    </row>
    <row r="2382">
      <c r="A2382" s="79" t="n">
        <v>41139</v>
      </c>
      <c r="B2382" t="n">
        <v>3306000</v>
      </c>
      <c r="C2382" t="n">
        <v>376000</v>
      </c>
    </row>
    <row r="2383">
      <c r="A2383" s="79" t="n">
        <v>41146</v>
      </c>
      <c r="B2383" t="n">
        <v>3321000</v>
      </c>
      <c r="C2383" t="n">
        <v>377000</v>
      </c>
    </row>
    <row r="2384">
      <c r="A2384" s="79" t="n">
        <v>41153</v>
      </c>
      <c r="B2384" t="n">
        <v>3327000</v>
      </c>
      <c r="C2384" t="n">
        <v>371000</v>
      </c>
    </row>
    <row r="2385">
      <c r="A2385" s="79" t="n">
        <v>41160</v>
      </c>
      <c r="B2385" t="n">
        <v>3312000</v>
      </c>
      <c r="C2385" t="n">
        <v>393000</v>
      </c>
    </row>
    <row r="2386">
      <c r="A2386" s="79" t="n">
        <v>41167</v>
      </c>
      <c r="B2386" t="n">
        <v>3316000</v>
      </c>
      <c r="C2386" t="n">
        <v>392000</v>
      </c>
    </row>
    <row r="2387">
      <c r="A2387" s="79" t="n">
        <v>41174</v>
      </c>
      <c r="B2387" t="n">
        <v>3308000</v>
      </c>
      <c r="C2387" t="n">
        <v>377000</v>
      </c>
    </row>
    <row r="2388">
      <c r="A2388" s="79" t="n">
        <v>41181</v>
      </c>
      <c r="B2388" t="n">
        <v>3309000</v>
      </c>
      <c r="C2388" t="n">
        <v>376000</v>
      </c>
    </row>
    <row r="2389">
      <c r="A2389" s="79" t="n">
        <v>41188</v>
      </c>
      <c r="B2389" t="n">
        <v>3295000</v>
      </c>
      <c r="C2389" t="n">
        <v>350000</v>
      </c>
    </row>
    <row r="2390">
      <c r="A2390" s="79" t="n">
        <v>41195</v>
      </c>
      <c r="B2390" t="n">
        <v>3302000</v>
      </c>
      <c r="C2390" t="n">
        <v>386000</v>
      </c>
    </row>
    <row r="2391">
      <c r="A2391" s="79" t="n">
        <v>41202</v>
      </c>
      <c r="B2391" t="n">
        <v>3285000</v>
      </c>
      <c r="C2391" t="n">
        <v>374000</v>
      </c>
    </row>
    <row r="2392">
      <c r="A2392" s="79" t="n">
        <v>41209</v>
      </c>
      <c r="B2392" t="n">
        <v>3223000</v>
      </c>
      <c r="C2392" t="n">
        <v>364000</v>
      </c>
    </row>
    <row r="2393">
      <c r="A2393" s="79" t="n">
        <v>41216</v>
      </c>
      <c r="B2393" t="n">
        <v>3368000</v>
      </c>
      <c r="C2393" t="n">
        <v>365000</v>
      </c>
    </row>
    <row r="2394">
      <c r="A2394" s="79" t="n">
        <v>41223</v>
      </c>
      <c r="B2394" t="n">
        <v>3364000</v>
      </c>
      <c r="C2394" t="n">
        <v>446000</v>
      </c>
    </row>
    <row r="2395">
      <c r="A2395" s="79" t="n">
        <v>41230</v>
      </c>
      <c r="B2395" t="n">
        <v>3325000</v>
      </c>
      <c r="C2395" t="n">
        <v>406000</v>
      </c>
    </row>
    <row r="2396">
      <c r="A2396" s="79" t="n">
        <v>41237</v>
      </c>
      <c r="B2396" t="n">
        <v>3248000</v>
      </c>
      <c r="C2396" t="n">
        <v>388000</v>
      </c>
    </row>
    <row r="2397">
      <c r="A2397" s="79" t="n">
        <v>41244</v>
      </c>
      <c r="B2397" t="n">
        <v>3195000</v>
      </c>
      <c r="C2397" t="n">
        <v>375000</v>
      </c>
    </row>
    <row r="2398">
      <c r="A2398" s="79" t="n">
        <v>41251</v>
      </c>
      <c r="B2398" t="n">
        <v>3229000</v>
      </c>
      <c r="C2398" t="n">
        <v>340000</v>
      </c>
    </row>
    <row r="2399">
      <c r="A2399" s="79" t="n">
        <v>41258</v>
      </c>
      <c r="B2399" t="n">
        <v>3179000</v>
      </c>
      <c r="C2399" t="n">
        <v>356000</v>
      </c>
    </row>
    <row r="2400">
      <c r="A2400" s="79" t="n">
        <v>41265</v>
      </c>
      <c r="B2400" t="n">
        <v>3221000</v>
      </c>
      <c r="C2400" t="n">
        <v>362000</v>
      </c>
    </row>
    <row r="2401">
      <c r="A2401" s="79" t="n">
        <v>41272</v>
      </c>
      <c r="B2401" t="n">
        <v>3127000</v>
      </c>
      <c r="C2401" t="n">
        <v>362000</v>
      </c>
    </row>
    <row r="2402">
      <c r="A2402" s="79" t="n">
        <v>41279</v>
      </c>
      <c r="B2402" t="n">
        <v>3147000</v>
      </c>
      <c r="C2402" t="n">
        <v>363000</v>
      </c>
    </row>
    <row r="2403">
      <c r="A2403" s="79" t="n">
        <v>41286</v>
      </c>
      <c r="B2403" t="n">
        <v>3108000</v>
      </c>
      <c r="C2403" t="n">
        <v>344000</v>
      </c>
    </row>
    <row r="2404">
      <c r="A2404" s="79" t="n">
        <v>41293</v>
      </c>
      <c r="B2404" t="n">
        <v>3138000</v>
      </c>
      <c r="C2404" t="n">
        <v>339000</v>
      </c>
    </row>
    <row r="2405">
      <c r="A2405" s="79" t="n">
        <v>41300</v>
      </c>
      <c r="B2405" t="n">
        <v>3138000</v>
      </c>
      <c r="C2405" t="n">
        <v>366000</v>
      </c>
    </row>
    <row r="2406">
      <c r="A2406" s="79" t="n">
        <v>41307</v>
      </c>
      <c r="B2406" t="n">
        <v>3075000</v>
      </c>
      <c r="C2406" t="n">
        <v>361000</v>
      </c>
    </row>
    <row r="2407">
      <c r="A2407" s="79" t="n">
        <v>41314</v>
      </c>
      <c r="B2407" t="n">
        <v>3081000</v>
      </c>
      <c r="C2407" t="n">
        <v>347000</v>
      </c>
    </row>
    <row r="2408">
      <c r="A2408" s="79" t="n">
        <v>41321</v>
      </c>
      <c r="B2408" t="n">
        <v>3036000</v>
      </c>
      <c r="C2408" t="n">
        <v>362000</v>
      </c>
    </row>
    <row r="2409">
      <c r="A2409" s="79" t="n">
        <v>41328</v>
      </c>
      <c r="B2409" t="n">
        <v>3043000</v>
      </c>
      <c r="C2409" t="n">
        <v>342000</v>
      </c>
    </row>
    <row r="2410">
      <c r="A2410" s="79" t="n">
        <v>41335</v>
      </c>
      <c r="B2410" t="n">
        <v>3011000</v>
      </c>
      <c r="C2410" t="n">
        <v>340000</v>
      </c>
    </row>
    <row r="2411">
      <c r="A2411" s="79" t="n">
        <v>41342</v>
      </c>
      <c r="B2411" t="n">
        <v>3024000</v>
      </c>
      <c r="C2411" t="n">
        <v>343000</v>
      </c>
    </row>
    <row r="2412">
      <c r="A2412" s="79" t="n">
        <v>41349</v>
      </c>
      <c r="B2412" t="n">
        <v>3028000</v>
      </c>
      <c r="C2412" t="n">
        <v>343000</v>
      </c>
    </row>
    <row r="2413">
      <c r="A2413" s="79" t="n">
        <v>41356</v>
      </c>
      <c r="B2413" t="n">
        <v>3046000</v>
      </c>
      <c r="C2413" t="n">
        <v>358000</v>
      </c>
    </row>
    <row r="2414">
      <c r="A2414" s="79" t="n">
        <v>41363</v>
      </c>
      <c r="B2414" t="n">
        <v>3080000</v>
      </c>
      <c r="C2414" t="n">
        <v>375000</v>
      </c>
    </row>
    <row r="2415">
      <c r="A2415" s="79" t="n">
        <v>41370</v>
      </c>
      <c r="B2415" t="n">
        <v>3076000</v>
      </c>
      <c r="C2415" t="n">
        <v>359000</v>
      </c>
    </row>
    <row r="2416">
      <c r="A2416" s="79" t="n">
        <v>41377</v>
      </c>
      <c r="B2416" t="n">
        <v>3024000</v>
      </c>
      <c r="C2416" t="n">
        <v>356000</v>
      </c>
    </row>
    <row r="2417">
      <c r="A2417" s="79" t="n">
        <v>41384</v>
      </c>
      <c r="B2417" t="n">
        <v>3027000</v>
      </c>
      <c r="C2417" t="n">
        <v>343000</v>
      </c>
    </row>
    <row r="2418">
      <c r="A2418" s="79" t="n">
        <v>41391</v>
      </c>
      <c r="B2418" t="n">
        <v>3039000</v>
      </c>
      <c r="C2418" t="n">
        <v>331000</v>
      </c>
    </row>
    <row r="2419">
      <c r="A2419" s="79" t="n">
        <v>41398</v>
      </c>
      <c r="B2419" t="n">
        <v>3042000</v>
      </c>
      <c r="C2419" t="n">
        <v>335000</v>
      </c>
    </row>
    <row r="2420">
      <c r="A2420" s="79" t="n">
        <v>41405</v>
      </c>
      <c r="B2420" t="n">
        <v>2975000</v>
      </c>
      <c r="C2420" t="n">
        <v>360000</v>
      </c>
    </row>
    <row r="2421">
      <c r="A2421" s="79" t="n">
        <v>41412</v>
      </c>
      <c r="B2421" t="n">
        <v>3020000</v>
      </c>
      <c r="C2421" t="n">
        <v>343000</v>
      </c>
    </row>
    <row r="2422">
      <c r="A2422" s="79" t="n">
        <v>41419</v>
      </c>
      <c r="B2422" t="n">
        <v>3012000</v>
      </c>
      <c r="C2422" t="n">
        <v>353000</v>
      </c>
    </row>
    <row r="2423">
      <c r="A2423" s="79" t="n">
        <v>41426</v>
      </c>
      <c r="B2423" t="n">
        <v>2999000</v>
      </c>
      <c r="C2423" t="n">
        <v>346000</v>
      </c>
    </row>
    <row r="2424">
      <c r="A2424" s="79" t="n">
        <v>41433</v>
      </c>
      <c r="B2424" t="n">
        <v>3004000</v>
      </c>
      <c r="C2424" t="n">
        <v>337000</v>
      </c>
    </row>
    <row r="2425">
      <c r="A2425" s="79" t="n">
        <v>41440</v>
      </c>
      <c r="B2425" t="n">
        <v>2996000</v>
      </c>
      <c r="C2425" t="n">
        <v>353000</v>
      </c>
    </row>
    <row r="2426">
      <c r="A2426" s="79" t="n">
        <v>41447</v>
      </c>
      <c r="B2426" t="n">
        <v>2962000</v>
      </c>
      <c r="C2426" t="n">
        <v>347000</v>
      </c>
    </row>
    <row r="2427">
      <c r="A2427" s="79" t="n">
        <v>41454</v>
      </c>
      <c r="B2427" t="n">
        <v>3003000</v>
      </c>
      <c r="C2427" t="n">
        <v>340000</v>
      </c>
    </row>
    <row r="2428">
      <c r="A2428" s="79" t="n">
        <v>41461</v>
      </c>
      <c r="B2428" t="n">
        <v>3113000</v>
      </c>
      <c r="C2428" t="n">
        <v>351000</v>
      </c>
    </row>
    <row r="2429">
      <c r="A2429" s="79" t="n">
        <v>41468</v>
      </c>
      <c r="B2429" t="n">
        <v>3011000</v>
      </c>
      <c r="C2429" t="n">
        <v>344000</v>
      </c>
    </row>
    <row r="2430">
      <c r="A2430" s="79" t="n">
        <v>41475</v>
      </c>
      <c r="B2430" t="n">
        <v>2947000</v>
      </c>
      <c r="C2430" t="n">
        <v>355000</v>
      </c>
    </row>
    <row r="2431">
      <c r="A2431" s="79" t="n">
        <v>41482</v>
      </c>
      <c r="B2431" t="n">
        <v>3010000</v>
      </c>
      <c r="C2431" t="n">
        <v>334000</v>
      </c>
    </row>
    <row r="2432">
      <c r="A2432" s="79" t="n">
        <v>41489</v>
      </c>
      <c r="B2432" t="n">
        <v>2944000</v>
      </c>
      <c r="C2432" t="n">
        <v>339000</v>
      </c>
    </row>
    <row r="2433">
      <c r="A2433" s="79" t="n">
        <v>41496</v>
      </c>
      <c r="B2433" t="n">
        <v>2987000</v>
      </c>
      <c r="C2433" t="n">
        <v>327000</v>
      </c>
    </row>
    <row r="2434">
      <c r="A2434" s="79" t="n">
        <v>41503</v>
      </c>
      <c r="B2434" t="n">
        <v>2968000</v>
      </c>
      <c r="C2434" t="n">
        <v>340000</v>
      </c>
    </row>
    <row r="2435">
      <c r="A2435" s="79" t="n">
        <v>41510</v>
      </c>
      <c r="B2435" t="n">
        <v>2934000</v>
      </c>
      <c r="C2435" t="n">
        <v>336000</v>
      </c>
    </row>
    <row r="2436">
      <c r="A2436" s="79" t="n">
        <v>41517</v>
      </c>
      <c r="B2436" t="n">
        <v>2839000</v>
      </c>
      <c r="C2436" t="n">
        <v>325000</v>
      </c>
    </row>
    <row r="2437">
      <c r="A2437" s="79" t="n">
        <v>41524</v>
      </c>
      <c r="B2437" t="n">
        <v>2822000</v>
      </c>
      <c r="C2437" t="n">
        <v>300000</v>
      </c>
    </row>
    <row r="2438">
      <c r="A2438" s="79" t="n">
        <v>41531</v>
      </c>
      <c r="B2438" t="n">
        <v>2863000</v>
      </c>
      <c r="C2438" t="n">
        <v>323000</v>
      </c>
    </row>
    <row r="2439">
      <c r="A2439" s="79" t="n">
        <v>41538</v>
      </c>
      <c r="B2439" t="n">
        <v>2954000</v>
      </c>
      <c r="C2439" t="n">
        <v>314000</v>
      </c>
    </row>
    <row r="2440">
      <c r="A2440" s="79" t="n">
        <v>41545</v>
      </c>
      <c r="B2440" t="n">
        <v>2944000</v>
      </c>
      <c r="C2440" t="n">
        <v>319000</v>
      </c>
    </row>
    <row r="2441">
      <c r="A2441" s="79" t="n">
        <v>41552</v>
      </c>
      <c r="B2441" t="n">
        <v>2929000</v>
      </c>
      <c r="C2441" t="n">
        <v>368000</v>
      </c>
    </row>
    <row r="2442">
      <c r="A2442" s="79" t="n">
        <v>41559</v>
      </c>
      <c r="B2442" t="n">
        <v>2925000</v>
      </c>
      <c r="C2442" t="n">
        <v>368000</v>
      </c>
    </row>
    <row r="2443">
      <c r="A2443" s="79" t="n">
        <v>41566</v>
      </c>
      <c r="B2443" t="n">
        <v>2933000</v>
      </c>
      <c r="C2443" t="n">
        <v>351000</v>
      </c>
    </row>
    <row r="2444">
      <c r="A2444" s="79" t="n">
        <v>41573</v>
      </c>
      <c r="B2444" t="n">
        <v>2927000</v>
      </c>
      <c r="C2444" t="n">
        <v>347000</v>
      </c>
    </row>
    <row r="2445">
      <c r="A2445" s="79" t="n">
        <v>41580</v>
      </c>
      <c r="B2445" t="n">
        <v>2873000</v>
      </c>
      <c r="C2445" t="n">
        <v>342000</v>
      </c>
    </row>
    <row r="2446">
      <c r="A2446" s="79" t="n">
        <v>41587</v>
      </c>
      <c r="B2446" t="n">
        <v>2925000</v>
      </c>
      <c r="C2446" t="n">
        <v>340000</v>
      </c>
    </row>
    <row r="2447">
      <c r="A2447" s="79" t="n">
        <v>41594</v>
      </c>
      <c r="B2447" t="n">
        <v>2837000</v>
      </c>
      <c r="C2447" t="n">
        <v>331000</v>
      </c>
    </row>
    <row r="2448">
      <c r="A2448" s="79" t="n">
        <v>41601</v>
      </c>
      <c r="B2448" t="n">
        <v>2813000</v>
      </c>
      <c r="C2448" t="n">
        <v>316000</v>
      </c>
    </row>
    <row r="2449">
      <c r="A2449" s="79" t="n">
        <v>41608</v>
      </c>
      <c r="B2449" t="n">
        <v>2808000</v>
      </c>
      <c r="C2449" t="n">
        <v>312000</v>
      </c>
    </row>
    <row r="2450">
      <c r="A2450" s="79" t="n">
        <v>41615</v>
      </c>
      <c r="B2450" t="n">
        <v>2892000</v>
      </c>
      <c r="C2450" t="n">
        <v>354000</v>
      </c>
    </row>
    <row r="2451">
      <c r="A2451" s="79" t="n">
        <v>41622</v>
      </c>
      <c r="B2451" t="n">
        <v>2903000</v>
      </c>
      <c r="C2451" t="n">
        <v>364000</v>
      </c>
    </row>
    <row r="2452">
      <c r="A2452" s="79" t="n">
        <v>41629</v>
      </c>
      <c r="B2452" t="n">
        <v>2832000</v>
      </c>
      <c r="C2452" t="n">
        <v>334000</v>
      </c>
    </row>
    <row r="2453">
      <c r="A2453" s="79" t="n">
        <v>41636</v>
      </c>
      <c r="B2453" t="n">
        <v>2807000</v>
      </c>
      <c r="C2453" t="n">
        <v>332000</v>
      </c>
    </row>
    <row r="2454">
      <c r="A2454" s="79" t="n">
        <v>41643</v>
      </c>
      <c r="B2454" t="n">
        <v>2903000</v>
      </c>
      <c r="C2454" t="n">
        <v>322000</v>
      </c>
    </row>
    <row r="2455">
      <c r="A2455" s="79" t="n">
        <v>41650</v>
      </c>
      <c r="B2455" t="n">
        <v>2907000</v>
      </c>
      <c r="C2455" t="n">
        <v>318000</v>
      </c>
    </row>
    <row r="2456">
      <c r="A2456" s="79" t="n">
        <v>41657</v>
      </c>
      <c r="B2456" t="n">
        <v>2847000</v>
      </c>
      <c r="C2456" t="n">
        <v>327000</v>
      </c>
    </row>
    <row r="2457">
      <c r="A2457" s="79" t="n">
        <v>41664</v>
      </c>
      <c r="B2457" t="n">
        <v>2850000</v>
      </c>
      <c r="C2457" t="n">
        <v>340000</v>
      </c>
    </row>
    <row r="2458">
      <c r="A2458" s="79" t="n">
        <v>41671</v>
      </c>
      <c r="B2458" t="n">
        <v>2852000</v>
      </c>
      <c r="C2458" t="n">
        <v>331000</v>
      </c>
    </row>
    <row r="2459">
      <c r="A2459" s="79" t="n">
        <v>41678</v>
      </c>
      <c r="B2459" t="n">
        <v>2859000</v>
      </c>
      <c r="C2459" t="n">
        <v>337000</v>
      </c>
    </row>
    <row r="2460">
      <c r="A2460" s="79" t="n">
        <v>41685</v>
      </c>
      <c r="B2460" t="n">
        <v>2861000</v>
      </c>
      <c r="C2460" t="n">
        <v>332000</v>
      </c>
    </row>
    <row r="2461">
      <c r="A2461" s="79" t="n">
        <v>41692</v>
      </c>
      <c r="B2461" t="n">
        <v>2823000</v>
      </c>
      <c r="C2461" t="n">
        <v>341000</v>
      </c>
    </row>
    <row r="2462">
      <c r="A2462" s="79" t="n">
        <v>41699</v>
      </c>
      <c r="B2462" t="n">
        <v>2787000</v>
      </c>
      <c r="C2462" t="n">
        <v>319000</v>
      </c>
    </row>
    <row r="2463">
      <c r="A2463" s="79" t="n">
        <v>41706</v>
      </c>
      <c r="B2463" t="n">
        <v>2816000</v>
      </c>
      <c r="C2463" t="n">
        <v>322000</v>
      </c>
    </row>
    <row r="2464">
      <c r="A2464" s="79" t="n">
        <v>41713</v>
      </c>
      <c r="B2464" t="n">
        <v>2764000</v>
      </c>
      <c r="C2464" t="n">
        <v>321000</v>
      </c>
    </row>
    <row r="2465">
      <c r="A2465" s="79" t="n">
        <v>41720</v>
      </c>
      <c r="B2465" t="n">
        <v>2800000</v>
      </c>
      <c r="C2465" t="n">
        <v>313000</v>
      </c>
    </row>
    <row r="2466">
      <c r="A2466" s="79" t="n">
        <v>41727</v>
      </c>
      <c r="B2466" t="n">
        <v>2729000</v>
      </c>
      <c r="C2466" t="n">
        <v>330000</v>
      </c>
    </row>
    <row r="2467">
      <c r="A2467" s="79" t="n">
        <v>41734</v>
      </c>
      <c r="B2467" t="n">
        <v>2730000</v>
      </c>
      <c r="C2467" t="n">
        <v>311000</v>
      </c>
    </row>
    <row r="2468">
      <c r="A2468" s="79" t="n">
        <v>41741</v>
      </c>
      <c r="B2468" t="n">
        <v>2680000</v>
      </c>
      <c r="C2468" t="n">
        <v>308000</v>
      </c>
    </row>
    <row r="2469">
      <c r="A2469" s="79" t="n">
        <v>41748</v>
      </c>
      <c r="B2469" t="n">
        <v>2767000</v>
      </c>
      <c r="C2469" t="n">
        <v>327000</v>
      </c>
    </row>
    <row r="2470">
      <c r="A2470" s="79" t="n">
        <v>41755</v>
      </c>
      <c r="B2470" t="n">
        <v>2707000</v>
      </c>
      <c r="C2470" t="n">
        <v>345000</v>
      </c>
    </row>
    <row r="2471">
      <c r="A2471" s="79" t="n">
        <v>41762</v>
      </c>
      <c r="B2471" t="n">
        <v>2702000</v>
      </c>
      <c r="C2471" t="n">
        <v>325000</v>
      </c>
    </row>
    <row r="2472">
      <c r="A2472" s="79" t="n">
        <v>41769</v>
      </c>
      <c r="B2472" t="n">
        <v>2691000</v>
      </c>
      <c r="C2472" t="n">
        <v>303000</v>
      </c>
    </row>
    <row r="2473">
      <c r="A2473" s="79" t="n">
        <v>41776</v>
      </c>
      <c r="B2473" t="n">
        <v>2657000</v>
      </c>
      <c r="C2473" t="n">
        <v>324000</v>
      </c>
    </row>
    <row r="2474">
      <c r="A2474" s="79" t="n">
        <v>41783</v>
      </c>
      <c r="B2474" t="n">
        <v>2646000</v>
      </c>
      <c r="C2474" t="n">
        <v>305000</v>
      </c>
    </row>
    <row r="2475">
      <c r="A2475" s="79" t="n">
        <v>41790</v>
      </c>
      <c r="B2475" t="n">
        <v>2641000</v>
      </c>
      <c r="C2475" t="n">
        <v>312000</v>
      </c>
    </row>
    <row r="2476">
      <c r="A2476" s="79" t="n">
        <v>41797</v>
      </c>
      <c r="B2476" t="n">
        <v>2598000</v>
      </c>
      <c r="C2476" t="n">
        <v>317000</v>
      </c>
    </row>
    <row r="2477">
      <c r="A2477" s="79" t="n">
        <v>41804</v>
      </c>
      <c r="B2477" t="n">
        <v>2595000</v>
      </c>
      <c r="C2477" t="n">
        <v>314000</v>
      </c>
    </row>
    <row r="2478">
      <c r="A2478" s="79" t="n">
        <v>41811</v>
      </c>
      <c r="B2478" t="n">
        <v>2583000</v>
      </c>
      <c r="C2478" t="n">
        <v>315000</v>
      </c>
    </row>
    <row r="2479">
      <c r="A2479" s="79" t="n">
        <v>41818</v>
      </c>
      <c r="B2479" t="n">
        <v>2579000</v>
      </c>
      <c r="C2479" t="n">
        <v>308000</v>
      </c>
    </row>
    <row r="2480">
      <c r="A2480" s="79" t="n">
        <v>41825</v>
      </c>
      <c r="B2480" t="n">
        <v>2540000</v>
      </c>
      <c r="C2480" t="n">
        <v>302000</v>
      </c>
    </row>
    <row r="2481">
      <c r="A2481" s="79" t="n">
        <v>41832</v>
      </c>
      <c r="B2481" t="n">
        <v>2528000</v>
      </c>
      <c r="C2481" t="n">
        <v>308000</v>
      </c>
    </row>
    <row r="2482">
      <c r="A2482" s="79" t="n">
        <v>41839</v>
      </c>
      <c r="B2482" t="n">
        <v>2542000</v>
      </c>
      <c r="C2482" t="n">
        <v>294000</v>
      </c>
    </row>
    <row r="2483">
      <c r="A2483" s="79" t="n">
        <v>41846</v>
      </c>
      <c r="B2483" t="n">
        <v>2524000</v>
      </c>
      <c r="C2483" t="n">
        <v>303000</v>
      </c>
    </row>
    <row r="2484">
      <c r="A2484" s="79" t="n">
        <v>41853</v>
      </c>
      <c r="B2484" t="n">
        <v>2530000</v>
      </c>
      <c r="C2484" t="n">
        <v>295000</v>
      </c>
    </row>
    <row r="2485">
      <c r="A2485" s="79" t="n">
        <v>41860</v>
      </c>
      <c r="B2485" t="n">
        <v>2508000</v>
      </c>
      <c r="C2485" t="n">
        <v>309000</v>
      </c>
    </row>
    <row r="2486">
      <c r="A2486" s="79" t="n">
        <v>41867</v>
      </c>
      <c r="B2486" t="n">
        <v>2517000</v>
      </c>
      <c r="C2486" t="n">
        <v>303000</v>
      </c>
    </row>
    <row r="2487">
      <c r="A2487" s="79" t="n">
        <v>41874</v>
      </c>
      <c r="B2487" t="n">
        <v>2483000</v>
      </c>
      <c r="C2487" t="n">
        <v>300000</v>
      </c>
    </row>
    <row r="2488">
      <c r="A2488" s="79" t="n">
        <v>41881</v>
      </c>
      <c r="B2488" t="n">
        <v>2486000</v>
      </c>
      <c r="C2488" t="n">
        <v>303000</v>
      </c>
    </row>
    <row r="2489">
      <c r="A2489" s="79" t="n">
        <v>41888</v>
      </c>
      <c r="B2489" t="n">
        <v>2452000</v>
      </c>
      <c r="C2489" t="n">
        <v>307000</v>
      </c>
    </row>
    <row r="2490">
      <c r="A2490" s="79" t="n">
        <v>41895</v>
      </c>
      <c r="B2490" t="n">
        <v>2465000</v>
      </c>
      <c r="C2490" t="n">
        <v>288000</v>
      </c>
    </row>
    <row r="2491">
      <c r="A2491" s="79" t="n">
        <v>41902</v>
      </c>
      <c r="B2491" t="n">
        <v>2447000</v>
      </c>
      <c r="C2491" t="n">
        <v>295000</v>
      </c>
    </row>
    <row r="2492">
      <c r="A2492" s="79" t="n">
        <v>41909</v>
      </c>
      <c r="B2492" t="n">
        <v>2427000</v>
      </c>
      <c r="C2492" t="n">
        <v>290000</v>
      </c>
    </row>
    <row r="2493">
      <c r="A2493" s="79" t="n">
        <v>41916</v>
      </c>
      <c r="B2493" t="n">
        <v>2441000</v>
      </c>
      <c r="C2493" t="n">
        <v>293000</v>
      </c>
    </row>
    <row r="2494">
      <c r="A2494" s="79" t="n">
        <v>41923</v>
      </c>
      <c r="B2494" t="n">
        <v>2409000</v>
      </c>
      <c r="C2494" t="n">
        <v>281000</v>
      </c>
    </row>
    <row r="2495">
      <c r="A2495" s="79" t="n">
        <v>41930</v>
      </c>
      <c r="B2495" t="n">
        <v>2437000</v>
      </c>
      <c r="C2495" t="n">
        <v>290000</v>
      </c>
    </row>
    <row r="2496">
      <c r="A2496" s="79" t="n">
        <v>41937</v>
      </c>
      <c r="B2496" t="n">
        <v>2406000</v>
      </c>
      <c r="C2496" t="n">
        <v>291000</v>
      </c>
    </row>
    <row r="2497">
      <c r="A2497" s="79" t="n">
        <v>41944</v>
      </c>
      <c r="B2497" t="n">
        <v>2436000</v>
      </c>
      <c r="C2497" t="n">
        <v>280000</v>
      </c>
    </row>
    <row r="2498">
      <c r="A2498" s="79" t="n">
        <v>41951</v>
      </c>
      <c r="B2498" t="n">
        <v>2384000</v>
      </c>
      <c r="C2498" t="n">
        <v>291000</v>
      </c>
    </row>
    <row r="2499">
      <c r="A2499" s="79" t="n">
        <v>41958</v>
      </c>
      <c r="B2499" t="n">
        <v>2351000</v>
      </c>
      <c r="C2499" t="n">
        <v>293000</v>
      </c>
    </row>
    <row r="2500">
      <c r="A2500" s="79" t="n">
        <v>41965</v>
      </c>
      <c r="B2500" t="n">
        <v>2389000</v>
      </c>
      <c r="C2500" t="n">
        <v>303000</v>
      </c>
    </row>
    <row r="2501">
      <c r="A2501" s="79" t="n">
        <v>41972</v>
      </c>
      <c r="B2501" t="n">
        <v>2484000</v>
      </c>
      <c r="C2501" t="n">
        <v>291000</v>
      </c>
    </row>
    <row r="2502">
      <c r="A2502" s="79" t="n">
        <v>41979</v>
      </c>
      <c r="B2502" t="n">
        <v>2381000</v>
      </c>
      <c r="C2502" t="n">
        <v>291000</v>
      </c>
    </row>
    <row r="2503">
      <c r="A2503" s="79" t="n">
        <v>41986</v>
      </c>
      <c r="B2503" t="n">
        <v>2379000</v>
      </c>
      <c r="C2503" t="n">
        <v>286000</v>
      </c>
    </row>
    <row r="2504">
      <c r="A2504" s="79" t="n">
        <v>41993</v>
      </c>
      <c r="B2504" t="n">
        <v>2338000</v>
      </c>
      <c r="C2504" t="n">
        <v>276000</v>
      </c>
    </row>
    <row r="2505">
      <c r="A2505" s="79" t="n">
        <v>42000</v>
      </c>
      <c r="B2505" t="n">
        <v>2422000</v>
      </c>
      <c r="C2505" t="n">
        <v>285000</v>
      </c>
    </row>
    <row r="2506">
      <c r="A2506" s="79" t="n">
        <v>42007</v>
      </c>
      <c r="B2506" t="n">
        <v>2381000</v>
      </c>
      <c r="C2506" t="n">
        <v>294000</v>
      </c>
    </row>
    <row r="2507">
      <c r="A2507" s="79" t="n">
        <v>42014</v>
      </c>
      <c r="B2507" t="n">
        <v>2400000</v>
      </c>
      <c r="C2507" t="n">
        <v>304000</v>
      </c>
    </row>
    <row r="2508">
      <c r="A2508" s="79" t="n">
        <v>42021</v>
      </c>
      <c r="B2508" t="n">
        <v>2336000</v>
      </c>
      <c r="C2508" t="n">
        <v>298000</v>
      </c>
    </row>
    <row r="2509">
      <c r="A2509" s="79" t="n">
        <v>42028</v>
      </c>
      <c r="B2509" t="n">
        <v>2335000</v>
      </c>
      <c r="C2509" t="n">
        <v>261000</v>
      </c>
    </row>
    <row r="2510">
      <c r="A2510" s="79" t="n">
        <v>42035</v>
      </c>
      <c r="B2510" t="n">
        <v>2297000</v>
      </c>
      <c r="C2510" t="n">
        <v>281000</v>
      </c>
    </row>
    <row r="2511">
      <c r="A2511" s="79" t="n">
        <v>42042</v>
      </c>
      <c r="B2511" t="n">
        <v>2344000</v>
      </c>
      <c r="C2511" t="n">
        <v>298000</v>
      </c>
    </row>
    <row r="2512">
      <c r="A2512" s="79" t="n">
        <v>42049</v>
      </c>
      <c r="B2512" t="n">
        <v>2319000</v>
      </c>
      <c r="C2512" t="n">
        <v>285000</v>
      </c>
    </row>
    <row r="2513">
      <c r="A2513" s="79" t="n">
        <v>42056</v>
      </c>
      <c r="B2513" t="n">
        <v>2341000</v>
      </c>
      <c r="C2513" t="n">
        <v>305000</v>
      </c>
    </row>
    <row r="2514">
      <c r="A2514" s="79" t="n">
        <v>42063</v>
      </c>
      <c r="B2514" t="n">
        <v>2357000</v>
      </c>
      <c r="C2514" t="n">
        <v>317000</v>
      </c>
    </row>
    <row r="2515">
      <c r="A2515" s="79" t="n">
        <v>42070</v>
      </c>
      <c r="B2515" t="n">
        <v>2361000</v>
      </c>
      <c r="C2515" t="n">
        <v>293000</v>
      </c>
    </row>
    <row r="2516">
      <c r="A2516" s="79" t="n">
        <v>42077</v>
      </c>
      <c r="B2516" t="n">
        <v>2361000</v>
      </c>
      <c r="C2516" t="n">
        <v>290000</v>
      </c>
    </row>
    <row r="2517">
      <c r="A2517" s="79" t="n">
        <v>42084</v>
      </c>
      <c r="B2517" t="n">
        <v>2306000</v>
      </c>
      <c r="C2517" t="n">
        <v>284000</v>
      </c>
    </row>
    <row r="2518">
      <c r="A2518" s="79" t="n">
        <v>42091</v>
      </c>
      <c r="B2518" t="n">
        <v>2278000</v>
      </c>
      <c r="C2518" t="n">
        <v>269000</v>
      </c>
    </row>
    <row r="2519">
      <c r="A2519" s="79" t="n">
        <v>42098</v>
      </c>
      <c r="B2519" t="n">
        <v>2273000</v>
      </c>
      <c r="C2519" t="n">
        <v>282000</v>
      </c>
    </row>
    <row r="2520">
      <c r="A2520" s="79" t="n">
        <v>42105</v>
      </c>
      <c r="B2520" t="n">
        <v>2320000</v>
      </c>
      <c r="C2520" t="n">
        <v>298000</v>
      </c>
    </row>
    <row r="2521">
      <c r="A2521" s="79" t="n">
        <v>42112</v>
      </c>
      <c r="B2521" t="n">
        <v>2279000</v>
      </c>
      <c r="C2521" t="n">
        <v>295000</v>
      </c>
    </row>
    <row r="2522">
      <c r="A2522" s="79" t="n">
        <v>42119</v>
      </c>
      <c r="B2522" t="n">
        <v>2254000</v>
      </c>
      <c r="C2522" t="n">
        <v>269000</v>
      </c>
    </row>
    <row r="2523">
      <c r="A2523" s="79" t="n">
        <v>42126</v>
      </c>
      <c r="B2523" t="n">
        <v>2261000</v>
      </c>
      <c r="C2523" t="n">
        <v>267000</v>
      </c>
    </row>
    <row r="2524">
      <c r="A2524" s="79" t="n">
        <v>42133</v>
      </c>
      <c r="B2524" t="n">
        <v>2253000</v>
      </c>
      <c r="C2524" t="n">
        <v>271000</v>
      </c>
    </row>
    <row r="2525">
      <c r="A2525" s="79" t="n">
        <v>42140</v>
      </c>
      <c r="B2525" t="n">
        <v>2258000</v>
      </c>
      <c r="C2525" t="n">
        <v>276000</v>
      </c>
    </row>
    <row r="2526">
      <c r="A2526" s="79" t="n">
        <v>42147</v>
      </c>
      <c r="B2526" t="n">
        <v>2236000</v>
      </c>
      <c r="C2526" t="n">
        <v>281000</v>
      </c>
    </row>
    <row r="2527">
      <c r="A2527" s="79" t="n">
        <v>42154</v>
      </c>
      <c r="B2527" t="n">
        <v>2294000</v>
      </c>
      <c r="C2527" t="n">
        <v>275000</v>
      </c>
    </row>
    <row r="2528">
      <c r="A2528" s="79" t="n">
        <v>42161</v>
      </c>
      <c r="B2528" t="n">
        <v>2250000</v>
      </c>
      <c r="C2528" t="n">
        <v>278000</v>
      </c>
    </row>
    <row r="2529">
      <c r="A2529" s="79" t="n">
        <v>42168</v>
      </c>
      <c r="B2529" t="n">
        <v>2268000</v>
      </c>
      <c r="C2529" t="n">
        <v>269000</v>
      </c>
    </row>
    <row r="2530">
      <c r="A2530" s="79" t="n">
        <v>42175</v>
      </c>
      <c r="B2530" t="n">
        <v>2265000</v>
      </c>
      <c r="C2530" t="n">
        <v>273000</v>
      </c>
    </row>
    <row r="2531">
      <c r="A2531" s="79" t="n">
        <v>42182</v>
      </c>
      <c r="B2531" t="n">
        <v>2312000</v>
      </c>
      <c r="C2531" t="n">
        <v>275000</v>
      </c>
    </row>
    <row r="2532">
      <c r="A2532" s="79" t="n">
        <v>42189</v>
      </c>
      <c r="B2532" t="n">
        <v>2233000</v>
      </c>
      <c r="C2532" t="n">
        <v>292000</v>
      </c>
    </row>
    <row r="2533">
      <c r="A2533" s="79" t="n">
        <v>42196</v>
      </c>
      <c r="B2533" t="n">
        <v>2226000</v>
      </c>
      <c r="C2533" t="n">
        <v>285000</v>
      </c>
    </row>
    <row r="2534">
      <c r="A2534" s="79" t="n">
        <v>42203</v>
      </c>
      <c r="B2534" t="n">
        <v>2267000</v>
      </c>
      <c r="C2534" t="n">
        <v>265000</v>
      </c>
    </row>
    <row r="2535">
      <c r="A2535" s="79" t="n">
        <v>42210</v>
      </c>
      <c r="B2535" t="n">
        <v>2253000</v>
      </c>
      <c r="C2535" t="n">
        <v>269000</v>
      </c>
    </row>
    <row r="2536">
      <c r="A2536" s="79" t="n">
        <v>42217</v>
      </c>
      <c r="B2536" t="n">
        <v>2257000</v>
      </c>
      <c r="C2536" t="n">
        <v>270000</v>
      </c>
    </row>
    <row r="2537">
      <c r="A2537" s="79" t="n">
        <v>42224</v>
      </c>
      <c r="B2537" t="n">
        <v>2247000</v>
      </c>
      <c r="C2537" t="n">
        <v>274000</v>
      </c>
    </row>
    <row r="2538">
      <c r="A2538" s="79" t="n">
        <v>42231</v>
      </c>
      <c r="B2538" t="n">
        <v>2256000</v>
      </c>
      <c r="C2538" t="n">
        <v>279000</v>
      </c>
    </row>
    <row r="2539">
      <c r="A2539" s="79" t="n">
        <v>42238</v>
      </c>
      <c r="B2539" t="n">
        <v>2252000</v>
      </c>
      <c r="C2539" t="n">
        <v>274000</v>
      </c>
    </row>
    <row r="2540">
      <c r="A2540" s="79" t="n">
        <v>42245</v>
      </c>
      <c r="B2540" t="n">
        <v>2258000</v>
      </c>
      <c r="C2540" t="n">
        <v>279000</v>
      </c>
    </row>
    <row r="2541">
      <c r="A2541" s="79" t="n">
        <v>42252</v>
      </c>
      <c r="B2541" t="n">
        <v>2243000</v>
      </c>
      <c r="C2541" t="n">
        <v>273000</v>
      </c>
    </row>
    <row r="2542">
      <c r="A2542" s="79" t="n">
        <v>42259</v>
      </c>
      <c r="B2542" t="n">
        <v>2255000</v>
      </c>
      <c r="C2542" t="n">
        <v>264000</v>
      </c>
    </row>
    <row r="2543">
      <c r="A2543" s="79" t="n">
        <v>42266</v>
      </c>
      <c r="B2543" t="n">
        <v>2234000</v>
      </c>
      <c r="C2543" t="n">
        <v>269000</v>
      </c>
    </row>
    <row r="2544">
      <c r="A2544" s="79" t="n">
        <v>42273</v>
      </c>
      <c r="B2544" t="n">
        <v>2240000</v>
      </c>
      <c r="C2544" t="n">
        <v>272000</v>
      </c>
    </row>
    <row r="2545">
      <c r="A2545" s="79" t="n">
        <v>42280</v>
      </c>
      <c r="B2545" t="n">
        <v>2207000</v>
      </c>
      <c r="C2545" t="n">
        <v>267000</v>
      </c>
    </row>
    <row r="2546">
      <c r="A2546" s="79" t="n">
        <v>42287</v>
      </c>
      <c r="B2546" t="n">
        <v>2214000</v>
      </c>
      <c r="C2546" t="n">
        <v>265000</v>
      </c>
    </row>
    <row r="2547">
      <c r="A2547" s="79" t="n">
        <v>42294</v>
      </c>
      <c r="B2547" t="n">
        <v>2194000</v>
      </c>
      <c r="C2547" t="n">
        <v>264000</v>
      </c>
    </row>
    <row r="2548">
      <c r="A2548" s="79" t="n">
        <v>42301</v>
      </c>
      <c r="B2548" t="n">
        <v>2218000</v>
      </c>
      <c r="C2548" t="n">
        <v>264000</v>
      </c>
    </row>
    <row r="2549">
      <c r="A2549" s="79" t="n">
        <v>42308</v>
      </c>
      <c r="B2549" t="n">
        <v>2205000</v>
      </c>
      <c r="C2549" t="n">
        <v>275000</v>
      </c>
    </row>
    <row r="2550">
      <c r="A2550" s="79" t="n">
        <v>42315</v>
      </c>
      <c r="B2550" t="n">
        <v>2209000</v>
      </c>
      <c r="C2550" t="n">
        <v>276000</v>
      </c>
    </row>
    <row r="2551">
      <c r="A2551" s="79" t="n">
        <v>42322</v>
      </c>
      <c r="B2551" t="n">
        <v>2185000</v>
      </c>
      <c r="C2551" t="n">
        <v>272000</v>
      </c>
    </row>
    <row r="2552">
      <c r="A2552" s="79" t="n">
        <v>42329</v>
      </c>
      <c r="B2552" t="n">
        <v>2181000</v>
      </c>
      <c r="C2552" t="n">
        <v>261000</v>
      </c>
    </row>
    <row r="2553">
      <c r="A2553" s="79" t="n">
        <v>42336</v>
      </c>
      <c r="B2553" t="n">
        <v>2259000</v>
      </c>
      <c r="C2553" t="n">
        <v>265000</v>
      </c>
    </row>
    <row r="2554">
      <c r="A2554" s="79" t="n">
        <v>42343</v>
      </c>
      <c r="B2554" t="n">
        <v>2242000</v>
      </c>
      <c r="C2554" t="n">
        <v>280000</v>
      </c>
    </row>
    <row r="2555">
      <c r="A2555" s="79" t="n">
        <v>42350</v>
      </c>
      <c r="B2555" t="n">
        <v>2190000</v>
      </c>
      <c r="C2555" t="n">
        <v>268000</v>
      </c>
    </row>
    <row r="2556">
      <c r="A2556" s="79" t="n">
        <v>42357</v>
      </c>
      <c r="B2556" t="n">
        <v>2176000</v>
      </c>
      <c r="C2556" t="n">
        <v>260000</v>
      </c>
    </row>
    <row r="2557">
      <c r="A2557" s="79" t="n">
        <v>42364</v>
      </c>
      <c r="B2557" t="n">
        <v>2207000</v>
      </c>
      <c r="C2557" t="n">
        <v>276000</v>
      </c>
    </row>
    <row r="2558">
      <c r="A2558" s="79" t="n">
        <v>42371</v>
      </c>
      <c r="B2558" t="n">
        <v>2218000</v>
      </c>
      <c r="C2558" t="n">
        <v>273000</v>
      </c>
    </row>
    <row r="2559">
      <c r="A2559" s="79" t="n">
        <v>42378</v>
      </c>
      <c r="B2559" t="n">
        <v>2190000</v>
      </c>
      <c r="C2559" t="n">
        <v>284000</v>
      </c>
    </row>
    <row r="2560">
      <c r="A2560" s="79" t="n">
        <v>42385</v>
      </c>
      <c r="B2560" t="n">
        <v>2221000</v>
      </c>
      <c r="C2560" t="n">
        <v>290000</v>
      </c>
    </row>
    <row r="2561">
      <c r="A2561" s="79" t="n">
        <v>42392</v>
      </c>
      <c r="B2561" t="n">
        <v>2199000</v>
      </c>
      <c r="C2561" t="n">
        <v>269000</v>
      </c>
    </row>
    <row r="2562">
      <c r="A2562" s="79" t="n">
        <v>42399</v>
      </c>
      <c r="B2562" t="n">
        <v>2210000</v>
      </c>
      <c r="C2562" t="n">
        <v>282000</v>
      </c>
    </row>
    <row r="2563">
      <c r="A2563" s="79" t="n">
        <v>42406</v>
      </c>
      <c r="B2563" t="n">
        <v>2213000</v>
      </c>
      <c r="C2563" t="n">
        <v>266000</v>
      </c>
    </row>
    <row r="2564">
      <c r="A2564" s="79" t="n">
        <v>42413</v>
      </c>
      <c r="B2564" t="n">
        <v>2206000</v>
      </c>
      <c r="C2564" t="n">
        <v>262000</v>
      </c>
    </row>
    <row r="2565">
      <c r="A2565" s="79" t="n">
        <v>42420</v>
      </c>
      <c r="B2565" t="n">
        <v>2203000</v>
      </c>
      <c r="C2565" t="n">
        <v>270000</v>
      </c>
    </row>
    <row r="2566">
      <c r="A2566" s="79" t="n">
        <v>42427</v>
      </c>
      <c r="B2566" t="n">
        <v>2180000</v>
      </c>
      <c r="C2566" t="n">
        <v>269000</v>
      </c>
    </row>
    <row r="2567">
      <c r="A2567" s="79" t="n">
        <v>42434</v>
      </c>
      <c r="B2567" t="n">
        <v>2203000</v>
      </c>
      <c r="C2567" t="n">
        <v>255000</v>
      </c>
    </row>
    <row r="2568">
      <c r="A2568" s="79" t="n">
        <v>42441</v>
      </c>
      <c r="B2568" t="n">
        <v>2163000</v>
      </c>
      <c r="C2568" t="n">
        <v>263000</v>
      </c>
    </row>
    <row r="2569">
      <c r="A2569" s="79" t="n">
        <v>42448</v>
      </c>
      <c r="B2569" t="n">
        <v>2138000</v>
      </c>
      <c r="C2569" t="n">
        <v>264000</v>
      </c>
    </row>
    <row r="2570">
      <c r="A2570" s="79" t="n">
        <v>42455</v>
      </c>
      <c r="B2570" t="n">
        <v>2165000</v>
      </c>
      <c r="C2570" t="n">
        <v>271000</v>
      </c>
    </row>
    <row r="2571">
      <c r="A2571" s="79" t="n">
        <v>42462</v>
      </c>
      <c r="B2571" t="n">
        <v>2151000</v>
      </c>
      <c r="C2571" t="n">
        <v>273000</v>
      </c>
    </row>
    <row r="2572">
      <c r="A2572" s="79" t="n">
        <v>42469</v>
      </c>
      <c r="B2572" t="n">
        <v>2139000</v>
      </c>
      <c r="C2572" t="n">
        <v>263000</v>
      </c>
    </row>
    <row r="2573">
      <c r="A2573" s="79" t="n">
        <v>42476</v>
      </c>
      <c r="B2573" t="n">
        <v>2135000</v>
      </c>
      <c r="C2573" t="n">
        <v>257000</v>
      </c>
    </row>
    <row r="2574">
      <c r="A2574" s="79" t="n">
        <v>42483</v>
      </c>
      <c r="B2574" t="n">
        <v>2137000</v>
      </c>
      <c r="C2574" t="n">
        <v>259000</v>
      </c>
    </row>
    <row r="2575">
      <c r="A2575" s="79" t="n">
        <v>42490</v>
      </c>
      <c r="B2575" t="n">
        <v>2183000</v>
      </c>
      <c r="C2575" t="n">
        <v>278000</v>
      </c>
    </row>
    <row r="2576">
      <c r="A2576" s="79" t="n">
        <v>42497</v>
      </c>
      <c r="B2576" t="n">
        <v>2185000</v>
      </c>
      <c r="C2576" t="n">
        <v>289000</v>
      </c>
    </row>
    <row r="2577">
      <c r="A2577" s="79" t="n">
        <v>42504</v>
      </c>
      <c r="B2577" t="n">
        <v>2177000</v>
      </c>
      <c r="C2577" t="n">
        <v>279000</v>
      </c>
    </row>
    <row r="2578">
      <c r="A2578" s="79" t="n">
        <v>42511</v>
      </c>
      <c r="B2578" t="n">
        <v>2186000</v>
      </c>
      <c r="C2578" t="n">
        <v>267000</v>
      </c>
    </row>
    <row r="2579">
      <c r="A2579" s="79" t="n">
        <v>42518</v>
      </c>
      <c r="B2579" t="n">
        <v>2131000</v>
      </c>
      <c r="C2579" t="n">
        <v>263000</v>
      </c>
    </row>
    <row r="2580">
      <c r="A2580" s="79" t="n">
        <v>42525</v>
      </c>
      <c r="B2580" t="n">
        <v>2170000</v>
      </c>
      <c r="C2580" t="n">
        <v>265000</v>
      </c>
    </row>
    <row r="2581">
      <c r="A2581" s="79" t="n">
        <v>42532</v>
      </c>
      <c r="B2581" t="n">
        <v>2158000</v>
      </c>
      <c r="C2581" t="n">
        <v>273000</v>
      </c>
    </row>
    <row r="2582">
      <c r="A2582" s="79" t="n">
        <v>42539</v>
      </c>
      <c r="B2582" t="n">
        <v>2160000</v>
      </c>
      <c r="C2582" t="n">
        <v>261000</v>
      </c>
    </row>
    <row r="2583">
      <c r="A2583" s="79" t="n">
        <v>42546</v>
      </c>
      <c r="B2583" t="n">
        <v>2139000</v>
      </c>
      <c r="C2583" t="n">
        <v>262000</v>
      </c>
    </row>
    <row r="2584">
      <c r="A2584" s="79" t="n">
        <v>42553</v>
      </c>
      <c r="B2584" t="n">
        <v>2131000</v>
      </c>
      <c r="C2584" t="n">
        <v>255000</v>
      </c>
    </row>
    <row r="2585">
      <c r="A2585" s="79" t="n">
        <v>42560</v>
      </c>
      <c r="B2585" t="n">
        <v>2125000</v>
      </c>
      <c r="C2585" t="n">
        <v>252000</v>
      </c>
    </row>
    <row r="2586">
      <c r="A2586" s="79" t="n">
        <v>42567</v>
      </c>
      <c r="B2586" t="n">
        <v>2140000</v>
      </c>
      <c r="C2586" t="n">
        <v>260000</v>
      </c>
    </row>
    <row r="2587">
      <c r="A2587" s="79" t="n">
        <v>42574</v>
      </c>
      <c r="B2587" t="n">
        <v>2134000</v>
      </c>
      <c r="C2587" t="n">
        <v>264000</v>
      </c>
    </row>
    <row r="2588">
      <c r="A2588" s="79" t="n">
        <v>42581</v>
      </c>
      <c r="B2588" t="n">
        <v>2143000</v>
      </c>
      <c r="C2588" t="n">
        <v>266000</v>
      </c>
    </row>
    <row r="2589">
      <c r="A2589" s="79" t="n">
        <v>42588</v>
      </c>
      <c r="B2589" t="n">
        <v>2157000</v>
      </c>
      <c r="C2589" t="n">
        <v>265000</v>
      </c>
    </row>
    <row r="2590">
      <c r="A2590" s="79" t="n">
        <v>42595</v>
      </c>
      <c r="B2590" t="n">
        <v>2137000</v>
      </c>
      <c r="C2590" t="n">
        <v>264000</v>
      </c>
    </row>
    <row r="2591">
      <c r="A2591" s="79" t="n">
        <v>42602</v>
      </c>
      <c r="B2591" t="n">
        <v>2148000</v>
      </c>
      <c r="C2591" t="n">
        <v>264000</v>
      </c>
    </row>
    <row r="2592">
      <c r="A2592" s="79" t="n">
        <v>42609</v>
      </c>
      <c r="B2592" t="n">
        <v>2138000</v>
      </c>
      <c r="C2592" t="n">
        <v>261000</v>
      </c>
    </row>
    <row r="2593">
      <c r="A2593" s="79" t="n">
        <v>42616</v>
      </c>
      <c r="B2593" t="n">
        <v>2149000</v>
      </c>
      <c r="C2593" t="n">
        <v>257000</v>
      </c>
    </row>
    <row r="2594">
      <c r="A2594" s="79" t="n">
        <v>42623</v>
      </c>
      <c r="B2594" t="n">
        <v>2110000</v>
      </c>
      <c r="C2594" t="n">
        <v>252000</v>
      </c>
    </row>
    <row r="2595">
      <c r="A2595" s="79" t="n">
        <v>42630</v>
      </c>
      <c r="B2595" t="n">
        <v>2098000</v>
      </c>
      <c r="C2595" t="n">
        <v>250000</v>
      </c>
    </row>
    <row r="2596">
      <c r="A2596" s="79" t="n">
        <v>42637</v>
      </c>
      <c r="B2596" t="n">
        <v>2081000</v>
      </c>
      <c r="C2596" t="n">
        <v>247000</v>
      </c>
    </row>
    <row r="2597">
      <c r="A2597" s="79" t="n">
        <v>42644</v>
      </c>
      <c r="B2597" t="n">
        <v>2080000</v>
      </c>
      <c r="C2597" t="n">
        <v>245000</v>
      </c>
    </row>
    <row r="2598">
      <c r="A2598" s="79" t="n">
        <v>42651</v>
      </c>
      <c r="B2598" t="n">
        <v>2081000</v>
      </c>
      <c r="C2598" t="n">
        <v>250000</v>
      </c>
    </row>
    <row r="2599">
      <c r="A2599" s="79" t="n">
        <v>42658</v>
      </c>
      <c r="B2599" t="n">
        <v>2069000</v>
      </c>
      <c r="C2599" t="n">
        <v>263000</v>
      </c>
    </row>
    <row r="2600">
      <c r="A2600" s="79" t="n">
        <v>42665</v>
      </c>
      <c r="B2600" t="n">
        <v>2066000</v>
      </c>
      <c r="C2600" t="n">
        <v>256000</v>
      </c>
    </row>
    <row r="2601">
      <c r="A2601" s="79" t="n">
        <v>42672</v>
      </c>
      <c r="B2601" t="n">
        <v>2067000</v>
      </c>
      <c r="C2601" t="n">
        <v>265000</v>
      </c>
    </row>
    <row r="2602">
      <c r="A2602" s="79" t="n">
        <v>42679</v>
      </c>
      <c r="B2602" t="n">
        <v>2046000</v>
      </c>
      <c r="C2602" t="n">
        <v>250000</v>
      </c>
    </row>
    <row r="2603">
      <c r="A2603" s="79" t="n">
        <v>42686</v>
      </c>
      <c r="B2603" t="n">
        <v>2045000</v>
      </c>
      <c r="C2603" t="n">
        <v>232000</v>
      </c>
    </row>
    <row r="2604">
      <c r="A2604" s="79" t="n">
        <v>42693</v>
      </c>
      <c r="B2604" t="n">
        <v>2050000</v>
      </c>
      <c r="C2604" t="n">
        <v>246000</v>
      </c>
    </row>
    <row r="2605">
      <c r="A2605" s="79" t="n">
        <v>42700</v>
      </c>
      <c r="B2605" t="n">
        <v>2038000</v>
      </c>
      <c r="C2605" t="n">
        <v>255000</v>
      </c>
    </row>
    <row r="2606">
      <c r="A2606" s="79" t="n">
        <v>42707</v>
      </c>
      <c r="B2606" t="n">
        <v>2029000</v>
      </c>
      <c r="C2606" t="n">
        <v>248000</v>
      </c>
    </row>
    <row r="2607">
      <c r="A2607" s="79" t="n">
        <v>42714</v>
      </c>
      <c r="B2607" t="n">
        <v>2030000</v>
      </c>
      <c r="C2607" t="n">
        <v>252000</v>
      </c>
    </row>
    <row r="2608">
      <c r="A2608" s="79" t="n">
        <v>42721</v>
      </c>
      <c r="B2608" t="n">
        <v>2078000</v>
      </c>
      <c r="C2608" t="n">
        <v>260000</v>
      </c>
    </row>
    <row r="2609">
      <c r="A2609" s="79" t="n">
        <v>42728</v>
      </c>
      <c r="B2609" t="n">
        <v>2077000</v>
      </c>
      <c r="C2609" t="n">
        <v>257000</v>
      </c>
    </row>
    <row r="2610">
      <c r="A2610" s="79" t="n">
        <v>42735</v>
      </c>
      <c r="B2610" t="n">
        <v>2028000</v>
      </c>
      <c r="C2610" t="n">
        <v>244000</v>
      </c>
    </row>
    <row r="2611">
      <c r="A2611" s="79" t="n">
        <v>42742</v>
      </c>
      <c r="B2611" t="n">
        <v>2020000</v>
      </c>
      <c r="C2611" t="n">
        <v>243000</v>
      </c>
    </row>
    <row r="2612">
      <c r="A2612" s="79" t="n">
        <v>42749</v>
      </c>
      <c r="B2612" t="n">
        <v>2060000</v>
      </c>
      <c r="C2612" t="n">
        <v>244000</v>
      </c>
    </row>
    <row r="2613">
      <c r="A2613" s="79" t="n">
        <v>42756</v>
      </c>
      <c r="B2613" t="n">
        <v>2030000</v>
      </c>
      <c r="C2613" t="n">
        <v>254000</v>
      </c>
    </row>
    <row r="2614">
      <c r="A2614" s="79" t="n">
        <v>42763</v>
      </c>
      <c r="B2614" t="n">
        <v>2045000</v>
      </c>
      <c r="C2614" t="n">
        <v>245000</v>
      </c>
    </row>
    <row r="2615">
      <c r="A2615" s="79" t="n">
        <v>42770</v>
      </c>
      <c r="B2615" t="n">
        <v>2030000</v>
      </c>
      <c r="C2615" t="n">
        <v>237000</v>
      </c>
    </row>
    <row r="2616">
      <c r="A2616" s="79" t="n">
        <v>42777</v>
      </c>
      <c r="B2616" t="n">
        <v>2049000</v>
      </c>
      <c r="C2616" t="n">
        <v>243000</v>
      </c>
    </row>
    <row r="2617">
      <c r="A2617" s="79" t="n">
        <v>42784</v>
      </c>
      <c r="B2617" t="n">
        <v>2009000</v>
      </c>
      <c r="C2617" t="n">
        <v>248000</v>
      </c>
    </row>
    <row r="2618">
      <c r="A2618" s="79" t="n">
        <v>42791</v>
      </c>
      <c r="B2618" t="n">
        <v>2040000</v>
      </c>
      <c r="C2618" t="n">
        <v>231000</v>
      </c>
    </row>
    <row r="2619">
      <c r="A2619" s="79" t="n">
        <v>42798</v>
      </c>
      <c r="B2619" t="n">
        <v>2005000</v>
      </c>
      <c r="C2619" t="n">
        <v>246000</v>
      </c>
    </row>
    <row r="2620">
      <c r="A2620" s="79" t="n">
        <v>42805</v>
      </c>
      <c r="B2620" t="n">
        <v>1984000</v>
      </c>
      <c r="C2620" t="n">
        <v>244000</v>
      </c>
    </row>
    <row r="2621">
      <c r="A2621" s="79" t="n">
        <v>42812</v>
      </c>
      <c r="B2621" t="n">
        <v>1993000</v>
      </c>
      <c r="C2621" t="n">
        <v>255000</v>
      </c>
    </row>
    <row r="2622">
      <c r="A2622" s="79" t="n">
        <v>42819</v>
      </c>
      <c r="B2622" t="n">
        <v>2011000</v>
      </c>
      <c r="C2622" t="n">
        <v>256000</v>
      </c>
    </row>
    <row r="2623">
      <c r="A2623" s="79" t="n">
        <v>42826</v>
      </c>
      <c r="B2623" t="n">
        <v>1982000</v>
      </c>
      <c r="C2623" t="n">
        <v>237000</v>
      </c>
    </row>
    <row r="2624">
      <c r="A2624" s="79" t="n">
        <v>42833</v>
      </c>
      <c r="B2624" t="n">
        <v>1970000</v>
      </c>
      <c r="C2624" t="n">
        <v>238000</v>
      </c>
    </row>
    <row r="2625">
      <c r="A2625" s="79" t="n">
        <v>42840</v>
      </c>
      <c r="B2625" t="n">
        <v>1973000</v>
      </c>
      <c r="C2625" t="n">
        <v>242000</v>
      </c>
    </row>
    <row r="2626">
      <c r="A2626" s="79" t="n">
        <v>42847</v>
      </c>
      <c r="B2626" t="n">
        <v>1984000</v>
      </c>
      <c r="C2626" t="n">
        <v>252000</v>
      </c>
    </row>
    <row r="2627">
      <c r="A2627" s="79" t="n">
        <v>42854</v>
      </c>
      <c r="B2627" t="n">
        <v>1925000</v>
      </c>
      <c r="C2627" t="n">
        <v>241000</v>
      </c>
    </row>
    <row r="2628">
      <c r="A2628" s="79" t="n">
        <v>42861</v>
      </c>
      <c r="B2628" t="n">
        <v>1935000</v>
      </c>
      <c r="C2628" t="n">
        <v>237000</v>
      </c>
    </row>
    <row r="2629">
      <c r="A2629" s="79" t="n">
        <v>42868</v>
      </c>
      <c r="B2629" t="n">
        <v>1935000</v>
      </c>
      <c r="C2629" t="n">
        <v>237000</v>
      </c>
    </row>
    <row r="2630">
      <c r="A2630" s="79" t="n">
        <v>42875</v>
      </c>
      <c r="B2630" t="n">
        <v>1944000</v>
      </c>
      <c r="C2630" t="n">
        <v>234000</v>
      </c>
    </row>
    <row r="2631">
      <c r="A2631" s="79" t="n">
        <v>42882</v>
      </c>
      <c r="B2631" t="n">
        <v>1935000</v>
      </c>
      <c r="C2631" t="n">
        <v>251000</v>
      </c>
    </row>
    <row r="2632">
      <c r="A2632" s="79" t="n">
        <v>42889</v>
      </c>
      <c r="B2632" t="n">
        <v>1955000</v>
      </c>
      <c r="C2632" t="n">
        <v>244000</v>
      </c>
    </row>
    <row r="2633">
      <c r="A2633" s="79" t="n">
        <v>42896</v>
      </c>
      <c r="B2633" t="n">
        <v>1953000</v>
      </c>
      <c r="C2633" t="n">
        <v>237000</v>
      </c>
    </row>
    <row r="2634">
      <c r="A2634" s="79" t="n">
        <v>42903</v>
      </c>
      <c r="B2634" t="n">
        <v>1956000</v>
      </c>
      <c r="C2634" t="n">
        <v>243000</v>
      </c>
    </row>
    <row r="2635">
      <c r="A2635" s="79" t="n">
        <v>42910</v>
      </c>
      <c r="B2635" t="n">
        <v>1966000</v>
      </c>
      <c r="C2635" t="n">
        <v>237000</v>
      </c>
    </row>
    <row r="2636">
      <c r="A2636" s="79" t="n">
        <v>42917</v>
      </c>
      <c r="B2636" t="n">
        <v>1941000</v>
      </c>
      <c r="C2636" t="n">
        <v>247000</v>
      </c>
    </row>
    <row r="2637">
      <c r="A2637" s="79" t="n">
        <v>42924</v>
      </c>
      <c r="B2637" t="n">
        <v>1965000</v>
      </c>
      <c r="C2637" t="n">
        <v>243000</v>
      </c>
    </row>
    <row r="2638">
      <c r="A2638" s="79" t="n">
        <v>42931</v>
      </c>
      <c r="B2638" t="n">
        <v>1964000</v>
      </c>
      <c r="C2638" t="n">
        <v>241000</v>
      </c>
    </row>
    <row r="2639">
      <c r="A2639" s="79" t="n">
        <v>42938</v>
      </c>
      <c r="B2639" t="n">
        <v>1961000</v>
      </c>
      <c r="C2639" t="n">
        <v>245000</v>
      </c>
    </row>
    <row r="2640">
      <c r="A2640" s="79" t="n">
        <v>42945</v>
      </c>
      <c r="B2640" t="n">
        <v>1946000</v>
      </c>
      <c r="C2640" t="n">
        <v>242000</v>
      </c>
    </row>
    <row r="2641">
      <c r="A2641" s="79" t="n">
        <v>42952</v>
      </c>
      <c r="B2641" t="n">
        <v>1948000</v>
      </c>
      <c r="C2641" t="n">
        <v>245000</v>
      </c>
    </row>
    <row r="2642">
      <c r="A2642" s="79" t="n">
        <v>42959</v>
      </c>
      <c r="B2642" t="n">
        <v>1952000</v>
      </c>
      <c r="C2642" t="n">
        <v>236000</v>
      </c>
    </row>
    <row r="2643">
      <c r="A2643" s="79" t="n">
        <v>42966</v>
      </c>
      <c r="B2643" t="n">
        <v>1949000</v>
      </c>
      <c r="C2643" t="n">
        <v>240000</v>
      </c>
    </row>
    <row r="2644">
      <c r="A2644" s="79" t="n">
        <v>42973</v>
      </c>
      <c r="B2644" t="n">
        <v>1951000</v>
      </c>
      <c r="C2644" t="n">
        <v>238000</v>
      </c>
    </row>
    <row r="2645">
      <c r="A2645" s="79" t="n">
        <v>42980</v>
      </c>
      <c r="B2645" t="n">
        <v>1951000</v>
      </c>
      <c r="C2645" t="n">
        <v>298000</v>
      </c>
    </row>
    <row r="2646">
      <c r="A2646" s="79" t="n">
        <v>42987</v>
      </c>
      <c r="B2646" t="n">
        <v>1990000</v>
      </c>
      <c r="C2646" t="n">
        <v>274000</v>
      </c>
    </row>
    <row r="2647">
      <c r="A2647" s="79" t="n">
        <v>42994</v>
      </c>
      <c r="B2647" t="n">
        <v>1941000</v>
      </c>
      <c r="C2647" t="n">
        <v>259000</v>
      </c>
    </row>
    <row r="2648">
      <c r="A2648" s="79" t="n">
        <v>43001</v>
      </c>
      <c r="B2648" t="n">
        <v>1932000</v>
      </c>
      <c r="C2648" t="n">
        <v>262000</v>
      </c>
    </row>
    <row r="2649">
      <c r="A2649" s="79" t="n">
        <v>43008</v>
      </c>
      <c r="B2649" t="n">
        <v>1928000</v>
      </c>
      <c r="C2649" t="n">
        <v>254000</v>
      </c>
    </row>
    <row r="2650">
      <c r="A2650" s="79" t="n">
        <v>43015</v>
      </c>
      <c r="B2650" t="n">
        <v>1922000</v>
      </c>
      <c r="C2650" t="n">
        <v>245000</v>
      </c>
    </row>
    <row r="2651">
      <c r="A2651" s="79" t="n">
        <v>43022</v>
      </c>
      <c r="B2651" t="n">
        <v>1923000</v>
      </c>
      <c r="C2651" t="n">
        <v>230000</v>
      </c>
    </row>
    <row r="2652">
      <c r="A2652" s="79" t="n">
        <v>43029</v>
      </c>
      <c r="B2652" t="n">
        <v>1917000</v>
      </c>
      <c r="C2652" t="n">
        <v>235000</v>
      </c>
    </row>
    <row r="2653">
      <c r="A2653" s="79" t="n">
        <v>43036</v>
      </c>
      <c r="B2653" t="n">
        <v>1927000</v>
      </c>
      <c r="C2653" t="n">
        <v>235000</v>
      </c>
    </row>
    <row r="2654">
      <c r="A2654" s="79" t="n">
        <v>43043</v>
      </c>
      <c r="B2654" t="n">
        <v>1926000</v>
      </c>
      <c r="C2654" t="n">
        <v>239000</v>
      </c>
    </row>
    <row r="2655">
      <c r="A2655" s="79" t="n">
        <v>43050</v>
      </c>
      <c r="B2655" t="n">
        <v>1914000</v>
      </c>
      <c r="C2655" t="n">
        <v>247000</v>
      </c>
    </row>
    <row r="2656">
      <c r="A2656" s="79" t="n">
        <v>43057</v>
      </c>
      <c r="B2656" t="n">
        <v>1922000</v>
      </c>
      <c r="C2656" t="n">
        <v>235000</v>
      </c>
    </row>
    <row r="2657">
      <c r="A2657" s="79" t="n">
        <v>43064</v>
      </c>
      <c r="B2657" t="n">
        <v>1940000</v>
      </c>
      <c r="C2657" t="n">
        <v>233000</v>
      </c>
    </row>
    <row r="2658">
      <c r="A2658" s="79" t="n">
        <v>43071</v>
      </c>
      <c r="B2658" t="n">
        <v>1892000</v>
      </c>
      <c r="C2658" t="n">
        <v>230000</v>
      </c>
    </row>
    <row r="2659">
      <c r="A2659" s="79" t="n">
        <v>43078</v>
      </c>
      <c r="B2659" t="n">
        <v>1926000</v>
      </c>
      <c r="C2659" t="n">
        <v>226000</v>
      </c>
    </row>
    <row r="2660">
      <c r="A2660" s="79" t="n">
        <v>43085</v>
      </c>
      <c r="B2660" t="n">
        <v>1928000</v>
      </c>
      <c r="C2660" t="n">
        <v>239000</v>
      </c>
    </row>
    <row r="2661">
      <c r="A2661" s="79" t="n">
        <v>43092</v>
      </c>
      <c r="B2661" t="n">
        <v>1908000</v>
      </c>
      <c r="C2661" t="n">
        <v>243000</v>
      </c>
    </row>
    <row r="2662">
      <c r="A2662" s="79" t="n">
        <v>43099</v>
      </c>
      <c r="B2662" t="n">
        <v>1862000</v>
      </c>
      <c r="C2662" t="n">
        <v>241000</v>
      </c>
    </row>
    <row r="2663">
      <c r="A2663" s="79" t="n">
        <v>43106</v>
      </c>
      <c r="B2663" t="n">
        <v>1919000</v>
      </c>
      <c r="C2663" t="n">
        <v>249000</v>
      </c>
    </row>
    <row r="2664">
      <c r="A2664" s="79" t="n">
        <v>43113</v>
      </c>
      <c r="B2664" t="n">
        <v>1908000</v>
      </c>
      <c r="C2664" t="n">
        <v>228000</v>
      </c>
    </row>
    <row r="2665">
      <c r="A2665" s="79" t="n">
        <v>43120</v>
      </c>
      <c r="B2665" t="n">
        <v>1921000</v>
      </c>
      <c r="C2665" t="n">
        <v>233000</v>
      </c>
    </row>
    <row r="2666">
      <c r="A2666" s="79" t="n">
        <v>43127</v>
      </c>
      <c r="B2666" t="n">
        <v>1899000</v>
      </c>
      <c r="C2666" t="n">
        <v>227000</v>
      </c>
    </row>
    <row r="2667">
      <c r="A2667" s="79" t="n">
        <v>43134</v>
      </c>
      <c r="B2667" t="n">
        <v>1900000</v>
      </c>
      <c r="C2667" t="n">
        <v>224000</v>
      </c>
    </row>
    <row r="2668">
      <c r="A2668" s="79" t="n">
        <v>43141</v>
      </c>
      <c r="B2668" t="n">
        <v>1865000</v>
      </c>
      <c r="C2668" t="n">
        <v>227000</v>
      </c>
    </row>
    <row r="2669">
      <c r="A2669" s="79" t="n">
        <v>43148</v>
      </c>
      <c r="B2669" t="n">
        <v>1879000</v>
      </c>
      <c r="C2669" t="n">
        <v>220000</v>
      </c>
    </row>
    <row r="2670">
      <c r="A2670" s="79" t="n">
        <v>43155</v>
      </c>
      <c r="B2670" t="n">
        <v>1854000</v>
      </c>
      <c r="C2670" t="n">
        <v>215000</v>
      </c>
    </row>
    <row r="2671">
      <c r="A2671" s="79" t="n">
        <v>43162</v>
      </c>
      <c r="B2671" t="n">
        <v>1853000</v>
      </c>
      <c r="C2671" t="n">
        <v>226000</v>
      </c>
    </row>
    <row r="2672">
      <c r="A2672" s="79" t="n">
        <v>43169</v>
      </c>
      <c r="B2672" t="n">
        <v>1833000</v>
      </c>
      <c r="C2672" t="n">
        <v>223000</v>
      </c>
    </row>
    <row r="2673">
      <c r="A2673" s="79" t="n">
        <v>43176</v>
      </c>
      <c r="B2673" t="n">
        <v>1821000</v>
      </c>
      <c r="C2673" t="n">
        <v>224000</v>
      </c>
    </row>
    <row r="2674">
      <c r="A2674" s="79" t="n">
        <v>43183</v>
      </c>
      <c r="B2674" t="n">
        <v>1805000</v>
      </c>
      <c r="C2674" t="n">
        <v>220000</v>
      </c>
    </row>
    <row r="2675">
      <c r="A2675" s="79" t="n">
        <v>43190</v>
      </c>
      <c r="B2675" t="n">
        <v>1835000</v>
      </c>
      <c r="C2675" t="n">
        <v>235000</v>
      </c>
    </row>
    <row r="2676">
      <c r="A2676" s="79" t="n">
        <v>43197</v>
      </c>
      <c r="B2676" t="n">
        <v>1856000</v>
      </c>
      <c r="C2676" t="n">
        <v>235000</v>
      </c>
    </row>
    <row r="2677">
      <c r="A2677" s="79" t="n">
        <v>43204</v>
      </c>
      <c r="B2677" t="n">
        <v>1815000</v>
      </c>
      <c r="C2677" t="n">
        <v>235000</v>
      </c>
    </row>
    <row r="2678">
      <c r="A2678" s="79" t="n">
        <v>43211</v>
      </c>
      <c r="B2678" t="n">
        <v>1769000</v>
      </c>
      <c r="C2678" t="n">
        <v>208000</v>
      </c>
    </row>
    <row r="2679">
      <c r="A2679" s="79" t="n">
        <v>43218</v>
      </c>
      <c r="B2679" t="n">
        <v>1780000</v>
      </c>
      <c r="C2679" t="n">
        <v>212000</v>
      </c>
    </row>
    <row r="2680">
      <c r="A2680" s="79" t="n">
        <v>43225</v>
      </c>
      <c r="B2680" t="n">
        <v>1734000</v>
      </c>
      <c r="C2680" t="n">
        <v>210000</v>
      </c>
    </row>
    <row r="2681">
      <c r="A2681" s="79" t="n">
        <v>43232</v>
      </c>
      <c r="B2681" t="n">
        <v>1742000</v>
      </c>
      <c r="C2681" t="n">
        <v>224000</v>
      </c>
    </row>
    <row r="2682">
      <c r="A2682" s="79" t="n">
        <v>43239</v>
      </c>
      <c r="B2682" t="n">
        <v>1739000</v>
      </c>
      <c r="C2682" t="n">
        <v>230000</v>
      </c>
    </row>
    <row r="2683">
      <c r="A2683" s="79" t="n">
        <v>43246</v>
      </c>
      <c r="B2683" t="n">
        <v>1742000</v>
      </c>
      <c r="C2683" t="n">
        <v>221000</v>
      </c>
    </row>
    <row r="2684">
      <c r="A2684" s="79" t="n">
        <v>43253</v>
      </c>
      <c r="B2684" t="n">
        <v>1714000</v>
      </c>
      <c r="C2684" t="n">
        <v>221000</v>
      </c>
    </row>
    <row r="2685">
      <c r="A2685" s="79" t="n">
        <v>43260</v>
      </c>
      <c r="B2685" t="n">
        <v>1736000</v>
      </c>
      <c r="C2685" t="n">
        <v>218000</v>
      </c>
    </row>
    <row r="2686">
      <c r="A2686" s="79" t="n">
        <v>43267</v>
      </c>
      <c r="B2686" t="n">
        <v>1716000</v>
      </c>
      <c r="C2686" t="n">
        <v>220000</v>
      </c>
    </row>
    <row r="2687">
      <c r="A2687" s="79" t="n">
        <v>43274</v>
      </c>
      <c r="B2687" t="n">
        <v>1740000</v>
      </c>
      <c r="C2687" t="n">
        <v>220000</v>
      </c>
    </row>
    <row r="2688">
      <c r="A2688" s="79" t="n">
        <v>43281</v>
      </c>
      <c r="B2688" t="n">
        <v>1734000</v>
      </c>
      <c r="C2688" t="n">
        <v>229000</v>
      </c>
    </row>
    <row r="2689">
      <c r="A2689" s="79" t="n">
        <v>43288</v>
      </c>
      <c r="B2689" t="n">
        <v>1750000</v>
      </c>
      <c r="C2689" t="n">
        <v>229000</v>
      </c>
    </row>
    <row r="2690">
      <c r="A2690" s="79" t="n">
        <v>43295</v>
      </c>
      <c r="B2690" t="n">
        <v>1747000</v>
      </c>
      <c r="C2690" t="n">
        <v>212000</v>
      </c>
    </row>
    <row r="2691">
      <c r="A2691" s="79" t="n">
        <v>43302</v>
      </c>
      <c r="B2691" t="n">
        <v>1726000</v>
      </c>
      <c r="C2691" t="n">
        <v>220000</v>
      </c>
    </row>
    <row r="2692">
      <c r="A2692" s="79" t="n">
        <v>43309</v>
      </c>
      <c r="B2692" t="n">
        <v>1753000</v>
      </c>
      <c r="C2692" t="n">
        <v>218000</v>
      </c>
    </row>
    <row r="2693">
      <c r="A2693" s="79" t="n">
        <v>43316</v>
      </c>
      <c r="B2693" t="n">
        <v>1722000</v>
      </c>
      <c r="C2693" t="n">
        <v>217000</v>
      </c>
    </row>
    <row r="2694">
      <c r="A2694" s="79" t="n">
        <v>43323</v>
      </c>
      <c r="B2694" t="n">
        <v>1729000</v>
      </c>
      <c r="C2694" t="n">
        <v>212000</v>
      </c>
    </row>
    <row r="2695">
      <c r="A2695" s="79" t="n">
        <v>43330</v>
      </c>
      <c r="B2695" t="n">
        <v>1713000</v>
      </c>
      <c r="C2695" t="n">
        <v>215000</v>
      </c>
    </row>
    <row r="2696">
      <c r="A2696" s="79" t="n">
        <v>43337</v>
      </c>
      <c r="B2696" t="n">
        <v>1717000</v>
      </c>
      <c r="C2696" t="n">
        <v>214000</v>
      </c>
    </row>
    <row r="2697">
      <c r="A2697" s="79" t="n">
        <v>43344</v>
      </c>
      <c r="B2697" t="n">
        <v>1710000</v>
      </c>
      <c r="C2697" t="n">
        <v>209000</v>
      </c>
    </row>
    <row r="2698">
      <c r="A2698" s="79" t="n">
        <v>43351</v>
      </c>
      <c r="B2698" t="n">
        <v>1670000</v>
      </c>
      <c r="C2698" t="n">
        <v>210000</v>
      </c>
    </row>
    <row r="2699">
      <c r="A2699" s="79" t="n">
        <v>43358</v>
      </c>
      <c r="B2699" t="n">
        <v>1690000</v>
      </c>
      <c r="C2699" t="n">
        <v>212000</v>
      </c>
    </row>
    <row r="2700">
      <c r="A2700" s="79" t="n">
        <v>43365</v>
      </c>
      <c r="B2700" t="n">
        <v>1675000</v>
      </c>
      <c r="C2700" t="n">
        <v>212000</v>
      </c>
    </row>
    <row r="2701">
      <c r="A2701" s="79" t="n">
        <v>43372</v>
      </c>
      <c r="B2701" t="n">
        <v>1670000</v>
      </c>
      <c r="C2701" t="n">
        <v>216000</v>
      </c>
    </row>
    <row r="2702">
      <c r="A2702" s="79" t="n">
        <v>43379</v>
      </c>
      <c r="B2702" t="n">
        <v>1664000</v>
      </c>
      <c r="C2702" t="n">
        <v>212000</v>
      </c>
    </row>
    <row r="2703">
      <c r="A2703" s="79" t="n">
        <v>43386</v>
      </c>
      <c r="B2703" t="n">
        <v>1656000</v>
      </c>
      <c r="C2703" t="n">
        <v>212000</v>
      </c>
    </row>
    <row r="2704">
      <c r="A2704" s="79" t="n">
        <v>43393</v>
      </c>
      <c r="B2704" t="n">
        <v>1657000</v>
      </c>
      <c r="C2704" t="n">
        <v>219000</v>
      </c>
    </row>
    <row r="2705">
      <c r="A2705" s="79" t="n">
        <v>43400</v>
      </c>
      <c r="B2705" t="n">
        <v>1651000</v>
      </c>
      <c r="C2705" t="n">
        <v>216000</v>
      </c>
    </row>
    <row r="2706">
      <c r="A2706" s="79" t="n">
        <v>43407</v>
      </c>
      <c r="B2706" t="n">
        <v>1663000</v>
      </c>
      <c r="C2706" t="n">
        <v>216000</v>
      </c>
    </row>
    <row r="2707">
      <c r="A2707" s="79" t="n">
        <v>43414</v>
      </c>
      <c r="B2707" t="n">
        <v>1671000</v>
      </c>
      <c r="C2707" t="n">
        <v>217000</v>
      </c>
    </row>
    <row r="2708">
      <c r="A2708" s="79" t="n">
        <v>43421</v>
      </c>
      <c r="B2708" t="n">
        <v>1726000</v>
      </c>
      <c r="C2708" t="n">
        <v>220000</v>
      </c>
    </row>
    <row r="2709">
      <c r="A2709" s="79" t="n">
        <v>43428</v>
      </c>
      <c r="B2709" t="n">
        <v>1664000</v>
      </c>
      <c r="C2709" t="n">
        <v>230000</v>
      </c>
    </row>
    <row r="2710">
      <c r="A2710" s="79" t="n">
        <v>43435</v>
      </c>
      <c r="B2710" t="n">
        <v>1663000</v>
      </c>
      <c r="C2710" t="n">
        <v>225000</v>
      </c>
    </row>
    <row r="2711">
      <c r="A2711" s="79" t="n">
        <v>43442</v>
      </c>
      <c r="B2711" t="n">
        <v>1703000</v>
      </c>
      <c r="C2711" t="n">
        <v>203000</v>
      </c>
    </row>
    <row r="2712">
      <c r="A2712" s="79" t="n">
        <v>43449</v>
      </c>
      <c r="B2712" t="n">
        <v>1697000</v>
      </c>
      <c r="C2712" t="n">
        <v>214000</v>
      </c>
    </row>
    <row r="2713">
      <c r="A2713" s="79" t="n">
        <v>43456</v>
      </c>
      <c r="B2713" t="n">
        <v>1723000</v>
      </c>
      <c r="C2713" t="n">
        <v>220000</v>
      </c>
    </row>
    <row r="2714">
      <c r="A2714" s="79" t="n">
        <v>43463</v>
      </c>
      <c r="B2714" t="n">
        <v>1697000</v>
      </c>
      <c r="C2714" t="n">
        <v>226000</v>
      </c>
    </row>
    <row r="2715">
      <c r="A2715" s="79" t="n">
        <v>43470</v>
      </c>
      <c r="B2715" t="n">
        <v>1713000</v>
      </c>
      <c r="C2715" t="n">
        <v>218000</v>
      </c>
    </row>
    <row r="2716">
      <c r="A2716" s="79" t="n">
        <v>43477</v>
      </c>
      <c r="B2716" t="n">
        <v>1709000</v>
      </c>
      <c r="C2716" t="n">
        <v>215000</v>
      </c>
    </row>
    <row r="2717">
      <c r="A2717" s="79" t="n">
        <v>43484</v>
      </c>
      <c r="B2717" t="n">
        <v>1740000</v>
      </c>
      <c r="C2717" t="n">
        <v>211000</v>
      </c>
    </row>
    <row r="2718">
      <c r="A2718" s="79" t="n">
        <v>43491</v>
      </c>
      <c r="B2718" t="n">
        <v>1717000</v>
      </c>
      <c r="C2718" t="n">
        <v>236000</v>
      </c>
    </row>
    <row r="2719">
      <c r="A2719" s="79" t="n">
        <v>43498</v>
      </c>
      <c r="B2719" t="n">
        <v>1743000</v>
      </c>
      <c r="C2719" t="n">
        <v>233000</v>
      </c>
    </row>
    <row r="2720">
      <c r="A2720" s="79" t="n">
        <v>43505</v>
      </c>
      <c r="B2720" t="n">
        <v>1723000</v>
      </c>
      <c r="C2720" t="n">
        <v>232000</v>
      </c>
    </row>
    <row r="2721">
      <c r="A2721" s="79" t="n">
        <v>43512</v>
      </c>
      <c r="B2721" t="n">
        <v>1758000</v>
      </c>
      <c r="C2721" t="n">
        <v>218000</v>
      </c>
    </row>
    <row r="2722">
      <c r="A2722" s="79" t="n">
        <v>43519</v>
      </c>
      <c r="B2722" t="n">
        <v>1747000</v>
      </c>
      <c r="C2722" t="n">
        <v>223000</v>
      </c>
    </row>
    <row r="2723">
      <c r="A2723" s="79" t="n">
        <v>43526</v>
      </c>
      <c r="B2723" t="n">
        <v>1748000</v>
      </c>
      <c r="C2723" t="n">
        <v>220000</v>
      </c>
    </row>
    <row r="2724">
      <c r="A2724" s="79" t="n">
        <v>43533</v>
      </c>
      <c r="B2724" t="n">
        <v>1745000</v>
      </c>
      <c r="C2724" t="n">
        <v>225000</v>
      </c>
    </row>
    <row r="2725">
      <c r="A2725" s="79" t="n">
        <v>43540</v>
      </c>
      <c r="B2725" t="n">
        <v>1719000</v>
      </c>
      <c r="C2725" t="n">
        <v>218000</v>
      </c>
    </row>
    <row r="2726">
      <c r="A2726" s="79" t="n">
        <v>43547</v>
      </c>
      <c r="B2726" t="n">
        <v>1710000</v>
      </c>
      <c r="C2726" t="n">
        <v>215000</v>
      </c>
    </row>
    <row r="2727">
      <c r="A2727" s="79" t="n">
        <v>43554</v>
      </c>
      <c r="B2727" t="n">
        <v>1692000</v>
      </c>
      <c r="C2727" t="n">
        <v>211000</v>
      </c>
    </row>
    <row r="2728">
      <c r="A2728" s="79" t="n">
        <v>43561</v>
      </c>
      <c r="B2728" t="n">
        <v>1659000</v>
      </c>
      <c r="C2728" t="n">
        <v>203000</v>
      </c>
    </row>
    <row r="2729">
      <c r="A2729" s="79" t="n">
        <v>43568</v>
      </c>
      <c r="B2729" t="n">
        <v>1649000</v>
      </c>
      <c r="C2729" t="n">
        <v>203000</v>
      </c>
    </row>
    <row r="2730">
      <c r="A2730" s="79" t="n">
        <v>43575</v>
      </c>
      <c r="B2730" t="n">
        <v>1671000</v>
      </c>
      <c r="C2730" t="n">
        <v>224000</v>
      </c>
    </row>
    <row r="2731">
      <c r="A2731" s="79" t="n">
        <v>43582</v>
      </c>
      <c r="B2731" t="n">
        <v>1675000</v>
      </c>
      <c r="C2731" t="n">
        <v>230000</v>
      </c>
    </row>
    <row r="2732">
      <c r="A2732" s="79" t="n">
        <v>43589</v>
      </c>
      <c r="B2732" t="n">
        <v>1667000</v>
      </c>
      <c r="C2732" t="n">
        <v>225000</v>
      </c>
    </row>
    <row r="2733">
      <c r="A2733" s="79" t="n">
        <v>43596</v>
      </c>
      <c r="B2733" t="n">
        <v>1676000</v>
      </c>
      <c r="C2733" t="n">
        <v>216000</v>
      </c>
    </row>
    <row r="2734">
      <c r="A2734" s="79" t="n">
        <v>43603</v>
      </c>
      <c r="B2734" t="n">
        <v>1666000</v>
      </c>
      <c r="C2734" t="n">
        <v>213000</v>
      </c>
    </row>
    <row r="2735">
      <c r="A2735" s="79" t="n">
        <v>43610</v>
      </c>
      <c r="B2735" t="n">
        <v>1687000</v>
      </c>
      <c r="C2735" t="n">
        <v>218000</v>
      </c>
    </row>
    <row r="2736">
      <c r="A2736" s="79" t="n">
        <v>43617</v>
      </c>
      <c r="B2736" t="n">
        <v>1692000</v>
      </c>
      <c r="C2736" t="n">
        <v>220000</v>
      </c>
    </row>
    <row r="2737">
      <c r="A2737" s="79" t="n">
        <v>43624</v>
      </c>
      <c r="B2737" t="n">
        <v>1668000</v>
      </c>
      <c r="C2737" t="n">
        <v>220000</v>
      </c>
    </row>
    <row r="2738">
      <c r="A2738" s="79" t="n">
        <v>43631</v>
      </c>
      <c r="B2738" t="n">
        <v>1689000</v>
      </c>
      <c r="C2738" t="n">
        <v>219000</v>
      </c>
    </row>
    <row r="2739">
      <c r="A2739" s="79" t="n">
        <v>43638</v>
      </c>
      <c r="B2739" t="n">
        <v>1689000</v>
      </c>
      <c r="C2739" t="n">
        <v>224000</v>
      </c>
    </row>
    <row r="2740">
      <c r="A2740" s="79" t="n">
        <v>43645</v>
      </c>
      <c r="B2740" t="n">
        <v>1712000</v>
      </c>
      <c r="C2740" t="n">
        <v>223000</v>
      </c>
    </row>
    <row r="2741">
      <c r="A2741" s="79" t="n">
        <v>43652</v>
      </c>
      <c r="B2741" t="n">
        <v>1688000</v>
      </c>
      <c r="C2741" t="n">
        <v>205000</v>
      </c>
    </row>
    <row r="2742">
      <c r="A2742" s="79" t="n">
        <v>43659</v>
      </c>
      <c r="B2742" t="n">
        <v>1679000</v>
      </c>
      <c r="C2742" t="n">
        <v>217000</v>
      </c>
    </row>
    <row r="2743">
      <c r="A2743" s="79" t="n">
        <v>43666</v>
      </c>
      <c r="B2743" t="n">
        <v>1692000</v>
      </c>
      <c r="C2743" t="n">
        <v>210000</v>
      </c>
    </row>
    <row r="2744">
      <c r="A2744" s="79" t="n">
        <v>43673</v>
      </c>
      <c r="B2744" t="n">
        <v>1689000</v>
      </c>
      <c r="C2744" t="n">
        <v>216000</v>
      </c>
    </row>
    <row r="2745">
      <c r="A2745" s="79" t="n">
        <v>43680</v>
      </c>
      <c r="B2745" t="n">
        <v>1714000</v>
      </c>
      <c r="C2745" t="n">
        <v>214000</v>
      </c>
    </row>
    <row r="2746">
      <c r="A2746" s="79" t="n">
        <v>43687</v>
      </c>
      <c r="B2746" t="n">
        <v>1682000</v>
      </c>
      <c r="C2746" t="n">
        <v>218000</v>
      </c>
    </row>
    <row r="2747">
      <c r="A2747" s="79" t="n">
        <v>43694</v>
      </c>
      <c r="B2747" t="n">
        <v>1697000</v>
      </c>
      <c r="C2747" t="n">
        <v>214000</v>
      </c>
    </row>
    <row r="2748">
      <c r="A2748" s="79" t="n">
        <v>43701</v>
      </c>
      <c r="B2748" t="n">
        <v>1678000</v>
      </c>
      <c r="C2748" t="n">
        <v>215000</v>
      </c>
    </row>
    <row r="2749">
      <c r="A2749" s="79" t="n">
        <v>43708</v>
      </c>
      <c r="B2749" t="n">
        <v>1679000</v>
      </c>
      <c r="C2749" t="n">
        <v>218000</v>
      </c>
    </row>
    <row r="2750">
      <c r="A2750" s="79" t="n">
        <v>43715</v>
      </c>
      <c r="B2750" t="n">
        <v>1673000</v>
      </c>
      <c r="C2750" t="n">
        <v>208000</v>
      </c>
    </row>
    <row r="2751">
      <c r="A2751" s="79" t="n">
        <v>43722</v>
      </c>
      <c r="B2751" t="n">
        <v>1668000</v>
      </c>
      <c r="C2751" t="n">
        <v>211000</v>
      </c>
    </row>
    <row r="2752">
      <c r="A2752" s="79" t="n">
        <v>43729</v>
      </c>
      <c r="B2752" t="n">
        <v>1665000</v>
      </c>
      <c r="C2752" t="n">
        <v>215000</v>
      </c>
    </row>
    <row r="2753">
      <c r="A2753" s="79" t="n">
        <v>43736</v>
      </c>
      <c r="B2753" t="n">
        <v>1696000</v>
      </c>
      <c r="C2753" t="n">
        <v>217000</v>
      </c>
    </row>
    <row r="2754">
      <c r="A2754" s="79" t="n">
        <v>43743</v>
      </c>
      <c r="B2754" t="n">
        <v>1687000</v>
      </c>
      <c r="C2754" t="n">
        <v>212000</v>
      </c>
    </row>
    <row r="2755">
      <c r="A2755" s="79" t="n">
        <v>43750</v>
      </c>
      <c r="B2755" t="n">
        <v>1693000</v>
      </c>
      <c r="C2755" t="n">
        <v>217000</v>
      </c>
    </row>
    <row r="2756">
      <c r="A2756" s="79" t="n">
        <v>43757</v>
      </c>
      <c r="B2756" t="n">
        <v>1694000</v>
      </c>
      <c r="C2756" t="n">
        <v>212000</v>
      </c>
    </row>
    <row r="2757">
      <c r="A2757" s="79" t="n">
        <v>43764</v>
      </c>
      <c r="B2757" t="n">
        <v>1695000</v>
      </c>
      <c r="C2757" t="n">
        <v>216000</v>
      </c>
    </row>
    <row r="2758">
      <c r="A2758" s="79" t="n">
        <v>43771</v>
      </c>
      <c r="B2758" t="n">
        <v>1692000</v>
      </c>
      <c r="C2758" t="n">
        <v>211000</v>
      </c>
    </row>
    <row r="2759">
      <c r="A2759" s="79" t="n">
        <v>43778</v>
      </c>
      <c r="B2759" t="n">
        <v>1695000</v>
      </c>
      <c r="C2759" t="n">
        <v>222000</v>
      </c>
    </row>
    <row r="2760">
      <c r="A2760" s="79" t="n">
        <v>43785</v>
      </c>
      <c r="B2760" t="n">
        <v>1678000</v>
      </c>
      <c r="C2760" t="n">
        <v>221000</v>
      </c>
    </row>
    <row r="2761">
      <c r="A2761" s="79" t="n">
        <v>43792</v>
      </c>
      <c r="B2761" t="n">
        <v>1699000</v>
      </c>
      <c r="C2761" t="n">
        <v>215000</v>
      </c>
    </row>
    <row r="2762">
      <c r="A2762" s="79" t="n">
        <v>43799</v>
      </c>
      <c r="B2762" t="n">
        <v>1705000</v>
      </c>
      <c r="C2762" t="n">
        <v>219000</v>
      </c>
    </row>
    <row r="2763">
      <c r="A2763" s="79" t="n">
        <v>43806</v>
      </c>
      <c r="B2763" t="n">
        <v>1726000</v>
      </c>
      <c r="C2763" t="n">
        <v>238000</v>
      </c>
    </row>
    <row r="2764">
      <c r="A2764" s="79" t="n">
        <v>43813</v>
      </c>
      <c r="B2764" t="n">
        <v>1718000</v>
      </c>
      <c r="C2764" t="n">
        <v>227000</v>
      </c>
    </row>
    <row r="2765">
      <c r="A2765" s="79" t="n">
        <v>43820</v>
      </c>
      <c r="B2765" t="n">
        <v>1725000</v>
      </c>
      <c r="C2765" t="n">
        <v>218000</v>
      </c>
    </row>
    <row r="2766">
      <c r="A2766" s="79" t="n">
        <v>43827</v>
      </c>
      <c r="B2766" t="n">
        <v>1779000</v>
      </c>
      <c r="C2766" t="n">
        <v>218000</v>
      </c>
    </row>
    <row r="2767">
      <c r="A2767" s="79" t="n">
        <v>43834</v>
      </c>
      <c r="B2767" t="n">
        <v>1766000</v>
      </c>
      <c r="C2767" t="n">
        <v>210000</v>
      </c>
    </row>
    <row r="2768">
      <c r="A2768" s="79" t="n">
        <v>43841</v>
      </c>
      <c r="B2768" t="n">
        <v>1739000</v>
      </c>
      <c r="C2768" t="n">
        <v>206000</v>
      </c>
    </row>
    <row r="2769">
      <c r="A2769" s="79" t="n">
        <v>43848</v>
      </c>
      <c r="B2769" t="n">
        <v>1709000</v>
      </c>
      <c r="C2769" t="n">
        <v>219000</v>
      </c>
    </row>
    <row r="2770">
      <c r="A2770" s="79" t="n">
        <v>43855</v>
      </c>
      <c r="B2770" t="n">
        <v>1752000</v>
      </c>
      <c r="C2770" t="n">
        <v>210000</v>
      </c>
    </row>
    <row r="2771">
      <c r="A2771" s="79" t="n">
        <v>43862</v>
      </c>
      <c r="B2771" t="n">
        <v>1698000</v>
      </c>
      <c r="C2771" t="n">
        <v>205000</v>
      </c>
    </row>
    <row r="2772">
      <c r="A2772" s="79" t="n">
        <v>43869</v>
      </c>
      <c r="B2772" t="n">
        <v>1734000</v>
      </c>
      <c r="C2772" t="n">
        <v>207000</v>
      </c>
    </row>
    <row r="2773">
      <c r="A2773" s="79" t="n">
        <v>43876</v>
      </c>
      <c r="B2773" t="n">
        <v>1705000</v>
      </c>
      <c r="C2773" t="n">
        <v>215000</v>
      </c>
    </row>
    <row r="2774">
      <c r="A2774" s="79" t="n">
        <v>43883</v>
      </c>
      <c r="B2774" t="n">
        <v>1730000</v>
      </c>
      <c r="C2774" t="n">
        <v>218000</v>
      </c>
    </row>
    <row r="2775">
      <c r="A2775" s="79" t="n">
        <v>43890</v>
      </c>
      <c r="B2775" t="n">
        <v>1708000</v>
      </c>
      <c r="C2775" t="n">
        <v>216000</v>
      </c>
    </row>
    <row r="2776">
      <c r="A2776" s="79" t="n">
        <v>43897</v>
      </c>
      <c r="B2776" t="n">
        <v>1715000</v>
      </c>
      <c r="C2776" t="n">
        <v>212000</v>
      </c>
    </row>
    <row r="2777">
      <c r="A2777" s="79" t="n">
        <v>43904</v>
      </c>
      <c r="B2777" t="n">
        <v>1770000</v>
      </c>
      <c r="C2777" t="n">
        <v>256000</v>
      </c>
    </row>
    <row r="2778">
      <c r="A2778" s="79" t="n">
        <v>43911</v>
      </c>
      <c r="B2778" t="n">
        <v>3094000</v>
      </c>
      <c r="C2778" t="n">
        <v>2923000</v>
      </c>
    </row>
    <row r="2779">
      <c r="A2779" s="79" t="n">
        <v>43918</v>
      </c>
      <c r="B2779" t="n">
        <v>7868000</v>
      </c>
      <c r="C2779" t="n">
        <v>5985000</v>
      </c>
    </row>
    <row r="2780">
      <c r="A2780" s="79" t="n">
        <v>43925</v>
      </c>
      <c r="B2780" t="n">
        <v>12261000</v>
      </c>
      <c r="C2780" t="n">
        <v>6149000</v>
      </c>
    </row>
    <row r="2781">
      <c r="A2781" s="79" t="n">
        <v>43932</v>
      </c>
      <c r="B2781" t="n">
        <v>16070000</v>
      </c>
      <c r="C2781" t="n">
        <v>4869000</v>
      </c>
    </row>
    <row r="2782">
      <c r="A2782" s="79" t="n">
        <v>43939</v>
      </c>
      <c r="B2782" t="n">
        <v>17656000</v>
      </c>
      <c r="C2782" t="n">
        <v>4202000</v>
      </c>
    </row>
    <row r="2783">
      <c r="A2783" s="79" t="n">
        <v>43946</v>
      </c>
      <c r="B2783" t="n">
        <v>21664000</v>
      </c>
      <c r="C2783" t="n">
        <v>3451000</v>
      </c>
    </row>
    <row r="2784">
      <c r="A2784" s="79" t="n">
        <v>43953</v>
      </c>
      <c r="B2784" t="n">
        <v>20823000</v>
      </c>
      <c r="C2784" t="n">
        <v>2784000</v>
      </c>
    </row>
    <row r="2785">
      <c r="A2785" s="79" t="n">
        <v>43960</v>
      </c>
      <c r="B2785" t="n">
        <v>23128000</v>
      </c>
      <c r="C2785" t="n">
        <v>2315000</v>
      </c>
    </row>
    <row r="2786">
      <c r="A2786" s="79" t="n">
        <v>43967</v>
      </c>
      <c r="B2786" t="n">
        <v>19181000</v>
      </c>
      <c r="C2786" t="n">
        <v>2149000</v>
      </c>
    </row>
    <row r="2787">
      <c r="A2787" s="79" t="n">
        <v>43974</v>
      </c>
      <c r="B2787" t="n">
        <v>19396000</v>
      </c>
      <c r="C2787" t="n">
        <v>1887000</v>
      </c>
    </row>
    <row r="2788">
      <c r="A2788" s="79" t="n">
        <v>43981</v>
      </c>
      <c r="B2788" t="n">
        <v>19287000</v>
      </c>
      <c r="C2788" t="n">
        <v>1605000</v>
      </c>
    </row>
    <row r="2789">
      <c r="A2789" s="79" t="n">
        <v>43988</v>
      </c>
      <c r="B2789" t="n">
        <v>18927000</v>
      </c>
      <c r="C2789" t="n">
        <v>1537000</v>
      </c>
    </row>
    <row r="2790">
      <c r="A2790" s="79" t="n">
        <v>43995</v>
      </c>
      <c r="B2790" t="n">
        <v>17993000</v>
      </c>
      <c r="C2790" t="n">
        <v>1472000</v>
      </c>
    </row>
    <row r="2791">
      <c r="A2791" s="79" t="n">
        <v>44002</v>
      </c>
      <c r="B2791" t="n">
        <v>17713000</v>
      </c>
      <c r="C2791" t="n">
        <v>1460000</v>
      </c>
    </row>
    <row r="2792">
      <c r="A2792" s="79" t="n">
        <v>44009</v>
      </c>
      <c r="B2792" t="n">
        <v>16780000</v>
      </c>
      <c r="C2792" t="n">
        <v>1436000</v>
      </c>
    </row>
    <row r="2793">
      <c r="A2793" s="79" t="n">
        <v>44016</v>
      </c>
      <c r="B2793" t="n">
        <v>17413000</v>
      </c>
      <c r="C2793" t="n">
        <v>1398000</v>
      </c>
    </row>
    <row r="2794">
      <c r="A2794" s="79" t="n">
        <v>44023</v>
      </c>
      <c r="B2794" t="n">
        <v>16385000</v>
      </c>
      <c r="C2794" t="n">
        <v>1479000</v>
      </c>
    </row>
    <row r="2795">
      <c r="A2795" s="79" t="n">
        <v>44030</v>
      </c>
      <c r="B2795" t="n">
        <v>16913000</v>
      </c>
      <c r="C2795" t="n">
        <v>1398000</v>
      </c>
    </row>
    <row r="2796">
      <c r="A2796" s="79" t="n">
        <v>44037</v>
      </c>
      <c r="B2796" t="n">
        <v>15964000</v>
      </c>
      <c r="C2796" t="n">
        <v>1262000</v>
      </c>
    </row>
    <row r="2797">
      <c r="A2797" s="79" t="n">
        <v>44044</v>
      </c>
      <c r="B2797" t="n">
        <v>15303000</v>
      </c>
      <c r="C2797" t="n">
        <v>1043000</v>
      </c>
    </row>
    <row r="2798">
      <c r="A2798" s="79" t="n">
        <v>44051</v>
      </c>
      <c r="B2798" t="n">
        <v>14217000</v>
      </c>
      <c r="C2798" t="n">
        <v>883000</v>
      </c>
    </row>
    <row r="2799">
      <c r="A2799" s="79" t="n">
        <v>44058</v>
      </c>
      <c r="B2799" t="n">
        <v>13948000</v>
      </c>
      <c r="C2799" t="n">
        <v>920000</v>
      </c>
    </row>
    <row r="2800">
      <c r="A2800" s="79" t="n">
        <v>44065</v>
      </c>
      <c r="B2800" t="n">
        <v>13246000</v>
      </c>
      <c r="C2800" t="n">
        <v>872000</v>
      </c>
    </row>
    <row r="2801">
      <c r="A2801" s="79" t="n">
        <v>44072</v>
      </c>
      <c r="B2801" t="n">
        <v>13528000</v>
      </c>
      <c r="C2801" t="n">
        <v>875000</v>
      </c>
    </row>
    <row r="2802">
      <c r="A2802" s="79" t="n">
        <v>44079</v>
      </c>
      <c r="B2802" t="n">
        <v>12755000</v>
      </c>
      <c r="C2802" t="n">
        <v>881000</v>
      </c>
    </row>
    <row r="2803">
      <c r="A2803" s="79" t="n">
        <v>44086</v>
      </c>
      <c r="B2803" t="n">
        <v>12706000</v>
      </c>
      <c r="C2803" t="n">
        <v>860000</v>
      </c>
    </row>
    <row r="2804">
      <c r="A2804" s="79" t="n">
        <v>44093</v>
      </c>
      <c r="B2804" t="n">
        <v>11381000</v>
      </c>
      <c r="C2804" t="n">
        <v>860000</v>
      </c>
    </row>
    <row r="2805">
      <c r="A2805" s="79" t="n">
        <v>44100</v>
      </c>
      <c r="B2805" t="n">
        <v>10477000</v>
      </c>
      <c r="C2805" t="n">
        <v>803000</v>
      </c>
    </row>
    <row r="2806">
      <c r="A2806" s="79" t="n">
        <v>44107</v>
      </c>
      <c r="B2806" t="n">
        <v>9259000</v>
      </c>
      <c r="C2806" t="n">
        <v>782000</v>
      </c>
    </row>
    <row r="2807">
      <c r="A2807" s="79" t="n">
        <v>44114</v>
      </c>
      <c r="B2807" t="n">
        <v>8384000</v>
      </c>
      <c r="C2807" t="n">
        <v>833000</v>
      </c>
    </row>
    <row r="2808">
      <c r="A2808" s="79" t="n">
        <v>44121</v>
      </c>
      <c r="B2808" t="n">
        <v>7699000</v>
      </c>
      <c r="C2808" t="n">
        <v>798000</v>
      </c>
    </row>
    <row r="2809">
      <c r="A2809" s="79" t="n">
        <v>44128</v>
      </c>
      <c r="B2809" t="n">
        <v>7076000</v>
      </c>
      <c r="C2809" t="n">
        <v>768000</v>
      </c>
    </row>
    <row r="2810">
      <c r="A2810" s="79" t="n">
        <v>44135</v>
      </c>
      <c r="B2810" t="n">
        <v>6724000</v>
      </c>
      <c r="C2810" t="n">
        <v>765000</v>
      </c>
    </row>
    <row r="2811">
      <c r="A2811" s="79" t="n">
        <v>44142</v>
      </c>
      <c r="B2811" t="n">
        <v>6389000</v>
      </c>
      <c r="C2811" t="n">
        <v>728000</v>
      </c>
    </row>
    <row r="2812">
      <c r="A2812" s="79" t="n">
        <v>44149</v>
      </c>
      <c r="B2812" t="n">
        <v>6138000</v>
      </c>
      <c r="C2812" t="n">
        <v>732000</v>
      </c>
    </row>
    <row r="2813">
      <c r="A2813" s="79" t="n">
        <v>44156</v>
      </c>
      <c r="B2813" t="n">
        <v>5606000</v>
      </c>
      <c r="C2813" t="n">
        <v>762000</v>
      </c>
    </row>
    <row r="2814">
      <c r="A2814" s="79" t="n">
        <v>44163</v>
      </c>
      <c r="B2814" t="n">
        <v>5829000</v>
      </c>
      <c r="C2814" t="n">
        <v>719000</v>
      </c>
    </row>
    <row r="2815">
      <c r="A2815" s="79" t="n">
        <v>44170</v>
      </c>
      <c r="B2815" t="n">
        <v>5614000</v>
      </c>
      <c r="C2815" t="n">
        <v>853000</v>
      </c>
    </row>
    <row r="2816">
      <c r="A2816" s="79" t="n">
        <v>44177</v>
      </c>
      <c r="B2816" t="n">
        <v>5433000</v>
      </c>
      <c r="C2816" t="n">
        <v>873000</v>
      </c>
    </row>
    <row r="2817">
      <c r="A2817" s="79" t="n">
        <v>44184</v>
      </c>
      <c r="B2817" t="n">
        <v>5311000</v>
      </c>
      <c r="C2817" t="n">
        <v>803000</v>
      </c>
    </row>
    <row r="2818">
      <c r="A2818" s="79" t="n">
        <v>44191</v>
      </c>
      <c r="B2818" t="n">
        <v>5180000</v>
      </c>
      <c r="C2818" t="n">
        <v>763000</v>
      </c>
    </row>
    <row r="2819">
      <c r="A2819" s="79" t="n">
        <v>44198</v>
      </c>
      <c r="B2819" t="n">
        <v>5240000</v>
      </c>
      <c r="C2819" t="n">
        <v>781000</v>
      </c>
    </row>
    <row r="2820">
      <c r="A2820" s="79" t="n">
        <v>44205</v>
      </c>
      <c r="B2820" t="n">
        <v>5061000</v>
      </c>
      <c r="C2820" t="n">
        <v>904000</v>
      </c>
    </row>
    <row r="2821">
      <c r="A2821" s="79" t="n">
        <v>44212</v>
      </c>
      <c r="B2821" t="n">
        <v>4878000</v>
      </c>
      <c r="C2821" t="n">
        <v>886000</v>
      </c>
    </row>
    <row r="2822">
      <c r="A2822" s="79" t="n">
        <v>44219</v>
      </c>
      <c r="B2822" t="n">
        <v>4791000</v>
      </c>
      <c r="C2822" t="n">
        <v>836000</v>
      </c>
    </row>
    <row r="2823">
      <c r="A2823" s="79" t="n">
        <v>44226</v>
      </c>
      <c r="B2823" t="n">
        <v>4655000</v>
      </c>
      <c r="C2823" t="n">
        <v>837000</v>
      </c>
    </row>
    <row r="2824">
      <c r="A2824" s="79" t="n">
        <v>44233</v>
      </c>
      <c r="B2824" t="n">
        <v>4592000</v>
      </c>
      <c r="C2824" t="n">
        <v>863000</v>
      </c>
    </row>
    <row r="2825">
      <c r="A2825" s="79" t="n">
        <v>44240</v>
      </c>
      <c r="B2825" t="n">
        <v>4469000</v>
      </c>
      <c r="C2825" t="n">
        <v>847000</v>
      </c>
    </row>
    <row r="2826">
      <c r="A2826" s="79" t="n">
        <v>44247</v>
      </c>
      <c r="B2826" t="n">
        <v>4383000</v>
      </c>
      <c r="C2826" t="n">
        <v>747000</v>
      </c>
    </row>
    <row r="2827">
      <c r="A2827" s="79" t="n">
        <v>44254</v>
      </c>
      <c r="B2827" t="n">
        <v>4157000</v>
      </c>
      <c r="C2827" t="n">
        <v>761000</v>
      </c>
    </row>
    <row r="2828">
      <c r="A2828" s="79" t="n">
        <v>44261</v>
      </c>
      <c r="B2828" t="n">
        <v>4123000</v>
      </c>
      <c r="C2828" t="n">
        <v>734000</v>
      </c>
    </row>
    <row r="2829">
      <c r="A2829" s="79" t="n">
        <v>44268</v>
      </c>
      <c r="B2829" t="n">
        <v>3841000</v>
      </c>
      <c r="C2829" t="n">
        <v>765000</v>
      </c>
    </row>
    <row r="2830">
      <c r="A2830" s="79" t="n">
        <v>44275</v>
      </c>
      <c r="B2830" t="n">
        <v>3753000</v>
      </c>
      <c r="C2830" t="n">
        <v>658000</v>
      </c>
    </row>
    <row r="2831">
      <c r="A2831" s="79" t="n">
        <v>44282</v>
      </c>
      <c r="B2831" t="n">
        <v>3717000</v>
      </c>
      <c r="C2831" t="n">
        <v>729000</v>
      </c>
    </row>
    <row r="2832">
      <c r="A2832" s="79" t="n">
        <v>44289</v>
      </c>
      <c r="B2832" t="n">
        <v>3708000</v>
      </c>
      <c r="C2832" t="n">
        <v>742000</v>
      </c>
    </row>
    <row r="2833">
      <c r="A2833" s="79" t="n">
        <v>44296</v>
      </c>
      <c r="B2833" t="n">
        <v>3652000</v>
      </c>
      <c r="C2833" t="n">
        <v>586000</v>
      </c>
    </row>
    <row r="2834">
      <c r="A2834" s="79" t="n">
        <v>44303</v>
      </c>
      <c r="B2834" t="n">
        <v>3653000</v>
      </c>
      <c r="C2834" t="n">
        <v>566000</v>
      </c>
    </row>
    <row r="2835">
      <c r="A2835" s="79" t="n">
        <v>44310</v>
      </c>
      <c r="B2835" t="n">
        <v>3680000</v>
      </c>
      <c r="C2835" t="n">
        <v>590000</v>
      </c>
    </row>
    <row r="2836">
      <c r="A2836" s="79" t="n">
        <v>44317</v>
      </c>
      <c r="B2836" t="n">
        <v>3640000</v>
      </c>
      <c r="C2836" t="n">
        <v>507000</v>
      </c>
    </row>
    <row r="2837">
      <c r="A2837" s="79" t="n">
        <v>44324</v>
      </c>
      <c r="B2837" t="n">
        <v>3738000</v>
      </c>
      <c r="C2837" t="n">
        <v>478000</v>
      </c>
    </row>
    <row r="2838">
      <c r="A2838" s="79" t="n">
        <v>44331</v>
      </c>
      <c r="B2838" t="n">
        <v>3611000</v>
      </c>
      <c r="C2838" t="n">
        <v>444000</v>
      </c>
    </row>
    <row r="2839">
      <c r="A2839" s="79" t="n">
        <v>44338</v>
      </c>
      <c r="B2839" t="n">
        <v>3769000</v>
      </c>
      <c r="C2839" t="n">
        <v>405000</v>
      </c>
    </row>
    <row r="2840">
      <c r="A2840" s="79" t="n">
        <v>44345</v>
      </c>
      <c r="B2840" t="n">
        <v>3517000</v>
      </c>
      <c r="C2840" t="n">
        <v>388000</v>
      </c>
    </row>
    <row r="2841">
      <c r="A2841" s="79" t="n">
        <v>44352</v>
      </c>
      <c r="B2841" t="n">
        <v>3528000</v>
      </c>
      <c r="C2841" t="n">
        <v>374000</v>
      </c>
    </row>
    <row r="2842">
      <c r="A2842" s="79" t="n">
        <v>44359</v>
      </c>
      <c r="B2842" t="n">
        <v>3412000</v>
      </c>
      <c r="C2842" t="n">
        <v>418000</v>
      </c>
    </row>
    <row r="2843">
      <c r="A2843" s="79" t="n">
        <v>44366</v>
      </c>
      <c r="B2843" t="n">
        <v>3484000</v>
      </c>
      <c r="C2843" t="n">
        <v>416000</v>
      </c>
    </row>
    <row r="2844">
      <c r="A2844" s="79" t="n">
        <v>44373</v>
      </c>
      <c r="B2844" t="n">
        <v>3367000</v>
      </c>
      <c r="C2844" t="n">
        <v>368000</v>
      </c>
    </row>
    <row r="2845">
      <c r="A2845" s="79" t="n">
        <v>44380</v>
      </c>
      <c r="B2845" t="n">
        <v>3265000</v>
      </c>
      <c r="C2845" t="n">
        <v>386000</v>
      </c>
    </row>
    <row r="2846">
      <c r="A2846" s="79" t="n">
        <v>44387</v>
      </c>
      <c r="B2846" t="n">
        <v>3262000</v>
      </c>
      <c r="C2846" t="n">
        <v>368000</v>
      </c>
    </row>
    <row r="2847">
      <c r="A2847" s="79" t="n">
        <v>44394</v>
      </c>
      <c r="B2847" t="n">
        <v>3296000</v>
      </c>
      <c r="C2847" t="n">
        <v>424000</v>
      </c>
    </row>
    <row r="2848">
      <c r="A2848" s="79" t="n">
        <v>44401</v>
      </c>
      <c r="B2848" t="n">
        <v>2980000</v>
      </c>
      <c r="C2848" t="n">
        <v>399000</v>
      </c>
    </row>
    <row r="2849">
      <c r="A2849" s="79" t="n">
        <v>44408</v>
      </c>
      <c r="B2849" t="n">
        <v>2899000</v>
      </c>
      <c r="C2849" t="n">
        <v>387000</v>
      </c>
    </row>
    <row r="2850">
      <c r="A2850" s="79" t="n">
        <v>44415</v>
      </c>
      <c r="B2850" t="n">
        <v>2865000</v>
      </c>
      <c r="C2850" t="n">
        <v>377000</v>
      </c>
    </row>
    <row r="2851">
      <c r="A2851" s="79" t="n">
        <v>44422</v>
      </c>
      <c r="B2851" t="n">
        <v>2908000</v>
      </c>
      <c r="C2851" t="n">
        <v>349000</v>
      </c>
    </row>
    <row r="2852">
      <c r="A2852" s="79" t="n">
        <v>44429</v>
      </c>
      <c r="B2852" t="n">
        <v>2805000</v>
      </c>
      <c r="C2852" t="n">
        <v>354000</v>
      </c>
    </row>
    <row r="2853">
      <c r="A2853" s="79" t="n">
        <v>44436</v>
      </c>
      <c r="B2853" t="n">
        <v>2852000</v>
      </c>
      <c r="C2853" t="n">
        <v>345000</v>
      </c>
    </row>
    <row r="2854">
      <c r="A2854" s="79" t="n">
        <v>44443</v>
      </c>
      <c r="B2854" t="n">
        <v>2715000</v>
      </c>
      <c r="C2854" t="n">
        <v>312000</v>
      </c>
    </row>
    <row r="2855">
      <c r="A2855" s="79" t="n">
        <v>44450</v>
      </c>
      <c r="B2855" t="n">
        <v>2820000</v>
      </c>
      <c r="C2855" t="n">
        <v>335000</v>
      </c>
    </row>
    <row r="2856">
      <c r="A2856" s="79" t="n">
        <v>44457</v>
      </c>
      <c r="B2856" t="n">
        <v>2811000</v>
      </c>
      <c r="C2856" t="n">
        <v>351000</v>
      </c>
    </row>
    <row r="2857">
      <c r="A2857" s="79" t="n">
        <v>44464</v>
      </c>
      <c r="B2857" t="n">
        <v>2727000</v>
      </c>
      <c r="C2857" t="n">
        <v>364000</v>
      </c>
    </row>
    <row r="2858">
      <c r="A2858" s="79" t="n">
        <v>44471</v>
      </c>
      <c r="B2858" t="n">
        <v>2603000</v>
      </c>
      <c r="C2858" t="n">
        <v>329000</v>
      </c>
    </row>
    <row r="2859">
      <c r="A2859" s="79" t="n">
        <v>44478</v>
      </c>
      <c r="B2859" t="n">
        <v>2480000</v>
      </c>
      <c r="C2859" t="n">
        <v>296000</v>
      </c>
    </row>
    <row r="2860">
      <c r="A2860" s="79" t="n">
        <v>44485</v>
      </c>
      <c r="B2860" t="n">
        <v>2239000</v>
      </c>
      <c r="C2860" t="n">
        <v>291000</v>
      </c>
    </row>
    <row r="2861">
      <c r="A2861" s="79" t="n">
        <v>44492</v>
      </c>
      <c r="B2861" t="n">
        <v>2101000</v>
      </c>
      <c r="C2861" t="n">
        <v>283000</v>
      </c>
    </row>
    <row r="2862">
      <c r="A2862" s="79" t="n">
        <v>44499</v>
      </c>
      <c r="B2862" t="n">
        <v>2209000</v>
      </c>
      <c r="C2862" t="n">
        <v>271000</v>
      </c>
    </row>
    <row r="2863">
      <c r="A2863" s="79" t="n">
        <v>44506</v>
      </c>
      <c r="B2863" t="n">
        <v>2109000</v>
      </c>
      <c r="C2863" t="n">
        <v>269000</v>
      </c>
    </row>
    <row r="2864">
      <c r="A2864" s="79" t="n">
        <v>44513</v>
      </c>
      <c r="B2864" t="n">
        <v>2055000</v>
      </c>
      <c r="C2864" t="n">
        <v>270000</v>
      </c>
    </row>
    <row r="2865">
      <c r="A2865" s="79" t="n">
        <v>44520</v>
      </c>
      <c r="B2865" t="n">
        <v>1954000</v>
      </c>
      <c r="C2865" t="n">
        <v>194000</v>
      </c>
    </row>
    <row r="2866">
      <c r="A2866" s="79" t="n">
        <v>44527</v>
      </c>
      <c r="B2866" t="n">
        <v>1999000</v>
      </c>
      <c r="C2866" t="n">
        <v>227000</v>
      </c>
    </row>
    <row r="2867">
      <c r="A2867" s="79" t="n">
        <v>44534</v>
      </c>
      <c r="B2867" t="n">
        <v>1845000</v>
      </c>
      <c r="C2867" t="n">
        <v>188000</v>
      </c>
    </row>
    <row r="2868">
      <c r="A2868" s="79" t="n">
        <v>44541</v>
      </c>
      <c r="C2868" t="n">
        <v>206000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48"/>
  <sheetViews>
    <sheetView workbookViewId="0">
      <pane ySplit="1" topLeftCell="A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0"/>
    <col width="8.83203125" customWidth="1" style="49" min="11" max="16384"/>
  </cols>
  <sheetData>
    <row r="1">
      <c r="A1" t="inlineStr">
        <is>
          <t>DATE</t>
        </is>
      </c>
      <c r="B1" t="inlineStr">
        <is>
          <t>ADP</t>
        </is>
      </c>
    </row>
    <row r="2">
      <c r="A2" s="79" t="n">
        <v>37043</v>
      </c>
      <c r="B2" t="n">
        <v>-175</v>
      </c>
    </row>
    <row r="3">
      <c r="A3" s="79" t="n">
        <v>37073</v>
      </c>
      <c r="B3" t="n">
        <v>-230</v>
      </c>
    </row>
    <row r="4">
      <c r="A4" s="79" t="n">
        <v>37104</v>
      </c>
      <c r="B4" t="n">
        <v>-203</v>
      </c>
    </row>
    <row r="5">
      <c r="A5" s="79" t="n">
        <v>37135</v>
      </c>
      <c r="B5" t="n">
        <v>-246</v>
      </c>
    </row>
    <row r="6">
      <c r="A6" s="79" t="n">
        <v>37165</v>
      </c>
      <c r="B6" t="n">
        <v>-261</v>
      </c>
    </row>
    <row r="7">
      <c r="A7" s="79" t="n">
        <v>37196</v>
      </c>
      <c r="B7" t="n">
        <v>-380</v>
      </c>
    </row>
    <row r="8">
      <c r="A8" s="79" t="n">
        <v>37226</v>
      </c>
      <c r="B8" t="n">
        <v>-361</v>
      </c>
    </row>
    <row r="9">
      <c r="A9" s="79" t="n">
        <v>37257</v>
      </c>
      <c r="B9" t="n">
        <v>-223</v>
      </c>
    </row>
    <row r="10">
      <c r="A10" s="79" t="n">
        <v>37288</v>
      </c>
      <c r="B10" t="n">
        <v>-69</v>
      </c>
    </row>
    <row r="11">
      <c r="A11" s="79" t="n">
        <v>37316</v>
      </c>
      <c r="B11" t="n">
        <v>-91</v>
      </c>
    </row>
    <row r="12">
      <c r="A12" s="79" t="n">
        <v>37347</v>
      </c>
      <c r="B12" t="n">
        <v>-70</v>
      </c>
    </row>
    <row r="13">
      <c r="A13" s="79" t="n">
        <v>37377</v>
      </c>
      <c r="B13" t="n">
        <v>-70</v>
      </c>
    </row>
    <row r="14">
      <c r="A14" s="79" t="n">
        <v>37408</v>
      </c>
      <c r="B14" t="n">
        <v>-138</v>
      </c>
    </row>
    <row r="15">
      <c r="A15" s="79" t="n">
        <v>37438</v>
      </c>
      <c r="B15" t="n">
        <v>-41</v>
      </c>
    </row>
    <row r="16">
      <c r="A16" s="79" t="n">
        <v>37469</v>
      </c>
      <c r="B16" t="n">
        <v>-21</v>
      </c>
    </row>
    <row r="17">
      <c r="A17" s="79" t="n">
        <v>37500</v>
      </c>
      <c r="B17" t="n">
        <v>12</v>
      </c>
    </row>
    <row r="18">
      <c r="A18" s="79" t="n">
        <v>37530</v>
      </c>
      <c r="B18" t="n">
        <v>-150</v>
      </c>
    </row>
    <row r="19">
      <c r="A19" s="79" t="n">
        <v>37561</v>
      </c>
      <c r="B19" t="n">
        <v>47</v>
      </c>
    </row>
    <row r="20">
      <c r="A20" s="79" t="n">
        <v>37591</v>
      </c>
      <c r="B20" t="n">
        <v>-11</v>
      </c>
    </row>
    <row r="21">
      <c r="A21" s="79" t="n">
        <v>37622</v>
      </c>
      <c r="B21" t="n">
        <v>-79</v>
      </c>
    </row>
    <row r="22">
      <c r="A22" s="79" t="n">
        <v>37653</v>
      </c>
      <c r="B22" t="n">
        <v>-113</v>
      </c>
    </row>
    <row r="23">
      <c r="A23" s="79" t="n">
        <v>37681</v>
      </c>
      <c r="B23" t="n">
        <v>26</v>
      </c>
    </row>
    <row r="24">
      <c r="A24" s="79" t="n">
        <v>37712</v>
      </c>
      <c r="B24" t="n">
        <v>-42</v>
      </c>
    </row>
    <row r="25">
      <c r="A25" s="79" t="n">
        <v>37742</v>
      </c>
      <c r="B25" t="n">
        <v>-8</v>
      </c>
    </row>
    <row r="26">
      <c r="A26" s="79" t="n">
        <v>37773</v>
      </c>
      <c r="B26" t="n">
        <v>-75</v>
      </c>
    </row>
    <row r="27">
      <c r="A27" s="79" t="n">
        <v>37803</v>
      </c>
      <c r="B27" t="n">
        <v>-25</v>
      </c>
    </row>
    <row r="28">
      <c r="A28" s="79" t="n">
        <v>37834</v>
      </c>
      <c r="B28" t="n">
        <v>28</v>
      </c>
    </row>
    <row r="29">
      <c r="A29" s="79" t="n">
        <v>37865</v>
      </c>
      <c r="B29" t="n">
        <v>-66</v>
      </c>
    </row>
    <row r="30">
      <c r="A30" s="79" t="n">
        <v>37895</v>
      </c>
      <c r="B30" t="n">
        <v>69</v>
      </c>
    </row>
    <row r="31">
      <c r="A31" s="79" t="n">
        <v>37926</v>
      </c>
      <c r="B31" t="n">
        <v>174</v>
      </c>
    </row>
    <row r="32">
      <c r="A32" s="79" t="n">
        <v>37956</v>
      </c>
      <c r="B32" t="n">
        <v>247</v>
      </c>
    </row>
    <row r="33">
      <c r="A33" s="79" t="n">
        <v>37987</v>
      </c>
      <c r="B33" t="n">
        <v>167</v>
      </c>
    </row>
    <row r="34">
      <c r="A34" s="79" t="n">
        <v>38018</v>
      </c>
      <c r="B34" t="n">
        <v>68</v>
      </c>
    </row>
    <row r="35">
      <c r="A35" s="79" t="n">
        <v>38047</v>
      </c>
      <c r="B35" t="n">
        <v>166</v>
      </c>
    </row>
    <row r="36">
      <c r="A36" s="79" t="n">
        <v>38078</v>
      </c>
      <c r="B36" t="n">
        <v>188</v>
      </c>
    </row>
    <row r="37">
      <c r="A37" s="79" t="n">
        <v>38108</v>
      </c>
      <c r="B37" t="n">
        <v>170</v>
      </c>
    </row>
    <row r="38">
      <c r="A38" s="79" t="n">
        <v>38139</v>
      </c>
      <c r="B38" t="n">
        <v>54</v>
      </c>
    </row>
    <row r="39">
      <c r="A39" s="79" t="n">
        <v>38169</v>
      </c>
      <c r="B39" t="n">
        <v>169</v>
      </c>
    </row>
    <row r="40">
      <c r="A40" s="79" t="n">
        <v>38200</v>
      </c>
      <c r="B40" t="n">
        <v>80</v>
      </c>
    </row>
    <row r="41">
      <c r="A41" s="79" t="n">
        <v>38231</v>
      </c>
      <c r="B41" t="n">
        <v>187</v>
      </c>
    </row>
    <row r="42">
      <c r="A42" s="79" t="n">
        <v>38261</v>
      </c>
      <c r="B42" t="n">
        <v>170</v>
      </c>
    </row>
    <row r="43">
      <c r="A43" s="79" t="n">
        <v>38292</v>
      </c>
      <c r="B43" t="n">
        <v>136</v>
      </c>
    </row>
    <row r="44">
      <c r="A44" s="79" t="n">
        <v>38322</v>
      </c>
      <c r="B44" t="n">
        <v>178</v>
      </c>
    </row>
    <row r="45">
      <c r="A45" s="79" t="n">
        <v>38353</v>
      </c>
      <c r="B45" t="n">
        <v>254</v>
      </c>
    </row>
    <row r="46">
      <c r="A46" s="79" t="n">
        <v>38384</v>
      </c>
      <c r="B46" t="n">
        <v>158</v>
      </c>
    </row>
    <row r="47">
      <c r="A47" s="79" t="n">
        <v>38412</v>
      </c>
      <c r="B47" t="n">
        <v>145</v>
      </c>
    </row>
    <row r="48">
      <c r="A48" s="79" t="n">
        <v>38443</v>
      </c>
      <c r="B48" t="n">
        <v>164</v>
      </c>
    </row>
    <row r="49">
      <c r="A49" s="79" t="n">
        <v>38473</v>
      </c>
      <c r="B49" t="n">
        <v>300</v>
      </c>
    </row>
    <row r="50">
      <c r="A50" s="79" t="n">
        <v>38504</v>
      </c>
      <c r="B50" t="n">
        <v>243</v>
      </c>
    </row>
    <row r="51">
      <c r="A51" s="79" t="n">
        <v>38534</v>
      </c>
      <c r="B51" t="n">
        <v>273</v>
      </c>
    </row>
    <row r="52">
      <c r="A52" s="79" t="n">
        <v>38565</v>
      </c>
      <c r="B52" t="n">
        <v>281</v>
      </c>
    </row>
    <row r="53">
      <c r="A53" s="79" t="n">
        <v>38596</v>
      </c>
      <c r="B53" t="n">
        <v>190</v>
      </c>
    </row>
    <row r="54">
      <c r="A54" s="79" t="n">
        <v>38626</v>
      </c>
      <c r="B54" t="n">
        <v>-35</v>
      </c>
    </row>
    <row r="55">
      <c r="A55" s="79" t="n">
        <v>38657</v>
      </c>
      <c r="B55" t="n">
        <v>134</v>
      </c>
    </row>
    <row r="56">
      <c r="A56" s="79" t="n">
        <v>38687</v>
      </c>
      <c r="B56" t="n">
        <v>253</v>
      </c>
    </row>
    <row r="57">
      <c r="A57" s="79" t="n">
        <v>38718</v>
      </c>
      <c r="B57" t="n">
        <v>225</v>
      </c>
    </row>
    <row r="58">
      <c r="A58" s="79" t="n">
        <v>38749</v>
      </c>
      <c r="B58" t="n">
        <v>296</v>
      </c>
    </row>
    <row r="59">
      <c r="A59" s="79" t="n">
        <v>38777</v>
      </c>
      <c r="B59" t="n">
        <v>360</v>
      </c>
    </row>
    <row r="60">
      <c r="A60" s="79" t="n">
        <v>38808</v>
      </c>
      <c r="B60" t="n">
        <v>208</v>
      </c>
    </row>
    <row r="61">
      <c r="A61" s="79" t="n">
        <v>38838</v>
      </c>
      <c r="B61" t="n">
        <v>80</v>
      </c>
    </row>
    <row r="62">
      <c r="A62" s="79" t="n">
        <v>38869</v>
      </c>
      <c r="B62" t="n">
        <v>175</v>
      </c>
    </row>
    <row r="63">
      <c r="A63" s="79" t="n">
        <v>38899</v>
      </c>
      <c r="B63" t="n">
        <v>106</v>
      </c>
    </row>
    <row r="64">
      <c r="A64" s="79" t="n">
        <v>38930</v>
      </c>
      <c r="B64" t="n">
        <v>123</v>
      </c>
    </row>
    <row r="65">
      <c r="A65" s="79" t="n">
        <v>38961</v>
      </c>
      <c r="B65" t="n">
        <v>185</v>
      </c>
    </row>
    <row r="66">
      <c r="A66" s="79" t="n">
        <v>38991</v>
      </c>
      <c r="B66" t="n">
        <v>58</v>
      </c>
    </row>
    <row r="67">
      <c r="A67" s="79" t="n">
        <v>39022</v>
      </c>
      <c r="B67" t="n">
        <v>109</v>
      </c>
    </row>
    <row r="68">
      <c r="A68" s="79" t="n">
        <v>39052</v>
      </c>
      <c r="B68" t="n">
        <v>-13</v>
      </c>
    </row>
    <row r="69">
      <c r="A69" s="79" t="n">
        <v>39083</v>
      </c>
      <c r="B69" t="n">
        <v>171</v>
      </c>
    </row>
    <row r="70">
      <c r="A70" s="79" t="n">
        <v>39114</v>
      </c>
      <c r="B70" t="n">
        <v>241</v>
      </c>
    </row>
    <row r="71">
      <c r="A71" s="79" t="n">
        <v>39142</v>
      </c>
      <c r="B71" t="n">
        <v>111</v>
      </c>
    </row>
    <row r="72">
      <c r="A72" s="79" t="n">
        <v>39173</v>
      </c>
      <c r="B72" t="n">
        <v>154</v>
      </c>
    </row>
    <row r="73">
      <c r="A73" s="79" t="n">
        <v>39203</v>
      </c>
      <c r="B73" t="n">
        <v>39</v>
      </c>
    </row>
    <row r="74">
      <c r="A74" s="79" t="n">
        <v>39234</v>
      </c>
      <c r="B74" t="n">
        <v>82</v>
      </c>
    </row>
    <row r="75">
      <c r="A75" s="79" t="n">
        <v>39264</v>
      </c>
      <c r="B75" t="n">
        <v>15</v>
      </c>
    </row>
    <row r="76">
      <c r="A76" s="79" t="n">
        <v>39295</v>
      </c>
      <c r="B76" t="n">
        <v>47</v>
      </c>
    </row>
    <row r="77">
      <c r="A77" s="79" t="n">
        <v>39326</v>
      </c>
      <c r="B77" t="n">
        <v>-27</v>
      </c>
    </row>
    <row r="78">
      <c r="A78" s="79" t="n">
        <v>39356</v>
      </c>
      <c r="B78" t="n">
        <v>23</v>
      </c>
    </row>
    <row r="79">
      <c r="A79" s="79" t="n">
        <v>39387</v>
      </c>
      <c r="B79" t="n">
        <v>44</v>
      </c>
    </row>
    <row r="80">
      <c r="A80" s="79" t="n">
        <v>39417</v>
      </c>
      <c r="B80" t="n">
        <v>58</v>
      </c>
    </row>
    <row r="81">
      <c r="A81" s="79" t="n">
        <v>39448</v>
      </c>
      <c r="B81" t="n">
        <v>47</v>
      </c>
    </row>
    <row r="82">
      <c r="A82" s="79" t="n">
        <v>39479</v>
      </c>
      <c r="B82" t="n">
        <v>118</v>
      </c>
    </row>
    <row r="83">
      <c r="A83" s="79" t="n">
        <v>39508</v>
      </c>
      <c r="B83" t="n">
        <v>-78</v>
      </c>
    </row>
    <row r="84">
      <c r="A84" s="79" t="n">
        <v>39539</v>
      </c>
      <c r="B84" t="n">
        <v>-181</v>
      </c>
    </row>
    <row r="85">
      <c r="A85" s="79" t="n">
        <v>39569</v>
      </c>
      <c r="B85" t="n">
        <v>-406</v>
      </c>
    </row>
    <row r="86">
      <c r="A86" s="79" t="n">
        <v>39600</v>
      </c>
      <c r="B86" t="n">
        <v>-409</v>
      </c>
    </row>
    <row r="87">
      <c r="A87" s="79" t="n">
        <v>39630</v>
      </c>
      <c r="B87" t="n">
        <v>-465</v>
      </c>
    </row>
    <row r="88">
      <c r="A88" s="79" t="n">
        <v>39661</v>
      </c>
      <c r="B88" t="n">
        <v>-416</v>
      </c>
    </row>
    <row r="89">
      <c r="A89" s="79" t="n">
        <v>39692</v>
      </c>
      <c r="B89" t="n">
        <v>-430</v>
      </c>
    </row>
    <row r="90">
      <c r="A90" s="79" t="n">
        <v>39722</v>
      </c>
      <c r="B90" t="n">
        <v>-489</v>
      </c>
    </row>
    <row r="91">
      <c r="A91" s="79" t="n">
        <v>39753</v>
      </c>
      <c r="B91" t="n">
        <v>-430</v>
      </c>
    </row>
    <row r="92">
      <c r="A92" s="79" t="n">
        <v>39783</v>
      </c>
      <c r="B92" t="n">
        <v>-620</v>
      </c>
    </row>
    <row r="93">
      <c r="A93" s="79" t="n">
        <v>39814</v>
      </c>
      <c r="B93" t="n">
        <v>-510</v>
      </c>
    </row>
    <row r="94">
      <c r="A94" s="79" t="n">
        <v>39845</v>
      </c>
      <c r="B94" t="n">
        <v>-584</v>
      </c>
    </row>
    <row r="95">
      <c r="A95" s="79" t="n">
        <v>39873</v>
      </c>
      <c r="B95" t="n">
        <v>-706</v>
      </c>
    </row>
    <row r="96">
      <c r="A96" s="79" t="n">
        <v>39904</v>
      </c>
      <c r="B96" t="n">
        <v>-417</v>
      </c>
    </row>
    <row r="97">
      <c r="A97" s="79" t="n">
        <v>39934</v>
      </c>
      <c r="B97" t="n">
        <v>-325</v>
      </c>
    </row>
    <row r="98">
      <c r="A98" s="79" t="n">
        <v>39965</v>
      </c>
      <c r="B98" t="n">
        <v>-244</v>
      </c>
    </row>
    <row r="99">
      <c r="A99" s="79" t="n">
        <v>39995</v>
      </c>
      <c r="B99" t="n">
        <v>-334</v>
      </c>
    </row>
    <row r="100">
      <c r="A100" s="79" t="n">
        <v>40026</v>
      </c>
      <c r="B100" t="n">
        <v>-180</v>
      </c>
    </row>
    <row r="101">
      <c r="A101" s="79" t="n">
        <v>40057</v>
      </c>
      <c r="B101" t="n">
        <v>-212</v>
      </c>
    </row>
    <row r="102">
      <c r="A102" s="79" t="n">
        <v>40087</v>
      </c>
      <c r="B102" t="n">
        <v>-126</v>
      </c>
    </row>
    <row r="103">
      <c r="A103" s="79" t="n">
        <v>40118</v>
      </c>
      <c r="B103" t="n">
        <v>-114</v>
      </c>
    </row>
    <row r="104">
      <c r="A104" s="79" t="n">
        <v>40148</v>
      </c>
      <c r="B104" t="n">
        <v>-374</v>
      </c>
    </row>
    <row r="105">
      <c r="A105" s="79" t="n">
        <v>40179</v>
      </c>
      <c r="B105" t="n">
        <v>-212</v>
      </c>
    </row>
    <row r="106">
      <c r="A106" s="79" t="n">
        <v>40210</v>
      </c>
      <c r="B106" t="n">
        <v>-137</v>
      </c>
    </row>
    <row r="107">
      <c r="A107" s="79" t="n">
        <v>40238</v>
      </c>
      <c r="B107" t="n">
        <v>-219</v>
      </c>
    </row>
    <row r="108">
      <c r="A108" s="79" t="n">
        <v>40269</v>
      </c>
      <c r="B108" t="n">
        <v>-113</v>
      </c>
    </row>
    <row r="109">
      <c r="A109" s="79" t="n">
        <v>40299</v>
      </c>
      <c r="B109" t="n">
        <v>147</v>
      </c>
    </row>
    <row r="110">
      <c r="A110" s="79" t="n">
        <v>40330</v>
      </c>
      <c r="B110" t="n">
        <v>152</v>
      </c>
    </row>
    <row r="111">
      <c r="A111" s="79" t="n">
        <v>40360</v>
      </c>
      <c r="B111" t="n">
        <v>102</v>
      </c>
    </row>
    <row r="112">
      <c r="A112" s="79" t="n">
        <v>40391</v>
      </c>
      <c r="B112" t="n">
        <v>159</v>
      </c>
    </row>
    <row r="113">
      <c r="A113" s="79" t="n">
        <v>40422</v>
      </c>
      <c r="B113" t="n">
        <v>99</v>
      </c>
    </row>
    <row r="114">
      <c r="A114" s="79" t="n">
        <v>40452</v>
      </c>
      <c r="B114" t="n">
        <v>117</v>
      </c>
    </row>
    <row r="115">
      <c r="A115" s="79" t="n">
        <v>40483</v>
      </c>
      <c r="B115" t="n">
        <v>219</v>
      </c>
    </row>
    <row r="116">
      <c r="A116" s="79" t="n">
        <v>40513</v>
      </c>
      <c r="B116" t="n">
        <v>141</v>
      </c>
    </row>
    <row r="117">
      <c r="A117" s="79" t="n">
        <v>40544</v>
      </c>
      <c r="B117" t="n">
        <v>85</v>
      </c>
    </row>
    <row r="118">
      <c r="A118" s="79" t="n">
        <v>40575</v>
      </c>
      <c r="B118" t="n">
        <v>137</v>
      </c>
    </row>
    <row r="119">
      <c r="A119" s="79" t="n">
        <v>40603</v>
      </c>
      <c r="B119" t="n">
        <v>164</v>
      </c>
    </row>
    <row r="120">
      <c r="A120" s="79" t="n">
        <v>40634</v>
      </c>
      <c r="B120" t="n">
        <v>213</v>
      </c>
    </row>
    <row r="121">
      <c r="A121" s="79" t="n">
        <v>40664</v>
      </c>
      <c r="B121" t="n">
        <v>299</v>
      </c>
    </row>
    <row r="122">
      <c r="A122" s="79" t="n">
        <v>40695</v>
      </c>
      <c r="B122" t="n">
        <v>254</v>
      </c>
    </row>
    <row r="123">
      <c r="A123" s="79" t="n">
        <v>40725</v>
      </c>
      <c r="B123" t="n">
        <v>263</v>
      </c>
    </row>
    <row r="124">
      <c r="A124" s="79" t="n">
        <v>40756</v>
      </c>
      <c r="B124" t="n">
        <v>213</v>
      </c>
    </row>
    <row r="125">
      <c r="A125" s="79" t="n">
        <v>40787</v>
      </c>
      <c r="B125" t="n">
        <v>216</v>
      </c>
    </row>
    <row r="126">
      <c r="A126" s="79" t="n">
        <v>40817</v>
      </c>
      <c r="B126" t="n">
        <v>227</v>
      </c>
    </row>
    <row r="127">
      <c r="A127" s="79" t="n">
        <v>40848</v>
      </c>
      <c r="B127" t="n">
        <v>191</v>
      </c>
    </row>
    <row r="128">
      <c r="A128" s="79" t="n">
        <v>40878</v>
      </c>
      <c r="B128" t="n">
        <v>127</v>
      </c>
    </row>
    <row r="129">
      <c r="A129" s="79" t="n">
        <v>40909</v>
      </c>
      <c r="B129" t="n">
        <v>194</v>
      </c>
    </row>
    <row r="130">
      <c r="A130" s="79" t="n">
        <v>40940</v>
      </c>
      <c r="B130" t="n">
        <v>199</v>
      </c>
    </row>
    <row r="131">
      <c r="A131" s="79" t="n">
        <v>40969</v>
      </c>
      <c r="B131" t="n">
        <v>281</v>
      </c>
    </row>
    <row r="132">
      <c r="A132" s="79" t="n">
        <v>41000</v>
      </c>
      <c r="B132" t="n">
        <v>250</v>
      </c>
    </row>
    <row r="133">
      <c r="A133" s="79" t="n">
        <v>41030</v>
      </c>
      <c r="B133" t="n">
        <v>83</v>
      </c>
    </row>
    <row r="134">
      <c r="A134" s="79" t="n">
        <v>41061</v>
      </c>
      <c r="B134" t="n">
        <v>153</v>
      </c>
    </row>
    <row r="135">
      <c r="A135" s="79" t="n">
        <v>41091</v>
      </c>
      <c r="B135" t="n">
        <v>79</v>
      </c>
    </row>
    <row r="136">
      <c r="A136" s="79" t="n">
        <v>41122</v>
      </c>
      <c r="B136" t="n">
        <v>142</v>
      </c>
    </row>
    <row r="137">
      <c r="A137" s="79" t="n">
        <v>41153</v>
      </c>
      <c r="B137" t="n">
        <v>184</v>
      </c>
    </row>
    <row r="138">
      <c r="A138" s="79" t="n">
        <v>41183</v>
      </c>
      <c r="B138" t="n">
        <v>150</v>
      </c>
    </row>
    <row r="139">
      <c r="A139" s="79" t="n">
        <v>41214</v>
      </c>
      <c r="B139" t="n">
        <v>227</v>
      </c>
    </row>
    <row r="140">
      <c r="A140" s="79" t="n">
        <v>41244</v>
      </c>
      <c r="B140" t="n">
        <v>159</v>
      </c>
    </row>
    <row r="141">
      <c r="A141" s="79" t="n">
        <v>41275</v>
      </c>
      <c r="B141" t="n">
        <v>231</v>
      </c>
    </row>
    <row r="142">
      <c r="A142" s="79" t="n">
        <v>41306</v>
      </c>
      <c r="B142" t="n">
        <v>208</v>
      </c>
    </row>
    <row r="143">
      <c r="A143" s="79" t="n">
        <v>41334</v>
      </c>
      <c r="B143" t="n">
        <v>203</v>
      </c>
    </row>
    <row r="144">
      <c r="A144" s="79" t="n">
        <v>41365</v>
      </c>
      <c r="B144" t="n">
        <v>181</v>
      </c>
    </row>
    <row r="145">
      <c r="A145" s="79" t="n">
        <v>41395</v>
      </c>
      <c r="B145" t="n">
        <v>126</v>
      </c>
    </row>
    <row r="146">
      <c r="A146" s="79" t="n">
        <v>41426</v>
      </c>
      <c r="B146" t="n">
        <v>210</v>
      </c>
    </row>
    <row r="147">
      <c r="A147" s="79" t="n">
        <v>41456</v>
      </c>
      <c r="B147" t="n">
        <v>217</v>
      </c>
    </row>
    <row r="148">
      <c r="A148" s="79" t="n">
        <v>41487</v>
      </c>
      <c r="B148" t="n">
        <v>157</v>
      </c>
    </row>
    <row r="149">
      <c r="A149" s="79" t="n">
        <v>41518</v>
      </c>
      <c r="B149" t="n">
        <v>206</v>
      </c>
    </row>
    <row r="150">
      <c r="A150" s="79" t="n">
        <v>41548</v>
      </c>
      <c r="B150" t="n">
        <v>243</v>
      </c>
    </row>
    <row r="151">
      <c r="A151" s="79" t="n">
        <v>41579</v>
      </c>
      <c r="B151" t="n">
        <v>211</v>
      </c>
    </row>
    <row r="152">
      <c r="A152" s="79" t="n">
        <v>41609</v>
      </c>
      <c r="B152" t="n">
        <v>195</v>
      </c>
    </row>
    <row r="153">
      <c r="A153" s="79" t="n">
        <v>41640</v>
      </c>
      <c r="B153" t="n">
        <v>178</v>
      </c>
    </row>
    <row r="154">
      <c r="A154" s="79" t="n">
        <v>41671</v>
      </c>
      <c r="B154" t="n">
        <v>212</v>
      </c>
    </row>
    <row r="155">
      <c r="A155" s="79" t="n">
        <v>41699</v>
      </c>
      <c r="B155" t="n">
        <v>190</v>
      </c>
    </row>
    <row r="156">
      <c r="A156" s="79" t="n">
        <v>41730</v>
      </c>
      <c r="B156" t="n">
        <v>179</v>
      </c>
    </row>
    <row r="157">
      <c r="A157" s="79" t="n">
        <v>41760</v>
      </c>
      <c r="B157" t="n">
        <v>278</v>
      </c>
    </row>
    <row r="158">
      <c r="A158" s="79" t="n">
        <v>41791</v>
      </c>
      <c r="B158" t="n">
        <v>202</v>
      </c>
    </row>
    <row r="159">
      <c r="A159" s="79" t="n">
        <v>41821</v>
      </c>
      <c r="B159" t="n">
        <v>292</v>
      </c>
    </row>
    <row r="160">
      <c r="A160" s="79" t="n">
        <v>41852</v>
      </c>
      <c r="B160" t="n">
        <v>223</v>
      </c>
    </row>
    <row r="161">
      <c r="A161" s="79" t="n">
        <v>41883</v>
      </c>
      <c r="B161" t="n">
        <v>230</v>
      </c>
    </row>
    <row r="162">
      <c r="A162" s="79" t="n">
        <v>41913</v>
      </c>
      <c r="B162" t="n">
        <v>251</v>
      </c>
    </row>
    <row r="163">
      <c r="A163" s="79" t="n">
        <v>41944</v>
      </c>
      <c r="B163" t="n">
        <v>252</v>
      </c>
    </row>
    <row r="164">
      <c r="A164" s="79" t="n">
        <v>41974</v>
      </c>
      <c r="B164" t="n">
        <v>195</v>
      </c>
    </row>
    <row r="165">
      <c r="A165" s="79" t="n">
        <v>42005</v>
      </c>
      <c r="B165" t="n">
        <v>292</v>
      </c>
    </row>
    <row r="166">
      <c r="A166" s="79" t="n">
        <v>42036</v>
      </c>
      <c r="B166" t="n">
        <v>191</v>
      </c>
    </row>
    <row r="167">
      <c r="A167" s="79" t="n">
        <v>42064</v>
      </c>
      <c r="B167" t="n">
        <v>226</v>
      </c>
    </row>
    <row r="168">
      <c r="A168" s="79" t="n">
        <v>42095</v>
      </c>
      <c r="B168" t="n">
        <v>178</v>
      </c>
    </row>
    <row r="169">
      <c r="A169" s="79" t="n">
        <v>42125</v>
      </c>
      <c r="B169" t="n">
        <v>179</v>
      </c>
    </row>
    <row r="170">
      <c r="A170" s="79" t="n">
        <v>42156</v>
      </c>
      <c r="B170" t="n">
        <v>296</v>
      </c>
    </row>
    <row r="171">
      <c r="A171" s="79" t="n">
        <v>42186</v>
      </c>
      <c r="B171" t="n">
        <v>219</v>
      </c>
    </row>
    <row r="172">
      <c r="A172" s="79" t="n">
        <v>42217</v>
      </c>
      <c r="B172" t="n">
        <v>190</v>
      </c>
    </row>
    <row r="173">
      <c r="A173" s="79" t="n">
        <v>42248</v>
      </c>
      <c r="B173" t="n">
        <v>190</v>
      </c>
    </row>
    <row r="174">
      <c r="A174" s="79" t="n">
        <v>42278</v>
      </c>
      <c r="B174" t="n">
        <v>204</v>
      </c>
    </row>
    <row r="175">
      <c r="A175" s="79" t="n">
        <v>42309</v>
      </c>
      <c r="B175" t="n">
        <v>186</v>
      </c>
    </row>
    <row r="176">
      <c r="A176" s="79" t="n">
        <v>42339</v>
      </c>
      <c r="B176" t="n">
        <v>223</v>
      </c>
    </row>
    <row r="177">
      <c r="A177" s="79" t="n">
        <v>42370</v>
      </c>
      <c r="B177" t="n">
        <v>271</v>
      </c>
    </row>
    <row r="178">
      <c r="A178" s="79" t="n">
        <v>42401</v>
      </c>
      <c r="B178" t="n">
        <v>130</v>
      </c>
    </row>
    <row r="179">
      <c r="A179" s="79" t="n">
        <v>42430</v>
      </c>
      <c r="B179" t="n">
        <v>241</v>
      </c>
    </row>
    <row r="180">
      <c r="A180" s="79" t="n">
        <v>42461</v>
      </c>
      <c r="B180" t="n">
        <v>205</v>
      </c>
    </row>
    <row r="181">
      <c r="A181" s="79" t="n">
        <v>42491</v>
      </c>
      <c r="B181" t="n">
        <v>170</v>
      </c>
    </row>
    <row r="182">
      <c r="A182" s="79" t="n">
        <v>42522</v>
      </c>
      <c r="B182" t="n">
        <v>84</v>
      </c>
    </row>
    <row r="183">
      <c r="A183" s="79" t="n">
        <v>42552</v>
      </c>
      <c r="B183" t="n">
        <v>255</v>
      </c>
    </row>
    <row r="184">
      <c r="A184" s="79" t="n">
        <v>42583</v>
      </c>
      <c r="B184" t="n">
        <v>152</v>
      </c>
    </row>
    <row r="185">
      <c r="A185" s="79" t="n">
        <v>42614</v>
      </c>
      <c r="B185" t="n">
        <v>192</v>
      </c>
    </row>
    <row r="186">
      <c r="A186" s="79" t="n">
        <v>42644</v>
      </c>
      <c r="B186" t="n">
        <v>181</v>
      </c>
    </row>
    <row r="187">
      <c r="A187" s="79" t="n">
        <v>42675</v>
      </c>
      <c r="B187" t="n">
        <v>91</v>
      </c>
    </row>
    <row r="188">
      <c r="A188" s="79" t="n">
        <v>42705</v>
      </c>
      <c r="B188" t="n">
        <v>236</v>
      </c>
    </row>
    <row r="189">
      <c r="A189" s="79" t="n">
        <v>42736</v>
      </c>
      <c r="B189" t="n">
        <v>105</v>
      </c>
    </row>
    <row r="190">
      <c r="A190" s="79" t="n">
        <v>42767</v>
      </c>
      <c r="B190" t="n">
        <v>224</v>
      </c>
    </row>
    <row r="191">
      <c r="A191" s="79" t="n">
        <v>42795</v>
      </c>
      <c r="B191" t="n">
        <v>237</v>
      </c>
    </row>
    <row r="192">
      <c r="A192" s="79" t="n">
        <v>42826</v>
      </c>
      <c r="B192" t="n">
        <v>209</v>
      </c>
    </row>
    <row r="193">
      <c r="A193" s="79" t="n">
        <v>42856</v>
      </c>
      <c r="B193" t="n">
        <v>173</v>
      </c>
    </row>
    <row r="194">
      <c r="A194" s="79" t="n">
        <v>42887</v>
      </c>
      <c r="B194" t="n">
        <v>170</v>
      </c>
    </row>
    <row r="195">
      <c r="A195" s="79" t="n">
        <v>42917</v>
      </c>
      <c r="B195" t="n">
        <v>135</v>
      </c>
    </row>
    <row r="196">
      <c r="A196" s="79" t="n">
        <v>42948</v>
      </c>
      <c r="B196" t="n">
        <v>183</v>
      </c>
    </row>
    <row r="197">
      <c r="A197" s="79" t="n">
        <v>42979</v>
      </c>
      <c r="B197" t="n">
        <v>174</v>
      </c>
    </row>
    <row r="198">
      <c r="A198" s="79" t="n">
        <v>43009</v>
      </c>
      <c r="B198" t="n">
        <v>111</v>
      </c>
    </row>
    <row r="199">
      <c r="A199" s="79" t="n">
        <v>43040</v>
      </c>
      <c r="B199" t="n">
        <v>158</v>
      </c>
    </row>
    <row r="200">
      <c r="A200" s="79" t="n">
        <v>43070</v>
      </c>
      <c r="B200" t="n">
        <v>207</v>
      </c>
    </row>
    <row r="201">
      <c r="A201" s="79" t="n">
        <v>43101</v>
      </c>
      <c r="B201" t="n">
        <v>241</v>
      </c>
    </row>
    <row r="202">
      <c r="A202" s="79" t="n">
        <v>43132</v>
      </c>
      <c r="B202" t="n">
        <v>252</v>
      </c>
    </row>
    <row r="203">
      <c r="A203" s="79" t="n">
        <v>43160</v>
      </c>
      <c r="B203" t="n">
        <v>219</v>
      </c>
    </row>
    <row r="204">
      <c r="A204" s="79" t="n">
        <v>43191</v>
      </c>
      <c r="B204" t="n">
        <v>213</v>
      </c>
    </row>
    <row r="205">
      <c r="A205" s="79" t="n">
        <v>43221</v>
      </c>
      <c r="B205" t="n">
        <v>178</v>
      </c>
    </row>
    <row r="206">
      <c r="A206" s="79" t="n">
        <v>43252</v>
      </c>
      <c r="B206" t="n">
        <v>276</v>
      </c>
    </row>
    <row r="207">
      <c r="A207" s="79" t="n">
        <v>43282</v>
      </c>
      <c r="B207" t="n">
        <v>221</v>
      </c>
    </row>
    <row r="208">
      <c r="A208" s="79" t="n">
        <v>43313</v>
      </c>
      <c r="B208" t="n">
        <v>284</v>
      </c>
    </row>
    <row r="209">
      <c r="A209" s="79" t="n">
        <v>43344</v>
      </c>
      <c r="B209" t="n">
        <v>159</v>
      </c>
    </row>
    <row r="210">
      <c r="A210" s="79" t="n">
        <v>43374</v>
      </c>
      <c r="B210" t="n">
        <v>199</v>
      </c>
    </row>
    <row r="211">
      <c r="A211" s="79" t="n">
        <v>43405</v>
      </c>
      <c r="B211" t="n">
        <v>238</v>
      </c>
    </row>
    <row r="212">
      <c r="A212" s="79" t="n">
        <v>43435</v>
      </c>
      <c r="B212" t="n">
        <v>136</v>
      </c>
    </row>
    <row r="213">
      <c r="A213" s="79" t="n">
        <v>43466</v>
      </c>
      <c r="B213" t="n">
        <v>249</v>
      </c>
    </row>
    <row r="214">
      <c r="A214" s="79" t="n">
        <v>43497</v>
      </c>
      <c r="B214" t="n">
        <v>264</v>
      </c>
    </row>
    <row r="215">
      <c r="A215" s="79" t="n">
        <v>43525</v>
      </c>
      <c r="B215" t="n">
        <v>220</v>
      </c>
    </row>
    <row r="216">
      <c r="A216" s="79" t="n">
        <v>43556</v>
      </c>
      <c r="B216" t="n">
        <v>158</v>
      </c>
    </row>
    <row r="217">
      <c r="A217" s="79" t="n">
        <v>43586</v>
      </c>
      <c r="B217" t="n">
        <v>255</v>
      </c>
    </row>
    <row r="218">
      <c r="A218" s="79" t="n">
        <v>43617</v>
      </c>
      <c r="B218" t="n">
        <v>46</v>
      </c>
    </row>
    <row r="219">
      <c r="A219" s="79" t="n">
        <v>43647</v>
      </c>
      <c r="B219" t="n">
        <v>107</v>
      </c>
    </row>
    <row r="220">
      <c r="A220" s="79" t="n">
        <v>43678</v>
      </c>
      <c r="B220" t="n">
        <v>143</v>
      </c>
    </row>
    <row r="221">
      <c r="A221" s="79" t="n">
        <v>43709</v>
      </c>
      <c r="B221" t="n">
        <v>159</v>
      </c>
    </row>
    <row r="222">
      <c r="A222" s="79" t="n">
        <v>43739</v>
      </c>
      <c r="B222" t="n">
        <v>124</v>
      </c>
    </row>
    <row r="223">
      <c r="A223" s="79" t="n">
        <v>43770</v>
      </c>
      <c r="B223" t="n">
        <v>151</v>
      </c>
    </row>
    <row r="224">
      <c r="A224" s="79" t="n">
        <v>43800</v>
      </c>
      <c r="B224" t="n">
        <v>124</v>
      </c>
    </row>
    <row r="225">
      <c r="A225" s="79" t="n">
        <v>43831</v>
      </c>
      <c r="B225" t="n">
        <v>199</v>
      </c>
    </row>
    <row r="226">
      <c r="A226" s="79" t="n">
        <v>43862</v>
      </c>
      <c r="B226" t="n">
        <v>209</v>
      </c>
    </row>
    <row r="227">
      <c r="A227" s="79" t="n">
        <v>43891</v>
      </c>
      <c r="B227" t="n">
        <v>183</v>
      </c>
    </row>
    <row r="228">
      <c r="A228" s="79" t="n">
        <v>43922</v>
      </c>
      <c r="B228" t="n">
        <v>-149</v>
      </c>
    </row>
    <row r="229">
      <c r="A229" s="79" t="n">
        <v>43952</v>
      </c>
      <c r="B229" t="n">
        <v>-19557</v>
      </c>
    </row>
    <row r="230">
      <c r="A230" s="79" t="n">
        <v>43983</v>
      </c>
      <c r="B230" t="n">
        <v>3065</v>
      </c>
    </row>
    <row r="231">
      <c r="A231" s="79" t="n">
        <v>44013</v>
      </c>
      <c r="B231" t="n">
        <v>2369</v>
      </c>
    </row>
    <row r="232">
      <c r="A232" s="79" t="n">
        <v>44044</v>
      </c>
      <c r="B232" t="n">
        <v>167</v>
      </c>
    </row>
    <row r="233">
      <c r="A233" s="79" t="n">
        <v>44075</v>
      </c>
      <c r="B233" t="n">
        <v>428</v>
      </c>
    </row>
    <row r="234">
      <c r="A234" s="79" t="n">
        <v>44105</v>
      </c>
      <c r="B234" t="n">
        <v>749</v>
      </c>
    </row>
    <row r="235">
      <c r="A235" s="79" t="n">
        <v>44136</v>
      </c>
      <c r="B235" t="n">
        <v>365</v>
      </c>
    </row>
    <row r="236">
      <c r="A236" s="79" t="n">
        <v>44166</v>
      </c>
      <c r="B236" t="n">
        <v>307</v>
      </c>
    </row>
    <row r="237">
      <c r="A237" s="79" t="n">
        <v>44197</v>
      </c>
      <c r="B237" t="n">
        <v>-123</v>
      </c>
    </row>
    <row r="238">
      <c r="A238" s="79" t="n">
        <v>44228</v>
      </c>
      <c r="B238" t="n">
        <v>174</v>
      </c>
    </row>
    <row r="239">
      <c r="A239" s="79" t="n">
        <v>44256</v>
      </c>
      <c r="B239" t="n">
        <v>117</v>
      </c>
    </row>
    <row r="240">
      <c r="A240" s="79" t="n">
        <v>44287</v>
      </c>
      <c r="B240" t="n">
        <v>517</v>
      </c>
    </row>
    <row r="241">
      <c r="A241" s="79" t="n">
        <v>44317</v>
      </c>
      <c r="B241" t="n">
        <v>742</v>
      </c>
    </row>
    <row r="242">
      <c r="A242" s="79" t="n">
        <v>44348</v>
      </c>
      <c r="B242" t="n">
        <v>978</v>
      </c>
    </row>
    <row r="243">
      <c r="A243" s="79" t="n">
        <v>44378</v>
      </c>
      <c r="B243" t="n">
        <v>692</v>
      </c>
    </row>
    <row r="244">
      <c r="A244" s="79" t="n">
        <v>44409</v>
      </c>
      <c r="B244" t="n">
        <v>330</v>
      </c>
    </row>
    <row r="245">
      <c r="A245" s="79" t="n">
        <v>44440</v>
      </c>
      <c r="B245" t="n">
        <v>374</v>
      </c>
    </row>
    <row r="246">
      <c r="A246" s="79" t="n">
        <v>44470</v>
      </c>
      <c r="B246" t="n">
        <v>568</v>
      </c>
    </row>
    <row r="247">
      <c r="A247" s="79" t="n">
        <v>44503</v>
      </c>
      <c r="B247" t="n">
        <v>571</v>
      </c>
    </row>
    <row r="248">
      <c r="A248" s="79" t="n">
        <v>44531</v>
      </c>
      <c r="B248" t="n">
        <v>534</v>
      </c>
    </row>
  </sheetData>
  <pageMargins left="0.7" right="0.7" top="0.75" bottom="0.75" header="0.3" footer="0.3"/>
</worksheet>
</file>

<file path=xl/worksheets/sheet5.xml><?xml version="1.0" encoding="utf-8"?>
<worksheet xmlns="http://schemas.openxmlformats.org/spreadsheetml/2006/main">
  <sheetPr codeName="Sheet2">
    <tabColor rgb="FF00B050"/>
    <outlinePr summaryBelow="1" summaryRight="1"/>
    <pageSetUpPr/>
  </sheetPr>
  <dimension ref="A1:AJ1003"/>
  <sheetViews>
    <sheetView zoomScale="120" zoomScaleNormal="120" workbookViewId="0">
      <pane ySplit="11" topLeftCell="A956" activePane="bottomLeft" state="frozen"/>
      <selection activeCell="F8" sqref="F8"/>
      <selection pane="bottomLeft" activeCell="F8" sqref="F8"/>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4" min="7" max="36"/>
  </cols>
  <sheetData>
    <row r="1" customFormat="1" s="64">
      <c r="A1" s="64" t="inlineStr">
        <is>
          <t>PAYEMS</t>
        </is>
      </c>
      <c r="B1" s="15" t="inlineStr">
        <is>
          <t>All Employees: Total Nonfarm Payrolls, Thousands of Persons, Monthly, Seasonally Adjusted</t>
        </is>
      </c>
      <c r="C1" s="15" t="n"/>
      <c r="D1" s="15" t="n"/>
      <c r="E1" s="15" t="n"/>
      <c r="F1" s="15" t="n"/>
    </row>
    <row r="2" ht="16" customFormat="1" customHeight="1" s="64" thickBot="1">
      <c r="B2" s="15" t="n"/>
      <c r="C2" s="15" t="n"/>
      <c r="D2" s="15" t="n"/>
      <c r="E2" s="15" t="n"/>
      <c r="F2" s="15" t="n"/>
    </row>
    <row r="3" customFormat="1" s="64">
      <c r="B3" s="15" t="n"/>
      <c r="C3" s="22" t="inlineStr">
        <is>
          <t>Max</t>
        </is>
      </c>
      <c r="D3" s="18">
        <f>MAX(C13:C1026)</f>
        <v/>
      </c>
      <c r="E3" s="15" t="n"/>
      <c r="F3" s="16" t="n"/>
    </row>
    <row r="4" customFormat="1" s="64">
      <c r="A4" s="17" t="n"/>
      <c r="B4" s="15" t="n"/>
      <c r="C4" s="23" t="inlineStr">
        <is>
          <t>Min</t>
        </is>
      </c>
      <c r="D4" s="19">
        <f>MIN(C13:C1026)</f>
        <v/>
      </c>
      <c r="E4" s="15" t="n"/>
      <c r="F4" s="15" t="n"/>
    </row>
    <row r="5" customFormat="1" s="64">
      <c r="B5" s="15" t="n"/>
      <c r="C5" s="23" t="inlineStr">
        <is>
          <t>Average</t>
        </is>
      </c>
      <c r="D5" s="20">
        <f>AVERAGE(C13:C1526)</f>
        <v/>
      </c>
      <c r="E5" s="15" t="n"/>
      <c r="F5" s="15" t="n"/>
    </row>
    <row r="6" ht="16" customFormat="1" customHeight="1" s="64" thickBot="1">
      <c r="B6" s="15" t="n"/>
      <c r="C6" s="24" t="inlineStr">
        <is>
          <t>Avg. since 2010</t>
        </is>
      </c>
      <c r="D6" s="21">
        <f>AVERAGE(C864:C1026)</f>
        <v/>
      </c>
      <c r="E6" s="15" t="n"/>
      <c r="F6" s="15" t="n"/>
    </row>
    <row r="7" customFormat="1" s="64">
      <c r="B7" s="15" t="n"/>
      <c r="C7" s="15" t="n"/>
      <c r="D7" s="15" t="n"/>
      <c r="E7" s="15" t="n"/>
      <c r="F7" s="15" t="n"/>
    </row>
    <row r="8" customFormat="1" s="64">
      <c r="C8" s="15" t="n"/>
      <c r="D8" s="15" t="n"/>
      <c r="E8" s="15" t="n"/>
      <c r="F8" s="15" t="n"/>
    </row>
    <row r="9" customFormat="1" s="64">
      <c r="B9" s="15" t="n"/>
      <c r="C9" s="15" t="n"/>
      <c r="D9" s="15" t="n"/>
      <c r="E9" s="15" t="n"/>
      <c r="F9" s="15" t="n"/>
    </row>
    <row r="10" customFormat="1" s="64">
      <c r="A10" s="64"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3" t="n"/>
      <c r="H11" s="63" t="n"/>
      <c r="I11" s="63" t="n"/>
      <c r="J11" s="63" t="n"/>
      <c r="K11" s="63" t="n"/>
      <c r="L11" s="63" t="n"/>
      <c r="M11" s="63" t="n"/>
      <c r="N11" s="63" t="n"/>
      <c r="O11" s="63" t="n"/>
      <c r="P11" s="63" t="n"/>
      <c r="Q11" s="63" t="n"/>
      <c r="R11" s="63" t="n"/>
      <c r="S11" s="63" t="n"/>
      <c r="T11" s="63" t="n"/>
      <c r="U11" s="63" t="n"/>
      <c r="V11" s="63" t="n"/>
      <c r="W11" s="63" t="n"/>
      <c r="X11" s="63" t="n"/>
      <c r="Y11" s="63" t="n"/>
      <c r="Z11" s="63" t="n"/>
      <c r="AA11" s="63" t="n"/>
      <c r="AB11" s="63" t="n"/>
      <c r="AC11" s="63" t="n"/>
      <c r="AD11" s="63" t="n"/>
      <c r="AE11" s="63" t="n"/>
      <c r="AF11" s="63" t="n"/>
      <c r="AG11" s="63" t="n"/>
      <c r="AH11" s="63" t="n"/>
      <c r="AI11" s="63" t="n"/>
      <c r="AJ11" s="63"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4"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4"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4"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4"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4"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4"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4"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4"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4"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4"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4"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4"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4"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4"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4"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4"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4"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4"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4"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4"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4"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f>B1003-B985</f>
        <v/>
      </c>
      <c r="K1003" s="47" t="n"/>
    </row>
  </sheetData>
  <conditionalFormatting sqref="C864:C1003">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4">
    <tabColor rgb="FF00B050"/>
    <outlinePr summaryBelow="1" summaryRight="1"/>
    <pageSetUpPr/>
  </sheetPr>
  <dimension ref="A1:E2855"/>
  <sheetViews>
    <sheetView zoomScale="130" zoomScaleNormal="130" workbookViewId="0">
      <pane ySplit="4" topLeftCell="A2674" activePane="bottomLeft" state="frozen"/>
      <selection activeCell="K1" sqref="K1"/>
      <selection pane="bottomLeft" activeCell="B2674" sqref="B2674"/>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4" min="6" max="168"/>
  </cols>
  <sheetData>
    <row r="1" customFormat="1" s="64">
      <c r="B1" s="64" t="inlineStr">
        <is>
          <t>ICSA</t>
        </is>
      </c>
      <c r="D1" s="64" t="inlineStr">
        <is>
          <t>CCSA</t>
        </is>
      </c>
    </row>
    <row r="2" customFormat="1" s="64"/>
    <row r="3" customFormat="1" s="64"/>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4">
      <c r="A2745" s="28" t="n">
        <v>43659</v>
      </c>
      <c r="B2745" s="25">
        <f>VLOOKUP(A2745,'Database Claims'!$A:$C,3,)</f>
        <v/>
      </c>
      <c r="C2745" s="29">
        <f>B2745-B2744</f>
        <v/>
      </c>
      <c r="D2745" s="25">
        <f>VLOOKUP(A2745,'Database Claims'!$A:$C,2,)</f>
        <v/>
      </c>
      <c r="E2745" s="29">
        <f>D2745-D2744</f>
        <v/>
      </c>
    </row>
    <row r="2746" customFormat="1" s="64">
      <c r="A2746" s="28" t="n">
        <v>43666</v>
      </c>
      <c r="B2746" s="29">
        <f>VLOOKUP(A2746,'Database Claims'!$A:$C,3,)</f>
        <v/>
      </c>
      <c r="C2746" s="29">
        <f>B2746-B2745</f>
        <v/>
      </c>
      <c r="D2746" s="29">
        <f>VLOOKUP(A2746,'Database Claims'!$A:$C,2,)</f>
        <v/>
      </c>
      <c r="E2746" s="29">
        <f>D2746-D2745</f>
        <v/>
      </c>
    </row>
    <row r="2747" customFormat="1" s="64">
      <c r="A2747" s="28" t="n">
        <v>43673</v>
      </c>
      <c r="B2747" s="25">
        <f>VLOOKUP(A2747,'Database Claims'!$A:$C,3,)</f>
        <v/>
      </c>
      <c r="C2747" s="29">
        <f>B2747-B2746</f>
        <v/>
      </c>
      <c r="D2747" s="25">
        <f>VLOOKUP(A2747,'Database Claims'!$A:$C,2,)</f>
        <v/>
      </c>
      <c r="E2747" s="29">
        <f>D2747-D2746</f>
        <v/>
      </c>
    </row>
    <row r="2748" customFormat="1" s="64">
      <c r="A2748" s="28" t="n">
        <v>43680</v>
      </c>
      <c r="B2748" s="29">
        <f>VLOOKUP(A2748,'Database Claims'!$A:$C,3,)</f>
        <v/>
      </c>
      <c r="C2748" s="29">
        <f>B2748-B2747</f>
        <v/>
      </c>
      <c r="D2748" s="29">
        <f>VLOOKUP(A2748,'Database Claims'!$A:$C,2,)</f>
        <v/>
      </c>
      <c r="E2748" s="29">
        <f>D2748-D2747</f>
        <v/>
      </c>
    </row>
    <row r="2749" customFormat="1" s="64">
      <c r="A2749" s="28" t="n">
        <v>43687</v>
      </c>
      <c r="B2749" s="25">
        <f>VLOOKUP(A2749,'Database Claims'!$A:$C,3,)</f>
        <v/>
      </c>
      <c r="C2749" s="29">
        <f>B2749-B2748</f>
        <v/>
      </c>
      <c r="D2749" s="25">
        <f>VLOOKUP(A2749,'Database Claims'!$A:$C,2,)</f>
        <v/>
      </c>
      <c r="E2749" s="29">
        <f>D2749-D2748</f>
        <v/>
      </c>
    </row>
    <row r="2750" customFormat="1" s="64">
      <c r="A2750" s="28" t="n">
        <v>43694</v>
      </c>
      <c r="B2750" s="29">
        <f>VLOOKUP(A2750,'Database Claims'!$A:$C,3,)</f>
        <v/>
      </c>
      <c r="C2750" s="29">
        <f>B2750-B2749</f>
        <v/>
      </c>
      <c r="D2750" s="29">
        <f>VLOOKUP(A2750,'Database Claims'!$A:$C,2,)</f>
        <v/>
      </c>
      <c r="E2750" s="29">
        <f>D2750-D2749</f>
        <v/>
      </c>
    </row>
    <row r="2751" customFormat="1" s="64">
      <c r="A2751" s="28" t="n">
        <v>43701</v>
      </c>
      <c r="B2751" s="25">
        <f>VLOOKUP(A2751,'Database Claims'!$A:$C,3,)</f>
        <v/>
      </c>
      <c r="C2751" s="29">
        <f>B2751-B2750</f>
        <v/>
      </c>
      <c r="D2751" s="25">
        <f>VLOOKUP(A2751,'Database Claims'!$A:$C,2,)</f>
        <v/>
      </c>
      <c r="E2751" s="29">
        <f>D2751-D2750</f>
        <v/>
      </c>
    </row>
    <row r="2752" customFormat="1" s="64">
      <c r="A2752" s="28" t="n">
        <v>43708</v>
      </c>
      <c r="B2752" s="29">
        <f>VLOOKUP(A2752,'Database Claims'!$A:$C,3,)</f>
        <v/>
      </c>
      <c r="C2752" s="29">
        <f>B2752-B2751</f>
        <v/>
      </c>
      <c r="D2752" s="29">
        <f>VLOOKUP(A2752,'Database Claims'!$A:$C,2,)</f>
        <v/>
      </c>
      <c r="E2752" s="29">
        <f>D2752-D2751</f>
        <v/>
      </c>
    </row>
    <row r="2753" customFormat="1" s="64">
      <c r="A2753" s="28" t="n">
        <v>43715</v>
      </c>
      <c r="B2753" s="25">
        <f>VLOOKUP(A2753,'Database Claims'!$A:$C,3,)</f>
        <v/>
      </c>
      <c r="C2753" s="29">
        <f>B2753-B2752</f>
        <v/>
      </c>
      <c r="D2753" s="25">
        <f>VLOOKUP(A2753,'Database Claims'!$A:$C,2,)</f>
        <v/>
      </c>
      <c r="E2753" s="29">
        <f>D2753-D2752</f>
        <v/>
      </c>
    </row>
    <row r="2754" customFormat="1" s="64">
      <c r="A2754" s="28" t="n">
        <v>43722</v>
      </c>
      <c r="B2754" s="29">
        <f>VLOOKUP(A2754,'Database Claims'!$A:$C,3,)</f>
        <v/>
      </c>
      <c r="C2754" s="29">
        <f>B2754-B2753</f>
        <v/>
      </c>
      <c r="D2754" s="29">
        <f>VLOOKUP(A2754,'Database Claims'!$A:$C,2,)</f>
        <v/>
      </c>
      <c r="E2754" s="29">
        <f>D2754-D2753</f>
        <v/>
      </c>
    </row>
    <row r="2755" customFormat="1" s="64">
      <c r="A2755" s="28" t="n">
        <v>43729</v>
      </c>
      <c r="B2755" s="25">
        <f>VLOOKUP(A2755,'Database Claims'!$A:$C,3,)</f>
        <v/>
      </c>
      <c r="C2755" s="29">
        <f>B2755-B2754</f>
        <v/>
      </c>
      <c r="D2755" s="25">
        <f>VLOOKUP(A2755,'Database Claims'!$A:$C,2,)</f>
        <v/>
      </c>
      <c r="E2755" s="29">
        <f>D2755-D2754</f>
        <v/>
      </c>
    </row>
    <row r="2756" customFormat="1" s="64">
      <c r="A2756" s="28" t="n">
        <v>43736</v>
      </c>
      <c r="B2756" s="29">
        <f>VLOOKUP(A2756,'Database Claims'!$A:$C,3,)</f>
        <v/>
      </c>
      <c r="C2756" s="29">
        <f>B2756-B2755</f>
        <v/>
      </c>
      <c r="D2756" s="29">
        <f>VLOOKUP(A2756,'Database Claims'!$A:$C,2,)</f>
        <v/>
      </c>
      <c r="E2756" s="29">
        <f>D2756-D2755</f>
        <v/>
      </c>
    </row>
    <row r="2757" customFormat="1" s="64">
      <c r="A2757" s="28" t="n">
        <v>43743</v>
      </c>
      <c r="B2757" s="25">
        <f>VLOOKUP(A2757,'Database Claims'!$A:$C,3,)</f>
        <v/>
      </c>
      <c r="C2757" s="29">
        <f>B2757-B2756</f>
        <v/>
      </c>
      <c r="D2757" s="25">
        <f>VLOOKUP(A2757,'Database Claims'!$A:$C,2,)</f>
        <v/>
      </c>
      <c r="E2757" s="29">
        <f>D2757-D2756</f>
        <v/>
      </c>
    </row>
    <row r="2758" customFormat="1" s="64">
      <c r="A2758" s="28" t="n">
        <v>43750</v>
      </c>
      <c r="B2758" s="29">
        <f>VLOOKUP(A2758,'Database Claims'!$A:$C,3,)</f>
        <v/>
      </c>
      <c r="C2758" s="29">
        <f>B2758-B2757</f>
        <v/>
      </c>
      <c r="D2758" s="29">
        <f>VLOOKUP(A2758,'Database Claims'!$A:$C,2,)</f>
        <v/>
      </c>
      <c r="E2758" s="29">
        <f>D2758-D2757</f>
        <v/>
      </c>
    </row>
    <row r="2759" customFormat="1" s="64">
      <c r="A2759" s="28" t="n">
        <v>43757</v>
      </c>
      <c r="B2759" s="25">
        <f>VLOOKUP(A2759,'Database Claims'!$A:$C,3,)</f>
        <v/>
      </c>
      <c r="C2759" s="29">
        <f>B2759-B2758</f>
        <v/>
      </c>
      <c r="D2759" s="25">
        <f>VLOOKUP(A2759,'Database Claims'!$A:$C,2,)</f>
        <v/>
      </c>
      <c r="E2759" s="29">
        <f>D2759-D2758</f>
        <v/>
      </c>
    </row>
    <row r="2760" customFormat="1" s="64">
      <c r="A2760" s="28" t="n">
        <v>43764</v>
      </c>
      <c r="B2760" s="29">
        <f>VLOOKUP(A2760,'Database Claims'!$A:$C,3,)</f>
        <v/>
      </c>
      <c r="C2760" s="29">
        <f>B2760-B2759</f>
        <v/>
      </c>
      <c r="D2760" s="29">
        <f>VLOOKUP(A2760,'Database Claims'!$A:$C,2,)</f>
        <v/>
      </c>
      <c r="E2760" s="29">
        <f>D2760-D2759</f>
        <v/>
      </c>
    </row>
    <row r="2761" customFormat="1" s="64">
      <c r="A2761" s="28" t="n">
        <v>43771</v>
      </c>
      <c r="B2761" s="25">
        <f>VLOOKUP(A2761,'Database Claims'!$A:$C,3,)</f>
        <v/>
      </c>
      <c r="C2761" s="29">
        <f>B2761-B2760</f>
        <v/>
      </c>
      <c r="D2761" s="25">
        <f>VLOOKUP(A2761,'Database Claims'!$A:$C,2,)</f>
        <v/>
      </c>
      <c r="E2761" s="29">
        <f>D2761-D2760</f>
        <v/>
      </c>
    </row>
    <row r="2762" customFormat="1" s="64">
      <c r="A2762" s="28" t="n">
        <v>43778</v>
      </c>
      <c r="B2762" s="29">
        <f>VLOOKUP(A2762,'Database Claims'!$A:$C,3,)</f>
        <v/>
      </c>
      <c r="C2762" s="29">
        <f>B2762-B2761</f>
        <v/>
      </c>
      <c r="D2762" s="29">
        <f>VLOOKUP(A2762,'Database Claims'!$A:$C,2,)</f>
        <v/>
      </c>
      <c r="E2762" s="29">
        <f>D2762-D2761</f>
        <v/>
      </c>
    </row>
    <row r="2763" customFormat="1" s="64">
      <c r="A2763" s="28" t="n">
        <v>43785</v>
      </c>
      <c r="B2763" s="25">
        <f>VLOOKUP(A2763,'Database Claims'!$A:$C,3,)</f>
        <v/>
      </c>
      <c r="C2763" s="29">
        <f>B2763-B2762</f>
        <v/>
      </c>
      <c r="D2763" s="25">
        <f>VLOOKUP(A2763,'Database Claims'!$A:$C,2,)</f>
        <v/>
      </c>
      <c r="E2763" s="29">
        <f>D2763-D2762</f>
        <v/>
      </c>
    </row>
    <row r="2764" customFormat="1" s="64">
      <c r="A2764" s="28" t="n">
        <v>43792</v>
      </c>
      <c r="B2764" s="29">
        <f>VLOOKUP(A2764,'Database Claims'!$A:$C,3,)</f>
        <v/>
      </c>
      <c r="C2764" s="29">
        <f>B2764-B2763</f>
        <v/>
      </c>
      <c r="D2764" s="29">
        <f>VLOOKUP(A2764,'Database Claims'!$A:$C,2,)</f>
        <v/>
      </c>
      <c r="E2764" s="29">
        <f>D2764-D2763</f>
        <v/>
      </c>
    </row>
    <row r="2765" customFormat="1" s="64">
      <c r="A2765" s="28" t="n">
        <v>43799</v>
      </c>
      <c r="B2765" s="25">
        <f>VLOOKUP(A2765,'Database Claims'!$A:$C,3,)</f>
        <v/>
      </c>
      <c r="C2765" s="29">
        <f>B2765-B2764</f>
        <v/>
      </c>
      <c r="D2765" s="25">
        <f>VLOOKUP(A2765,'Database Claims'!$A:$C,2,)</f>
        <v/>
      </c>
      <c r="E2765" s="29">
        <f>D2765-D2764</f>
        <v/>
      </c>
    </row>
    <row r="2766" customFormat="1" s="64">
      <c r="A2766" s="28" t="n">
        <v>43806</v>
      </c>
      <c r="B2766" s="29">
        <f>VLOOKUP(A2766,'Database Claims'!$A:$C,3,)</f>
        <v/>
      </c>
      <c r="C2766" s="29">
        <f>B2766-B2765</f>
        <v/>
      </c>
      <c r="D2766" s="29">
        <f>VLOOKUP(A2766,'Database Claims'!$A:$C,2,)</f>
        <v/>
      </c>
      <c r="E2766" s="29">
        <f>D2766-D2765</f>
        <v/>
      </c>
    </row>
    <row r="2767" customFormat="1" s="64">
      <c r="A2767" s="28" t="n">
        <v>43813</v>
      </c>
      <c r="B2767" s="25">
        <f>VLOOKUP(A2767,'Database Claims'!$A:$C,3,)</f>
        <v/>
      </c>
      <c r="C2767" s="29">
        <f>B2767-B2766</f>
        <v/>
      </c>
      <c r="D2767" s="25">
        <f>VLOOKUP(A2767,'Database Claims'!$A:$C,2,)</f>
        <v/>
      </c>
      <c r="E2767" s="29">
        <f>D2767-D2766</f>
        <v/>
      </c>
    </row>
    <row r="2768" customFormat="1" s="64">
      <c r="A2768" s="28" t="n">
        <v>43820</v>
      </c>
      <c r="B2768" s="29">
        <f>VLOOKUP(A2768,'Database Claims'!$A:$C,3,)</f>
        <v/>
      </c>
      <c r="C2768" s="29">
        <f>B2768-B2767</f>
        <v/>
      </c>
      <c r="D2768" s="29">
        <f>VLOOKUP(A2768,'Database Claims'!$A:$C,2,)</f>
        <v/>
      </c>
      <c r="E2768" s="29">
        <f>D2768-D2767</f>
        <v/>
      </c>
    </row>
    <row r="2769" customFormat="1" s="64">
      <c r="A2769" s="28" t="n">
        <v>43827</v>
      </c>
      <c r="B2769" s="25">
        <f>VLOOKUP(A2769,'Database Claims'!$A:$C,3,)</f>
        <v/>
      </c>
      <c r="C2769" s="29">
        <f>B2769-B2768</f>
        <v/>
      </c>
      <c r="D2769" s="25">
        <f>VLOOKUP(A2769,'Database Claims'!$A:$C,2,)</f>
        <v/>
      </c>
      <c r="E2769" s="29">
        <f>D2769-D2768</f>
        <v/>
      </c>
    </row>
    <row r="2770" customFormat="1" s="64">
      <c r="A2770" s="28" t="n">
        <v>43834</v>
      </c>
      <c r="B2770" s="29">
        <f>VLOOKUP(A2770,'Database Claims'!$A:$C,3,)</f>
        <v/>
      </c>
      <c r="C2770" s="29">
        <f>B2770-B2769</f>
        <v/>
      </c>
      <c r="D2770" s="29">
        <f>VLOOKUP(A2770,'Database Claims'!$A:$C,2,)</f>
        <v/>
      </c>
      <c r="E2770" s="29">
        <f>D2770-D2769</f>
        <v/>
      </c>
    </row>
    <row r="2771" customFormat="1" s="64">
      <c r="A2771" s="28" t="n">
        <v>43841</v>
      </c>
      <c r="B2771" s="25">
        <f>VLOOKUP(A2771,'Database Claims'!$A:$C,3,)</f>
        <v/>
      </c>
      <c r="C2771" s="29">
        <f>B2771-B2770</f>
        <v/>
      </c>
      <c r="D2771" s="25">
        <f>VLOOKUP(A2771,'Database Claims'!$A:$C,2,)</f>
        <v/>
      </c>
      <c r="E2771" s="29">
        <f>D2771-D2770</f>
        <v/>
      </c>
    </row>
    <row r="2772" customFormat="1" s="64">
      <c r="A2772" s="28" t="n">
        <v>43848</v>
      </c>
      <c r="B2772" s="29">
        <f>VLOOKUP(A2772,'Database Claims'!$A:$C,3,)</f>
        <v/>
      </c>
      <c r="C2772" s="29">
        <f>B2772-B2771</f>
        <v/>
      </c>
      <c r="D2772" s="29">
        <f>VLOOKUP(A2772,'Database Claims'!$A:$C,2,)</f>
        <v/>
      </c>
      <c r="E2772" s="29">
        <f>D2772-D2771</f>
        <v/>
      </c>
    </row>
    <row r="2773" customFormat="1" s="64">
      <c r="A2773" s="28" t="n">
        <v>43855</v>
      </c>
      <c r="B2773" s="25">
        <f>VLOOKUP(A2773,'Database Claims'!$A:$C,3,)</f>
        <v/>
      </c>
      <c r="C2773" s="29">
        <f>B2773-B2772</f>
        <v/>
      </c>
      <c r="D2773" s="25">
        <f>VLOOKUP(A2773,'Database Claims'!$A:$C,2,)</f>
        <v/>
      </c>
      <c r="E2773" s="29">
        <f>D2773-D2772</f>
        <v/>
      </c>
    </row>
    <row r="2774" customFormat="1" s="64">
      <c r="A2774" s="28" t="n">
        <v>43862</v>
      </c>
      <c r="B2774" s="29">
        <f>VLOOKUP(A2774,'Database Claims'!$A:$C,3,)</f>
        <v/>
      </c>
      <c r="C2774" s="29">
        <f>B2774-B2773</f>
        <v/>
      </c>
      <c r="D2774" s="29">
        <f>VLOOKUP(A2774,'Database Claims'!$A:$C,2,)</f>
        <v/>
      </c>
      <c r="E2774" s="29">
        <f>D2774-D2773</f>
        <v/>
      </c>
    </row>
    <row r="2775" customFormat="1" s="64">
      <c r="A2775" s="28" t="n">
        <v>43869</v>
      </c>
      <c r="B2775" s="25">
        <f>VLOOKUP(A2775,'Database Claims'!$A:$C,3,)</f>
        <v/>
      </c>
      <c r="C2775" s="29">
        <f>B2775-B2774</f>
        <v/>
      </c>
      <c r="D2775" s="25">
        <f>VLOOKUP(A2775,'Database Claims'!$A:$C,2,)</f>
        <v/>
      </c>
      <c r="E2775" s="29">
        <f>D2775-D2774</f>
        <v/>
      </c>
    </row>
    <row r="2776" customFormat="1" s="64">
      <c r="A2776" s="28" t="n">
        <v>43876</v>
      </c>
      <c r="B2776" s="29">
        <f>VLOOKUP(A2776,'Database Claims'!$A:$C,3,)</f>
        <v/>
      </c>
      <c r="C2776" s="29">
        <f>B2776-B2775</f>
        <v/>
      </c>
      <c r="D2776" s="29">
        <f>VLOOKUP(A2776,'Database Claims'!$A:$C,2,)</f>
        <v/>
      </c>
      <c r="E2776" s="29">
        <f>D2776-D2775</f>
        <v/>
      </c>
    </row>
    <row r="2777" customFormat="1" s="64">
      <c r="A2777" s="28" t="n">
        <v>43883</v>
      </c>
      <c r="B2777" s="25">
        <f>VLOOKUP(A2777,'Database Claims'!$A:$C,3,)</f>
        <v/>
      </c>
      <c r="C2777" s="29">
        <f>B2777-B2776</f>
        <v/>
      </c>
      <c r="D2777" s="25">
        <f>VLOOKUP(A2777,'Database Claims'!$A:$C,2,)</f>
        <v/>
      </c>
      <c r="E2777" s="29">
        <f>D2777-D2776</f>
        <v/>
      </c>
    </row>
    <row r="2778" customFormat="1" s="64">
      <c r="A2778" s="28" t="n">
        <v>43890</v>
      </c>
      <c r="B2778" s="29">
        <f>VLOOKUP(A2778,'Database Claims'!$A:$C,3,)</f>
        <v/>
      </c>
      <c r="C2778" s="29">
        <f>B2778-B2777</f>
        <v/>
      </c>
      <c r="D2778" s="29">
        <f>VLOOKUP(A2778,'Database Claims'!$A:$C,2,)</f>
        <v/>
      </c>
      <c r="E2778" s="29">
        <f>D2778-D2777</f>
        <v/>
      </c>
    </row>
    <row r="2779" customFormat="1" s="64">
      <c r="A2779" s="28" t="n">
        <v>43897</v>
      </c>
      <c r="B2779" s="25">
        <f>VLOOKUP(A2779,'Database Claims'!$A:$C,3,)</f>
        <v/>
      </c>
      <c r="C2779" s="29">
        <f>B2779-B2778</f>
        <v/>
      </c>
      <c r="D2779" s="25">
        <f>VLOOKUP(A2779,'Database Claims'!$A:$C,2,)</f>
        <v/>
      </c>
      <c r="E2779" s="29">
        <f>D2779-D2778</f>
        <v/>
      </c>
    </row>
    <row r="2780" customFormat="1" s="64">
      <c r="A2780" s="28" t="n">
        <v>43904</v>
      </c>
      <c r="B2780" s="29">
        <f>VLOOKUP(A2780,'Database Claims'!$A:$C,3,)</f>
        <v/>
      </c>
      <c r="C2780" s="29">
        <f>B2780-B2779</f>
        <v/>
      </c>
      <c r="D2780" s="29">
        <f>VLOOKUP(A2780,'Database Claims'!$A:$C,2,)</f>
        <v/>
      </c>
      <c r="E2780" s="29">
        <f>D2780-D2779</f>
        <v/>
      </c>
    </row>
    <row r="2781" customFormat="1" s="64">
      <c r="A2781" s="28" t="n">
        <v>43911</v>
      </c>
      <c r="B2781" s="25">
        <f>VLOOKUP(A2781,'Database Claims'!$A:$C,3,)</f>
        <v/>
      </c>
      <c r="C2781" s="29">
        <f>B2781-B2780</f>
        <v/>
      </c>
      <c r="D2781" s="25">
        <f>VLOOKUP(A2781,'Database Claims'!$A:$C,2,)</f>
        <v/>
      </c>
      <c r="E2781" s="29">
        <f>D2781-D2780</f>
        <v/>
      </c>
    </row>
    <row r="2782" customFormat="1" s="64">
      <c r="A2782" s="28" t="n">
        <v>43918</v>
      </c>
      <c r="B2782" s="29">
        <f>VLOOKUP(A2782,'Database Claims'!$A:$C,3,)</f>
        <v/>
      </c>
      <c r="C2782" s="29">
        <f>B2782-B2781</f>
        <v/>
      </c>
      <c r="D2782" s="29">
        <f>VLOOKUP(A2782,'Database Claims'!$A:$C,2,)</f>
        <v/>
      </c>
      <c r="E2782" s="29">
        <f>D2782-D2781</f>
        <v/>
      </c>
    </row>
    <row r="2783" customFormat="1" s="64">
      <c r="A2783" s="28" t="n">
        <v>43925</v>
      </c>
      <c r="B2783" s="25">
        <f>VLOOKUP(A2783,'Database Claims'!$A:$C,3,)</f>
        <v/>
      </c>
      <c r="C2783" s="29">
        <f>B2783-B2782</f>
        <v/>
      </c>
      <c r="D2783" s="25">
        <f>VLOOKUP(A2783,'Database Claims'!$A:$C,2,)</f>
        <v/>
      </c>
      <c r="E2783" s="29">
        <f>D2783-D2782</f>
        <v/>
      </c>
    </row>
    <row r="2784" customFormat="1" s="64">
      <c r="A2784" s="28" t="n">
        <v>43932</v>
      </c>
      <c r="B2784" s="29">
        <f>VLOOKUP(A2784,'Database Claims'!$A:$C,3,)</f>
        <v/>
      </c>
      <c r="C2784" s="29">
        <f>B2784-B2783</f>
        <v/>
      </c>
      <c r="D2784" s="29">
        <f>VLOOKUP(A2784,'Database Claims'!$A:$C,2,)</f>
        <v/>
      </c>
      <c r="E2784" s="29">
        <f>D2784-D2783</f>
        <v/>
      </c>
    </row>
    <row r="2785" customFormat="1" s="64">
      <c r="A2785" s="28" t="n">
        <v>43939</v>
      </c>
      <c r="B2785" s="25">
        <f>VLOOKUP(A2785,'Database Claims'!$A:$C,3,)</f>
        <v/>
      </c>
      <c r="C2785" s="29">
        <f>B2785-B2784</f>
        <v/>
      </c>
      <c r="D2785" s="25">
        <f>VLOOKUP(A2785,'Database Claims'!$A:$C,2,)</f>
        <v/>
      </c>
      <c r="E2785" s="29">
        <f>D2785-D2784</f>
        <v/>
      </c>
    </row>
    <row r="2786" customFormat="1" s="64">
      <c r="A2786" s="28" t="n">
        <v>43946</v>
      </c>
      <c r="B2786" s="29">
        <f>VLOOKUP(A2786,'Database Claims'!$A:$C,3,)</f>
        <v/>
      </c>
      <c r="C2786" s="29">
        <f>B2786-B2785</f>
        <v/>
      </c>
      <c r="D2786" s="29">
        <f>VLOOKUP(A2786,'Database Claims'!$A:$C,2,)</f>
        <v/>
      </c>
      <c r="E2786" s="29">
        <f>D2786-D2785</f>
        <v/>
      </c>
    </row>
    <row r="2787" customFormat="1" s="64">
      <c r="A2787" s="28" t="n">
        <v>43953</v>
      </c>
      <c r="B2787" s="25">
        <f>VLOOKUP(A2787,'Database Claims'!$A:$C,3,)</f>
        <v/>
      </c>
      <c r="C2787" s="29">
        <f>B2787-B2786</f>
        <v/>
      </c>
      <c r="D2787" s="25">
        <f>VLOOKUP(A2787,'Database Claims'!$A:$C,2,)</f>
        <v/>
      </c>
      <c r="E2787" s="29">
        <f>D2787-D2786</f>
        <v/>
      </c>
    </row>
    <row r="2788" customFormat="1" s="64">
      <c r="A2788" s="28" t="n">
        <v>43960</v>
      </c>
      <c r="B2788" s="29">
        <f>VLOOKUP(A2788,'Database Claims'!$A:$C,3,)</f>
        <v/>
      </c>
      <c r="C2788" s="29">
        <f>B2788-B2787</f>
        <v/>
      </c>
      <c r="D2788" s="29">
        <f>VLOOKUP(A2788,'Database Claims'!$A:$C,2,)</f>
        <v/>
      </c>
      <c r="E2788" s="29">
        <f>D2788-D2787</f>
        <v/>
      </c>
    </row>
    <row r="2789" customFormat="1" s="64">
      <c r="A2789" s="28" t="n">
        <v>43967</v>
      </c>
      <c r="B2789" s="25">
        <f>VLOOKUP(A2789,'Database Claims'!$A:$C,3,)</f>
        <v/>
      </c>
      <c r="C2789" s="29">
        <f>B2789-B2788</f>
        <v/>
      </c>
      <c r="D2789" s="25">
        <f>VLOOKUP(A2789,'Database Claims'!$A:$C,2,)</f>
        <v/>
      </c>
      <c r="E2789" s="29">
        <f>D2789-D2788</f>
        <v/>
      </c>
    </row>
    <row r="2790" customFormat="1" s="64">
      <c r="A2790" s="28" t="n">
        <v>43974</v>
      </c>
      <c r="B2790" s="29">
        <f>VLOOKUP(A2790,'Database Claims'!$A:$C,3,)</f>
        <v/>
      </c>
      <c r="C2790" s="29">
        <f>B2790-B2789</f>
        <v/>
      </c>
      <c r="D2790" s="29">
        <f>VLOOKUP(A2790,'Database Claims'!$A:$C,2,)</f>
        <v/>
      </c>
      <c r="E2790" s="29">
        <f>D2790-D2789</f>
        <v/>
      </c>
    </row>
    <row r="2791" customFormat="1" s="64">
      <c r="A2791" s="28" t="n">
        <v>43981</v>
      </c>
      <c r="B2791" s="25">
        <f>VLOOKUP(A2791,'Database Claims'!$A:$C,3,)</f>
        <v/>
      </c>
      <c r="C2791" s="29">
        <f>B2791-B2790</f>
        <v/>
      </c>
      <c r="D2791" s="25">
        <f>VLOOKUP(A2791,'Database Claims'!$A:$C,2,)</f>
        <v/>
      </c>
      <c r="E2791" s="29">
        <f>D2791-D2790</f>
        <v/>
      </c>
    </row>
    <row r="2792" customFormat="1" s="64">
      <c r="A2792" s="28" t="n">
        <v>43988</v>
      </c>
      <c r="B2792" s="29">
        <f>VLOOKUP(A2792,'Database Claims'!$A:$C,3,)</f>
        <v/>
      </c>
      <c r="C2792" s="29">
        <f>B2792-B2791</f>
        <v/>
      </c>
      <c r="D2792" s="29">
        <f>VLOOKUP(A2792,'Database Claims'!$A:$C,2,)</f>
        <v/>
      </c>
      <c r="E2792" s="29">
        <f>D2792-D2791</f>
        <v/>
      </c>
    </row>
    <row r="2793" customFormat="1" s="64">
      <c r="A2793" s="28" t="n">
        <v>43995</v>
      </c>
      <c r="B2793" s="25">
        <f>VLOOKUP(A2793,'Database Claims'!$A:$C,3,)</f>
        <v/>
      </c>
      <c r="C2793" s="29">
        <f>B2793-B2792</f>
        <v/>
      </c>
      <c r="D2793" s="25">
        <f>VLOOKUP(A2793,'Database Claims'!$A:$C,2,)</f>
        <v/>
      </c>
      <c r="E2793" s="29">
        <f>D2793-D2792</f>
        <v/>
      </c>
    </row>
    <row r="2794" customFormat="1" s="64">
      <c r="A2794" s="28" t="n">
        <v>44002</v>
      </c>
      <c r="B2794" s="29">
        <f>VLOOKUP(A2794,'Database Claims'!$A:$C,3,)</f>
        <v/>
      </c>
      <c r="C2794" s="29">
        <f>B2794-B2793</f>
        <v/>
      </c>
      <c r="D2794" s="29">
        <f>VLOOKUP(A2794,'Database Claims'!$A:$C,2,)</f>
        <v/>
      </c>
      <c r="E2794" s="29">
        <f>D2794-D2793</f>
        <v/>
      </c>
    </row>
    <row r="2795" customFormat="1" s="64">
      <c r="A2795" s="28" t="n">
        <v>44009</v>
      </c>
      <c r="B2795" s="25">
        <f>VLOOKUP(A2795,'Database Claims'!$A:$C,3,)</f>
        <v/>
      </c>
      <c r="C2795" s="29">
        <f>B2795-B2794</f>
        <v/>
      </c>
      <c r="D2795" s="25">
        <f>VLOOKUP(A2795,'Database Claims'!$A:$C,2,)</f>
        <v/>
      </c>
      <c r="E2795" s="29">
        <f>D2795-D2794</f>
        <v/>
      </c>
    </row>
    <row r="2796" customFormat="1" s="64">
      <c r="A2796" s="28" t="n">
        <v>44016</v>
      </c>
      <c r="B2796" s="29">
        <f>VLOOKUP(A2796,'Database Claims'!$A:$C,3,)</f>
        <v/>
      </c>
      <c r="C2796" s="29">
        <f>B2796-B2795</f>
        <v/>
      </c>
      <c r="D2796" s="29">
        <f>VLOOKUP(A2796,'Database Claims'!$A:$C,2,)</f>
        <v/>
      </c>
      <c r="E2796" s="29">
        <f>D2796-D2795</f>
        <v/>
      </c>
    </row>
    <row r="2797" customFormat="1" s="64">
      <c r="A2797" s="28" t="n">
        <v>44023</v>
      </c>
      <c r="B2797" s="25">
        <f>VLOOKUP(A2797,'Database Claims'!$A:$C,3,)</f>
        <v/>
      </c>
      <c r="C2797" s="29">
        <f>B2797-B2796</f>
        <v/>
      </c>
      <c r="D2797" s="25">
        <f>VLOOKUP(A2797,'Database Claims'!$A:$C,2,)</f>
        <v/>
      </c>
      <c r="E2797" s="29">
        <f>D2797-D2796</f>
        <v/>
      </c>
    </row>
    <row r="2798" customFormat="1" s="64">
      <c r="A2798" s="28" t="n">
        <v>44030</v>
      </c>
      <c r="B2798" s="29">
        <f>VLOOKUP(A2798,'Database Claims'!$A:$C,3,)</f>
        <v/>
      </c>
      <c r="C2798" s="29">
        <f>B2798-B2797</f>
        <v/>
      </c>
      <c r="D2798" s="29">
        <f>VLOOKUP(A2798,'Database Claims'!$A:$C,2,)</f>
        <v/>
      </c>
      <c r="E2798" s="29">
        <f>D2798-D2797</f>
        <v/>
      </c>
    </row>
    <row r="2799" customFormat="1" s="64">
      <c r="A2799" s="28" t="n">
        <v>44037</v>
      </c>
      <c r="B2799" s="25">
        <f>VLOOKUP(A2799,'Database Claims'!$A:$C,3,)</f>
        <v/>
      </c>
      <c r="C2799" s="29">
        <f>B2799-B2798</f>
        <v/>
      </c>
      <c r="D2799" s="25">
        <f>VLOOKUP(A2799,'Database Claims'!$A:$C,2,)</f>
        <v/>
      </c>
      <c r="E2799" s="29">
        <f>D2799-D2798</f>
        <v/>
      </c>
    </row>
    <row r="2800" customFormat="1" s="64">
      <c r="A2800" s="28" t="n">
        <v>44044</v>
      </c>
      <c r="B2800" s="29">
        <f>VLOOKUP(A2800,'Database Claims'!$A:$C,3,)</f>
        <v/>
      </c>
      <c r="C2800" s="29">
        <f>B2800-B2799</f>
        <v/>
      </c>
      <c r="D2800" s="29">
        <f>VLOOKUP(A2800,'Database Claims'!$A:$C,2,)</f>
        <v/>
      </c>
      <c r="E2800" s="29">
        <f>D2800-D2799</f>
        <v/>
      </c>
    </row>
    <row r="2801" customFormat="1" s="64">
      <c r="A2801" s="28" t="n">
        <v>44051</v>
      </c>
      <c r="B2801" s="25">
        <f>VLOOKUP(A2801,'Database Claims'!$A:$C,3,)</f>
        <v/>
      </c>
      <c r="C2801" s="29">
        <f>B2801-B2800</f>
        <v/>
      </c>
      <c r="D2801" s="25">
        <f>VLOOKUP(A2801,'Database Claims'!$A:$C,2,)</f>
        <v/>
      </c>
      <c r="E2801" s="29">
        <f>D2801-D2800</f>
        <v/>
      </c>
    </row>
    <row r="2802" customFormat="1" s="64">
      <c r="A2802" s="28" t="n">
        <v>44058</v>
      </c>
      <c r="B2802" s="29">
        <f>VLOOKUP(A2802,'Database Claims'!$A:$C,3,)</f>
        <v/>
      </c>
      <c r="C2802" s="29">
        <f>B2802-B2801</f>
        <v/>
      </c>
      <c r="D2802" s="29">
        <f>VLOOKUP(A2802,'Database Claims'!$A:$C,2,)</f>
        <v/>
      </c>
      <c r="E2802" s="29">
        <f>D2802-D2801</f>
        <v/>
      </c>
    </row>
    <row r="2803" customFormat="1" s="64">
      <c r="A2803" s="28" t="n">
        <v>44065</v>
      </c>
      <c r="B2803" s="25">
        <f>VLOOKUP(A2803,'Database Claims'!$A:$C,3,)</f>
        <v/>
      </c>
      <c r="C2803" s="29">
        <f>B2803-B2802</f>
        <v/>
      </c>
      <c r="D2803" s="25">
        <f>VLOOKUP(A2803,'Database Claims'!$A:$C,2,)</f>
        <v/>
      </c>
      <c r="E2803" s="29">
        <f>D2803-D2802</f>
        <v/>
      </c>
    </row>
    <row r="2804" customFormat="1" s="64">
      <c r="A2804" s="28" t="n">
        <v>44072</v>
      </c>
      <c r="B2804" s="29">
        <f>VLOOKUP(A2804,'Database Claims'!$A:$C,3,)</f>
        <v/>
      </c>
      <c r="C2804" s="29">
        <f>B2804-B2803</f>
        <v/>
      </c>
      <c r="D2804" s="29">
        <f>VLOOKUP(A2804,'Database Claims'!$A:$C,2,)</f>
        <v/>
      </c>
      <c r="E2804" s="29">
        <f>D2804-D2803</f>
        <v/>
      </c>
    </row>
    <row r="2805" customFormat="1" s="64">
      <c r="A2805" s="28" t="n">
        <v>44079</v>
      </c>
      <c r="B2805" s="25">
        <f>VLOOKUP(A2805,'Database Claims'!$A:$C,3,)</f>
        <v/>
      </c>
      <c r="C2805" s="29">
        <f>B2805-B2804</f>
        <v/>
      </c>
      <c r="D2805" s="25">
        <f>VLOOKUP(A2805,'Database Claims'!$A:$C,2,)</f>
        <v/>
      </c>
      <c r="E2805" s="29">
        <f>D2805-D2804</f>
        <v/>
      </c>
    </row>
    <row r="2806" customFormat="1" s="64">
      <c r="A2806" s="28" t="n">
        <v>44086</v>
      </c>
      <c r="B2806" s="29">
        <f>VLOOKUP(A2806,'Database Claims'!$A:$C,3,)</f>
        <v/>
      </c>
      <c r="C2806" s="29">
        <f>B2806-B2805</f>
        <v/>
      </c>
      <c r="D2806" s="29">
        <f>VLOOKUP(A2806,'Database Claims'!$A:$C,2,)</f>
        <v/>
      </c>
      <c r="E2806" s="29">
        <f>D2806-D2805</f>
        <v/>
      </c>
    </row>
    <row r="2807" customFormat="1" s="64">
      <c r="A2807" s="28" t="n">
        <v>44093</v>
      </c>
      <c r="B2807" s="25">
        <f>VLOOKUP(A2807,'Database Claims'!$A:$C,3,)</f>
        <v/>
      </c>
      <c r="C2807" s="29">
        <f>B2807-B2806</f>
        <v/>
      </c>
      <c r="D2807" s="25">
        <f>VLOOKUP(A2807,'Database Claims'!$A:$C,2,)</f>
        <v/>
      </c>
      <c r="E2807" s="29">
        <f>D2807-D2806</f>
        <v/>
      </c>
    </row>
    <row r="2808" customFormat="1" s="64">
      <c r="A2808" s="28" t="n">
        <v>44100</v>
      </c>
      <c r="B2808" s="29">
        <f>VLOOKUP(A2808,'Database Claims'!$A:$C,3,)</f>
        <v/>
      </c>
      <c r="C2808" s="29">
        <f>B2808-B2807</f>
        <v/>
      </c>
      <c r="D2808" s="29">
        <f>VLOOKUP(A2808,'Database Claims'!$A:$C,2,)</f>
        <v/>
      </c>
      <c r="E2808" s="29">
        <f>D2808-D2807</f>
        <v/>
      </c>
    </row>
    <row r="2809" customFormat="1" s="64">
      <c r="A2809" s="28" t="n">
        <v>44107</v>
      </c>
      <c r="B2809" s="25">
        <f>VLOOKUP(A2809,'Database Claims'!$A:$C,3,)</f>
        <v/>
      </c>
      <c r="C2809" s="29">
        <f>B2809-B2808</f>
        <v/>
      </c>
      <c r="D2809" s="25">
        <f>VLOOKUP(A2809,'Database Claims'!$A:$C,2,)</f>
        <v/>
      </c>
      <c r="E2809" s="29">
        <f>D2809-D2808</f>
        <v/>
      </c>
    </row>
    <row r="2810" customFormat="1" s="64">
      <c r="A2810" s="28" t="n">
        <v>44114</v>
      </c>
      <c r="B2810" s="29">
        <f>VLOOKUP(A2810,'Database Claims'!$A:$C,3,)</f>
        <v/>
      </c>
      <c r="C2810" s="29">
        <f>B2810-B2809</f>
        <v/>
      </c>
      <c r="D2810" s="29">
        <f>VLOOKUP(A2810,'Database Claims'!$A:$C,2,)</f>
        <v/>
      </c>
      <c r="E2810" s="29">
        <f>D2810-D2809</f>
        <v/>
      </c>
    </row>
    <row r="2811" customFormat="1" s="64">
      <c r="A2811" s="28" t="n">
        <v>44121</v>
      </c>
      <c r="B2811" s="25">
        <f>VLOOKUP(A2811,'Database Claims'!$A:$C,3,)</f>
        <v/>
      </c>
      <c r="C2811" s="29">
        <f>B2811-B2810</f>
        <v/>
      </c>
      <c r="D2811" s="25">
        <f>VLOOKUP(A2811,'Database Claims'!$A:$C,2,)</f>
        <v/>
      </c>
      <c r="E2811" s="29">
        <f>D2811-D2810</f>
        <v/>
      </c>
    </row>
    <row r="2812" customFormat="1" s="64">
      <c r="A2812" s="28" t="n">
        <v>44128</v>
      </c>
      <c r="B2812" s="29">
        <f>VLOOKUP(A2812,'Database Claims'!$A:$C,3,)</f>
        <v/>
      </c>
      <c r="C2812" s="29">
        <f>B2812-B2811</f>
        <v/>
      </c>
      <c r="D2812" s="29">
        <f>VLOOKUP(A2812,'Database Claims'!$A:$C,2,)</f>
        <v/>
      </c>
      <c r="E2812" s="29">
        <f>D2812-D2811</f>
        <v/>
      </c>
    </row>
    <row r="2813" customFormat="1" s="64">
      <c r="A2813" s="28" t="n">
        <v>44135</v>
      </c>
      <c r="B2813" s="25">
        <f>VLOOKUP(A2813,'Database Claims'!$A:$C,3,)</f>
        <v/>
      </c>
      <c r="C2813" s="29">
        <f>B2813-B2812</f>
        <v/>
      </c>
      <c r="D2813" s="25">
        <f>VLOOKUP(A2813,'Database Claims'!$A:$C,2,)</f>
        <v/>
      </c>
      <c r="E2813" s="29">
        <f>D2813-D2812</f>
        <v/>
      </c>
    </row>
    <row r="2814" customFormat="1" s="64">
      <c r="A2814" s="28" t="n">
        <v>44142</v>
      </c>
      <c r="B2814" s="29">
        <f>VLOOKUP(A2814,'Database Claims'!$A:$C,3,)</f>
        <v/>
      </c>
      <c r="C2814" s="29">
        <f>B2814-B2813</f>
        <v/>
      </c>
      <c r="D2814" s="29">
        <f>VLOOKUP(A2814,'Database Claims'!$A:$C,2,)</f>
        <v/>
      </c>
      <c r="E2814" s="29">
        <f>D2814-D2813</f>
        <v/>
      </c>
    </row>
    <row r="2815" customFormat="1" s="64">
      <c r="A2815" s="28" t="n">
        <v>44149</v>
      </c>
      <c r="B2815" s="25">
        <f>VLOOKUP(A2815,'Database Claims'!$A:$C,3,)</f>
        <v/>
      </c>
      <c r="C2815" s="29">
        <f>B2815-B2814</f>
        <v/>
      </c>
      <c r="D2815" s="25">
        <f>VLOOKUP(A2815,'Database Claims'!$A:$C,2,)</f>
        <v/>
      </c>
      <c r="E2815" s="29">
        <f>D2815-D2814</f>
        <v/>
      </c>
    </row>
    <row r="2816" customFormat="1" s="64">
      <c r="A2816" s="28" t="n">
        <v>44156</v>
      </c>
      <c r="B2816" s="29">
        <f>VLOOKUP(A2816,'Database Claims'!$A:$C,3,)</f>
        <v/>
      </c>
      <c r="C2816" s="29">
        <f>B2816-B2815</f>
        <v/>
      </c>
      <c r="D2816" s="29">
        <f>VLOOKUP(A2816,'Database Claims'!$A:$C,2,)</f>
        <v/>
      </c>
      <c r="E2816" s="29">
        <f>D2816-D2815</f>
        <v/>
      </c>
    </row>
    <row r="2817" customFormat="1" s="64">
      <c r="A2817" s="28" t="n">
        <v>44163</v>
      </c>
      <c r="B2817" s="25">
        <f>VLOOKUP(A2817,'Database Claims'!$A:$C,3,)</f>
        <v/>
      </c>
      <c r="C2817" s="29">
        <f>B2817-B2816</f>
        <v/>
      </c>
      <c r="D2817" s="25">
        <f>VLOOKUP(A2817,'Database Claims'!$A:$C,2,)</f>
        <v/>
      </c>
      <c r="E2817" s="29">
        <f>D2817-D2816</f>
        <v/>
      </c>
    </row>
    <row r="2818" customFormat="1" s="64">
      <c r="A2818" s="28" t="n">
        <v>44170</v>
      </c>
      <c r="B2818" s="29">
        <f>VLOOKUP(A2818,'Database Claims'!$A:$C,3,)</f>
        <v/>
      </c>
      <c r="C2818" s="29">
        <f>B2818-B2817</f>
        <v/>
      </c>
      <c r="D2818" s="29">
        <f>VLOOKUP(A2818,'Database Claims'!$A:$C,2,)</f>
        <v/>
      </c>
      <c r="E2818" s="29">
        <f>D2818-D2817</f>
        <v/>
      </c>
    </row>
    <row r="2819" customFormat="1" s="64">
      <c r="A2819" s="28" t="n">
        <v>44177</v>
      </c>
      <c r="B2819" s="25">
        <f>VLOOKUP(A2819,'Database Claims'!$A:$C,3,)</f>
        <v/>
      </c>
      <c r="C2819" s="29">
        <f>B2819-B2818</f>
        <v/>
      </c>
      <c r="D2819" s="25">
        <f>VLOOKUP(A2819,'Database Claims'!$A:$C,2,)</f>
        <v/>
      </c>
      <c r="E2819" s="29">
        <f>D2819-D2818</f>
        <v/>
      </c>
    </row>
    <row r="2820" customFormat="1" s="64">
      <c r="A2820" s="28" t="n">
        <v>44184</v>
      </c>
      <c r="B2820" s="29">
        <f>VLOOKUP(A2820,'Database Claims'!$A:$C,3,)</f>
        <v/>
      </c>
      <c r="C2820" s="29">
        <f>B2820-B2819</f>
        <v/>
      </c>
      <c r="D2820" s="29">
        <f>VLOOKUP(A2820,'Database Claims'!$A:$C,2,)</f>
        <v/>
      </c>
      <c r="E2820" s="29">
        <f>D2820-D2819</f>
        <v/>
      </c>
    </row>
    <row r="2821" customFormat="1" s="64">
      <c r="A2821" s="28" t="n">
        <v>44191</v>
      </c>
      <c r="B2821" s="25">
        <f>VLOOKUP(A2821,'Database Claims'!$A:$C,3,)</f>
        <v/>
      </c>
      <c r="C2821" s="29">
        <f>B2821-B2820</f>
        <v/>
      </c>
      <c r="D2821" s="25">
        <f>VLOOKUP(A2821,'Database Claims'!$A:$C,2,)</f>
        <v/>
      </c>
      <c r="E2821" s="29">
        <f>D2821-D2820</f>
        <v/>
      </c>
    </row>
    <row r="2822" customFormat="1" s="64">
      <c r="A2822" s="28" t="n">
        <v>44198</v>
      </c>
      <c r="B2822" s="29">
        <f>VLOOKUP(A2822,'Database Claims'!$A:$C,3,)</f>
        <v/>
      </c>
      <c r="C2822" s="29">
        <f>B2822-B2821</f>
        <v/>
      </c>
      <c r="D2822" s="29">
        <f>VLOOKUP(A2822,'Database Claims'!$A:$C,2,)</f>
        <v/>
      </c>
      <c r="E2822" s="29">
        <f>D2822-D2821</f>
        <v/>
      </c>
    </row>
    <row r="2823" customFormat="1" s="64">
      <c r="A2823" s="28" t="n">
        <v>44205</v>
      </c>
      <c r="B2823" s="25">
        <f>VLOOKUP(A2823,'Database Claims'!$A:$C,3,)</f>
        <v/>
      </c>
      <c r="C2823" s="29">
        <f>B2823-B2822</f>
        <v/>
      </c>
      <c r="D2823" s="25">
        <f>VLOOKUP(A2823,'Database Claims'!$A:$C,2,)</f>
        <v/>
      </c>
      <c r="E2823" s="29">
        <f>D2823-D2822</f>
        <v/>
      </c>
    </row>
    <row r="2824" customFormat="1" s="64">
      <c r="A2824" s="28" t="n">
        <v>44212</v>
      </c>
      <c r="B2824" s="29">
        <f>VLOOKUP(A2824,'Database Claims'!$A:$C,3,)</f>
        <v/>
      </c>
      <c r="C2824" s="29">
        <f>B2824-B2823</f>
        <v/>
      </c>
      <c r="D2824" s="29">
        <f>VLOOKUP(A2824,'Database Claims'!$A:$C,2,)</f>
        <v/>
      </c>
      <c r="E2824" s="29">
        <f>D2824-D2823</f>
        <v/>
      </c>
    </row>
    <row r="2825" customFormat="1" s="64">
      <c r="A2825" s="28" t="n">
        <v>44219</v>
      </c>
      <c r="B2825" s="25">
        <f>VLOOKUP(A2825,'Database Claims'!$A:$C,3,)</f>
        <v/>
      </c>
      <c r="C2825" s="29">
        <f>B2825-B2824</f>
        <v/>
      </c>
      <c r="D2825" s="25">
        <f>VLOOKUP(A2825,'Database Claims'!$A:$C,2,)</f>
        <v/>
      </c>
      <c r="E2825" s="29">
        <f>D2825-D2824</f>
        <v/>
      </c>
    </row>
    <row r="2826" customFormat="1" s="64">
      <c r="A2826" s="28" t="n">
        <v>44226</v>
      </c>
      <c r="B2826" s="29">
        <f>VLOOKUP(A2826,'Database Claims'!$A:$C,3,)</f>
        <v/>
      </c>
      <c r="C2826" s="29">
        <f>B2826-B2825</f>
        <v/>
      </c>
      <c r="D2826" s="29">
        <f>VLOOKUP(A2826,'Database Claims'!$A:$C,2,)</f>
        <v/>
      </c>
      <c r="E2826" s="29">
        <f>D2826-D2825</f>
        <v/>
      </c>
    </row>
    <row r="2827" customFormat="1" s="64">
      <c r="A2827" s="28" t="n">
        <v>44233</v>
      </c>
      <c r="B2827" s="25">
        <f>VLOOKUP(A2827,'Database Claims'!$A:$C,3,)</f>
        <v/>
      </c>
      <c r="C2827" s="29">
        <f>B2827-B2826</f>
        <v/>
      </c>
      <c r="D2827" s="25">
        <f>VLOOKUP(A2827,'Database Claims'!$A:$C,2,)</f>
        <v/>
      </c>
      <c r="E2827" s="29">
        <f>D2827-D2826</f>
        <v/>
      </c>
    </row>
    <row r="2828" customFormat="1" s="64">
      <c r="A2828" s="28" t="n">
        <v>44240</v>
      </c>
      <c r="B2828" s="29">
        <f>VLOOKUP(A2828,'Database Claims'!$A:$C,3,)</f>
        <v/>
      </c>
      <c r="C2828" s="29">
        <f>B2828-B2827</f>
        <v/>
      </c>
      <c r="D2828" s="29">
        <f>VLOOKUP(A2828,'Database Claims'!$A:$C,2,)</f>
        <v/>
      </c>
      <c r="E2828" s="29">
        <f>D2828-D2827</f>
        <v/>
      </c>
    </row>
    <row r="2829" customFormat="1" s="64">
      <c r="A2829" s="28" t="n">
        <v>44247</v>
      </c>
      <c r="B2829" s="25">
        <f>VLOOKUP(A2829,'Database Claims'!$A:$C,3,)</f>
        <v/>
      </c>
      <c r="C2829" s="29">
        <f>B2829-B2828</f>
        <v/>
      </c>
      <c r="D2829" s="25">
        <f>VLOOKUP(A2829,'Database Claims'!$A:$C,2,)</f>
        <v/>
      </c>
      <c r="E2829" s="29">
        <f>D2829-D2828</f>
        <v/>
      </c>
    </row>
    <row r="2830" customFormat="1" s="64">
      <c r="A2830" s="28" t="n">
        <v>44254</v>
      </c>
      <c r="B2830" s="29">
        <f>VLOOKUP(A2830,'Database Claims'!$A:$C,3,)</f>
        <v/>
      </c>
      <c r="C2830" s="29">
        <f>B2830-B2829</f>
        <v/>
      </c>
      <c r="D2830" s="29">
        <f>VLOOKUP(A2830,'Database Claims'!$A:$C,2,)</f>
        <v/>
      </c>
      <c r="E2830" s="29">
        <f>D2830-D2829</f>
        <v/>
      </c>
    </row>
    <row r="2831" customFormat="1" s="64">
      <c r="A2831" s="28" t="n">
        <v>44261</v>
      </c>
      <c r="B2831" s="25">
        <f>VLOOKUP(A2831,'Database Claims'!$A:$C,3,)</f>
        <v/>
      </c>
      <c r="C2831" s="29">
        <f>B2831-B2830</f>
        <v/>
      </c>
      <c r="D2831" s="25">
        <f>VLOOKUP(A2831,'Database Claims'!$A:$C,2,)</f>
        <v/>
      </c>
      <c r="E2831" s="29">
        <f>D2831-D2830</f>
        <v/>
      </c>
    </row>
    <row r="2832" customFormat="1" s="64">
      <c r="A2832" s="28" t="n">
        <v>44268</v>
      </c>
      <c r="B2832" s="29">
        <f>VLOOKUP(A2832,'Database Claims'!$A:$C,3,)</f>
        <v/>
      </c>
      <c r="C2832" s="29">
        <f>B2832-B2831</f>
        <v/>
      </c>
      <c r="D2832" s="29">
        <f>VLOOKUP(A2832,'Database Claims'!$A:$C,2,)</f>
        <v/>
      </c>
      <c r="E2832" s="29">
        <f>D2832-D2831</f>
        <v/>
      </c>
    </row>
    <row r="2833" customFormat="1" s="64">
      <c r="A2833" s="28" t="n">
        <v>44275</v>
      </c>
      <c r="B2833" s="25">
        <f>VLOOKUP(A2833,'Database Claims'!$A:$C,3,)</f>
        <v/>
      </c>
      <c r="C2833" s="29">
        <f>B2833-B2832</f>
        <v/>
      </c>
      <c r="D2833" s="25">
        <f>VLOOKUP(A2833,'Database Claims'!$A:$C,2,)</f>
        <v/>
      </c>
      <c r="E2833" s="29">
        <f>D2833-D2832</f>
        <v/>
      </c>
    </row>
    <row r="2834" customFormat="1" s="64">
      <c r="A2834" s="28" t="n">
        <v>44282</v>
      </c>
      <c r="B2834" s="29">
        <f>VLOOKUP(A2834,'Database Claims'!$A:$C,3,)</f>
        <v/>
      </c>
      <c r="C2834" s="29">
        <f>B2834-B2833</f>
        <v/>
      </c>
      <c r="D2834" s="29">
        <f>VLOOKUP(A2834,'Database Claims'!$A:$C,2,)</f>
        <v/>
      </c>
      <c r="E2834" s="29">
        <f>D2834-D2833</f>
        <v/>
      </c>
    </row>
    <row r="2835" customFormat="1" s="64">
      <c r="A2835" s="28" t="n">
        <v>44289</v>
      </c>
      <c r="B2835" s="25">
        <f>VLOOKUP(A2835,'Database Claims'!$A:$C,3,)</f>
        <v/>
      </c>
      <c r="C2835" s="29">
        <f>B2835-B2834</f>
        <v/>
      </c>
      <c r="D2835" s="25">
        <f>VLOOKUP(A2835,'Database Claims'!$A:$C,2,)</f>
        <v/>
      </c>
      <c r="E2835" s="29">
        <f>D2835-D2834</f>
        <v/>
      </c>
    </row>
    <row r="2836" customFormat="1" s="64">
      <c r="A2836" s="28" t="n">
        <v>44296</v>
      </c>
      <c r="B2836" s="29">
        <f>VLOOKUP(A2836,'Database Claims'!$A:$C,3,)</f>
        <v/>
      </c>
      <c r="C2836" s="29">
        <f>B2836-B2835</f>
        <v/>
      </c>
      <c r="D2836" s="29">
        <f>VLOOKUP(A2836,'Database Claims'!$A:$C,2,)</f>
        <v/>
      </c>
      <c r="E2836" s="29">
        <f>D2836-D2835</f>
        <v/>
      </c>
    </row>
    <row r="2837" customFormat="1" s="64">
      <c r="A2837" s="28" t="n">
        <v>44303</v>
      </c>
      <c r="B2837" s="25">
        <f>VLOOKUP(A2837,'Database Claims'!$A:$C,3,)</f>
        <v/>
      </c>
      <c r="C2837" s="29">
        <f>B2837-B2836</f>
        <v/>
      </c>
      <c r="D2837" s="25">
        <f>VLOOKUP(A2837,'Database Claims'!$A:$C,2,)</f>
        <v/>
      </c>
      <c r="E2837" s="29">
        <f>D2837-D2836</f>
        <v/>
      </c>
    </row>
    <row r="2838" customFormat="1" s="64">
      <c r="A2838" s="28" t="n">
        <v>44310</v>
      </c>
      <c r="B2838" s="29">
        <f>VLOOKUP(A2838,'Database Claims'!$A:$C,3,)</f>
        <v/>
      </c>
      <c r="C2838" s="29">
        <f>B2838-B2837</f>
        <v/>
      </c>
      <c r="D2838" s="29">
        <f>VLOOKUP(A2838,'Database Claims'!$A:$C,2,)</f>
        <v/>
      </c>
      <c r="E2838" s="29">
        <f>D2838-D2837</f>
        <v/>
      </c>
    </row>
    <row r="2839" customFormat="1" s="64">
      <c r="A2839" s="28" t="n">
        <v>44317</v>
      </c>
      <c r="B2839" s="25">
        <f>VLOOKUP(A2839,'Database Claims'!$A:$C,3,)</f>
        <v/>
      </c>
      <c r="C2839" s="29">
        <f>B2839-B2838</f>
        <v/>
      </c>
      <c r="D2839" s="25">
        <f>VLOOKUP(A2839,'Database Claims'!$A:$C,2,)</f>
        <v/>
      </c>
      <c r="E2839" s="29">
        <f>D2839-D2838</f>
        <v/>
      </c>
    </row>
    <row r="2840" customFormat="1" s="64">
      <c r="A2840" s="28" t="n">
        <v>44324</v>
      </c>
      <c r="B2840" s="29">
        <f>VLOOKUP(A2840,'Database Claims'!$A:$C,3,)</f>
        <v/>
      </c>
      <c r="C2840" s="29">
        <f>B2840-B2839</f>
        <v/>
      </c>
      <c r="D2840" s="29">
        <f>VLOOKUP(A2840,'Database Claims'!$A:$C,2,)</f>
        <v/>
      </c>
      <c r="E2840" s="29">
        <f>D2840-D2839</f>
        <v/>
      </c>
    </row>
    <row r="2841" customFormat="1" s="64">
      <c r="A2841" s="28" t="n">
        <v>44331</v>
      </c>
      <c r="B2841" s="25">
        <f>VLOOKUP(A2841,'Database Claims'!$A:$C,3,)</f>
        <v/>
      </c>
      <c r="C2841" s="29">
        <f>B2841-B2840</f>
        <v/>
      </c>
      <c r="D2841" s="25">
        <f>VLOOKUP(A2841,'Database Claims'!$A:$C,2,)</f>
        <v/>
      </c>
      <c r="E2841" s="29">
        <f>D2841-D2840</f>
        <v/>
      </c>
    </row>
    <row r="2842" customFormat="1" s="64">
      <c r="A2842" s="28" t="n">
        <v>44338</v>
      </c>
      <c r="B2842" s="29">
        <f>VLOOKUP(A2842,'Database Claims'!$A:$C,3,)</f>
        <v/>
      </c>
      <c r="C2842" s="29">
        <f>B2842-B2841</f>
        <v/>
      </c>
      <c r="D2842" s="29">
        <f>VLOOKUP(A2842,'Database Claims'!$A:$C,2,)</f>
        <v/>
      </c>
      <c r="E2842" s="29">
        <f>D2842-D2841</f>
        <v/>
      </c>
    </row>
    <row r="2843" customFormat="1" s="64">
      <c r="A2843" s="28" t="n">
        <v>44345</v>
      </c>
      <c r="B2843" s="25">
        <f>VLOOKUP(A2843,'Database Claims'!$A:$C,3,)</f>
        <v/>
      </c>
      <c r="C2843" s="29">
        <f>B2843-B2842</f>
        <v/>
      </c>
      <c r="D2843" s="25">
        <f>VLOOKUP(A2843,'Database Claims'!$A:$C,2,)</f>
        <v/>
      </c>
      <c r="E2843" s="29">
        <f>D2843-D2842</f>
        <v/>
      </c>
    </row>
    <row r="2844" customFormat="1" s="64">
      <c r="A2844" s="28" t="n">
        <v>44352</v>
      </c>
      <c r="B2844" s="29">
        <f>VLOOKUP(A2844,'Database Claims'!$A:$C,3,)</f>
        <v/>
      </c>
      <c r="C2844" s="29">
        <f>B2844-B2843</f>
        <v/>
      </c>
      <c r="D2844" s="29">
        <f>VLOOKUP(A2844,'Database Claims'!$A:$C,2,)</f>
        <v/>
      </c>
      <c r="E2844" s="29">
        <f>D2844-D2843</f>
        <v/>
      </c>
    </row>
    <row r="2845" customFormat="1" s="64">
      <c r="A2845" s="28" t="n">
        <v>44359</v>
      </c>
      <c r="B2845" s="25">
        <f>VLOOKUP(A2845,'Database Claims'!$A:$C,3,)</f>
        <v/>
      </c>
      <c r="C2845" s="29">
        <f>B2845-B2844</f>
        <v/>
      </c>
      <c r="D2845" s="25">
        <f>VLOOKUP(A2845,'Database Claims'!$A:$C,2,)</f>
        <v/>
      </c>
      <c r="E2845" s="29">
        <f>D2845-D2844</f>
        <v/>
      </c>
    </row>
    <row r="2846" customFormat="1" s="64">
      <c r="A2846" s="28" t="n">
        <v>44366</v>
      </c>
      <c r="B2846" s="29">
        <f>VLOOKUP(A2846,'Database Claims'!$A:$C,3,)</f>
        <v/>
      </c>
      <c r="C2846" s="29">
        <f>B2846-B2845</f>
        <v/>
      </c>
      <c r="D2846" s="29">
        <f>VLOOKUP(A2846,'Database Claims'!$A:$C,2,)</f>
        <v/>
      </c>
      <c r="E2846" s="29">
        <f>D2846-D2845</f>
        <v/>
      </c>
    </row>
    <row r="2847" customFormat="1" s="64">
      <c r="A2847" s="28" t="n">
        <v>44373</v>
      </c>
      <c r="B2847" s="25">
        <f>VLOOKUP(A2847,'Database Claims'!$A:$C,3,)</f>
        <v/>
      </c>
      <c r="C2847" s="29">
        <f>B2847-B2846</f>
        <v/>
      </c>
      <c r="D2847" s="25">
        <f>VLOOKUP(A2847,'Database Claims'!$A:$C,2,)</f>
        <v/>
      </c>
      <c r="E2847" s="29">
        <f>D2847-D2846</f>
        <v/>
      </c>
    </row>
    <row r="2848" customFormat="1" s="64">
      <c r="A2848" s="28" t="n">
        <v>44380</v>
      </c>
      <c r="B2848" s="29">
        <f>VLOOKUP(A2848,'Database Claims'!$A:$C,3,)</f>
        <v/>
      </c>
      <c r="C2848" s="29">
        <f>B2848-B2847</f>
        <v/>
      </c>
      <c r="D2848" s="29">
        <f>VLOOKUP(A2848,'Database Claims'!$A:$C,2,)</f>
        <v/>
      </c>
      <c r="E2848" s="29">
        <f>D2848-D2847</f>
        <v/>
      </c>
    </row>
    <row r="2849" customFormat="1" s="64">
      <c r="A2849" s="28" t="n">
        <v>44387</v>
      </c>
      <c r="B2849" s="25">
        <f>VLOOKUP(A2849,'Database Claims'!$A:$C,3,)</f>
        <v/>
      </c>
      <c r="C2849" s="29">
        <f>B2849-B2848</f>
        <v/>
      </c>
      <c r="D2849" s="25">
        <f>VLOOKUP(A2849,'Database Claims'!$A:$C,2,)</f>
        <v/>
      </c>
      <c r="E2849" s="29">
        <f>D2849-D2848</f>
        <v/>
      </c>
    </row>
    <row r="2850" customFormat="1" s="64">
      <c r="A2850" s="28" t="n">
        <v>44394</v>
      </c>
      <c r="B2850" s="29">
        <f>VLOOKUP(A2850,'Database Claims'!$A:$C,3,)</f>
        <v/>
      </c>
      <c r="C2850" s="29">
        <f>B2850-B2849</f>
        <v/>
      </c>
      <c r="D2850" s="29">
        <f>VLOOKUP(A2850,'Database Claims'!$A:$C,2,)</f>
        <v/>
      </c>
      <c r="E2850" s="29">
        <f>D2850-D2849</f>
        <v/>
      </c>
    </row>
    <row r="2851" customFormat="1" s="64">
      <c r="A2851" s="28" t="n">
        <v>44401</v>
      </c>
      <c r="B2851" s="25">
        <f>VLOOKUP(A2851,'Database Claims'!$A:$C,3,)</f>
        <v/>
      </c>
      <c r="C2851" s="29">
        <f>B2851-B2850</f>
        <v/>
      </c>
      <c r="D2851" s="25">
        <f>VLOOKUP(A2851,'Database Claims'!$A:$C,2,)</f>
        <v/>
      </c>
      <c r="E2851" s="29">
        <f>D2851-D2850</f>
        <v/>
      </c>
    </row>
    <row r="2852" customFormat="1" s="64">
      <c r="A2852" s="28" t="n">
        <v>44408</v>
      </c>
      <c r="B2852" s="29">
        <f>VLOOKUP(A2852,'Database Claims'!$A:$C,3,)</f>
        <v/>
      </c>
      <c r="C2852" s="29">
        <f>B2852-B2851</f>
        <v/>
      </c>
      <c r="D2852" s="29">
        <f>VLOOKUP(A2852,'Database Claims'!$A:$C,2,)</f>
        <v/>
      </c>
      <c r="E2852" s="29">
        <f>D2852-D2851</f>
        <v/>
      </c>
    </row>
    <row r="2853" customFormat="1" s="64">
      <c r="A2853" s="28" t="n">
        <v>44415</v>
      </c>
      <c r="B2853" s="25">
        <f>VLOOKUP(A2853,'Database Claims'!$A:$C,3,)</f>
        <v/>
      </c>
      <c r="C2853" s="29">
        <f>B2853-B2852</f>
        <v/>
      </c>
      <c r="D2853" s="25">
        <f>VLOOKUP(A2853,'Database Claims'!$A:$C,2,)</f>
        <v/>
      </c>
      <c r="E2853" s="29">
        <f>D2853-D2852</f>
        <v/>
      </c>
    </row>
    <row r="2854" customFormat="1" s="64">
      <c r="A2854" s="28" t="n">
        <v>44422</v>
      </c>
      <c r="B2854" s="29">
        <f>VLOOKUP(A2854,'Database Claims'!$A:$C,3,)</f>
        <v/>
      </c>
      <c r="C2854" s="29">
        <f>B2854-B2853</f>
        <v/>
      </c>
      <c r="D2854" s="29">
        <f>VLOOKUP(A2854,'Database Claims'!$A:$C,2,)</f>
        <v/>
      </c>
      <c r="E2854" s="29">
        <f>D2854-D2853</f>
        <v/>
      </c>
    </row>
    <row r="2855" customFormat="1" s="64">
      <c r="A2855" s="28" t="n">
        <v>44429</v>
      </c>
      <c r="B2855" s="25">
        <f>VLOOKUP(A2855,'Database Claims'!$A:$C,3,)</f>
        <v/>
      </c>
      <c r="C2855" s="29">
        <f>B2855-B2854</f>
        <v/>
      </c>
      <c r="D2855" s="25">
        <f>VLOOKUP(A2855,'Database Claims'!$A:$C,2,)</f>
        <v/>
      </c>
      <c r="E2855" s="29">
        <f>D2855-D2854</f>
        <v/>
      </c>
    </row>
    <row r="2856" customFormat="1" s="64"/>
    <row r="2857" customFormat="1" s="64"/>
    <row r="2858" customFormat="1" s="64"/>
    <row r="2859" customFormat="1" s="64"/>
    <row r="2860" customFormat="1" s="64"/>
    <row r="2861" customFormat="1" s="64"/>
    <row r="2862" customFormat="1" s="64"/>
    <row r="2863" customFormat="1" s="64"/>
    <row r="2864" customFormat="1" s="64"/>
    <row r="2865" customFormat="1" s="64"/>
    <row r="2866" customFormat="1" s="64"/>
    <row r="2867" customFormat="1" s="64"/>
    <row r="2868" customFormat="1" s="64"/>
    <row r="2869" customFormat="1" s="64"/>
    <row r="2870" customFormat="1" s="64"/>
    <row r="2871" customFormat="1" s="64"/>
    <row r="2872" customFormat="1" s="64"/>
    <row r="2873" customFormat="1" s="64"/>
    <row r="2874" customFormat="1" s="64"/>
    <row r="2875" customFormat="1" s="64"/>
    <row r="2876" customFormat="1" s="64"/>
    <row r="2877" customFormat="1" s="64"/>
    <row r="2878" customFormat="1" s="64"/>
    <row r="2879" customFormat="1" s="64"/>
    <row r="2880" customFormat="1" s="64"/>
    <row r="2881" customFormat="1" s="64"/>
    <row r="2882" customFormat="1" s="64"/>
    <row r="2883" customFormat="1" s="64"/>
    <row r="2884" customFormat="1" s="64"/>
    <row r="2885" customFormat="1" s="64"/>
    <row r="2886" customFormat="1" s="64"/>
    <row r="2887" customFormat="1" s="64"/>
    <row r="2888" customFormat="1" s="64"/>
    <row r="2889" customFormat="1" s="64"/>
    <row r="2890" customFormat="1" s="64"/>
    <row r="2891" customFormat="1" s="64"/>
    <row r="2892" customFormat="1" s="64"/>
    <row r="2893" customFormat="1" s="64"/>
    <row r="2894" customFormat="1" s="64"/>
    <row r="2895" customFormat="1" s="64"/>
    <row r="2896" customFormat="1" s="64"/>
    <row r="2897" customFormat="1" s="64"/>
    <row r="2898" customFormat="1" s="64"/>
    <row r="2899" customFormat="1" s="64"/>
    <row r="2900" customFormat="1" s="64"/>
    <row r="2901" customFormat="1" s="64"/>
    <row r="2902" customFormat="1" s="64"/>
    <row r="2903" customFormat="1" s="64"/>
    <row r="2904" customFormat="1" s="64"/>
    <row r="2905" customFormat="1" s="64"/>
    <row r="2906" customFormat="1" s="64"/>
    <row r="2907" customFormat="1" s="64"/>
    <row r="2908" customFormat="1" s="64"/>
    <row r="2909" customFormat="1" s="64"/>
    <row r="2910" customFormat="1" s="64"/>
    <row r="2911" customFormat="1" s="64"/>
    <row r="2912" customFormat="1" s="64"/>
    <row r="2913" customFormat="1" s="64"/>
    <row r="2914" customFormat="1" s="64"/>
    <row r="2915" customFormat="1" s="64"/>
    <row r="2916" customFormat="1" s="64"/>
    <row r="2917" customFormat="1" s="64"/>
    <row r="2918" customFormat="1" s="64"/>
    <row r="2919" customFormat="1" s="64"/>
    <row r="2920" customFormat="1" s="64"/>
    <row r="2921" customFormat="1" s="64"/>
    <row r="2922" customFormat="1" s="64"/>
    <row r="2923" customFormat="1" s="64"/>
    <row r="2924" customFormat="1" s="64"/>
    <row r="2925" customFormat="1" s="64"/>
    <row r="2926" customFormat="1" s="64"/>
    <row r="2927" customFormat="1" s="64"/>
    <row r="2928" customFormat="1" s="64"/>
    <row r="2929" customFormat="1" s="64"/>
    <row r="2930" customFormat="1" s="64"/>
    <row r="2931" customFormat="1" s="64"/>
    <row r="2932" customFormat="1" s="64"/>
    <row r="2933" customFormat="1" s="64"/>
    <row r="2934" customFormat="1" s="64"/>
    <row r="2935" customFormat="1" s="64"/>
    <row r="2936" customFormat="1" s="64"/>
    <row r="2937" customFormat="1" s="64"/>
    <row r="2938" customFormat="1" s="64"/>
    <row r="2939" customFormat="1" s="64"/>
    <row r="2940" customFormat="1" s="64"/>
    <row r="2941" customFormat="1" s="64"/>
    <row r="2942" customFormat="1" s="64"/>
    <row r="2943" customFormat="1" s="64"/>
    <row r="2944" customFormat="1" s="64"/>
    <row r="2945" customFormat="1" s="64"/>
    <row r="2946" customFormat="1" s="64"/>
    <row r="2947" customFormat="1" s="64"/>
    <row r="2948" customFormat="1" s="64"/>
    <row r="2949" customFormat="1" s="64"/>
    <row r="2950" customFormat="1" s="64"/>
    <row r="2951" customFormat="1" s="64"/>
    <row r="2952" customFormat="1" s="64"/>
    <row r="2953" customFormat="1" s="64"/>
    <row r="2954" customFormat="1" s="64"/>
    <row r="2955" customFormat="1" s="64"/>
    <row r="2956" customFormat="1" s="64"/>
    <row r="2957" customFormat="1" s="64"/>
    <row r="2958" customFormat="1" s="64"/>
    <row r="2959" customFormat="1" s="64"/>
    <row r="2960" customFormat="1" s="64"/>
    <row r="2961" customFormat="1" s="64"/>
    <row r="2962" customFormat="1" s="64"/>
    <row r="2963" customFormat="1" s="64"/>
    <row r="2964" customFormat="1" s="64"/>
    <row r="2965" customFormat="1" s="64"/>
    <row r="2966" customFormat="1" s="64"/>
    <row r="2967" customFormat="1" s="64"/>
    <row r="2968" customFormat="1" s="64"/>
    <row r="2969" customFormat="1" s="64"/>
    <row r="2970" customFormat="1" s="64"/>
    <row r="2971" customFormat="1" s="64"/>
    <row r="2972" customFormat="1" s="64"/>
    <row r="2973" customFormat="1" s="64"/>
    <row r="2974" customFormat="1" s="64"/>
    <row r="2975" customFormat="1" s="64"/>
    <row r="2976" customFormat="1" s="64"/>
    <row r="2977" customFormat="1" s="64"/>
    <row r="2978" customFormat="1" s="64"/>
    <row r="2979" customFormat="1" s="64"/>
    <row r="2980" customFormat="1" s="64"/>
    <row r="2981" customFormat="1" s="64"/>
    <row r="2982" customFormat="1" s="64"/>
    <row r="2983" customFormat="1" s="64"/>
    <row r="2984" customFormat="1" s="64"/>
    <row r="2985" customFormat="1" s="64"/>
    <row r="2986" customFormat="1" s="64"/>
    <row r="2987" customFormat="1" s="64"/>
    <row r="2988" customFormat="1" s="64"/>
    <row r="2989" customFormat="1" s="64"/>
    <row r="2990" customFormat="1" s="64"/>
    <row r="2991" customFormat="1" s="64"/>
    <row r="2992" customFormat="1" s="64"/>
    <row r="2993" customFormat="1" s="64"/>
    <row r="2994" customFormat="1" s="64"/>
    <row r="2995" customFormat="1" s="64"/>
    <row r="2996" customFormat="1" s="64"/>
    <row r="2997" customFormat="1" s="64"/>
    <row r="2998" customFormat="1" s="64"/>
    <row r="2999" customFormat="1" s="64"/>
    <row r="3000" customFormat="1" s="64"/>
    <row r="3001" customFormat="1" s="64"/>
    <row r="3002" customFormat="1" s="64"/>
    <row r="3003" customFormat="1" s="64"/>
    <row r="3004" customFormat="1" s="64"/>
    <row r="3005" customFormat="1" s="64"/>
    <row r="3006" customFormat="1" s="64"/>
    <row r="3007" customFormat="1" s="64"/>
    <row r="3008" customFormat="1" s="64"/>
    <row r="3009" customFormat="1" s="64"/>
    <row r="3010" customFormat="1" s="64"/>
    <row r="3011" customFormat="1" s="64"/>
    <row r="3012" customFormat="1" s="64"/>
    <row r="3013" customFormat="1" s="64"/>
    <row r="3014" customFormat="1" s="64"/>
    <row r="3015" customFormat="1" s="64"/>
    <row r="3016" customFormat="1" s="64"/>
    <row r="3017" customFormat="1" s="64"/>
    <row r="3018" customFormat="1" s="64"/>
    <row r="3019" customFormat="1" s="64"/>
    <row r="3020" customFormat="1" s="64"/>
    <row r="3021" customFormat="1" s="64"/>
    <row r="3022" customFormat="1" s="64"/>
    <row r="3023" customFormat="1" s="64"/>
    <row r="3024" customFormat="1" s="64"/>
    <row r="3025" customFormat="1" s="64"/>
    <row r="3026" customFormat="1" s="64"/>
    <row r="3027" customFormat="1" s="64"/>
    <row r="3028" customFormat="1" s="64"/>
    <row r="3029" customFormat="1" s="64"/>
    <row r="3030" customFormat="1" s="64"/>
    <row r="3031" customFormat="1" s="64"/>
    <row r="3032" customFormat="1" s="64"/>
    <row r="3033" customFormat="1" s="64"/>
    <row r="3034" customFormat="1" s="64"/>
    <row r="3035" customFormat="1" s="64"/>
    <row r="3036" customFormat="1" s="64"/>
    <row r="3037" customFormat="1" s="64"/>
    <row r="3038" customFormat="1" s="64"/>
    <row r="3039" customFormat="1" s="64"/>
    <row r="3040" customFormat="1" s="64"/>
    <row r="3041" customFormat="1" s="64"/>
    <row r="3042" customFormat="1" s="64"/>
    <row r="3043" customFormat="1" s="64"/>
    <row r="3044" customFormat="1" s="64"/>
    <row r="3045" customFormat="1" s="64"/>
    <row r="3046" customFormat="1" s="64"/>
    <row r="3047" customFormat="1" s="64"/>
    <row r="3048" customFormat="1" s="64"/>
    <row r="3049" customFormat="1" s="64"/>
    <row r="3050" customFormat="1" s="64"/>
    <row r="3051" customFormat="1" s="64"/>
    <row r="3052" customFormat="1" s="64"/>
    <row r="3053" customFormat="1" s="64"/>
    <row r="3054" customFormat="1" s="64"/>
    <row r="3055" customFormat="1" s="64"/>
    <row r="3056" customFormat="1" s="64"/>
    <row r="3057" customFormat="1" s="64"/>
    <row r="3058" customFormat="1" s="64"/>
    <row r="3059" customFormat="1" s="64"/>
    <row r="3060" customFormat="1" s="64"/>
    <row r="3061" customFormat="1" s="64"/>
    <row r="3062" customFormat="1" s="64"/>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3">
    <tabColor rgb="FF00B050"/>
    <outlinePr summaryBelow="1" summaryRight="1"/>
    <pageSetUpPr/>
  </sheetPr>
  <dimension ref="A1:A1"/>
  <sheetViews>
    <sheetView topLeftCell="A8" zoomScale="90" zoomScaleNormal="90" workbookViewId="0">
      <selection activeCell="Z61" sqref="Z61"/>
    </sheetView>
  </sheetViews>
  <sheetFormatPr baseColWidth="10" defaultColWidth="9.1640625" defaultRowHeight="15"/>
  <cols>
    <col width="9.1640625" customWidth="1" style="64" min="1" max="11"/>
    <col width="9.1640625" customWidth="1" style="64" min="12" max="16384"/>
  </cols>
  <sheetData/>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6">
    <tabColor rgb="FF00B050"/>
    <outlinePr summaryBelow="1" summaryRight="1"/>
    <pageSetUpPr/>
  </sheetPr>
  <dimension ref="A1:I551"/>
  <sheetViews>
    <sheetView tabSelected="1" zoomScale="130" zoomScaleNormal="130" workbookViewId="0">
      <pane ySplit="5" topLeftCell="A194" activePane="bottomLeft" state="frozen"/>
      <selection activeCell="K1" sqref="K1"/>
      <selection pane="bottomLeft" activeCell="B237" sqref="B237"/>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4" min="4" max="162"/>
  </cols>
  <sheetData>
    <row r="1" customFormat="1" s="64">
      <c r="A1" s="32" t="inlineStr">
        <is>
          <t>http://www.adpemploymentreport.com/</t>
        </is>
      </c>
      <c r="B1" s="15" t="n"/>
      <c r="C1" s="15" t="n"/>
      <c r="I1" s="17" t="n"/>
    </row>
    <row r="2" customFormat="1" s="64">
      <c r="A2" s="1" t="inlineStr">
        <is>
          <t>https://tradingeconomics.com/united-states/adp-employment-change</t>
        </is>
      </c>
      <c r="B2" s="15" t="n"/>
      <c r="C2" s="15" t="n"/>
    </row>
    <row r="3" customFormat="1" s="64">
      <c r="A3" s="1" t="inlineStr">
        <is>
          <t>https://uk.investing.com/economic-calendar/adp-nonfarm-employment-change-1</t>
        </is>
      </c>
      <c r="B3" s="15" t="n"/>
      <c r="C3" s="15" t="n"/>
    </row>
    <row r="4" customFormat="1" s="64">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4">
      <c r="A222" s="56" t="n">
        <v>43617</v>
      </c>
      <c r="B222" s="57">
        <f>VLOOKUP(A222,'Database ADP'!A:B,2)</f>
        <v/>
      </c>
      <c r="C222" s="57">
        <f>VLOOKUP(A222,NFP!A:C,3)</f>
        <v/>
      </c>
    </row>
    <row r="223" customFormat="1" s="64">
      <c r="A223" s="56" t="n">
        <v>43647</v>
      </c>
      <c r="B223" s="57">
        <f>VLOOKUP(A223,'Database ADP'!A:B,2)</f>
        <v/>
      </c>
      <c r="C223" s="57">
        <f>VLOOKUP(A223,NFP!A:C,3)</f>
        <v/>
      </c>
    </row>
    <row r="224" customFormat="1" s="64">
      <c r="A224" s="56" t="n">
        <v>43678</v>
      </c>
      <c r="B224" s="57">
        <f>VLOOKUP(A224,'Database ADP'!A:B,2)</f>
        <v/>
      </c>
      <c r="C224" s="57">
        <f>VLOOKUP(A224,NFP!A:C,3)</f>
        <v/>
      </c>
    </row>
    <row r="225" customFormat="1" s="64">
      <c r="A225" s="56" t="n">
        <v>43709</v>
      </c>
      <c r="B225" s="57">
        <f>VLOOKUP(A225,'Database ADP'!A:B,2)</f>
        <v/>
      </c>
      <c r="C225" s="57">
        <f>VLOOKUP(A225,NFP!A:C,3)</f>
        <v/>
      </c>
    </row>
    <row r="226" customFormat="1" s="64">
      <c r="A226" s="56" t="n">
        <v>43739</v>
      </c>
      <c r="B226" s="57">
        <f>VLOOKUP(A226,'Database ADP'!A:B,2)</f>
        <v/>
      </c>
      <c r="C226" s="57">
        <f>VLOOKUP(A226,NFP!A:C,3)</f>
        <v/>
      </c>
    </row>
    <row r="227" customFormat="1" s="64">
      <c r="A227" s="56" t="n">
        <v>43770</v>
      </c>
      <c r="B227" s="57">
        <f>VLOOKUP(A227,'Database ADP'!A:B,2)</f>
        <v/>
      </c>
      <c r="C227" s="57">
        <f>VLOOKUP(A227,NFP!A:C,3)</f>
        <v/>
      </c>
    </row>
    <row r="228" customFormat="1" s="64">
      <c r="A228" s="56" t="n">
        <v>43800</v>
      </c>
      <c r="B228" s="57">
        <f>VLOOKUP(A228,'Database ADP'!A:B,2)</f>
        <v/>
      </c>
      <c r="C228" s="57">
        <f>VLOOKUP(A228,NFP!A:C,3)</f>
        <v/>
      </c>
    </row>
    <row r="229" customFormat="1" s="64">
      <c r="A229" s="56" t="n">
        <v>43831</v>
      </c>
      <c r="B229" s="57">
        <f>VLOOKUP(A229,'Database ADP'!A:B,2)</f>
        <v/>
      </c>
      <c r="C229" s="57">
        <f>VLOOKUP(A229,NFP!A:C,3)</f>
        <v/>
      </c>
    </row>
    <row r="230" customFormat="1" s="64">
      <c r="A230" s="56" t="n">
        <v>43862</v>
      </c>
      <c r="B230" s="57">
        <f>VLOOKUP(A230,'Database ADP'!A:B,2)</f>
        <v/>
      </c>
      <c r="C230" s="57">
        <f>VLOOKUP(A230,NFP!A:C,3)</f>
        <v/>
      </c>
    </row>
    <row r="231" customFormat="1" s="64">
      <c r="A231" s="56" t="n">
        <v>43891</v>
      </c>
      <c r="B231" s="57">
        <f>VLOOKUP(A231,'Database ADP'!A:B,2)</f>
        <v/>
      </c>
      <c r="C231" s="57">
        <f>VLOOKUP(A231,NFP!A:C,3)</f>
        <v/>
      </c>
    </row>
    <row r="232" customFormat="1" s="64">
      <c r="A232" s="56" t="n">
        <v>43922</v>
      </c>
      <c r="B232" s="57">
        <f>VLOOKUP(A232,'Database ADP'!A:B,2)</f>
        <v/>
      </c>
      <c r="C232" s="57">
        <f>VLOOKUP(A232,NFP!A:C,3)</f>
        <v/>
      </c>
    </row>
    <row r="233" customFormat="1" s="64">
      <c r="A233" s="56" t="n">
        <v>43952</v>
      </c>
      <c r="B233" s="57">
        <f>VLOOKUP(A233,'Database ADP'!A:B,2)</f>
        <v/>
      </c>
      <c r="C233" s="57">
        <f>VLOOKUP(A233,NFP!A:C,3)</f>
        <v/>
      </c>
    </row>
    <row r="234" customFormat="1" s="64">
      <c r="A234" s="56" t="n">
        <v>43983</v>
      </c>
      <c r="B234" s="57">
        <f>VLOOKUP(A234,'Database ADP'!A:B,2)</f>
        <v/>
      </c>
      <c r="C234" s="57">
        <f>VLOOKUP(A234,NFP!A:C,3)</f>
        <v/>
      </c>
    </row>
    <row r="235" customFormat="1" s="64">
      <c r="A235" s="56" t="n">
        <v>44013</v>
      </c>
      <c r="B235" s="57">
        <f>VLOOKUP(A235,'Database ADP'!A:B,2)</f>
        <v/>
      </c>
      <c r="C235" s="57">
        <f>VLOOKUP(A235,NFP!A:C,3)</f>
        <v/>
      </c>
    </row>
    <row r="236" customFormat="1" s="64">
      <c r="A236" s="56" t="n">
        <v>44044</v>
      </c>
      <c r="B236" s="57">
        <f>VLOOKUP(A236,'Database ADP'!A:B,2)</f>
        <v/>
      </c>
      <c r="C236" s="57">
        <f>VLOOKUP(A236,NFP!A:C,3)</f>
        <v/>
      </c>
    </row>
    <row r="237" customFormat="1" s="64">
      <c r="A237" s="56" t="n">
        <v>44075</v>
      </c>
      <c r="B237" s="57">
        <f>VLOOKUP(A237,'Database ADP'!A:B,2)</f>
        <v/>
      </c>
      <c r="C237" s="57">
        <f>VLOOKUP(A237,NFP!A:C,3)</f>
        <v/>
      </c>
    </row>
    <row r="238" customFormat="1" s="64">
      <c r="A238" s="56" t="n">
        <v>44105</v>
      </c>
      <c r="B238" s="57">
        <f>VLOOKUP(A238,'Database ADP'!A:B,2)</f>
        <v/>
      </c>
      <c r="C238" s="57">
        <f>VLOOKUP(A238,NFP!A:C,3)</f>
        <v/>
      </c>
    </row>
    <row r="239" customFormat="1" s="64">
      <c r="A239" s="56" t="n">
        <v>44136</v>
      </c>
      <c r="B239" s="57">
        <f>VLOOKUP(A239,'Database ADP'!A:B,2)</f>
        <v/>
      </c>
      <c r="C239" s="57">
        <f>VLOOKUP(A239,NFP!A:C,3)</f>
        <v/>
      </c>
    </row>
    <row r="240" customFormat="1" s="64">
      <c r="A240" s="56" t="n">
        <v>44166</v>
      </c>
      <c r="B240" s="57">
        <f>VLOOKUP(A240,'Database ADP'!A:B,2)</f>
        <v/>
      </c>
      <c r="C240" s="57">
        <f>VLOOKUP(A240,NFP!A:C,3)</f>
        <v/>
      </c>
    </row>
    <row r="241" customFormat="1" s="64">
      <c r="A241" s="56" t="n">
        <v>44197</v>
      </c>
      <c r="B241" s="57">
        <f>VLOOKUP(A241,'Database ADP'!A:B,2)</f>
        <v/>
      </c>
      <c r="C241" s="57">
        <f>VLOOKUP(A241,NFP!A:C,3)</f>
        <v/>
      </c>
    </row>
    <row r="242" customFormat="1" s="64">
      <c r="A242" s="56" t="n">
        <v>44228</v>
      </c>
      <c r="B242" s="57">
        <f>VLOOKUP(A242,'Database ADP'!A:B,2)</f>
        <v/>
      </c>
      <c r="C242" s="57">
        <f>VLOOKUP(A242,NFP!A:C,3)</f>
        <v/>
      </c>
    </row>
    <row r="243" customFormat="1" s="64">
      <c r="A243" s="56" t="n">
        <v>44256</v>
      </c>
      <c r="B243" s="57">
        <f>VLOOKUP(A243,'Database ADP'!A:B,2)</f>
        <v/>
      </c>
      <c r="C243" s="57">
        <f>VLOOKUP(A243,NFP!A:C,3)</f>
        <v/>
      </c>
    </row>
    <row r="244" customFormat="1" s="64">
      <c r="A244" s="56" t="n">
        <v>44287</v>
      </c>
      <c r="B244" s="57">
        <f>VLOOKUP(A244,'Database ADP'!A:B,2)</f>
        <v/>
      </c>
      <c r="C244" s="57">
        <f>VLOOKUP(A244,NFP!A:C,3)</f>
        <v/>
      </c>
    </row>
    <row r="245" customFormat="1" s="64">
      <c r="A245" s="56" t="n">
        <v>44317</v>
      </c>
      <c r="B245" s="57">
        <f>VLOOKUP(A245,'Database ADP'!A:B,2)</f>
        <v/>
      </c>
      <c r="C245" s="57">
        <f>VLOOKUP(A245,NFP!A:C,3)</f>
        <v/>
      </c>
    </row>
    <row r="246" customFormat="1" s="64">
      <c r="A246" s="56" t="n">
        <v>44348</v>
      </c>
      <c r="B246" s="57">
        <f>VLOOKUP(A246,'Database ADP'!A:B,2)</f>
        <v/>
      </c>
      <c r="C246" s="57">
        <f>VLOOKUP(A246,NFP!A:C,3)</f>
        <v/>
      </c>
    </row>
    <row r="247" customFormat="1" s="64">
      <c r="A247" s="56" t="n">
        <v>44378</v>
      </c>
      <c r="B247" s="57">
        <f>VLOOKUP(A247,'Database ADP'!A:B,2)</f>
        <v/>
      </c>
      <c r="C247" s="57">
        <f>VLOOKUP(A247,NFP!A:C,3)</f>
        <v/>
      </c>
    </row>
    <row r="248" customFormat="1" s="64">
      <c r="A248" s="56" t="n">
        <v>44409</v>
      </c>
      <c r="B248" s="57">
        <f>VLOOKUP(A248,'Database ADP'!A:B,2)</f>
        <v/>
      </c>
      <c r="C248" s="57">
        <f>VLOOKUP(A248,NFP!A:C,3)</f>
        <v/>
      </c>
    </row>
    <row r="249" customFormat="1" s="64">
      <c r="A249" s="15" t="n"/>
      <c r="B249" s="15" t="n"/>
      <c r="C249" s="15" t="n"/>
    </row>
    <row r="250" customFormat="1" s="64">
      <c r="A250" s="15" t="n"/>
      <c r="B250" s="15" t="n"/>
      <c r="C250" s="15" t="n"/>
    </row>
    <row r="251" customFormat="1" s="64">
      <c r="A251" s="15" t="n"/>
      <c r="B251" s="15" t="n"/>
      <c r="C251" s="15" t="n"/>
    </row>
    <row r="252" customFormat="1" s="64">
      <c r="A252" s="15" t="n"/>
      <c r="B252" s="15" t="n"/>
      <c r="C252" s="15" t="n"/>
    </row>
    <row r="253" customFormat="1" s="64">
      <c r="A253" s="15" t="n"/>
      <c r="B253" s="15" t="n"/>
      <c r="C253" s="15" t="n"/>
    </row>
    <row r="254" customFormat="1" s="64">
      <c r="A254" s="15" t="n"/>
      <c r="B254" s="15" t="n"/>
      <c r="C254" s="15" t="n"/>
    </row>
    <row r="255" customFormat="1" s="64">
      <c r="A255" s="15" t="n"/>
      <c r="B255" s="15" t="n"/>
      <c r="C255" s="15" t="n"/>
    </row>
    <row r="256" customFormat="1" s="64">
      <c r="A256" s="15" t="n"/>
      <c r="B256" s="15" t="n"/>
      <c r="C256" s="15" t="n"/>
    </row>
    <row r="257" customFormat="1" s="64">
      <c r="A257" s="15" t="n"/>
      <c r="B257" s="15" t="n"/>
      <c r="C257" s="15" t="n"/>
    </row>
    <row r="258" customFormat="1" s="64">
      <c r="A258" s="15" t="n"/>
      <c r="B258" s="15" t="n"/>
      <c r="C258" s="15" t="n"/>
    </row>
    <row r="259" customFormat="1" s="64">
      <c r="A259" s="15" t="n"/>
      <c r="B259" s="15" t="n"/>
      <c r="C259" s="15" t="n"/>
    </row>
    <row r="260" customFormat="1" s="64">
      <c r="A260" s="15" t="n"/>
      <c r="B260" s="15" t="n"/>
      <c r="C260" s="15" t="n"/>
    </row>
    <row r="261" customFormat="1" s="64">
      <c r="A261" s="15" t="n"/>
      <c r="B261" s="15" t="n"/>
      <c r="C261" s="15" t="n"/>
    </row>
    <row r="262" customFormat="1" s="64">
      <c r="A262" s="15" t="n"/>
      <c r="B262" s="15" t="n"/>
      <c r="C262" s="15" t="n"/>
    </row>
    <row r="263" customFormat="1" s="64">
      <c r="A263" s="15" t="n"/>
      <c r="B263" s="15" t="n"/>
      <c r="C263" s="15" t="n"/>
    </row>
    <row r="264" customFormat="1" s="64">
      <c r="A264" s="15" t="n"/>
      <c r="B264" s="15" t="n"/>
      <c r="C264" s="15" t="n"/>
    </row>
    <row r="265" customFormat="1" s="64">
      <c r="A265" s="15" t="n"/>
      <c r="B265" s="15" t="n"/>
      <c r="C265" s="15" t="n"/>
    </row>
    <row r="266" customFormat="1" s="64">
      <c r="A266" s="15" t="n"/>
      <c r="B266" s="15" t="n"/>
      <c r="C266" s="15" t="n"/>
    </row>
    <row r="267" customFormat="1" s="64">
      <c r="A267" s="15" t="n"/>
      <c r="B267" s="15" t="n"/>
      <c r="C267" s="15" t="n"/>
    </row>
    <row r="268" customFormat="1" s="64">
      <c r="A268" s="15" t="n"/>
      <c r="B268" s="15" t="n"/>
      <c r="C268" s="15" t="n"/>
    </row>
    <row r="269" customFormat="1" s="64">
      <c r="A269" s="15" t="n"/>
      <c r="B269" s="15" t="n"/>
      <c r="C269" s="15" t="n"/>
    </row>
    <row r="270" customFormat="1" s="64">
      <c r="A270" s="15" t="n"/>
      <c r="B270" s="15" t="n"/>
      <c r="C270" s="15" t="n"/>
    </row>
    <row r="271" customFormat="1" s="64">
      <c r="A271" s="15" t="n"/>
      <c r="B271" s="15" t="n"/>
      <c r="C271" s="15" t="n"/>
    </row>
    <row r="272" customFormat="1" s="64">
      <c r="A272" s="15" t="n"/>
      <c r="B272" s="15" t="n"/>
      <c r="C272" s="15" t="n"/>
    </row>
    <row r="273" customFormat="1" s="64">
      <c r="A273" s="15" t="n"/>
      <c r="B273" s="15" t="n"/>
      <c r="C273" s="15" t="n"/>
    </row>
    <row r="274" customFormat="1" s="64">
      <c r="A274" s="15" t="n"/>
      <c r="B274" s="15" t="n"/>
      <c r="C274" s="15" t="n"/>
    </row>
    <row r="275" customFormat="1" s="64">
      <c r="A275" s="15" t="n"/>
      <c r="B275" s="15" t="n"/>
      <c r="C275" s="15" t="n"/>
    </row>
    <row r="276" customFormat="1" s="64">
      <c r="A276" s="15" t="n"/>
      <c r="B276" s="15" t="n"/>
      <c r="C276" s="15" t="n"/>
    </row>
    <row r="277" customFormat="1" s="64">
      <c r="A277" s="15" t="n"/>
      <c r="B277" s="15" t="n"/>
      <c r="C277" s="15" t="n"/>
    </row>
    <row r="278" customFormat="1" s="64">
      <c r="A278" s="15" t="n"/>
      <c r="B278" s="15" t="n"/>
      <c r="C278" s="15" t="n"/>
    </row>
    <row r="279" customFormat="1" s="64">
      <c r="A279" s="15" t="n"/>
      <c r="B279" s="15" t="n"/>
      <c r="C279" s="15" t="n"/>
    </row>
    <row r="280" customFormat="1" s="64">
      <c r="A280" s="15" t="n"/>
      <c r="B280" s="15" t="n"/>
      <c r="C280" s="15" t="n"/>
    </row>
    <row r="281" customFormat="1" s="64">
      <c r="A281" s="15" t="n"/>
      <c r="B281" s="15" t="n"/>
      <c r="C281" s="15" t="n"/>
    </row>
    <row r="282" customFormat="1" s="64">
      <c r="A282" s="15" t="n"/>
      <c r="B282" s="15" t="n"/>
      <c r="C282" s="15" t="n"/>
    </row>
    <row r="283" customFormat="1" s="64">
      <c r="A283" s="15" t="n"/>
      <c r="B283" s="15" t="n"/>
      <c r="C283" s="15" t="n"/>
    </row>
    <row r="284" customFormat="1" s="64">
      <c r="A284" s="15" t="n"/>
      <c r="B284" s="15" t="n"/>
      <c r="C284" s="15" t="n"/>
    </row>
    <row r="285" customFormat="1" s="64">
      <c r="A285" s="15" t="n"/>
      <c r="B285" s="15" t="n"/>
      <c r="C285" s="15" t="n"/>
    </row>
    <row r="286" customFormat="1" s="64">
      <c r="A286" s="15" t="n"/>
      <c r="B286" s="15" t="n"/>
      <c r="C286" s="15" t="n"/>
    </row>
    <row r="287" customFormat="1" s="64">
      <c r="A287" s="15" t="n"/>
      <c r="B287" s="15" t="n"/>
      <c r="C287" s="15" t="n"/>
    </row>
    <row r="288" customFormat="1" s="64">
      <c r="A288" s="15" t="n"/>
      <c r="B288" s="15" t="n"/>
      <c r="C288" s="15" t="n"/>
    </row>
    <row r="289" customFormat="1" s="64">
      <c r="A289" s="15" t="n"/>
      <c r="B289" s="15" t="n"/>
      <c r="C289" s="15" t="n"/>
    </row>
    <row r="290" customFormat="1" s="64">
      <c r="A290" s="15" t="n"/>
      <c r="B290" s="15" t="n"/>
      <c r="C290" s="15" t="n"/>
    </row>
    <row r="291" customFormat="1" s="64">
      <c r="A291" s="15" t="n"/>
      <c r="B291" s="15" t="n"/>
      <c r="C291" s="15" t="n"/>
    </row>
    <row r="292" customFormat="1" s="64">
      <c r="A292" s="15" t="n"/>
      <c r="B292" s="15" t="n"/>
      <c r="C292" s="15" t="n"/>
    </row>
    <row r="293" customFormat="1" s="64">
      <c r="A293" s="15" t="n"/>
      <c r="B293" s="15" t="n"/>
      <c r="C293" s="15" t="n"/>
    </row>
    <row r="294" customFormat="1" s="64">
      <c r="A294" s="15" t="n"/>
      <c r="B294" s="15" t="n"/>
      <c r="C294" s="15" t="n"/>
    </row>
    <row r="295" customFormat="1" s="64">
      <c r="A295" s="15" t="n"/>
      <c r="B295" s="15" t="n"/>
      <c r="C295" s="15" t="n"/>
    </row>
    <row r="296" customFormat="1" s="64">
      <c r="A296" s="15" t="n"/>
      <c r="B296" s="15" t="n"/>
      <c r="C296" s="15" t="n"/>
    </row>
    <row r="297" customFormat="1" s="64">
      <c r="A297" s="15" t="n"/>
      <c r="B297" s="15" t="n"/>
      <c r="C297" s="15" t="n"/>
    </row>
    <row r="298" customFormat="1" s="64">
      <c r="A298" s="15" t="n"/>
      <c r="B298" s="15" t="n"/>
      <c r="C298" s="15" t="n"/>
    </row>
    <row r="299" customFormat="1" s="64">
      <c r="A299" s="15" t="n"/>
      <c r="B299" s="15" t="n"/>
      <c r="C299" s="15" t="n"/>
    </row>
    <row r="300" customFormat="1" s="64">
      <c r="A300" s="15" t="n"/>
      <c r="B300" s="15" t="n"/>
      <c r="C300" s="15" t="n"/>
    </row>
    <row r="301" customFormat="1" s="64">
      <c r="A301" s="15" t="n"/>
      <c r="B301" s="15" t="n"/>
      <c r="C301" s="15" t="n"/>
    </row>
    <row r="302" customFormat="1" s="64">
      <c r="A302" s="15" t="n"/>
      <c r="B302" s="15" t="n"/>
      <c r="C302" s="15" t="n"/>
    </row>
    <row r="303" customFormat="1" s="64">
      <c r="A303" s="15" t="n"/>
      <c r="B303" s="15" t="n"/>
      <c r="C303" s="15" t="n"/>
    </row>
    <row r="304" customFormat="1" s="64">
      <c r="A304" s="15" t="n"/>
      <c r="B304" s="15" t="n"/>
      <c r="C304" s="15" t="n"/>
    </row>
    <row r="305" customFormat="1" s="64">
      <c r="A305" s="15" t="n"/>
      <c r="B305" s="15" t="n"/>
      <c r="C305" s="15" t="n"/>
    </row>
    <row r="306" customFormat="1" s="64">
      <c r="A306" s="15" t="n"/>
      <c r="B306" s="15" t="n"/>
      <c r="C306" s="15" t="n"/>
    </row>
    <row r="307" customFormat="1" s="64">
      <c r="A307" s="15" t="n"/>
      <c r="B307" s="15" t="n"/>
      <c r="C307" s="15" t="n"/>
    </row>
    <row r="308" customFormat="1" s="64">
      <c r="A308" s="15" t="n"/>
      <c r="B308" s="15" t="n"/>
      <c r="C308" s="15" t="n"/>
    </row>
    <row r="309" customFormat="1" s="64">
      <c r="A309" s="15" t="n"/>
      <c r="B309" s="15" t="n"/>
      <c r="C309" s="15" t="n"/>
    </row>
    <row r="310" customFormat="1" s="64">
      <c r="A310" s="15" t="n"/>
      <c r="B310" s="15" t="n"/>
      <c r="C310" s="15" t="n"/>
    </row>
    <row r="311" customFormat="1" s="64">
      <c r="A311" s="15" t="n"/>
      <c r="B311" s="15" t="n"/>
      <c r="C311" s="15" t="n"/>
    </row>
    <row r="312" customFormat="1" s="64">
      <c r="A312" s="15" t="n"/>
      <c r="B312" s="15" t="n"/>
      <c r="C312" s="15" t="n"/>
    </row>
    <row r="313" customFormat="1" s="64">
      <c r="A313" s="15" t="n"/>
      <c r="B313" s="15" t="n"/>
      <c r="C313" s="15" t="n"/>
    </row>
    <row r="314" customFormat="1" s="64">
      <c r="A314" s="15" t="n"/>
      <c r="B314" s="15" t="n"/>
      <c r="C314" s="15" t="n"/>
    </row>
    <row r="315" customFormat="1" s="64">
      <c r="A315" s="15" t="n"/>
      <c r="B315" s="15" t="n"/>
      <c r="C315" s="15" t="n"/>
    </row>
    <row r="316" customFormat="1" s="64">
      <c r="A316" s="15" t="n"/>
      <c r="B316" s="15" t="n"/>
      <c r="C316" s="15" t="n"/>
    </row>
    <row r="317" customFormat="1" s="64">
      <c r="A317" s="15" t="n"/>
      <c r="B317" s="15" t="n"/>
      <c r="C317" s="15" t="n"/>
    </row>
    <row r="318" customFormat="1" s="64">
      <c r="A318" s="15" t="n"/>
      <c r="B318" s="15" t="n"/>
      <c r="C318" s="15" t="n"/>
    </row>
    <row r="319" customFormat="1" s="64">
      <c r="A319" s="15" t="n"/>
      <c r="B319" s="15" t="n"/>
      <c r="C319" s="15" t="n"/>
    </row>
    <row r="320" customFormat="1" s="64">
      <c r="A320" s="15" t="n"/>
      <c r="B320" s="15" t="n"/>
      <c r="C320" s="15" t="n"/>
    </row>
    <row r="321" customFormat="1" s="64">
      <c r="A321" s="15" t="n"/>
      <c r="B321" s="15" t="n"/>
      <c r="C321" s="15" t="n"/>
    </row>
    <row r="322" customFormat="1" s="64">
      <c r="A322" s="15" t="n"/>
      <c r="B322" s="15" t="n"/>
      <c r="C322" s="15" t="n"/>
    </row>
    <row r="323" customFormat="1" s="64">
      <c r="A323" s="15" t="n"/>
      <c r="B323" s="15" t="n"/>
      <c r="C323" s="15" t="n"/>
    </row>
    <row r="324" customFormat="1" s="64">
      <c r="A324" s="15" t="n"/>
      <c r="B324" s="15" t="n"/>
      <c r="C324" s="15" t="n"/>
    </row>
    <row r="325" customFormat="1" s="64">
      <c r="A325" s="15" t="n"/>
      <c r="B325" s="15" t="n"/>
      <c r="C325" s="15" t="n"/>
    </row>
    <row r="326" customFormat="1" s="64">
      <c r="A326" s="15" t="n"/>
      <c r="B326" s="15" t="n"/>
      <c r="C326" s="15" t="n"/>
    </row>
    <row r="327" customFormat="1" s="64">
      <c r="A327" s="15" t="n"/>
      <c r="B327" s="15" t="n"/>
      <c r="C327" s="15" t="n"/>
    </row>
    <row r="328" customFormat="1" s="64">
      <c r="A328" s="15" t="n"/>
      <c r="B328" s="15" t="n"/>
      <c r="C328" s="15" t="n"/>
    </row>
    <row r="329" customFormat="1" s="64">
      <c r="A329" s="15" t="n"/>
      <c r="B329" s="15" t="n"/>
      <c r="C329" s="15" t="n"/>
    </row>
    <row r="330" customFormat="1" s="64">
      <c r="A330" s="15" t="n"/>
      <c r="B330" s="15" t="n"/>
      <c r="C330" s="15" t="n"/>
    </row>
    <row r="331" customFormat="1" s="64">
      <c r="A331" s="15" t="n"/>
      <c r="B331" s="15" t="n"/>
      <c r="C331" s="15" t="n"/>
    </row>
    <row r="332" customFormat="1" s="64">
      <c r="A332" s="15" t="n"/>
      <c r="B332" s="15" t="n"/>
      <c r="C332" s="15" t="n"/>
    </row>
    <row r="333" customFormat="1" s="64">
      <c r="A333" s="15" t="n"/>
      <c r="B333" s="15" t="n"/>
      <c r="C333" s="15" t="n"/>
    </row>
    <row r="334" customFormat="1" s="64">
      <c r="A334" s="15" t="n"/>
      <c r="B334" s="15" t="n"/>
      <c r="C334" s="15" t="n"/>
    </row>
    <row r="335" customFormat="1" s="64">
      <c r="A335" s="15" t="n"/>
      <c r="B335" s="15" t="n"/>
      <c r="C335" s="15" t="n"/>
    </row>
    <row r="336" customFormat="1" s="64">
      <c r="A336" s="15" t="n"/>
      <c r="B336" s="15" t="n"/>
      <c r="C336" s="15" t="n"/>
    </row>
    <row r="337" customFormat="1" s="64">
      <c r="A337" s="15" t="n"/>
      <c r="B337" s="15" t="n"/>
      <c r="C337" s="15" t="n"/>
    </row>
    <row r="338" customFormat="1" s="64">
      <c r="A338" s="15" t="n"/>
      <c r="B338" s="15" t="n"/>
      <c r="C338" s="15" t="n"/>
    </row>
    <row r="339" customFormat="1" s="64">
      <c r="A339" s="15" t="n"/>
      <c r="B339" s="15" t="n"/>
      <c r="C339" s="15" t="n"/>
    </row>
    <row r="340" customFormat="1" s="64">
      <c r="A340" s="15" t="n"/>
      <c r="B340" s="15" t="n"/>
      <c r="C340" s="15" t="n"/>
    </row>
    <row r="341" customFormat="1" s="64">
      <c r="A341" s="15" t="n"/>
      <c r="B341" s="15" t="n"/>
      <c r="C341" s="15" t="n"/>
    </row>
    <row r="342" customFormat="1" s="64">
      <c r="A342" s="15" t="n"/>
      <c r="B342" s="15" t="n"/>
      <c r="C342" s="15" t="n"/>
    </row>
    <row r="343" customFormat="1" s="64">
      <c r="A343" s="15" t="n"/>
      <c r="B343" s="15" t="n"/>
      <c r="C343" s="15" t="n"/>
    </row>
    <row r="344" customFormat="1" s="64">
      <c r="A344" s="15" t="n"/>
      <c r="B344" s="15" t="n"/>
      <c r="C344" s="15" t="n"/>
    </row>
    <row r="345" customFormat="1" s="64">
      <c r="A345" s="15" t="n"/>
      <c r="B345" s="15" t="n"/>
      <c r="C345" s="15" t="n"/>
    </row>
    <row r="346" customFormat="1" s="64">
      <c r="A346" s="15" t="n"/>
      <c r="B346" s="15" t="n"/>
      <c r="C346" s="15" t="n"/>
    </row>
    <row r="347" customFormat="1" s="64">
      <c r="A347" s="15" t="n"/>
      <c r="B347" s="15" t="n"/>
      <c r="C347" s="15" t="n"/>
    </row>
    <row r="348" customFormat="1" s="64">
      <c r="A348" s="15" t="n"/>
      <c r="B348" s="15" t="n"/>
      <c r="C348" s="15" t="n"/>
    </row>
    <row r="349" customFormat="1" s="64">
      <c r="A349" s="15" t="n"/>
      <c r="B349" s="15" t="n"/>
      <c r="C349" s="15" t="n"/>
    </row>
    <row r="350" customFormat="1" s="64">
      <c r="A350" s="15" t="n"/>
      <c r="B350" s="15" t="n"/>
      <c r="C350" s="15" t="n"/>
    </row>
    <row r="351" customFormat="1" s="64">
      <c r="A351" s="15" t="n"/>
      <c r="B351" s="15" t="n"/>
      <c r="C351" s="15" t="n"/>
    </row>
    <row r="352" customFormat="1" s="64">
      <c r="A352" s="15" t="n"/>
      <c r="B352" s="15" t="n"/>
      <c r="C352" s="15" t="n"/>
    </row>
    <row r="353" customFormat="1" s="64">
      <c r="A353" s="15" t="n"/>
      <c r="B353" s="15" t="n"/>
      <c r="C353" s="15" t="n"/>
    </row>
    <row r="354" customFormat="1" s="64">
      <c r="A354" s="15" t="n"/>
      <c r="B354" s="15" t="n"/>
      <c r="C354" s="15" t="n"/>
    </row>
    <row r="355" customFormat="1" s="64">
      <c r="A355" s="15" t="n"/>
      <c r="B355" s="15" t="n"/>
      <c r="C355" s="15" t="n"/>
    </row>
    <row r="356" customFormat="1" s="64">
      <c r="A356" s="15" t="n"/>
      <c r="B356" s="15" t="n"/>
      <c r="C356" s="15" t="n"/>
    </row>
    <row r="357" customFormat="1" s="64">
      <c r="A357" s="15" t="n"/>
      <c r="B357" s="15" t="n"/>
      <c r="C357" s="15" t="n"/>
    </row>
    <row r="358" customFormat="1" s="64">
      <c r="A358" s="15" t="n"/>
      <c r="B358" s="15" t="n"/>
      <c r="C358" s="15" t="n"/>
    </row>
    <row r="359" customFormat="1" s="64">
      <c r="A359" s="15" t="n"/>
      <c r="B359" s="15" t="n"/>
      <c r="C359" s="15" t="n"/>
    </row>
    <row r="360" customFormat="1" s="64">
      <c r="A360" s="15" t="n"/>
      <c r="B360" s="15" t="n"/>
      <c r="C360" s="15" t="n"/>
    </row>
    <row r="361" customFormat="1" s="64">
      <c r="A361" s="15" t="n"/>
      <c r="B361" s="15" t="n"/>
      <c r="C361" s="15" t="n"/>
    </row>
    <row r="362" customFormat="1" s="64">
      <c r="A362" s="15" t="n"/>
      <c r="B362" s="15" t="n"/>
      <c r="C362" s="15" t="n"/>
    </row>
    <row r="363" customFormat="1" s="64">
      <c r="A363" s="15" t="n"/>
      <c r="B363" s="15" t="n"/>
      <c r="C363" s="15" t="n"/>
    </row>
    <row r="364" customFormat="1" s="64">
      <c r="A364" s="15" t="n"/>
      <c r="B364" s="15" t="n"/>
      <c r="C364" s="15" t="n"/>
    </row>
    <row r="365" customFormat="1" s="64">
      <c r="A365" s="15" t="n"/>
      <c r="B365" s="15" t="n"/>
      <c r="C365" s="15" t="n"/>
    </row>
    <row r="366" customFormat="1" s="64">
      <c r="A366" s="15" t="n"/>
      <c r="B366" s="15" t="n"/>
      <c r="C366" s="15" t="n"/>
    </row>
    <row r="367" customFormat="1" s="64">
      <c r="A367" s="15" t="n"/>
      <c r="B367" s="15" t="n"/>
      <c r="C367" s="15" t="n"/>
    </row>
    <row r="368" customFormat="1" s="64">
      <c r="A368" s="15" t="n"/>
      <c r="B368" s="15" t="n"/>
      <c r="C368" s="15" t="n"/>
    </row>
    <row r="369" customFormat="1" s="64">
      <c r="A369" s="15" t="n"/>
      <c r="B369" s="15" t="n"/>
      <c r="C369" s="15" t="n"/>
    </row>
    <row r="370" customFormat="1" s="64">
      <c r="A370" s="15" t="n"/>
      <c r="B370" s="15" t="n"/>
      <c r="C370" s="15" t="n"/>
    </row>
    <row r="371" customFormat="1" s="64">
      <c r="A371" s="15" t="n"/>
      <c r="B371" s="15" t="n"/>
      <c r="C371" s="15" t="n"/>
    </row>
    <row r="372" customFormat="1" s="64">
      <c r="A372" s="15" t="n"/>
      <c r="B372" s="15" t="n"/>
      <c r="C372" s="15" t="n"/>
    </row>
    <row r="373" customFormat="1" s="64">
      <c r="A373" s="15" t="n"/>
      <c r="B373" s="15" t="n"/>
      <c r="C373" s="15" t="n"/>
    </row>
    <row r="374" customFormat="1" s="64">
      <c r="A374" s="15" t="n"/>
      <c r="B374" s="15" t="n"/>
      <c r="C374" s="15" t="n"/>
    </row>
    <row r="375" customFormat="1" s="64">
      <c r="A375" s="15" t="n"/>
      <c r="B375" s="15" t="n"/>
      <c r="C375" s="15" t="n"/>
    </row>
    <row r="376" customFormat="1" s="64">
      <c r="A376" s="15" t="n"/>
      <c r="B376" s="15" t="n"/>
      <c r="C376" s="15" t="n"/>
    </row>
    <row r="377" customFormat="1" s="64">
      <c r="A377" s="15" t="n"/>
      <c r="B377" s="15" t="n"/>
      <c r="C377" s="15" t="n"/>
    </row>
    <row r="378" customFormat="1" s="64">
      <c r="A378" s="15" t="n"/>
      <c r="B378" s="15" t="n"/>
      <c r="C378" s="15" t="n"/>
    </row>
    <row r="379" customFormat="1" s="64">
      <c r="A379" s="15" t="n"/>
      <c r="B379" s="15" t="n"/>
      <c r="C379" s="15" t="n"/>
    </row>
    <row r="380" customFormat="1" s="64">
      <c r="A380" s="15" t="n"/>
      <c r="B380" s="15" t="n"/>
      <c r="C380" s="15" t="n"/>
    </row>
    <row r="381" customFormat="1" s="64">
      <c r="A381" s="15" t="n"/>
      <c r="B381" s="15" t="n"/>
      <c r="C381" s="15" t="n"/>
    </row>
    <row r="382" customFormat="1" s="64">
      <c r="A382" s="15" t="n"/>
      <c r="B382" s="15" t="n"/>
      <c r="C382" s="15" t="n"/>
    </row>
    <row r="383" customFormat="1" s="64">
      <c r="A383" s="15" t="n"/>
      <c r="B383" s="15" t="n"/>
      <c r="C383" s="15" t="n"/>
    </row>
    <row r="384" customFormat="1" s="64">
      <c r="A384" s="15" t="n"/>
      <c r="B384" s="15" t="n"/>
      <c r="C384" s="15" t="n"/>
    </row>
    <row r="385" customFormat="1" s="64">
      <c r="A385" s="15" t="n"/>
      <c r="B385" s="15" t="n"/>
      <c r="C385" s="15" t="n"/>
    </row>
    <row r="386" customFormat="1" s="64">
      <c r="A386" s="15" t="n"/>
      <c r="B386" s="15" t="n"/>
      <c r="C386" s="15" t="n"/>
    </row>
    <row r="387" customFormat="1" s="64">
      <c r="A387" s="15" t="n"/>
      <c r="B387" s="15" t="n"/>
      <c r="C387" s="15" t="n"/>
    </row>
    <row r="388" customFormat="1" s="64">
      <c r="A388" s="15" t="n"/>
      <c r="B388" s="15" t="n"/>
      <c r="C388" s="15" t="n"/>
    </row>
    <row r="389" customFormat="1" s="64">
      <c r="A389" s="15" t="n"/>
      <c r="B389" s="15" t="n"/>
      <c r="C389" s="15" t="n"/>
    </row>
    <row r="390" customFormat="1" s="64">
      <c r="A390" s="15" t="n"/>
      <c r="B390" s="15" t="n"/>
      <c r="C390" s="15" t="n"/>
    </row>
    <row r="391" customFormat="1" s="64">
      <c r="A391" s="15" t="n"/>
      <c r="B391" s="15" t="n"/>
      <c r="C391" s="15" t="n"/>
    </row>
    <row r="392" customFormat="1" s="64">
      <c r="A392" s="15" t="n"/>
      <c r="B392" s="15" t="n"/>
      <c r="C392" s="15" t="n"/>
    </row>
    <row r="393" customFormat="1" s="64">
      <c r="A393" s="15" t="n"/>
      <c r="B393" s="15" t="n"/>
      <c r="C393" s="15" t="n"/>
    </row>
    <row r="394" customFormat="1" s="64">
      <c r="A394" s="15" t="n"/>
      <c r="B394" s="15" t="n"/>
      <c r="C394" s="15" t="n"/>
    </row>
    <row r="395" customFormat="1" s="64">
      <c r="A395" s="15" t="n"/>
      <c r="B395" s="15" t="n"/>
      <c r="C395" s="15" t="n"/>
    </row>
    <row r="396" customFormat="1" s="64">
      <c r="A396" s="15" t="n"/>
      <c r="B396" s="15" t="n"/>
      <c r="C396" s="15" t="n"/>
    </row>
    <row r="397" customFormat="1" s="64">
      <c r="A397" s="15" t="n"/>
      <c r="B397" s="15" t="n"/>
      <c r="C397" s="15" t="n"/>
    </row>
    <row r="398" customFormat="1" s="64">
      <c r="A398" s="15" t="n"/>
      <c r="B398" s="15" t="n"/>
      <c r="C398" s="15" t="n"/>
    </row>
    <row r="399" customFormat="1" s="64">
      <c r="A399" s="15" t="n"/>
      <c r="B399" s="15" t="n"/>
      <c r="C399" s="15" t="n"/>
    </row>
    <row r="400" customFormat="1" s="64">
      <c r="A400" s="15" t="n"/>
      <c r="B400" s="15" t="n"/>
      <c r="C400" s="15" t="n"/>
    </row>
    <row r="401" customFormat="1" s="64">
      <c r="A401" s="15" t="n"/>
      <c r="B401" s="15" t="n"/>
      <c r="C401" s="15" t="n"/>
    </row>
    <row r="402" customFormat="1" s="64">
      <c r="A402" s="15" t="n"/>
      <c r="B402" s="15" t="n"/>
      <c r="C402" s="15" t="n"/>
    </row>
    <row r="403" customFormat="1" s="64">
      <c r="A403" s="15" t="n"/>
      <c r="B403" s="15" t="n"/>
      <c r="C403" s="15" t="n"/>
    </row>
    <row r="404" customFormat="1" s="64">
      <c r="A404" s="15" t="n"/>
      <c r="B404" s="15" t="n"/>
      <c r="C404" s="15" t="n"/>
    </row>
    <row r="405" customFormat="1" s="64">
      <c r="A405" s="15" t="n"/>
      <c r="B405" s="15" t="n"/>
      <c r="C405" s="15" t="n"/>
    </row>
    <row r="406" customFormat="1" s="64">
      <c r="A406" s="15" t="n"/>
      <c r="B406" s="15" t="n"/>
      <c r="C406" s="15" t="n"/>
    </row>
    <row r="407" customFormat="1" s="64">
      <c r="A407" s="15" t="n"/>
      <c r="B407" s="15" t="n"/>
      <c r="C407" s="15" t="n"/>
    </row>
    <row r="408" customFormat="1" s="64">
      <c r="A408" s="15" t="n"/>
      <c r="B408" s="15" t="n"/>
      <c r="C408" s="15" t="n"/>
    </row>
    <row r="409" customFormat="1" s="64">
      <c r="A409" s="15" t="n"/>
      <c r="B409" s="15" t="n"/>
      <c r="C409" s="15" t="n"/>
    </row>
    <row r="410" customFormat="1" s="64">
      <c r="A410" s="15" t="n"/>
      <c r="B410" s="15" t="n"/>
      <c r="C410" s="15" t="n"/>
    </row>
    <row r="411" customFormat="1" s="64">
      <c r="A411" s="15" t="n"/>
      <c r="B411" s="15" t="n"/>
      <c r="C411" s="15" t="n"/>
    </row>
    <row r="412" customFormat="1" s="64">
      <c r="A412" s="15" t="n"/>
      <c r="B412" s="15" t="n"/>
      <c r="C412" s="15" t="n"/>
    </row>
    <row r="413" customFormat="1" s="64">
      <c r="A413" s="15" t="n"/>
      <c r="B413" s="15" t="n"/>
      <c r="C413" s="15" t="n"/>
    </row>
    <row r="414" customFormat="1" s="64">
      <c r="A414" s="15" t="n"/>
      <c r="B414" s="15" t="n"/>
      <c r="C414" s="15" t="n"/>
    </row>
    <row r="415" customFormat="1" s="64">
      <c r="A415" s="15" t="n"/>
      <c r="B415" s="15" t="n"/>
      <c r="C415" s="15" t="n"/>
    </row>
    <row r="416" customFormat="1" s="64">
      <c r="A416" s="15" t="n"/>
      <c r="B416" s="15" t="n"/>
      <c r="C416" s="15" t="n"/>
    </row>
    <row r="417" customFormat="1" s="64">
      <c r="A417" s="15" t="n"/>
      <c r="B417" s="15" t="n"/>
      <c r="C417" s="15" t="n"/>
    </row>
    <row r="418" customFormat="1" s="64">
      <c r="A418" s="15" t="n"/>
      <c r="B418" s="15" t="n"/>
      <c r="C418" s="15" t="n"/>
    </row>
    <row r="419" customFormat="1" s="64">
      <c r="A419" s="15" t="n"/>
      <c r="B419" s="15" t="n"/>
      <c r="C419" s="15" t="n"/>
    </row>
    <row r="420" customFormat="1" s="64">
      <c r="A420" s="15" t="n"/>
      <c r="B420" s="15" t="n"/>
      <c r="C420" s="15" t="n"/>
    </row>
    <row r="421" customFormat="1" s="64">
      <c r="A421" s="15" t="n"/>
      <c r="B421" s="15" t="n"/>
      <c r="C421" s="15" t="n"/>
    </row>
    <row r="422" customFormat="1" s="64">
      <c r="A422" s="15" t="n"/>
      <c r="B422" s="15" t="n"/>
      <c r="C422" s="15" t="n"/>
    </row>
    <row r="423" customFormat="1" s="64">
      <c r="A423" s="15" t="n"/>
      <c r="B423" s="15" t="n"/>
      <c r="C423" s="15" t="n"/>
    </row>
    <row r="424" customFormat="1" s="64">
      <c r="A424" s="15" t="n"/>
      <c r="B424" s="15" t="n"/>
      <c r="C424" s="15" t="n"/>
    </row>
    <row r="425" customFormat="1" s="64">
      <c r="A425" s="15" t="n"/>
      <c r="B425" s="15" t="n"/>
      <c r="C425" s="15" t="n"/>
    </row>
    <row r="426" customFormat="1" s="64">
      <c r="A426" s="15" t="n"/>
      <c r="B426" s="15" t="n"/>
      <c r="C426" s="15" t="n"/>
    </row>
    <row r="427" customFormat="1" s="64">
      <c r="A427" s="15" t="n"/>
      <c r="B427" s="15" t="n"/>
      <c r="C427" s="15" t="n"/>
    </row>
    <row r="428" customFormat="1" s="64">
      <c r="A428" s="15" t="n"/>
      <c r="B428" s="15" t="n"/>
      <c r="C428" s="15" t="n"/>
    </row>
    <row r="429" customFormat="1" s="64">
      <c r="A429" s="15" t="n"/>
      <c r="B429" s="15" t="n"/>
      <c r="C429" s="15" t="n"/>
    </row>
    <row r="430" customFormat="1" s="64">
      <c r="A430" s="15" t="n"/>
      <c r="B430" s="15" t="n"/>
      <c r="C430" s="15" t="n"/>
    </row>
    <row r="431" customFormat="1" s="64">
      <c r="A431" s="15" t="n"/>
      <c r="B431" s="15" t="n"/>
      <c r="C431" s="15" t="n"/>
    </row>
    <row r="432" customFormat="1" s="64">
      <c r="A432" s="15" t="n"/>
      <c r="B432" s="15" t="n"/>
      <c r="C432" s="15" t="n"/>
    </row>
    <row r="433" customFormat="1" s="64">
      <c r="A433" s="15" t="n"/>
      <c r="B433" s="15" t="n"/>
      <c r="C433" s="15" t="n"/>
    </row>
    <row r="434" customFormat="1" s="64">
      <c r="A434" s="15" t="n"/>
      <c r="B434" s="15" t="n"/>
      <c r="C434" s="15" t="n"/>
    </row>
    <row r="435" customFormat="1" s="64">
      <c r="A435" s="15" t="n"/>
      <c r="B435" s="15" t="n"/>
      <c r="C435" s="15" t="n"/>
    </row>
    <row r="436" customFormat="1" s="64">
      <c r="A436" s="15" t="n"/>
      <c r="B436" s="15" t="n"/>
      <c r="C436" s="15" t="n"/>
    </row>
    <row r="437" customFormat="1" s="64">
      <c r="A437" s="15" t="n"/>
      <c r="B437" s="15" t="n"/>
      <c r="C437" s="15" t="n"/>
    </row>
    <row r="438" customFormat="1" s="64">
      <c r="A438" s="15" t="n"/>
      <c r="B438" s="15" t="n"/>
      <c r="C438" s="15" t="n"/>
    </row>
    <row r="439" customFormat="1" s="64">
      <c r="A439" s="15" t="n"/>
      <c r="B439" s="15" t="n"/>
      <c r="C439" s="15" t="n"/>
    </row>
    <row r="440" customFormat="1" s="64">
      <c r="A440" s="15" t="n"/>
      <c r="B440" s="15" t="n"/>
      <c r="C440" s="15" t="n"/>
    </row>
    <row r="441" customFormat="1" s="64">
      <c r="A441" s="15" t="n"/>
      <c r="B441" s="15" t="n"/>
      <c r="C441" s="15" t="n"/>
    </row>
    <row r="442" customFormat="1" s="64">
      <c r="A442" s="15" t="n"/>
      <c r="B442" s="15" t="n"/>
      <c r="C442" s="15" t="n"/>
    </row>
    <row r="443" customFormat="1" s="64">
      <c r="A443" s="15" t="n"/>
      <c r="B443" s="15" t="n"/>
      <c r="C443" s="15" t="n"/>
    </row>
    <row r="444" customFormat="1" s="64">
      <c r="A444" s="15" t="n"/>
      <c r="B444" s="15" t="n"/>
      <c r="C444" s="15" t="n"/>
    </row>
    <row r="445" customFormat="1" s="64">
      <c r="A445" s="15" t="n"/>
      <c r="B445" s="15" t="n"/>
      <c r="C445" s="15" t="n"/>
    </row>
    <row r="446" customFormat="1" s="64">
      <c r="A446" s="15" t="n"/>
      <c r="B446" s="15" t="n"/>
      <c r="C446" s="15" t="n"/>
    </row>
    <row r="447" customFormat="1" s="64">
      <c r="A447" s="15" t="n"/>
      <c r="B447" s="15" t="n"/>
      <c r="C447" s="15" t="n"/>
    </row>
    <row r="448" customFormat="1" s="64">
      <c r="A448" s="15" t="n"/>
      <c r="B448" s="15" t="n"/>
      <c r="C448" s="15" t="n"/>
    </row>
    <row r="449" customFormat="1" s="64">
      <c r="A449" s="15" t="n"/>
      <c r="B449" s="15" t="n"/>
      <c r="C449" s="15" t="n"/>
    </row>
    <row r="450" customFormat="1" s="64">
      <c r="A450" s="15" t="n"/>
      <c r="B450" s="15" t="n"/>
      <c r="C450" s="15" t="n"/>
    </row>
    <row r="451" customFormat="1" s="64">
      <c r="A451" s="15" t="n"/>
      <c r="B451" s="15" t="n"/>
      <c r="C451" s="15" t="n"/>
    </row>
    <row r="452" customFormat="1" s="64">
      <c r="A452" s="15" t="n"/>
      <c r="B452" s="15" t="n"/>
      <c r="C452" s="15" t="n"/>
    </row>
    <row r="453" customFormat="1" s="64">
      <c r="A453" s="15" t="n"/>
      <c r="B453" s="15" t="n"/>
      <c r="C453" s="15" t="n"/>
    </row>
    <row r="454" customFormat="1" s="64">
      <c r="A454" s="15" t="n"/>
      <c r="B454" s="15" t="n"/>
      <c r="C454" s="15" t="n"/>
    </row>
    <row r="455" customFormat="1" s="64">
      <c r="A455" s="15" t="n"/>
      <c r="B455" s="15" t="n"/>
      <c r="C455" s="15" t="n"/>
    </row>
    <row r="456" customFormat="1" s="64">
      <c r="A456" s="15" t="n"/>
      <c r="B456" s="15" t="n"/>
      <c r="C456" s="15" t="n"/>
    </row>
    <row r="457" customFormat="1" s="64">
      <c r="A457" s="15" t="n"/>
      <c r="B457" s="15" t="n"/>
      <c r="C457" s="15" t="n"/>
    </row>
    <row r="458" customFormat="1" s="64">
      <c r="A458" s="15" t="n"/>
      <c r="B458" s="15" t="n"/>
      <c r="C458" s="15" t="n"/>
    </row>
    <row r="459" customFormat="1" s="64">
      <c r="A459" s="15" t="n"/>
      <c r="B459" s="15" t="n"/>
      <c r="C459" s="15" t="n"/>
    </row>
    <row r="460" customFormat="1" s="64">
      <c r="A460" s="15" t="n"/>
      <c r="B460" s="15" t="n"/>
      <c r="C460" s="15" t="n"/>
    </row>
    <row r="461" customFormat="1" s="64">
      <c r="A461" s="15" t="n"/>
      <c r="B461" s="15" t="n"/>
      <c r="C461" s="15" t="n"/>
    </row>
    <row r="462" customFormat="1" s="64">
      <c r="A462" s="15" t="n"/>
      <c r="B462" s="15" t="n"/>
      <c r="C462" s="15" t="n"/>
    </row>
    <row r="463" customFormat="1" s="64">
      <c r="A463" s="15" t="n"/>
      <c r="B463" s="15" t="n"/>
      <c r="C463" s="15" t="n"/>
    </row>
    <row r="464" customFormat="1" s="64">
      <c r="A464" s="15" t="n"/>
      <c r="B464" s="15" t="n"/>
      <c r="C464" s="15" t="n"/>
    </row>
    <row r="465" customFormat="1" s="64">
      <c r="A465" s="15" t="n"/>
      <c r="B465" s="15" t="n"/>
      <c r="C465" s="15" t="n"/>
    </row>
    <row r="466" customFormat="1" s="64">
      <c r="A466" s="15" t="n"/>
      <c r="B466" s="15" t="n"/>
      <c r="C466" s="15" t="n"/>
    </row>
    <row r="467" customFormat="1" s="64">
      <c r="A467" s="15" t="n"/>
      <c r="B467" s="15" t="n"/>
      <c r="C467" s="15" t="n"/>
    </row>
    <row r="468" customFormat="1" s="64">
      <c r="A468" s="15" t="n"/>
      <c r="B468" s="15" t="n"/>
      <c r="C468" s="15" t="n"/>
    </row>
    <row r="469" customFormat="1" s="64">
      <c r="A469" s="15" t="n"/>
      <c r="B469" s="15" t="n"/>
      <c r="C469" s="15" t="n"/>
    </row>
    <row r="470" customFormat="1" s="64">
      <c r="A470" s="15" t="n"/>
      <c r="B470" s="15" t="n"/>
      <c r="C470" s="15" t="n"/>
    </row>
    <row r="471" customFormat="1" s="64">
      <c r="A471" s="15" t="n"/>
      <c r="B471" s="15" t="n"/>
      <c r="C471" s="15" t="n"/>
    </row>
    <row r="472" customFormat="1" s="64">
      <c r="A472" s="15" t="n"/>
      <c r="B472" s="15" t="n"/>
      <c r="C472" s="15" t="n"/>
    </row>
    <row r="473" customFormat="1" s="64">
      <c r="A473" s="15" t="n"/>
      <c r="B473" s="15" t="n"/>
      <c r="C473" s="15" t="n"/>
    </row>
    <row r="474" customFormat="1" s="64">
      <c r="A474" s="15" t="n"/>
      <c r="B474" s="15" t="n"/>
      <c r="C474" s="15" t="n"/>
    </row>
    <row r="475" customFormat="1" s="64">
      <c r="A475" s="15" t="n"/>
      <c r="B475" s="15" t="n"/>
      <c r="C475" s="15" t="n"/>
    </row>
    <row r="476" customFormat="1" s="64">
      <c r="A476" s="15" t="n"/>
      <c r="B476" s="15" t="n"/>
      <c r="C476" s="15" t="n"/>
    </row>
    <row r="477" customFormat="1" s="64">
      <c r="A477" s="15" t="n"/>
      <c r="B477" s="15" t="n"/>
      <c r="C477" s="15" t="n"/>
    </row>
    <row r="478" customFormat="1" s="64">
      <c r="A478" s="15" t="n"/>
      <c r="B478" s="15" t="n"/>
      <c r="C478" s="15" t="n"/>
    </row>
    <row r="479" customFormat="1" s="64">
      <c r="A479" s="15" t="n"/>
      <c r="B479" s="15" t="n"/>
      <c r="C479" s="15" t="n"/>
    </row>
    <row r="480" customFormat="1" s="64">
      <c r="A480" s="15" t="n"/>
      <c r="B480" s="15" t="n"/>
      <c r="C480" s="15" t="n"/>
    </row>
    <row r="481" customFormat="1" s="64">
      <c r="A481" s="15" t="n"/>
      <c r="B481" s="15" t="n"/>
      <c r="C481" s="15" t="n"/>
    </row>
    <row r="482" customFormat="1" s="64">
      <c r="A482" s="15" t="n"/>
      <c r="B482" s="15" t="n"/>
      <c r="C482" s="15" t="n"/>
    </row>
    <row r="483" customFormat="1" s="64">
      <c r="A483" s="15" t="n"/>
      <c r="B483" s="15" t="n"/>
      <c r="C483" s="15" t="n"/>
    </row>
    <row r="484" customFormat="1" s="64">
      <c r="A484" s="15" t="n"/>
      <c r="B484" s="15" t="n"/>
      <c r="C484" s="15" t="n"/>
    </row>
    <row r="485" customFormat="1" s="64">
      <c r="A485" s="15" t="n"/>
      <c r="B485" s="15" t="n"/>
      <c r="C485" s="15" t="n"/>
    </row>
    <row r="486" customFormat="1" s="64">
      <c r="A486" s="15" t="n"/>
      <c r="B486" s="15" t="n"/>
      <c r="C486" s="15" t="n"/>
    </row>
    <row r="487" customFormat="1" s="64">
      <c r="A487" s="15" t="n"/>
      <c r="B487" s="15" t="n"/>
      <c r="C487" s="15" t="n"/>
    </row>
    <row r="488" customFormat="1" s="64">
      <c r="A488" s="15" t="n"/>
      <c r="B488" s="15" t="n"/>
      <c r="C488" s="15" t="n"/>
    </row>
    <row r="489" customFormat="1" s="64">
      <c r="A489" s="15" t="n"/>
      <c r="B489" s="15" t="n"/>
      <c r="C489" s="15" t="n"/>
    </row>
    <row r="490" customFormat="1" s="64">
      <c r="A490" s="15" t="n"/>
      <c r="B490" s="15" t="n"/>
      <c r="C490" s="15" t="n"/>
    </row>
    <row r="491" customFormat="1" s="64">
      <c r="A491" s="15" t="n"/>
      <c r="B491" s="15" t="n"/>
      <c r="C491" s="15" t="n"/>
    </row>
    <row r="492" customFormat="1" s="64">
      <c r="A492" s="15" t="n"/>
      <c r="B492" s="15" t="n"/>
      <c r="C492" s="15" t="n"/>
    </row>
    <row r="493" customFormat="1" s="64">
      <c r="A493" s="15" t="n"/>
      <c r="B493" s="15" t="n"/>
      <c r="C493" s="15" t="n"/>
    </row>
    <row r="494" customFormat="1" s="64">
      <c r="A494" s="15" t="n"/>
      <c r="B494" s="15" t="n"/>
      <c r="C494" s="15" t="n"/>
    </row>
    <row r="495" customFormat="1" s="64">
      <c r="A495" s="15" t="n"/>
      <c r="B495" s="15" t="n"/>
      <c r="C495" s="15" t="n"/>
    </row>
    <row r="496" customFormat="1" s="64">
      <c r="A496" s="15" t="n"/>
      <c r="B496" s="15" t="n"/>
      <c r="C496" s="15" t="n"/>
    </row>
    <row r="497" customFormat="1" s="64">
      <c r="A497" s="15" t="n"/>
      <c r="B497" s="15" t="n"/>
      <c r="C497" s="15" t="n"/>
    </row>
    <row r="498" customFormat="1" s="64">
      <c r="A498" s="15" t="n"/>
      <c r="B498" s="15" t="n"/>
      <c r="C498" s="15" t="n"/>
    </row>
    <row r="499" customFormat="1" s="64">
      <c r="A499" s="15" t="n"/>
      <c r="B499" s="15" t="n"/>
      <c r="C499" s="15" t="n"/>
    </row>
    <row r="500" customFormat="1" s="64">
      <c r="A500" s="15" t="n"/>
      <c r="B500" s="15" t="n"/>
      <c r="C500" s="15" t="n"/>
    </row>
    <row r="501" customFormat="1" s="64">
      <c r="A501" s="15" t="n"/>
      <c r="B501" s="15" t="n"/>
      <c r="C501" s="15" t="n"/>
    </row>
    <row r="502" customFormat="1" s="64">
      <c r="A502" s="15" t="n"/>
      <c r="B502" s="15" t="n"/>
      <c r="C502" s="15" t="n"/>
    </row>
    <row r="503" customFormat="1" s="64">
      <c r="A503" s="15" t="n"/>
      <c r="B503" s="15" t="n"/>
      <c r="C503" s="15" t="n"/>
    </row>
    <row r="504" customFormat="1" s="64">
      <c r="A504" s="15" t="n"/>
      <c r="B504" s="15" t="n"/>
      <c r="C504" s="15" t="n"/>
    </row>
    <row r="505" customFormat="1" s="64">
      <c r="A505" s="15" t="n"/>
      <c r="B505" s="15" t="n"/>
      <c r="C505" s="15" t="n"/>
    </row>
    <row r="506" customFormat="1" s="64">
      <c r="A506" s="15" t="n"/>
      <c r="B506" s="15" t="n"/>
      <c r="C506" s="15" t="n"/>
    </row>
    <row r="507" customFormat="1" s="64">
      <c r="A507" s="15" t="n"/>
      <c r="B507" s="15" t="n"/>
      <c r="C507" s="15" t="n"/>
    </row>
    <row r="508" customFormat="1" s="64">
      <c r="A508" s="15" t="n"/>
      <c r="B508" s="15" t="n"/>
      <c r="C508" s="15" t="n"/>
    </row>
    <row r="509" customFormat="1" s="64">
      <c r="A509" s="15" t="n"/>
      <c r="B509" s="15" t="n"/>
      <c r="C509" s="15" t="n"/>
    </row>
    <row r="510" customFormat="1" s="64">
      <c r="A510" s="15" t="n"/>
      <c r="B510" s="15" t="n"/>
      <c r="C510" s="15" t="n"/>
    </row>
    <row r="511" customFormat="1" s="64">
      <c r="A511" s="15" t="n"/>
      <c r="B511" s="15" t="n"/>
      <c r="C511" s="15" t="n"/>
    </row>
    <row r="512" customFormat="1" s="64">
      <c r="A512" s="15" t="n"/>
      <c r="B512" s="15" t="n"/>
      <c r="C512" s="15" t="n"/>
    </row>
    <row r="513" customFormat="1" s="64">
      <c r="A513" s="15" t="n"/>
      <c r="B513" s="15" t="n"/>
      <c r="C513" s="15" t="n"/>
    </row>
    <row r="514" customFormat="1" s="64">
      <c r="A514" s="15" t="n"/>
      <c r="B514" s="15" t="n"/>
      <c r="C514" s="15" t="n"/>
    </row>
    <row r="515" customFormat="1" s="64">
      <c r="A515" s="15" t="n"/>
      <c r="B515" s="15" t="n"/>
      <c r="C515" s="15" t="n"/>
    </row>
    <row r="516" customFormat="1" s="64">
      <c r="A516" s="15" t="n"/>
      <c r="B516" s="15" t="n"/>
      <c r="C516" s="15" t="n"/>
    </row>
    <row r="517" customFormat="1" s="64">
      <c r="A517" s="15" t="n"/>
      <c r="B517" s="15" t="n"/>
      <c r="C517" s="15" t="n"/>
    </row>
    <row r="518" customFormat="1" s="64">
      <c r="A518" s="15" t="n"/>
      <c r="B518" s="15" t="n"/>
      <c r="C518" s="15" t="n"/>
    </row>
    <row r="519" customFormat="1" s="64">
      <c r="A519" s="15" t="n"/>
      <c r="B519" s="15" t="n"/>
      <c r="C519" s="15" t="n"/>
    </row>
    <row r="520" customFormat="1" s="64">
      <c r="A520" s="15" t="n"/>
      <c r="B520" s="15" t="n"/>
      <c r="C520" s="15" t="n"/>
    </row>
    <row r="521" customFormat="1" s="64">
      <c r="A521" s="15" t="n"/>
      <c r="B521" s="15" t="n"/>
      <c r="C521" s="15" t="n"/>
    </row>
    <row r="522" customFormat="1" s="64">
      <c r="A522" s="15" t="n"/>
      <c r="B522" s="15" t="n"/>
      <c r="C522" s="15" t="n"/>
    </row>
    <row r="523" customFormat="1" s="64">
      <c r="A523" s="15" t="n"/>
      <c r="B523" s="15" t="n"/>
      <c r="C523" s="15" t="n"/>
    </row>
    <row r="524" customFormat="1" s="64">
      <c r="A524" s="15" t="n"/>
      <c r="B524" s="15" t="n"/>
      <c r="C524" s="15" t="n"/>
    </row>
    <row r="525" customFormat="1" s="64">
      <c r="A525" s="15" t="n"/>
      <c r="B525" s="15" t="n"/>
      <c r="C525" s="15" t="n"/>
    </row>
    <row r="526" customFormat="1" s="64">
      <c r="A526" s="15" t="n"/>
      <c r="B526" s="15" t="n"/>
      <c r="C526" s="15" t="n"/>
    </row>
    <row r="527" customFormat="1" s="64">
      <c r="A527" s="15" t="n"/>
      <c r="B527" s="15" t="n"/>
      <c r="C527" s="15" t="n"/>
    </row>
    <row r="528" customFormat="1" s="64">
      <c r="A528" s="15" t="n"/>
      <c r="B528" s="15" t="n"/>
      <c r="C528" s="15" t="n"/>
    </row>
    <row r="529" customFormat="1" s="64">
      <c r="A529" s="15" t="n"/>
      <c r="B529" s="15" t="n"/>
      <c r="C529" s="15" t="n"/>
    </row>
    <row r="530" customFormat="1" s="64">
      <c r="A530" s="15" t="n"/>
      <c r="B530" s="15" t="n"/>
      <c r="C530" s="15" t="n"/>
    </row>
    <row r="531" customFormat="1" s="64">
      <c r="A531" s="15" t="n"/>
      <c r="B531" s="15" t="n"/>
      <c r="C531" s="15" t="n"/>
    </row>
    <row r="532" customFormat="1" s="64">
      <c r="A532" s="15" t="n"/>
      <c r="B532" s="15" t="n"/>
      <c r="C532" s="15" t="n"/>
    </row>
    <row r="533" customFormat="1" s="64">
      <c r="A533" s="15" t="n"/>
      <c r="B533" s="15" t="n"/>
      <c r="C533" s="15" t="n"/>
    </row>
    <row r="534" customFormat="1" s="64">
      <c r="A534" s="15" t="n"/>
      <c r="B534" s="15" t="n"/>
      <c r="C534" s="15" t="n"/>
    </row>
    <row r="535" customFormat="1" s="64">
      <c r="A535" s="15" t="n"/>
      <c r="B535" s="15" t="n"/>
      <c r="C535" s="15" t="n"/>
    </row>
    <row r="536" customFormat="1" s="64">
      <c r="A536" s="15" t="n"/>
      <c r="B536" s="15" t="n"/>
      <c r="C536" s="15" t="n"/>
    </row>
    <row r="537" customFormat="1" s="64">
      <c r="A537" s="15" t="n"/>
      <c r="B537" s="15" t="n"/>
      <c r="C537" s="15" t="n"/>
    </row>
    <row r="538" customFormat="1" s="64">
      <c r="A538" s="15" t="n"/>
      <c r="B538" s="15" t="n"/>
      <c r="C538" s="15" t="n"/>
    </row>
    <row r="539" customFormat="1" s="64">
      <c r="A539" s="15" t="n"/>
      <c r="B539" s="15" t="n"/>
      <c r="C539" s="15" t="n"/>
    </row>
    <row r="540" customFormat="1" s="64">
      <c r="A540" s="15" t="n"/>
      <c r="B540" s="15" t="n"/>
      <c r="C540" s="15" t="n"/>
    </row>
    <row r="541" customFormat="1" s="64">
      <c r="A541" s="15" t="n"/>
      <c r="B541" s="15" t="n"/>
      <c r="C541" s="15" t="n"/>
    </row>
    <row r="542" customFormat="1" s="64">
      <c r="A542" s="15" t="n"/>
      <c r="B542" s="15" t="n"/>
      <c r="C542" s="15" t="n"/>
    </row>
    <row r="543" customFormat="1" s="64">
      <c r="A543" s="15" t="n"/>
      <c r="B543" s="15" t="n"/>
      <c r="C543" s="15" t="n"/>
    </row>
    <row r="544" customFormat="1" s="64">
      <c r="A544" s="15" t="n"/>
      <c r="B544" s="15" t="n"/>
      <c r="C544" s="15" t="n"/>
    </row>
    <row r="545" customFormat="1" s="64">
      <c r="A545" s="15" t="n"/>
      <c r="B545" s="15" t="n"/>
      <c r="C545" s="15" t="n"/>
    </row>
    <row r="546" customFormat="1" s="64">
      <c r="A546" s="15" t="n"/>
      <c r="B546" s="15" t="n"/>
      <c r="C546" s="15" t="n"/>
    </row>
    <row r="547" customFormat="1" s="64">
      <c r="A547" s="15" t="n"/>
      <c r="B547" s="15" t="n"/>
      <c r="C547" s="15" t="n"/>
    </row>
    <row r="548" customFormat="1" s="64">
      <c r="A548" s="15" t="n"/>
      <c r="B548" s="15" t="n"/>
      <c r="C548" s="15" t="n"/>
    </row>
    <row r="549" customFormat="1" s="64">
      <c r="A549" s="15" t="n"/>
      <c r="B549" s="15" t="n"/>
      <c r="C549" s="15" t="n"/>
    </row>
    <row r="550" customFormat="1" s="64">
      <c r="A550" s="15" t="n"/>
      <c r="B550" s="15" t="n"/>
      <c r="C550" s="15" t="n"/>
    </row>
    <row r="551" customFormat="1" s="64">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9.xml><?xml version="1.0" encoding="utf-8"?>
<worksheet xmlns="http://schemas.openxmlformats.org/spreadsheetml/2006/main">
  <sheetPr codeName="Sheet7">
    <tabColor theme="9" tint="-0.249977111117893"/>
    <outlinePr summaryBelow="1" summaryRight="1"/>
    <pageSetUpPr/>
  </sheetPr>
  <dimension ref="A1:AL806"/>
  <sheetViews>
    <sheetView workbookViewId="0">
      <pane xSplit="1" ySplit="1" topLeftCell="B784" activePane="bottomRight" state="frozen"/>
      <selection activeCell="H14" sqref="H14"/>
      <selection pane="topRight" activeCell="H14" sqref="H14"/>
      <selection pane="bottomLeft" activeCell="H14" sqref="H14"/>
      <selection pane="bottomRight" activeCell="H14" sqref="H14"/>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17"/>
    <col width="9.1640625" customWidth="1" style="49" min="18"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9" t="n">
        <v>20090</v>
      </c>
      <c r="E2" t="n">
        <v>4.8</v>
      </c>
      <c r="X2" t="n">
        <v>2.6</v>
      </c>
      <c r="AL2" t="n">
        <v>4.9</v>
      </c>
    </row>
    <row r="3">
      <c r="A3" s="79" t="n">
        <v>20121</v>
      </c>
      <c r="E3" t="n">
        <v>4.7</v>
      </c>
      <c r="X3" t="n">
        <v>2.5</v>
      </c>
      <c r="AL3" t="n">
        <v>4.7</v>
      </c>
    </row>
    <row r="4">
      <c r="A4" s="79" t="n">
        <v>20149</v>
      </c>
      <c r="E4" t="n">
        <v>4.9</v>
      </c>
      <c r="X4" t="n">
        <v>2.3</v>
      </c>
      <c r="AL4" t="n">
        <v>4.6</v>
      </c>
    </row>
    <row r="5">
      <c r="A5" s="79" t="n">
        <v>20180</v>
      </c>
      <c r="E5" t="n">
        <v>4.5</v>
      </c>
      <c r="X5" t="n">
        <v>2.5</v>
      </c>
      <c r="AL5" t="n">
        <v>4.7</v>
      </c>
    </row>
    <row r="6">
      <c r="A6" s="79" t="n">
        <v>20210</v>
      </c>
      <c r="E6" t="n">
        <v>4.5</v>
      </c>
      <c r="X6" t="n">
        <v>2.4</v>
      </c>
      <c r="AL6" t="n">
        <v>4.3</v>
      </c>
    </row>
    <row r="7">
      <c r="A7" s="79" t="n">
        <v>20241</v>
      </c>
      <c r="E7" t="n">
        <v>4.3</v>
      </c>
      <c r="X7" t="n">
        <v>2.6</v>
      </c>
      <c r="AL7" t="n">
        <v>4.2</v>
      </c>
    </row>
    <row r="8">
      <c r="A8" s="79" t="n">
        <v>20271</v>
      </c>
      <c r="E8" t="n">
        <v>4.3</v>
      </c>
      <c r="X8" t="n">
        <v>2.6</v>
      </c>
      <c r="AL8" t="n">
        <v>4</v>
      </c>
    </row>
    <row r="9">
      <c r="A9" s="79" t="n">
        <v>20302</v>
      </c>
      <c r="E9" t="n">
        <v>3.8</v>
      </c>
      <c r="X9" t="n">
        <v>2.6</v>
      </c>
      <c r="AL9" t="n">
        <v>4.2</v>
      </c>
    </row>
    <row r="10">
      <c r="A10" s="79" t="n">
        <v>20333</v>
      </c>
      <c r="E10" t="n">
        <v>4.1</v>
      </c>
      <c r="X10" t="n">
        <v>2.6</v>
      </c>
      <c r="AL10" t="n">
        <v>4.1</v>
      </c>
    </row>
    <row r="11">
      <c r="A11" s="79" t="n">
        <v>20363</v>
      </c>
      <c r="E11" t="n">
        <v>4</v>
      </c>
      <c r="X11" t="n">
        <v>2.7</v>
      </c>
      <c r="AL11" t="n">
        <v>4.3</v>
      </c>
    </row>
    <row r="12">
      <c r="A12" s="79" t="n">
        <v>20394</v>
      </c>
      <c r="E12" t="n">
        <v>3.8</v>
      </c>
      <c r="X12" t="n">
        <v>2.4</v>
      </c>
      <c r="AL12" t="n">
        <v>4.2</v>
      </c>
    </row>
    <row r="13">
      <c r="A13" s="79" t="n">
        <v>20424</v>
      </c>
      <c r="E13" t="n">
        <v>3.7</v>
      </c>
      <c r="X13" t="n">
        <v>2.4</v>
      </c>
      <c r="AL13" t="n">
        <v>4.2</v>
      </c>
    </row>
    <row r="14">
      <c r="A14" s="79" t="n">
        <v>20455</v>
      </c>
      <c r="E14" t="n">
        <v>3.7</v>
      </c>
      <c r="X14" t="n">
        <v>2.5</v>
      </c>
      <c r="AL14" t="n">
        <v>4</v>
      </c>
    </row>
    <row r="15">
      <c r="A15" s="79" t="n">
        <v>20486</v>
      </c>
      <c r="E15" t="n">
        <v>3.8</v>
      </c>
      <c r="X15" t="n">
        <v>2.6</v>
      </c>
      <c r="AL15" t="n">
        <v>3.9</v>
      </c>
    </row>
    <row r="16">
      <c r="A16" s="79" t="n">
        <v>20515</v>
      </c>
      <c r="E16" t="n">
        <v>3.6</v>
      </c>
      <c r="X16" t="n">
        <v>2.7</v>
      </c>
      <c r="AL16" t="n">
        <v>4.2</v>
      </c>
    </row>
    <row r="17">
      <c r="A17" s="79" t="n">
        <v>20546</v>
      </c>
      <c r="E17" t="n">
        <v>3.5</v>
      </c>
      <c r="X17" t="n">
        <v>2.4</v>
      </c>
      <c r="AL17" t="n">
        <v>4</v>
      </c>
    </row>
    <row r="18">
      <c r="A18" s="79" t="n">
        <v>20576</v>
      </c>
      <c r="E18" t="n">
        <v>3.4</v>
      </c>
      <c r="X18" t="n">
        <v>2.3</v>
      </c>
      <c r="AL18" t="n">
        <v>4.3</v>
      </c>
    </row>
    <row r="19">
      <c r="A19" s="79" t="n">
        <v>20607</v>
      </c>
      <c r="E19" t="n">
        <v>3.2</v>
      </c>
      <c r="X19" t="n">
        <v>2.2</v>
      </c>
      <c r="AL19" t="n">
        <v>4.3</v>
      </c>
    </row>
    <row r="20">
      <c r="A20" s="79" t="n">
        <v>20637</v>
      </c>
      <c r="E20" t="n">
        <v>3</v>
      </c>
      <c r="X20" t="n">
        <v>2.1</v>
      </c>
      <c r="AL20" t="n">
        <v>4.4</v>
      </c>
    </row>
    <row r="21">
      <c r="A21" s="79" t="n">
        <v>20668</v>
      </c>
      <c r="E21" t="n">
        <v>3</v>
      </c>
      <c r="X21" t="n">
        <v>2.1</v>
      </c>
      <c r="AL21" t="n">
        <v>4.1</v>
      </c>
    </row>
    <row r="22">
      <c r="A22" s="79" t="n">
        <v>20699</v>
      </c>
      <c r="E22" t="n">
        <v>3.1</v>
      </c>
      <c r="X22" t="n">
        <v>2.2</v>
      </c>
      <c r="AL22" t="n">
        <v>3.9</v>
      </c>
    </row>
    <row r="23">
      <c r="A23" s="79" t="n">
        <v>20729</v>
      </c>
      <c r="E23" t="n">
        <v>2.8</v>
      </c>
      <c r="X23" t="n">
        <v>2</v>
      </c>
      <c r="AL23" t="n">
        <v>3.9</v>
      </c>
    </row>
    <row r="24">
      <c r="A24" s="79" t="n">
        <v>20760</v>
      </c>
      <c r="E24" t="n">
        <v>3.1</v>
      </c>
      <c r="X24" t="n">
        <v>2.2</v>
      </c>
      <c r="AL24" t="n">
        <v>4.3</v>
      </c>
    </row>
    <row r="25">
      <c r="A25" s="79" t="n">
        <v>20790</v>
      </c>
      <c r="E25" t="n">
        <v>3.4</v>
      </c>
      <c r="X25" t="n">
        <v>2.3</v>
      </c>
      <c r="AL25" t="n">
        <v>4.2</v>
      </c>
    </row>
    <row r="26">
      <c r="A26" s="79" t="n">
        <v>20821</v>
      </c>
      <c r="E26" t="n">
        <v>3.8</v>
      </c>
      <c r="X26" t="n">
        <v>2.1</v>
      </c>
      <c r="AL26" t="n">
        <v>4.2</v>
      </c>
    </row>
    <row r="27">
      <c r="A27" s="79" t="n">
        <v>20852</v>
      </c>
      <c r="E27" t="n">
        <v>3.9</v>
      </c>
      <c r="X27" t="n">
        <v>2</v>
      </c>
      <c r="AL27" t="n">
        <v>3.9</v>
      </c>
    </row>
    <row r="28">
      <c r="A28" s="79" t="n">
        <v>20880</v>
      </c>
      <c r="E28" t="n">
        <v>4.1</v>
      </c>
      <c r="X28" t="n">
        <v>2</v>
      </c>
      <c r="AL28" t="n">
        <v>3.7</v>
      </c>
    </row>
    <row r="29">
      <c r="A29" s="79" t="n">
        <v>20911</v>
      </c>
      <c r="E29" t="n">
        <v>4.2</v>
      </c>
      <c r="X29" t="n">
        <v>2</v>
      </c>
      <c r="AL29" t="n">
        <v>3.9</v>
      </c>
    </row>
    <row r="30">
      <c r="A30" s="79" t="n">
        <v>20941</v>
      </c>
      <c r="E30" t="n">
        <v>3.9</v>
      </c>
      <c r="X30" t="n">
        <v>1.9</v>
      </c>
      <c r="AL30" t="n">
        <v>4.1</v>
      </c>
    </row>
    <row r="31">
      <c r="A31" s="79" t="n">
        <v>20972</v>
      </c>
      <c r="E31" t="n">
        <v>4.3</v>
      </c>
      <c r="X31" t="n">
        <v>1.8</v>
      </c>
      <c r="AL31" t="n">
        <v>4.3</v>
      </c>
    </row>
    <row r="32">
      <c r="A32" s="79" t="n">
        <v>21002</v>
      </c>
      <c r="E32" t="n">
        <v>4.6</v>
      </c>
      <c r="X32" t="n">
        <v>1.8</v>
      </c>
      <c r="AL32" t="n">
        <v>4.2</v>
      </c>
    </row>
    <row r="33">
      <c r="A33" s="79" t="n">
        <v>21033</v>
      </c>
      <c r="E33" t="n">
        <v>4.8</v>
      </c>
      <c r="X33" t="n">
        <v>1.8</v>
      </c>
      <c r="AL33" t="n">
        <v>4.1</v>
      </c>
    </row>
    <row r="34">
      <c r="A34" s="79" t="n">
        <v>21064</v>
      </c>
      <c r="E34" t="n">
        <v>5.4</v>
      </c>
      <c r="X34" t="n">
        <v>2</v>
      </c>
      <c r="AL34" t="n">
        <v>4.4</v>
      </c>
    </row>
    <row r="35">
      <c r="A35" s="79" t="n">
        <v>21094</v>
      </c>
      <c r="E35" t="n">
        <v>5.3</v>
      </c>
      <c r="X35" t="n">
        <v>2</v>
      </c>
      <c r="AL35" t="n">
        <v>4.5</v>
      </c>
    </row>
    <row r="36">
      <c r="A36" s="79" t="n">
        <v>21125</v>
      </c>
      <c r="E36" t="n">
        <v>6.2</v>
      </c>
      <c r="X36" t="n">
        <v>1.9</v>
      </c>
      <c r="AL36" t="n">
        <v>5.1</v>
      </c>
    </row>
    <row r="37">
      <c r="A37" s="79" t="n">
        <v>21155</v>
      </c>
      <c r="E37" t="n">
        <v>6.5</v>
      </c>
      <c r="X37" t="n">
        <v>1.8</v>
      </c>
      <c r="AL37" t="n">
        <v>5.2</v>
      </c>
    </row>
    <row r="38">
      <c r="A38" s="79" t="n">
        <v>21186</v>
      </c>
      <c r="E38" t="n">
        <v>6.5</v>
      </c>
      <c r="X38" t="n">
        <v>1.9</v>
      </c>
      <c r="AL38" t="n">
        <v>5.8</v>
      </c>
    </row>
    <row r="39">
      <c r="A39" s="79" t="n">
        <v>21217</v>
      </c>
      <c r="E39" t="n">
        <v>6.6</v>
      </c>
      <c r="X39" t="n">
        <v>1.9</v>
      </c>
      <c r="AL39" t="n">
        <v>6.4</v>
      </c>
    </row>
    <row r="40">
      <c r="A40" s="79" t="n">
        <v>21245</v>
      </c>
      <c r="E40" t="n">
        <v>6.9</v>
      </c>
      <c r="X40" t="n">
        <v>2</v>
      </c>
      <c r="AL40" t="n">
        <v>6.7</v>
      </c>
    </row>
    <row r="41">
      <c r="A41" s="79" t="n">
        <v>21276</v>
      </c>
      <c r="E41" t="n">
        <v>6.9</v>
      </c>
      <c r="X41" t="n">
        <v>2</v>
      </c>
      <c r="AL41" t="n">
        <v>7.4</v>
      </c>
    </row>
    <row r="42">
      <c r="A42" s="79" t="n">
        <v>21306</v>
      </c>
      <c r="E42" t="n">
        <v>7</v>
      </c>
      <c r="X42" t="n">
        <v>2</v>
      </c>
      <c r="AL42" t="n">
        <v>7.4</v>
      </c>
    </row>
    <row r="43">
      <c r="A43" s="79" t="n">
        <v>21337</v>
      </c>
      <c r="E43" t="n">
        <v>7.9</v>
      </c>
      <c r="X43" t="n">
        <v>2.2</v>
      </c>
      <c r="AL43" t="n">
        <v>7.3</v>
      </c>
    </row>
    <row r="44">
      <c r="A44" s="79" t="n">
        <v>21367</v>
      </c>
      <c r="E44" t="n">
        <v>7.5</v>
      </c>
      <c r="X44" t="n">
        <v>2.1</v>
      </c>
      <c r="AL44" t="n">
        <v>7.5</v>
      </c>
    </row>
    <row r="45">
      <c r="A45" s="79" t="n">
        <v>21398</v>
      </c>
      <c r="E45" t="n">
        <v>7.5</v>
      </c>
      <c r="X45" t="n">
        <v>2.2</v>
      </c>
      <c r="AL45" t="n">
        <v>7.4</v>
      </c>
    </row>
    <row r="46">
      <c r="A46" s="79" t="n">
        <v>21429</v>
      </c>
      <c r="E46" t="n">
        <v>7.1</v>
      </c>
      <c r="X46" t="n">
        <v>2.2</v>
      </c>
      <c r="AL46" t="n">
        <v>7.1</v>
      </c>
    </row>
    <row r="47">
      <c r="A47" s="79" t="n">
        <v>21459</v>
      </c>
      <c r="E47" t="n">
        <v>7.5</v>
      </c>
      <c r="X47" t="n">
        <v>2.1</v>
      </c>
      <c r="AL47" t="n">
        <v>6.7</v>
      </c>
    </row>
    <row r="48">
      <c r="A48" s="79" t="n">
        <v>21490</v>
      </c>
      <c r="E48" t="n">
        <v>7.2</v>
      </c>
      <c r="X48" t="n">
        <v>2.1</v>
      </c>
      <c r="AL48" t="n">
        <v>6.2</v>
      </c>
    </row>
    <row r="49">
      <c r="A49" s="79" t="n">
        <v>21520</v>
      </c>
      <c r="E49" t="n">
        <v>7</v>
      </c>
      <c r="X49" t="n">
        <v>2.1</v>
      </c>
      <c r="AL49" t="n">
        <v>6.2</v>
      </c>
    </row>
    <row r="50">
      <c r="A50" s="79" t="n">
        <v>21551</v>
      </c>
      <c r="E50" t="n">
        <v>6.5</v>
      </c>
      <c r="X50" t="n">
        <v>2.4</v>
      </c>
      <c r="AL50" t="n">
        <v>6</v>
      </c>
    </row>
    <row r="51">
      <c r="A51" s="79" t="n">
        <v>21582</v>
      </c>
      <c r="E51" t="n">
        <v>6.2</v>
      </c>
      <c r="X51" t="n">
        <v>2.5</v>
      </c>
      <c r="AL51" t="n">
        <v>5.9</v>
      </c>
    </row>
    <row r="52">
      <c r="A52" s="79" t="n">
        <v>21610</v>
      </c>
      <c r="E52" t="n">
        <v>6</v>
      </c>
      <c r="X52" t="n">
        <v>2.4</v>
      </c>
      <c r="AL52" t="n">
        <v>5.6</v>
      </c>
    </row>
    <row r="53">
      <c r="A53" s="79" t="n">
        <v>21641</v>
      </c>
      <c r="E53" t="n">
        <v>5.8</v>
      </c>
      <c r="X53" t="n">
        <v>2.2</v>
      </c>
      <c r="AL53" t="n">
        <v>5.2</v>
      </c>
    </row>
    <row r="54">
      <c r="A54" s="79" t="n">
        <v>21671</v>
      </c>
      <c r="E54" t="n">
        <v>6.3</v>
      </c>
      <c r="X54" t="n">
        <v>2.2</v>
      </c>
      <c r="AL54" t="n">
        <v>5.1</v>
      </c>
    </row>
    <row r="55">
      <c r="A55" s="79" t="n">
        <v>21702</v>
      </c>
      <c r="E55" t="n">
        <v>5.6</v>
      </c>
      <c r="X55" t="n">
        <v>2.3</v>
      </c>
      <c r="AL55" t="n">
        <v>5</v>
      </c>
    </row>
    <row r="56">
      <c r="A56" s="79" t="n">
        <v>21732</v>
      </c>
      <c r="E56" t="n">
        <v>5.5</v>
      </c>
      <c r="X56" t="n">
        <v>2.3</v>
      </c>
      <c r="AL56" t="n">
        <v>5.1</v>
      </c>
    </row>
    <row r="57">
      <c r="A57" s="79" t="n">
        <v>21763</v>
      </c>
      <c r="E57" t="n">
        <v>5.9</v>
      </c>
      <c r="X57" t="n">
        <v>2.3</v>
      </c>
      <c r="AL57" t="n">
        <v>5.2</v>
      </c>
    </row>
    <row r="58">
      <c r="A58" s="79" t="n">
        <v>21794</v>
      </c>
      <c r="E58" t="n">
        <v>5.4</v>
      </c>
      <c r="X58" t="n">
        <v>2</v>
      </c>
      <c r="AL58" t="n">
        <v>5.5</v>
      </c>
    </row>
    <row r="59">
      <c r="A59" s="79" t="n">
        <v>21824</v>
      </c>
      <c r="E59" t="n">
        <v>5.5</v>
      </c>
      <c r="X59" t="n">
        <v>1.9</v>
      </c>
      <c r="AL59" t="n">
        <v>5.7</v>
      </c>
    </row>
    <row r="60">
      <c r="A60" s="79" t="n">
        <v>21855</v>
      </c>
      <c r="E60" t="n">
        <v>5.8</v>
      </c>
      <c r="X60" t="n">
        <v>2</v>
      </c>
      <c r="AL60" t="n">
        <v>5.8</v>
      </c>
    </row>
    <row r="61">
      <c r="A61" s="79" t="n">
        <v>21885</v>
      </c>
      <c r="E61" t="n">
        <v>6</v>
      </c>
      <c r="X61" t="n">
        <v>2</v>
      </c>
      <c r="AL61" t="n">
        <v>5.3</v>
      </c>
    </row>
    <row r="62">
      <c r="A62" s="79" t="n">
        <v>21916</v>
      </c>
      <c r="E62" t="n">
        <v>6.1</v>
      </c>
      <c r="X62" t="n">
        <v>1.9</v>
      </c>
      <c r="AL62" t="n">
        <v>5.2</v>
      </c>
    </row>
    <row r="63">
      <c r="A63" s="79" t="n">
        <v>21947</v>
      </c>
      <c r="E63" t="n">
        <v>6.4</v>
      </c>
      <c r="X63" t="n">
        <v>1.7</v>
      </c>
      <c r="AL63" t="n">
        <v>4.8</v>
      </c>
    </row>
    <row r="64">
      <c r="A64" s="79" t="n">
        <v>21976</v>
      </c>
      <c r="E64" t="n">
        <v>6.5</v>
      </c>
      <c r="X64" t="n">
        <v>1.7</v>
      </c>
      <c r="AL64" t="n">
        <v>5.4</v>
      </c>
    </row>
    <row r="65">
      <c r="A65" s="79" t="n">
        <v>22007</v>
      </c>
      <c r="E65" t="n">
        <v>6.8</v>
      </c>
      <c r="X65" t="n">
        <v>1.7</v>
      </c>
      <c r="AL65" t="n">
        <v>5.2</v>
      </c>
    </row>
    <row r="66">
      <c r="A66" s="79" t="n">
        <v>22037</v>
      </c>
      <c r="E66" t="n">
        <v>7.2</v>
      </c>
      <c r="X66" t="n">
        <v>1.7</v>
      </c>
      <c r="AL66" t="n">
        <v>5.1</v>
      </c>
    </row>
    <row r="67">
      <c r="A67" s="79" t="n">
        <v>22068</v>
      </c>
      <c r="E67" t="n">
        <v>6.7</v>
      </c>
      <c r="X67" t="n">
        <v>1.6</v>
      </c>
      <c r="AL67" t="n">
        <v>5.4</v>
      </c>
    </row>
    <row r="68">
      <c r="A68" s="79" t="n">
        <v>22098</v>
      </c>
      <c r="E68" t="n">
        <v>7.1</v>
      </c>
      <c r="X68" t="n">
        <v>1.5</v>
      </c>
      <c r="AL68" t="n">
        <v>5.5</v>
      </c>
    </row>
    <row r="69">
      <c r="A69" s="79" t="n">
        <v>22129</v>
      </c>
      <c r="E69" t="n">
        <v>7.6</v>
      </c>
      <c r="X69" t="n">
        <v>1.6</v>
      </c>
      <c r="AL69" t="n">
        <v>5.6</v>
      </c>
    </row>
    <row r="70">
      <c r="A70" s="79" t="n">
        <v>22160</v>
      </c>
      <c r="E70" t="n">
        <v>7.5</v>
      </c>
      <c r="X70" t="n">
        <v>1.6</v>
      </c>
      <c r="AL70" t="n">
        <v>5.5</v>
      </c>
    </row>
    <row r="71">
      <c r="A71" s="79" t="n">
        <v>22190</v>
      </c>
      <c r="E71" t="n">
        <v>7.6</v>
      </c>
      <c r="X71" t="n">
        <v>1.4</v>
      </c>
      <c r="AL71" t="n">
        <v>6.1</v>
      </c>
    </row>
    <row r="72">
      <c r="A72" s="79" t="n">
        <v>22221</v>
      </c>
      <c r="E72" t="n">
        <v>7.5</v>
      </c>
      <c r="X72" t="n">
        <v>1.5</v>
      </c>
      <c r="AL72" t="n">
        <v>6.1</v>
      </c>
    </row>
    <row r="73">
      <c r="A73" s="79" t="n">
        <v>22251</v>
      </c>
      <c r="E73" t="n">
        <v>7.6</v>
      </c>
      <c r="X73" t="n">
        <v>1.5</v>
      </c>
      <c r="AL73" t="n">
        <v>6.6</v>
      </c>
    </row>
    <row r="74">
      <c r="A74" s="79" t="n">
        <v>22282</v>
      </c>
      <c r="E74" t="n">
        <v>7.6</v>
      </c>
      <c r="X74" t="n">
        <v>1.5</v>
      </c>
      <c r="AL74" t="n">
        <v>6.6</v>
      </c>
    </row>
    <row r="75">
      <c r="A75" s="79" t="n">
        <v>22313</v>
      </c>
      <c r="E75" t="n">
        <v>7.7</v>
      </c>
      <c r="X75" t="n">
        <v>1.5</v>
      </c>
      <c r="AL75" t="n">
        <v>6.9</v>
      </c>
    </row>
    <row r="76">
      <c r="A76" s="79" t="n">
        <v>22341</v>
      </c>
      <c r="E76" t="n">
        <v>7.6</v>
      </c>
      <c r="X76" t="n">
        <v>1.3</v>
      </c>
      <c r="AL76" t="n">
        <v>6.9</v>
      </c>
    </row>
    <row r="77">
      <c r="A77" s="79" t="n">
        <v>22372</v>
      </c>
      <c r="E77" t="n">
        <v>7.6</v>
      </c>
      <c r="X77" t="n">
        <v>1.4</v>
      </c>
      <c r="AL77" t="n">
        <v>7</v>
      </c>
    </row>
    <row r="78">
      <c r="A78" s="79" t="n">
        <v>22402</v>
      </c>
      <c r="E78" t="n">
        <v>7.6</v>
      </c>
      <c r="X78" t="n">
        <v>1.5</v>
      </c>
      <c r="AL78" t="n">
        <v>7.1</v>
      </c>
    </row>
    <row r="79">
      <c r="A79" s="79" t="n">
        <v>22433</v>
      </c>
      <c r="E79" t="n">
        <v>7.4</v>
      </c>
      <c r="X79" t="n">
        <v>1.5</v>
      </c>
      <c r="AL79" t="n">
        <v>6.9</v>
      </c>
    </row>
    <row r="80">
      <c r="A80" s="79" t="n">
        <v>22463</v>
      </c>
      <c r="E80" t="n">
        <v>7.2</v>
      </c>
      <c r="X80" t="n">
        <v>1.5</v>
      </c>
      <c r="AL80" t="n">
        <v>7</v>
      </c>
    </row>
    <row r="81">
      <c r="A81" s="79" t="n">
        <v>22494</v>
      </c>
      <c r="E81" t="n">
        <v>6.8</v>
      </c>
      <c r="X81" t="n">
        <v>1.4</v>
      </c>
      <c r="AL81" t="n">
        <v>6.6</v>
      </c>
    </row>
    <row r="82">
      <c r="A82" s="79" t="n">
        <v>22525</v>
      </c>
      <c r="E82" t="n">
        <v>6.9</v>
      </c>
      <c r="X82" t="n">
        <v>1.4</v>
      </c>
      <c r="AL82" t="n">
        <v>6.7</v>
      </c>
    </row>
    <row r="83">
      <c r="A83" s="79" t="n">
        <v>22555</v>
      </c>
      <c r="E83" t="n">
        <v>6.5</v>
      </c>
      <c r="X83" t="n">
        <v>1.4</v>
      </c>
      <c r="AL83" t="n">
        <v>6.5</v>
      </c>
    </row>
    <row r="84">
      <c r="A84" s="79" t="n">
        <v>22586</v>
      </c>
      <c r="E84" t="n">
        <v>6.1</v>
      </c>
      <c r="X84" t="n">
        <v>1.5</v>
      </c>
      <c r="AL84" t="n">
        <v>6.1</v>
      </c>
    </row>
    <row r="85">
      <c r="A85" s="79" t="n">
        <v>22616</v>
      </c>
      <c r="E85" t="n">
        <v>6</v>
      </c>
      <c r="X85" t="n">
        <v>1.4</v>
      </c>
      <c r="AL85" t="n">
        <v>6</v>
      </c>
    </row>
    <row r="86">
      <c r="A86" s="79" t="n">
        <v>22647</v>
      </c>
      <c r="E86" t="n">
        <v>6</v>
      </c>
      <c r="X86" t="n">
        <v>1.3</v>
      </c>
      <c r="AL86" t="n">
        <v>5.8</v>
      </c>
    </row>
    <row r="87">
      <c r="A87" s="79" t="n">
        <v>22678</v>
      </c>
      <c r="E87" t="n">
        <v>6.2</v>
      </c>
      <c r="X87" t="n">
        <v>1.3</v>
      </c>
      <c r="AL87" t="n">
        <v>5.5</v>
      </c>
    </row>
    <row r="88">
      <c r="A88" s="79" t="n">
        <v>22706</v>
      </c>
      <c r="E88" t="n">
        <v>6</v>
      </c>
      <c r="X88" t="n">
        <v>1.3</v>
      </c>
      <c r="AL88" t="n">
        <v>5.6</v>
      </c>
    </row>
    <row r="89">
      <c r="A89" s="79" t="n">
        <v>22737</v>
      </c>
      <c r="E89" t="n">
        <v>5.9</v>
      </c>
      <c r="X89" t="n">
        <v>1.4</v>
      </c>
      <c r="AL89" t="n">
        <v>5.6</v>
      </c>
    </row>
    <row r="90">
      <c r="A90" s="79" t="n">
        <v>22767</v>
      </c>
      <c r="E90" t="n">
        <v>5.6</v>
      </c>
      <c r="X90" t="n">
        <v>1.2</v>
      </c>
      <c r="AL90" t="n">
        <v>5.5</v>
      </c>
    </row>
    <row r="91">
      <c r="A91" s="79" t="n">
        <v>22798</v>
      </c>
      <c r="E91" t="n">
        <v>5.7</v>
      </c>
      <c r="X91" t="n">
        <v>1.3</v>
      </c>
      <c r="AL91" t="n">
        <v>5.5</v>
      </c>
    </row>
    <row r="92">
      <c r="A92" s="79" t="n">
        <v>22828</v>
      </c>
      <c r="E92" t="n">
        <v>6</v>
      </c>
      <c r="X92" t="n">
        <v>1.3</v>
      </c>
      <c r="AL92" t="n">
        <v>5.4</v>
      </c>
    </row>
    <row r="93">
      <c r="A93" s="79" t="n">
        <v>22859</v>
      </c>
      <c r="E93" t="n">
        <v>5.7</v>
      </c>
      <c r="X93" t="n">
        <v>1.2</v>
      </c>
      <c r="AL93" t="n">
        <v>5.7</v>
      </c>
    </row>
    <row r="94">
      <c r="A94" s="79" t="n">
        <v>22890</v>
      </c>
      <c r="E94" t="n">
        <v>5.7</v>
      </c>
      <c r="X94" t="n">
        <v>1.2</v>
      </c>
      <c r="AL94" t="n">
        <v>5.6</v>
      </c>
    </row>
    <row r="95">
      <c r="A95" s="79" t="n">
        <v>22920</v>
      </c>
      <c r="E95" t="n">
        <v>5.7</v>
      </c>
      <c r="X95" t="n">
        <v>1.4</v>
      </c>
      <c r="AL95" t="n">
        <v>5.4</v>
      </c>
    </row>
    <row r="96">
      <c r="A96" s="79" t="n">
        <v>22951</v>
      </c>
      <c r="E96" t="n">
        <v>5.9</v>
      </c>
      <c r="X96" t="n">
        <v>1.3</v>
      </c>
      <c r="AL96" t="n">
        <v>5.7</v>
      </c>
    </row>
    <row r="97">
      <c r="A97" s="79" t="n">
        <v>22981</v>
      </c>
      <c r="E97" t="n">
        <v>6</v>
      </c>
      <c r="X97" t="n">
        <v>1.3</v>
      </c>
      <c r="AL97" t="n">
        <v>5.5</v>
      </c>
    </row>
    <row r="98">
      <c r="A98" s="79" t="n">
        <v>23012</v>
      </c>
      <c r="E98" t="n">
        <v>5.9</v>
      </c>
      <c r="X98" t="n">
        <v>1.4</v>
      </c>
      <c r="AL98" t="n">
        <v>5.7</v>
      </c>
    </row>
    <row r="99">
      <c r="A99" s="79" t="n">
        <v>23043</v>
      </c>
      <c r="E99" t="n">
        <v>5.8</v>
      </c>
      <c r="X99" t="n">
        <v>1.4</v>
      </c>
      <c r="AL99" t="n">
        <v>5.9</v>
      </c>
    </row>
    <row r="100">
      <c r="A100" s="79" t="n">
        <v>23071</v>
      </c>
      <c r="E100" t="n">
        <v>5.9</v>
      </c>
      <c r="X100" t="n">
        <v>1.4</v>
      </c>
      <c r="AL100" t="n">
        <v>5.7</v>
      </c>
    </row>
    <row r="101">
      <c r="A101" s="79" t="n">
        <v>23102</v>
      </c>
      <c r="E101" t="n">
        <v>5.7</v>
      </c>
      <c r="X101" t="n">
        <v>1.2</v>
      </c>
      <c r="AL101" t="n">
        <v>5.7</v>
      </c>
    </row>
    <row r="102">
      <c r="A102" s="79" t="n">
        <v>23132</v>
      </c>
      <c r="E102" t="n">
        <v>5.7</v>
      </c>
      <c r="X102" t="n">
        <v>1.3</v>
      </c>
      <c r="AL102" t="n">
        <v>5.9</v>
      </c>
    </row>
    <row r="103">
      <c r="A103" s="79" t="n">
        <v>23163</v>
      </c>
      <c r="E103" t="n">
        <v>5.5</v>
      </c>
      <c r="X103" t="n">
        <v>1.1</v>
      </c>
      <c r="AL103" t="n">
        <v>5.6</v>
      </c>
    </row>
    <row r="104">
      <c r="A104" s="79" t="n">
        <v>23193</v>
      </c>
      <c r="E104" t="n">
        <v>5.4</v>
      </c>
      <c r="X104" t="n">
        <v>1.1</v>
      </c>
      <c r="AL104" t="n">
        <v>5.6</v>
      </c>
    </row>
    <row r="105">
      <c r="A105" s="79" t="n">
        <v>23224</v>
      </c>
      <c r="E105" t="n">
        <v>5.3</v>
      </c>
      <c r="X105" t="n">
        <v>1.2</v>
      </c>
      <c r="AL105" t="n">
        <v>5.4</v>
      </c>
    </row>
    <row r="106">
      <c r="A106" s="79" t="n">
        <v>23255</v>
      </c>
      <c r="E106" t="n">
        <v>5.3</v>
      </c>
      <c r="X106" t="n">
        <v>1.3</v>
      </c>
      <c r="AL106" t="n">
        <v>5.5</v>
      </c>
    </row>
    <row r="107">
      <c r="A107" s="79" t="n">
        <v>23285</v>
      </c>
      <c r="E107" t="n">
        <v>5.2</v>
      </c>
      <c r="X107" t="n">
        <v>1.2</v>
      </c>
      <c r="AL107" t="n">
        <v>5.5</v>
      </c>
    </row>
    <row r="108">
      <c r="A108" s="79" t="n">
        <v>23316</v>
      </c>
      <c r="E108" t="n">
        <v>5.1</v>
      </c>
      <c r="X108" t="n">
        <v>1.2</v>
      </c>
      <c r="AL108" t="n">
        <v>5.7</v>
      </c>
    </row>
    <row r="109">
      <c r="A109" s="79" t="n">
        <v>23346</v>
      </c>
      <c r="E109" t="n">
        <v>5</v>
      </c>
      <c r="X109" t="n">
        <v>1.3</v>
      </c>
      <c r="AL109" t="n">
        <v>5.5</v>
      </c>
    </row>
    <row r="110">
      <c r="A110" s="79" t="n">
        <v>23377</v>
      </c>
      <c r="E110" t="n">
        <v>4.9</v>
      </c>
      <c r="X110" t="n">
        <v>1.2</v>
      </c>
      <c r="AL110" t="n">
        <v>5.6</v>
      </c>
    </row>
    <row r="111">
      <c r="A111" s="79" t="n">
        <v>23408</v>
      </c>
      <c r="E111" t="n">
        <v>4.9</v>
      </c>
      <c r="X111" t="n">
        <v>1.3</v>
      </c>
      <c r="AL111" t="n">
        <v>5.4</v>
      </c>
    </row>
    <row r="112">
      <c r="A112" s="79" t="n">
        <v>23437</v>
      </c>
      <c r="E112" t="n">
        <v>4.8</v>
      </c>
      <c r="X112" t="n">
        <v>1.2</v>
      </c>
      <c r="AL112" t="n">
        <v>5.4</v>
      </c>
    </row>
    <row r="113">
      <c r="A113" s="79" t="n">
        <v>23468</v>
      </c>
      <c r="E113" t="n">
        <v>4.9</v>
      </c>
      <c r="X113" t="n">
        <v>1.2</v>
      </c>
      <c r="AL113" t="n">
        <v>5.3</v>
      </c>
    </row>
    <row r="114">
      <c r="A114" s="79" t="n">
        <v>23498</v>
      </c>
      <c r="E114" t="n">
        <v>4.6</v>
      </c>
      <c r="X114" t="n">
        <v>1.1</v>
      </c>
      <c r="AL114" t="n">
        <v>5.1</v>
      </c>
    </row>
    <row r="115">
      <c r="A115" s="79" t="n">
        <v>23529</v>
      </c>
      <c r="E115" t="n">
        <v>4.8</v>
      </c>
      <c r="X115" t="n">
        <v>1.2</v>
      </c>
      <c r="AL115" t="n">
        <v>5.2</v>
      </c>
    </row>
    <row r="116">
      <c r="A116" s="79" t="n">
        <v>23559</v>
      </c>
      <c r="E116" t="n">
        <v>4.6</v>
      </c>
      <c r="X116" t="n">
        <v>1.2</v>
      </c>
      <c r="AL116" t="n">
        <v>4.9</v>
      </c>
    </row>
    <row r="117">
      <c r="A117" s="79" t="n">
        <v>23590</v>
      </c>
      <c r="E117" t="n">
        <v>4.6</v>
      </c>
      <c r="X117" t="n">
        <v>1.2</v>
      </c>
      <c r="AL117" t="n">
        <v>5</v>
      </c>
    </row>
    <row r="118">
      <c r="A118" s="79" t="n">
        <v>23621</v>
      </c>
      <c r="E118" t="n">
        <v>4.5</v>
      </c>
      <c r="X118" t="n">
        <v>1.1</v>
      </c>
      <c r="AL118" t="n">
        <v>5.1</v>
      </c>
    </row>
    <row r="119">
      <c r="A119" s="79" t="n">
        <v>23651</v>
      </c>
      <c r="E119" t="n">
        <v>4.9</v>
      </c>
      <c r="X119" t="n">
        <v>1.1</v>
      </c>
      <c r="AL119" t="n">
        <v>5.1</v>
      </c>
    </row>
    <row r="120">
      <c r="A120" s="79" t="n">
        <v>23682</v>
      </c>
      <c r="E120" t="n">
        <v>4.3</v>
      </c>
      <c r="X120" t="n">
        <v>1.1</v>
      </c>
      <c r="AL120" t="n">
        <v>4.8</v>
      </c>
    </row>
    <row r="121">
      <c r="A121" s="79" t="n">
        <v>23712</v>
      </c>
      <c r="E121" t="n">
        <v>4.1</v>
      </c>
      <c r="X121" t="n">
        <v>1.1</v>
      </c>
      <c r="AL121" t="n">
        <v>5</v>
      </c>
    </row>
    <row r="122">
      <c r="A122" s="79" t="n">
        <v>23743</v>
      </c>
      <c r="E122" t="n">
        <v>4.2</v>
      </c>
      <c r="X122" t="n">
        <v>1.1</v>
      </c>
      <c r="AL122" t="n">
        <v>4.9</v>
      </c>
    </row>
    <row r="123">
      <c r="A123" s="79" t="n">
        <v>23774</v>
      </c>
      <c r="E123" t="n">
        <v>4.1</v>
      </c>
      <c r="X123" t="n">
        <v>1.2</v>
      </c>
      <c r="AL123" t="n">
        <v>5.1</v>
      </c>
    </row>
    <row r="124">
      <c r="A124" s="79" t="n">
        <v>23802</v>
      </c>
      <c r="E124" t="n">
        <v>4.1</v>
      </c>
      <c r="X124" t="n">
        <v>1.1</v>
      </c>
      <c r="AL124" t="n">
        <v>4.7</v>
      </c>
    </row>
    <row r="125">
      <c r="A125" s="79" t="n">
        <v>23833</v>
      </c>
      <c r="E125" t="n">
        <v>4.4</v>
      </c>
      <c r="X125" t="n">
        <v>1.2</v>
      </c>
      <c r="AL125" t="n">
        <v>4.8</v>
      </c>
    </row>
    <row r="126">
      <c r="A126" s="79" t="n">
        <v>23863</v>
      </c>
      <c r="E126" t="n">
        <v>4</v>
      </c>
      <c r="X126" t="n">
        <v>1.2</v>
      </c>
      <c r="AL126" t="n">
        <v>4.6</v>
      </c>
    </row>
    <row r="127">
      <c r="A127" s="79" t="n">
        <v>23894</v>
      </c>
      <c r="E127" t="n">
        <v>4.1</v>
      </c>
      <c r="X127" t="n">
        <v>1.3</v>
      </c>
      <c r="AL127" t="n">
        <v>4.6</v>
      </c>
    </row>
    <row r="128">
      <c r="A128" s="79" t="n">
        <v>23924</v>
      </c>
      <c r="E128" t="n">
        <v>3.9</v>
      </c>
      <c r="X128" t="n">
        <v>1.3</v>
      </c>
      <c r="AL128" t="n">
        <v>4.4</v>
      </c>
    </row>
    <row r="129">
      <c r="A129" s="79" t="n">
        <v>23955</v>
      </c>
      <c r="E129" t="n">
        <v>3.8</v>
      </c>
      <c r="X129" t="n">
        <v>1.2</v>
      </c>
      <c r="AL129" t="n">
        <v>4.4</v>
      </c>
    </row>
    <row r="130">
      <c r="A130" s="79" t="n">
        <v>23986</v>
      </c>
      <c r="E130" t="n">
        <v>3.6</v>
      </c>
      <c r="X130" t="n">
        <v>1.3</v>
      </c>
      <c r="AL130" t="n">
        <v>4.3</v>
      </c>
    </row>
    <row r="131">
      <c r="A131" s="79" t="n">
        <v>24016</v>
      </c>
      <c r="E131" t="n">
        <v>3.1</v>
      </c>
      <c r="X131" t="n">
        <v>1.3</v>
      </c>
      <c r="AL131" t="n">
        <v>4.2</v>
      </c>
    </row>
    <row r="132">
      <c r="A132" s="79" t="n">
        <v>24047</v>
      </c>
      <c r="E132" t="n">
        <v>3.6</v>
      </c>
      <c r="X132" t="n">
        <v>1.3</v>
      </c>
      <c r="AL132" t="n">
        <v>4.1</v>
      </c>
    </row>
    <row r="133">
      <c r="A133" s="79" t="n">
        <v>24077</v>
      </c>
      <c r="E133" t="n">
        <v>3.5</v>
      </c>
      <c r="X133" t="n">
        <v>1.3</v>
      </c>
      <c r="AL133" t="n">
        <v>4</v>
      </c>
    </row>
    <row r="134">
      <c r="A134" s="79" t="n">
        <v>24108</v>
      </c>
      <c r="E134" t="n">
        <v>3.4</v>
      </c>
      <c r="X134" t="n">
        <v>1.4</v>
      </c>
      <c r="AL134" t="n">
        <v>4</v>
      </c>
    </row>
    <row r="135">
      <c r="A135" s="79" t="n">
        <v>24139</v>
      </c>
      <c r="E135" t="n">
        <v>3.4</v>
      </c>
      <c r="X135" t="n">
        <v>1.3</v>
      </c>
      <c r="AL135" t="n">
        <v>3.8</v>
      </c>
    </row>
    <row r="136">
      <c r="A136" s="79" t="n">
        <v>24167</v>
      </c>
      <c r="E136" t="n">
        <v>3.3</v>
      </c>
      <c r="X136" t="n">
        <v>1.4</v>
      </c>
      <c r="AL136" t="n">
        <v>3.8</v>
      </c>
    </row>
    <row r="137">
      <c r="A137" s="79" t="n">
        <v>24198</v>
      </c>
      <c r="E137" t="n">
        <v>3.2</v>
      </c>
      <c r="X137" t="n">
        <v>1.3</v>
      </c>
      <c r="AL137" t="n">
        <v>3.8</v>
      </c>
    </row>
    <row r="138">
      <c r="A138" s="79" t="n">
        <v>24228</v>
      </c>
      <c r="E138" t="n">
        <v>3.2</v>
      </c>
      <c r="X138" t="n">
        <v>1.4</v>
      </c>
      <c r="AL138" t="n">
        <v>3.9</v>
      </c>
    </row>
    <row r="139">
      <c r="A139" s="79" t="n">
        <v>24259</v>
      </c>
      <c r="E139" t="n">
        <v>2.9</v>
      </c>
      <c r="X139" t="n">
        <v>1.3</v>
      </c>
      <c r="AL139" t="n">
        <v>3.8</v>
      </c>
    </row>
    <row r="140">
      <c r="A140" s="79" t="n">
        <v>24289</v>
      </c>
      <c r="E140" t="n">
        <v>3.2</v>
      </c>
      <c r="X140" t="n">
        <v>1.2</v>
      </c>
      <c r="AL140" t="n">
        <v>3.8</v>
      </c>
    </row>
    <row r="141">
      <c r="A141" s="79" t="n">
        <v>24320</v>
      </c>
      <c r="E141" t="n">
        <v>3.5</v>
      </c>
      <c r="X141" t="n">
        <v>1.3</v>
      </c>
      <c r="AL141" t="n">
        <v>3.8</v>
      </c>
    </row>
    <row r="142">
      <c r="A142" s="79" t="n">
        <v>24351</v>
      </c>
      <c r="E142" t="n">
        <v>3.6</v>
      </c>
      <c r="X142" t="n">
        <v>1.4</v>
      </c>
      <c r="AL142" t="n">
        <v>3.7</v>
      </c>
    </row>
    <row r="143">
      <c r="A143" s="79" t="n">
        <v>24381</v>
      </c>
      <c r="E143" t="n">
        <v>3.3</v>
      </c>
      <c r="X143" t="n">
        <v>1.3</v>
      </c>
      <c r="AL143" t="n">
        <v>3.7</v>
      </c>
    </row>
    <row r="144">
      <c r="A144" s="79" t="n">
        <v>24412</v>
      </c>
      <c r="E144" t="n">
        <v>3.5</v>
      </c>
      <c r="X144" t="n">
        <v>1.3</v>
      </c>
      <c r="AL144" t="n">
        <v>3.6</v>
      </c>
    </row>
    <row r="145">
      <c r="A145" s="79" t="n">
        <v>24442</v>
      </c>
      <c r="E145" t="n">
        <v>3.4</v>
      </c>
      <c r="X145" t="n">
        <v>1.2</v>
      </c>
      <c r="AL145" t="n">
        <v>3.8</v>
      </c>
    </row>
    <row r="146">
      <c r="A146" s="79" t="n">
        <v>24473</v>
      </c>
      <c r="E146" t="n">
        <v>3.6</v>
      </c>
      <c r="X146" t="n">
        <v>1.2</v>
      </c>
      <c r="AL146" t="n">
        <v>3.9</v>
      </c>
    </row>
    <row r="147">
      <c r="A147" s="79" t="n">
        <v>24504</v>
      </c>
      <c r="E147" t="n">
        <v>3.7</v>
      </c>
      <c r="X147" t="n">
        <v>1.1</v>
      </c>
      <c r="AL147" t="n">
        <v>3.8</v>
      </c>
    </row>
    <row r="148">
      <c r="A148" s="79" t="n">
        <v>24532</v>
      </c>
      <c r="E148" t="n">
        <v>3.8</v>
      </c>
      <c r="X148" t="n">
        <v>1.6</v>
      </c>
      <c r="AL148" t="n">
        <v>3.8</v>
      </c>
    </row>
    <row r="149">
      <c r="A149" s="79" t="n">
        <v>24563</v>
      </c>
      <c r="E149" t="n">
        <v>3.9</v>
      </c>
      <c r="X149" t="n">
        <v>1.3</v>
      </c>
      <c r="AL149" t="n">
        <v>3.8</v>
      </c>
    </row>
    <row r="150">
      <c r="A150" s="79" t="n">
        <v>24593</v>
      </c>
      <c r="E150" t="n">
        <v>3.7</v>
      </c>
      <c r="X150" t="n">
        <v>1.2</v>
      </c>
      <c r="AL150" t="n">
        <v>3.8</v>
      </c>
    </row>
    <row r="151">
      <c r="A151" s="79" t="n">
        <v>24624</v>
      </c>
      <c r="E151" t="n">
        <v>3.6</v>
      </c>
      <c r="X151" t="n">
        <v>1.3</v>
      </c>
      <c r="AL151" t="n">
        <v>3.9</v>
      </c>
    </row>
    <row r="152">
      <c r="A152" s="79" t="n">
        <v>24654</v>
      </c>
      <c r="E152" t="n">
        <v>3.7</v>
      </c>
      <c r="X152" t="n">
        <v>1.2</v>
      </c>
      <c r="AL152" t="n">
        <v>3.8</v>
      </c>
    </row>
    <row r="153">
      <c r="A153" s="79" t="n">
        <v>24685</v>
      </c>
      <c r="E153" t="n">
        <v>3.6</v>
      </c>
      <c r="X153" t="n">
        <v>1.2</v>
      </c>
      <c r="AL153" t="n">
        <v>3.8</v>
      </c>
    </row>
    <row r="154">
      <c r="A154" s="79" t="n">
        <v>24716</v>
      </c>
      <c r="E154" t="n">
        <v>3.7</v>
      </c>
      <c r="X154" t="n">
        <v>1.1</v>
      </c>
      <c r="AL154" t="n">
        <v>3.8</v>
      </c>
    </row>
    <row r="155">
      <c r="A155" s="79" t="n">
        <v>24746</v>
      </c>
      <c r="E155" t="n">
        <v>4.1</v>
      </c>
      <c r="X155" t="n">
        <v>1.2</v>
      </c>
      <c r="AL155" t="n">
        <v>4</v>
      </c>
    </row>
    <row r="156">
      <c r="A156" s="79" t="n">
        <v>24777</v>
      </c>
      <c r="E156" t="n">
        <v>4</v>
      </c>
      <c r="X156" t="n">
        <v>1.3</v>
      </c>
      <c r="AL156" t="n">
        <v>3.9</v>
      </c>
    </row>
    <row r="157">
      <c r="A157" s="79" t="n">
        <v>24807</v>
      </c>
      <c r="E157" t="n">
        <v>4.4</v>
      </c>
      <c r="X157" t="n">
        <v>1.3</v>
      </c>
      <c r="AL157" t="n">
        <v>3.8</v>
      </c>
    </row>
    <row r="158">
      <c r="A158" s="79" t="n">
        <v>24838</v>
      </c>
      <c r="E158" t="n">
        <v>4.3</v>
      </c>
      <c r="X158" t="n">
        <v>1.3</v>
      </c>
      <c r="AL158" t="n">
        <v>3.7</v>
      </c>
    </row>
    <row r="159">
      <c r="A159" s="79" t="n">
        <v>24869</v>
      </c>
      <c r="E159" t="n">
        <v>4.4</v>
      </c>
      <c r="X159" t="n">
        <v>1.3</v>
      </c>
      <c r="AL159" t="n">
        <v>3.8</v>
      </c>
    </row>
    <row r="160">
      <c r="A160" s="79" t="n">
        <v>24898</v>
      </c>
      <c r="E160" t="n">
        <v>4.6</v>
      </c>
      <c r="X160" t="n">
        <v>1.2</v>
      </c>
      <c r="AL160" t="n">
        <v>3.7</v>
      </c>
    </row>
    <row r="161">
      <c r="A161" s="79" t="n">
        <v>24929</v>
      </c>
      <c r="E161" t="n">
        <v>4.5</v>
      </c>
      <c r="X161" t="n">
        <v>1.2</v>
      </c>
      <c r="AL161" t="n">
        <v>3.5</v>
      </c>
    </row>
    <row r="162">
      <c r="A162" s="79" t="n">
        <v>24959</v>
      </c>
      <c r="E162" t="n">
        <v>4.4</v>
      </c>
      <c r="X162" t="n">
        <v>1.2</v>
      </c>
      <c r="AL162" t="n">
        <v>3.5</v>
      </c>
    </row>
    <row r="163">
      <c r="A163" s="79" t="n">
        <v>24990</v>
      </c>
      <c r="E163" t="n">
        <v>4.7</v>
      </c>
      <c r="X163" t="n">
        <v>1.1</v>
      </c>
      <c r="AL163" t="n">
        <v>3.7</v>
      </c>
    </row>
    <row r="164">
      <c r="A164" s="79" t="n">
        <v>25020</v>
      </c>
      <c r="E164" t="n">
        <v>4.7</v>
      </c>
      <c r="X164" t="n">
        <v>1.3</v>
      </c>
      <c r="AL164" t="n">
        <v>3.7</v>
      </c>
    </row>
    <row r="165">
      <c r="A165" s="79" t="n">
        <v>25051</v>
      </c>
      <c r="E165" t="n">
        <v>4.6</v>
      </c>
      <c r="X165" t="n">
        <v>1.2</v>
      </c>
      <c r="AL165" t="n">
        <v>3.5</v>
      </c>
    </row>
    <row r="166">
      <c r="A166" s="79" t="n">
        <v>25082</v>
      </c>
      <c r="E166" t="n">
        <v>4.3</v>
      </c>
      <c r="X166" t="n">
        <v>1.1</v>
      </c>
      <c r="AL166" t="n">
        <v>3.4</v>
      </c>
    </row>
    <row r="167">
      <c r="A167" s="79" t="n">
        <v>25112</v>
      </c>
      <c r="E167" t="n">
        <v>4.4</v>
      </c>
      <c r="X167" t="n">
        <v>1.1</v>
      </c>
      <c r="AL167" t="n">
        <v>3.4</v>
      </c>
    </row>
    <row r="168">
      <c r="A168" s="79" t="n">
        <v>25143</v>
      </c>
      <c r="E168" t="n">
        <v>4.5</v>
      </c>
      <c r="X168" t="n">
        <v>1</v>
      </c>
      <c r="AL168" t="n">
        <v>3.4</v>
      </c>
    </row>
    <row r="169">
      <c r="A169" s="79" t="n">
        <v>25173</v>
      </c>
      <c r="E169" t="n">
        <v>4.5</v>
      </c>
      <c r="X169" t="n">
        <v>1.1</v>
      </c>
      <c r="AL169" t="n">
        <v>3.4</v>
      </c>
    </row>
    <row r="170">
      <c r="A170" s="79" t="n">
        <v>25204</v>
      </c>
      <c r="E170" t="n">
        <v>4.3</v>
      </c>
      <c r="X170" t="n">
        <v>1.1</v>
      </c>
      <c r="AL170" t="n">
        <v>3.4</v>
      </c>
    </row>
    <row r="171">
      <c r="A171" s="79" t="n">
        <v>25235</v>
      </c>
      <c r="E171" t="n">
        <v>4.3</v>
      </c>
      <c r="X171" t="n">
        <v>1.2</v>
      </c>
      <c r="AL171" t="n">
        <v>3.4</v>
      </c>
    </row>
    <row r="172">
      <c r="A172" s="79" t="n">
        <v>25263</v>
      </c>
      <c r="E172" t="n">
        <v>4.2</v>
      </c>
      <c r="X172" t="n">
        <v>1.1</v>
      </c>
      <c r="AL172" t="n">
        <v>3.4</v>
      </c>
    </row>
    <row r="173">
      <c r="A173" s="79" t="n">
        <v>25294</v>
      </c>
      <c r="E173" t="n">
        <v>4.3</v>
      </c>
      <c r="X173" t="n">
        <v>1.1</v>
      </c>
      <c r="AL173" t="n">
        <v>3.4</v>
      </c>
    </row>
    <row r="174">
      <c r="A174" s="79" t="n">
        <v>25324</v>
      </c>
      <c r="E174" t="n">
        <v>4.4</v>
      </c>
      <c r="X174" t="n">
        <v>1.2</v>
      </c>
      <c r="AL174" t="n">
        <v>3.4</v>
      </c>
    </row>
    <row r="175">
      <c r="A175" s="79" t="n">
        <v>25355</v>
      </c>
      <c r="E175" t="n">
        <v>4.4</v>
      </c>
      <c r="X175" t="n">
        <v>1.3</v>
      </c>
      <c r="AL175" t="n">
        <v>3.5</v>
      </c>
    </row>
    <row r="176">
      <c r="A176" s="79" t="n">
        <v>25385</v>
      </c>
      <c r="E176" t="n">
        <v>4.3</v>
      </c>
      <c r="X176" t="n">
        <v>1.2</v>
      </c>
      <c r="AL176" t="n">
        <v>3.5</v>
      </c>
    </row>
    <row r="177">
      <c r="A177" s="79" t="n">
        <v>25416</v>
      </c>
      <c r="E177" t="n">
        <v>4.5</v>
      </c>
      <c r="X177" t="n">
        <v>1.1</v>
      </c>
      <c r="AL177" t="n">
        <v>3.5</v>
      </c>
    </row>
    <row r="178">
      <c r="A178" s="79" t="n">
        <v>25447</v>
      </c>
      <c r="E178" t="n">
        <v>4.4</v>
      </c>
      <c r="X178" t="n">
        <v>1.1</v>
      </c>
      <c r="AL178" t="n">
        <v>3.7</v>
      </c>
    </row>
    <row r="179">
      <c r="A179" s="79" t="n">
        <v>25477</v>
      </c>
      <c r="E179" t="n">
        <v>4.7</v>
      </c>
      <c r="X179" t="n">
        <v>1.1</v>
      </c>
      <c r="AL179" t="n">
        <v>3.7</v>
      </c>
    </row>
    <row r="180">
      <c r="A180" s="79" t="n">
        <v>25508</v>
      </c>
      <c r="E180" t="n">
        <v>4.6</v>
      </c>
      <c r="X180" t="n">
        <v>1</v>
      </c>
      <c r="AL180" t="n">
        <v>3.5</v>
      </c>
    </row>
    <row r="181">
      <c r="A181" s="79" t="n">
        <v>25538</v>
      </c>
      <c r="E181" t="n">
        <v>4.5</v>
      </c>
      <c r="X181" t="n">
        <v>1.1</v>
      </c>
      <c r="AL181" t="n">
        <v>3.5</v>
      </c>
    </row>
    <row r="182">
      <c r="A182" s="79" t="n">
        <v>25569</v>
      </c>
      <c r="E182" t="n">
        <v>4.5</v>
      </c>
      <c r="X182" t="n">
        <v>1.1</v>
      </c>
      <c r="AL182" t="n">
        <v>3.9</v>
      </c>
    </row>
    <row r="183">
      <c r="A183" s="79" t="n">
        <v>25600</v>
      </c>
      <c r="E183" t="n">
        <v>4.9</v>
      </c>
      <c r="X183" t="n">
        <v>1.1</v>
      </c>
      <c r="AL183" t="n">
        <v>4.2</v>
      </c>
    </row>
    <row r="184">
      <c r="A184" s="79" t="n">
        <v>25628</v>
      </c>
      <c r="E184" t="n">
        <v>5.2</v>
      </c>
      <c r="X184" t="n">
        <v>1</v>
      </c>
      <c r="AL184" t="n">
        <v>4.4</v>
      </c>
    </row>
    <row r="185">
      <c r="A185" s="79" t="n">
        <v>25659</v>
      </c>
      <c r="E185" t="n">
        <v>5.4</v>
      </c>
      <c r="X185" t="n">
        <v>1.2</v>
      </c>
      <c r="AL185" t="n">
        <v>4.6</v>
      </c>
    </row>
    <row r="186">
      <c r="A186" s="79" t="n">
        <v>25689</v>
      </c>
      <c r="E186" t="n">
        <v>5.8</v>
      </c>
      <c r="X186" t="n">
        <v>1.1</v>
      </c>
      <c r="AL186" t="n">
        <v>4.8</v>
      </c>
    </row>
    <row r="187">
      <c r="A187" s="79" t="n">
        <v>25720</v>
      </c>
      <c r="E187" t="n">
        <v>6.1</v>
      </c>
      <c r="X187" t="n">
        <v>1.1</v>
      </c>
      <c r="AL187" t="n">
        <v>4.9</v>
      </c>
    </row>
    <row r="188">
      <c r="A188" s="79" t="n">
        <v>25750</v>
      </c>
      <c r="E188" t="n">
        <v>6.4</v>
      </c>
      <c r="X188" t="n">
        <v>1.2</v>
      </c>
      <c r="AL188" t="n">
        <v>5</v>
      </c>
    </row>
    <row r="189">
      <c r="A189" s="79" t="n">
        <v>25781</v>
      </c>
      <c r="E189" t="n">
        <v>6.1</v>
      </c>
      <c r="X189" t="n">
        <v>1.2</v>
      </c>
      <c r="AL189" t="n">
        <v>5.1</v>
      </c>
    </row>
    <row r="190">
      <c r="A190" s="79" t="n">
        <v>25812</v>
      </c>
      <c r="E190" t="n">
        <v>6</v>
      </c>
      <c r="X190" t="n">
        <v>1.3</v>
      </c>
      <c r="AL190" t="n">
        <v>5.4</v>
      </c>
    </row>
    <row r="191">
      <c r="A191" s="79" t="n">
        <v>25842</v>
      </c>
      <c r="E191" t="n">
        <v>6</v>
      </c>
      <c r="X191" t="n">
        <v>1.3</v>
      </c>
      <c r="AL191" t="n">
        <v>5.5</v>
      </c>
    </row>
    <row r="192">
      <c r="A192" s="79" t="n">
        <v>25873</v>
      </c>
      <c r="E192" t="n">
        <v>6.1</v>
      </c>
      <c r="X192" t="n">
        <v>1.3</v>
      </c>
      <c r="AL192" t="n">
        <v>5.9</v>
      </c>
    </row>
    <row r="193">
      <c r="A193" s="79" t="n">
        <v>25903</v>
      </c>
      <c r="E193" t="n">
        <v>6.2</v>
      </c>
      <c r="X193" t="n">
        <v>1.2</v>
      </c>
      <c r="AL193" t="n">
        <v>6.1</v>
      </c>
    </row>
    <row r="194">
      <c r="A194" s="79" t="n">
        <v>25934</v>
      </c>
      <c r="E194" t="n">
        <v>6.2</v>
      </c>
      <c r="X194" t="n">
        <v>1.1</v>
      </c>
      <c r="AL194" t="n">
        <v>5.9</v>
      </c>
    </row>
    <row r="195">
      <c r="A195" s="79" t="n">
        <v>25965</v>
      </c>
      <c r="E195" t="n">
        <v>6.3</v>
      </c>
      <c r="X195" t="n">
        <v>1.2</v>
      </c>
      <c r="AL195" t="n">
        <v>5.9</v>
      </c>
    </row>
    <row r="196">
      <c r="A196" s="79" t="n">
        <v>25993</v>
      </c>
      <c r="E196" t="n">
        <v>6.2</v>
      </c>
      <c r="X196" t="n">
        <v>1.2</v>
      </c>
      <c r="AL196" t="n">
        <v>6</v>
      </c>
    </row>
    <row r="197">
      <c r="A197" s="79" t="n">
        <v>26024</v>
      </c>
      <c r="E197" t="n">
        <v>6.6</v>
      </c>
      <c r="X197" t="n">
        <v>1.2</v>
      </c>
      <c r="AL197" t="n">
        <v>5.9</v>
      </c>
    </row>
    <row r="198">
      <c r="A198" s="79" t="n">
        <v>26054</v>
      </c>
      <c r="E198" t="n">
        <v>6.1</v>
      </c>
      <c r="X198" t="n">
        <v>1.2</v>
      </c>
      <c r="AL198" t="n">
        <v>5.9</v>
      </c>
    </row>
    <row r="199">
      <c r="A199" s="79" t="n">
        <v>26085</v>
      </c>
      <c r="E199" t="n">
        <v>6.1</v>
      </c>
      <c r="X199" t="n">
        <v>1.2</v>
      </c>
      <c r="AL199" t="n">
        <v>5.9</v>
      </c>
    </row>
    <row r="200">
      <c r="A200" s="79" t="n">
        <v>26115</v>
      </c>
      <c r="E200" t="n">
        <v>6.1</v>
      </c>
      <c r="X200" t="n">
        <v>1.2</v>
      </c>
      <c r="AL200" t="n">
        <v>6</v>
      </c>
    </row>
    <row r="201">
      <c r="A201" s="79" t="n">
        <v>26146</v>
      </c>
      <c r="E201" t="n">
        <v>6</v>
      </c>
      <c r="X201" t="n">
        <v>1.3</v>
      </c>
      <c r="AL201" t="n">
        <v>6.1</v>
      </c>
    </row>
    <row r="202">
      <c r="A202" s="79" t="n">
        <v>26177</v>
      </c>
      <c r="E202" t="n">
        <v>6.2</v>
      </c>
      <c r="X202" t="n">
        <v>1.2</v>
      </c>
      <c r="AL202" t="n">
        <v>6</v>
      </c>
    </row>
    <row r="203">
      <c r="A203" s="79" t="n">
        <v>26207</v>
      </c>
      <c r="E203" t="n">
        <v>6.3</v>
      </c>
      <c r="X203" t="n">
        <v>1.3</v>
      </c>
      <c r="AL203" t="n">
        <v>5.8</v>
      </c>
    </row>
    <row r="204">
      <c r="A204" s="79" t="n">
        <v>26238</v>
      </c>
      <c r="E204" t="n">
        <v>6.2</v>
      </c>
      <c r="X204" t="n">
        <v>1.3</v>
      </c>
      <c r="AL204" t="n">
        <v>6</v>
      </c>
    </row>
    <row r="205">
      <c r="A205" s="79" t="n">
        <v>26268</v>
      </c>
      <c r="E205" t="n">
        <v>5.9</v>
      </c>
      <c r="X205" t="n">
        <v>1.4</v>
      </c>
      <c r="AL205" t="n">
        <v>6</v>
      </c>
    </row>
    <row r="206">
      <c r="A206" s="79" t="n">
        <v>26299</v>
      </c>
      <c r="E206" t="n">
        <v>6</v>
      </c>
      <c r="X206" t="n">
        <v>1.4</v>
      </c>
      <c r="AL206" t="n">
        <v>5.8</v>
      </c>
    </row>
    <row r="207">
      <c r="A207" s="79" t="n">
        <v>26330</v>
      </c>
      <c r="E207" t="n">
        <v>5.8</v>
      </c>
      <c r="X207" t="n">
        <v>1.4</v>
      </c>
      <c r="AL207" t="n">
        <v>5.7</v>
      </c>
    </row>
    <row r="208">
      <c r="A208" s="79" t="n">
        <v>26359</v>
      </c>
      <c r="E208" t="n">
        <v>6.1</v>
      </c>
      <c r="X208" t="n">
        <v>1.4</v>
      </c>
      <c r="AL208" t="n">
        <v>5.8</v>
      </c>
    </row>
    <row r="209">
      <c r="A209" s="79" t="n">
        <v>26390</v>
      </c>
      <c r="E209" t="n">
        <v>5.8</v>
      </c>
      <c r="X209" t="n">
        <v>1.4</v>
      </c>
      <c r="AL209" t="n">
        <v>5.7</v>
      </c>
    </row>
    <row r="210">
      <c r="A210" s="79" t="n">
        <v>26420</v>
      </c>
      <c r="E210" t="n">
        <v>6.1</v>
      </c>
      <c r="X210" t="n">
        <v>1.4</v>
      </c>
      <c r="AL210" t="n">
        <v>5.7</v>
      </c>
    </row>
    <row r="211">
      <c r="A211" s="79" t="n">
        <v>26451</v>
      </c>
      <c r="E211" t="n">
        <v>6.3</v>
      </c>
      <c r="X211" t="n">
        <v>1.4</v>
      </c>
      <c r="AL211" t="n">
        <v>5.7</v>
      </c>
    </row>
    <row r="212">
      <c r="A212" s="79" t="n">
        <v>26481</v>
      </c>
      <c r="E212" t="n">
        <v>6.3</v>
      </c>
      <c r="X212" t="n">
        <v>1.4</v>
      </c>
      <c r="AL212" t="n">
        <v>5.6</v>
      </c>
    </row>
    <row r="213">
      <c r="A213" s="79" t="n">
        <v>26512</v>
      </c>
      <c r="E213" t="n">
        <v>6.4</v>
      </c>
      <c r="X213" t="n">
        <v>1.4</v>
      </c>
      <c r="AL213" t="n">
        <v>5.6</v>
      </c>
    </row>
    <row r="214">
      <c r="A214" s="79" t="n">
        <v>26543</v>
      </c>
      <c r="E214" t="n">
        <v>6.4</v>
      </c>
      <c r="X214" t="n">
        <v>1.5</v>
      </c>
      <c r="AL214" t="n">
        <v>5.5</v>
      </c>
    </row>
    <row r="215">
      <c r="A215" s="79" t="n">
        <v>26573</v>
      </c>
      <c r="E215" t="n">
        <v>6.6</v>
      </c>
      <c r="X215" t="n">
        <v>1.4</v>
      </c>
      <c r="AL215" t="n">
        <v>5.6</v>
      </c>
    </row>
    <row r="216">
      <c r="A216" s="79" t="n">
        <v>26604</v>
      </c>
      <c r="E216" t="n">
        <v>6.4</v>
      </c>
      <c r="X216" t="n">
        <v>1.4</v>
      </c>
      <c r="AL216" t="n">
        <v>5.3</v>
      </c>
    </row>
    <row r="217">
      <c r="A217" s="79" t="n">
        <v>26634</v>
      </c>
      <c r="E217" t="n">
        <v>6.4</v>
      </c>
      <c r="X217" t="n">
        <v>1.4</v>
      </c>
      <c r="AL217" t="n">
        <v>5.2</v>
      </c>
    </row>
    <row r="218">
      <c r="A218" s="79" t="n">
        <v>26665</v>
      </c>
      <c r="E218" t="n">
        <v>6.1</v>
      </c>
      <c r="X218" t="n">
        <v>1.3</v>
      </c>
      <c r="AL218" t="n">
        <v>4.9</v>
      </c>
    </row>
    <row r="219">
      <c r="A219" s="79" t="n">
        <v>26696</v>
      </c>
      <c r="E219" t="n">
        <v>5.9</v>
      </c>
      <c r="X219" t="n">
        <v>1.2</v>
      </c>
      <c r="AL219" t="n">
        <v>5</v>
      </c>
    </row>
    <row r="220">
      <c r="A220" s="79" t="n">
        <v>26724</v>
      </c>
      <c r="E220" t="n">
        <v>5.6</v>
      </c>
      <c r="X220" t="n">
        <v>1.2</v>
      </c>
      <c r="AL220" t="n">
        <v>4.9</v>
      </c>
    </row>
    <row r="221">
      <c r="A221" s="79" t="n">
        <v>26755</v>
      </c>
      <c r="E221" t="n">
        <v>5.5</v>
      </c>
      <c r="X221" t="n">
        <v>1.3</v>
      </c>
      <c r="AL221" t="n">
        <v>5</v>
      </c>
    </row>
    <row r="222">
      <c r="A222" s="79" t="n">
        <v>26785</v>
      </c>
      <c r="E222" t="n">
        <v>5.3</v>
      </c>
      <c r="X222" t="n">
        <v>1.4</v>
      </c>
      <c r="AL222" t="n">
        <v>4.9</v>
      </c>
    </row>
    <row r="223">
      <c r="A223" s="79" t="n">
        <v>26816</v>
      </c>
      <c r="E223" t="n">
        <v>5.4</v>
      </c>
      <c r="X223" t="n">
        <v>1.4</v>
      </c>
      <c r="AL223" t="n">
        <v>4.9</v>
      </c>
    </row>
    <row r="224">
      <c r="A224" s="79" t="n">
        <v>26846</v>
      </c>
      <c r="E224" t="n">
        <v>5.3</v>
      </c>
      <c r="X224" t="n">
        <v>1.3</v>
      </c>
      <c r="AL224" t="n">
        <v>4.8</v>
      </c>
    </row>
    <row r="225">
      <c r="A225" s="79" t="n">
        <v>26877</v>
      </c>
      <c r="E225" t="n">
        <v>5.3</v>
      </c>
      <c r="X225" t="n">
        <v>1.2</v>
      </c>
      <c r="AL225" t="n">
        <v>4.8</v>
      </c>
    </row>
    <row r="226">
      <c r="A226" s="79" t="n">
        <v>26908</v>
      </c>
      <c r="E226" t="n">
        <v>5.6</v>
      </c>
      <c r="X226" t="n">
        <v>1.3</v>
      </c>
      <c r="AL226" t="n">
        <v>4.8</v>
      </c>
    </row>
    <row r="227">
      <c r="A227" s="79" t="n">
        <v>26938</v>
      </c>
      <c r="E227" t="n">
        <v>5.7</v>
      </c>
      <c r="X227" t="n">
        <v>1.1</v>
      </c>
      <c r="AL227" t="n">
        <v>4.6</v>
      </c>
    </row>
    <row r="228">
      <c r="A228" s="79" t="n">
        <v>26969</v>
      </c>
      <c r="E228" t="n">
        <v>5.5</v>
      </c>
      <c r="X228" t="n">
        <v>1.2</v>
      </c>
      <c r="AL228" t="n">
        <v>4.8</v>
      </c>
    </row>
    <row r="229">
      <c r="A229" s="79" t="n">
        <v>26999</v>
      </c>
      <c r="E229" t="n">
        <v>5.4</v>
      </c>
      <c r="X229" t="n">
        <v>1.1</v>
      </c>
      <c r="AL229" t="n">
        <v>4.9</v>
      </c>
    </row>
    <row r="230">
      <c r="A230" s="79" t="n">
        <v>27030</v>
      </c>
      <c r="E230" t="n">
        <v>5.3</v>
      </c>
      <c r="X230" t="n">
        <v>1.2</v>
      </c>
      <c r="AL230" t="n">
        <v>5.1</v>
      </c>
    </row>
    <row r="231">
      <c r="A231" s="79" t="n">
        <v>27061</v>
      </c>
      <c r="E231" t="n">
        <v>5.2</v>
      </c>
      <c r="X231" t="n">
        <v>1.3</v>
      </c>
      <c r="AL231" t="n">
        <v>5.2</v>
      </c>
    </row>
    <row r="232">
      <c r="A232" s="79" t="n">
        <v>27089</v>
      </c>
      <c r="E232" t="n">
        <v>5.2</v>
      </c>
      <c r="X232" t="n">
        <v>1.4</v>
      </c>
      <c r="AL232" t="n">
        <v>5.1</v>
      </c>
    </row>
    <row r="233">
      <c r="A233" s="79" t="n">
        <v>27120</v>
      </c>
      <c r="E233" t="n">
        <v>5.2</v>
      </c>
      <c r="X233" t="n">
        <v>1.3</v>
      </c>
      <c r="AL233" t="n">
        <v>5.1</v>
      </c>
    </row>
    <row r="234">
      <c r="A234" s="79" t="n">
        <v>27150</v>
      </c>
      <c r="E234" t="n">
        <v>5.4</v>
      </c>
      <c r="X234" t="n">
        <v>1.3</v>
      </c>
      <c r="AL234" t="n">
        <v>5.1</v>
      </c>
    </row>
    <row r="235">
      <c r="A235" s="79" t="n">
        <v>27181</v>
      </c>
      <c r="E235" t="n">
        <v>5</v>
      </c>
      <c r="X235" t="n">
        <v>1.3</v>
      </c>
      <c r="AL235" t="n">
        <v>5.4</v>
      </c>
    </row>
    <row r="236">
      <c r="A236" s="79" t="n">
        <v>27211</v>
      </c>
      <c r="E236" t="n">
        <v>5.1</v>
      </c>
      <c r="X236" t="n">
        <v>1.3</v>
      </c>
      <c r="AL236" t="n">
        <v>5.5</v>
      </c>
    </row>
    <row r="237">
      <c r="A237" s="79" t="n">
        <v>27242</v>
      </c>
      <c r="E237" t="n">
        <v>5.3</v>
      </c>
      <c r="X237" t="n">
        <v>1.5</v>
      </c>
      <c r="AL237" t="n">
        <v>5.5</v>
      </c>
    </row>
    <row r="238">
      <c r="A238" s="79" t="n">
        <v>27273</v>
      </c>
      <c r="E238" t="n">
        <v>5.4</v>
      </c>
      <c r="X238" t="n">
        <v>1.4</v>
      </c>
      <c r="AL238" t="n">
        <v>5.9</v>
      </c>
    </row>
    <row r="239">
      <c r="A239" s="79" t="n">
        <v>27303</v>
      </c>
      <c r="E239" t="n">
        <v>5.4</v>
      </c>
      <c r="X239" t="n">
        <v>1.6</v>
      </c>
      <c r="AL239" t="n">
        <v>6</v>
      </c>
    </row>
    <row r="240">
      <c r="A240" s="79" t="n">
        <v>27334</v>
      </c>
      <c r="E240" t="n">
        <v>5.6</v>
      </c>
      <c r="X240" t="n">
        <v>1.5</v>
      </c>
      <c r="AL240" t="n">
        <v>6.6</v>
      </c>
    </row>
    <row r="241">
      <c r="A241" s="79" t="n">
        <v>27364</v>
      </c>
      <c r="E241" t="n">
        <v>6</v>
      </c>
      <c r="X241" t="n">
        <v>1.7</v>
      </c>
      <c r="AL241" t="n">
        <v>7.2</v>
      </c>
    </row>
    <row r="242">
      <c r="A242" s="79" t="n">
        <v>27395</v>
      </c>
      <c r="E242" t="n">
        <v>6.9</v>
      </c>
      <c r="X242" t="n">
        <v>1.7</v>
      </c>
      <c r="AL242" t="n">
        <v>8.1</v>
      </c>
    </row>
    <row r="243">
      <c r="A243" s="79" t="n">
        <v>27426</v>
      </c>
      <c r="E243" t="n">
        <v>6.6</v>
      </c>
      <c r="X243" t="n">
        <v>1.8</v>
      </c>
      <c r="AL243" t="n">
        <v>8.1</v>
      </c>
    </row>
    <row r="244">
      <c r="A244" s="79" t="n">
        <v>27454</v>
      </c>
      <c r="E244" t="n">
        <v>6.6</v>
      </c>
      <c r="X244" t="n">
        <v>1.8</v>
      </c>
      <c r="AL244" t="n">
        <v>8.6</v>
      </c>
    </row>
    <row r="245">
      <c r="A245" s="79" t="n">
        <v>27485</v>
      </c>
      <c r="E245" t="n">
        <v>6.5</v>
      </c>
      <c r="X245" t="n">
        <v>1.8</v>
      </c>
      <c r="AL245" t="n">
        <v>8.800000000000001</v>
      </c>
    </row>
    <row r="246">
      <c r="A246" s="79" t="n">
        <v>27515</v>
      </c>
      <c r="E246" t="n">
        <v>7</v>
      </c>
      <c r="X246" t="n">
        <v>1.8</v>
      </c>
      <c r="AL246" t="n">
        <v>9</v>
      </c>
    </row>
    <row r="247">
      <c r="A247" s="79" t="n">
        <v>27546</v>
      </c>
      <c r="E247" t="n">
        <v>7</v>
      </c>
      <c r="X247" t="n">
        <v>1.8</v>
      </c>
      <c r="AL247" t="n">
        <v>8.800000000000001</v>
      </c>
    </row>
    <row r="248">
      <c r="A248" s="79" t="n">
        <v>27576</v>
      </c>
      <c r="E248" t="n">
        <v>6.9</v>
      </c>
      <c r="X248" t="n">
        <v>1.8</v>
      </c>
      <c r="AL248" t="n">
        <v>8.6</v>
      </c>
    </row>
    <row r="249">
      <c r="A249" s="79" t="n">
        <v>27607</v>
      </c>
      <c r="E249" t="n">
        <v>7.1</v>
      </c>
      <c r="X249" t="n">
        <v>1.9</v>
      </c>
      <c r="AL249" t="n">
        <v>8.4</v>
      </c>
    </row>
    <row r="250">
      <c r="A250" s="79" t="n">
        <v>27638</v>
      </c>
      <c r="E250" t="n">
        <v>6.9</v>
      </c>
      <c r="X250" t="n">
        <v>2</v>
      </c>
      <c r="AL250" t="n">
        <v>8.4</v>
      </c>
    </row>
    <row r="251">
      <c r="A251" s="79" t="n">
        <v>27668</v>
      </c>
      <c r="E251" t="n">
        <v>7.2</v>
      </c>
      <c r="X251" t="n">
        <v>2.1</v>
      </c>
      <c r="AL251" t="n">
        <v>8.4</v>
      </c>
    </row>
    <row r="252">
      <c r="A252" s="79" t="n">
        <v>27699</v>
      </c>
      <c r="E252" t="n">
        <v>7.2</v>
      </c>
      <c r="X252" t="n">
        <v>2.1</v>
      </c>
      <c r="AL252" t="n">
        <v>8.300000000000001</v>
      </c>
    </row>
    <row r="253">
      <c r="A253" s="79" t="n">
        <v>27729</v>
      </c>
      <c r="E253" t="n">
        <v>7</v>
      </c>
      <c r="X253" t="n">
        <v>2.1</v>
      </c>
      <c r="AL253" t="n">
        <v>8.199999999999999</v>
      </c>
    </row>
    <row r="254">
      <c r="A254" s="79" t="n">
        <v>27760</v>
      </c>
      <c r="E254" t="n">
        <v>7.1</v>
      </c>
      <c r="X254" t="n">
        <v>2.1</v>
      </c>
      <c r="AL254" t="n">
        <v>7.9</v>
      </c>
    </row>
    <row r="255">
      <c r="A255" s="79" t="n">
        <v>27791</v>
      </c>
      <c r="E255" t="n">
        <v>7</v>
      </c>
      <c r="X255" t="n">
        <v>2</v>
      </c>
      <c r="AL255" t="n">
        <v>7.7</v>
      </c>
    </row>
    <row r="256">
      <c r="A256" s="79" t="n">
        <v>27820</v>
      </c>
      <c r="E256" t="n">
        <v>6.7</v>
      </c>
      <c r="X256" t="n">
        <v>2</v>
      </c>
      <c r="AL256" t="n">
        <v>7.6</v>
      </c>
    </row>
    <row r="257">
      <c r="A257" s="79" t="n">
        <v>27851</v>
      </c>
      <c r="E257" t="n">
        <v>6.8</v>
      </c>
      <c r="X257" t="n">
        <v>2.1</v>
      </c>
      <c r="AL257" t="n">
        <v>7.7</v>
      </c>
    </row>
    <row r="258">
      <c r="A258" s="79" t="n">
        <v>27881</v>
      </c>
      <c r="E258" t="n">
        <v>6.9</v>
      </c>
      <c r="X258" t="n">
        <v>2.1</v>
      </c>
      <c r="AL258" t="n">
        <v>7.4</v>
      </c>
    </row>
    <row r="259">
      <c r="A259" s="79" t="n">
        <v>27912</v>
      </c>
      <c r="E259" t="n">
        <v>6.9</v>
      </c>
      <c r="X259" t="n">
        <v>2</v>
      </c>
      <c r="AL259" t="n">
        <v>7.6</v>
      </c>
    </row>
    <row r="260">
      <c r="A260" s="79" t="n">
        <v>27942</v>
      </c>
      <c r="E260" t="n">
        <v>7.4</v>
      </c>
      <c r="X260" t="n">
        <v>2</v>
      </c>
      <c r="AL260" t="n">
        <v>7.8</v>
      </c>
    </row>
    <row r="261">
      <c r="A261" s="79" t="n">
        <v>27973</v>
      </c>
      <c r="E261" t="n">
        <v>7.1</v>
      </c>
      <c r="X261" t="n">
        <v>2</v>
      </c>
      <c r="AL261" t="n">
        <v>7.8</v>
      </c>
    </row>
    <row r="262">
      <c r="A262" s="79" t="n">
        <v>28004</v>
      </c>
      <c r="E262" t="n">
        <v>7</v>
      </c>
      <c r="X262" t="n">
        <v>2</v>
      </c>
      <c r="AL262" t="n">
        <v>7.6</v>
      </c>
    </row>
    <row r="263">
      <c r="A263" s="79" t="n">
        <v>28034</v>
      </c>
      <c r="E263" t="n">
        <v>7.4</v>
      </c>
      <c r="X263" t="n">
        <v>2</v>
      </c>
      <c r="AL263" t="n">
        <v>7.7</v>
      </c>
    </row>
    <row r="264">
      <c r="A264" s="79" t="n">
        <v>28065</v>
      </c>
      <c r="E264" t="n">
        <v>7.3</v>
      </c>
      <c r="X264" t="n">
        <v>2</v>
      </c>
      <c r="AL264" t="n">
        <v>7.8</v>
      </c>
    </row>
    <row r="265">
      <c r="A265" s="79" t="n">
        <v>28095</v>
      </c>
      <c r="E265" t="n">
        <v>7.4</v>
      </c>
      <c r="X265" t="n">
        <v>1.8</v>
      </c>
      <c r="AL265" t="n">
        <v>7.8</v>
      </c>
    </row>
    <row r="266">
      <c r="A266" s="79" t="n">
        <v>28126</v>
      </c>
      <c r="E266" t="n">
        <v>7.6</v>
      </c>
      <c r="X266" t="n">
        <v>1.9</v>
      </c>
      <c r="AL266" t="n">
        <v>7.5</v>
      </c>
    </row>
    <row r="267">
      <c r="A267" s="79" t="n">
        <v>28157</v>
      </c>
      <c r="E267" t="n">
        <v>7.8</v>
      </c>
      <c r="X267" t="n">
        <v>2</v>
      </c>
      <c r="AL267" t="n">
        <v>7.6</v>
      </c>
    </row>
    <row r="268">
      <c r="A268" s="79" t="n">
        <v>28185</v>
      </c>
      <c r="E268" t="n">
        <v>7.8</v>
      </c>
      <c r="X268" t="n">
        <v>2</v>
      </c>
      <c r="AL268" t="n">
        <v>7.4</v>
      </c>
    </row>
    <row r="269">
      <c r="A269" s="79" t="n">
        <v>28216</v>
      </c>
      <c r="E269" t="n">
        <v>7.9</v>
      </c>
      <c r="X269" t="n">
        <v>1.9</v>
      </c>
      <c r="AL269" t="n">
        <v>7.2</v>
      </c>
    </row>
    <row r="270">
      <c r="A270" s="79" t="n">
        <v>28246</v>
      </c>
      <c r="E270" t="n">
        <v>7.8</v>
      </c>
      <c r="X270" t="n">
        <v>2.1</v>
      </c>
      <c r="AL270" t="n">
        <v>7</v>
      </c>
    </row>
    <row r="271">
      <c r="A271" s="79" t="n">
        <v>28277</v>
      </c>
      <c r="E271" t="n">
        <v>7.9</v>
      </c>
      <c r="X271" t="n">
        <v>2.1</v>
      </c>
      <c r="AL271" t="n">
        <v>7.2</v>
      </c>
    </row>
    <row r="272">
      <c r="A272" s="79" t="n">
        <v>28307</v>
      </c>
      <c r="E272" t="n">
        <v>8.199999999999999</v>
      </c>
      <c r="X272" t="n">
        <v>2.1</v>
      </c>
      <c r="AL272" t="n">
        <v>6.9</v>
      </c>
    </row>
    <row r="273">
      <c r="A273" s="79" t="n">
        <v>28338</v>
      </c>
      <c r="E273" t="n">
        <v>8.199999999999999</v>
      </c>
      <c r="X273" t="n">
        <v>2</v>
      </c>
      <c r="AL273" t="n">
        <v>7</v>
      </c>
    </row>
    <row r="274">
      <c r="A274" s="79" t="n">
        <v>28369</v>
      </c>
      <c r="E274" t="n">
        <v>8.300000000000001</v>
      </c>
      <c r="X274" t="n">
        <v>2</v>
      </c>
      <c r="AL274" t="n">
        <v>6.8</v>
      </c>
    </row>
    <row r="275">
      <c r="A275" s="79" t="n">
        <v>28399</v>
      </c>
      <c r="E275" t="n">
        <v>8.300000000000001</v>
      </c>
      <c r="X275" t="n">
        <v>1.9</v>
      </c>
      <c r="AL275" t="n">
        <v>6.8</v>
      </c>
    </row>
    <row r="276">
      <c r="A276" s="79" t="n">
        <v>28430</v>
      </c>
      <c r="E276" t="n">
        <v>8.4</v>
      </c>
      <c r="X276" t="n">
        <v>2</v>
      </c>
      <c r="AL276" t="n">
        <v>6.8</v>
      </c>
    </row>
    <row r="277">
      <c r="A277" s="79" t="n">
        <v>28460</v>
      </c>
      <c r="E277" t="n">
        <v>8.5</v>
      </c>
      <c r="X277" t="n">
        <v>2.1</v>
      </c>
      <c r="AL277" t="n">
        <v>6.4</v>
      </c>
    </row>
    <row r="278">
      <c r="A278" s="79" t="n">
        <v>28491</v>
      </c>
      <c r="E278" t="n">
        <v>8.300000000000001</v>
      </c>
      <c r="X278" t="n">
        <v>2.1</v>
      </c>
      <c r="AL278" t="n">
        <v>6.4</v>
      </c>
    </row>
    <row r="279">
      <c r="A279" s="79" t="n">
        <v>28522</v>
      </c>
      <c r="B279" t="n">
        <v>6.644867</v>
      </c>
      <c r="E279" t="n">
        <v>8.300000000000001</v>
      </c>
      <c r="X279" t="n">
        <v>2.2</v>
      </c>
      <c r="AL279" t="n">
        <v>6.3</v>
      </c>
    </row>
    <row r="280">
      <c r="A280" s="79" t="n">
        <v>28550</v>
      </c>
      <c r="B280" t="n">
        <v>6.302329</v>
      </c>
      <c r="E280" t="n">
        <v>8.5</v>
      </c>
      <c r="X280" t="n">
        <v>2.2</v>
      </c>
      <c r="AL280" t="n">
        <v>6.3</v>
      </c>
    </row>
    <row r="281">
      <c r="A281" s="79" t="n">
        <v>28581</v>
      </c>
      <c r="B281" t="n">
        <v>6.267148</v>
      </c>
      <c r="E281" t="n">
        <v>8.4</v>
      </c>
      <c r="X281" t="n">
        <v>2.2</v>
      </c>
      <c r="AL281" t="n">
        <v>6.1</v>
      </c>
    </row>
    <row r="282">
      <c r="A282" s="79" t="n">
        <v>28611</v>
      </c>
      <c r="B282" t="n">
        <v>6.209167</v>
      </c>
      <c r="E282" t="n">
        <v>8.6</v>
      </c>
      <c r="X282" t="n">
        <v>2.3</v>
      </c>
      <c r="AL282" t="n">
        <v>6</v>
      </c>
    </row>
    <row r="283">
      <c r="A283" s="79" t="n">
        <v>28642</v>
      </c>
      <c r="B283" t="n">
        <v>6.303327</v>
      </c>
      <c r="E283" t="n">
        <v>8.4</v>
      </c>
      <c r="X283" t="n">
        <v>2.3</v>
      </c>
      <c r="AL283" t="n">
        <v>5.9</v>
      </c>
    </row>
    <row r="284">
      <c r="A284" s="79" t="n">
        <v>28672</v>
      </c>
      <c r="B284" t="n">
        <v>6.222891</v>
      </c>
      <c r="E284" t="n">
        <v>8.5</v>
      </c>
      <c r="X284" t="n">
        <v>2.2</v>
      </c>
      <c r="AL284" t="n">
        <v>6.2</v>
      </c>
    </row>
    <row r="285">
      <c r="A285" s="79" t="n">
        <v>28703</v>
      </c>
      <c r="B285" t="n">
        <v>6.490117</v>
      </c>
      <c r="E285" t="n">
        <v>8.5</v>
      </c>
      <c r="X285" t="n">
        <v>2.3</v>
      </c>
      <c r="AL285" t="n">
        <v>5.9</v>
      </c>
    </row>
    <row r="286">
      <c r="A286" s="79" t="n">
        <v>28734</v>
      </c>
      <c r="B286" t="n">
        <v>6.255816</v>
      </c>
      <c r="E286" t="n">
        <v>8.4</v>
      </c>
      <c r="X286" t="n">
        <v>2.4</v>
      </c>
      <c r="AL286" t="n">
        <v>6</v>
      </c>
    </row>
    <row r="287">
      <c r="A287" s="79" t="n">
        <v>28764</v>
      </c>
      <c r="B287" t="n">
        <v>6.163075</v>
      </c>
      <c r="E287" t="n">
        <v>8.1</v>
      </c>
      <c r="X287" t="n">
        <v>2.2</v>
      </c>
      <c r="AL287" t="n">
        <v>5.8</v>
      </c>
    </row>
    <row r="288">
      <c r="A288" s="79" t="n">
        <v>28795</v>
      </c>
      <c r="B288" t="n">
        <v>6.330316</v>
      </c>
      <c r="E288" t="n">
        <v>8.199999999999999</v>
      </c>
      <c r="X288" t="n">
        <v>2.2</v>
      </c>
      <c r="AL288" t="n">
        <v>5.9</v>
      </c>
    </row>
    <row r="289">
      <c r="A289" s="79" t="n">
        <v>28825</v>
      </c>
      <c r="B289" t="n">
        <v>6.404912</v>
      </c>
      <c r="E289" t="n">
        <v>8.300000000000001</v>
      </c>
      <c r="X289" t="n">
        <v>2.2</v>
      </c>
      <c r="AL289" t="n">
        <v>6</v>
      </c>
    </row>
    <row r="290">
      <c r="A290" s="79" t="n">
        <v>28856</v>
      </c>
      <c r="B290" t="n">
        <v>6.370493</v>
      </c>
      <c r="E290" t="n">
        <v>8.1</v>
      </c>
      <c r="X290" t="n">
        <v>2.2</v>
      </c>
      <c r="AL290" t="n">
        <v>5.9</v>
      </c>
    </row>
    <row r="291">
      <c r="A291" s="79" t="n">
        <v>28887</v>
      </c>
      <c r="B291" t="n">
        <v>6.257102</v>
      </c>
      <c r="E291" t="n">
        <v>8</v>
      </c>
      <c r="X291" t="n">
        <v>2</v>
      </c>
      <c r="AL291" t="n">
        <v>5.9</v>
      </c>
    </row>
    <row r="292">
      <c r="A292" s="79" t="n">
        <v>28915</v>
      </c>
      <c r="B292" t="n">
        <v>6.302608</v>
      </c>
      <c r="E292" t="n">
        <v>7.9</v>
      </c>
      <c r="X292" t="n">
        <v>2.1</v>
      </c>
      <c r="AL292" t="n">
        <v>5.8</v>
      </c>
    </row>
    <row r="293">
      <c r="A293" s="79" t="n">
        <v>28946</v>
      </c>
      <c r="B293" t="n">
        <v>6.497991</v>
      </c>
      <c r="E293" t="n">
        <v>7.9</v>
      </c>
      <c r="X293" t="n">
        <v>2.1</v>
      </c>
      <c r="AL293" t="n">
        <v>5.8</v>
      </c>
    </row>
    <row r="294">
      <c r="A294" s="79" t="n">
        <v>28976</v>
      </c>
      <c r="B294" t="n">
        <v>6.20331</v>
      </c>
      <c r="E294" t="n">
        <v>7.6</v>
      </c>
      <c r="X294" t="n">
        <v>2</v>
      </c>
      <c r="AL294" t="n">
        <v>5.6</v>
      </c>
    </row>
    <row r="295">
      <c r="A295" s="79" t="n">
        <v>29007</v>
      </c>
      <c r="B295" t="n">
        <v>6.250967</v>
      </c>
      <c r="E295" t="n">
        <v>7.4</v>
      </c>
      <c r="X295" t="n">
        <v>2</v>
      </c>
      <c r="AL295" t="n">
        <v>5.7</v>
      </c>
    </row>
    <row r="296">
      <c r="A296" s="79" t="n">
        <v>29037</v>
      </c>
      <c r="B296" t="n">
        <v>6.274221</v>
      </c>
      <c r="E296" t="n">
        <v>7.1</v>
      </c>
      <c r="X296" t="n">
        <v>2.2</v>
      </c>
      <c r="AL296" t="n">
        <v>5.7</v>
      </c>
    </row>
    <row r="297">
      <c r="A297" s="79" t="n">
        <v>29068</v>
      </c>
      <c r="B297" t="n">
        <v>6.11784</v>
      </c>
      <c r="E297" t="n">
        <v>7.1</v>
      </c>
      <c r="X297" t="n">
        <v>2.2</v>
      </c>
      <c r="AL297" t="n">
        <v>6</v>
      </c>
    </row>
    <row r="298">
      <c r="A298" s="79" t="n">
        <v>29099</v>
      </c>
      <c r="B298" t="n">
        <v>6.232357</v>
      </c>
      <c r="E298" t="n">
        <v>7</v>
      </c>
      <c r="X298" t="n">
        <v>2</v>
      </c>
      <c r="AL298" t="n">
        <v>5.9</v>
      </c>
    </row>
    <row r="299">
      <c r="A299" s="79" t="n">
        <v>29129</v>
      </c>
      <c r="B299" t="n">
        <v>6.383507</v>
      </c>
      <c r="E299" t="n">
        <v>7.3</v>
      </c>
      <c r="X299" t="n">
        <v>2.1</v>
      </c>
      <c r="AL299" t="n">
        <v>6</v>
      </c>
    </row>
    <row r="300">
      <c r="A300" s="79" t="n">
        <v>29160</v>
      </c>
      <c r="B300" t="n">
        <v>6.044292</v>
      </c>
      <c r="E300" t="n">
        <v>7.2</v>
      </c>
      <c r="X300" t="n">
        <v>2.1</v>
      </c>
      <c r="AL300" t="n">
        <v>5.9</v>
      </c>
    </row>
    <row r="301">
      <c r="A301" s="79" t="n">
        <v>29190</v>
      </c>
      <c r="B301" t="n">
        <v>6.119713</v>
      </c>
      <c r="E301" t="n">
        <v>7.2</v>
      </c>
      <c r="X301" t="n">
        <v>2</v>
      </c>
      <c r="AL301" t="n">
        <v>6</v>
      </c>
    </row>
    <row r="302">
      <c r="A302" s="79" t="n">
        <v>29221</v>
      </c>
      <c r="B302" t="n">
        <v>6.146189</v>
      </c>
      <c r="E302" t="n">
        <v>7.5</v>
      </c>
      <c r="X302" t="n">
        <v>1.9</v>
      </c>
      <c r="AL302" t="n">
        <v>6.3</v>
      </c>
    </row>
    <row r="303">
      <c r="A303" s="79" t="n">
        <v>29252</v>
      </c>
      <c r="B303" t="n">
        <v>5.998692</v>
      </c>
      <c r="E303" t="n">
        <v>7.6</v>
      </c>
      <c r="X303" t="n">
        <v>1.9</v>
      </c>
      <c r="AL303" t="n">
        <v>6.3</v>
      </c>
    </row>
    <row r="304">
      <c r="A304" s="79" t="n">
        <v>29281</v>
      </c>
      <c r="B304" t="n">
        <v>5.936146</v>
      </c>
      <c r="E304" t="n">
        <v>7.6</v>
      </c>
      <c r="X304" t="n">
        <v>1.9</v>
      </c>
      <c r="AL304" t="n">
        <v>6.3</v>
      </c>
    </row>
    <row r="305">
      <c r="A305" s="79" t="n">
        <v>29312</v>
      </c>
      <c r="B305" t="n">
        <v>6.114644</v>
      </c>
      <c r="E305" t="n">
        <v>7.6</v>
      </c>
      <c r="X305" t="n">
        <v>2</v>
      </c>
      <c r="AL305" t="n">
        <v>6.9</v>
      </c>
    </row>
    <row r="306">
      <c r="A306" s="79" t="n">
        <v>29342</v>
      </c>
      <c r="B306" t="n">
        <v>6.245418</v>
      </c>
      <c r="E306" t="n">
        <v>7.8</v>
      </c>
      <c r="X306" t="n">
        <v>2</v>
      </c>
      <c r="AL306" t="n">
        <v>7.5</v>
      </c>
    </row>
    <row r="307">
      <c r="A307" s="79" t="n">
        <v>29373</v>
      </c>
      <c r="B307" t="n">
        <v>6.322504</v>
      </c>
      <c r="E307" t="n">
        <v>7.8</v>
      </c>
      <c r="X307" t="n">
        <v>1.9</v>
      </c>
      <c r="AL307" t="n">
        <v>7.6</v>
      </c>
    </row>
    <row r="308">
      <c r="A308" s="79" t="n">
        <v>29403</v>
      </c>
      <c r="B308" t="n">
        <v>6.077494</v>
      </c>
      <c r="E308" t="n">
        <v>7.6</v>
      </c>
      <c r="X308" t="n">
        <v>2</v>
      </c>
      <c r="AL308" t="n">
        <v>7.8</v>
      </c>
    </row>
    <row r="309">
      <c r="A309" s="79" t="n">
        <v>29434</v>
      </c>
      <c r="B309" t="n">
        <v>6.176674</v>
      </c>
      <c r="E309" t="n">
        <v>7.6</v>
      </c>
      <c r="X309" t="n">
        <v>2.1</v>
      </c>
      <c r="AL309" t="n">
        <v>7.7</v>
      </c>
    </row>
    <row r="310">
      <c r="A310" s="79" t="n">
        <v>29465</v>
      </c>
      <c r="B310" t="n">
        <v>6.140678</v>
      </c>
      <c r="E310" t="n">
        <v>7.4</v>
      </c>
      <c r="X310" t="n">
        <v>2</v>
      </c>
      <c r="AL310" t="n">
        <v>7.5</v>
      </c>
    </row>
    <row r="311">
      <c r="A311" s="79" t="n">
        <v>29495</v>
      </c>
      <c r="B311" t="n">
        <v>6.054791</v>
      </c>
      <c r="E311" t="n">
        <v>7.3</v>
      </c>
      <c r="X311" t="n">
        <v>2.1</v>
      </c>
      <c r="AL311" t="n">
        <v>7.5</v>
      </c>
    </row>
    <row r="312">
      <c r="A312" s="79" t="n">
        <v>29526</v>
      </c>
      <c r="B312" t="n">
        <v>5.84972</v>
      </c>
      <c r="E312" t="n">
        <v>7.2</v>
      </c>
      <c r="X312" t="n">
        <v>2.2</v>
      </c>
      <c r="AL312" t="n">
        <v>7.5</v>
      </c>
    </row>
    <row r="313">
      <c r="A313" s="79" t="n">
        <v>29556</v>
      </c>
      <c r="B313" t="n">
        <v>6.050725</v>
      </c>
      <c r="E313" t="n">
        <v>7.2</v>
      </c>
      <c r="X313" t="n">
        <v>2.2</v>
      </c>
      <c r="AL313" t="n">
        <v>7.2</v>
      </c>
    </row>
    <row r="314">
      <c r="A314" s="79" t="n">
        <v>29587</v>
      </c>
      <c r="B314" t="n">
        <v>5.916251</v>
      </c>
      <c r="E314" t="n">
        <v>7.4</v>
      </c>
      <c r="X314" t="n">
        <v>2.1</v>
      </c>
      <c r="AL314" t="n">
        <v>7.5</v>
      </c>
    </row>
    <row r="315">
      <c r="A315" s="79" t="n">
        <v>29618</v>
      </c>
      <c r="B315" t="n">
        <v>5.616568</v>
      </c>
      <c r="E315" t="n">
        <v>7.3</v>
      </c>
      <c r="X315" t="n">
        <v>2.3</v>
      </c>
      <c r="AL315" t="n">
        <v>7.4</v>
      </c>
    </row>
    <row r="316">
      <c r="A316" s="79" t="n">
        <v>29646</v>
      </c>
      <c r="B316" t="n">
        <v>5.745607</v>
      </c>
      <c r="E316" t="n">
        <v>7.5</v>
      </c>
      <c r="X316" t="n">
        <v>2.2</v>
      </c>
      <c r="AL316" t="n">
        <v>7.4</v>
      </c>
    </row>
    <row r="317">
      <c r="A317" s="79" t="n">
        <v>29677</v>
      </c>
      <c r="B317" t="n">
        <v>5.554529</v>
      </c>
      <c r="E317" t="n">
        <v>7.1</v>
      </c>
      <c r="X317" t="n">
        <v>2.2</v>
      </c>
      <c r="AL317" t="n">
        <v>7.2</v>
      </c>
    </row>
    <row r="318">
      <c r="A318" s="79" t="n">
        <v>29707</v>
      </c>
      <c r="B318" t="n">
        <v>5.58832</v>
      </c>
      <c r="E318" t="n">
        <v>7.2</v>
      </c>
      <c r="X318" t="n">
        <v>2.3</v>
      </c>
      <c r="AL318" t="n">
        <v>7.5</v>
      </c>
    </row>
    <row r="319">
      <c r="A319" s="79" t="n">
        <v>29738</v>
      </c>
      <c r="B319" t="n">
        <v>5.373744</v>
      </c>
      <c r="E319" t="n">
        <v>7.3</v>
      </c>
      <c r="X319" t="n">
        <v>2.3</v>
      </c>
      <c r="AL319" t="n">
        <v>7.5</v>
      </c>
    </row>
    <row r="320">
      <c r="A320" s="79" t="n">
        <v>29768</v>
      </c>
      <c r="B320" t="n">
        <v>5.827485</v>
      </c>
      <c r="E320" t="n">
        <v>7.2</v>
      </c>
      <c r="X320" t="n">
        <v>2.2</v>
      </c>
      <c r="AL320" t="n">
        <v>7.2</v>
      </c>
    </row>
    <row r="321">
      <c r="A321" s="79" t="n">
        <v>29799</v>
      </c>
      <c r="B321" t="n">
        <v>5.845825</v>
      </c>
      <c r="E321" t="n">
        <v>7</v>
      </c>
      <c r="X321" t="n">
        <v>2.1</v>
      </c>
      <c r="AL321" t="n">
        <v>7.4</v>
      </c>
    </row>
    <row r="322">
      <c r="A322" s="79" t="n">
        <v>29830</v>
      </c>
      <c r="B322" t="n">
        <v>5.811767</v>
      </c>
      <c r="E322" t="n">
        <v>8.199999999999999</v>
      </c>
      <c r="X322" t="n">
        <v>2.2</v>
      </c>
      <c r="AL322" t="n">
        <v>7.6</v>
      </c>
    </row>
    <row r="323">
      <c r="A323" s="79" t="n">
        <v>29860</v>
      </c>
      <c r="B323" t="n">
        <v>5.872079</v>
      </c>
      <c r="E323" t="n">
        <v>8.300000000000001</v>
      </c>
      <c r="X323" t="n">
        <v>2.2</v>
      </c>
      <c r="AL323" t="n">
        <v>7.9</v>
      </c>
    </row>
    <row r="324">
      <c r="A324" s="79" t="n">
        <v>29891</v>
      </c>
      <c r="B324" t="n">
        <v>5.994548</v>
      </c>
      <c r="E324" t="n">
        <v>8.300000000000001</v>
      </c>
      <c r="X324" t="n">
        <v>2.2</v>
      </c>
      <c r="AL324" t="n">
        <v>8.300000000000001</v>
      </c>
    </row>
    <row r="325">
      <c r="A325" s="79" t="n">
        <v>29921</v>
      </c>
      <c r="B325" t="n">
        <v>6.026475</v>
      </c>
      <c r="E325" t="n">
        <v>8.699999999999999</v>
      </c>
      <c r="X325" t="n">
        <v>2.2</v>
      </c>
      <c r="AL325" t="n">
        <v>8.5</v>
      </c>
    </row>
    <row r="326">
      <c r="A326" s="79" t="n">
        <v>29952</v>
      </c>
      <c r="B326" t="n">
        <v>5.982417</v>
      </c>
      <c r="E326" t="n">
        <v>8.6</v>
      </c>
      <c r="X326" t="n">
        <v>2.2</v>
      </c>
      <c r="AL326" t="n">
        <v>8.6</v>
      </c>
    </row>
    <row r="327">
      <c r="A327" s="79" t="n">
        <v>29983</v>
      </c>
      <c r="B327" t="n">
        <v>6.308355</v>
      </c>
      <c r="E327" t="n">
        <v>8.9</v>
      </c>
      <c r="X327" t="n">
        <v>2.2</v>
      </c>
      <c r="AL327" t="n">
        <v>8.9</v>
      </c>
    </row>
    <row r="328">
      <c r="A328" s="79" t="n">
        <v>30011</v>
      </c>
      <c r="B328" t="n">
        <v>6.322474</v>
      </c>
      <c r="E328" t="n">
        <v>9.300000000000001</v>
      </c>
      <c r="X328" t="n">
        <v>2.3</v>
      </c>
      <c r="AL328" t="n">
        <v>9</v>
      </c>
    </row>
    <row r="329">
      <c r="A329" s="79" t="n">
        <v>30042</v>
      </c>
      <c r="B329" t="n">
        <v>6.333239</v>
      </c>
      <c r="E329" t="n">
        <v>9.800000000000001</v>
      </c>
      <c r="X329" t="n">
        <v>2.3</v>
      </c>
      <c r="AL329" t="n">
        <v>9.300000000000001</v>
      </c>
    </row>
    <row r="330">
      <c r="A330" s="79" t="n">
        <v>30072</v>
      </c>
      <c r="B330" t="n">
        <v>6.592115</v>
      </c>
      <c r="E330" t="n">
        <v>10.4</v>
      </c>
      <c r="X330" t="n">
        <v>2.3</v>
      </c>
      <c r="AL330" t="n">
        <v>9.4</v>
      </c>
    </row>
    <row r="331">
      <c r="A331" s="79" t="n">
        <v>30103</v>
      </c>
      <c r="B331" t="n">
        <v>6.766427</v>
      </c>
      <c r="E331" t="n">
        <v>11.1</v>
      </c>
      <c r="X331" t="n">
        <v>2.4</v>
      </c>
      <c r="AL331" t="n">
        <v>9.6</v>
      </c>
    </row>
    <row r="332">
      <c r="A332" s="79" t="n">
        <v>30133</v>
      </c>
      <c r="B332" t="n">
        <v>6.883143</v>
      </c>
      <c r="E332" t="n">
        <v>12</v>
      </c>
      <c r="X332" t="n">
        <v>2.4</v>
      </c>
      <c r="AL332" t="n">
        <v>9.800000000000001</v>
      </c>
    </row>
    <row r="333">
      <c r="A333" s="79" t="n">
        <v>30164</v>
      </c>
      <c r="B333" t="n">
        <v>7.011209</v>
      </c>
      <c r="E333" t="n">
        <v>12.1</v>
      </c>
      <c r="X333" t="n">
        <v>2.3</v>
      </c>
      <c r="AL333" t="n">
        <v>9.800000000000001</v>
      </c>
    </row>
    <row r="334">
      <c r="A334" s="79" t="n">
        <v>30195</v>
      </c>
      <c r="B334" t="n">
        <v>7.429191</v>
      </c>
      <c r="E334" t="n">
        <v>12.4</v>
      </c>
      <c r="X334" t="n">
        <v>2.4</v>
      </c>
      <c r="AL334" t="n">
        <v>10.1</v>
      </c>
    </row>
    <row r="335">
      <c r="A335" s="79" t="n">
        <v>30225</v>
      </c>
      <c r="B335" t="n">
        <v>8.294352999999999</v>
      </c>
      <c r="E335" t="n">
        <v>12.9</v>
      </c>
      <c r="X335" t="n">
        <v>2.5</v>
      </c>
      <c r="AL335" t="n">
        <v>10.4</v>
      </c>
    </row>
    <row r="336">
      <c r="A336" s="79" t="n">
        <v>30256</v>
      </c>
      <c r="B336" t="n">
        <v>8.678758999999999</v>
      </c>
      <c r="E336" t="n">
        <v>12.9</v>
      </c>
      <c r="X336" t="n">
        <v>2.4</v>
      </c>
      <c r="AL336" t="n">
        <v>10.8</v>
      </c>
    </row>
    <row r="337">
      <c r="A337" s="79" t="n">
        <v>30286</v>
      </c>
      <c r="B337" t="n">
        <v>9.401317000000001</v>
      </c>
      <c r="E337" t="n">
        <v>13</v>
      </c>
      <c r="X337" t="n">
        <v>2.5</v>
      </c>
      <c r="AL337" t="n">
        <v>10.8</v>
      </c>
    </row>
    <row r="338">
      <c r="A338" s="79"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9"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9"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9"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9"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9"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9"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9"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9"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9"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9"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9"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9"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9"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9"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9"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9"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9"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9"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9"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9"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9"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9"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9"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9"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9"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9"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9"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9"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9"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9"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9"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9"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9"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9"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9"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9"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9"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9"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9"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9"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9"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9"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9"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9"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9"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9"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9"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9"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9"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9"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9"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9"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9"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9"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9"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9"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9"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9"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9"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9"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9"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9"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9"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9"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9"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9"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9"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9"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9"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9"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9"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9"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9"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9"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9"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9"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9"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9"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9"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9"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9"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9"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9"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9"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9"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9"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9"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9"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9"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9"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9"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9"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9"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9"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9"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9"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9"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9"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9"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9"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9"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9"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9"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9"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9"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9"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9"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9"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9"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9"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9"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9"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9"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9"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9"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9"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9"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9"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9"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9"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9"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9"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9"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9"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9"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9"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9"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9"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9"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9"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9"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9"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9"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9"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9"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9"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9"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9"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9"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9"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9"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9"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9"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9"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9"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9"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9"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9"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9"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9"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9"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9"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9"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9"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9"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9"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9"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9"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9"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9"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9"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9"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9"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9"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9"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9"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9"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9"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9"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9"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9"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9"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9"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9"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9"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9"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9"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9"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9"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9"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9"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9"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9"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9"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9"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9"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9"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9"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9"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9"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9"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9"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9"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9"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9"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9"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9"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9"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9"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9"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9"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9"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9"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9"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9"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9"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9"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9"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9"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9"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9"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9"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9"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9"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9"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9"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F554" t="n">
        <v>17.1</v>
      </c>
      <c r="AG554" t="n">
        <v>5.1</v>
      </c>
      <c r="AH554" t="n">
        <v>19.4</v>
      </c>
      <c r="AI554" t="n">
        <v>6.1</v>
      </c>
      <c r="AJ554" t="n">
        <v>6</v>
      </c>
      <c r="AL554" t="n">
        <v>4.2</v>
      </c>
    </row>
    <row r="555">
      <c r="A555" s="79"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F555" t="n">
        <v>17.4</v>
      </c>
      <c r="AG555" t="n">
        <v>5.3</v>
      </c>
      <c r="AH555" t="n">
        <v>19.3</v>
      </c>
      <c r="AI555" t="n">
        <v>6</v>
      </c>
      <c r="AJ555" t="n">
        <v>5.9</v>
      </c>
      <c r="AL555" t="n">
        <v>4.2</v>
      </c>
    </row>
    <row r="556">
      <c r="A556" s="79"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F556" t="n">
        <v>17.7</v>
      </c>
      <c r="AG556" t="n">
        <v>5.4</v>
      </c>
      <c r="AH556" t="n">
        <v>19.4</v>
      </c>
      <c r="AI556" t="n">
        <v>6.1</v>
      </c>
      <c r="AJ556" t="n">
        <v>5.8</v>
      </c>
      <c r="AL556" t="n">
        <v>4.3</v>
      </c>
    </row>
    <row r="557">
      <c r="A557" s="79"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F557" t="n">
        <v>18.1</v>
      </c>
      <c r="AG557" t="n">
        <v>5.4</v>
      </c>
      <c r="AH557" t="n">
        <v>19.6</v>
      </c>
      <c r="AI557" t="n">
        <v>6</v>
      </c>
      <c r="AJ557" t="n">
        <v>5.7</v>
      </c>
      <c r="AL557" t="n">
        <v>4.4</v>
      </c>
    </row>
    <row r="558">
      <c r="A558" s="79"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F558" t="n">
        <v>18.4</v>
      </c>
      <c r="AG558" t="n">
        <v>5.4</v>
      </c>
      <c r="AH558" t="n">
        <v>19.5</v>
      </c>
      <c r="AI558" t="n">
        <v>5.9</v>
      </c>
      <c r="AJ558" t="n">
        <v>5.7</v>
      </c>
      <c r="AL558" t="n">
        <v>4.3</v>
      </c>
    </row>
    <row r="559">
      <c r="A559" s="79"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F559" t="n">
        <v>18.5</v>
      </c>
      <c r="AG559" t="n">
        <v>5.4</v>
      </c>
      <c r="AH559" t="n">
        <v>19.5</v>
      </c>
      <c r="AI559" t="n">
        <v>5.9</v>
      </c>
      <c r="AJ559" t="n">
        <v>5.7</v>
      </c>
      <c r="AL559" t="n">
        <v>4.5</v>
      </c>
    </row>
    <row r="560">
      <c r="A560" s="79"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F560" t="n">
        <v>18.4</v>
      </c>
      <c r="AG560" t="n">
        <v>5.5</v>
      </c>
      <c r="AH560" t="n">
        <v>19.4</v>
      </c>
      <c r="AI560" t="n">
        <v>5.9</v>
      </c>
      <c r="AJ560" t="n">
        <v>5.9</v>
      </c>
      <c r="AL560" t="n">
        <v>4.6</v>
      </c>
    </row>
    <row r="561">
      <c r="A561" s="79"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F561" t="n">
        <v>18.4</v>
      </c>
      <c r="AG561" t="n">
        <v>5.4</v>
      </c>
      <c r="AH561" t="n">
        <v>19.5</v>
      </c>
      <c r="AI561" t="n">
        <v>6</v>
      </c>
      <c r="AJ561" t="n">
        <v>5.8</v>
      </c>
      <c r="AL561" t="n">
        <v>4.9</v>
      </c>
    </row>
    <row r="562">
      <c r="A562" s="79"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F562" t="n">
        <v>18.6</v>
      </c>
      <c r="AG562" t="n">
        <v>5.4</v>
      </c>
      <c r="AH562" t="n">
        <v>19.5</v>
      </c>
      <c r="AI562" t="n">
        <v>6.3</v>
      </c>
      <c r="AJ562" t="n">
        <v>5.8</v>
      </c>
      <c r="AL562" t="n">
        <v>5</v>
      </c>
    </row>
    <row r="563">
      <c r="A563" s="79"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F563" t="n">
        <v>18.8</v>
      </c>
      <c r="AG563" t="n">
        <v>5.4</v>
      </c>
      <c r="AH563" t="n">
        <v>19.6</v>
      </c>
      <c r="AI563" t="n">
        <v>6.5</v>
      </c>
      <c r="AJ563" t="n">
        <v>6.2</v>
      </c>
      <c r="AL563" t="n">
        <v>5.3</v>
      </c>
    </row>
    <row r="564">
      <c r="A564" s="79"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F564" t="n">
        <v>19.1</v>
      </c>
      <c r="AG564" t="n">
        <v>5.4</v>
      </c>
      <c r="AH564" t="n">
        <v>19.5</v>
      </c>
      <c r="AI564" t="n">
        <v>6.8</v>
      </c>
      <c r="AJ564" t="n">
        <v>5.8</v>
      </c>
      <c r="AL564" t="n">
        <v>5.5</v>
      </c>
    </row>
    <row r="565">
      <c r="A565" s="79"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F565" t="n">
        <v>19.2</v>
      </c>
      <c r="AG565" t="n">
        <v>5.4</v>
      </c>
      <c r="AH565" t="n">
        <v>19.3</v>
      </c>
      <c r="AI565" t="n">
        <v>6.8</v>
      </c>
      <c r="AJ565" t="n">
        <v>5.9</v>
      </c>
      <c r="AL565" t="n">
        <v>5.7</v>
      </c>
    </row>
    <row r="566">
      <c r="A566" s="79"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F566" t="n">
        <v>19.4</v>
      </c>
      <c r="AG566" t="n">
        <v>5.6</v>
      </c>
      <c r="AH566" t="n">
        <v>19.1</v>
      </c>
      <c r="AI566" t="n">
        <v>6.7</v>
      </c>
      <c r="AJ566" t="n">
        <v>5.8</v>
      </c>
      <c r="AL566" t="n">
        <v>5.7</v>
      </c>
    </row>
    <row r="567">
      <c r="A567" s="79"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F567" t="n">
        <v>19.4</v>
      </c>
      <c r="AG567" t="n">
        <v>5.6</v>
      </c>
      <c r="AH567" t="n">
        <v>19</v>
      </c>
      <c r="AI567" t="n">
        <v>6.6</v>
      </c>
      <c r="AJ567" t="n">
        <v>5.8</v>
      </c>
      <c r="AL567" t="n">
        <v>5.7</v>
      </c>
    </row>
    <row r="568">
      <c r="A568" s="79"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F568" t="n">
        <v>19.6</v>
      </c>
      <c r="AG568" t="n">
        <v>5.7</v>
      </c>
      <c r="AH568" t="n">
        <v>18.9</v>
      </c>
      <c r="AI568" t="n">
        <v>6.4</v>
      </c>
      <c r="AJ568" t="n">
        <v>5.8</v>
      </c>
      <c r="AL568" t="n">
        <v>5.7</v>
      </c>
    </row>
    <row r="569">
      <c r="A569" s="79"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F569" t="n">
        <v>19.9</v>
      </c>
      <c r="AG569" t="n">
        <v>5.8</v>
      </c>
      <c r="AH569" t="n">
        <v>18.9</v>
      </c>
      <c r="AI569" t="n">
        <v>6.3</v>
      </c>
      <c r="AJ569" t="n">
        <v>6</v>
      </c>
      <c r="AL569" t="n">
        <v>5.9</v>
      </c>
    </row>
    <row r="570">
      <c r="A570" s="79"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F570" t="n">
        <v>19.8</v>
      </c>
      <c r="AG570" t="n">
        <v>6.2</v>
      </c>
      <c r="AH570" t="n">
        <v>19</v>
      </c>
      <c r="AI570" t="n">
        <v>6.3</v>
      </c>
      <c r="AJ570" t="n">
        <v>5.8</v>
      </c>
      <c r="AL570" t="n">
        <v>5.8</v>
      </c>
    </row>
    <row r="571">
      <c r="A571" s="79"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F571" t="n">
        <v>20.2</v>
      </c>
      <c r="AG571" t="n">
        <v>6.4</v>
      </c>
      <c r="AH571" t="n">
        <v>18.9</v>
      </c>
      <c r="AI571" t="n">
        <v>6.1</v>
      </c>
      <c r="AJ571" t="n">
        <v>5.6</v>
      </c>
      <c r="AL571" t="n">
        <v>5.8</v>
      </c>
    </row>
    <row r="572">
      <c r="A572" s="79"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F572" t="n">
        <v>20.4</v>
      </c>
      <c r="AG572" t="n">
        <v>6.6</v>
      </c>
      <c r="AH572" t="n">
        <v>18.8</v>
      </c>
      <c r="AI572" t="n">
        <v>6.1</v>
      </c>
      <c r="AJ572" t="n">
        <v>6.1</v>
      </c>
      <c r="AL572" t="n">
        <v>5.8</v>
      </c>
    </row>
    <row r="573">
      <c r="A573" s="79"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F573" t="n">
        <v>20.5</v>
      </c>
      <c r="AG573" t="n">
        <v>6.5</v>
      </c>
      <c r="AH573" t="n">
        <v>18.8</v>
      </c>
      <c r="AI573" t="n">
        <v>6.3</v>
      </c>
      <c r="AJ573" t="n">
        <v>5.9</v>
      </c>
      <c r="AL573" t="n">
        <v>5.7</v>
      </c>
    </row>
    <row r="574">
      <c r="A574" s="79"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F574" t="n">
        <v>20.5</v>
      </c>
      <c r="AG574" t="n">
        <v>6.8</v>
      </c>
      <c r="AH574" t="n">
        <v>18.7</v>
      </c>
      <c r="AI574" t="n">
        <v>6.3</v>
      </c>
      <c r="AJ574" t="n">
        <v>6.2</v>
      </c>
      <c r="AL574" t="n">
        <v>5.7</v>
      </c>
    </row>
    <row r="575">
      <c r="A575" s="79"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F575" t="n">
        <v>20.4</v>
      </c>
      <c r="AG575" t="n">
        <v>7.3</v>
      </c>
      <c r="AH575" t="n">
        <v>18.7</v>
      </c>
      <c r="AI575" t="n">
        <v>6.2</v>
      </c>
      <c r="AJ575" t="n">
        <v>6</v>
      </c>
      <c r="AL575" t="n">
        <v>5.7</v>
      </c>
    </row>
    <row r="576">
      <c r="A576" s="79"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F576" t="n">
        <v>20.3</v>
      </c>
      <c r="AG576" t="n">
        <v>7.5</v>
      </c>
      <c r="AH576" t="n">
        <v>18.6</v>
      </c>
      <c r="AI576" t="n">
        <v>6.4</v>
      </c>
      <c r="AJ576" t="n">
        <v>6.2</v>
      </c>
      <c r="AL576" t="n">
        <v>5.9</v>
      </c>
    </row>
    <row r="577">
      <c r="A577" s="79"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F577" t="n">
        <v>20.1</v>
      </c>
      <c r="AG577" t="n">
        <v>7.6</v>
      </c>
      <c r="AH577" t="n">
        <v>18.5</v>
      </c>
      <c r="AI577" t="n">
        <v>6.4</v>
      </c>
      <c r="AJ577" t="n">
        <v>6.3</v>
      </c>
      <c r="AL577" t="n">
        <v>6</v>
      </c>
    </row>
    <row r="578">
      <c r="A578" s="79"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F578" t="n">
        <v>19.9</v>
      </c>
      <c r="AG578" t="n">
        <v>7.6</v>
      </c>
      <c r="AH578" t="n">
        <v>18.2</v>
      </c>
      <c r="AI578" t="n">
        <v>6.5</v>
      </c>
      <c r="AJ578" t="n">
        <v>6.4</v>
      </c>
      <c r="AL578" t="n">
        <v>5.8</v>
      </c>
    </row>
    <row r="579">
      <c r="A579" s="79"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F579" t="n">
        <v>19.8</v>
      </c>
      <c r="AG579" t="n">
        <v>7.7</v>
      </c>
      <c r="AH579" t="n">
        <v>18</v>
      </c>
      <c r="AI579" t="n">
        <v>6.7</v>
      </c>
      <c r="AJ579" t="n">
        <v>6</v>
      </c>
      <c r="AL579" t="n">
        <v>5.9</v>
      </c>
    </row>
    <row r="580">
      <c r="A580" s="79"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F580" t="n">
        <v>19.6</v>
      </c>
      <c r="AG580" t="n">
        <v>7.7</v>
      </c>
      <c r="AH580" t="n">
        <v>17.8</v>
      </c>
      <c r="AI580" t="n">
        <v>6.8</v>
      </c>
      <c r="AJ580" t="n">
        <v>6.3</v>
      </c>
      <c r="AL580" t="n">
        <v>5.9</v>
      </c>
    </row>
    <row r="581">
      <c r="A581" s="79"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F581" t="n">
        <v>19.5</v>
      </c>
      <c r="AG581" t="n">
        <v>7.8</v>
      </c>
      <c r="AH581" t="n">
        <v>17.4</v>
      </c>
      <c r="AI581" t="n">
        <v>6.8</v>
      </c>
      <c r="AJ581" t="n">
        <v>6.3</v>
      </c>
      <c r="AL581" t="n">
        <v>6</v>
      </c>
    </row>
    <row r="582">
      <c r="A582" s="79"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F582" t="n">
        <v>19.5</v>
      </c>
      <c r="AG582" t="n">
        <v>8</v>
      </c>
      <c r="AH582" t="n">
        <v>17.3</v>
      </c>
      <c r="AI582" t="n">
        <v>6.8</v>
      </c>
      <c r="AJ582" t="n">
        <v>6.3</v>
      </c>
      <c r="AL582" t="n">
        <v>6.1</v>
      </c>
    </row>
    <row r="583">
      <c r="A583" s="79"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F583" t="n">
        <v>19.7</v>
      </c>
      <c r="AG583" t="n">
        <v>7.9</v>
      </c>
      <c r="AH583" t="n">
        <v>17.3</v>
      </c>
      <c r="AI583" t="n">
        <v>6.8</v>
      </c>
      <c r="AJ583" t="n">
        <v>6.4</v>
      </c>
      <c r="AL583" t="n">
        <v>6.3</v>
      </c>
    </row>
    <row r="584">
      <c r="A584" s="79"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F584" t="n">
        <v>19.9</v>
      </c>
      <c r="AG584" t="n">
        <v>7.8</v>
      </c>
      <c r="AH584" t="n">
        <v>17.4</v>
      </c>
      <c r="AI584" t="n">
        <v>6.8</v>
      </c>
      <c r="AJ584" t="n">
        <v>6.5</v>
      </c>
      <c r="AL584" t="n">
        <v>6.2</v>
      </c>
    </row>
    <row r="585">
      <c r="A585" s="79"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F585" t="n">
        <v>20</v>
      </c>
      <c r="AG585" t="n">
        <v>7.8</v>
      </c>
      <c r="AH585" t="n">
        <v>17.6</v>
      </c>
      <c r="AI585" t="n">
        <v>6.8</v>
      </c>
      <c r="AJ585" t="n">
        <v>6.9</v>
      </c>
      <c r="AL585" t="n">
        <v>6.1</v>
      </c>
    </row>
    <row r="586">
      <c r="A586" s="79"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F586" t="n">
        <v>19.9</v>
      </c>
      <c r="AG586" t="n">
        <v>7.8</v>
      </c>
      <c r="AH586" t="n">
        <v>17.5</v>
      </c>
      <c r="AI586" t="n">
        <v>6.8</v>
      </c>
      <c r="AJ586" t="n">
        <v>6.5</v>
      </c>
      <c r="AL586" t="n">
        <v>6.1</v>
      </c>
    </row>
    <row r="587">
      <c r="A587" s="79"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F587" t="n">
        <v>19.8</v>
      </c>
      <c r="AG587" t="n">
        <v>8</v>
      </c>
      <c r="AH587" t="n">
        <v>17.6</v>
      </c>
      <c r="AI587" t="n">
        <v>6.6</v>
      </c>
      <c r="AJ587" t="n">
        <v>6.9</v>
      </c>
      <c r="AL587" t="n">
        <v>6</v>
      </c>
    </row>
    <row r="588">
      <c r="A588" s="79"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F588" t="n">
        <v>19.7</v>
      </c>
      <c r="AG588" t="n">
        <v>7.9</v>
      </c>
      <c r="AH588" t="n">
        <v>17.9</v>
      </c>
      <c r="AI588" t="n">
        <v>6.5</v>
      </c>
      <c r="AJ588" t="n">
        <v>7.3</v>
      </c>
      <c r="AL588" t="n">
        <v>5.8</v>
      </c>
    </row>
    <row r="589">
      <c r="A589" s="79"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F589" t="n">
        <v>19.8</v>
      </c>
      <c r="AG589" t="n">
        <v>7.7</v>
      </c>
      <c r="AH589" t="n">
        <v>18.4</v>
      </c>
      <c r="AI589" t="n">
        <v>6.5</v>
      </c>
      <c r="AJ589" t="n">
        <v>7</v>
      </c>
      <c r="AL589" t="n">
        <v>5.7</v>
      </c>
    </row>
    <row r="590">
      <c r="A590" s="79"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F590" t="n">
        <v>20</v>
      </c>
      <c r="AG590" t="n">
        <v>7.5</v>
      </c>
      <c r="AH590" t="n">
        <v>18.7</v>
      </c>
      <c r="AI590" t="n">
        <v>6.5</v>
      </c>
      <c r="AJ590" t="n">
        <v>7</v>
      </c>
      <c r="AL590" t="n">
        <v>5.7</v>
      </c>
    </row>
    <row r="591">
      <c r="A591" s="79"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F591" t="n">
        <v>19.9</v>
      </c>
      <c r="AG591" t="n">
        <v>7.6</v>
      </c>
      <c r="AH591" t="n">
        <v>19</v>
      </c>
      <c r="AI591" t="n">
        <v>6.5</v>
      </c>
      <c r="AJ591" t="n">
        <v>7.6</v>
      </c>
      <c r="AL591" t="n">
        <v>5.6</v>
      </c>
    </row>
    <row r="592">
      <c r="A592" s="79"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F592" t="n">
        <v>19.8</v>
      </c>
      <c r="AG592" t="n">
        <v>7.6</v>
      </c>
      <c r="AH592" t="n">
        <v>19</v>
      </c>
      <c r="AI592" t="n">
        <v>6.5</v>
      </c>
      <c r="AJ592" t="n">
        <v>7.4</v>
      </c>
      <c r="AL592" t="n">
        <v>5.8</v>
      </c>
    </row>
    <row r="593">
      <c r="A593" s="79"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F593" t="n">
        <v>19.5</v>
      </c>
      <c r="AG593" t="n">
        <v>7.8</v>
      </c>
      <c r="AH593" t="n">
        <v>19.1</v>
      </c>
      <c r="AI593" t="n">
        <v>6.4</v>
      </c>
      <c r="AJ593" t="n">
        <v>7.1</v>
      </c>
      <c r="AL593" t="n">
        <v>5.6</v>
      </c>
    </row>
    <row r="594">
      <c r="A594" s="79"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F594" t="n">
        <v>19.3</v>
      </c>
      <c r="AG594" t="n">
        <v>8.1</v>
      </c>
      <c r="AH594" t="n">
        <v>18.8</v>
      </c>
      <c r="AI594" t="n">
        <v>6.4</v>
      </c>
      <c r="AJ594" t="n">
        <v>7.6</v>
      </c>
      <c r="AL594" t="n">
        <v>5.6</v>
      </c>
    </row>
    <row r="595">
      <c r="A595" s="79"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F595" t="n">
        <v>19.2</v>
      </c>
      <c r="AG595" t="n">
        <v>8.300000000000001</v>
      </c>
      <c r="AH595" t="n">
        <v>18.5</v>
      </c>
      <c r="AI595" t="n">
        <v>6.2</v>
      </c>
      <c r="AJ595" t="n">
        <v>7.4</v>
      </c>
      <c r="AL595" t="n">
        <v>5.6</v>
      </c>
    </row>
    <row r="596">
      <c r="A596" s="79"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F596" t="n">
        <v>19</v>
      </c>
      <c r="AG596" t="n">
        <v>8.199999999999999</v>
      </c>
      <c r="AH596" t="n">
        <v>18.2</v>
      </c>
      <c r="AI596" t="n">
        <v>6.1</v>
      </c>
      <c r="AJ596" t="n">
        <v>7.2</v>
      </c>
      <c r="AL596" t="n">
        <v>5.5</v>
      </c>
    </row>
    <row r="597">
      <c r="A597" s="79"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F597" t="n">
        <v>18.9</v>
      </c>
      <c r="AG597" t="n">
        <v>8.5</v>
      </c>
      <c r="AH597" t="n">
        <v>18</v>
      </c>
      <c r="AI597" t="n">
        <v>6.2</v>
      </c>
      <c r="AJ597" t="n">
        <v>7.3</v>
      </c>
      <c r="AL597" t="n">
        <v>5.4</v>
      </c>
    </row>
    <row r="598">
      <c r="A598" s="79"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F598" t="n">
        <v>18.7</v>
      </c>
      <c r="AG598" t="n">
        <v>8.5</v>
      </c>
      <c r="AH598" t="n">
        <v>17.9</v>
      </c>
      <c r="AI598" t="n">
        <v>6.2</v>
      </c>
      <c r="AJ598" t="n">
        <v>7.8</v>
      </c>
      <c r="AL598" t="n">
        <v>5.4</v>
      </c>
    </row>
    <row r="599">
      <c r="A599" s="79"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F599" t="n">
        <v>18.6</v>
      </c>
      <c r="AG599" t="n">
        <v>8.5</v>
      </c>
      <c r="AH599" t="n">
        <v>17.8</v>
      </c>
      <c r="AI599" t="n">
        <v>6.3</v>
      </c>
      <c r="AJ599" t="n">
        <v>7.1</v>
      </c>
      <c r="AL599" t="n">
        <v>5.5</v>
      </c>
    </row>
    <row r="600">
      <c r="A600" s="79"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F600" t="n">
        <v>18.4</v>
      </c>
      <c r="AG600" t="n">
        <v>8.5</v>
      </c>
      <c r="AH600" t="n">
        <v>17.7</v>
      </c>
      <c r="AI600" t="n">
        <v>6.2</v>
      </c>
      <c r="AJ600" t="n">
        <v>7.5</v>
      </c>
      <c r="AL600" t="n">
        <v>5.4</v>
      </c>
    </row>
    <row r="601">
      <c r="A601" s="79"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F601" t="n">
        <v>18.3</v>
      </c>
      <c r="AG601" t="n">
        <v>8.699999999999999</v>
      </c>
      <c r="AH601" t="n">
        <v>17.6</v>
      </c>
      <c r="AI601" t="n">
        <v>6.4</v>
      </c>
      <c r="AJ601" t="n">
        <v>7.5</v>
      </c>
      <c r="AL601" t="n">
        <v>5.4</v>
      </c>
    </row>
    <row r="602">
      <c r="A602" s="79"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9"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9"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9"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9"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9"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9"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9"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9"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9"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9"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9"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9"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9"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9"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9"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9"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9"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9"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9"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9"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9"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9"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9"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9"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9"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9"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9"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9"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9"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9"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9"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9"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9"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9"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9"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9"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9"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9"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9"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9"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9"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9"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9"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9"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9"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9"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9"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9"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9"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9"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9"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9"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9"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9"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9"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9"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9"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9"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9"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9"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9"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9"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9"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9"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9"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9"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9"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9"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9"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9"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9"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9"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9"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9"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9"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9"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9"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9"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9"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9"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9"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9"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9"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9"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9"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9"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9"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9"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9"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9"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9"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9"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9"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9"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9"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9"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9"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9"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9"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9"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9"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9"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9"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9"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9"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9"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9"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9"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9"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9"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9"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9"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9"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9"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9"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9"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9"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9"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9"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9"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9"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9"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9"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9"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9"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9"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9"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9"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9"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9"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9"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9"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9"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9"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9"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9"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9"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9"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9"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9"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9"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9"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9"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9"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9"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9"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9"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9"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9"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9"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9"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9"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9"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9"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9"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9"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9"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9"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9"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9"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9"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9"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9"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9"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9"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9"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9"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9"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9"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9"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9"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9"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9"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9"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9"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9"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9"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9"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9"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9"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9"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9"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9"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9"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9"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9"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9"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9"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9"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9"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9"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9"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9"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9"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9"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9"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9"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9"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9"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9"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9" t="n">
        <v>44470</v>
      </c>
      <c r="B803" t="n">
        <v>5.222845</v>
      </c>
      <c r="C803" t="n">
        <v>5.8</v>
      </c>
      <c r="D803" t="n">
        <v>6.3</v>
      </c>
      <c r="E803" t="n">
        <v>6.7</v>
      </c>
      <c r="H803" t="n">
        <v>2.6</v>
      </c>
      <c r="I803" t="n">
        <v>3.3</v>
      </c>
      <c r="J803" t="n">
        <v>5.1</v>
      </c>
      <c r="K803" t="n">
        <v>7.3</v>
      </c>
      <c r="L803" t="n">
        <v>14.5</v>
      </c>
      <c r="M803" t="n">
        <v>5.7</v>
      </c>
      <c r="N803" t="n">
        <v>6.7</v>
      </c>
      <c r="O803" t="n">
        <v>7.6</v>
      </c>
      <c r="P803" t="n">
        <v>4.738881</v>
      </c>
      <c r="R803" t="n">
        <v>12.9</v>
      </c>
      <c r="S803" t="n">
        <v>3.9</v>
      </c>
      <c r="T803" t="n">
        <v>5.2</v>
      </c>
      <c r="U803" t="n">
        <v>5.3</v>
      </c>
      <c r="V803" t="n">
        <v>5.013416</v>
      </c>
      <c r="W803" t="n">
        <v>9.4</v>
      </c>
      <c r="X803" t="n">
        <v>2.7</v>
      </c>
      <c r="Y803" t="n">
        <v>3.2</v>
      </c>
      <c r="Z803" t="n">
        <v>5.1</v>
      </c>
      <c r="AA803" t="n">
        <v>7</v>
      </c>
      <c r="AB803" t="n">
        <v>3.891146</v>
      </c>
      <c r="AC803" t="n">
        <v>2.9</v>
      </c>
      <c r="AE803" t="n">
        <v>5.728198</v>
      </c>
      <c r="AF803" t="n">
        <v>3.4</v>
      </c>
      <c r="AG803" t="n">
        <v>6.4</v>
      </c>
      <c r="AH803" t="n">
        <v>6.3</v>
      </c>
      <c r="AI803" t="n">
        <v>4.8</v>
      </c>
      <c r="AJ803" t="n">
        <v>8.5</v>
      </c>
      <c r="AL803" t="n">
        <v>4.6</v>
      </c>
    </row>
    <row r="804">
      <c r="A804" s="79" t="n">
        <v>44501</v>
      </c>
      <c r="E804" t="n">
        <v>6</v>
      </c>
      <c r="Y804" t="n">
        <v>3.1</v>
      </c>
      <c r="AL804" t="n">
        <v>4.2</v>
      </c>
    </row>
    <row r="805">
      <c r="A805" s="79" t="n">
        <v>44531</v>
      </c>
    </row>
    <row r="806">
      <c r="A806" s="79" t="n">
        <v>44562</v>
      </c>
    </row>
  </sheetData>
  <pageMargins left="0.7" right="0.7" top="0.75" bottom="0.75" header="0.3" footer="0.3"/>
</worksheet>
</file>

<file path=xl/worksheets/sheet10.xml><?xml version="1.0" encoding="utf-8"?>
<worksheet xmlns="http://schemas.openxmlformats.org/spreadsheetml/2006/main">
  <sheetPr codeName="Sheet8">
    <tabColor theme="9" tint="-0.249977111117893"/>
    <outlinePr summaryBelow="1" summaryRight="1"/>
    <pageSetUpPr/>
  </sheetPr>
  <dimension ref="B1:T84"/>
  <sheetViews>
    <sheetView zoomScale="140" zoomScaleNormal="140" workbookViewId="0">
      <pane xSplit="2" ySplit="3" topLeftCell="C66" activePane="bottomRight" state="frozen"/>
      <selection activeCell="AI835" sqref="AI835"/>
      <selection pane="topRight" activeCell="AI835" sqref="AI835"/>
      <selection pane="bottomLeft" activeCell="AI835" sqref="AI835"/>
      <selection pane="bottomRight" activeCell="V86" sqref="V86"/>
    </sheetView>
  </sheetViews>
  <sheetFormatPr baseColWidth="10" defaultColWidth="8.83203125" defaultRowHeight="15"/>
  <cols>
    <col width="9.1640625" customWidth="1" style="64" min="1" max="1"/>
    <col width="13.6640625" customWidth="1" style="49" min="2" max="2"/>
    <col width="6.1640625" customWidth="1" style="49" min="3" max="20"/>
    <col width="6.1640625" customWidth="1" style="64" min="21" max="21"/>
    <col width="9.1640625" customWidth="1" style="64"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4"/>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VLOOKUP(B5,'Data World'!$A:$AL,MATCH(World!$C$1,'Data World'!$A$1:$AL$1,))</f>
        <v/>
      </c>
      <c r="D5" s="13">
        <f>VLOOKUP(B5,'Data World'!$A:$AL,MATCH(World!$D$1,'Data World'!$A$1:$AL$1,))</f>
        <v/>
      </c>
      <c r="E5" s="13">
        <f>VLOOKUP(B5,'Data World'!$A:$AL,MATCH(World!$E$1,'Data World'!$A$1:$AL$1,))</f>
        <v/>
      </c>
      <c r="F5" s="13">
        <f>VLOOKUP(B5,'Data World'!$A:$AL,MATCH(World!$F$1,'Data World'!$A$1:$AL$1,))</f>
        <v/>
      </c>
      <c r="G5" s="13">
        <f>VLOOKUP(B5,'Data World'!$A:$AL,MATCH(World!$G$1,'Data World'!$A$1:$AL$1,))</f>
        <v/>
      </c>
      <c r="H5" s="13">
        <f>VLOOKUP(B5,'Data World'!$A:$AL,MATCH(World!$H$1,'Data World'!$A$1:$AL$1,))</f>
        <v/>
      </c>
      <c r="I5" s="13">
        <f>VLOOKUP(B5,'Data World'!$A:$AL,MATCH(World!$I$1,'Data World'!$A$1:$AL$1,))</f>
        <v/>
      </c>
      <c r="J5" s="13">
        <f>VLOOKUP(B5,'Data World'!$A:$AL,MATCH(World!$J$1,'Data World'!$A$1:$AL$1,))</f>
        <v/>
      </c>
      <c r="K5" s="13">
        <f>VLOOKUP(B5,'Data World'!$A:$AL,MATCH(World!$K$1,'Data World'!$A$1:$AL$1,))</f>
        <v/>
      </c>
      <c r="L5" s="13">
        <f>VLOOKUP(B5,'Data World'!$A:$AL,MATCH(World!$L$1,'Data World'!$A$1:$AL$1,))</f>
        <v/>
      </c>
      <c r="M5" s="13">
        <f>VLOOKUP(B5,'Data World'!$A:$AL,MATCH(World!$M$1,'Data World'!$A$1:$AL$1,))</f>
        <v/>
      </c>
      <c r="N5" s="13">
        <f>VLOOKUP(B5,'Data World'!$A:$AL,MATCH(World!$N$1,'Data World'!$A$1:$AL$1,))</f>
        <v/>
      </c>
      <c r="O5" s="13">
        <f>VLOOKUP(B5,'Data World'!$A:$AL,MATCH(World!$O$1,'Data World'!$A$1:$AL$1,))</f>
        <v/>
      </c>
      <c r="P5" s="13">
        <f>VLOOKUP(B5,'Data World'!$A:$AL,MATCH(World!$P$1,'Data World'!$A$1:$AL$1,))</f>
        <v/>
      </c>
      <c r="Q5" s="13">
        <f>VLOOKUP(B5,'Data World'!$A:$AL,MATCH(World!$Q$1,'Data World'!$A$1:$AL$1,))</f>
        <v/>
      </c>
      <c r="R5" s="13">
        <f>VLOOKUP(B5,'Data World'!$A:$AL,MATCH(World!$R$1,'Data World'!$A$1:$AL$1,))</f>
        <v/>
      </c>
      <c r="S5" s="13">
        <f>VLOOKUP(B5,'Data World'!$A:$AL,MATCH(World!$S$1,'Data World'!$A$1:$AL$1,))</f>
        <v/>
      </c>
      <c r="T5" s="13">
        <f>VLOOKUP(B5,'Data World'!$A:$AL,MATCH(World!$T$1,'Data World'!$A$1:$AL$1,))</f>
        <v/>
      </c>
    </row>
    <row r="6">
      <c r="B6" s="12" t="n">
        <v>42124</v>
      </c>
      <c r="C6" s="13">
        <f>VLOOKUP(B6,'Data World'!$A:$AL,MATCH(World!$C$1,'Data World'!$A$1:$AL$1,))</f>
        <v/>
      </c>
      <c r="D6" s="13">
        <f>VLOOKUP(B6,'Data World'!$A:$AL,MATCH(World!$D$1,'Data World'!$A$1:$AL$1,))</f>
        <v/>
      </c>
      <c r="E6" s="13">
        <f>VLOOKUP(B6,'Data World'!$A:$AL,MATCH(World!$E$1,'Data World'!$A$1:$AL$1,))</f>
        <v/>
      </c>
      <c r="F6" s="13">
        <f>VLOOKUP(B6,'Data World'!$A:$AL,MATCH(World!$F$1,'Data World'!$A$1:$AL$1,))</f>
        <v/>
      </c>
      <c r="G6" s="13">
        <f>VLOOKUP(B6,'Data World'!$A:$AL,MATCH(World!$G$1,'Data World'!$A$1:$AL$1,))</f>
        <v/>
      </c>
      <c r="H6" s="13">
        <f>VLOOKUP(B6,'Data World'!$A:$AL,MATCH(World!$H$1,'Data World'!$A$1:$AL$1,))</f>
        <v/>
      </c>
      <c r="I6" s="13">
        <f>VLOOKUP(B6,'Data World'!$A:$AL,MATCH(World!$I$1,'Data World'!$A$1:$AL$1,))</f>
        <v/>
      </c>
      <c r="J6" s="13">
        <f>VLOOKUP(B6,'Data World'!$A:$AL,MATCH(World!$J$1,'Data World'!$A$1:$AL$1,))</f>
        <v/>
      </c>
      <c r="K6" s="13">
        <f>VLOOKUP(B6,'Data World'!$A:$AL,MATCH(World!$K$1,'Data World'!$A$1:$AL$1,))</f>
        <v/>
      </c>
      <c r="L6" s="13">
        <f>VLOOKUP(B6,'Data World'!$A:$AL,MATCH(World!$L$1,'Data World'!$A$1:$AL$1,))</f>
        <v/>
      </c>
      <c r="M6" s="13">
        <f>VLOOKUP(B6,'Data World'!$A:$AL,MATCH(World!$M$1,'Data World'!$A$1:$AL$1,))</f>
        <v/>
      </c>
      <c r="N6" s="13">
        <f>VLOOKUP(B6,'Data World'!$A:$AL,MATCH(World!$N$1,'Data World'!$A$1:$AL$1,))</f>
        <v/>
      </c>
      <c r="O6" s="13">
        <f>VLOOKUP(B6,'Data World'!$A:$AL,MATCH(World!$O$1,'Data World'!$A$1:$AL$1,))</f>
        <v/>
      </c>
      <c r="P6" s="13">
        <f>VLOOKUP(B6,'Data World'!$A:$AL,MATCH(World!$P$1,'Data World'!$A$1:$AL$1,))</f>
        <v/>
      </c>
      <c r="Q6" s="13">
        <f>VLOOKUP(B6,'Data World'!$A:$AL,MATCH(World!$Q$1,'Data World'!$A$1:$AL$1,))</f>
        <v/>
      </c>
      <c r="R6" s="13">
        <f>VLOOKUP(B6,'Data World'!$A:$AL,MATCH(World!$R$1,'Data World'!$A$1:$AL$1,))</f>
        <v/>
      </c>
      <c r="S6" s="13">
        <f>VLOOKUP(B6,'Data World'!$A:$AL,MATCH(World!$S$1,'Data World'!$A$1:$AL$1,))</f>
        <v/>
      </c>
      <c r="T6" s="13">
        <f>VLOOKUP(B6,'Data World'!$A:$AL,MATCH(World!$T$1,'Data World'!$A$1:$AL$1,))</f>
        <v/>
      </c>
    </row>
    <row r="7">
      <c r="B7" s="12" t="n">
        <v>42155</v>
      </c>
      <c r="C7" s="13">
        <f>VLOOKUP(B7,'Data World'!$A:$AL,MATCH(World!$C$1,'Data World'!$A$1:$AL$1,))</f>
        <v/>
      </c>
      <c r="D7" s="13">
        <f>VLOOKUP(B7,'Data World'!$A:$AL,MATCH(World!$D$1,'Data World'!$A$1:$AL$1,))</f>
        <v/>
      </c>
      <c r="E7" s="13">
        <f>VLOOKUP(B7,'Data World'!$A:$AL,MATCH(World!$E$1,'Data World'!$A$1:$AL$1,))</f>
        <v/>
      </c>
      <c r="F7" s="13">
        <f>VLOOKUP(B7,'Data World'!$A:$AL,MATCH(World!$F$1,'Data World'!$A$1:$AL$1,))</f>
        <v/>
      </c>
      <c r="G7" s="13">
        <f>VLOOKUP(B7,'Data World'!$A:$AL,MATCH(World!$G$1,'Data World'!$A$1:$AL$1,))</f>
        <v/>
      </c>
      <c r="H7" s="13">
        <f>VLOOKUP(B7,'Data World'!$A:$AL,MATCH(World!$H$1,'Data World'!$A$1:$AL$1,))</f>
        <v/>
      </c>
      <c r="I7" s="13">
        <f>VLOOKUP(B7,'Data World'!$A:$AL,MATCH(World!$I$1,'Data World'!$A$1:$AL$1,))</f>
        <v/>
      </c>
      <c r="J7" s="13">
        <f>VLOOKUP(B7,'Data World'!$A:$AL,MATCH(World!$J$1,'Data World'!$A$1:$AL$1,))</f>
        <v/>
      </c>
      <c r="K7" s="13">
        <f>VLOOKUP(B7,'Data World'!$A:$AL,MATCH(World!$K$1,'Data World'!$A$1:$AL$1,))</f>
        <v/>
      </c>
      <c r="L7" s="13">
        <f>VLOOKUP(B7,'Data World'!$A:$AL,MATCH(World!$L$1,'Data World'!$A$1:$AL$1,))</f>
        <v/>
      </c>
      <c r="M7" s="13">
        <f>VLOOKUP(B7,'Data World'!$A:$AL,MATCH(World!$M$1,'Data World'!$A$1:$AL$1,))</f>
        <v/>
      </c>
      <c r="N7" s="13">
        <f>VLOOKUP(B7,'Data World'!$A:$AL,MATCH(World!$N$1,'Data World'!$A$1:$AL$1,))</f>
        <v/>
      </c>
      <c r="O7" s="13">
        <f>VLOOKUP(B7,'Data World'!$A:$AL,MATCH(World!$O$1,'Data World'!$A$1:$AL$1,))</f>
        <v/>
      </c>
      <c r="P7" s="13">
        <f>VLOOKUP(B7,'Data World'!$A:$AL,MATCH(World!$P$1,'Data World'!$A$1:$AL$1,))</f>
        <v/>
      </c>
      <c r="Q7" s="13">
        <f>VLOOKUP(B7,'Data World'!$A:$AL,MATCH(World!$Q$1,'Data World'!$A$1:$AL$1,))</f>
        <v/>
      </c>
      <c r="R7" s="13">
        <f>VLOOKUP(B7,'Data World'!$A:$AL,MATCH(World!$R$1,'Data World'!$A$1:$AL$1,))</f>
        <v/>
      </c>
      <c r="S7" s="13">
        <f>VLOOKUP(B7,'Data World'!$A:$AL,MATCH(World!$S$1,'Data World'!$A$1:$AL$1,))</f>
        <v/>
      </c>
      <c r="T7" s="13">
        <f>VLOOKUP(B7,'Data World'!$A:$AL,MATCH(World!$T$1,'Data World'!$A$1:$AL$1,))</f>
        <v/>
      </c>
    </row>
    <row r="8">
      <c r="B8" s="12" t="n">
        <v>42185</v>
      </c>
      <c r="C8" s="13">
        <f>VLOOKUP(B8,'Data World'!$A:$AL,MATCH(World!$C$1,'Data World'!$A$1:$AL$1,))</f>
        <v/>
      </c>
      <c r="D8" s="13">
        <f>VLOOKUP(B8,'Data World'!$A:$AL,MATCH(World!$D$1,'Data World'!$A$1:$AL$1,))</f>
        <v/>
      </c>
      <c r="E8" s="13">
        <f>VLOOKUP(B8,'Data World'!$A:$AL,MATCH(World!$E$1,'Data World'!$A$1:$AL$1,))</f>
        <v/>
      </c>
      <c r="F8" s="13">
        <f>VLOOKUP(B8,'Data World'!$A:$AL,MATCH(World!$F$1,'Data World'!$A$1:$AL$1,))</f>
        <v/>
      </c>
      <c r="G8" s="13">
        <f>VLOOKUP(B8,'Data World'!$A:$AL,MATCH(World!$G$1,'Data World'!$A$1:$AL$1,))</f>
        <v/>
      </c>
      <c r="H8" s="13">
        <f>VLOOKUP(B8,'Data World'!$A:$AL,MATCH(World!$H$1,'Data World'!$A$1:$AL$1,))</f>
        <v/>
      </c>
      <c r="I8" s="13">
        <f>VLOOKUP(B8,'Data World'!$A:$AL,MATCH(World!$I$1,'Data World'!$A$1:$AL$1,))</f>
        <v/>
      </c>
      <c r="J8" s="13">
        <f>VLOOKUP(B8,'Data World'!$A:$AL,MATCH(World!$J$1,'Data World'!$A$1:$AL$1,))</f>
        <v/>
      </c>
      <c r="K8" s="13">
        <f>VLOOKUP(B8,'Data World'!$A:$AL,MATCH(World!$K$1,'Data World'!$A$1:$AL$1,))</f>
        <v/>
      </c>
      <c r="L8" s="13">
        <f>VLOOKUP(B8,'Data World'!$A:$AL,MATCH(World!$L$1,'Data World'!$A$1:$AL$1,))</f>
        <v/>
      </c>
      <c r="M8" s="13">
        <f>VLOOKUP(B8,'Data World'!$A:$AL,MATCH(World!$M$1,'Data World'!$A$1:$AL$1,))</f>
        <v/>
      </c>
      <c r="N8" s="13">
        <f>VLOOKUP(B8,'Data World'!$A:$AL,MATCH(World!$N$1,'Data World'!$A$1:$AL$1,))</f>
        <v/>
      </c>
      <c r="O8" s="13">
        <f>VLOOKUP(B8,'Data World'!$A:$AL,MATCH(World!$O$1,'Data World'!$A$1:$AL$1,))</f>
        <v/>
      </c>
      <c r="P8" s="13">
        <f>VLOOKUP(B8,'Data World'!$A:$AL,MATCH(World!$P$1,'Data World'!$A$1:$AL$1,))</f>
        <v/>
      </c>
      <c r="Q8" s="13">
        <f>VLOOKUP(B8,'Data World'!$A:$AL,MATCH(World!$Q$1,'Data World'!$A$1:$AL$1,))</f>
        <v/>
      </c>
      <c r="R8" s="13">
        <f>VLOOKUP(B8,'Data World'!$A:$AL,MATCH(World!$R$1,'Data World'!$A$1:$AL$1,))</f>
        <v/>
      </c>
      <c r="S8" s="13">
        <f>VLOOKUP(B8,'Data World'!$A:$AL,MATCH(World!$S$1,'Data World'!$A$1:$AL$1,))</f>
        <v/>
      </c>
      <c r="T8" s="13">
        <f>VLOOKUP(B8,'Data World'!$A:$AL,MATCH(World!$T$1,'Data World'!$A$1:$AL$1,))</f>
        <v/>
      </c>
    </row>
    <row r="9">
      <c r="B9" s="12" t="n">
        <v>42216</v>
      </c>
      <c r="C9" s="13">
        <f>VLOOKUP(B9,'Data World'!$A:$AL,MATCH(World!$C$1,'Data World'!$A$1:$AL$1,))</f>
        <v/>
      </c>
      <c r="D9" s="13">
        <f>VLOOKUP(B9,'Data World'!$A:$AL,MATCH(World!$D$1,'Data World'!$A$1:$AL$1,))</f>
        <v/>
      </c>
      <c r="E9" s="13">
        <f>VLOOKUP(B9,'Data World'!$A:$AL,MATCH(World!$E$1,'Data World'!$A$1:$AL$1,))</f>
        <v/>
      </c>
      <c r="F9" s="13">
        <f>VLOOKUP(B9,'Data World'!$A:$AL,MATCH(World!$F$1,'Data World'!$A$1:$AL$1,))</f>
        <v/>
      </c>
      <c r="G9" s="13">
        <f>VLOOKUP(B9,'Data World'!$A:$AL,MATCH(World!$G$1,'Data World'!$A$1:$AL$1,))</f>
        <v/>
      </c>
      <c r="H9" s="13">
        <f>VLOOKUP(B9,'Data World'!$A:$AL,MATCH(World!$H$1,'Data World'!$A$1:$AL$1,))</f>
        <v/>
      </c>
      <c r="I9" s="13">
        <f>VLOOKUP(B9,'Data World'!$A:$AL,MATCH(World!$I$1,'Data World'!$A$1:$AL$1,))</f>
        <v/>
      </c>
      <c r="J9" s="13">
        <f>VLOOKUP(B9,'Data World'!$A:$AL,MATCH(World!$J$1,'Data World'!$A$1:$AL$1,))</f>
        <v/>
      </c>
      <c r="K9" s="13">
        <f>VLOOKUP(B9,'Data World'!$A:$AL,MATCH(World!$K$1,'Data World'!$A$1:$AL$1,))</f>
        <v/>
      </c>
      <c r="L9" s="13">
        <f>VLOOKUP(B9,'Data World'!$A:$AL,MATCH(World!$L$1,'Data World'!$A$1:$AL$1,))</f>
        <v/>
      </c>
      <c r="M9" s="13">
        <f>VLOOKUP(B9,'Data World'!$A:$AL,MATCH(World!$M$1,'Data World'!$A$1:$AL$1,))</f>
        <v/>
      </c>
      <c r="N9" s="13">
        <f>VLOOKUP(B9,'Data World'!$A:$AL,MATCH(World!$N$1,'Data World'!$A$1:$AL$1,))</f>
        <v/>
      </c>
      <c r="O9" s="13">
        <f>VLOOKUP(B9,'Data World'!$A:$AL,MATCH(World!$O$1,'Data World'!$A$1:$AL$1,))</f>
        <v/>
      </c>
      <c r="P9" s="13">
        <f>VLOOKUP(B9,'Data World'!$A:$AL,MATCH(World!$P$1,'Data World'!$A$1:$AL$1,))</f>
        <v/>
      </c>
      <c r="Q9" s="13">
        <f>VLOOKUP(B9,'Data World'!$A:$AL,MATCH(World!$Q$1,'Data World'!$A$1:$AL$1,))</f>
        <v/>
      </c>
      <c r="R9" s="13">
        <f>VLOOKUP(B9,'Data World'!$A:$AL,MATCH(World!$R$1,'Data World'!$A$1:$AL$1,))</f>
        <v/>
      </c>
      <c r="S9" s="13">
        <f>VLOOKUP(B9,'Data World'!$A:$AL,MATCH(World!$S$1,'Data World'!$A$1:$AL$1,))</f>
        <v/>
      </c>
      <c r="T9" s="13">
        <f>VLOOKUP(B9,'Data World'!$A:$AL,MATCH(World!$T$1,'Data World'!$A$1:$AL$1,))</f>
        <v/>
      </c>
    </row>
    <row r="10">
      <c r="B10" s="12" t="n">
        <v>42247</v>
      </c>
      <c r="C10" s="13">
        <f>VLOOKUP(B10,'Data World'!$A:$AL,MATCH(World!$C$1,'Data World'!$A$1:$AL$1,))</f>
        <v/>
      </c>
      <c r="D10" s="13">
        <f>VLOOKUP(B10,'Data World'!$A:$AL,MATCH(World!$D$1,'Data World'!$A$1:$AL$1,))</f>
        <v/>
      </c>
      <c r="E10" s="13">
        <f>VLOOKUP(B10,'Data World'!$A:$AL,MATCH(World!$E$1,'Data World'!$A$1:$AL$1,))</f>
        <v/>
      </c>
      <c r="F10" s="13">
        <f>VLOOKUP(B10,'Data World'!$A:$AL,MATCH(World!$F$1,'Data World'!$A$1:$AL$1,))</f>
        <v/>
      </c>
      <c r="G10" s="13">
        <f>VLOOKUP(B10,'Data World'!$A:$AL,MATCH(World!$G$1,'Data World'!$A$1:$AL$1,))</f>
        <v/>
      </c>
      <c r="H10" s="13">
        <f>VLOOKUP(B10,'Data World'!$A:$AL,MATCH(World!$H$1,'Data World'!$A$1:$AL$1,))</f>
        <v/>
      </c>
      <c r="I10" s="13">
        <f>VLOOKUP(B10,'Data World'!$A:$AL,MATCH(World!$I$1,'Data World'!$A$1:$AL$1,))</f>
        <v/>
      </c>
      <c r="J10" s="13">
        <f>VLOOKUP(B10,'Data World'!$A:$AL,MATCH(World!$J$1,'Data World'!$A$1:$AL$1,))</f>
        <v/>
      </c>
      <c r="K10" s="13">
        <f>VLOOKUP(B10,'Data World'!$A:$AL,MATCH(World!$K$1,'Data World'!$A$1:$AL$1,))</f>
        <v/>
      </c>
      <c r="L10" s="13">
        <f>VLOOKUP(B10,'Data World'!$A:$AL,MATCH(World!$L$1,'Data World'!$A$1:$AL$1,))</f>
        <v/>
      </c>
      <c r="M10" s="13">
        <f>VLOOKUP(B10,'Data World'!$A:$AL,MATCH(World!$M$1,'Data World'!$A$1:$AL$1,))</f>
        <v/>
      </c>
      <c r="N10" s="13">
        <f>VLOOKUP(B10,'Data World'!$A:$AL,MATCH(World!$N$1,'Data World'!$A$1:$AL$1,))</f>
        <v/>
      </c>
      <c r="O10" s="13">
        <f>VLOOKUP(B10,'Data World'!$A:$AL,MATCH(World!$O$1,'Data World'!$A$1:$AL$1,))</f>
        <v/>
      </c>
      <c r="P10" s="13">
        <f>VLOOKUP(B10,'Data World'!$A:$AL,MATCH(World!$P$1,'Data World'!$A$1:$AL$1,))</f>
        <v/>
      </c>
      <c r="Q10" s="13">
        <f>VLOOKUP(B10,'Data World'!$A:$AL,MATCH(World!$Q$1,'Data World'!$A$1:$AL$1,))</f>
        <v/>
      </c>
      <c r="R10" s="13">
        <f>VLOOKUP(B10,'Data World'!$A:$AL,MATCH(World!$R$1,'Data World'!$A$1:$AL$1,))</f>
        <v/>
      </c>
      <c r="S10" s="13">
        <f>VLOOKUP(B10,'Data World'!$A:$AL,MATCH(World!$S$1,'Data World'!$A$1:$AL$1,))</f>
        <v/>
      </c>
      <c r="T10" s="13">
        <f>VLOOKUP(B10,'Data World'!$A:$AL,MATCH(World!$T$1,'Data World'!$A$1:$AL$1,))</f>
        <v/>
      </c>
    </row>
    <row r="11">
      <c r="B11" s="12" t="n">
        <v>42277</v>
      </c>
      <c r="C11" s="13">
        <f>VLOOKUP(B11,'Data World'!$A:$AL,MATCH(World!$C$1,'Data World'!$A$1:$AL$1,))</f>
        <v/>
      </c>
      <c r="D11" s="13">
        <f>VLOOKUP(B11,'Data World'!$A:$AL,MATCH(World!$D$1,'Data World'!$A$1:$AL$1,))</f>
        <v/>
      </c>
      <c r="E11" s="13">
        <f>VLOOKUP(B11,'Data World'!$A:$AL,MATCH(World!$E$1,'Data World'!$A$1:$AL$1,))</f>
        <v/>
      </c>
      <c r="F11" s="13">
        <f>VLOOKUP(B11,'Data World'!$A:$AL,MATCH(World!$F$1,'Data World'!$A$1:$AL$1,))</f>
        <v/>
      </c>
      <c r="G11" s="13">
        <f>VLOOKUP(B11,'Data World'!$A:$AL,MATCH(World!$G$1,'Data World'!$A$1:$AL$1,))</f>
        <v/>
      </c>
      <c r="H11" s="13">
        <f>VLOOKUP(B11,'Data World'!$A:$AL,MATCH(World!$H$1,'Data World'!$A$1:$AL$1,))</f>
        <v/>
      </c>
      <c r="I11" s="13">
        <f>VLOOKUP(B11,'Data World'!$A:$AL,MATCH(World!$I$1,'Data World'!$A$1:$AL$1,))</f>
        <v/>
      </c>
      <c r="J11" s="13">
        <f>VLOOKUP(B11,'Data World'!$A:$AL,MATCH(World!$J$1,'Data World'!$A$1:$AL$1,))</f>
        <v/>
      </c>
      <c r="K11" s="13">
        <f>VLOOKUP(B11,'Data World'!$A:$AL,MATCH(World!$K$1,'Data World'!$A$1:$AL$1,))</f>
        <v/>
      </c>
      <c r="L11" s="13">
        <f>VLOOKUP(B11,'Data World'!$A:$AL,MATCH(World!$L$1,'Data World'!$A$1:$AL$1,))</f>
        <v/>
      </c>
      <c r="M11" s="13">
        <f>VLOOKUP(B11,'Data World'!$A:$AL,MATCH(World!$M$1,'Data World'!$A$1:$AL$1,))</f>
        <v/>
      </c>
      <c r="N11" s="13">
        <f>VLOOKUP(B11,'Data World'!$A:$AL,MATCH(World!$N$1,'Data World'!$A$1:$AL$1,))</f>
        <v/>
      </c>
      <c r="O11" s="13">
        <f>VLOOKUP(B11,'Data World'!$A:$AL,MATCH(World!$O$1,'Data World'!$A$1:$AL$1,))</f>
        <v/>
      </c>
      <c r="P11" s="13">
        <f>VLOOKUP(B11,'Data World'!$A:$AL,MATCH(World!$P$1,'Data World'!$A$1:$AL$1,))</f>
        <v/>
      </c>
      <c r="Q11" s="13">
        <f>VLOOKUP(B11,'Data World'!$A:$AL,MATCH(World!$Q$1,'Data World'!$A$1:$AL$1,))</f>
        <v/>
      </c>
      <c r="R11" s="13">
        <f>VLOOKUP(B11,'Data World'!$A:$AL,MATCH(World!$R$1,'Data World'!$A$1:$AL$1,))</f>
        <v/>
      </c>
      <c r="S11" s="13">
        <f>VLOOKUP(B11,'Data World'!$A:$AL,MATCH(World!$S$1,'Data World'!$A$1:$AL$1,))</f>
        <v/>
      </c>
      <c r="T11" s="13">
        <f>VLOOKUP(B11,'Data World'!$A:$AL,MATCH(World!$T$1,'Data World'!$A$1:$AL$1,))</f>
        <v/>
      </c>
    </row>
    <row r="12">
      <c r="B12" s="12" t="n">
        <v>42308</v>
      </c>
      <c r="C12" s="13">
        <f>VLOOKUP(B12,'Data World'!$A:$AL,MATCH(World!$C$1,'Data World'!$A$1:$AL$1,))</f>
        <v/>
      </c>
      <c r="D12" s="13">
        <f>VLOOKUP(B12,'Data World'!$A:$AL,MATCH(World!$D$1,'Data World'!$A$1:$AL$1,))</f>
        <v/>
      </c>
      <c r="E12" s="13">
        <f>VLOOKUP(B12,'Data World'!$A:$AL,MATCH(World!$E$1,'Data World'!$A$1:$AL$1,))</f>
        <v/>
      </c>
      <c r="F12" s="13">
        <f>VLOOKUP(B12,'Data World'!$A:$AL,MATCH(World!$F$1,'Data World'!$A$1:$AL$1,))</f>
        <v/>
      </c>
      <c r="G12" s="13">
        <f>VLOOKUP(B12,'Data World'!$A:$AL,MATCH(World!$G$1,'Data World'!$A$1:$AL$1,))</f>
        <v/>
      </c>
      <c r="H12" s="13">
        <f>VLOOKUP(B12,'Data World'!$A:$AL,MATCH(World!$H$1,'Data World'!$A$1:$AL$1,))</f>
        <v/>
      </c>
      <c r="I12" s="13">
        <f>VLOOKUP(B12,'Data World'!$A:$AL,MATCH(World!$I$1,'Data World'!$A$1:$AL$1,))</f>
        <v/>
      </c>
      <c r="J12" s="13">
        <f>VLOOKUP(B12,'Data World'!$A:$AL,MATCH(World!$J$1,'Data World'!$A$1:$AL$1,))</f>
        <v/>
      </c>
      <c r="K12" s="13">
        <f>VLOOKUP(B12,'Data World'!$A:$AL,MATCH(World!$K$1,'Data World'!$A$1:$AL$1,))</f>
        <v/>
      </c>
      <c r="L12" s="13">
        <f>VLOOKUP(B12,'Data World'!$A:$AL,MATCH(World!$L$1,'Data World'!$A$1:$AL$1,))</f>
        <v/>
      </c>
      <c r="M12" s="13">
        <f>VLOOKUP(B12,'Data World'!$A:$AL,MATCH(World!$M$1,'Data World'!$A$1:$AL$1,))</f>
        <v/>
      </c>
      <c r="N12" s="13">
        <f>VLOOKUP(B12,'Data World'!$A:$AL,MATCH(World!$N$1,'Data World'!$A$1:$AL$1,))</f>
        <v/>
      </c>
      <c r="O12" s="13">
        <f>VLOOKUP(B12,'Data World'!$A:$AL,MATCH(World!$O$1,'Data World'!$A$1:$AL$1,))</f>
        <v/>
      </c>
      <c r="P12" s="13">
        <f>VLOOKUP(B12,'Data World'!$A:$AL,MATCH(World!$P$1,'Data World'!$A$1:$AL$1,))</f>
        <v/>
      </c>
      <c r="Q12" s="13">
        <f>VLOOKUP(B12,'Data World'!$A:$AL,MATCH(World!$Q$1,'Data World'!$A$1:$AL$1,))</f>
        <v/>
      </c>
      <c r="R12" s="13">
        <f>VLOOKUP(B12,'Data World'!$A:$AL,MATCH(World!$R$1,'Data World'!$A$1:$AL$1,))</f>
        <v/>
      </c>
      <c r="S12" s="13">
        <f>VLOOKUP(B12,'Data World'!$A:$AL,MATCH(World!$S$1,'Data World'!$A$1:$AL$1,))</f>
        <v/>
      </c>
      <c r="T12" s="13">
        <f>VLOOKUP(B12,'Data World'!$A:$AL,MATCH(World!$T$1,'Data World'!$A$1:$AL$1,))</f>
        <v/>
      </c>
    </row>
    <row r="13">
      <c r="B13" s="12" t="n">
        <v>42338</v>
      </c>
      <c r="C13" s="13">
        <f>VLOOKUP(B13,'Data World'!$A:$AL,MATCH(World!$C$1,'Data World'!$A$1:$AL$1,))</f>
        <v/>
      </c>
      <c r="D13" s="13">
        <f>VLOOKUP(B13,'Data World'!$A:$AL,MATCH(World!$D$1,'Data World'!$A$1:$AL$1,))</f>
        <v/>
      </c>
      <c r="E13" s="13">
        <f>VLOOKUP(B13,'Data World'!$A:$AL,MATCH(World!$E$1,'Data World'!$A$1:$AL$1,))</f>
        <v/>
      </c>
      <c r="F13" s="13">
        <f>VLOOKUP(B13,'Data World'!$A:$AL,MATCH(World!$F$1,'Data World'!$A$1:$AL$1,))</f>
        <v/>
      </c>
      <c r="G13" s="13">
        <f>VLOOKUP(B13,'Data World'!$A:$AL,MATCH(World!$G$1,'Data World'!$A$1:$AL$1,))</f>
        <v/>
      </c>
      <c r="H13" s="13">
        <f>VLOOKUP(B13,'Data World'!$A:$AL,MATCH(World!$H$1,'Data World'!$A$1:$AL$1,))</f>
        <v/>
      </c>
      <c r="I13" s="13">
        <f>VLOOKUP(B13,'Data World'!$A:$AL,MATCH(World!$I$1,'Data World'!$A$1:$AL$1,))</f>
        <v/>
      </c>
      <c r="J13" s="13">
        <f>VLOOKUP(B13,'Data World'!$A:$AL,MATCH(World!$J$1,'Data World'!$A$1:$AL$1,))</f>
        <v/>
      </c>
      <c r="K13" s="13">
        <f>VLOOKUP(B13,'Data World'!$A:$AL,MATCH(World!$K$1,'Data World'!$A$1:$AL$1,))</f>
        <v/>
      </c>
      <c r="L13" s="13">
        <f>VLOOKUP(B13,'Data World'!$A:$AL,MATCH(World!$L$1,'Data World'!$A$1:$AL$1,))</f>
        <v/>
      </c>
      <c r="M13" s="13">
        <f>VLOOKUP(B13,'Data World'!$A:$AL,MATCH(World!$M$1,'Data World'!$A$1:$AL$1,))</f>
        <v/>
      </c>
      <c r="N13" s="13">
        <f>VLOOKUP(B13,'Data World'!$A:$AL,MATCH(World!$N$1,'Data World'!$A$1:$AL$1,))</f>
        <v/>
      </c>
      <c r="O13" s="13">
        <f>VLOOKUP(B13,'Data World'!$A:$AL,MATCH(World!$O$1,'Data World'!$A$1:$AL$1,))</f>
        <v/>
      </c>
      <c r="P13" s="13">
        <f>VLOOKUP(B13,'Data World'!$A:$AL,MATCH(World!$P$1,'Data World'!$A$1:$AL$1,))</f>
        <v/>
      </c>
      <c r="Q13" s="13">
        <f>VLOOKUP(B13,'Data World'!$A:$AL,MATCH(World!$Q$1,'Data World'!$A$1:$AL$1,))</f>
        <v/>
      </c>
      <c r="R13" s="13">
        <f>VLOOKUP(B13,'Data World'!$A:$AL,MATCH(World!$R$1,'Data World'!$A$1:$AL$1,))</f>
        <v/>
      </c>
      <c r="S13" s="13">
        <f>VLOOKUP(B13,'Data World'!$A:$AL,MATCH(World!$S$1,'Data World'!$A$1:$AL$1,))</f>
        <v/>
      </c>
      <c r="T13" s="13">
        <f>VLOOKUP(B13,'Data World'!$A:$AL,MATCH(World!$T$1,'Data World'!$A$1:$AL$1,))</f>
        <v/>
      </c>
    </row>
    <row r="14">
      <c r="B14" s="12" t="n">
        <v>42369</v>
      </c>
      <c r="C14" s="13">
        <f>VLOOKUP(B14,'Data World'!$A:$AL,MATCH(World!$C$1,'Data World'!$A$1:$AL$1,))</f>
        <v/>
      </c>
      <c r="D14" s="13">
        <f>VLOOKUP(B14,'Data World'!$A:$AL,MATCH(World!$D$1,'Data World'!$A$1:$AL$1,))</f>
        <v/>
      </c>
      <c r="E14" s="13">
        <f>VLOOKUP(B14,'Data World'!$A:$AL,MATCH(World!$E$1,'Data World'!$A$1:$AL$1,))</f>
        <v/>
      </c>
      <c r="F14" s="13">
        <f>VLOOKUP(B14,'Data World'!$A:$AL,MATCH(World!$F$1,'Data World'!$A$1:$AL$1,))</f>
        <v/>
      </c>
      <c r="G14" s="13">
        <f>VLOOKUP(B14,'Data World'!$A:$AL,MATCH(World!$G$1,'Data World'!$A$1:$AL$1,))</f>
        <v/>
      </c>
      <c r="H14" s="13">
        <f>VLOOKUP(B14,'Data World'!$A:$AL,MATCH(World!$H$1,'Data World'!$A$1:$AL$1,))</f>
        <v/>
      </c>
      <c r="I14" s="13">
        <f>VLOOKUP(B14,'Data World'!$A:$AL,MATCH(World!$I$1,'Data World'!$A$1:$AL$1,))</f>
        <v/>
      </c>
      <c r="J14" s="13">
        <f>VLOOKUP(B14,'Data World'!$A:$AL,MATCH(World!$J$1,'Data World'!$A$1:$AL$1,))</f>
        <v/>
      </c>
      <c r="K14" s="13">
        <f>VLOOKUP(B14,'Data World'!$A:$AL,MATCH(World!$K$1,'Data World'!$A$1:$AL$1,))</f>
        <v/>
      </c>
      <c r="L14" s="13">
        <f>VLOOKUP(B14,'Data World'!$A:$AL,MATCH(World!$L$1,'Data World'!$A$1:$AL$1,))</f>
        <v/>
      </c>
      <c r="M14" s="13">
        <f>VLOOKUP(B14,'Data World'!$A:$AL,MATCH(World!$M$1,'Data World'!$A$1:$AL$1,))</f>
        <v/>
      </c>
      <c r="N14" s="13">
        <f>VLOOKUP(B14,'Data World'!$A:$AL,MATCH(World!$N$1,'Data World'!$A$1:$AL$1,))</f>
        <v/>
      </c>
      <c r="O14" s="13">
        <f>VLOOKUP(B14,'Data World'!$A:$AL,MATCH(World!$O$1,'Data World'!$A$1:$AL$1,))</f>
        <v/>
      </c>
      <c r="P14" s="13">
        <f>VLOOKUP(B14,'Data World'!$A:$AL,MATCH(World!$P$1,'Data World'!$A$1:$AL$1,))</f>
        <v/>
      </c>
      <c r="Q14" s="13">
        <f>VLOOKUP(B14,'Data World'!$A:$AL,MATCH(World!$Q$1,'Data World'!$A$1:$AL$1,))</f>
        <v/>
      </c>
      <c r="R14" s="13">
        <f>VLOOKUP(B14,'Data World'!$A:$AL,MATCH(World!$R$1,'Data World'!$A$1:$AL$1,))</f>
        <v/>
      </c>
      <c r="S14" s="13">
        <f>VLOOKUP(B14,'Data World'!$A:$AL,MATCH(World!$S$1,'Data World'!$A$1:$AL$1,))</f>
        <v/>
      </c>
      <c r="T14" s="13">
        <f>VLOOKUP(B14,'Data World'!$A:$AL,MATCH(World!$T$1,'Data World'!$A$1:$AL$1,))</f>
        <v/>
      </c>
    </row>
    <row r="15">
      <c r="B15" s="12" t="n">
        <v>42400</v>
      </c>
      <c r="C15" s="13">
        <f>VLOOKUP(B15,'Data World'!$A:$AL,MATCH(World!$C$1,'Data World'!$A$1:$AL$1,))</f>
        <v/>
      </c>
      <c r="D15" s="13">
        <f>VLOOKUP(B15,'Data World'!$A:$AL,MATCH(World!$D$1,'Data World'!$A$1:$AL$1,))</f>
        <v/>
      </c>
      <c r="E15" s="13">
        <f>VLOOKUP(B15,'Data World'!$A:$AL,MATCH(World!$E$1,'Data World'!$A$1:$AL$1,))</f>
        <v/>
      </c>
      <c r="F15" s="13">
        <f>VLOOKUP(B15,'Data World'!$A:$AL,MATCH(World!$F$1,'Data World'!$A$1:$AL$1,))</f>
        <v/>
      </c>
      <c r="G15" s="13">
        <f>VLOOKUP(B15,'Data World'!$A:$AL,MATCH(World!$G$1,'Data World'!$A$1:$AL$1,))</f>
        <v/>
      </c>
      <c r="H15" s="13">
        <f>VLOOKUP(B15,'Data World'!$A:$AL,MATCH(World!$H$1,'Data World'!$A$1:$AL$1,))</f>
        <v/>
      </c>
      <c r="I15" s="13">
        <f>VLOOKUP(B15,'Data World'!$A:$AL,MATCH(World!$I$1,'Data World'!$A$1:$AL$1,))</f>
        <v/>
      </c>
      <c r="J15" s="13">
        <f>VLOOKUP(B15,'Data World'!$A:$AL,MATCH(World!$J$1,'Data World'!$A$1:$AL$1,))</f>
        <v/>
      </c>
      <c r="K15" s="13">
        <f>VLOOKUP(B15,'Data World'!$A:$AL,MATCH(World!$K$1,'Data World'!$A$1:$AL$1,))</f>
        <v/>
      </c>
      <c r="L15" s="13">
        <f>VLOOKUP(B15,'Data World'!$A:$AL,MATCH(World!$L$1,'Data World'!$A$1:$AL$1,))</f>
        <v/>
      </c>
      <c r="M15" s="13">
        <f>VLOOKUP(B15,'Data World'!$A:$AL,MATCH(World!$M$1,'Data World'!$A$1:$AL$1,))</f>
        <v/>
      </c>
      <c r="N15" s="13">
        <f>VLOOKUP(B15,'Data World'!$A:$AL,MATCH(World!$N$1,'Data World'!$A$1:$AL$1,))</f>
        <v/>
      </c>
      <c r="O15" s="13">
        <f>VLOOKUP(B15,'Data World'!$A:$AL,MATCH(World!$O$1,'Data World'!$A$1:$AL$1,))</f>
        <v/>
      </c>
      <c r="P15" s="13">
        <f>VLOOKUP(B15,'Data World'!$A:$AL,MATCH(World!$P$1,'Data World'!$A$1:$AL$1,))</f>
        <v/>
      </c>
      <c r="Q15" s="13">
        <f>VLOOKUP(B15,'Data World'!$A:$AL,MATCH(World!$Q$1,'Data World'!$A$1:$AL$1,))</f>
        <v/>
      </c>
      <c r="R15" s="13">
        <f>VLOOKUP(B15,'Data World'!$A:$AL,MATCH(World!$R$1,'Data World'!$A$1:$AL$1,))</f>
        <v/>
      </c>
      <c r="S15" s="13">
        <f>VLOOKUP(B15,'Data World'!$A:$AL,MATCH(World!$S$1,'Data World'!$A$1:$AL$1,))</f>
        <v/>
      </c>
      <c r="T15" s="13">
        <f>VLOOKUP(B15,'Data World'!$A:$AL,MATCH(World!$T$1,'Data World'!$A$1:$AL$1,))</f>
        <v/>
      </c>
    </row>
    <row r="16">
      <c r="B16" s="12" t="n">
        <v>42429</v>
      </c>
      <c r="C16" s="13">
        <f>VLOOKUP(B16,'Data World'!$A:$AL,MATCH(World!$C$1,'Data World'!$A$1:$AL$1,))</f>
        <v/>
      </c>
      <c r="D16" s="13">
        <f>VLOOKUP(B16,'Data World'!$A:$AL,MATCH(World!$D$1,'Data World'!$A$1:$AL$1,))</f>
        <v/>
      </c>
      <c r="E16" s="13">
        <f>VLOOKUP(B16,'Data World'!$A:$AL,MATCH(World!$E$1,'Data World'!$A$1:$AL$1,))</f>
        <v/>
      </c>
      <c r="F16" s="13">
        <f>VLOOKUP(B16,'Data World'!$A:$AL,MATCH(World!$F$1,'Data World'!$A$1:$AL$1,))</f>
        <v/>
      </c>
      <c r="G16" s="13">
        <f>VLOOKUP(B16,'Data World'!$A:$AL,MATCH(World!$G$1,'Data World'!$A$1:$AL$1,))</f>
        <v/>
      </c>
      <c r="H16" s="13">
        <f>VLOOKUP(B16,'Data World'!$A:$AL,MATCH(World!$H$1,'Data World'!$A$1:$AL$1,))</f>
        <v/>
      </c>
      <c r="I16" s="13">
        <f>VLOOKUP(B16,'Data World'!$A:$AL,MATCH(World!$I$1,'Data World'!$A$1:$AL$1,))</f>
        <v/>
      </c>
      <c r="J16" s="13">
        <f>VLOOKUP(B16,'Data World'!$A:$AL,MATCH(World!$J$1,'Data World'!$A$1:$AL$1,))</f>
        <v/>
      </c>
      <c r="K16" s="13">
        <f>VLOOKUP(B16,'Data World'!$A:$AL,MATCH(World!$K$1,'Data World'!$A$1:$AL$1,))</f>
        <v/>
      </c>
      <c r="L16" s="13">
        <f>VLOOKUP(B16,'Data World'!$A:$AL,MATCH(World!$L$1,'Data World'!$A$1:$AL$1,))</f>
        <v/>
      </c>
      <c r="M16" s="13">
        <f>VLOOKUP(B16,'Data World'!$A:$AL,MATCH(World!$M$1,'Data World'!$A$1:$AL$1,))</f>
        <v/>
      </c>
      <c r="N16" s="13">
        <f>VLOOKUP(B16,'Data World'!$A:$AL,MATCH(World!$N$1,'Data World'!$A$1:$AL$1,))</f>
        <v/>
      </c>
      <c r="O16" s="13">
        <f>VLOOKUP(B16,'Data World'!$A:$AL,MATCH(World!$O$1,'Data World'!$A$1:$AL$1,))</f>
        <v/>
      </c>
      <c r="P16" s="13">
        <f>VLOOKUP(B16,'Data World'!$A:$AL,MATCH(World!$P$1,'Data World'!$A$1:$AL$1,))</f>
        <v/>
      </c>
      <c r="Q16" s="13">
        <f>VLOOKUP(B16,'Data World'!$A:$AL,MATCH(World!$Q$1,'Data World'!$A$1:$AL$1,))</f>
        <v/>
      </c>
      <c r="R16" s="13">
        <f>VLOOKUP(B16,'Data World'!$A:$AL,MATCH(World!$R$1,'Data World'!$A$1:$AL$1,))</f>
        <v/>
      </c>
      <c r="S16" s="13">
        <f>VLOOKUP(B16,'Data World'!$A:$AL,MATCH(World!$S$1,'Data World'!$A$1:$AL$1,))</f>
        <v/>
      </c>
      <c r="T16" s="13">
        <f>VLOOKUP(B16,'Data World'!$A:$AL,MATCH(World!$T$1,'Data World'!$A$1:$AL$1,))</f>
        <v/>
      </c>
    </row>
    <row r="17">
      <c r="B17" s="12" t="n">
        <v>42460</v>
      </c>
      <c r="C17" s="13">
        <f>VLOOKUP(B17,'Data World'!$A:$AL,MATCH(World!$C$1,'Data World'!$A$1:$AL$1,))</f>
        <v/>
      </c>
      <c r="D17" s="13">
        <f>VLOOKUP(B17,'Data World'!$A:$AL,MATCH(World!$D$1,'Data World'!$A$1:$AL$1,))</f>
        <v/>
      </c>
      <c r="E17" s="13">
        <f>VLOOKUP(B17,'Data World'!$A:$AL,MATCH(World!$E$1,'Data World'!$A$1:$AL$1,))</f>
        <v/>
      </c>
      <c r="F17" s="13">
        <f>VLOOKUP(B17,'Data World'!$A:$AL,MATCH(World!$F$1,'Data World'!$A$1:$AL$1,))</f>
        <v/>
      </c>
      <c r="G17" s="13">
        <f>VLOOKUP(B17,'Data World'!$A:$AL,MATCH(World!$G$1,'Data World'!$A$1:$AL$1,))</f>
        <v/>
      </c>
      <c r="H17" s="13">
        <f>VLOOKUP(B17,'Data World'!$A:$AL,MATCH(World!$H$1,'Data World'!$A$1:$AL$1,))</f>
        <v/>
      </c>
      <c r="I17" s="13">
        <f>VLOOKUP(B17,'Data World'!$A:$AL,MATCH(World!$I$1,'Data World'!$A$1:$AL$1,))</f>
        <v/>
      </c>
      <c r="J17" s="13">
        <f>VLOOKUP(B17,'Data World'!$A:$AL,MATCH(World!$J$1,'Data World'!$A$1:$AL$1,))</f>
        <v/>
      </c>
      <c r="K17" s="13">
        <f>VLOOKUP(B17,'Data World'!$A:$AL,MATCH(World!$K$1,'Data World'!$A$1:$AL$1,))</f>
        <v/>
      </c>
      <c r="L17" s="13">
        <f>VLOOKUP(B17,'Data World'!$A:$AL,MATCH(World!$L$1,'Data World'!$A$1:$AL$1,))</f>
        <v/>
      </c>
      <c r="M17" s="13">
        <f>VLOOKUP(B17,'Data World'!$A:$AL,MATCH(World!$M$1,'Data World'!$A$1:$AL$1,))</f>
        <v/>
      </c>
      <c r="N17" s="13">
        <f>VLOOKUP(B17,'Data World'!$A:$AL,MATCH(World!$N$1,'Data World'!$A$1:$AL$1,))</f>
        <v/>
      </c>
      <c r="O17" s="13">
        <f>VLOOKUP(B17,'Data World'!$A:$AL,MATCH(World!$O$1,'Data World'!$A$1:$AL$1,))</f>
        <v/>
      </c>
      <c r="P17" s="13">
        <f>VLOOKUP(B17,'Data World'!$A:$AL,MATCH(World!$P$1,'Data World'!$A$1:$AL$1,))</f>
        <v/>
      </c>
      <c r="Q17" s="13">
        <f>VLOOKUP(B17,'Data World'!$A:$AL,MATCH(World!$Q$1,'Data World'!$A$1:$AL$1,))</f>
        <v/>
      </c>
      <c r="R17" s="13">
        <f>VLOOKUP(B17,'Data World'!$A:$AL,MATCH(World!$R$1,'Data World'!$A$1:$AL$1,))</f>
        <v/>
      </c>
      <c r="S17" s="13">
        <f>VLOOKUP(B17,'Data World'!$A:$AL,MATCH(World!$S$1,'Data World'!$A$1:$AL$1,))</f>
        <v/>
      </c>
      <c r="T17" s="13">
        <f>VLOOKUP(B17,'Data World'!$A:$AL,MATCH(World!$T$1,'Data World'!$A$1:$AL$1,))</f>
        <v/>
      </c>
    </row>
    <row r="18">
      <c r="B18" s="12" t="n">
        <v>42490</v>
      </c>
      <c r="C18" s="13">
        <f>VLOOKUP(B18,'Data World'!$A:$AL,MATCH(World!$C$1,'Data World'!$A$1:$AL$1,))</f>
        <v/>
      </c>
      <c r="D18" s="13">
        <f>VLOOKUP(B18,'Data World'!$A:$AL,MATCH(World!$D$1,'Data World'!$A$1:$AL$1,))</f>
        <v/>
      </c>
      <c r="E18" s="13">
        <f>VLOOKUP(B18,'Data World'!$A:$AL,MATCH(World!$E$1,'Data World'!$A$1:$AL$1,))</f>
        <v/>
      </c>
      <c r="F18" s="13">
        <f>VLOOKUP(B18,'Data World'!$A:$AL,MATCH(World!$F$1,'Data World'!$A$1:$AL$1,))</f>
        <v/>
      </c>
      <c r="G18" s="13">
        <f>VLOOKUP(B18,'Data World'!$A:$AL,MATCH(World!$G$1,'Data World'!$A$1:$AL$1,))</f>
        <v/>
      </c>
      <c r="H18" s="13">
        <f>VLOOKUP(B18,'Data World'!$A:$AL,MATCH(World!$H$1,'Data World'!$A$1:$AL$1,))</f>
        <v/>
      </c>
      <c r="I18" s="13">
        <f>VLOOKUP(B18,'Data World'!$A:$AL,MATCH(World!$I$1,'Data World'!$A$1:$AL$1,))</f>
        <v/>
      </c>
      <c r="J18" s="13">
        <f>VLOOKUP(B18,'Data World'!$A:$AL,MATCH(World!$J$1,'Data World'!$A$1:$AL$1,))</f>
        <v/>
      </c>
      <c r="K18" s="13">
        <f>VLOOKUP(B18,'Data World'!$A:$AL,MATCH(World!$K$1,'Data World'!$A$1:$AL$1,))</f>
        <v/>
      </c>
      <c r="L18" s="13">
        <f>VLOOKUP(B18,'Data World'!$A:$AL,MATCH(World!$L$1,'Data World'!$A$1:$AL$1,))</f>
        <v/>
      </c>
      <c r="M18" s="13">
        <f>VLOOKUP(B18,'Data World'!$A:$AL,MATCH(World!$M$1,'Data World'!$A$1:$AL$1,))</f>
        <v/>
      </c>
      <c r="N18" s="13">
        <f>VLOOKUP(B18,'Data World'!$A:$AL,MATCH(World!$N$1,'Data World'!$A$1:$AL$1,))</f>
        <v/>
      </c>
      <c r="O18" s="13">
        <f>VLOOKUP(B18,'Data World'!$A:$AL,MATCH(World!$O$1,'Data World'!$A$1:$AL$1,))</f>
        <v/>
      </c>
      <c r="P18" s="13">
        <f>VLOOKUP(B18,'Data World'!$A:$AL,MATCH(World!$P$1,'Data World'!$A$1:$AL$1,))</f>
        <v/>
      </c>
      <c r="Q18" s="13">
        <f>VLOOKUP(B18,'Data World'!$A:$AL,MATCH(World!$Q$1,'Data World'!$A$1:$AL$1,))</f>
        <v/>
      </c>
      <c r="R18" s="13">
        <f>VLOOKUP(B18,'Data World'!$A:$AL,MATCH(World!$R$1,'Data World'!$A$1:$AL$1,))</f>
        <v/>
      </c>
      <c r="S18" s="13">
        <f>VLOOKUP(B18,'Data World'!$A:$AL,MATCH(World!$S$1,'Data World'!$A$1:$AL$1,))</f>
        <v/>
      </c>
      <c r="T18" s="13">
        <f>VLOOKUP(B18,'Data World'!$A:$AL,MATCH(World!$T$1,'Data World'!$A$1:$AL$1,))</f>
        <v/>
      </c>
    </row>
    <row r="19">
      <c r="B19" s="12" t="n">
        <v>42521</v>
      </c>
      <c r="C19" s="13">
        <f>VLOOKUP(B19,'Data World'!$A:$AL,MATCH(World!$C$1,'Data World'!$A$1:$AL$1,))</f>
        <v/>
      </c>
      <c r="D19" s="13">
        <f>VLOOKUP(B19,'Data World'!$A:$AL,MATCH(World!$D$1,'Data World'!$A$1:$AL$1,))</f>
        <v/>
      </c>
      <c r="E19" s="13">
        <f>VLOOKUP(B19,'Data World'!$A:$AL,MATCH(World!$E$1,'Data World'!$A$1:$AL$1,))</f>
        <v/>
      </c>
      <c r="F19" s="13">
        <f>VLOOKUP(B19,'Data World'!$A:$AL,MATCH(World!$F$1,'Data World'!$A$1:$AL$1,))</f>
        <v/>
      </c>
      <c r="G19" s="13">
        <f>VLOOKUP(B19,'Data World'!$A:$AL,MATCH(World!$G$1,'Data World'!$A$1:$AL$1,))</f>
        <v/>
      </c>
      <c r="H19" s="13">
        <f>VLOOKUP(B19,'Data World'!$A:$AL,MATCH(World!$H$1,'Data World'!$A$1:$AL$1,))</f>
        <v/>
      </c>
      <c r="I19" s="13">
        <f>VLOOKUP(B19,'Data World'!$A:$AL,MATCH(World!$I$1,'Data World'!$A$1:$AL$1,))</f>
        <v/>
      </c>
      <c r="J19" s="13">
        <f>VLOOKUP(B19,'Data World'!$A:$AL,MATCH(World!$J$1,'Data World'!$A$1:$AL$1,))</f>
        <v/>
      </c>
      <c r="K19" s="13">
        <f>VLOOKUP(B19,'Data World'!$A:$AL,MATCH(World!$K$1,'Data World'!$A$1:$AL$1,))</f>
        <v/>
      </c>
      <c r="L19" s="13">
        <f>VLOOKUP(B19,'Data World'!$A:$AL,MATCH(World!$L$1,'Data World'!$A$1:$AL$1,))</f>
        <v/>
      </c>
      <c r="M19" s="13">
        <f>VLOOKUP(B19,'Data World'!$A:$AL,MATCH(World!$M$1,'Data World'!$A$1:$AL$1,))</f>
        <v/>
      </c>
      <c r="N19" s="13">
        <f>VLOOKUP(B19,'Data World'!$A:$AL,MATCH(World!$N$1,'Data World'!$A$1:$AL$1,))</f>
        <v/>
      </c>
      <c r="O19" s="13">
        <f>VLOOKUP(B19,'Data World'!$A:$AL,MATCH(World!$O$1,'Data World'!$A$1:$AL$1,))</f>
        <v/>
      </c>
      <c r="P19" s="13">
        <f>VLOOKUP(B19,'Data World'!$A:$AL,MATCH(World!$P$1,'Data World'!$A$1:$AL$1,))</f>
        <v/>
      </c>
      <c r="Q19" s="13">
        <f>VLOOKUP(B19,'Data World'!$A:$AL,MATCH(World!$Q$1,'Data World'!$A$1:$AL$1,))</f>
        <v/>
      </c>
      <c r="R19" s="13">
        <f>VLOOKUP(B19,'Data World'!$A:$AL,MATCH(World!$R$1,'Data World'!$A$1:$AL$1,))</f>
        <v/>
      </c>
      <c r="S19" s="13">
        <f>VLOOKUP(B19,'Data World'!$A:$AL,MATCH(World!$S$1,'Data World'!$A$1:$AL$1,))</f>
        <v/>
      </c>
      <c r="T19" s="13">
        <f>VLOOKUP(B19,'Data World'!$A:$AL,MATCH(World!$T$1,'Data World'!$A$1:$AL$1,))</f>
        <v/>
      </c>
    </row>
    <row r="20">
      <c r="B20" s="12" t="n">
        <v>42551</v>
      </c>
      <c r="C20" s="13">
        <f>VLOOKUP(B20,'Data World'!$A:$AL,MATCH(World!$C$1,'Data World'!$A$1:$AL$1,))</f>
        <v/>
      </c>
      <c r="D20" s="13">
        <f>VLOOKUP(B20,'Data World'!$A:$AL,MATCH(World!$D$1,'Data World'!$A$1:$AL$1,))</f>
        <v/>
      </c>
      <c r="E20" s="13">
        <f>VLOOKUP(B20,'Data World'!$A:$AL,MATCH(World!$E$1,'Data World'!$A$1:$AL$1,))</f>
        <v/>
      </c>
      <c r="F20" s="13">
        <f>VLOOKUP(B20,'Data World'!$A:$AL,MATCH(World!$F$1,'Data World'!$A$1:$AL$1,))</f>
        <v/>
      </c>
      <c r="G20" s="13">
        <f>VLOOKUP(B20,'Data World'!$A:$AL,MATCH(World!$G$1,'Data World'!$A$1:$AL$1,))</f>
        <v/>
      </c>
      <c r="H20" s="13">
        <f>VLOOKUP(B20,'Data World'!$A:$AL,MATCH(World!$H$1,'Data World'!$A$1:$AL$1,))</f>
        <v/>
      </c>
      <c r="I20" s="13">
        <f>VLOOKUP(B20,'Data World'!$A:$AL,MATCH(World!$I$1,'Data World'!$A$1:$AL$1,))</f>
        <v/>
      </c>
      <c r="J20" s="13">
        <f>VLOOKUP(B20,'Data World'!$A:$AL,MATCH(World!$J$1,'Data World'!$A$1:$AL$1,))</f>
        <v/>
      </c>
      <c r="K20" s="13">
        <f>VLOOKUP(B20,'Data World'!$A:$AL,MATCH(World!$K$1,'Data World'!$A$1:$AL$1,))</f>
        <v/>
      </c>
      <c r="L20" s="13">
        <f>VLOOKUP(B20,'Data World'!$A:$AL,MATCH(World!$L$1,'Data World'!$A$1:$AL$1,))</f>
        <v/>
      </c>
      <c r="M20" s="13">
        <f>VLOOKUP(B20,'Data World'!$A:$AL,MATCH(World!$M$1,'Data World'!$A$1:$AL$1,))</f>
        <v/>
      </c>
      <c r="N20" s="13">
        <f>VLOOKUP(B20,'Data World'!$A:$AL,MATCH(World!$N$1,'Data World'!$A$1:$AL$1,))</f>
        <v/>
      </c>
      <c r="O20" s="13">
        <f>VLOOKUP(B20,'Data World'!$A:$AL,MATCH(World!$O$1,'Data World'!$A$1:$AL$1,))</f>
        <v/>
      </c>
      <c r="P20" s="13">
        <f>VLOOKUP(B20,'Data World'!$A:$AL,MATCH(World!$P$1,'Data World'!$A$1:$AL$1,))</f>
        <v/>
      </c>
      <c r="Q20" s="13">
        <f>VLOOKUP(B20,'Data World'!$A:$AL,MATCH(World!$Q$1,'Data World'!$A$1:$AL$1,))</f>
        <v/>
      </c>
      <c r="R20" s="13">
        <f>VLOOKUP(B20,'Data World'!$A:$AL,MATCH(World!$R$1,'Data World'!$A$1:$AL$1,))</f>
        <v/>
      </c>
      <c r="S20" s="13">
        <f>VLOOKUP(B20,'Data World'!$A:$AL,MATCH(World!$S$1,'Data World'!$A$1:$AL$1,))</f>
        <v/>
      </c>
      <c r="T20" s="13">
        <f>VLOOKUP(B20,'Data World'!$A:$AL,MATCH(World!$T$1,'Data World'!$A$1:$AL$1,))</f>
        <v/>
      </c>
    </row>
    <row r="21">
      <c r="B21" s="12" t="n">
        <v>42582</v>
      </c>
      <c r="C21" s="13">
        <f>VLOOKUP(B21,'Data World'!$A:$AL,MATCH(World!$C$1,'Data World'!$A$1:$AL$1,))</f>
        <v/>
      </c>
      <c r="D21" s="13">
        <f>VLOOKUP(B21,'Data World'!$A:$AL,MATCH(World!$D$1,'Data World'!$A$1:$AL$1,))</f>
        <v/>
      </c>
      <c r="E21" s="13">
        <f>VLOOKUP(B21,'Data World'!$A:$AL,MATCH(World!$E$1,'Data World'!$A$1:$AL$1,))</f>
        <v/>
      </c>
      <c r="F21" s="13">
        <f>VLOOKUP(B21,'Data World'!$A:$AL,MATCH(World!$F$1,'Data World'!$A$1:$AL$1,))</f>
        <v/>
      </c>
      <c r="G21" s="13">
        <f>VLOOKUP(B21,'Data World'!$A:$AL,MATCH(World!$G$1,'Data World'!$A$1:$AL$1,))</f>
        <v/>
      </c>
      <c r="H21" s="13">
        <f>VLOOKUP(B21,'Data World'!$A:$AL,MATCH(World!$H$1,'Data World'!$A$1:$AL$1,))</f>
        <v/>
      </c>
      <c r="I21" s="13">
        <f>VLOOKUP(B21,'Data World'!$A:$AL,MATCH(World!$I$1,'Data World'!$A$1:$AL$1,))</f>
        <v/>
      </c>
      <c r="J21" s="13">
        <f>VLOOKUP(B21,'Data World'!$A:$AL,MATCH(World!$J$1,'Data World'!$A$1:$AL$1,))</f>
        <v/>
      </c>
      <c r="K21" s="13">
        <f>VLOOKUP(B21,'Data World'!$A:$AL,MATCH(World!$K$1,'Data World'!$A$1:$AL$1,))</f>
        <v/>
      </c>
      <c r="L21" s="13">
        <f>VLOOKUP(B21,'Data World'!$A:$AL,MATCH(World!$L$1,'Data World'!$A$1:$AL$1,))</f>
        <v/>
      </c>
      <c r="M21" s="13">
        <f>VLOOKUP(B21,'Data World'!$A:$AL,MATCH(World!$M$1,'Data World'!$A$1:$AL$1,))</f>
        <v/>
      </c>
      <c r="N21" s="13">
        <f>VLOOKUP(B21,'Data World'!$A:$AL,MATCH(World!$N$1,'Data World'!$A$1:$AL$1,))</f>
        <v/>
      </c>
      <c r="O21" s="13">
        <f>VLOOKUP(B21,'Data World'!$A:$AL,MATCH(World!$O$1,'Data World'!$A$1:$AL$1,))</f>
        <v/>
      </c>
      <c r="P21" s="13">
        <f>VLOOKUP(B21,'Data World'!$A:$AL,MATCH(World!$P$1,'Data World'!$A$1:$AL$1,))</f>
        <v/>
      </c>
      <c r="Q21" s="13">
        <f>VLOOKUP(B21,'Data World'!$A:$AL,MATCH(World!$Q$1,'Data World'!$A$1:$AL$1,))</f>
        <v/>
      </c>
      <c r="R21" s="13">
        <f>VLOOKUP(B21,'Data World'!$A:$AL,MATCH(World!$R$1,'Data World'!$A$1:$AL$1,))</f>
        <v/>
      </c>
      <c r="S21" s="13">
        <f>VLOOKUP(B21,'Data World'!$A:$AL,MATCH(World!$S$1,'Data World'!$A$1:$AL$1,))</f>
        <v/>
      </c>
      <c r="T21" s="13">
        <f>VLOOKUP(B21,'Data World'!$A:$AL,MATCH(World!$T$1,'Data World'!$A$1:$AL$1,))</f>
        <v/>
      </c>
    </row>
    <row r="22">
      <c r="B22" s="12" t="n">
        <v>42613</v>
      </c>
      <c r="C22" s="13">
        <f>VLOOKUP(B22,'Data World'!$A:$AL,MATCH(World!$C$1,'Data World'!$A$1:$AL$1,))</f>
        <v/>
      </c>
      <c r="D22" s="13">
        <f>VLOOKUP(B22,'Data World'!$A:$AL,MATCH(World!$D$1,'Data World'!$A$1:$AL$1,))</f>
        <v/>
      </c>
      <c r="E22" s="13">
        <f>VLOOKUP(B22,'Data World'!$A:$AL,MATCH(World!$E$1,'Data World'!$A$1:$AL$1,))</f>
        <v/>
      </c>
      <c r="F22" s="13">
        <f>VLOOKUP(B22,'Data World'!$A:$AL,MATCH(World!$F$1,'Data World'!$A$1:$AL$1,))</f>
        <v/>
      </c>
      <c r="G22" s="13">
        <f>VLOOKUP(B22,'Data World'!$A:$AL,MATCH(World!$G$1,'Data World'!$A$1:$AL$1,))</f>
        <v/>
      </c>
      <c r="H22" s="13">
        <f>VLOOKUP(B22,'Data World'!$A:$AL,MATCH(World!$H$1,'Data World'!$A$1:$AL$1,))</f>
        <v/>
      </c>
      <c r="I22" s="13">
        <f>VLOOKUP(B22,'Data World'!$A:$AL,MATCH(World!$I$1,'Data World'!$A$1:$AL$1,))</f>
        <v/>
      </c>
      <c r="J22" s="13">
        <f>VLOOKUP(B22,'Data World'!$A:$AL,MATCH(World!$J$1,'Data World'!$A$1:$AL$1,))</f>
        <v/>
      </c>
      <c r="K22" s="13">
        <f>VLOOKUP(B22,'Data World'!$A:$AL,MATCH(World!$K$1,'Data World'!$A$1:$AL$1,))</f>
        <v/>
      </c>
      <c r="L22" s="13">
        <f>VLOOKUP(B22,'Data World'!$A:$AL,MATCH(World!$L$1,'Data World'!$A$1:$AL$1,))</f>
        <v/>
      </c>
      <c r="M22" s="13">
        <f>VLOOKUP(B22,'Data World'!$A:$AL,MATCH(World!$M$1,'Data World'!$A$1:$AL$1,))</f>
        <v/>
      </c>
      <c r="N22" s="13">
        <f>VLOOKUP(B22,'Data World'!$A:$AL,MATCH(World!$N$1,'Data World'!$A$1:$AL$1,))</f>
        <v/>
      </c>
      <c r="O22" s="13">
        <f>VLOOKUP(B22,'Data World'!$A:$AL,MATCH(World!$O$1,'Data World'!$A$1:$AL$1,))</f>
        <v/>
      </c>
      <c r="P22" s="13">
        <f>VLOOKUP(B22,'Data World'!$A:$AL,MATCH(World!$P$1,'Data World'!$A$1:$AL$1,))</f>
        <v/>
      </c>
      <c r="Q22" s="13">
        <f>VLOOKUP(B22,'Data World'!$A:$AL,MATCH(World!$Q$1,'Data World'!$A$1:$AL$1,))</f>
        <v/>
      </c>
      <c r="R22" s="13">
        <f>VLOOKUP(B22,'Data World'!$A:$AL,MATCH(World!$R$1,'Data World'!$A$1:$AL$1,))</f>
        <v/>
      </c>
      <c r="S22" s="13">
        <f>VLOOKUP(B22,'Data World'!$A:$AL,MATCH(World!$S$1,'Data World'!$A$1:$AL$1,))</f>
        <v/>
      </c>
      <c r="T22" s="13">
        <f>VLOOKUP(B22,'Data World'!$A:$AL,MATCH(World!$T$1,'Data World'!$A$1:$AL$1,))</f>
        <v/>
      </c>
    </row>
    <row r="23">
      <c r="B23" s="12" t="n">
        <v>42643</v>
      </c>
      <c r="C23" s="13">
        <f>VLOOKUP(B23,'Data World'!$A:$AL,MATCH(World!$C$1,'Data World'!$A$1:$AL$1,))</f>
        <v/>
      </c>
      <c r="D23" s="13">
        <f>VLOOKUP(B23,'Data World'!$A:$AL,MATCH(World!$D$1,'Data World'!$A$1:$AL$1,))</f>
        <v/>
      </c>
      <c r="E23" s="13">
        <f>VLOOKUP(B23,'Data World'!$A:$AL,MATCH(World!$E$1,'Data World'!$A$1:$AL$1,))</f>
        <v/>
      </c>
      <c r="F23" s="13">
        <f>VLOOKUP(B23,'Data World'!$A:$AL,MATCH(World!$F$1,'Data World'!$A$1:$AL$1,))</f>
        <v/>
      </c>
      <c r="G23" s="13">
        <f>VLOOKUP(B23,'Data World'!$A:$AL,MATCH(World!$G$1,'Data World'!$A$1:$AL$1,))</f>
        <v/>
      </c>
      <c r="H23" s="13">
        <f>VLOOKUP(B23,'Data World'!$A:$AL,MATCH(World!$H$1,'Data World'!$A$1:$AL$1,))</f>
        <v/>
      </c>
      <c r="I23" s="13">
        <f>VLOOKUP(B23,'Data World'!$A:$AL,MATCH(World!$I$1,'Data World'!$A$1:$AL$1,))</f>
        <v/>
      </c>
      <c r="J23" s="13">
        <f>VLOOKUP(B23,'Data World'!$A:$AL,MATCH(World!$J$1,'Data World'!$A$1:$AL$1,))</f>
        <v/>
      </c>
      <c r="K23" s="13">
        <f>VLOOKUP(B23,'Data World'!$A:$AL,MATCH(World!$K$1,'Data World'!$A$1:$AL$1,))</f>
        <v/>
      </c>
      <c r="L23" s="13">
        <f>VLOOKUP(B23,'Data World'!$A:$AL,MATCH(World!$L$1,'Data World'!$A$1:$AL$1,))</f>
        <v/>
      </c>
      <c r="M23" s="13">
        <f>VLOOKUP(B23,'Data World'!$A:$AL,MATCH(World!$M$1,'Data World'!$A$1:$AL$1,))</f>
        <v/>
      </c>
      <c r="N23" s="13">
        <f>VLOOKUP(B23,'Data World'!$A:$AL,MATCH(World!$N$1,'Data World'!$A$1:$AL$1,))</f>
        <v/>
      </c>
      <c r="O23" s="13">
        <f>VLOOKUP(B23,'Data World'!$A:$AL,MATCH(World!$O$1,'Data World'!$A$1:$AL$1,))</f>
        <v/>
      </c>
      <c r="P23" s="13">
        <f>VLOOKUP(B23,'Data World'!$A:$AL,MATCH(World!$P$1,'Data World'!$A$1:$AL$1,))</f>
        <v/>
      </c>
      <c r="Q23" s="13">
        <f>VLOOKUP(B23,'Data World'!$A:$AL,MATCH(World!$Q$1,'Data World'!$A$1:$AL$1,))</f>
        <v/>
      </c>
      <c r="R23" s="13">
        <f>VLOOKUP(B23,'Data World'!$A:$AL,MATCH(World!$R$1,'Data World'!$A$1:$AL$1,))</f>
        <v/>
      </c>
      <c r="S23" s="13">
        <f>VLOOKUP(B23,'Data World'!$A:$AL,MATCH(World!$S$1,'Data World'!$A$1:$AL$1,))</f>
        <v/>
      </c>
      <c r="T23" s="13">
        <f>VLOOKUP(B23,'Data World'!$A:$AL,MATCH(World!$T$1,'Data World'!$A$1:$AL$1,))</f>
        <v/>
      </c>
    </row>
    <row r="24">
      <c r="B24" s="12" t="n">
        <v>42674</v>
      </c>
      <c r="C24" s="13">
        <f>VLOOKUP(B24,'Data World'!$A:$AL,MATCH(World!$C$1,'Data World'!$A$1:$AL$1,))</f>
        <v/>
      </c>
      <c r="D24" s="13">
        <f>VLOOKUP(B24,'Data World'!$A:$AL,MATCH(World!$D$1,'Data World'!$A$1:$AL$1,))</f>
        <v/>
      </c>
      <c r="E24" s="13">
        <f>VLOOKUP(B24,'Data World'!$A:$AL,MATCH(World!$E$1,'Data World'!$A$1:$AL$1,))</f>
        <v/>
      </c>
      <c r="F24" s="13">
        <f>VLOOKUP(B24,'Data World'!$A:$AL,MATCH(World!$F$1,'Data World'!$A$1:$AL$1,))</f>
        <v/>
      </c>
      <c r="G24" s="13">
        <f>VLOOKUP(B24,'Data World'!$A:$AL,MATCH(World!$G$1,'Data World'!$A$1:$AL$1,))</f>
        <v/>
      </c>
      <c r="H24" s="13">
        <f>VLOOKUP(B24,'Data World'!$A:$AL,MATCH(World!$H$1,'Data World'!$A$1:$AL$1,))</f>
        <v/>
      </c>
      <c r="I24" s="13">
        <f>VLOOKUP(B24,'Data World'!$A:$AL,MATCH(World!$I$1,'Data World'!$A$1:$AL$1,))</f>
        <v/>
      </c>
      <c r="J24" s="13">
        <f>VLOOKUP(B24,'Data World'!$A:$AL,MATCH(World!$J$1,'Data World'!$A$1:$AL$1,))</f>
        <v/>
      </c>
      <c r="K24" s="13">
        <f>VLOOKUP(B24,'Data World'!$A:$AL,MATCH(World!$K$1,'Data World'!$A$1:$AL$1,))</f>
        <v/>
      </c>
      <c r="L24" s="13">
        <f>VLOOKUP(B24,'Data World'!$A:$AL,MATCH(World!$L$1,'Data World'!$A$1:$AL$1,))</f>
        <v/>
      </c>
      <c r="M24" s="13">
        <f>VLOOKUP(B24,'Data World'!$A:$AL,MATCH(World!$M$1,'Data World'!$A$1:$AL$1,))</f>
        <v/>
      </c>
      <c r="N24" s="13">
        <f>VLOOKUP(B24,'Data World'!$A:$AL,MATCH(World!$N$1,'Data World'!$A$1:$AL$1,))</f>
        <v/>
      </c>
      <c r="O24" s="13">
        <f>VLOOKUP(B24,'Data World'!$A:$AL,MATCH(World!$O$1,'Data World'!$A$1:$AL$1,))</f>
        <v/>
      </c>
      <c r="P24" s="13">
        <f>VLOOKUP(B24,'Data World'!$A:$AL,MATCH(World!$P$1,'Data World'!$A$1:$AL$1,))</f>
        <v/>
      </c>
      <c r="Q24" s="13">
        <f>VLOOKUP(B24,'Data World'!$A:$AL,MATCH(World!$Q$1,'Data World'!$A$1:$AL$1,))</f>
        <v/>
      </c>
      <c r="R24" s="13">
        <f>VLOOKUP(B24,'Data World'!$A:$AL,MATCH(World!$R$1,'Data World'!$A$1:$AL$1,))</f>
        <v/>
      </c>
      <c r="S24" s="13">
        <f>VLOOKUP(B24,'Data World'!$A:$AL,MATCH(World!$S$1,'Data World'!$A$1:$AL$1,))</f>
        <v/>
      </c>
      <c r="T24" s="13">
        <f>VLOOKUP(B24,'Data World'!$A:$AL,MATCH(World!$T$1,'Data World'!$A$1:$AL$1,))</f>
        <v/>
      </c>
    </row>
    <row r="25">
      <c r="B25" s="12" t="n">
        <v>42704</v>
      </c>
      <c r="C25" s="13">
        <f>VLOOKUP(B25,'Data World'!$A:$AL,MATCH(World!$C$1,'Data World'!$A$1:$AL$1,))</f>
        <v/>
      </c>
      <c r="D25" s="13">
        <f>VLOOKUP(B25,'Data World'!$A:$AL,MATCH(World!$D$1,'Data World'!$A$1:$AL$1,))</f>
        <v/>
      </c>
      <c r="E25" s="13">
        <f>VLOOKUP(B25,'Data World'!$A:$AL,MATCH(World!$E$1,'Data World'!$A$1:$AL$1,))</f>
        <v/>
      </c>
      <c r="F25" s="13">
        <f>VLOOKUP(B25,'Data World'!$A:$AL,MATCH(World!$F$1,'Data World'!$A$1:$AL$1,))</f>
        <v/>
      </c>
      <c r="G25" s="13">
        <f>VLOOKUP(B25,'Data World'!$A:$AL,MATCH(World!$G$1,'Data World'!$A$1:$AL$1,))</f>
        <v/>
      </c>
      <c r="H25" s="13">
        <f>VLOOKUP(B25,'Data World'!$A:$AL,MATCH(World!$H$1,'Data World'!$A$1:$AL$1,))</f>
        <v/>
      </c>
      <c r="I25" s="13">
        <f>VLOOKUP(B25,'Data World'!$A:$AL,MATCH(World!$I$1,'Data World'!$A$1:$AL$1,))</f>
        <v/>
      </c>
      <c r="J25" s="13">
        <f>VLOOKUP(B25,'Data World'!$A:$AL,MATCH(World!$J$1,'Data World'!$A$1:$AL$1,))</f>
        <v/>
      </c>
      <c r="K25" s="13">
        <f>VLOOKUP(B25,'Data World'!$A:$AL,MATCH(World!$K$1,'Data World'!$A$1:$AL$1,))</f>
        <v/>
      </c>
      <c r="L25" s="13">
        <f>VLOOKUP(B25,'Data World'!$A:$AL,MATCH(World!$L$1,'Data World'!$A$1:$AL$1,))</f>
        <v/>
      </c>
      <c r="M25" s="13">
        <f>VLOOKUP(B25,'Data World'!$A:$AL,MATCH(World!$M$1,'Data World'!$A$1:$AL$1,))</f>
        <v/>
      </c>
      <c r="N25" s="13">
        <f>VLOOKUP(B25,'Data World'!$A:$AL,MATCH(World!$N$1,'Data World'!$A$1:$AL$1,))</f>
        <v/>
      </c>
      <c r="O25" s="13">
        <f>VLOOKUP(B25,'Data World'!$A:$AL,MATCH(World!$O$1,'Data World'!$A$1:$AL$1,))</f>
        <v/>
      </c>
      <c r="P25" s="13">
        <f>VLOOKUP(B25,'Data World'!$A:$AL,MATCH(World!$P$1,'Data World'!$A$1:$AL$1,))</f>
        <v/>
      </c>
      <c r="Q25" s="13">
        <f>VLOOKUP(B25,'Data World'!$A:$AL,MATCH(World!$Q$1,'Data World'!$A$1:$AL$1,))</f>
        <v/>
      </c>
      <c r="R25" s="13">
        <f>VLOOKUP(B25,'Data World'!$A:$AL,MATCH(World!$R$1,'Data World'!$A$1:$AL$1,))</f>
        <v/>
      </c>
      <c r="S25" s="13">
        <f>VLOOKUP(B25,'Data World'!$A:$AL,MATCH(World!$S$1,'Data World'!$A$1:$AL$1,))</f>
        <v/>
      </c>
      <c r="T25" s="13">
        <f>VLOOKUP(B25,'Data World'!$A:$AL,MATCH(World!$T$1,'Data World'!$A$1:$AL$1,))</f>
        <v/>
      </c>
    </row>
    <row r="26">
      <c r="B26" s="12" t="n">
        <v>42735</v>
      </c>
      <c r="C26" s="13">
        <f>VLOOKUP(B26,'Data World'!$A:$AL,MATCH(World!$C$1,'Data World'!$A$1:$AL$1,))</f>
        <v/>
      </c>
      <c r="D26" s="13">
        <f>VLOOKUP(B26,'Data World'!$A:$AL,MATCH(World!$D$1,'Data World'!$A$1:$AL$1,))</f>
        <v/>
      </c>
      <c r="E26" s="13">
        <f>VLOOKUP(B26,'Data World'!$A:$AL,MATCH(World!$E$1,'Data World'!$A$1:$AL$1,))</f>
        <v/>
      </c>
      <c r="F26" s="13">
        <f>VLOOKUP(B26,'Data World'!$A:$AL,MATCH(World!$F$1,'Data World'!$A$1:$AL$1,))</f>
        <v/>
      </c>
      <c r="G26" s="13">
        <f>VLOOKUP(B26,'Data World'!$A:$AL,MATCH(World!$G$1,'Data World'!$A$1:$AL$1,))</f>
        <v/>
      </c>
      <c r="H26" s="13">
        <f>VLOOKUP(B26,'Data World'!$A:$AL,MATCH(World!$H$1,'Data World'!$A$1:$AL$1,))</f>
        <v/>
      </c>
      <c r="I26" s="13">
        <f>VLOOKUP(B26,'Data World'!$A:$AL,MATCH(World!$I$1,'Data World'!$A$1:$AL$1,))</f>
        <v/>
      </c>
      <c r="J26" s="13">
        <f>VLOOKUP(B26,'Data World'!$A:$AL,MATCH(World!$J$1,'Data World'!$A$1:$AL$1,))</f>
        <v/>
      </c>
      <c r="K26" s="13">
        <f>VLOOKUP(B26,'Data World'!$A:$AL,MATCH(World!$K$1,'Data World'!$A$1:$AL$1,))</f>
        <v/>
      </c>
      <c r="L26" s="13">
        <f>VLOOKUP(B26,'Data World'!$A:$AL,MATCH(World!$L$1,'Data World'!$A$1:$AL$1,))</f>
        <v/>
      </c>
      <c r="M26" s="13">
        <f>VLOOKUP(B26,'Data World'!$A:$AL,MATCH(World!$M$1,'Data World'!$A$1:$AL$1,))</f>
        <v/>
      </c>
      <c r="N26" s="13">
        <f>VLOOKUP(B26,'Data World'!$A:$AL,MATCH(World!$N$1,'Data World'!$A$1:$AL$1,))</f>
        <v/>
      </c>
      <c r="O26" s="13">
        <f>VLOOKUP(B26,'Data World'!$A:$AL,MATCH(World!$O$1,'Data World'!$A$1:$AL$1,))</f>
        <v/>
      </c>
      <c r="P26" s="13">
        <f>VLOOKUP(B26,'Data World'!$A:$AL,MATCH(World!$P$1,'Data World'!$A$1:$AL$1,))</f>
        <v/>
      </c>
      <c r="Q26" s="13">
        <f>VLOOKUP(B26,'Data World'!$A:$AL,MATCH(World!$Q$1,'Data World'!$A$1:$AL$1,))</f>
        <v/>
      </c>
      <c r="R26" s="13">
        <f>VLOOKUP(B26,'Data World'!$A:$AL,MATCH(World!$R$1,'Data World'!$A$1:$AL$1,))</f>
        <v/>
      </c>
      <c r="S26" s="13">
        <f>VLOOKUP(B26,'Data World'!$A:$AL,MATCH(World!$S$1,'Data World'!$A$1:$AL$1,))</f>
        <v/>
      </c>
      <c r="T26" s="13">
        <f>VLOOKUP(B26,'Data World'!$A:$AL,MATCH(World!$T$1,'Data World'!$A$1:$AL$1,))</f>
        <v/>
      </c>
    </row>
    <row r="27">
      <c r="B27" s="12" t="n">
        <v>42766</v>
      </c>
      <c r="C27" s="13">
        <f>VLOOKUP(B27,'Data World'!$A:$AL,MATCH(World!$C$1,'Data World'!$A$1:$AL$1,))</f>
        <v/>
      </c>
      <c r="D27" s="13">
        <f>VLOOKUP(B27,'Data World'!$A:$AL,MATCH(World!$D$1,'Data World'!$A$1:$AL$1,))</f>
        <v/>
      </c>
      <c r="E27" s="13">
        <f>VLOOKUP(B27,'Data World'!$A:$AL,MATCH(World!$E$1,'Data World'!$A$1:$AL$1,))</f>
        <v/>
      </c>
      <c r="F27" s="13">
        <f>VLOOKUP(B27,'Data World'!$A:$AL,MATCH(World!$F$1,'Data World'!$A$1:$AL$1,))</f>
        <v/>
      </c>
      <c r="G27" s="13">
        <f>VLOOKUP(B27,'Data World'!$A:$AL,MATCH(World!$G$1,'Data World'!$A$1:$AL$1,))</f>
        <v/>
      </c>
      <c r="H27" s="13">
        <f>VLOOKUP(B27,'Data World'!$A:$AL,MATCH(World!$H$1,'Data World'!$A$1:$AL$1,))</f>
        <v/>
      </c>
      <c r="I27" s="13">
        <f>VLOOKUP(B27,'Data World'!$A:$AL,MATCH(World!$I$1,'Data World'!$A$1:$AL$1,))</f>
        <v/>
      </c>
      <c r="J27" s="13">
        <f>VLOOKUP(B27,'Data World'!$A:$AL,MATCH(World!$J$1,'Data World'!$A$1:$AL$1,))</f>
        <v/>
      </c>
      <c r="K27" s="13">
        <f>VLOOKUP(B27,'Data World'!$A:$AL,MATCH(World!$K$1,'Data World'!$A$1:$AL$1,))</f>
        <v/>
      </c>
      <c r="L27" s="13">
        <f>VLOOKUP(B27,'Data World'!$A:$AL,MATCH(World!$L$1,'Data World'!$A$1:$AL$1,))</f>
        <v/>
      </c>
      <c r="M27" s="13">
        <f>VLOOKUP(B27,'Data World'!$A:$AL,MATCH(World!$M$1,'Data World'!$A$1:$AL$1,))</f>
        <v/>
      </c>
      <c r="N27" s="13">
        <f>VLOOKUP(B27,'Data World'!$A:$AL,MATCH(World!$N$1,'Data World'!$A$1:$AL$1,))</f>
        <v/>
      </c>
      <c r="O27" s="13">
        <f>VLOOKUP(B27,'Data World'!$A:$AL,MATCH(World!$O$1,'Data World'!$A$1:$AL$1,))</f>
        <v/>
      </c>
      <c r="P27" s="13">
        <f>VLOOKUP(B27,'Data World'!$A:$AL,MATCH(World!$P$1,'Data World'!$A$1:$AL$1,))</f>
        <v/>
      </c>
      <c r="Q27" s="13">
        <f>VLOOKUP(B27,'Data World'!$A:$AL,MATCH(World!$Q$1,'Data World'!$A$1:$AL$1,))</f>
        <v/>
      </c>
      <c r="R27" s="13">
        <f>VLOOKUP(B27,'Data World'!$A:$AL,MATCH(World!$R$1,'Data World'!$A$1:$AL$1,))</f>
        <v/>
      </c>
      <c r="S27" s="13">
        <f>VLOOKUP(B27,'Data World'!$A:$AL,MATCH(World!$S$1,'Data World'!$A$1:$AL$1,))</f>
        <v/>
      </c>
      <c r="T27" s="13">
        <f>VLOOKUP(B27,'Data World'!$A:$AL,MATCH(World!$T$1,'Data World'!$A$1:$AL$1,))</f>
        <v/>
      </c>
    </row>
    <row r="28">
      <c r="B28" s="12" t="n">
        <v>42794</v>
      </c>
      <c r="C28" s="13">
        <f>VLOOKUP(B28,'Data World'!$A:$AL,MATCH(World!$C$1,'Data World'!$A$1:$AL$1,))</f>
        <v/>
      </c>
      <c r="D28" s="13">
        <f>VLOOKUP(B28,'Data World'!$A:$AL,MATCH(World!$D$1,'Data World'!$A$1:$AL$1,))</f>
        <v/>
      </c>
      <c r="E28" s="13">
        <f>VLOOKUP(B28,'Data World'!$A:$AL,MATCH(World!$E$1,'Data World'!$A$1:$AL$1,))</f>
        <v/>
      </c>
      <c r="F28" s="13">
        <f>VLOOKUP(B28,'Data World'!$A:$AL,MATCH(World!$F$1,'Data World'!$A$1:$AL$1,))</f>
        <v/>
      </c>
      <c r="G28" s="13">
        <f>VLOOKUP(B28,'Data World'!$A:$AL,MATCH(World!$G$1,'Data World'!$A$1:$AL$1,))</f>
        <v/>
      </c>
      <c r="H28" s="13">
        <f>VLOOKUP(B28,'Data World'!$A:$AL,MATCH(World!$H$1,'Data World'!$A$1:$AL$1,))</f>
        <v/>
      </c>
      <c r="I28" s="13">
        <f>VLOOKUP(B28,'Data World'!$A:$AL,MATCH(World!$I$1,'Data World'!$A$1:$AL$1,))</f>
        <v/>
      </c>
      <c r="J28" s="13">
        <f>VLOOKUP(B28,'Data World'!$A:$AL,MATCH(World!$J$1,'Data World'!$A$1:$AL$1,))</f>
        <v/>
      </c>
      <c r="K28" s="13">
        <f>VLOOKUP(B28,'Data World'!$A:$AL,MATCH(World!$K$1,'Data World'!$A$1:$AL$1,))</f>
        <v/>
      </c>
      <c r="L28" s="13">
        <f>VLOOKUP(B28,'Data World'!$A:$AL,MATCH(World!$L$1,'Data World'!$A$1:$AL$1,))</f>
        <v/>
      </c>
      <c r="M28" s="13">
        <f>VLOOKUP(B28,'Data World'!$A:$AL,MATCH(World!$M$1,'Data World'!$A$1:$AL$1,))</f>
        <v/>
      </c>
      <c r="N28" s="13">
        <f>VLOOKUP(B28,'Data World'!$A:$AL,MATCH(World!$N$1,'Data World'!$A$1:$AL$1,))</f>
        <v/>
      </c>
      <c r="O28" s="13">
        <f>VLOOKUP(B28,'Data World'!$A:$AL,MATCH(World!$O$1,'Data World'!$A$1:$AL$1,))</f>
        <v/>
      </c>
      <c r="P28" s="13">
        <f>VLOOKUP(B28,'Data World'!$A:$AL,MATCH(World!$P$1,'Data World'!$A$1:$AL$1,))</f>
        <v/>
      </c>
      <c r="Q28" s="13">
        <f>VLOOKUP(B28,'Data World'!$A:$AL,MATCH(World!$Q$1,'Data World'!$A$1:$AL$1,))</f>
        <v/>
      </c>
      <c r="R28" s="13">
        <f>VLOOKUP(B28,'Data World'!$A:$AL,MATCH(World!$R$1,'Data World'!$A$1:$AL$1,))</f>
        <v/>
      </c>
      <c r="S28" s="13">
        <f>VLOOKUP(B28,'Data World'!$A:$AL,MATCH(World!$S$1,'Data World'!$A$1:$AL$1,))</f>
        <v/>
      </c>
      <c r="T28" s="13">
        <f>VLOOKUP(B28,'Data World'!$A:$AL,MATCH(World!$T$1,'Data World'!$A$1:$AL$1,))</f>
        <v/>
      </c>
    </row>
    <row r="29">
      <c r="B29" s="12" t="n">
        <v>42825</v>
      </c>
      <c r="C29" s="13">
        <f>VLOOKUP(B29,'Data World'!$A:$AL,MATCH(World!$C$1,'Data World'!$A$1:$AL$1,))</f>
        <v/>
      </c>
      <c r="D29" s="13">
        <f>VLOOKUP(B29,'Data World'!$A:$AL,MATCH(World!$D$1,'Data World'!$A$1:$AL$1,))</f>
        <v/>
      </c>
      <c r="E29" s="13">
        <f>VLOOKUP(B29,'Data World'!$A:$AL,MATCH(World!$E$1,'Data World'!$A$1:$AL$1,))</f>
        <v/>
      </c>
      <c r="F29" s="13">
        <f>VLOOKUP(B29,'Data World'!$A:$AL,MATCH(World!$F$1,'Data World'!$A$1:$AL$1,))</f>
        <v/>
      </c>
      <c r="G29" s="13">
        <f>VLOOKUP(B29,'Data World'!$A:$AL,MATCH(World!$G$1,'Data World'!$A$1:$AL$1,))</f>
        <v/>
      </c>
      <c r="H29" s="13">
        <f>VLOOKUP(B29,'Data World'!$A:$AL,MATCH(World!$H$1,'Data World'!$A$1:$AL$1,))</f>
        <v/>
      </c>
      <c r="I29" s="13">
        <f>VLOOKUP(B29,'Data World'!$A:$AL,MATCH(World!$I$1,'Data World'!$A$1:$AL$1,))</f>
        <v/>
      </c>
      <c r="J29" s="13">
        <f>VLOOKUP(B29,'Data World'!$A:$AL,MATCH(World!$J$1,'Data World'!$A$1:$AL$1,))</f>
        <v/>
      </c>
      <c r="K29" s="13">
        <f>VLOOKUP(B29,'Data World'!$A:$AL,MATCH(World!$K$1,'Data World'!$A$1:$AL$1,))</f>
        <v/>
      </c>
      <c r="L29" s="13">
        <f>VLOOKUP(B29,'Data World'!$A:$AL,MATCH(World!$L$1,'Data World'!$A$1:$AL$1,))</f>
        <v/>
      </c>
      <c r="M29" s="13">
        <f>VLOOKUP(B29,'Data World'!$A:$AL,MATCH(World!$M$1,'Data World'!$A$1:$AL$1,))</f>
        <v/>
      </c>
      <c r="N29" s="13">
        <f>VLOOKUP(B29,'Data World'!$A:$AL,MATCH(World!$N$1,'Data World'!$A$1:$AL$1,))</f>
        <v/>
      </c>
      <c r="O29" s="13">
        <f>VLOOKUP(B29,'Data World'!$A:$AL,MATCH(World!$O$1,'Data World'!$A$1:$AL$1,))</f>
        <v/>
      </c>
      <c r="P29" s="13">
        <f>VLOOKUP(B29,'Data World'!$A:$AL,MATCH(World!$P$1,'Data World'!$A$1:$AL$1,))</f>
        <v/>
      </c>
      <c r="Q29" s="13">
        <f>VLOOKUP(B29,'Data World'!$A:$AL,MATCH(World!$Q$1,'Data World'!$A$1:$AL$1,))</f>
        <v/>
      </c>
      <c r="R29" s="13">
        <f>VLOOKUP(B29,'Data World'!$A:$AL,MATCH(World!$R$1,'Data World'!$A$1:$AL$1,))</f>
        <v/>
      </c>
      <c r="S29" s="13">
        <f>VLOOKUP(B29,'Data World'!$A:$AL,MATCH(World!$S$1,'Data World'!$A$1:$AL$1,))</f>
        <v/>
      </c>
      <c r="T29" s="13">
        <f>VLOOKUP(B29,'Data World'!$A:$AL,MATCH(World!$T$1,'Data World'!$A$1:$AL$1,))</f>
        <v/>
      </c>
    </row>
    <row r="30">
      <c r="B30" s="12" t="n">
        <v>42855</v>
      </c>
      <c r="C30" s="13">
        <f>VLOOKUP(B30,'Data World'!$A:$AL,MATCH(World!$C$1,'Data World'!$A$1:$AL$1,))</f>
        <v/>
      </c>
      <c r="D30" s="13">
        <f>VLOOKUP(B30,'Data World'!$A:$AL,MATCH(World!$D$1,'Data World'!$A$1:$AL$1,))</f>
        <v/>
      </c>
      <c r="E30" s="13">
        <f>VLOOKUP(B30,'Data World'!$A:$AL,MATCH(World!$E$1,'Data World'!$A$1:$AL$1,))</f>
        <v/>
      </c>
      <c r="F30" s="13">
        <f>VLOOKUP(B30,'Data World'!$A:$AL,MATCH(World!$F$1,'Data World'!$A$1:$AL$1,))</f>
        <v/>
      </c>
      <c r="G30" s="13">
        <f>VLOOKUP(B30,'Data World'!$A:$AL,MATCH(World!$G$1,'Data World'!$A$1:$AL$1,))</f>
        <v/>
      </c>
      <c r="H30" s="13">
        <f>VLOOKUP(B30,'Data World'!$A:$AL,MATCH(World!$H$1,'Data World'!$A$1:$AL$1,))</f>
        <v/>
      </c>
      <c r="I30" s="13">
        <f>VLOOKUP(B30,'Data World'!$A:$AL,MATCH(World!$I$1,'Data World'!$A$1:$AL$1,))</f>
        <v/>
      </c>
      <c r="J30" s="13">
        <f>VLOOKUP(B30,'Data World'!$A:$AL,MATCH(World!$J$1,'Data World'!$A$1:$AL$1,))</f>
        <v/>
      </c>
      <c r="K30" s="13">
        <f>VLOOKUP(B30,'Data World'!$A:$AL,MATCH(World!$K$1,'Data World'!$A$1:$AL$1,))</f>
        <v/>
      </c>
      <c r="L30" s="13">
        <f>VLOOKUP(B30,'Data World'!$A:$AL,MATCH(World!$L$1,'Data World'!$A$1:$AL$1,))</f>
        <v/>
      </c>
      <c r="M30" s="13">
        <f>VLOOKUP(B30,'Data World'!$A:$AL,MATCH(World!$M$1,'Data World'!$A$1:$AL$1,))</f>
        <v/>
      </c>
      <c r="N30" s="13">
        <f>VLOOKUP(B30,'Data World'!$A:$AL,MATCH(World!$N$1,'Data World'!$A$1:$AL$1,))</f>
        <v/>
      </c>
      <c r="O30" s="13">
        <f>VLOOKUP(B30,'Data World'!$A:$AL,MATCH(World!$O$1,'Data World'!$A$1:$AL$1,))</f>
        <v/>
      </c>
      <c r="P30" s="13">
        <f>VLOOKUP(B30,'Data World'!$A:$AL,MATCH(World!$P$1,'Data World'!$A$1:$AL$1,))</f>
        <v/>
      </c>
      <c r="Q30" s="13">
        <f>VLOOKUP(B30,'Data World'!$A:$AL,MATCH(World!$Q$1,'Data World'!$A$1:$AL$1,))</f>
        <v/>
      </c>
      <c r="R30" s="13">
        <f>VLOOKUP(B30,'Data World'!$A:$AL,MATCH(World!$R$1,'Data World'!$A$1:$AL$1,))</f>
        <v/>
      </c>
      <c r="S30" s="13">
        <f>VLOOKUP(B30,'Data World'!$A:$AL,MATCH(World!$S$1,'Data World'!$A$1:$AL$1,))</f>
        <v/>
      </c>
      <c r="T30" s="13">
        <f>VLOOKUP(B30,'Data World'!$A:$AL,MATCH(World!$T$1,'Data World'!$A$1:$AL$1,))</f>
        <v/>
      </c>
    </row>
    <row r="31">
      <c r="B31" s="12" t="n">
        <v>42886</v>
      </c>
      <c r="C31" s="13">
        <f>VLOOKUP(B31,'Data World'!$A:$AL,MATCH(World!$C$1,'Data World'!$A$1:$AL$1,))</f>
        <v/>
      </c>
      <c r="D31" s="13">
        <f>VLOOKUP(B31,'Data World'!$A:$AL,MATCH(World!$D$1,'Data World'!$A$1:$AL$1,))</f>
        <v/>
      </c>
      <c r="E31" s="13">
        <f>VLOOKUP(B31,'Data World'!$A:$AL,MATCH(World!$E$1,'Data World'!$A$1:$AL$1,))</f>
        <v/>
      </c>
      <c r="F31" s="13">
        <f>VLOOKUP(B31,'Data World'!$A:$AL,MATCH(World!$F$1,'Data World'!$A$1:$AL$1,))</f>
        <v/>
      </c>
      <c r="G31" s="13">
        <f>VLOOKUP(B31,'Data World'!$A:$AL,MATCH(World!$G$1,'Data World'!$A$1:$AL$1,))</f>
        <v/>
      </c>
      <c r="H31" s="13">
        <f>VLOOKUP(B31,'Data World'!$A:$AL,MATCH(World!$H$1,'Data World'!$A$1:$AL$1,))</f>
        <v/>
      </c>
      <c r="I31" s="13">
        <f>VLOOKUP(B31,'Data World'!$A:$AL,MATCH(World!$I$1,'Data World'!$A$1:$AL$1,))</f>
        <v/>
      </c>
      <c r="J31" s="13">
        <f>VLOOKUP(B31,'Data World'!$A:$AL,MATCH(World!$J$1,'Data World'!$A$1:$AL$1,))</f>
        <v/>
      </c>
      <c r="K31" s="13">
        <f>VLOOKUP(B31,'Data World'!$A:$AL,MATCH(World!$K$1,'Data World'!$A$1:$AL$1,))</f>
        <v/>
      </c>
      <c r="L31" s="13">
        <f>VLOOKUP(B31,'Data World'!$A:$AL,MATCH(World!$L$1,'Data World'!$A$1:$AL$1,))</f>
        <v/>
      </c>
      <c r="M31" s="13">
        <f>VLOOKUP(B31,'Data World'!$A:$AL,MATCH(World!$M$1,'Data World'!$A$1:$AL$1,))</f>
        <v/>
      </c>
      <c r="N31" s="13">
        <f>VLOOKUP(B31,'Data World'!$A:$AL,MATCH(World!$N$1,'Data World'!$A$1:$AL$1,))</f>
        <v/>
      </c>
      <c r="O31" s="13">
        <f>VLOOKUP(B31,'Data World'!$A:$AL,MATCH(World!$O$1,'Data World'!$A$1:$AL$1,))</f>
        <v/>
      </c>
      <c r="P31" s="13">
        <f>VLOOKUP(B31,'Data World'!$A:$AL,MATCH(World!$P$1,'Data World'!$A$1:$AL$1,))</f>
        <v/>
      </c>
      <c r="Q31" s="13">
        <f>VLOOKUP(B31,'Data World'!$A:$AL,MATCH(World!$Q$1,'Data World'!$A$1:$AL$1,))</f>
        <v/>
      </c>
      <c r="R31" s="13">
        <f>VLOOKUP(B31,'Data World'!$A:$AL,MATCH(World!$R$1,'Data World'!$A$1:$AL$1,))</f>
        <v/>
      </c>
      <c r="S31" s="13">
        <f>VLOOKUP(B31,'Data World'!$A:$AL,MATCH(World!$S$1,'Data World'!$A$1:$AL$1,))</f>
        <v/>
      </c>
      <c r="T31" s="13">
        <f>VLOOKUP(B31,'Data World'!$A:$AL,MATCH(World!$T$1,'Data World'!$A$1:$AL$1,))</f>
        <v/>
      </c>
    </row>
    <row r="32">
      <c r="B32" s="12" t="n">
        <v>42916</v>
      </c>
      <c r="C32" s="13">
        <f>VLOOKUP(B32,'Data World'!$A:$AL,MATCH(World!$C$1,'Data World'!$A$1:$AL$1,))</f>
        <v/>
      </c>
      <c r="D32" s="13">
        <f>VLOOKUP(B32,'Data World'!$A:$AL,MATCH(World!$D$1,'Data World'!$A$1:$AL$1,))</f>
        <v/>
      </c>
      <c r="E32" s="13">
        <f>VLOOKUP(B32,'Data World'!$A:$AL,MATCH(World!$E$1,'Data World'!$A$1:$AL$1,))</f>
        <v/>
      </c>
      <c r="F32" s="13">
        <f>VLOOKUP(B32,'Data World'!$A:$AL,MATCH(World!$F$1,'Data World'!$A$1:$AL$1,))</f>
        <v/>
      </c>
      <c r="G32" s="13">
        <f>VLOOKUP(B32,'Data World'!$A:$AL,MATCH(World!$G$1,'Data World'!$A$1:$AL$1,))</f>
        <v/>
      </c>
      <c r="H32" s="13">
        <f>VLOOKUP(B32,'Data World'!$A:$AL,MATCH(World!$H$1,'Data World'!$A$1:$AL$1,))</f>
        <v/>
      </c>
      <c r="I32" s="13">
        <f>VLOOKUP(B32,'Data World'!$A:$AL,MATCH(World!$I$1,'Data World'!$A$1:$AL$1,))</f>
        <v/>
      </c>
      <c r="J32" s="13">
        <f>VLOOKUP(B32,'Data World'!$A:$AL,MATCH(World!$J$1,'Data World'!$A$1:$AL$1,))</f>
        <v/>
      </c>
      <c r="K32" s="13">
        <f>VLOOKUP(B32,'Data World'!$A:$AL,MATCH(World!$K$1,'Data World'!$A$1:$AL$1,))</f>
        <v/>
      </c>
      <c r="L32" s="13">
        <f>VLOOKUP(B32,'Data World'!$A:$AL,MATCH(World!$L$1,'Data World'!$A$1:$AL$1,))</f>
        <v/>
      </c>
      <c r="M32" s="13">
        <f>VLOOKUP(B32,'Data World'!$A:$AL,MATCH(World!$M$1,'Data World'!$A$1:$AL$1,))</f>
        <v/>
      </c>
      <c r="N32" s="13">
        <f>VLOOKUP(B32,'Data World'!$A:$AL,MATCH(World!$N$1,'Data World'!$A$1:$AL$1,))</f>
        <v/>
      </c>
      <c r="O32" s="13">
        <f>VLOOKUP(B32,'Data World'!$A:$AL,MATCH(World!$O$1,'Data World'!$A$1:$AL$1,))</f>
        <v/>
      </c>
      <c r="P32" s="13">
        <f>VLOOKUP(B32,'Data World'!$A:$AL,MATCH(World!$P$1,'Data World'!$A$1:$AL$1,))</f>
        <v/>
      </c>
      <c r="Q32" s="13">
        <f>VLOOKUP(B32,'Data World'!$A:$AL,MATCH(World!$Q$1,'Data World'!$A$1:$AL$1,))</f>
        <v/>
      </c>
      <c r="R32" s="13">
        <f>VLOOKUP(B32,'Data World'!$A:$AL,MATCH(World!$R$1,'Data World'!$A$1:$AL$1,))</f>
        <v/>
      </c>
      <c r="S32" s="13">
        <f>VLOOKUP(B32,'Data World'!$A:$AL,MATCH(World!$S$1,'Data World'!$A$1:$AL$1,))</f>
        <v/>
      </c>
      <c r="T32" s="13">
        <f>VLOOKUP(B32,'Data World'!$A:$AL,MATCH(World!$T$1,'Data World'!$A$1:$AL$1,))</f>
        <v/>
      </c>
    </row>
    <row r="33">
      <c r="B33" s="12" t="n">
        <v>42947</v>
      </c>
      <c r="C33" s="13">
        <f>VLOOKUP(B33,'Data World'!$A:$AL,MATCH(World!$C$1,'Data World'!$A$1:$AL$1,))</f>
        <v/>
      </c>
      <c r="D33" s="13">
        <f>VLOOKUP(B33,'Data World'!$A:$AL,MATCH(World!$D$1,'Data World'!$A$1:$AL$1,))</f>
        <v/>
      </c>
      <c r="E33" s="13">
        <f>VLOOKUP(B33,'Data World'!$A:$AL,MATCH(World!$E$1,'Data World'!$A$1:$AL$1,))</f>
        <v/>
      </c>
      <c r="F33" s="13">
        <f>VLOOKUP(B33,'Data World'!$A:$AL,MATCH(World!$F$1,'Data World'!$A$1:$AL$1,))</f>
        <v/>
      </c>
      <c r="G33" s="13">
        <f>VLOOKUP(B33,'Data World'!$A:$AL,MATCH(World!$G$1,'Data World'!$A$1:$AL$1,))</f>
        <v/>
      </c>
      <c r="H33" s="13">
        <f>VLOOKUP(B33,'Data World'!$A:$AL,MATCH(World!$H$1,'Data World'!$A$1:$AL$1,))</f>
        <v/>
      </c>
      <c r="I33" s="13">
        <f>VLOOKUP(B33,'Data World'!$A:$AL,MATCH(World!$I$1,'Data World'!$A$1:$AL$1,))</f>
        <v/>
      </c>
      <c r="J33" s="13">
        <f>VLOOKUP(B33,'Data World'!$A:$AL,MATCH(World!$J$1,'Data World'!$A$1:$AL$1,))</f>
        <v/>
      </c>
      <c r="K33" s="13">
        <f>VLOOKUP(B33,'Data World'!$A:$AL,MATCH(World!$K$1,'Data World'!$A$1:$AL$1,))</f>
        <v/>
      </c>
      <c r="L33" s="13">
        <f>VLOOKUP(B33,'Data World'!$A:$AL,MATCH(World!$L$1,'Data World'!$A$1:$AL$1,))</f>
        <v/>
      </c>
      <c r="M33" s="13">
        <f>VLOOKUP(B33,'Data World'!$A:$AL,MATCH(World!$M$1,'Data World'!$A$1:$AL$1,))</f>
        <v/>
      </c>
      <c r="N33" s="13">
        <f>VLOOKUP(B33,'Data World'!$A:$AL,MATCH(World!$N$1,'Data World'!$A$1:$AL$1,))</f>
        <v/>
      </c>
      <c r="O33" s="13">
        <f>VLOOKUP(B33,'Data World'!$A:$AL,MATCH(World!$O$1,'Data World'!$A$1:$AL$1,))</f>
        <v/>
      </c>
      <c r="P33" s="13">
        <f>VLOOKUP(B33,'Data World'!$A:$AL,MATCH(World!$P$1,'Data World'!$A$1:$AL$1,))</f>
        <v/>
      </c>
      <c r="Q33" s="13">
        <f>VLOOKUP(B33,'Data World'!$A:$AL,MATCH(World!$Q$1,'Data World'!$A$1:$AL$1,))</f>
        <v/>
      </c>
      <c r="R33" s="13">
        <f>VLOOKUP(B33,'Data World'!$A:$AL,MATCH(World!$R$1,'Data World'!$A$1:$AL$1,))</f>
        <v/>
      </c>
      <c r="S33" s="13">
        <f>VLOOKUP(B33,'Data World'!$A:$AL,MATCH(World!$S$1,'Data World'!$A$1:$AL$1,))</f>
        <v/>
      </c>
      <c r="T33" s="13">
        <f>VLOOKUP(B33,'Data World'!$A:$AL,MATCH(World!$T$1,'Data World'!$A$1:$AL$1,))</f>
        <v/>
      </c>
    </row>
    <row r="34">
      <c r="B34" s="12" t="n">
        <v>42978</v>
      </c>
      <c r="C34" s="13">
        <f>VLOOKUP(B34,'Data World'!$A:$AL,MATCH(World!$C$1,'Data World'!$A$1:$AL$1,))</f>
        <v/>
      </c>
      <c r="D34" s="13">
        <f>VLOOKUP(B34,'Data World'!$A:$AL,MATCH(World!$D$1,'Data World'!$A$1:$AL$1,))</f>
        <v/>
      </c>
      <c r="E34" s="13">
        <f>VLOOKUP(B34,'Data World'!$A:$AL,MATCH(World!$E$1,'Data World'!$A$1:$AL$1,))</f>
        <v/>
      </c>
      <c r="F34" s="13">
        <f>VLOOKUP(B34,'Data World'!$A:$AL,MATCH(World!$F$1,'Data World'!$A$1:$AL$1,))</f>
        <v/>
      </c>
      <c r="G34" s="13">
        <f>VLOOKUP(B34,'Data World'!$A:$AL,MATCH(World!$G$1,'Data World'!$A$1:$AL$1,))</f>
        <v/>
      </c>
      <c r="H34" s="13">
        <f>VLOOKUP(B34,'Data World'!$A:$AL,MATCH(World!$H$1,'Data World'!$A$1:$AL$1,))</f>
        <v/>
      </c>
      <c r="I34" s="13">
        <f>VLOOKUP(B34,'Data World'!$A:$AL,MATCH(World!$I$1,'Data World'!$A$1:$AL$1,))</f>
        <v/>
      </c>
      <c r="J34" s="13">
        <f>VLOOKUP(B34,'Data World'!$A:$AL,MATCH(World!$J$1,'Data World'!$A$1:$AL$1,))</f>
        <v/>
      </c>
      <c r="K34" s="13">
        <f>VLOOKUP(B34,'Data World'!$A:$AL,MATCH(World!$K$1,'Data World'!$A$1:$AL$1,))</f>
        <v/>
      </c>
      <c r="L34" s="13">
        <f>VLOOKUP(B34,'Data World'!$A:$AL,MATCH(World!$L$1,'Data World'!$A$1:$AL$1,))</f>
        <v/>
      </c>
      <c r="M34" s="13">
        <f>VLOOKUP(B34,'Data World'!$A:$AL,MATCH(World!$M$1,'Data World'!$A$1:$AL$1,))</f>
        <v/>
      </c>
      <c r="N34" s="13">
        <f>VLOOKUP(B34,'Data World'!$A:$AL,MATCH(World!$N$1,'Data World'!$A$1:$AL$1,))</f>
        <v/>
      </c>
      <c r="O34" s="13">
        <f>VLOOKUP(B34,'Data World'!$A:$AL,MATCH(World!$O$1,'Data World'!$A$1:$AL$1,))</f>
        <v/>
      </c>
      <c r="P34" s="13">
        <f>VLOOKUP(B34,'Data World'!$A:$AL,MATCH(World!$P$1,'Data World'!$A$1:$AL$1,))</f>
        <v/>
      </c>
      <c r="Q34" s="13">
        <f>VLOOKUP(B34,'Data World'!$A:$AL,MATCH(World!$Q$1,'Data World'!$A$1:$AL$1,))</f>
        <v/>
      </c>
      <c r="R34" s="13">
        <f>VLOOKUP(B34,'Data World'!$A:$AL,MATCH(World!$R$1,'Data World'!$A$1:$AL$1,))</f>
        <v/>
      </c>
      <c r="S34" s="13">
        <f>VLOOKUP(B34,'Data World'!$A:$AL,MATCH(World!$S$1,'Data World'!$A$1:$AL$1,))</f>
        <v/>
      </c>
      <c r="T34" s="13">
        <f>VLOOKUP(B34,'Data World'!$A:$AL,MATCH(World!$T$1,'Data World'!$A$1:$AL$1,))</f>
        <v/>
      </c>
    </row>
    <row r="35">
      <c r="B35" s="12" t="n">
        <v>43008</v>
      </c>
      <c r="C35" s="13">
        <f>VLOOKUP(B35,'Data World'!$A:$AL,MATCH(World!$C$1,'Data World'!$A$1:$AL$1,))</f>
        <v/>
      </c>
      <c r="D35" s="13">
        <f>VLOOKUP(B35,'Data World'!$A:$AL,MATCH(World!$D$1,'Data World'!$A$1:$AL$1,))</f>
        <v/>
      </c>
      <c r="E35" s="13">
        <f>VLOOKUP(B35,'Data World'!$A:$AL,MATCH(World!$E$1,'Data World'!$A$1:$AL$1,))</f>
        <v/>
      </c>
      <c r="F35" s="13">
        <f>VLOOKUP(B35,'Data World'!$A:$AL,MATCH(World!$F$1,'Data World'!$A$1:$AL$1,))</f>
        <v/>
      </c>
      <c r="G35" s="13">
        <f>VLOOKUP(B35,'Data World'!$A:$AL,MATCH(World!$G$1,'Data World'!$A$1:$AL$1,))</f>
        <v/>
      </c>
      <c r="H35" s="13">
        <f>VLOOKUP(B35,'Data World'!$A:$AL,MATCH(World!$H$1,'Data World'!$A$1:$AL$1,))</f>
        <v/>
      </c>
      <c r="I35" s="13">
        <f>VLOOKUP(B35,'Data World'!$A:$AL,MATCH(World!$I$1,'Data World'!$A$1:$AL$1,))</f>
        <v/>
      </c>
      <c r="J35" s="13">
        <f>VLOOKUP(B35,'Data World'!$A:$AL,MATCH(World!$J$1,'Data World'!$A$1:$AL$1,))</f>
        <v/>
      </c>
      <c r="K35" s="13">
        <f>VLOOKUP(B35,'Data World'!$A:$AL,MATCH(World!$K$1,'Data World'!$A$1:$AL$1,))</f>
        <v/>
      </c>
      <c r="L35" s="13">
        <f>VLOOKUP(B35,'Data World'!$A:$AL,MATCH(World!$L$1,'Data World'!$A$1:$AL$1,))</f>
        <v/>
      </c>
      <c r="M35" s="13">
        <f>VLOOKUP(B35,'Data World'!$A:$AL,MATCH(World!$M$1,'Data World'!$A$1:$AL$1,))</f>
        <v/>
      </c>
      <c r="N35" s="13">
        <f>VLOOKUP(B35,'Data World'!$A:$AL,MATCH(World!$N$1,'Data World'!$A$1:$AL$1,))</f>
        <v/>
      </c>
      <c r="O35" s="13">
        <f>VLOOKUP(B35,'Data World'!$A:$AL,MATCH(World!$O$1,'Data World'!$A$1:$AL$1,))</f>
        <v/>
      </c>
      <c r="P35" s="13">
        <f>VLOOKUP(B35,'Data World'!$A:$AL,MATCH(World!$P$1,'Data World'!$A$1:$AL$1,))</f>
        <v/>
      </c>
      <c r="Q35" s="13">
        <f>VLOOKUP(B35,'Data World'!$A:$AL,MATCH(World!$Q$1,'Data World'!$A$1:$AL$1,))</f>
        <v/>
      </c>
      <c r="R35" s="13">
        <f>VLOOKUP(B35,'Data World'!$A:$AL,MATCH(World!$R$1,'Data World'!$A$1:$AL$1,))</f>
        <v/>
      </c>
      <c r="S35" s="13">
        <f>VLOOKUP(B35,'Data World'!$A:$AL,MATCH(World!$S$1,'Data World'!$A$1:$AL$1,))</f>
        <v/>
      </c>
      <c r="T35" s="13">
        <f>VLOOKUP(B35,'Data World'!$A:$AL,MATCH(World!$T$1,'Data World'!$A$1:$AL$1,))</f>
        <v/>
      </c>
    </row>
    <row r="36">
      <c r="B36" s="12" t="n">
        <v>43039</v>
      </c>
      <c r="C36" s="13">
        <f>VLOOKUP(B36,'Data World'!$A:$AL,MATCH(World!$C$1,'Data World'!$A$1:$AL$1,))</f>
        <v/>
      </c>
      <c r="D36" s="13">
        <f>VLOOKUP(B36,'Data World'!$A:$AL,MATCH(World!$D$1,'Data World'!$A$1:$AL$1,))</f>
        <v/>
      </c>
      <c r="E36" s="13">
        <f>VLOOKUP(B36,'Data World'!$A:$AL,MATCH(World!$E$1,'Data World'!$A$1:$AL$1,))</f>
        <v/>
      </c>
      <c r="F36" s="13">
        <f>VLOOKUP(B36,'Data World'!$A:$AL,MATCH(World!$F$1,'Data World'!$A$1:$AL$1,))</f>
        <v/>
      </c>
      <c r="G36" s="13">
        <f>VLOOKUP(B36,'Data World'!$A:$AL,MATCH(World!$G$1,'Data World'!$A$1:$AL$1,))</f>
        <v/>
      </c>
      <c r="H36" s="13">
        <f>VLOOKUP(B36,'Data World'!$A:$AL,MATCH(World!$H$1,'Data World'!$A$1:$AL$1,))</f>
        <v/>
      </c>
      <c r="I36" s="13">
        <f>VLOOKUP(B36,'Data World'!$A:$AL,MATCH(World!$I$1,'Data World'!$A$1:$AL$1,))</f>
        <v/>
      </c>
      <c r="J36" s="13">
        <f>VLOOKUP(B36,'Data World'!$A:$AL,MATCH(World!$J$1,'Data World'!$A$1:$AL$1,))</f>
        <v/>
      </c>
      <c r="K36" s="13">
        <f>VLOOKUP(B36,'Data World'!$A:$AL,MATCH(World!$K$1,'Data World'!$A$1:$AL$1,))</f>
        <v/>
      </c>
      <c r="L36" s="13">
        <f>VLOOKUP(B36,'Data World'!$A:$AL,MATCH(World!$L$1,'Data World'!$A$1:$AL$1,))</f>
        <v/>
      </c>
      <c r="M36" s="13">
        <f>VLOOKUP(B36,'Data World'!$A:$AL,MATCH(World!$M$1,'Data World'!$A$1:$AL$1,))</f>
        <v/>
      </c>
      <c r="N36" s="13">
        <f>VLOOKUP(B36,'Data World'!$A:$AL,MATCH(World!$N$1,'Data World'!$A$1:$AL$1,))</f>
        <v/>
      </c>
      <c r="O36" s="13">
        <f>VLOOKUP(B36,'Data World'!$A:$AL,MATCH(World!$O$1,'Data World'!$A$1:$AL$1,))</f>
        <v/>
      </c>
      <c r="P36" s="13">
        <f>VLOOKUP(B36,'Data World'!$A:$AL,MATCH(World!$P$1,'Data World'!$A$1:$AL$1,))</f>
        <v/>
      </c>
      <c r="Q36" s="13">
        <f>VLOOKUP(B36,'Data World'!$A:$AL,MATCH(World!$Q$1,'Data World'!$A$1:$AL$1,))</f>
        <v/>
      </c>
      <c r="R36" s="13">
        <f>VLOOKUP(B36,'Data World'!$A:$AL,MATCH(World!$R$1,'Data World'!$A$1:$AL$1,))</f>
        <v/>
      </c>
      <c r="S36" s="13">
        <f>VLOOKUP(B36,'Data World'!$A:$AL,MATCH(World!$S$1,'Data World'!$A$1:$AL$1,))</f>
        <v/>
      </c>
      <c r="T36" s="13">
        <f>VLOOKUP(B36,'Data World'!$A:$AL,MATCH(World!$T$1,'Data World'!$A$1:$AL$1,))</f>
        <v/>
      </c>
    </row>
    <row r="37">
      <c r="B37" s="12" t="n">
        <v>43069</v>
      </c>
      <c r="C37" s="13">
        <f>VLOOKUP(B37,'Data World'!$A:$AL,MATCH(World!$C$1,'Data World'!$A$1:$AL$1,))</f>
        <v/>
      </c>
      <c r="D37" s="13">
        <f>VLOOKUP(B37,'Data World'!$A:$AL,MATCH(World!$D$1,'Data World'!$A$1:$AL$1,))</f>
        <v/>
      </c>
      <c r="E37" s="13">
        <f>VLOOKUP(B37,'Data World'!$A:$AL,MATCH(World!$E$1,'Data World'!$A$1:$AL$1,))</f>
        <v/>
      </c>
      <c r="F37" s="13">
        <f>VLOOKUP(B37,'Data World'!$A:$AL,MATCH(World!$F$1,'Data World'!$A$1:$AL$1,))</f>
        <v/>
      </c>
      <c r="G37" s="13">
        <f>VLOOKUP(B37,'Data World'!$A:$AL,MATCH(World!$G$1,'Data World'!$A$1:$AL$1,))</f>
        <v/>
      </c>
      <c r="H37" s="13">
        <f>VLOOKUP(B37,'Data World'!$A:$AL,MATCH(World!$H$1,'Data World'!$A$1:$AL$1,))</f>
        <v/>
      </c>
      <c r="I37" s="13">
        <f>VLOOKUP(B37,'Data World'!$A:$AL,MATCH(World!$I$1,'Data World'!$A$1:$AL$1,))</f>
        <v/>
      </c>
      <c r="J37" s="13">
        <f>VLOOKUP(B37,'Data World'!$A:$AL,MATCH(World!$J$1,'Data World'!$A$1:$AL$1,))</f>
        <v/>
      </c>
      <c r="K37" s="13">
        <f>VLOOKUP(B37,'Data World'!$A:$AL,MATCH(World!$K$1,'Data World'!$A$1:$AL$1,))</f>
        <v/>
      </c>
      <c r="L37" s="13">
        <f>VLOOKUP(B37,'Data World'!$A:$AL,MATCH(World!$L$1,'Data World'!$A$1:$AL$1,))</f>
        <v/>
      </c>
      <c r="M37" s="13">
        <f>VLOOKUP(B37,'Data World'!$A:$AL,MATCH(World!$M$1,'Data World'!$A$1:$AL$1,))</f>
        <v/>
      </c>
      <c r="N37" s="13">
        <f>VLOOKUP(B37,'Data World'!$A:$AL,MATCH(World!$N$1,'Data World'!$A$1:$AL$1,))</f>
        <v/>
      </c>
      <c r="O37" s="13">
        <f>VLOOKUP(B37,'Data World'!$A:$AL,MATCH(World!$O$1,'Data World'!$A$1:$AL$1,))</f>
        <v/>
      </c>
      <c r="P37" s="13">
        <f>VLOOKUP(B37,'Data World'!$A:$AL,MATCH(World!$P$1,'Data World'!$A$1:$AL$1,))</f>
        <v/>
      </c>
      <c r="Q37" s="13">
        <f>VLOOKUP(B37,'Data World'!$A:$AL,MATCH(World!$Q$1,'Data World'!$A$1:$AL$1,))</f>
        <v/>
      </c>
      <c r="R37" s="13">
        <f>VLOOKUP(B37,'Data World'!$A:$AL,MATCH(World!$R$1,'Data World'!$A$1:$AL$1,))</f>
        <v/>
      </c>
      <c r="S37" s="13">
        <f>VLOOKUP(B37,'Data World'!$A:$AL,MATCH(World!$S$1,'Data World'!$A$1:$AL$1,))</f>
        <v/>
      </c>
      <c r="T37" s="13">
        <f>VLOOKUP(B37,'Data World'!$A:$AL,MATCH(World!$T$1,'Data World'!$A$1:$AL$1,))</f>
        <v/>
      </c>
    </row>
    <row r="38">
      <c r="B38" s="12" t="n">
        <v>43100</v>
      </c>
      <c r="C38" s="13">
        <f>VLOOKUP(B38,'Data World'!$A:$AL,MATCH(World!$C$1,'Data World'!$A$1:$AL$1,))</f>
        <v/>
      </c>
      <c r="D38" s="13">
        <f>VLOOKUP(B38,'Data World'!$A:$AL,MATCH(World!$D$1,'Data World'!$A$1:$AL$1,))</f>
        <v/>
      </c>
      <c r="E38" s="13">
        <f>VLOOKUP(B38,'Data World'!$A:$AL,MATCH(World!$E$1,'Data World'!$A$1:$AL$1,))</f>
        <v/>
      </c>
      <c r="F38" s="13">
        <f>VLOOKUP(B38,'Data World'!$A:$AL,MATCH(World!$F$1,'Data World'!$A$1:$AL$1,))</f>
        <v/>
      </c>
      <c r="G38" s="13">
        <f>VLOOKUP(B38,'Data World'!$A:$AL,MATCH(World!$G$1,'Data World'!$A$1:$AL$1,))</f>
        <v/>
      </c>
      <c r="H38" s="13">
        <f>VLOOKUP(B38,'Data World'!$A:$AL,MATCH(World!$H$1,'Data World'!$A$1:$AL$1,))</f>
        <v/>
      </c>
      <c r="I38" s="13">
        <f>VLOOKUP(B38,'Data World'!$A:$AL,MATCH(World!$I$1,'Data World'!$A$1:$AL$1,))</f>
        <v/>
      </c>
      <c r="J38" s="13">
        <f>VLOOKUP(B38,'Data World'!$A:$AL,MATCH(World!$J$1,'Data World'!$A$1:$AL$1,))</f>
        <v/>
      </c>
      <c r="K38" s="13">
        <f>VLOOKUP(B38,'Data World'!$A:$AL,MATCH(World!$K$1,'Data World'!$A$1:$AL$1,))</f>
        <v/>
      </c>
      <c r="L38" s="13">
        <f>VLOOKUP(B38,'Data World'!$A:$AL,MATCH(World!$L$1,'Data World'!$A$1:$AL$1,))</f>
        <v/>
      </c>
      <c r="M38" s="13">
        <f>VLOOKUP(B38,'Data World'!$A:$AL,MATCH(World!$M$1,'Data World'!$A$1:$AL$1,))</f>
        <v/>
      </c>
      <c r="N38" s="13">
        <f>VLOOKUP(B38,'Data World'!$A:$AL,MATCH(World!$N$1,'Data World'!$A$1:$AL$1,))</f>
        <v/>
      </c>
      <c r="O38" s="13">
        <f>VLOOKUP(B38,'Data World'!$A:$AL,MATCH(World!$O$1,'Data World'!$A$1:$AL$1,))</f>
        <v/>
      </c>
      <c r="P38" s="13">
        <f>VLOOKUP(B38,'Data World'!$A:$AL,MATCH(World!$P$1,'Data World'!$A$1:$AL$1,))</f>
        <v/>
      </c>
      <c r="Q38" s="13">
        <f>VLOOKUP(B38,'Data World'!$A:$AL,MATCH(World!$Q$1,'Data World'!$A$1:$AL$1,))</f>
        <v/>
      </c>
      <c r="R38" s="13">
        <f>VLOOKUP(B38,'Data World'!$A:$AL,MATCH(World!$R$1,'Data World'!$A$1:$AL$1,))</f>
        <v/>
      </c>
      <c r="S38" s="13">
        <f>VLOOKUP(B38,'Data World'!$A:$AL,MATCH(World!$S$1,'Data World'!$A$1:$AL$1,))</f>
        <v/>
      </c>
      <c r="T38" s="13">
        <f>VLOOKUP(B38,'Data World'!$A:$AL,MATCH(World!$T$1,'Data World'!$A$1:$AL$1,))</f>
        <v/>
      </c>
    </row>
    <row r="39">
      <c r="B39" s="12" t="n">
        <v>43131</v>
      </c>
      <c r="C39" s="13">
        <f>VLOOKUP(B39,'Data World'!$A:$AL,MATCH(World!$C$1,'Data World'!$A$1:$AL$1,))</f>
        <v/>
      </c>
      <c r="D39" s="13">
        <f>VLOOKUP(B39,'Data World'!$A:$AL,MATCH(World!$D$1,'Data World'!$A$1:$AL$1,))</f>
        <v/>
      </c>
      <c r="E39" s="13">
        <f>VLOOKUP(B39,'Data World'!$A:$AL,MATCH(World!$E$1,'Data World'!$A$1:$AL$1,))</f>
        <v/>
      </c>
      <c r="F39" s="13">
        <f>VLOOKUP(B39,'Data World'!$A:$AL,MATCH(World!$F$1,'Data World'!$A$1:$AL$1,))</f>
        <v/>
      </c>
      <c r="G39" s="13">
        <f>VLOOKUP(B39,'Data World'!$A:$AL,MATCH(World!$G$1,'Data World'!$A$1:$AL$1,))</f>
        <v/>
      </c>
      <c r="H39" s="13">
        <f>VLOOKUP(B39,'Data World'!$A:$AL,MATCH(World!$H$1,'Data World'!$A$1:$AL$1,))</f>
        <v/>
      </c>
      <c r="I39" s="13">
        <f>VLOOKUP(B39,'Data World'!$A:$AL,MATCH(World!$I$1,'Data World'!$A$1:$AL$1,))</f>
        <v/>
      </c>
      <c r="J39" s="13">
        <f>VLOOKUP(B39,'Data World'!$A:$AL,MATCH(World!$J$1,'Data World'!$A$1:$AL$1,))</f>
        <v/>
      </c>
      <c r="K39" s="13">
        <f>VLOOKUP(B39,'Data World'!$A:$AL,MATCH(World!$K$1,'Data World'!$A$1:$AL$1,))</f>
        <v/>
      </c>
      <c r="L39" s="13">
        <f>VLOOKUP(B39,'Data World'!$A:$AL,MATCH(World!$L$1,'Data World'!$A$1:$AL$1,))</f>
        <v/>
      </c>
      <c r="M39" s="13">
        <f>VLOOKUP(B39,'Data World'!$A:$AL,MATCH(World!$M$1,'Data World'!$A$1:$AL$1,))</f>
        <v/>
      </c>
      <c r="N39" s="13">
        <f>VLOOKUP(B39,'Data World'!$A:$AL,MATCH(World!$N$1,'Data World'!$A$1:$AL$1,))</f>
        <v/>
      </c>
      <c r="O39" s="13">
        <f>VLOOKUP(B39,'Data World'!$A:$AL,MATCH(World!$O$1,'Data World'!$A$1:$AL$1,))</f>
        <v/>
      </c>
      <c r="P39" s="13">
        <f>VLOOKUP(B39,'Data World'!$A:$AL,MATCH(World!$P$1,'Data World'!$A$1:$AL$1,))</f>
        <v/>
      </c>
      <c r="Q39" s="13">
        <f>VLOOKUP(B39,'Data World'!$A:$AL,MATCH(World!$Q$1,'Data World'!$A$1:$AL$1,))</f>
        <v/>
      </c>
      <c r="R39" s="13">
        <f>VLOOKUP(B39,'Data World'!$A:$AL,MATCH(World!$R$1,'Data World'!$A$1:$AL$1,))</f>
        <v/>
      </c>
      <c r="S39" s="13">
        <f>VLOOKUP(B39,'Data World'!$A:$AL,MATCH(World!$S$1,'Data World'!$A$1:$AL$1,))</f>
        <v/>
      </c>
      <c r="T39" s="13">
        <f>VLOOKUP(B39,'Data World'!$A:$AL,MATCH(World!$T$1,'Data World'!$A$1:$AL$1,))</f>
        <v/>
      </c>
    </row>
    <row r="40">
      <c r="B40" s="12" t="n">
        <v>43159</v>
      </c>
      <c r="C40" s="13">
        <f>VLOOKUP(B40,'Data World'!$A:$AL,MATCH(World!$C$1,'Data World'!$A$1:$AL$1,))</f>
        <v/>
      </c>
      <c r="D40" s="13">
        <f>VLOOKUP(B40,'Data World'!$A:$AL,MATCH(World!$D$1,'Data World'!$A$1:$AL$1,))</f>
        <v/>
      </c>
      <c r="E40" s="13">
        <f>VLOOKUP(B40,'Data World'!$A:$AL,MATCH(World!$E$1,'Data World'!$A$1:$AL$1,))</f>
        <v/>
      </c>
      <c r="F40" s="13">
        <f>VLOOKUP(B40,'Data World'!$A:$AL,MATCH(World!$F$1,'Data World'!$A$1:$AL$1,))</f>
        <v/>
      </c>
      <c r="G40" s="13">
        <f>VLOOKUP(B40,'Data World'!$A:$AL,MATCH(World!$G$1,'Data World'!$A$1:$AL$1,))</f>
        <v/>
      </c>
      <c r="H40" s="13">
        <f>VLOOKUP(B40,'Data World'!$A:$AL,MATCH(World!$H$1,'Data World'!$A$1:$AL$1,))</f>
        <v/>
      </c>
      <c r="I40" s="13">
        <f>VLOOKUP(B40,'Data World'!$A:$AL,MATCH(World!$I$1,'Data World'!$A$1:$AL$1,))</f>
        <v/>
      </c>
      <c r="J40" s="13">
        <f>VLOOKUP(B40,'Data World'!$A:$AL,MATCH(World!$J$1,'Data World'!$A$1:$AL$1,))</f>
        <v/>
      </c>
      <c r="K40" s="13">
        <f>VLOOKUP(B40,'Data World'!$A:$AL,MATCH(World!$K$1,'Data World'!$A$1:$AL$1,))</f>
        <v/>
      </c>
      <c r="L40" s="13">
        <f>VLOOKUP(B40,'Data World'!$A:$AL,MATCH(World!$L$1,'Data World'!$A$1:$AL$1,))</f>
        <v/>
      </c>
      <c r="M40" s="13">
        <f>VLOOKUP(B40,'Data World'!$A:$AL,MATCH(World!$M$1,'Data World'!$A$1:$AL$1,))</f>
        <v/>
      </c>
      <c r="N40" s="13">
        <f>VLOOKUP(B40,'Data World'!$A:$AL,MATCH(World!$N$1,'Data World'!$A$1:$AL$1,))</f>
        <v/>
      </c>
      <c r="O40" s="13">
        <f>VLOOKUP(B40,'Data World'!$A:$AL,MATCH(World!$O$1,'Data World'!$A$1:$AL$1,))</f>
        <v/>
      </c>
      <c r="P40" s="13">
        <f>VLOOKUP(B40,'Data World'!$A:$AL,MATCH(World!$P$1,'Data World'!$A$1:$AL$1,))</f>
        <v/>
      </c>
      <c r="Q40" s="13">
        <f>VLOOKUP(B40,'Data World'!$A:$AL,MATCH(World!$Q$1,'Data World'!$A$1:$AL$1,))</f>
        <v/>
      </c>
      <c r="R40" s="13">
        <f>VLOOKUP(B40,'Data World'!$A:$AL,MATCH(World!$R$1,'Data World'!$A$1:$AL$1,))</f>
        <v/>
      </c>
      <c r="S40" s="13">
        <f>VLOOKUP(B40,'Data World'!$A:$AL,MATCH(World!$S$1,'Data World'!$A$1:$AL$1,))</f>
        <v/>
      </c>
      <c r="T40" s="13">
        <f>VLOOKUP(B40,'Data World'!$A:$AL,MATCH(World!$T$1,'Data World'!$A$1:$AL$1,))</f>
        <v/>
      </c>
    </row>
    <row r="41">
      <c r="B41" s="12" t="n">
        <v>43190</v>
      </c>
      <c r="C41" s="13">
        <f>VLOOKUP(B41,'Data World'!$A:$AL,MATCH(World!$C$1,'Data World'!$A$1:$AL$1,))</f>
        <v/>
      </c>
      <c r="D41" s="13">
        <f>VLOOKUP(B41,'Data World'!$A:$AL,MATCH(World!$D$1,'Data World'!$A$1:$AL$1,))</f>
        <v/>
      </c>
      <c r="E41" s="13">
        <f>VLOOKUP(B41,'Data World'!$A:$AL,MATCH(World!$E$1,'Data World'!$A$1:$AL$1,))</f>
        <v/>
      </c>
      <c r="F41" s="13">
        <f>VLOOKUP(B41,'Data World'!$A:$AL,MATCH(World!$F$1,'Data World'!$A$1:$AL$1,))</f>
        <v/>
      </c>
      <c r="G41" s="13">
        <f>VLOOKUP(B41,'Data World'!$A:$AL,MATCH(World!$G$1,'Data World'!$A$1:$AL$1,))</f>
        <v/>
      </c>
      <c r="H41" s="13">
        <f>VLOOKUP(B41,'Data World'!$A:$AL,MATCH(World!$H$1,'Data World'!$A$1:$AL$1,))</f>
        <v/>
      </c>
      <c r="I41" s="13">
        <f>VLOOKUP(B41,'Data World'!$A:$AL,MATCH(World!$I$1,'Data World'!$A$1:$AL$1,))</f>
        <v/>
      </c>
      <c r="J41" s="13">
        <f>VLOOKUP(B41,'Data World'!$A:$AL,MATCH(World!$J$1,'Data World'!$A$1:$AL$1,))</f>
        <v/>
      </c>
      <c r="K41" s="13">
        <f>VLOOKUP(B41,'Data World'!$A:$AL,MATCH(World!$K$1,'Data World'!$A$1:$AL$1,))</f>
        <v/>
      </c>
      <c r="L41" s="13">
        <f>VLOOKUP(B41,'Data World'!$A:$AL,MATCH(World!$L$1,'Data World'!$A$1:$AL$1,))</f>
        <v/>
      </c>
      <c r="M41" s="13">
        <f>VLOOKUP(B41,'Data World'!$A:$AL,MATCH(World!$M$1,'Data World'!$A$1:$AL$1,))</f>
        <v/>
      </c>
      <c r="N41" s="13">
        <f>VLOOKUP(B41,'Data World'!$A:$AL,MATCH(World!$N$1,'Data World'!$A$1:$AL$1,))</f>
        <v/>
      </c>
      <c r="O41" s="13">
        <f>VLOOKUP(B41,'Data World'!$A:$AL,MATCH(World!$O$1,'Data World'!$A$1:$AL$1,))</f>
        <v/>
      </c>
      <c r="P41" s="13">
        <f>VLOOKUP(B41,'Data World'!$A:$AL,MATCH(World!$P$1,'Data World'!$A$1:$AL$1,))</f>
        <v/>
      </c>
      <c r="Q41" s="13">
        <f>VLOOKUP(B41,'Data World'!$A:$AL,MATCH(World!$Q$1,'Data World'!$A$1:$AL$1,))</f>
        <v/>
      </c>
      <c r="R41" s="13">
        <f>VLOOKUP(B41,'Data World'!$A:$AL,MATCH(World!$R$1,'Data World'!$A$1:$AL$1,))</f>
        <v/>
      </c>
      <c r="S41" s="13">
        <f>VLOOKUP(B41,'Data World'!$A:$AL,MATCH(World!$S$1,'Data World'!$A$1:$AL$1,))</f>
        <v/>
      </c>
      <c r="T41" s="13">
        <f>VLOOKUP(B41,'Data World'!$A:$AL,MATCH(World!$T$1,'Data World'!$A$1:$AL$1,))</f>
        <v/>
      </c>
    </row>
    <row r="42">
      <c r="B42" s="12" t="n">
        <v>43220</v>
      </c>
      <c r="C42" s="13">
        <f>VLOOKUP(B42,'Data World'!$A:$AL,MATCH(World!$C$1,'Data World'!$A$1:$AL$1,))</f>
        <v/>
      </c>
      <c r="D42" s="13">
        <f>VLOOKUP(B42,'Data World'!$A:$AL,MATCH(World!$D$1,'Data World'!$A$1:$AL$1,))</f>
        <v/>
      </c>
      <c r="E42" s="13">
        <f>VLOOKUP(B42,'Data World'!$A:$AL,MATCH(World!$E$1,'Data World'!$A$1:$AL$1,))</f>
        <v/>
      </c>
      <c r="F42" s="13">
        <f>VLOOKUP(B42,'Data World'!$A:$AL,MATCH(World!$F$1,'Data World'!$A$1:$AL$1,))</f>
        <v/>
      </c>
      <c r="G42" s="13">
        <f>VLOOKUP(B42,'Data World'!$A:$AL,MATCH(World!$G$1,'Data World'!$A$1:$AL$1,))</f>
        <v/>
      </c>
      <c r="H42" s="13">
        <f>VLOOKUP(B42,'Data World'!$A:$AL,MATCH(World!$H$1,'Data World'!$A$1:$AL$1,))</f>
        <v/>
      </c>
      <c r="I42" s="13">
        <f>VLOOKUP(B42,'Data World'!$A:$AL,MATCH(World!$I$1,'Data World'!$A$1:$AL$1,))</f>
        <v/>
      </c>
      <c r="J42" s="13">
        <f>VLOOKUP(B42,'Data World'!$A:$AL,MATCH(World!$J$1,'Data World'!$A$1:$AL$1,))</f>
        <v/>
      </c>
      <c r="K42" s="13">
        <f>VLOOKUP(B42,'Data World'!$A:$AL,MATCH(World!$K$1,'Data World'!$A$1:$AL$1,))</f>
        <v/>
      </c>
      <c r="L42" s="13">
        <f>VLOOKUP(B42,'Data World'!$A:$AL,MATCH(World!$L$1,'Data World'!$A$1:$AL$1,))</f>
        <v/>
      </c>
      <c r="M42" s="13">
        <f>VLOOKUP(B42,'Data World'!$A:$AL,MATCH(World!$M$1,'Data World'!$A$1:$AL$1,))</f>
        <v/>
      </c>
      <c r="N42" s="13">
        <f>VLOOKUP(B42,'Data World'!$A:$AL,MATCH(World!$N$1,'Data World'!$A$1:$AL$1,))</f>
        <v/>
      </c>
      <c r="O42" s="13">
        <f>VLOOKUP(B42,'Data World'!$A:$AL,MATCH(World!$O$1,'Data World'!$A$1:$AL$1,))</f>
        <v/>
      </c>
      <c r="P42" s="13">
        <f>VLOOKUP(B42,'Data World'!$A:$AL,MATCH(World!$P$1,'Data World'!$A$1:$AL$1,))</f>
        <v/>
      </c>
      <c r="Q42" s="13">
        <f>VLOOKUP(B42,'Data World'!$A:$AL,MATCH(World!$Q$1,'Data World'!$A$1:$AL$1,))</f>
        <v/>
      </c>
      <c r="R42" s="13">
        <f>VLOOKUP(B42,'Data World'!$A:$AL,MATCH(World!$R$1,'Data World'!$A$1:$AL$1,))</f>
        <v/>
      </c>
      <c r="S42" s="13">
        <f>VLOOKUP(B42,'Data World'!$A:$AL,MATCH(World!$S$1,'Data World'!$A$1:$AL$1,))</f>
        <v/>
      </c>
      <c r="T42" s="13">
        <f>VLOOKUP(B42,'Data World'!$A:$AL,MATCH(World!$T$1,'Data World'!$A$1:$AL$1,))</f>
        <v/>
      </c>
    </row>
    <row r="43" customFormat="1" s="64">
      <c r="B43" s="12" t="n">
        <v>43251</v>
      </c>
      <c r="C43" s="13">
        <f>VLOOKUP(B43,'Data World'!$A:$AL,MATCH(World!$C$1,'Data World'!$A$1:$AL$1,))</f>
        <v/>
      </c>
      <c r="D43" s="13">
        <f>VLOOKUP(B43,'Data World'!$A:$AL,MATCH(World!$D$1,'Data World'!$A$1:$AL$1,))</f>
        <v/>
      </c>
      <c r="E43" s="13">
        <f>VLOOKUP(B43,'Data World'!$A:$AL,MATCH(World!$E$1,'Data World'!$A$1:$AL$1,))</f>
        <v/>
      </c>
      <c r="F43" s="13">
        <f>VLOOKUP(B43,'Data World'!$A:$AL,MATCH(World!$F$1,'Data World'!$A$1:$AL$1,))</f>
        <v/>
      </c>
      <c r="G43" s="13">
        <f>VLOOKUP(B43,'Data World'!$A:$AL,MATCH(World!$G$1,'Data World'!$A$1:$AL$1,))</f>
        <v/>
      </c>
      <c r="H43" s="13">
        <f>VLOOKUP(B43,'Data World'!$A:$AL,MATCH(World!$H$1,'Data World'!$A$1:$AL$1,))</f>
        <v/>
      </c>
      <c r="I43" s="13">
        <f>VLOOKUP(B43,'Data World'!$A:$AL,MATCH(World!$I$1,'Data World'!$A$1:$AL$1,))</f>
        <v/>
      </c>
      <c r="J43" s="13">
        <f>VLOOKUP(B43,'Data World'!$A:$AL,MATCH(World!$J$1,'Data World'!$A$1:$AL$1,))</f>
        <v/>
      </c>
      <c r="K43" s="13">
        <f>VLOOKUP(B43,'Data World'!$A:$AL,MATCH(World!$K$1,'Data World'!$A$1:$AL$1,))</f>
        <v/>
      </c>
      <c r="L43" s="13">
        <f>VLOOKUP(B43,'Data World'!$A:$AL,MATCH(World!$L$1,'Data World'!$A$1:$AL$1,))</f>
        <v/>
      </c>
      <c r="M43" s="13">
        <f>VLOOKUP(B43,'Data World'!$A:$AL,MATCH(World!$M$1,'Data World'!$A$1:$AL$1,))</f>
        <v/>
      </c>
      <c r="N43" s="13">
        <f>VLOOKUP(B43,'Data World'!$A:$AL,MATCH(World!$N$1,'Data World'!$A$1:$AL$1,))</f>
        <v/>
      </c>
      <c r="O43" s="13">
        <f>VLOOKUP(B43,'Data World'!$A:$AL,MATCH(World!$O$1,'Data World'!$A$1:$AL$1,))</f>
        <v/>
      </c>
      <c r="P43" s="13">
        <f>VLOOKUP(B43,'Data World'!$A:$AL,MATCH(World!$P$1,'Data World'!$A$1:$AL$1,))</f>
        <v/>
      </c>
      <c r="Q43" s="13">
        <f>VLOOKUP(B43,'Data World'!$A:$AL,MATCH(World!$Q$1,'Data World'!$A$1:$AL$1,))</f>
        <v/>
      </c>
      <c r="R43" s="13">
        <f>VLOOKUP(B43,'Data World'!$A:$AL,MATCH(World!$R$1,'Data World'!$A$1:$AL$1,))</f>
        <v/>
      </c>
      <c r="S43" s="13">
        <f>VLOOKUP(B43,'Data World'!$A:$AL,MATCH(World!$S$1,'Data World'!$A$1:$AL$1,))</f>
        <v/>
      </c>
      <c r="T43" s="13">
        <f>VLOOKUP(B43,'Data World'!$A:$AL,MATCH(World!$T$1,'Data World'!$A$1:$AL$1,))</f>
        <v/>
      </c>
    </row>
    <row r="44" customFormat="1" s="64">
      <c r="B44" s="12" t="n">
        <v>43281</v>
      </c>
      <c r="C44" s="13">
        <f>VLOOKUP(B44,'Data World'!$A:$AL,MATCH(World!$C$1,'Data World'!$A$1:$AL$1,))</f>
        <v/>
      </c>
      <c r="D44" s="13">
        <f>VLOOKUP(B44,'Data World'!$A:$AL,MATCH(World!$D$1,'Data World'!$A$1:$AL$1,))</f>
        <v/>
      </c>
      <c r="E44" s="13">
        <f>VLOOKUP(B44,'Data World'!$A:$AL,MATCH(World!$E$1,'Data World'!$A$1:$AL$1,))</f>
        <v/>
      </c>
      <c r="F44" s="13">
        <f>VLOOKUP(B44,'Data World'!$A:$AL,MATCH(World!$F$1,'Data World'!$A$1:$AL$1,))</f>
        <v/>
      </c>
      <c r="G44" s="13">
        <f>VLOOKUP(B44,'Data World'!$A:$AL,MATCH(World!$G$1,'Data World'!$A$1:$AL$1,))</f>
        <v/>
      </c>
      <c r="H44" s="13">
        <f>VLOOKUP(B44,'Data World'!$A:$AL,MATCH(World!$H$1,'Data World'!$A$1:$AL$1,))</f>
        <v/>
      </c>
      <c r="I44" s="13">
        <f>VLOOKUP(B44,'Data World'!$A:$AL,MATCH(World!$I$1,'Data World'!$A$1:$AL$1,))</f>
        <v/>
      </c>
      <c r="J44" s="13">
        <f>VLOOKUP(B44,'Data World'!$A:$AL,MATCH(World!$J$1,'Data World'!$A$1:$AL$1,))</f>
        <v/>
      </c>
      <c r="K44" s="13">
        <f>VLOOKUP(B44,'Data World'!$A:$AL,MATCH(World!$K$1,'Data World'!$A$1:$AL$1,))</f>
        <v/>
      </c>
      <c r="L44" s="13">
        <f>VLOOKUP(B44,'Data World'!$A:$AL,MATCH(World!$L$1,'Data World'!$A$1:$AL$1,))</f>
        <v/>
      </c>
      <c r="M44" s="13">
        <f>VLOOKUP(B44,'Data World'!$A:$AL,MATCH(World!$M$1,'Data World'!$A$1:$AL$1,))</f>
        <v/>
      </c>
      <c r="N44" s="13">
        <f>VLOOKUP(B44,'Data World'!$A:$AL,MATCH(World!$N$1,'Data World'!$A$1:$AL$1,))</f>
        <v/>
      </c>
      <c r="O44" s="13">
        <f>VLOOKUP(B44,'Data World'!$A:$AL,MATCH(World!$O$1,'Data World'!$A$1:$AL$1,))</f>
        <v/>
      </c>
      <c r="P44" s="13">
        <f>VLOOKUP(B44,'Data World'!$A:$AL,MATCH(World!$P$1,'Data World'!$A$1:$AL$1,))</f>
        <v/>
      </c>
      <c r="Q44" s="13">
        <f>VLOOKUP(B44,'Data World'!$A:$AL,MATCH(World!$Q$1,'Data World'!$A$1:$AL$1,))</f>
        <v/>
      </c>
      <c r="R44" s="13">
        <f>VLOOKUP(B44,'Data World'!$A:$AL,MATCH(World!$R$1,'Data World'!$A$1:$AL$1,))</f>
        <v/>
      </c>
      <c r="S44" s="13">
        <f>VLOOKUP(B44,'Data World'!$A:$AL,MATCH(World!$S$1,'Data World'!$A$1:$AL$1,))</f>
        <v/>
      </c>
      <c r="T44" s="13">
        <f>VLOOKUP(B44,'Data World'!$A:$AL,MATCH(World!$T$1,'Data World'!$A$1:$AL$1,))</f>
        <v/>
      </c>
    </row>
    <row r="45" customFormat="1" s="64">
      <c r="B45" s="12" t="n">
        <v>43312</v>
      </c>
      <c r="C45" s="13">
        <f>VLOOKUP(B45,'Data World'!$A:$AL,MATCH(World!$C$1,'Data World'!$A$1:$AL$1,))</f>
        <v/>
      </c>
      <c r="D45" s="13">
        <f>VLOOKUP(B45,'Data World'!$A:$AL,MATCH(World!$D$1,'Data World'!$A$1:$AL$1,))</f>
        <v/>
      </c>
      <c r="E45" s="13">
        <f>VLOOKUP(B45,'Data World'!$A:$AL,MATCH(World!$E$1,'Data World'!$A$1:$AL$1,))</f>
        <v/>
      </c>
      <c r="F45" s="13">
        <f>VLOOKUP(B45,'Data World'!$A:$AL,MATCH(World!$F$1,'Data World'!$A$1:$AL$1,))</f>
        <v/>
      </c>
      <c r="G45" s="13">
        <f>VLOOKUP(B45,'Data World'!$A:$AL,MATCH(World!$G$1,'Data World'!$A$1:$AL$1,))</f>
        <v/>
      </c>
      <c r="H45" s="13">
        <f>VLOOKUP(B45,'Data World'!$A:$AL,MATCH(World!$H$1,'Data World'!$A$1:$AL$1,))</f>
        <v/>
      </c>
      <c r="I45" s="13">
        <f>VLOOKUP(B45,'Data World'!$A:$AL,MATCH(World!$I$1,'Data World'!$A$1:$AL$1,))</f>
        <v/>
      </c>
      <c r="J45" s="13">
        <f>VLOOKUP(B45,'Data World'!$A:$AL,MATCH(World!$J$1,'Data World'!$A$1:$AL$1,))</f>
        <v/>
      </c>
      <c r="K45" s="13">
        <f>VLOOKUP(B45,'Data World'!$A:$AL,MATCH(World!$K$1,'Data World'!$A$1:$AL$1,))</f>
        <v/>
      </c>
      <c r="L45" s="13">
        <f>VLOOKUP(B45,'Data World'!$A:$AL,MATCH(World!$L$1,'Data World'!$A$1:$AL$1,))</f>
        <v/>
      </c>
      <c r="M45" s="13">
        <f>VLOOKUP(B45,'Data World'!$A:$AL,MATCH(World!$M$1,'Data World'!$A$1:$AL$1,))</f>
        <v/>
      </c>
      <c r="N45" s="13">
        <f>VLOOKUP(B45,'Data World'!$A:$AL,MATCH(World!$N$1,'Data World'!$A$1:$AL$1,))</f>
        <v/>
      </c>
      <c r="O45" s="13">
        <f>VLOOKUP(B45,'Data World'!$A:$AL,MATCH(World!$O$1,'Data World'!$A$1:$AL$1,))</f>
        <v/>
      </c>
      <c r="P45" s="13">
        <f>VLOOKUP(B45,'Data World'!$A:$AL,MATCH(World!$P$1,'Data World'!$A$1:$AL$1,))</f>
        <v/>
      </c>
      <c r="Q45" s="13">
        <f>VLOOKUP(B45,'Data World'!$A:$AL,MATCH(World!$Q$1,'Data World'!$A$1:$AL$1,))</f>
        <v/>
      </c>
      <c r="R45" s="13">
        <f>VLOOKUP(B45,'Data World'!$A:$AL,MATCH(World!$R$1,'Data World'!$A$1:$AL$1,))</f>
        <v/>
      </c>
      <c r="S45" s="13">
        <f>VLOOKUP(B45,'Data World'!$A:$AL,MATCH(World!$S$1,'Data World'!$A$1:$AL$1,))</f>
        <v/>
      </c>
      <c r="T45" s="13">
        <f>VLOOKUP(B45,'Data World'!$A:$AL,MATCH(World!$T$1,'Data World'!$A$1:$AL$1,))</f>
        <v/>
      </c>
    </row>
    <row r="46" customFormat="1" s="64">
      <c r="B46" s="12" t="n">
        <v>43343</v>
      </c>
      <c r="C46" s="13">
        <f>VLOOKUP(B46,'Data World'!$A:$AL,MATCH(World!$C$1,'Data World'!$A$1:$AL$1,))</f>
        <v/>
      </c>
      <c r="D46" s="13">
        <f>VLOOKUP(B46,'Data World'!$A:$AL,MATCH(World!$D$1,'Data World'!$A$1:$AL$1,))</f>
        <v/>
      </c>
      <c r="E46" s="13">
        <f>VLOOKUP(B46,'Data World'!$A:$AL,MATCH(World!$E$1,'Data World'!$A$1:$AL$1,))</f>
        <v/>
      </c>
      <c r="F46" s="13">
        <f>VLOOKUP(B46,'Data World'!$A:$AL,MATCH(World!$F$1,'Data World'!$A$1:$AL$1,))</f>
        <v/>
      </c>
      <c r="G46" s="13">
        <f>VLOOKUP(B46,'Data World'!$A:$AL,MATCH(World!$G$1,'Data World'!$A$1:$AL$1,))</f>
        <v/>
      </c>
      <c r="H46" s="13">
        <f>VLOOKUP(B46,'Data World'!$A:$AL,MATCH(World!$H$1,'Data World'!$A$1:$AL$1,))</f>
        <v/>
      </c>
      <c r="I46" s="13">
        <f>VLOOKUP(B46,'Data World'!$A:$AL,MATCH(World!$I$1,'Data World'!$A$1:$AL$1,))</f>
        <v/>
      </c>
      <c r="J46" s="13">
        <f>VLOOKUP(B46,'Data World'!$A:$AL,MATCH(World!$J$1,'Data World'!$A$1:$AL$1,))</f>
        <v/>
      </c>
      <c r="K46" s="13">
        <f>VLOOKUP(B46,'Data World'!$A:$AL,MATCH(World!$K$1,'Data World'!$A$1:$AL$1,))</f>
        <v/>
      </c>
      <c r="L46" s="13">
        <f>VLOOKUP(B46,'Data World'!$A:$AL,MATCH(World!$L$1,'Data World'!$A$1:$AL$1,))</f>
        <v/>
      </c>
      <c r="M46" s="13">
        <f>VLOOKUP(B46,'Data World'!$A:$AL,MATCH(World!$M$1,'Data World'!$A$1:$AL$1,))</f>
        <v/>
      </c>
      <c r="N46" s="13">
        <f>VLOOKUP(B46,'Data World'!$A:$AL,MATCH(World!$N$1,'Data World'!$A$1:$AL$1,))</f>
        <v/>
      </c>
      <c r="O46" s="13">
        <f>VLOOKUP(B46,'Data World'!$A:$AL,MATCH(World!$O$1,'Data World'!$A$1:$AL$1,))</f>
        <v/>
      </c>
      <c r="P46" s="13">
        <f>VLOOKUP(B46,'Data World'!$A:$AL,MATCH(World!$P$1,'Data World'!$A$1:$AL$1,))</f>
        <v/>
      </c>
      <c r="Q46" s="13">
        <f>VLOOKUP(B46,'Data World'!$A:$AL,MATCH(World!$Q$1,'Data World'!$A$1:$AL$1,))</f>
        <v/>
      </c>
      <c r="R46" s="13">
        <f>VLOOKUP(B46,'Data World'!$A:$AL,MATCH(World!$R$1,'Data World'!$A$1:$AL$1,))</f>
        <v/>
      </c>
      <c r="S46" s="13">
        <f>VLOOKUP(B46,'Data World'!$A:$AL,MATCH(World!$S$1,'Data World'!$A$1:$AL$1,))</f>
        <v/>
      </c>
      <c r="T46" s="13">
        <f>VLOOKUP(B46,'Data World'!$A:$AL,MATCH(World!$T$1,'Data World'!$A$1:$AL$1,))</f>
        <v/>
      </c>
    </row>
    <row r="47" customFormat="1" s="64">
      <c r="B47" s="12" t="n">
        <v>43373</v>
      </c>
      <c r="C47" s="13">
        <f>VLOOKUP(B47,'Data World'!$A:$AL,MATCH(World!$C$1,'Data World'!$A$1:$AL$1,))</f>
        <v/>
      </c>
      <c r="D47" s="13">
        <f>VLOOKUP(B47,'Data World'!$A:$AL,MATCH(World!$D$1,'Data World'!$A$1:$AL$1,))</f>
        <v/>
      </c>
      <c r="E47" s="13">
        <f>VLOOKUP(B47,'Data World'!$A:$AL,MATCH(World!$E$1,'Data World'!$A$1:$AL$1,))</f>
        <v/>
      </c>
      <c r="F47" s="13">
        <f>VLOOKUP(B47,'Data World'!$A:$AL,MATCH(World!$F$1,'Data World'!$A$1:$AL$1,))</f>
        <v/>
      </c>
      <c r="G47" s="13">
        <f>VLOOKUP(B47,'Data World'!$A:$AL,MATCH(World!$G$1,'Data World'!$A$1:$AL$1,))</f>
        <v/>
      </c>
      <c r="H47" s="13">
        <f>VLOOKUP(B47,'Data World'!$A:$AL,MATCH(World!$H$1,'Data World'!$A$1:$AL$1,))</f>
        <v/>
      </c>
      <c r="I47" s="13">
        <f>VLOOKUP(B47,'Data World'!$A:$AL,MATCH(World!$I$1,'Data World'!$A$1:$AL$1,))</f>
        <v/>
      </c>
      <c r="J47" s="13">
        <f>VLOOKUP(B47,'Data World'!$A:$AL,MATCH(World!$J$1,'Data World'!$A$1:$AL$1,))</f>
        <v/>
      </c>
      <c r="K47" s="13">
        <f>VLOOKUP(B47,'Data World'!$A:$AL,MATCH(World!$K$1,'Data World'!$A$1:$AL$1,))</f>
        <v/>
      </c>
      <c r="L47" s="13">
        <f>VLOOKUP(B47,'Data World'!$A:$AL,MATCH(World!$L$1,'Data World'!$A$1:$AL$1,))</f>
        <v/>
      </c>
      <c r="M47" s="13">
        <f>VLOOKUP(B47,'Data World'!$A:$AL,MATCH(World!$M$1,'Data World'!$A$1:$AL$1,))</f>
        <v/>
      </c>
      <c r="N47" s="13">
        <f>VLOOKUP(B47,'Data World'!$A:$AL,MATCH(World!$N$1,'Data World'!$A$1:$AL$1,))</f>
        <v/>
      </c>
      <c r="O47" s="13">
        <f>VLOOKUP(B47,'Data World'!$A:$AL,MATCH(World!$O$1,'Data World'!$A$1:$AL$1,))</f>
        <v/>
      </c>
      <c r="P47" s="13">
        <f>VLOOKUP(B47,'Data World'!$A:$AL,MATCH(World!$P$1,'Data World'!$A$1:$AL$1,))</f>
        <v/>
      </c>
      <c r="Q47" s="13">
        <f>VLOOKUP(B47,'Data World'!$A:$AL,MATCH(World!$Q$1,'Data World'!$A$1:$AL$1,))</f>
        <v/>
      </c>
      <c r="R47" s="13">
        <f>VLOOKUP(B47,'Data World'!$A:$AL,MATCH(World!$R$1,'Data World'!$A$1:$AL$1,))</f>
        <v/>
      </c>
      <c r="S47" s="13">
        <f>VLOOKUP(B47,'Data World'!$A:$AL,MATCH(World!$S$1,'Data World'!$A$1:$AL$1,))</f>
        <v/>
      </c>
      <c r="T47" s="13">
        <f>VLOOKUP(B47,'Data World'!$A:$AL,MATCH(World!$T$1,'Data World'!$A$1:$AL$1,))</f>
        <v/>
      </c>
    </row>
    <row r="48" customFormat="1" s="64">
      <c r="B48" s="12" t="n">
        <v>43404</v>
      </c>
      <c r="C48" s="13">
        <f>VLOOKUP(B48,'Data World'!$A:$AL,MATCH(World!$C$1,'Data World'!$A$1:$AL$1,))</f>
        <v/>
      </c>
      <c r="D48" s="13">
        <f>VLOOKUP(B48,'Data World'!$A:$AL,MATCH(World!$D$1,'Data World'!$A$1:$AL$1,))</f>
        <v/>
      </c>
      <c r="E48" s="13">
        <f>VLOOKUP(B48,'Data World'!$A:$AL,MATCH(World!$E$1,'Data World'!$A$1:$AL$1,))</f>
        <v/>
      </c>
      <c r="F48" s="13">
        <f>VLOOKUP(B48,'Data World'!$A:$AL,MATCH(World!$F$1,'Data World'!$A$1:$AL$1,))</f>
        <v/>
      </c>
      <c r="G48" s="13">
        <f>VLOOKUP(B48,'Data World'!$A:$AL,MATCH(World!$G$1,'Data World'!$A$1:$AL$1,))</f>
        <v/>
      </c>
      <c r="H48" s="13">
        <f>VLOOKUP(B48,'Data World'!$A:$AL,MATCH(World!$H$1,'Data World'!$A$1:$AL$1,))</f>
        <v/>
      </c>
      <c r="I48" s="13">
        <f>VLOOKUP(B48,'Data World'!$A:$AL,MATCH(World!$I$1,'Data World'!$A$1:$AL$1,))</f>
        <v/>
      </c>
      <c r="J48" s="13">
        <f>VLOOKUP(B48,'Data World'!$A:$AL,MATCH(World!$J$1,'Data World'!$A$1:$AL$1,))</f>
        <v/>
      </c>
      <c r="K48" s="13">
        <f>VLOOKUP(B48,'Data World'!$A:$AL,MATCH(World!$K$1,'Data World'!$A$1:$AL$1,))</f>
        <v/>
      </c>
      <c r="L48" s="13">
        <f>VLOOKUP(B48,'Data World'!$A:$AL,MATCH(World!$L$1,'Data World'!$A$1:$AL$1,))</f>
        <v/>
      </c>
      <c r="M48" s="13">
        <f>VLOOKUP(B48,'Data World'!$A:$AL,MATCH(World!$M$1,'Data World'!$A$1:$AL$1,))</f>
        <v/>
      </c>
      <c r="N48" s="13">
        <f>VLOOKUP(B48,'Data World'!$A:$AL,MATCH(World!$N$1,'Data World'!$A$1:$AL$1,))</f>
        <v/>
      </c>
      <c r="O48" s="13">
        <f>VLOOKUP(B48,'Data World'!$A:$AL,MATCH(World!$O$1,'Data World'!$A$1:$AL$1,))</f>
        <v/>
      </c>
      <c r="P48" s="13">
        <f>VLOOKUP(B48,'Data World'!$A:$AL,MATCH(World!$P$1,'Data World'!$A$1:$AL$1,))</f>
        <v/>
      </c>
      <c r="Q48" s="13">
        <f>VLOOKUP(B48,'Data World'!$A:$AL,MATCH(World!$Q$1,'Data World'!$A$1:$AL$1,))</f>
        <v/>
      </c>
      <c r="R48" s="13">
        <f>VLOOKUP(B48,'Data World'!$A:$AL,MATCH(World!$R$1,'Data World'!$A$1:$AL$1,))</f>
        <v/>
      </c>
      <c r="S48" s="13">
        <f>VLOOKUP(B48,'Data World'!$A:$AL,MATCH(World!$S$1,'Data World'!$A$1:$AL$1,))</f>
        <v/>
      </c>
      <c r="T48" s="13">
        <f>VLOOKUP(B48,'Data World'!$A:$AL,MATCH(World!$T$1,'Data World'!$A$1:$AL$1,))</f>
        <v/>
      </c>
    </row>
    <row r="49" customFormat="1" s="64">
      <c r="B49" s="12" t="n">
        <v>43434</v>
      </c>
      <c r="C49" s="13">
        <f>VLOOKUP(B49,'Data World'!$A:$AL,MATCH(World!$C$1,'Data World'!$A$1:$AL$1,))</f>
        <v/>
      </c>
      <c r="D49" s="13">
        <f>VLOOKUP(B49,'Data World'!$A:$AL,MATCH(World!$D$1,'Data World'!$A$1:$AL$1,))</f>
        <v/>
      </c>
      <c r="E49" s="13">
        <f>VLOOKUP(B49,'Data World'!$A:$AL,MATCH(World!$E$1,'Data World'!$A$1:$AL$1,))</f>
        <v/>
      </c>
      <c r="F49" s="13">
        <f>VLOOKUP(B49,'Data World'!$A:$AL,MATCH(World!$F$1,'Data World'!$A$1:$AL$1,))</f>
        <v/>
      </c>
      <c r="G49" s="13">
        <f>VLOOKUP(B49,'Data World'!$A:$AL,MATCH(World!$G$1,'Data World'!$A$1:$AL$1,))</f>
        <v/>
      </c>
      <c r="H49" s="13">
        <f>VLOOKUP(B49,'Data World'!$A:$AL,MATCH(World!$H$1,'Data World'!$A$1:$AL$1,))</f>
        <v/>
      </c>
      <c r="I49" s="13">
        <f>VLOOKUP(B49,'Data World'!$A:$AL,MATCH(World!$I$1,'Data World'!$A$1:$AL$1,))</f>
        <v/>
      </c>
      <c r="J49" s="13">
        <f>VLOOKUP(B49,'Data World'!$A:$AL,MATCH(World!$J$1,'Data World'!$A$1:$AL$1,))</f>
        <v/>
      </c>
      <c r="K49" s="13">
        <f>VLOOKUP(B49,'Data World'!$A:$AL,MATCH(World!$K$1,'Data World'!$A$1:$AL$1,))</f>
        <v/>
      </c>
      <c r="L49" s="13">
        <f>VLOOKUP(B49,'Data World'!$A:$AL,MATCH(World!$L$1,'Data World'!$A$1:$AL$1,))</f>
        <v/>
      </c>
      <c r="M49" s="13">
        <f>VLOOKUP(B49,'Data World'!$A:$AL,MATCH(World!$M$1,'Data World'!$A$1:$AL$1,))</f>
        <v/>
      </c>
      <c r="N49" s="13">
        <f>VLOOKUP(B49,'Data World'!$A:$AL,MATCH(World!$N$1,'Data World'!$A$1:$AL$1,))</f>
        <v/>
      </c>
      <c r="O49" s="13">
        <f>VLOOKUP(B49,'Data World'!$A:$AL,MATCH(World!$O$1,'Data World'!$A$1:$AL$1,))</f>
        <v/>
      </c>
      <c r="P49" s="13">
        <f>VLOOKUP(B49,'Data World'!$A:$AL,MATCH(World!$P$1,'Data World'!$A$1:$AL$1,))</f>
        <v/>
      </c>
      <c r="Q49" s="13">
        <f>VLOOKUP(B49,'Data World'!$A:$AL,MATCH(World!$Q$1,'Data World'!$A$1:$AL$1,))</f>
        <v/>
      </c>
      <c r="R49" s="13">
        <f>VLOOKUP(B49,'Data World'!$A:$AL,MATCH(World!$R$1,'Data World'!$A$1:$AL$1,))</f>
        <v/>
      </c>
      <c r="S49" s="13">
        <f>VLOOKUP(B49,'Data World'!$A:$AL,MATCH(World!$S$1,'Data World'!$A$1:$AL$1,))</f>
        <v/>
      </c>
      <c r="T49" s="13">
        <f>VLOOKUP(B49,'Data World'!$A:$AL,MATCH(World!$T$1,'Data World'!$A$1:$AL$1,))</f>
        <v/>
      </c>
    </row>
    <row r="50" customFormat="1" s="64">
      <c r="B50" s="12" t="n">
        <v>43465</v>
      </c>
      <c r="C50" s="13">
        <f>VLOOKUP(B50,'Data World'!$A:$AL,MATCH(World!$C$1,'Data World'!$A$1:$AL$1,))</f>
        <v/>
      </c>
      <c r="D50" s="13">
        <f>VLOOKUP(B50,'Data World'!$A:$AL,MATCH(World!$D$1,'Data World'!$A$1:$AL$1,))</f>
        <v/>
      </c>
      <c r="E50" s="13">
        <f>VLOOKUP(B50,'Data World'!$A:$AL,MATCH(World!$E$1,'Data World'!$A$1:$AL$1,))</f>
        <v/>
      </c>
      <c r="F50" s="13">
        <f>VLOOKUP(B50,'Data World'!$A:$AL,MATCH(World!$F$1,'Data World'!$A$1:$AL$1,))</f>
        <v/>
      </c>
      <c r="G50" s="13">
        <f>VLOOKUP(B50,'Data World'!$A:$AL,MATCH(World!$G$1,'Data World'!$A$1:$AL$1,))</f>
        <v/>
      </c>
      <c r="H50" s="13">
        <f>VLOOKUP(B50,'Data World'!$A:$AL,MATCH(World!$H$1,'Data World'!$A$1:$AL$1,))</f>
        <v/>
      </c>
      <c r="I50" s="13">
        <f>VLOOKUP(B50,'Data World'!$A:$AL,MATCH(World!$I$1,'Data World'!$A$1:$AL$1,))</f>
        <v/>
      </c>
      <c r="J50" s="13">
        <f>VLOOKUP(B50,'Data World'!$A:$AL,MATCH(World!$J$1,'Data World'!$A$1:$AL$1,))</f>
        <v/>
      </c>
      <c r="K50" s="13">
        <f>VLOOKUP(B50,'Data World'!$A:$AL,MATCH(World!$K$1,'Data World'!$A$1:$AL$1,))</f>
        <v/>
      </c>
      <c r="L50" s="13">
        <f>VLOOKUP(B50,'Data World'!$A:$AL,MATCH(World!$L$1,'Data World'!$A$1:$AL$1,))</f>
        <v/>
      </c>
      <c r="M50" s="13">
        <f>VLOOKUP(B50,'Data World'!$A:$AL,MATCH(World!$M$1,'Data World'!$A$1:$AL$1,))</f>
        <v/>
      </c>
      <c r="N50" s="13">
        <f>VLOOKUP(B50,'Data World'!$A:$AL,MATCH(World!$N$1,'Data World'!$A$1:$AL$1,))</f>
        <v/>
      </c>
      <c r="O50" s="13">
        <f>VLOOKUP(B50,'Data World'!$A:$AL,MATCH(World!$O$1,'Data World'!$A$1:$AL$1,))</f>
        <v/>
      </c>
      <c r="P50" s="13">
        <f>VLOOKUP(B50,'Data World'!$A:$AL,MATCH(World!$P$1,'Data World'!$A$1:$AL$1,))</f>
        <v/>
      </c>
      <c r="Q50" s="13">
        <f>VLOOKUP(B50,'Data World'!$A:$AL,MATCH(World!$Q$1,'Data World'!$A$1:$AL$1,))</f>
        <v/>
      </c>
      <c r="R50" s="13">
        <f>VLOOKUP(B50,'Data World'!$A:$AL,MATCH(World!$R$1,'Data World'!$A$1:$AL$1,))</f>
        <v/>
      </c>
      <c r="S50" s="13">
        <f>VLOOKUP(B50,'Data World'!$A:$AL,MATCH(World!$S$1,'Data World'!$A$1:$AL$1,))</f>
        <v/>
      </c>
      <c r="T50" s="13">
        <f>VLOOKUP(B50,'Data World'!$A:$AL,MATCH(World!$T$1,'Data World'!$A$1:$AL$1,))</f>
        <v/>
      </c>
    </row>
    <row r="51" customFormat="1" s="64">
      <c r="B51" s="12" t="n">
        <v>43496</v>
      </c>
      <c r="C51" s="13">
        <f>VLOOKUP(B51,'Data World'!$A:$AL,MATCH(World!$C$1,'Data World'!$A$1:$AL$1,))</f>
        <v/>
      </c>
      <c r="D51" s="13">
        <f>VLOOKUP(B51,'Data World'!$A:$AL,MATCH(World!$D$1,'Data World'!$A$1:$AL$1,))</f>
        <v/>
      </c>
      <c r="E51" s="13">
        <f>VLOOKUP(B51,'Data World'!$A:$AL,MATCH(World!$E$1,'Data World'!$A$1:$AL$1,))</f>
        <v/>
      </c>
      <c r="F51" s="13">
        <f>VLOOKUP(B51,'Data World'!$A:$AL,MATCH(World!$F$1,'Data World'!$A$1:$AL$1,))</f>
        <v/>
      </c>
      <c r="G51" s="13">
        <f>VLOOKUP(B51,'Data World'!$A:$AL,MATCH(World!$G$1,'Data World'!$A$1:$AL$1,))</f>
        <v/>
      </c>
      <c r="H51" s="13">
        <f>VLOOKUP(B51,'Data World'!$A:$AL,MATCH(World!$H$1,'Data World'!$A$1:$AL$1,))</f>
        <v/>
      </c>
      <c r="I51" s="13">
        <f>VLOOKUP(B51,'Data World'!$A:$AL,MATCH(World!$I$1,'Data World'!$A$1:$AL$1,))</f>
        <v/>
      </c>
      <c r="J51" s="13">
        <f>VLOOKUP(B51,'Data World'!$A:$AL,MATCH(World!$J$1,'Data World'!$A$1:$AL$1,))</f>
        <v/>
      </c>
      <c r="K51" s="13">
        <f>VLOOKUP(B51,'Data World'!$A:$AL,MATCH(World!$K$1,'Data World'!$A$1:$AL$1,))</f>
        <v/>
      </c>
      <c r="L51" s="13">
        <f>VLOOKUP(B51,'Data World'!$A:$AL,MATCH(World!$L$1,'Data World'!$A$1:$AL$1,))</f>
        <v/>
      </c>
      <c r="M51" s="13">
        <f>VLOOKUP(B51,'Data World'!$A:$AL,MATCH(World!$M$1,'Data World'!$A$1:$AL$1,))</f>
        <v/>
      </c>
      <c r="N51" s="13">
        <f>VLOOKUP(B51,'Data World'!$A:$AL,MATCH(World!$N$1,'Data World'!$A$1:$AL$1,))</f>
        <v/>
      </c>
      <c r="O51" s="13">
        <f>VLOOKUP(B51,'Data World'!$A:$AL,MATCH(World!$O$1,'Data World'!$A$1:$AL$1,))</f>
        <v/>
      </c>
      <c r="P51" s="13">
        <f>VLOOKUP(B51,'Data World'!$A:$AL,MATCH(World!$P$1,'Data World'!$A$1:$AL$1,))</f>
        <v/>
      </c>
      <c r="Q51" s="13">
        <f>VLOOKUP(B51,'Data World'!$A:$AL,MATCH(World!$Q$1,'Data World'!$A$1:$AL$1,))</f>
        <v/>
      </c>
      <c r="R51" s="13">
        <f>VLOOKUP(B51,'Data World'!$A:$AL,MATCH(World!$R$1,'Data World'!$A$1:$AL$1,))</f>
        <v/>
      </c>
      <c r="S51" s="13">
        <f>VLOOKUP(B51,'Data World'!$A:$AL,MATCH(World!$S$1,'Data World'!$A$1:$AL$1,))</f>
        <v/>
      </c>
      <c r="T51" s="13">
        <f>VLOOKUP(B51,'Data World'!$A:$AL,MATCH(World!$T$1,'Data World'!$A$1:$AL$1,))</f>
        <v/>
      </c>
    </row>
    <row r="52" customFormat="1" s="64">
      <c r="B52" s="12" t="n">
        <v>43524</v>
      </c>
      <c r="C52" s="13">
        <f>VLOOKUP(B52,'Data World'!$A:$AL,MATCH(World!$C$1,'Data World'!$A$1:$AL$1,))</f>
        <v/>
      </c>
      <c r="D52" s="13">
        <f>VLOOKUP(B52,'Data World'!$A:$AL,MATCH(World!$D$1,'Data World'!$A$1:$AL$1,))</f>
        <v/>
      </c>
      <c r="E52" s="13">
        <f>VLOOKUP(B52,'Data World'!$A:$AL,MATCH(World!$E$1,'Data World'!$A$1:$AL$1,))</f>
        <v/>
      </c>
      <c r="F52" s="13">
        <f>VLOOKUP(B52,'Data World'!$A:$AL,MATCH(World!$F$1,'Data World'!$A$1:$AL$1,))</f>
        <v/>
      </c>
      <c r="G52" s="13">
        <f>VLOOKUP(B52,'Data World'!$A:$AL,MATCH(World!$G$1,'Data World'!$A$1:$AL$1,))</f>
        <v/>
      </c>
      <c r="H52" s="13">
        <f>VLOOKUP(B52,'Data World'!$A:$AL,MATCH(World!$H$1,'Data World'!$A$1:$AL$1,))</f>
        <v/>
      </c>
      <c r="I52" s="13">
        <f>VLOOKUP(B52,'Data World'!$A:$AL,MATCH(World!$I$1,'Data World'!$A$1:$AL$1,))</f>
        <v/>
      </c>
      <c r="J52" s="13">
        <f>VLOOKUP(B52,'Data World'!$A:$AL,MATCH(World!$J$1,'Data World'!$A$1:$AL$1,))</f>
        <v/>
      </c>
      <c r="K52" s="13">
        <f>VLOOKUP(B52,'Data World'!$A:$AL,MATCH(World!$K$1,'Data World'!$A$1:$AL$1,))</f>
        <v/>
      </c>
      <c r="L52" s="13">
        <f>VLOOKUP(B52,'Data World'!$A:$AL,MATCH(World!$L$1,'Data World'!$A$1:$AL$1,))</f>
        <v/>
      </c>
      <c r="M52" s="13">
        <f>VLOOKUP(B52,'Data World'!$A:$AL,MATCH(World!$M$1,'Data World'!$A$1:$AL$1,))</f>
        <v/>
      </c>
      <c r="N52" s="13">
        <f>VLOOKUP(B52,'Data World'!$A:$AL,MATCH(World!$N$1,'Data World'!$A$1:$AL$1,))</f>
        <v/>
      </c>
      <c r="O52" s="13">
        <f>VLOOKUP(B52,'Data World'!$A:$AL,MATCH(World!$O$1,'Data World'!$A$1:$AL$1,))</f>
        <v/>
      </c>
      <c r="P52" s="13">
        <f>VLOOKUP(B52,'Data World'!$A:$AL,MATCH(World!$P$1,'Data World'!$A$1:$AL$1,))</f>
        <v/>
      </c>
      <c r="Q52" s="13">
        <f>VLOOKUP(B52,'Data World'!$A:$AL,MATCH(World!$Q$1,'Data World'!$A$1:$AL$1,))</f>
        <v/>
      </c>
      <c r="R52" s="13">
        <f>VLOOKUP(B52,'Data World'!$A:$AL,MATCH(World!$R$1,'Data World'!$A$1:$AL$1,))</f>
        <v/>
      </c>
      <c r="S52" s="13">
        <f>VLOOKUP(B52,'Data World'!$A:$AL,MATCH(World!$S$1,'Data World'!$A$1:$AL$1,))</f>
        <v/>
      </c>
      <c r="T52" s="13">
        <f>VLOOKUP(B52,'Data World'!$A:$AL,MATCH(World!$T$1,'Data World'!$A$1:$AL$1,))</f>
        <v/>
      </c>
    </row>
    <row r="53" customFormat="1" s="64">
      <c r="B53" s="12" t="n">
        <v>43555</v>
      </c>
      <c r="C53" s="13">
        <f>VLOOKUP(B53,'Data World'!$A:$AL,MATCH(World!$C$1,'Data World'!$A$1:$AL$1,))</f>
        <v/>
      </c>
      <c r="D53" s="13">
        <f>VLOOKUP(B53,'Data World'!$A:$AL,MATCH(World!$D$1,'Data World'!$A$1:$AL$1,))</f>
        <v/>
      </c>
      <c r="E53" s="13">
        <f>VLOOKUP(B53,'Data World'!$A:$AL,MATCH(World!$E$1,'Data World'!$A$1:$AL$1,))</f>
        <v/>
      </c>
      <c r="F53" s="13">
        <f>VLOOKUP(B53,'Data World'!$A:$AL,MATCH(World!$F$1,'Data World'!$A$1:$AL$1,))</f>
        <v/>
      </c>
      <c r="G53" s="13">
        <f>VLOOKUP(B53,'Data World'!$A:$AL,MATCH(World!$G$1,'Data World'!$A$1:$AL$1,))</f>
        <v/>
      </c>
      <c r="H53" s="13">
        <f>VLOOKUP(B53,'Data World'!$A:$AL,MATCH(World!$H$1,'Data World'!$A$1:$AL$1,))</f>
        <v/>
      </c>
      <c r="I53" s="13">
        <f>VLOOKUP(B53,'Data World'!$A:$AL,MATCH(World!$I$1,'Data World'!$A$1:$AL$1,))</f>
        <v/>
      </c>
      <c r="J53" s="13">
        <f>VLOOKUP(B53,'Data World'!$A:$AL,MATCH(World!$J$1,'Data World'!$A$1:$AL$1,))</f>
        <v/>
      </c>
      <c r="K53" s="13">
        <f>VLOOKUP(B53,'Data World'!$A:$AL,MATCH(World!$K$1,'Data World'!$A$1:$AL$1,))</f>
        <v/>
      </c>
      <c r="L53" s="13">
        <f>VLOOKUP(B53,'Data World'!$A:$AL,MATCH(World!$L$1,'Data World'!$A$1:$AL$1,))</f>
        <v/>
      </c>
      <c r="M53" s="13">
        <f>VLOOKUP(B53,'Data World'!$A:$AL,MATCH(World!$M$1,'Data World'!$A$1:$AL$1,))</f>
        <v/>
      </c>
      <c r="N53" s="13">
        <f>VLOOKUP(B53,'Data World'!$A:$AL,MATCH(World!$N$1,'Data World'!$A$1:$AL$1,))</f>
        <v/>
      </c>
      <c r="O53" s="13">
        <f>VLOOKUP(B53,'Data World'!$A:$AL,MATCH(World!$O$1,'Data World'!$A$1:$AL$1,))</f>
        <v/>
      </c>
      <c r="P53" s="13">
        <f>VLOOKUP(B53,'Data World'!$A:$AL,MATCH(World!$P$1,'Data World'!$A$1:$AL$1,))</f>
        <v/>
      </c>
      <c r="Q53" s="13">
        <f>VLOOKUP(B53,'Data World'!$A:$AL,MATCH(World!$Q$1,'Data World'!$A$1:$AL$1,))</f>
        <v/>
      </c>
      <c r="R53" s="13">
        <f>VLOOKUP(B53,'Data World'!$A:$AL,MATCH(World!$R$1,'Data World'!$A$1:$AL$1,))</f>
        <v/>
      </c>
      <c r="S53" s="13">
        <f>VLOOKUP(B53,'Data World'!$A:$AL,MATCH(World!$S$1,'Data World'!$A$1:$AL$1,))</f>
        <v/>
      </c>
      <c r="T53" s="13">
        <f>VLOOKUP(B53,'Data World'!$A:$AL,MATCH(World!$T$1,'Data World'!$A$1:$AL$1,))</f>
        <v/>
      </c>
    </row>
    <row r="54" customFormat="1" s="64">
      <c r="B54" s="12" t="n">
        <v>43585</v>
      </c>
      <c r="C54" s="13">
        <f>VLOOKUP(B54,'Data World'!$A:$AL,MATCH(World!$C$1,'Data World'!$A$1:$AL$1,))</f>
        <v/>
      </c>
      <c r="D54" s="13">
        <f>VLOOKUP(B54,'Data World'!$A:$AL,MATCH(World!$D$1,'Data World'!$A$1:$AL$1,))</f>
        <v/>
      </c>
      <c r="E54" s="13">
        <f>VLOOKUP(B54,'Data World'!$A:$AL,MATCH(World!$E$1,'Data World'!$A$1:$AL$1,))</f>
        <v/>
      </c>
      <c r="F54" s="13">
        <f>VLOOKUP(B54,'Data World'!$A:$AL,MATCH(World!$F$1,'Data World'!$A$1:$AL$1,))</f>
        <v/>
      </c>
      <c r="G54" s="13">
        <f>VLOOKUP(B54,'Data World'!$A:$AL,MATCH(World!$G$1,'Data World'!$A$1:$AL$1,))</f>
        <v/>
      </c>
      <c r="H54" s="13">
        <f>VLOOKUP(B54,'Data World'!$A:$AL,MATCH(World!$H$1,'Data World'!$A$1:$AL$1,))</f>
        <v/>
      </c>
      <c r="I54" s="13">
        <f>VLOOKUP(B54,'Data World'!$A:$AL,MATCH(World!$I$1,'Data World'!$A$1:$AL$1,))</f>
        <v/>
      </c>
      <c r="J54" s="13">
        <f>VLOOKUP(B54,'Data World'!$A:$AL,MATCH(World!$J$1,'Data World'!$A$1:$AL$1,))</f>
        <v/>
      </c>
      <c r="K54" s="13">
        <f>VLOOKUP(B54,'Data World'!$A:$AL,MATCH(World!$K$1,'Data World'!$A$1:$AL$1,))</f>
        <v/>
      </c>
      <c r="L54" s="13">
        <f>VLOOKUP(B54,'Data World'!$A:$AL,MATCH(World!$L$1,'Data World'!$A$1:$AL$1,))</f>
        <v/>
      </c>
      <c r="M54" s="13">
        <f>VLOOKUP(B54,'Data World'!$A:$AL,MATCH(World!$M$1,'Data World'!$A$1:$AL$1,))</f>
        <v/>
      </c>
      <c r="N54" s="13">
        <f>VLOOKUP(B54,'Data World'!$A:$AL,MATCH(World!$N$1,'Data World'!$A$1:$AL$1,))</f>
        <v/>
      </c>
      <c r="O54" s="13">
        <f>VLOOKUP(B54,'Data World'!$A:$AL,MATCH(World!$O$1,'Data World'!$A$1:$AL$1,))</f>
        <v/>
      </c>
      <c r="P54" s="13">
        <f>VLOOKUP(B54,'Data World'!$A:$AL,MATCH(World!$P$1,'Data World'!$A$1:$AL$1,))</f>
        <v/>
      </c>
      <c r="Q54" s="13">
        <f>VLOOKUP(B54,'Data World'!$A:$AL,MATCH(World!$Q$1,'Data World'!$A$1:$AL$1,))</f>
        <v/>
      </c>
      <c r="R54" s="13">
        <f>VLOOKUP(B54,'Data World'!$A:$AL,MATCH(World!$R$1,'Data World'!$A$1:$AL$1,))</f>
        <v/>
      </c>
      <c r="S54" s="13">
        <f>VLOOKUP(B54,'Data World'!$A:$AL,MATCH(World!$S$1,'Data World'!$A$1:$AL$1,))</f>
        <v/>
      </c>
      <c r="T54" s="13">
        <f>VLOOKUP(B54,'Data World'!$A:$AL,MATCH(World!$T$1,'Data World'!$A$1:$AL$1,))</f>
        <v/>
      </c>
    </row>
    <row r="55" customFormat="1" s="64">
      <c r="B55" s="12" t="n">
        <v>43616</v>
      </c>
      <c r="C55" s="13">
        <f>VLOOKUP(B55,'Data World'!$A:$AL,MATCH(World!$C$1,'Data World'!$A$1:$AL$1,))</f>
        <v/>
      </c>
      <c r="D55" s="13">
        <f>VLOOKUP(B55,'Data World'!$A:$AL,MATCH(World!$D$1,'Data World'!$A$1:$AL$1,))</f>
        <v/>
      </c>
      <c r="E55" s="13">
        <f>VLOOKUP(B55,'Data World'!$A:$AL,MATCH(World!$E$1,'Data World'!$A$1:$AL$1,))</f>
        <v/>
      </c>
      <c r="F55" s="13">
        <f>VLOOKUP(B55,'Data World'!$A:$AL,MATCH(World!$F$1,'Data World'!$A$1:$AL$1,))</f>
        <v/>
      </c>
      <c r="G55" s="13">
        <f>VLOOKUP(B55,'Data World'!$A:$AL,MATCH(World!$G$1,'Data World'!$A$1:$AL$1,))</f>
        <v/>
      </c>
      <c r="H55" s="13">
        <f>VLOOKUP(B55,'Data World'!$A:$AL,MATCH(World!$H$1,'Data World'!$A$1:$AL$1,))</f>
        <v/>
      </c>
      <c r="I55" s="13">
        <f>VLOOKUP(B55,'Data World'!$A:$AL,MATCH(World!$I$1,'Data World'!$A$1:$AL$1,))</f>
        <v/>
      </c>
      <c r="J55" s="13">
        <f>VLOOKUP(B55,'Data World'!$A:$AL,MATCH(World!$J$1,'Data World'!$A$1:$AL$1,))</f>
        <v/>
      </c>
      <c r="K55" s="13">
        <f>VLOOKUP(B55,'Data World'!$A:$AL,MATCH(World!$K$1,'Data World'!$A$1:$AL$1,))</f>
        <v/>
      </c>
      <c r="L55" s="13">
        <f>VLOOKUP(B55,'Data World'!$A:$AL,MATCH(World!$L$1,'Data World'!$A$1:$AL$1,))</f>
        <v/>
      </c>
      <c r="M55" s="13">
        <f>VLOOKUP(B55,'Data World'!$A:$AL,MATCH(World!$M$1,'Data World'!$A$1:$AL$1,))</f>
        <v/>
      </c>
      <c r="N55" s="13">
        <f>VLOOKUP(B55,'Data World'!$A:$AL,MATCH(World!$N$1,'Data World'!$A$1:$AL$1,))</f>
        <v/>
      </c>
      <c r="O55" s="13">
        <f>VLOOKUP(B55,'Data World'!$A:$AL,MATCH(World!$O$1,'Data World'!$A$1:$AL$1,))</f>
        <v/>
      </c>
      <c r="P55" s="13">
        <f>VLOOKUP(B55,'Data World'!$A:$AL,MATCH(World!$P$1,'Data World'!$A$1:$AL$1,))</f>
        <v/>
      </c>
      <c r="Q55" s="13">
        <f>VLOOKUP(B55,'Data World'!$A:$AL,MATCH(World!$Q$1,'Data World'!$A$1:$AL$1,))</f>
        <v/>
      </c>
      <c r="R55" s="13">
        <f>VLOOKUP(B55,'Data World'!$A:$AL,MATCH(World!$R$1,'Data World'!$A$1:$AL$1,))</f>
        <v/>
      </c>
      <c r="S55" s="13">
        <f>VLOOKUP(B55,'Data World'!$A:$AL,MATCH(World!$S$1,'Data World'!$A$1:$AL$1,))</f>
        <v/>
      </c>
      <c r="T55" s="13">
        <f>VLOOKUP(B55,'Data World'!$A:$AL,MATCH(World!$T$1,'Data World'!$A$1:$AL$1,))</f>
        <v/>
      </c>
    </row>
    <row r="56" customFormat="1" s="64">
      <c r="B56" s="12" t="n">
        <v>43646</v>
      </c>
      <c r="C56" s="13">
        <f>VLOOKUP(B56,'Data World'!$A:$AL,MATCH(World!$C$1,'Data World'!$A$1:$AL$1,))</f>
        <v/>
      </c>
      <c r="D56" s="13">
        <f>VLOOKUP(B56,'Data World'!$A:$AL,MATCH(World!$D$1,'Data World'!$A$1:$AL$1,))</f>
        <v/>
      </c>
      <c r="E56" s="13">
        <f>VLOOKUP(B56,'Data World'!$A:$AL,MATCH(World!$E$1,'Data World'!$A$1:$AL$1,))</f>
        <v/>
      </c>
      <c r="F56" s="13">
        <f>VLOOKUP(B56,'Data World'!$A:$AL,MATCH(World!$F$1,'Data World'!$A$1:$AL$1,))</f>
        <v/>
      </c>
      <c r="G56" s="13">
        <f>VLOOKUP(B56,'Data World'!$A:$AL,MATCH(World!$G$1,'Data World'!$A$1:$AL$1,))</f>
        <v/>
      </c>
      <c r="H56" s="13">
        <f>VLOOKUP(B56,'Data World'!$A:$AL,MATCH(World!$H$1,'Data World'!$A$1:$AL$1,))</f>
        <v/>
      </c>
      <c r="I56" s="13">
        <f>VLOOKUP(B56,'Data World'!$A:$AL,MATCH(World!$I$1,'Data World'!$A$1:$AL$1,))</f>
        <v/>
      </c>
      <c r="J56" s="13">
        <f>VLOOKUP(B56,'Data World'!$A:$AL,MATCH(World!$J$1,'Data World'!$A$1:$AL$1,))</f>
        <v/>
      </c>
      <c r="K56" s="13">
        <f>VLOOKUP(B56,'Data World'!$A:$AL,MATCH(World!$K$1,'Data World'!$A$1:$AL$1,))</f>
        <v/>
      </c>
      <c r="L56" s="13">
        <f>VLOOKUP(B56,'Data World'!$A:$AL,MATCH(World!$L$1,'Data World'!$A$1:$AL$1,))</f>
        <v/>
      </c>
      <c r="M56" s="13">
        <f>VLOOKUP(B56,'Data World'!$A:$AL,MATCH(World!$M$1,'Data World'!$A$1:$AL$1,))</f>
        <v/>
      </c>
      <c r="N56" s="13">
        <f>VLOOKUP(B56,'Data World'!$A:$AL,MATCH(World!$N$1,'Data World'!$A$1:$AL$1,))</f>
        <v/>
      </c>
      <c r="O56" s="13">
        <f>VLOOKUP(B56,'Data World'!$A:$AL,MATCH(World!$O$1,'Data World'!$A$1:$AL$1,))</f>
        <v/>
      </c>
      <c r="P56" s="13">
        <f>VLOOKUP(B56,'Data World'!$A:$AL,MATCH(World!$P$1,'Data World'!$A$1:$AL$1,))</f>
        <v/>
      </c>
      <c r="Q56" s="13">
        <f>VLOOKUP(B56,'Data World'!$A:$AL,MATCH(World!$Q$1,'Data World'!$A$1:$AL$1,))</f>
        <v/>
      </c>
      <c r="R56" s="13">
        <f>VLOOKUP(B56,'Data World'!$A:$AL,MATCH(World!$R$1,'Data World'!$A$1:$AL$1,))</f>
        <v/>
      </c>
      <c r="S56" s="13">
        <f>VLOOKUP(B56,'Data World'!$A:$AL,MATCH(World!$S$1,'Data World'!$A$1:$AL$1,))</f>
        <v/>
      </c>
      <c r="T56" s="13">
        <f>VLOOKUP(B56,'Data World'!$A:$AL,MATCH(World!$T$1,'Data World'!$A$1:$AL$1,))</f>
        <v/>
      </c>
    </row>
    <row r="57" customFormat="1" s="64">
      <c r="B57" s="12" t="n">
        <v>43677</v>
      </c>
      <c r="C57" s="13">
        <f>VLOOKUP(B57,'Data World'!$A:$AL,MATCH(World!$C$1,'Data World'!$A$1:$AL$1,))</f>
        <v/>
      </c>
      <c r="D57" s="13">
        <f>VLOOKUP(B57,'Data World'!$A:$AL,MATCH(World!$D$1,'Data World'!$A$1:$AL$1,))</f>
        <v/>
      </c>
      <c r="E57" s="13">
        <f>VLOOKUP(B57,'Data World'!$A:$AL,MATCH(World!$E$1,'Data World'!$A$1:$AL$1,))</f>
        <v/>
      </c>
      <c r="F57" s="13">
        <f>VLOOKUP(B57,'Data World'!$A:$AL,MATCH(World!$F$1,'Data World'!$A$1:$AL$1,))</f>
        <v/>
      </c>
      <c r="G57" s="13">
        <f>VLOOKUP(B57,'Data World'!$A:$AL,MATCH(World!$G$1,'Data World'!$A$1:$AL$1,))</f>
        <v/>
      </c>
      <c r="H57" s="13">
        <f>VLOOKUP(B57,'Data World'!$A:$AL,MATCH(World!$H$1,'Data World'!$A$1:$AL$1,))</f>
        <v/>
      </c>
      <c r="I57" s="13">
        <f>VLOOKUP(B57,'Data World'!$A:$AL,MATCH(World!$I$1,'Data World'!$A$1:$AL$1,))</f>
        <v/>
      </c>
      <c r="J57" s="13">
        <f>VLOOKUP(B57,'Data World'!$A:$AL,MATCH(World!$J$1,'Data World'!$A$1:$AL$1,))</f>
        <v/>
      </c>
      <c r="K57" s="13">
        <f>VLOOKUP(B57,'Data World'!$A:$AL,MATCH(World!$K$1,'Data World'!$A$1:$AL$1,))</f>
        <v/>
      </c>
      <c r="L57" s="13">
        <f>VLOOKUP(B57,'Data World'!$A:$AL,MATCH(World!$L$1,'Data World'!$A$1:$AL$1,))</f>
        <v/>
      </c>
      <c r="M57" s="13">
        <f>VLOOKUP(B57,'Data World'!$A:$AL,MATCH(World!$M$1,'Data World'!$A$1:$AL$1,))</f>
        <v/>
      </c>
      <c r="N57" s="13">
        <f>VLOOKUP(B57,'Data World'!$A:$AL,MATCH(World!$N$1,'Data World'!$A$1:$AL$1,))</f>
        <v/>
      </c>
      <c r="O57" s="13">
        <f>VLOOKUP(B57,'Data World'!$A:$AL,MATCH(World!$O$1,'Data World'!$A$1:$AL$1,))</f>
        <v/>
      </c>
      <c r="P57" s="13">
        <f>VLOOKUP(B57,'Data World'!$A:$AL,MATCH(World!$P$1,'Data World'!$A$1:$AL$1,))</f>
        <v/>
      </c>
      <c r="Q57" s="13">
        <f>VLOOKUP(B57,'Data World'!$A:$AL,MATCH(World!$Q$1,'Data World'!$A$1:$AL$1,))</f>
        <v/>
      </c>
      <c r="R57" s="13">
        <f>VLOOKUP(B57,'Data World'!$A:$AL,MATCH(World!$R$1,'Data World'!$A$1:$AL$1,))</f>
        <v/>
      </c>
      <c r="S57" s="13">
        <f>VLOOKUP(B57,'Data World'!$A:$AL,MATCH(World!$S$1,'Data World'!$A$1:$AL$1,))</f>
        <v/>
      </c>
      <c r="T57" s="13">
        <f>VLOOKUP(B57,'Data World'!$A:$AL,MATCH(World!$T$1,'Data World'!$A$1:$AL$1,))</f>
        <v/>
      </c>
    </row>
    <row r="58" customFormat="1" s="64">
      <c r="B58" s="12" t="n">
        <v>43708</v>
      </c>
      <c r="C58" s="13">
        <f>VLOOKUP(B58,'Data World'!$A:$AL,MATCH(World!$C$1,'Data World'!$A$1:$AL$1,))</f>
        <v/>
      </c>
      <c r="D58" s="13">
        <f>VLOOKUP(B58,'Data World'!$A:$AL,MATCH(World!$D$1,'Data World'!$A$1:$AL$1,))</f>
        <v/>
      </c>
      <c r="E58" s="13">
        <f>VLOOKUP(B58,'Data World'!$A:$AL,MATCH(World!$E$1,'Data World'!$A$1:$AL$1,))</f>
        <v/>
      </c>
      <c r="F58" s="13">
        <f>VLOOKUP(B58,'Data World'!$A:$AL,MATCH(World!$F$1,'Data World'!$A$1:$AL$1,))</f>
        <v/>
      </c>
      <c r="G58" s="13">
        <f>VLOOKUP(B58,'Data World'!$A:$AL,MATCH(World!$G$1,'Data World'!$A$1:$AL$1,))</f>
        <v/>
      </c>
      <c r="H58" s="13">
        <f>VLOOKUP(B58,'Data World'!$A:$AL,MATCH(World!$H$1,'Data World'!$A$1:$AL$1,))</f>
        <v/>
      </c>
      <c r="I58" s="13">
        <f>VLOOKUP(B58,'Data World'!$A:$AL,MATCH(World!$I$1,'Data World'!$A$1:$AL$1,))</f>
        <v/>
      </c>
      <c r="J58" s="13">
        <f>VLOOKUP(B58,'Data World'!$A:$AL,MATCH(World!$J$1,'Data World'!$A$1:$AL$1,))</f>
        <v/>
      </c>
      <c r="K58" s="13">
        <f>VLOOKUP(B58,'Data World'!$A:$AL,MATCH(World!$K$1,'Data World'!$A$1:$AL$1,))</f>
        <v/>
      </c>
      <c r="L58" s="13">
        <f>VLOOKUP(B58,'Data World'!$A:$AL,MATCH(World!$L$1,'Data World'!$A$1:$AL$1,))</f>
        <v/>
      </c>
      <c r="M58" s="13">
        <f>VLOOKUP(B58,'Data World'!$A:$AL,MATCH(World!$M$1,'Data World'!$A$1:$AL$1,))</f>
        <v/>
      </c>
      <c r="N58" s="13">
        <f>VLOOKUP(B58,'Data World'!$A:$AL,MATCH(World!$N$1,'Data World'!$A$1:$AL$1,))</f>
        <v/>
      </c>
      <c r="O58" s="13">
        <f>VLOOKUP(B58,'Data World'!$A:$AL,MATCH(World!$O$1,'Data World'!$A$1:$AL$1,))</f>
        <v/>
      </c>
      <c r="P58" s="13">
        <f>VLOOKUP(B58,'Data World'!$A:$AL,MATCH(World!$P$1,'Data World'!$A$1:$AL$1,))</f>
        <v/>
      </c>
      <c r="Q58" s="13">
        <f>VLOOKUP(B58,'Data World'!$A:$AL,MATCH(World!$Q$1,'Data World'!$A$1:$AL$1,))</f>
        <v/>
      </c>
      <c r="R58" s="13">
        <f>VLOOKUP(B58,'Data World'!$A:$AL,MATCH(World!$R$1,'Data World'!$A$1:$AL$1,))</f>
        <v/>
      </c>
      <c r="S58" s="13">
        <f>VLOOKUP(B58,'Data World'!$A:$AL,MATCH(World!$S$1,'Data World'!$A$1:$AL$1,))</f>
        <v/>
      </c>
      <c r="T58" s="13">
        <f>VLOOKUP(B58,'Data World'!$A:$AL,MATCH(World!$T$1,'Data World'!$A$1:$AL$1,))</f>
        <v/>
      </c>
    </row>
    <row r="59" customFormat="1" s="64">
      <c r="B59" s="12" t="n">
        <v>43738</v>
      </c>
      <c r="C59" s="13">
        <f>VLOOKUP(B59,'Data World'!$A:$AL,MATCH(World!$C$1,'Data World'!$A$1:$AL$1,))</f>
        <v/>
      </c>
      <c r="D59" s="13">
        <f>VLOOKUP(B59,'Data World'!$A:$AL,MATCH(World!$D$1,'Data World'!$A$1:$AL$1,))</f>
        <v/>
      </c>
      <c r="E59" s="13">
        <f>VLOOKUP(B59,'Data World'!$A:$AL,MATCH(World!$E$1,'Data World'!$A$1:$AL$1,))</f>
        <v/>
      </c>
      <c r="F59" s="13">
        <f>VLOOKUP(B59,'Data World'!$A:$AL,MATCH(World!$F$1,'Data World'!$A$1:$AL$1,))</f>
        <v/>
      </c>
      <c r="G59" s="13">
        <f>VLOOKUP(B59,'Data World'!$A:$AL,MATCH(World!$G$1,'Data World'!$A$1:$AL$1,))</f>
        <v/>
      </c>
      <c r="H59" s="13">
        <f>VLOOKUP(B59,'Data World'!$A:$AL,MATCH(World!$H$1,'Data World'!$A$1:$AL$1,))</f>
        <v/>
      </c>
      <c r="I59" s="13">
        <f>VLOOKUP(B59,'Data World'!$A:$AL,MATCH(World!$I$1,'Data World'!$A$1:$AL$1,))</f>
        <v/>
      </c>
      <c r="J59" s="13">
        <f>VLOOKUP(B59,'Data World'!$A:$AL,MATCH(World!$J$1,'Data World'!$A$1:$AL$1,))</f>
        <v/>
      </c>
      <c r="K59" s="13">
        <f>VLOOKUP(B59,'Data World'!$A:$AL,MATCH(World!$K$1,'Data World'!$A$1:$AL$1,))</f>
        <v/>
      </c>
      <c r="L59" s="13">
        <f>VLOOKUP(B59,'Data World'!$A:$AL,MATCH(World!$L$1,'Data World'!$A$1:$AL$1,))</f>
        <v/>
      </c>
      <c r="M59" s="13">
        <f>VLOOKUP(B59,'Data World'!$A:$AL,MATCH(World!$M$1,'Data World'!$A$1:$AL$1,))</f>
        <v/>
      </c>
      <c r="N59" s="13">
        <f>VLOOKUP(B59,'Data World'!$A:$AL,MATCH(World!$N$1,'Data World'!$A$1:$AL$1,))</f>
        <v/>
      </c>
      <c r="O59" s="13">
        <f>VLOOKUP(B59,'Data World'!$A:$AL,MATCH(World!$O$1,'Data World'!$A$1:$AL$1,))</f>
        <v/>
      </c>
      <c r="P59" s="13">
        <f>VLOOKUP(B59,'Data World'!$A:$AL,MATCH(World!$P$1,'Data World'!$A$1:$AL$1,))</f>
        <v/>
      </c>
      <c r="Q59" s="13">
        <f>VLOOKUP(B59,'Data World'!$A:$AL,MATCH(World!$Q$1,'Data World'!$A$1:$AL$1,))</f>
        <v/>
      </c>
      <c r="R59" s="13">
        <f>VLOOKUP(B59,'Data World'!$A:$AL,MATCH(World!$R$1,'Data World'!$A$1:$AL$1,))</f>
        <v/>
      </c>
      <c r="S59" s="13">
        <f>VLOOKUP(B59,'Data World'!$A:$AL,MATCH(World!$S$1,'Data World'!$A$1:$AL$1,))</f>
        <v/>
      </c>
      <c r="T59" s="13">
        <f>VLOOKUP(B59,'Data World'!$A:$AL,MATCH(World!$T$1,'Data World'!$A$1:$AL$1,))</f>
        <v/>
      </c>
    </row>
    <row r="60" customFormat="1" s="64">
      <c r="B60" s="12" t="n">
        <v>43769</v>
      </c>
      <c r="C60" s="13">
        <f>VLOOKUP(B60,'Data World'!$A:$AL,MATCH(World!$C$1,'Data World'!$A$1:$AL$1,))</f>
        <v/>
      </c>
      <c r="D60" s="13">
        <f>VLOOKUP(B60,'Data World'!$A:$AL,MATCH(World!$D$1,'Data World'!$A$1:$AL$1,))</f>
        <v/>
      </c>
      <c r="E60" s="13">
        <f>VLOOKUP(B60,'Data World'!$A:$AL,MATCH(World!$E$1,'Data World'!$A$1:$AL$1,))</f>
        <v/>
      </c>
      <c r="F60" s="13">
        <f>VLOOKUP(B60,'Data World'!$A:$AL,MATCH(World!$F$1,'Data World'!$A$1:$AL$1,))</f>
        <v/>
      </c>
      <c r="G60" s="13">
        <f>VLOOKUP(B60,'Data World'!$A:$AL,MATCH(World!$G$1,'Data World'!$A$1:$AL$1,))</f>
        <v/>
      </c>
      <c r="H60" s="13">
        <f>VLOOKUP(B60,'Data World'!$A:$AL,MATCH(World!$H$1,'Data World'!$A$1:$AL$1,))</f>
        <v/>
      </c>
      <c r="I60" s="13">
        <f>VLOOKUP(B60,'Data World'!$A:$AL,MATCH(World!$I$1,'Data World'!$A$1:$AL$1,))</f>
        <v/>
      </c>
      <c r="J60" s="13">
        <f>VLOOKUP(B60,'Data World'!$A:$AL,MATCH(World!$J$1,'Data World'!$A$1:$AL$1,))</f>
        <v/>
      </c>
      <c r="K60" s="13">
        <f>VLOOKUP(B60,'Data World'!$A:$AL,MATCH(World!$K$1,'Data World'!$A$1:$AL$1,))</f>
        <v/>
      </c>
      <c r="L60" s="13">
        <f>VLOOKUP(B60,'Data World'!$A:$AL,MATCH(World!$L$1,'Data World'!$A$1:$AL$1,))</f>
        <v/>
      </c>
      <c r="M60" s="13">
        <f>VLOOKUP(B60,'Data World'!$A:$AL,MATCH(World!$M$1,'Data World'!$A$1:$AL$1,))</f>
        <v/>
      </c>
      <c r="N60" s="13">
        <f>VLOOKUP(B60,'Data World'!$A:$AL,MATCH(World!$N$1,'Data World'!$A$1:$AL$1,))</f>
        <v/>
      </c>
      <c r="O60" s="13">
        <f>VLOOKUP(B60,'Data World'!$A:$AL,MATCH(World!$O$1,'Data World'!$A$1:$AL$1,))</f>
        <v/>
      </c>
      <c r="P60" s="13">
        <f>VLOOKUP(B60,'Data World'!$A:$AL,MATCH(World!$P$1,'Data World'!$A$1:$AL$1,))</f>
        <v/>
      </c>
      <c r="Q60" s="13">
        <f>VLOOKUP(B60,'Data World'!$A:$AL,MATCH(World!$Q$1,'Data World'!$A$1:$AL$1,))</f>
        <v/>
      </c>
      <c r="R60" s="13">
        <f>VLOOKUP(B60,'Data World'!$A:$AL,MATCH(World!$R$1,'Data World'!$A$1:$AL$1,))</f>
        <v/>
      </c>
      <c r="S60" s="13">
        <f>VLOOKUP(B60,'Data World'!$A:$AL,MATCH(World!$S$1,'Data World'!$A$1:$AL$1,))</f>
        <v/>
      </c>
      <c r="T60" s="13">
        <f>VLOOKUP(B60,'Data World'!$A:$AL,MATCH(World!$T$1,'Data World'!$A$1:$AL$1,))</f>
        <v/>
      </c>
    </row>
    <row r="61" customFormat="1" s="64">
      <c r="B61" s="12" t="n">
        <v>43799</v>
      </c>
      <c r="C61" s="13">
        <f>VLOOKUP(B61,'Data World'!$A:$AL,MATCH(World!$C$1,'Data World'!$A$1:$AL$1,))</f>
        <v/>
      </c>
      <c r="D61" s="13">
        <f>VLOOKUP(B61,'Data World'!$A:$AL,MATCH(World!$D$1,'Data World'!$A$1:$AL$1,))</f>
        <v/>
      </c>
      <c r="E61" s="13">
        <f>VLOOKUP(B61,'Data World'!$A:$AL,MATCH(World!$E$1,'Data World'!$A$1:$AL$1,))</f>
        <v/>
      </c>
      <c r="F61" s="13">
        <f>VLOOKUP(B61,'Data World'!$A:$AL,MATCH(World!$F$1,'Data World'!$A$1:$AL$1,))</f>
        <v/>
      </c>
      <c r="G61" s="13">
        <f>VLOOKUP(B61,'Data World'!$A:$AL,MATCH(World!$G$1,'Data World'!$A$1:$AL$1,))</f>
        <v/>
      </c>
      <c r="H61" s="13">
        <f>VLOOKUP(B61,'Data World'!$A:$AL,MATCH(World!$H$1,'Data World'!$A$1:$AL$1,))</f>
        <v/>
      </c>
      <c r="I61" s="13">
        <f>VLOOKUP(B61,'Data World'!$A:$AL,MATCH(World!$I$1,'Data World'!$A$1:$AL$1,))</f>
        <v/>
      </c>
      <c r="J61" s="13">
        <f>VLOOKUP(B61,'Data World'!$A:$AL,MATCH(World!$J$1,'Data World'!$A$1:$AL$1,))</f>
        <v/>
      </c>
      <c r="K61" s="13">
        <f>VLOOKUP(B61,'Data World'!$A:$AL,MATCH(World!$K$1,'Data World'!$A$1:$AL$1,))</f>
        <v/>
      </c>
      <c r="L61" s="13">
        <f>VLOOKUP(B61,'Data World'!$A:$AL,MATCH(World!$L$1,'Data World'!$A$1:$AL$1,))</f>
        <v/>
      </c>
      <c r="M61" s="13">
        <f>VLOOKUP(B61,'Data World'!$A:$AL,MATCH(World!$M$1,'Data World'!$A$1:$AL$1,))</f>
        <v/>
      </c>
      <c r="N61" s="13">
        <f>VLOOKUP(B61,'Data World'!$A:$AL,MATCH(World!$N$1,'Data World'!$A$1:$AL$1,))</f>
        <v/>
      </c>
      <c r="O61" s="13">
        <f>VLOOKUP(B61,'Data World'!$A:$AL,MATCH(World!$O$1,'Data World'!$A$1:$AL$1,))</f>
        <v/>
      </c>
      <c r="P61" s="13">
        <f>VLOOKUP(B61,'Data World'!$A:$AL,MATCH(World!$P$1,'Data World'!$A$1:$AL$1,))</f>
        <v/>
      </c>
      <c r="Q61" s="13">
        <f>VLOOKUP(B61,'Data World'!$A:$AL,MATCH(World!$Q$1,'Data World'!$A$1:$AL$1,))</f>
        <v/>
      </c>
      <c r="R61" s="13">
        <f>VLOOKUP(B61,'Data World'!$A:$AL,MATCH(World!$R$1,'Data World'!$A$1:$AL$1,))</f>
        <v/>
      </c>
      <c r="S61" s="13">
        <f>VLOOKUP(B61,'Data World'!$A:$AL,MATCH(World!$S$1,'Data World'!$A$1:$AL$1,))</f>
        <v/>
      </c>
      <c r="T61" s="13">
        <f>VLOOKUP(B61,'Data World'!$A:$AL,MATCH(World!$T$1,'Data World'!$A$1:$AL$1,))</f>
        <v/>
      </c>
    </row>
    <row r="62" customFormat="1" s="64">
      <c r="B62" s="12" t="n">
        <v>43830</v>
      </c>
      <c r="C62" s="13">
        <f>VLOOKUP(B62,'Data World'!$A:$AL,MATCH(World!$C$1,'Data World'!$A$1:$AL$1,))</f>
        <v/>
      </c>
      <c r="D62" s="13">
        <f>VLOOKUP(B62,'Data World'!$A:$AL,MATCH(World!$D$1,'Data World'!$A$1:$AL$1,))</f>
        <v/>
      </c>
      <c r="E62" s="13">
        <f>VLOOKUP(B62,'Data World'!$A:$AL,MATCH(World!$E$1,'Data World'!$A$1:$AL$1,))</f>
        <v/>
      </c>
      <c r="F62" s="13">
        <f>VLOOKUP(B62,'Data World'!$A:$AL,MATCH(World!$F$1,'Data World'!$A$1:$AL$1,))</f>
        <v/>
      </c>
      <c r="G62" s="13">
        <f>VLOOKUP(B62,'Data World'!$A:$AL,MATCH(World!$G$1,'Data World'!$A$1:$AL$1,))</f>
        <v/>
      </c>
      <c r="H62" s="13">
        <f>VLOOKUP(B62,'Data World'!$A:$AL,MATCH(World!$H$1,'Data World'!$A$1:$AL$1,))</f>
        <v/>
      </c>
      <c r="I62" s="13">
        <f>VLOOKUP(B62,'Data World'!$A:$AL,MATCH(World!$I$1,'Data World'!$A$1:$AL$1,))</f>
        <v/>
      </c>
      <c r="J62" s="13">
        <f>VLOOKUP(B62,'Data World'!$A:$AL,MATCH(World!$J$1,'Data World'!$A$1:$AL$1,))</f>
        <v/>
      </c>
      <c r="K62" s="13">
        <f>VLOOKUP(B62,'Data World'!$A:$AL,MATCH(World!$K$1,'Data World'!$A$1:$AL$1,))</f>
        <v/>
      </c>
      <c r="L62" s="13">
        <f>VLOOKUP(B62,'Data World'!$A:$AL,MATCH(World!$L$1,'Data World'!$A$1:$AL$1,))</f>
        <v/>
      </c>
      <c r="M62" s="13">
        <f>VLOOKUP(B62,'Data World'!$A:$AL,MATCH(World!$M$1,'Data World'!$A$1:$AL$1,))</f>
        <v/>
      </c>
      <c r="N62" s="13">
        <f>VLOOKUP(B62,'Data World'!$A:$AL,MATCH(World!$N$1,'Data World'!$A$1:$AL$1,))</f>
        <v/>
      </c>
      <c r="O62" s="13">
        <f>VLOOKUP(B62,'Data World'!$A:$AL,MATCH(World!$O$1,'Data World'!$A$1:$AL$1,))</f>
        <v/>
      </c>
      <c r="P62" s="13">
        <f>VLOOKUP(B62,'Data World'!$A:$AL,MATCH(World!$P$1,'Data World'!$A$1:$AL$1,))</f>
        <v/>
      </c>
      <c r="Q62" s="13">
        <f>VLOOKUP(B62,'Data World'!$A:$AL,MATCH(World!$Q$1,'Data World'!$A$1:$AL$1,))</f>
        <v/>
      </c>
      <c r="R62" s="13">
        <f>VLOOKUP(B62,'Data World'!$A:$AL,MATCH(World!$R$1,'Data World'!$A$1:$AL$1,))</f>
        <v/>
      </c>
      <c r="S62" s="13">
        <f>VLOOKUP(B62,'Data World'!$A:$AL,MATCH(World!$S$1,'Data World'!$A$1:$AL$1,))</f>
        <v/>
      </c>
      <c r="T62" s="13">
        <f>VLOOKUP(B62,'Data World'!$A:$AL,MATCH(World!$T$1,'Data World'!$A$1:$AL$1,))</f>
        <v/>
      </c>
    </row>
    <row r="63" customFormat="1" s="64">
      <c r="B63" s="12" t="n">
        <v>43861</v>
      </c>
      <c r="C63" s="13">
        <f>VLOOKUP(B63,'Data World'!$A:$AL,MATCH(World!$C$1,'Data World'!$A$1:$AL$1,))</f>
        <v/>
      </c>
      <c r="D63" s="13">
        <f>VLOOKUP(B63,'Data World'!$A:$AL,MATCH(World!$D$1,'Data World'!$A$1:$AL$1,))</f>
        <v/>
      </c>
      <c r="E63" s="13">
        <f>VLOOKUP(B63,'Data World'!$A:$AL,MATCH(World!$E$1,'Data World'!$A$1:$AL$1,))</f>
        <v/>
      </c>
      <c r="F63" s="13">
        <f>VLOOKUP(B63,'Data World'!$A:$AL,MATCH(World!$F$1,'Data World'!$A$1:$AL$1,))</f>
        <v/>
      </c>
      <c r="G63" s="13">
        <f>VLOOKUP(B63,'Data World'!$A:$AL,MATCH(World!$G$1,'Data World'!$A$1:$AL$1,))</f>
        <v/>
      </c>
      <c r="H63" s="13">
        <f>VLOOKUP(B63,'Data World'!$A:$AL,MATCH(World!$H$1,'Data World'!$A$1:$AL$1,))</f>
        <v/>
      </c>
      <c r="I63" s="13">
        <f>VLOOKUP(B63,'Data World'!$A:$AL,MATCH(World!$I$1,'Data World'!$A$1:$AL$1,))</f>
        <v/>
      </c>
      <c r="J63" s="13">
        <f>VLOOKUP(B63,'Data World'!$A:$AL,MATCH(World!$J$1,'Data World'!$A$1:$AL$1,))</f>
        <v/>
      </c>
      <c r="K63" s="13">
        <f>VLOOKUP(B63,'Data World'!$A:$AL,MATCH(World!$K$1,'Data World'!$A$1:$AL$1,))</f>
        <v/>
      </c>
      <c r="L63" s="13">
        <f>VLOOKUP(B63,'Data World'!$A:$AL,MATCH(World!$L$1,'Data World'!$A$1:$AL$1,))</f>
        <v/>
      </c>
      <c r="M63" s="13">
        <f>VLOOKUP(B63,'Data World'!$A:$AL,MATCH(World!$M$1,'Data World'!$A$1:$AL$1,))</f>
        <v/>
      </c>
      <c r="N63" s="13">
        <f>VLOOKUP(B63,'Data World'!$A:$AL,MATCH(World!$N$1,'Data World'!$A$1:$AL$1,))</f>
        <v/>
      </c>
      <c r="O63" s="13">
        <f>VLOOKUP(B63,'Data World'!$A:$AL,MATCH(World!$O$1,'Data World'!$A$1:$AL$1,))</f>
        <v/>
      </c>
      <c r="P63" s="13">
        <f>VLOOKUP(B63,'Data World'!$A:$AL,MATCH(World!$P$1,'Data World'!$A$1:$AL$1,))</f>
        <v/>
      </c>
      <c r="Q63" s="13">
        <f>VLOOKUP(B63,'Data World'!$A:$AL,MATCH(World!$Q$1,'Data World'!$A$1:$AL$1,))</f>
        <v/>
      </c>
      <c r="R63" s="13">
        <f>VLOOKUP(B63,'Data World'!$A:$AL,MATCH(World!$R$1,'Data World'!$A$1:$AL$1,))</f>
        <v/>
      </c>
      <c r="S63" s="13">
        <f>VLOOKUP(B63,'Data World'!$A:$AL,MATCH(World!$S$1,'Data World'!$A$1:$AL$1,))</f>
        <v/>
      </c>
      <c r="T63" s="13">
        <f>VLOOKUP(B63,'Data World'!$A:$AL,MATCH(World!$T$1,'Data World'!$A$1:$AL$1,))</f>
        <v/>
      </c>
    </row>
    <row r="64" customFormat="1" s="64">
      <c r="B64" s="12" t="n">
        <v>43890</v>
      </c>
      <c r="C64" s="13">
        <f>VLOOKUP(B64,'Data World'!$A:$AL,MATCH(World!$C$1,'Data World'!$A$1:$AL$1,))</f>
        <v/>
      </c>
      <c r="D64" s="13">
        <f>VLOOKUP(B64,'Data World'!$A:$AL,MATCH(World!$D$1,'Data World'!$A$1:$AL$1,))</f>
        <v/>
      </c>
      <c r="E64" s="13">
        <f>VLOOKUP(B64,'Data World'!$A:$AL,MATCH(World!$E$1,'Data World'!$A$1:$AL$1,))</f>
        <v/>
      </c>
      <c r="F64" s="13">
        <f>VLOOKUP(B64,'Data World'!$A:$AL,MATCH(World!$F$1,'Data World'!$A$1:$AL$1,))</f>
        <v/>
      </c>
      <c r="G64" s="13">
        <f>VLOOKUP(B64,'Data World'!$A:$AL,MATCH(World!$G$1,'Data World'!$A$1:$AL$1,))</f>
        <v/>
      </c>
      <c r="H64" s="13">
        <f>VLOOKUP(B64,'Data World'!$A:$AL,MATCH(World!$H$1,'Data World'!$A$1:$AL$1,))</f>
        <v/>
      </c>
      <c r="I64" s="13">
        <f>VLOOKUP(B64,'Data World'!$A:$AL,MATCH(World!$I$1,'Data World'!$A$1:$AL$1,))</f>
        <v/>
      </c>
      <c r="J64" s="13">
        <f>VLOOKUP(B64,'Data World'!$A:$AL,MATCH(World!$J$1,'Data World'!$A$1:$AL$1,))</f>
        <v/>
      </c>
      <c r="K64" s="13">
        <f>VLOOKUP(B64,'Data World'!$A:$AL,MATCH(World!$K$1,'Data World'!$A$1:$AL$1,))</f>
        <v/>
      </c>
      <c r="L64" s="13">
        <f>VLOOKUP(B64,'Data World'!$A:$AL,MATCH(World!$L$1,'Data World'!$A$1:$AL$1,))</f>
        <v/>
      </c>
      <c r="M64" s="13">
        <f>VLOOKUP(B64,'Data World'!$A:$AL,MATCH(World!$M$1,'Data World'!$A$1:$AL$1,))</f>
        <v/>
      </c>
      <c r="N64" s="13">
        <f>VLOOKUP(B64,'Data World'!$A:$AL,MATCH(World!$N$1,'Data World'!$A$1:$AL$1,))</f>
        <v/>
      </c>
      <c r="O64" s="13">
        <f>VLOOKUP(B64,'Data World'!$A:$AL,MATCH(World!$O$1,'Data World'!$A$1:$AL$1,))</f>
        <v/>
      </c>
      <c r="P64" s="13">
        <f>VLOOKUP(B64,'Data World'!$A:$AL,MATCH(World!$P$1,'Data World'!$A$1:$AL$1,))</f>
        <v/>
      </c>
      <c r="Q64" s="13">
        <f>VLOOKUP(B64,'Data World'!$A:$AL,MATCH(World!$Q$1,'Data World'!$A$1:$AL$1,))</f>
        <v/>
      </c>
      <c r="R64" s="13">
        <f>VLOOKUP(B64,'Data World'!$A:$AL,MATCH(World!$R$1,'Data World'!$A$1:$AL$1,))</f>
        <v/>
      </c>
      <c r="S64" s="13">
        <f>VLOOKUP(B64,'Data World'!$A:$AL,MATCH(World!$S$1,'Data World'!$A$1:$AL$1,))</f>
        <v/>
      </c>
      <c r="T64" s="13">
        <f>VLOOKUP(B64,'Data World'!$A:$AL,MATCH(World!$T$1,'Data World'!$A$1:$AL$1,))</f>
        <v/>
      </c>
    </row>
    <row r="65" customFormat="1" s="64">
      <c r="B65" s="12" t="n">
        <v>43921</v>
      </c>
      <c r="C65" s="13">
        <f>VLOOKUP(B65,'Data World'!$A:$AL,MATCH(World!$C$1,'Data World'!$A$1:$AL$1,))</f>
        <v/>
      </c>
      <c r="D65" s="13">
        <f>VLOOKUP(B65,'Data World'!$A:$AL,MATCH(World!$D$1,'Data World'!$A$1:$AL$1,))</f>
        <v/>
      </c>
      <c r="E65" s="13">
        <f>VLOOKUP(B65,'Data World'!$A:$AL,MATCH(World!$E$1,'Data World'!$A$1:$AL$1,))</f>
        <v/>
      </c>
      <c r="F65" s="13">
        <f>VLOOKUP(B65,'Data World'!$A:$AL,MATCH(World!$F$1,'Data World'!$A$1:$AL$1,))</f>
        <v/>
      </c>
      <c r="G65" s="13">
        <f>VLOOKUP(B65,'Data World'!$A:$AL,MATCH(World!$G$1,'Data World'!$A$1:$AL$1,))</f>
        <v/>
      </c>
      <c r="H65" s="13">
        <f>VLOOKUP(B65,'Data World'!$A:$AL,MATCH(World!$H$1,'Data World'!$A$1:$AL$1,))</f>
        <v/>
      </c>
      <c r="I65" s="13">
        <f>VLOOKUP(B65,'Data World'!$A:$AL,MATCH(World!$I$1,'Data World'!$A$1:$AL$1,))</f>
        <v/>
      </c>
      <c r="J65" s="13">
        <f>VLOOKUP(B65,'Data World'!$A:$AL,MATCH(World!$J$1,'Data World'!$A$1:$AL$1,))</f>
        <v/>
      </c>
      <c r="K65" s="13">
        <f>VLOOKUP(B65,'Data World'!$A:$AL,MATCH(World!$K$1,'Data World'!$A$1:$AL$1,))</f>
        <v/>
      </c>
      <c r="L65" s="13">
        <f>VLOOKUP(B65,'Data World'!$A:$AL,MATCH(World!$L$1,'Data World'!$A$1:$AL$1,))</f>
        <v/>
      </c>
      <c r="M65" s="13">
        <f>VLOOKUP(B65,'Data World'!$A:$AL,MATCH(World!$M$1,'Data World'!$A$1:$AL$1,))</f>
        <v/>
      </c>
      <c r="N65" s="13">
        <f>VLOOKUP(B65,'Data World'!$A:$AL,MATCH(World!$N$1,'Data World'!$A$1:$AL$1,))</f>
        <v/>
      </c>
      <c r="O65" s="13">
        <f>VLOOKUP(B65,'Data World'!$A:$AL,MATCH(World!$O$1,'Data World'!$A$1:$AL$1,))</f>
        <v/>
      </c>
      <c r="P65" s="13">
        <f>VLOOKUP(B65,'Data World'!$A:$AL,MATCH(World!$P$1,'Data World'!$A$1:$AL$1,))</f>
        <v/>
      </c>
      <c r="Q65" s="13">
        <f>VLOOKUP(B65,'Data World'!$A:$AL,MATCH(World!$Q$1,'Data World'!$A$1:$AL$1,))</f>
        <v/>
      </c>
      <c r="R65" s="13">
        <f>VLOOKUP(B65,'Data World'!$A:$AL,MATCH(World!$R$1,'Data World'!$A$1:$AL$1,))</f>
        <v/>
      </c>
      <c r="S65" s="13">
        <f>VLOOKUP(B65,'Data World'!$A:$AL,MATCH(World!$S$1,'Data World'!$A$1:$AL$1,))</f>
        <v/>
      </c>
      <c r="T65" s="13">
        <f>VLOOKUP(B65,'Data World'!$A:$AL,MATCH(World!$T$1,'Data World'!$A$1:$AL$1,))</f>
        <v/>
      </c>
    </row>
    <row r="66" customFormat="1" s="64">
      <c r="B66" s="12" t="n">
        <v>43951</v>
      </c>
      <c r="C66" s="13">
        <f>VLOOKUP(B66,'Data World'!$A:$AL,MATCH(World!$C$1,'Data World'!$A$1:$AL$1,))</f>
        <v/>
      </c>
      <c r="D66" s="13">
        <f>VLOOKUP(B66,'Data World'!$A:$AL,MATCH(World!$D$1,'Data World'!$A$1:$AL$1,))</f>
        <v/>
      </c>
      <c r="E66" s="13">
        <f>VLOOKUP(B66,'Data World'!$A:$AL,MATCH(World!$E$1,'Data World'!$A$1:$AL$1,))</f>
        <v/>
      </c>
      <c r="F66" s="13">
        <f>VLOOKUP(B66,'Data World'!$A:$AL,MATCH(World!$F$1,'Data World'!$A$1:$AL$1,))</f>
        <v/>
      </c>
      <c r="G66" s="13">
        <f>VLOOKUP(B66,'Data World'!$A:$AL,MATCH(World!$G$1,'Data World'!$A$1:$AL$1,))</f>
        <v/>
      </c>
      <c r="H66" s="13">
        <f>VLOOKUP(B66,'Data World'!$A:$AL,MATCH(World!$H$1,'Data World'!$A$1:$AL$1,))</f>
        <v/>
      </c>
      <c r="I66" s="13">
        <f>VLOOKUP(B66,'Data World'!$A:$AL,MATCH(World!$I$1,'Data World'!$A$1:$AL$1,))</f>
        <v/>
      </c>
      <c r="J66" s="13">
        <f>VLOOKUP(B66,'Data World'!$A:$AL,MATCH(World!$J$1,'Data World'!$A$1:$AL$1,))</f>
        <v/>
      </c>
      <c r="K66" s="13">
        <f>VLOOKUP(B66,'Data World'!$A:$AL,MATCH(World!$K$1,'Data World'!$A$1:$AL$1,))</f>
        <v/>
      </c>
      <c r="L66" s="13">
        <f>VLOOKUP(B66,'Data World'!$A:$AL,MATCH(World!$L$1,'Data World'!$A$1:$AL$1,))</f>
        <v/>
      </c>
      <c r="M66" s="13">
        <f>VLOOKUP(B66,'Data World'!$A:$AL,MATCH(World!$M$1,'Data World'!$A$1:$AL$1,))</f>
        <v/>
      </c>
      <c r="N66" s="13">
        <f>VLOOKUP(B66,'Data World'!$A:$AL,MATCH(World!$N$1,'Data World'!$A$1:$AL$1,))</f>
        <v/>
      </c>
      <c r="O66" s="13">
        <f>VLOOKUP(B66,'Data World'!$A:$AL,MATCH(World!$O$1,'Data World'!$A$1:$AL$1,))</f>
        <v/>
      </c>
      <c r="P66" s="13">
        <f>VLOOKUP(B66,'Data World'!$A:$AL,MATCH(World!$P$1,'Data World'!$A$1:$AL$1,))</f>
        <v/>
      </c>
      <c r="Q66" s="13">
        <f>VLOOKUP(B66,'Data World'!$A:$AL,MATCH(World!$Q$1,'Data World'!$A$1:$AL$1,))</f>
        <v/>
      </c>
      <c r="R66" s="13">
        <f>VLOOKUP(B66,'Data World'!$A:$AL,MATCH(World!$R$1,'Data World'!$A$1:$AL$1,))</f>
        <v/>
      </c>
      <c r="S66" s="13">
        <f>VLOOKUP(B66,'Data World'!$A:$AL,MATCH(World!$S$1,'Data World'!$A$1:$AL$1,))</f>
        <v/>
      </c>
      <c r="T66" s="13">
        <f>VLOOKUP(B66,'Data World'!$A:$AL,MATCH(World!$T$1,'Data World'!$A$1:$AL$1,))</f>
        <v/>
      </c>
    </row>
    <row r="67" customFormat="1" s="64">
      <c r="B67" s="12" t="n">
        <v>43982</v>
      </c>
      <c r="C67" s="13">
        <f>VLOOKUP(B67,'Data World'!$A:$AL,MATCH(World!$C$1,'Data World'!$A$1:$AL$1,))</f>
        <v/>
      </c>
      <c r="D67" s="13">
        <f>VLOOKUP(B67,'Data World'!$A:$AL,MATCH(World!$D$1,'Data World'!$A$1:$AL$1,))</f>
        <v/>
      </c>
      <c r="E67" s="13">
        <f>VLOOKUP(B67,'Data World'!$A:$AL,MATCH(World!$E$1,'Data World'!$A$1:$AL$1,))</f>
        <v/>
      </c>
      <c r="F67" s="13">
        <f>VLOOKUP(B67,'Data World'!$A:$AL,MATCH(World!$F$1,'Data World'!$A$1:$AL$1,))</f>
        <v/>
      </c>
      <c r="G67" s="13">
        <f>VLOOKUP(B67,'Data World'!$A:$AL,MATCH(World!$G$1,'Data World'!$A$1:$AL$1,))</f>
        <v/>
      </c>
      <c r="H67" s="13">
        <f>VLOOKUP(B67,'Data World'!$A:$AL,MATCH(World!$H$1,'Data World'!$A$1:$AL$1,))</f>
        <v/>
      </c>
      <c r="I67" s="13">
        <f>VLOOKUP(B67,'Data World'!$A:$AL,MATCH(World!$I$1,'Data World'!$A$1:$AL$1,))</f>
        <v/>
      </c>
      <c r="J67" s="13">
        <f>VLOOKUP(B67,'Data World'!$A:$AL,MATCH(World!$J$1,'Data World'!$A$1:$AL$1,))</f>
        <v/>
      </c>
      <c r="K67" s="13">
        <f>VLOOKUP(B67,'Data World'!$A:$AL,MATCH(World!$K$1,'Data World'!$A$1:$AL$1,))</f>
        <v/>
      </c>
      <c r="L67" s="13">
        <f>VLOOKUP(B67,'Data World'!$A:$AL,MATCH(World!$L$1,'Data World'!$A$1:$AL$1,))</f>
        <v/>
      </c>
      <c r="M67" s="13">
        <f>VLOOKUP(B67,'Data World'!$A:$AL,MATCH(World!$M$1,'Data World'!$A$1:$AL$1,))</f>
        <v/>
      </c>
      <c r="N67" s="13">
        <f>VLOOKUP(B67,'Data World'!$A:$AL,MATCH(World!$N$1,'Data World'!$A$1:$AL$1,))</f>
        <v/>
      </c>
      <c r="O67" s="13">
        <f>VLOOKUP(B67,'Data World'!$A:$AL,MATCH(World!$O$1,'Data World'!$A$1:$AL$1,))</f>
        <v/>
      </c>
      <c r="P67" s="13">
        <f>VLOOKUP(B67,'Data World'!$A:$AL,MATCH(World!$P$1,'Data World'!$A$1:$AL$1,))</f>
        <v/>
      </c>
      <c r="Q67" s="13">
        <f>VLOOKUP(B67,'Data World'!$A:$AL,MATCH(World!$Q$1,'Data World'!$A$1:$AL$1,))</f>
        <v/>
      </c>
      <c r="R67" s="13">
        <f>VLOOKUP(B67,'Data World'!$A:$AL,MATCH(World!$R$1,'Data World'!$A$1:$AL$1,))</f>
        <v/>
      </c>
      <c r="S67" s="13">
        <f>VLOOKUP(B67,'Data World'!$A:$AL,MATCH(World!$S$1,'Data World'!$A$1:$AL$1,))</f>
        <v/>
      </c>
      <c r="T67" s="13">
        <f>VLOOKUP(B67,'Data World'!$A:$AL,MATCH(World!$T$1,'Data World'!$A$1:$AL$1,))</f>
        <v/>
      </c>
    </row>
    <row r="68" customFormat="1" s="64">
      <c r="B68" s="12" t="n">
        <v>44012</v>
      </c>
      <c r="C68" s="13">
        <f>VLOOKUP(B68,'Data World'!$A:$AL,MATCH(World!$C$1,'Data World'!$A$1:$AL$1,))</f>
        <v/>
      </c>
      <c r="D68" s="13">
        <f>VLOOKUP(B68,'Data World'!$A:$AL,MATCH(World!$D$1,'Data World'!$A$1:$AL$1,))</f>
        <v/>
      </c>
      <c r="E68" s="13">
        <f>VLOOKUP(B68,'Data World'!$A:$AL,MATCH(World!$E$1,'Data World'!$A$1:$AL$1,))</f>
        <v/>
      </c>
      <c r="F68" s="13">
        <f>VLOOKUP(B68,'Data World'!$A:$AL,MATCH(World!$F$1,'Data World'!$A$1:$AL$1,))</f>
        <v/>
      </c>
      <c r="G68" s="13">
        <f>VLOOKUP(B68,'Data World'!$A:$AL,MATCH(World!$G$1,'Data World'!$A$1:$AL$1,))</f>
        <v/>
      </c>
      <c r="H68" s="13">
        <f>VLOOKUP(B68,'Data World'!$A:$AL,MATCH(World!$H$1,'Data World'!$A$1:$AL$1,))</f>
        <v/>
      </c>
      <c r="I68" s="13">
        <f>VLOOKUP(B68,'Data World'!$A:$AL,MATCH(World!$I$1,'Data World'!$A$1:$AL$1,))</f>
        <v/>
      </c>
      <c r="J68" s="13">
        <f>VLOOKUP(B68,'Data World'!$A:$AL,MATCH(World!$J$1,'Data World'!$A$1:$AL$1,))</f>
        <v/>
      </c>
      <c r="K68" s="13">
        <f>VLOOKUP(B68,'Data World'!$A:$AL,MATCH(World!$K$1,'Data World'!$A$1:$AL$1,))</f>
        <v/>
      </c>
      <c r="L68" s="13">
        <f>VLOOKUP(B68,'Data World'!$A:$AL,MATCH(World!$L$1,'Data World'!$A$1:$AL$1,))</f>
        <v/>
      </c>
      <c r="M68" s="13">
        <f>VLOOKUP(B68,'Data World'!$A:$AL,MATCH(World!$M$1,'Data World'!$A$1:$AL$1,))</f>
        <v/>
      </c>
      <c r="N68" s="13">
        <f>VLOOKUP(B68,'Data World'!$A:$AL,MATCH(World!$N$1,'Data World'!$A$1:$AL$1,))</f>
        <v/>
      </c>
      <c r="O68" s="13">
        <f>VLOOKUP(B68,'Data World'!$A:$AL,MATCH(World!$O$1,'Data World'!$A$1:$AL$1,))</f>
        <v/>
      </c>
      <c r="P68" s="13">
        <f>VLOOKUP(B68,'Data World'!$A:$AL,MATCH(World!$P$1,'Data World'!$A$1:$AL$1,))</f>
        <v/>
      </c>
      <c r="Q68" s="13">
        <f>VLOOKUP(B68,'Data World'!$A:$AL,MATCH(World!$Q$1,'Data World'!$A$1:$AL$1,))</f>
        <v/>
      </c>
      <c r="R68" s="13">
        <f>VLOOKUP(B68,'Data World'!$A:$AL,MATCH(World!$R$1,'Data World'!$A$1:$AL$1,))</f>
        <v/>
      </c>
      <c r="S68" s="13">
        <f>VLOOKUP(B68,'Data World'!$A:$AL,MATCH(World!$S$1,'Data World'!$A$1:$AL$1,))</f>
        <v/>
      </c>
      <c r="T68" s="13">
        <f>VLOOKUP(B68,'Data World'!$A:$AL,MATCH(World!$T$1,'Data World'!$A$1:$AL$1,))</f>
        <v/>
      </c>
    </row>
    <row r="69" customFormat="1" s="64">
      <c r="B69" s="12" t="n">
        <v>44043</v>
      </c>
      <c r="C69" s="13">
        <f>VLOOKUP(B69,'Data World'!$A:$AL,MATCH(World!$C$1,'Data World'!$A$1:$AL$1,))</f>
        <v/>
      </c>
      <c r="D69" s="13">
        <f>VLOOKUP(B69,'Data World'!$A:$AL,MATCH(World!$D$1,'Data World'!$A$1:$AL$1,))</f>
        <v/>
      </c>
      <c r="E69" s="13">
        <f>VLOOKUP(B69,'Data World'!$A:$AL,MATCH(World!$E$1,'Data World'!$A$1:$AL$1,))</f>
        <v/>
      </c>
      <c r="F69" s="13">
        <f>VLOOKUP(B69,'Data World'!$A:$AL,MATCH(World!$F$1,'Data World'!$A$1:$AL$1,))</f>
        <v/>
      </c>
      <c r="G69" s="13">
        <f>VLOOKUP(B69,'Data World'!$A:$AL,MATCH(World!$G$1,'Data World'!$A$1:$AL$1,))</f>
        <v/>
      </c>
      <c r="H69" s="13">
        <f>VLOOKUP(B69,'Data World'!$A:$AL,MATCH(World!$H$1,'Data World'!$A$1:$AL$1,))</f>
        <v/>
      </c>
      <c r="I69" s="13">
        <f>VLOOKUP(B69,'Data World'!$A:$AL,MATCH(World!$I$1,'Data World'!$A$1:$AL$1,))</f>
        <v/>
      </c>
      <c r="J69" s="13">
        <f>VLOOKUP(B69,'Data World'!$A:$AL,MATCH(World!$J$1,'Data World'!$A$1:$AL$1,))</f>
        <v/>
      </c>
      <c r="K69" s="13">
        <f>VLOOKUP(B69,'Data World'!$A:$AL,MATCH(World!$K$1,'Data World'!$A$1:$AL$1,))</f>
        <v/>
      </c>
      <c r="L69" s="13">
        <f>VLOOKUP(B69,'Data World'!$A:$AL,MATCH(World!$L$1,'Data World'!$A$1:$AL$1,))</f>
        <v/>
      </c>
      <c r="M69" s="13">
        <f>VLOOKUP(B69,'Data World'!$A:$AL,MATCH(World!$M$1,'Data World'!$A$1:$AL$1,))</f>
        <v/>
      </c>
      <c r="N69" s="13">
        <f>VLOOKUP(B69,'Data World'!$A:$AL,MATCH(World!$N$1,'Data World'!$A$1:$AL$1,))</f>
        <v/>
      </c>
      <c r="O69" s="13">
        <f>VLOOKUP(B69,'Data World'!$A:$AL,MATCH(World!$O$1,'Data World'!$A$1:$AL$1,))</f>
        <v/>
      </c>
      <c r="P69" s="13">
        <f>VLOOKUP(B69,'Data World'!$A:$AL,MATCH(World!$P$1,'Data World'!$A$1:$AL$1,))</f>
        <v/>
      </c>
      <c r="Q69" s="13">
        <f>VLOOKUP(B69,'Data World'!$A:$AL,MATCH(World!$Q$1,'Data World'!$A$1:$AL$1,))</f>
        <v/>
      </c>
      <c r="R69" s="13">
        <f>VLOOKUP(B69,'Data World'!$A:$AL,MATCH(World!$R$1,'Data World'!$A$1:$AL$1,))</f>
        <v/>
      </c>
      <c r="S69" s="13">
        <f>VLOOKUP(B69,'Data World'!$A:$AL,MATCH(World!$S$1,'Data World'!$A$1:$AL$1,))</f>
        <v/>
      </c>
      <c r="T69" s="13">
        <f>VLOOKUP(B69,'Data World'!$A:$AL,MATCH(World!$T$1,'Data World'!$A$1:$AL$1,))</f>
        <v/>
      </c>
    </row>
    <row r="70" customFormat="1" s="64">
      <c r="B70" s="12" t="n">
        <v>44074</v>
      </c>
      <c r="C70" s="13">
        <f>VLOOKUP(B70,'Data World'!$A:$AL,MATCH(World!$C$1,'Data World'!$A$1:$AL$1,))</f>
        <v/>
      </c>
      <c r="D70" s="13">
        <f>VLOOKUP(B70,'Data World'!$A:$AL,MATCH(World!$D$1,'Data World'!$A$1:$AL$1,))</f>
        <v/>
      </c>
      <c r="E70" s="13">
        <f>VLOOKUP(B70,'Data World'!$A:$AL,MATCH(World!$E$1,'Data World'!$A$1:$AL$1,))</f>
        <v/>
      </c>
      <c r="F70" s="13">
        <f>VLOOKUP(B70,'Data World'!$A:$AL,MATCH(World!$F$1,'Data World'!$A$1:$AL$1,))</f>
        <v/>
      </c>
      <c r="G70" s="13">
        <f>VLOOKUP(B70,'Data World'!$A:$AL,MATCH(World!$G$1,'Data World'!$A$1:$AL$1,))</f>
        <v/>
      </c>
      <c r="H70" s="13">
        <f>VLOOKUP(B70,'Data World'!$A:$AL,MATCH(World!$H$1,'Data World'!$A$1:$AL$1,))</f>
        <v/>
      </c>
      <c r="I70" s="13">
        <f>VLOOKUP(B70,'Data World'!$A:$AL,MATCH(World!$I$1,'Data World'!$A$1:$AL$1,))</f>
        <v/>
      </c>
      <c r="J70" s="13">
        <f>VLOOKUP(B70,'Data World'!$A:$AL,MATCH(World!$J$1,'Data World'!$A$1:$AL$1,))</f>
        <v/>
      </c>
      <c r="K70" s="13">
        <f>VLOOKUP(B70,'Data World'!$A:$AL,MATCH(World!$K$1,'Data World'!$A$1:$AL$1,))</f>
        <v/>
      </c>
      <c r="L70" s="13">
        <f>VLOOKUP(B70,'Data World'!$A:$AL,MATCH(World!$L$1,'Data World'!$A$1:$AL$1,))</f>
        <v/>
      </c>
      <c r="M70" s="13">
        <f>VLOOKUP(B70,'Data World'!$A:$AL,MATCH(World!$M$1,'Data World'!$A$1:$AL$1,))</f>
        <v/>
      </c>
      <c r="N70" s="13">
        <f>VLOOKUP(B70,'Data World'!$A:$AL,MATCH(World!$N$1,'Data World'!$A$1:$AL$1,))</f>
        <v/>
      </c>
      <c r="O70" s="13">
        <f>VLOOKUP(B70,'Data World'!$A:$AL,MATCH(World!$O$1,'Data World'!$A$1:$AL$1,))</f>
        <v/>
      </c>
      <c r="P70" s="13">
        <f>VLOOKUP(B70,'Data World'!$A:$AL,MATCH(World!$P$1,'Data World'!$A$1:$AL$1,))</f>
        <v/>
      </c>
      <c r="Q70" s="13">
        <f>VLOOKUP(B70,'Data World'!$A:$AL,MATCH(World!$Q$1,'Data World'!$A$1:$AL$1,))</f>
        <v/>
      </c>
      <c r="R70" s="13">
        <f>VLOOKUP(B70,'Data World'!$A:$AL,MATCH(World!$R$1,'Data World'!$A$1:$AL$1,))</f>
        <v/>
      </c>
      <c r="S70" s="13">
        <f>VLOOKUP(B70,'Data World'!$A:$AL,MATCH(World!$S$1,'Data World'!$A$1:$AL$1,))</f>
        <v/>
      </c>
      <c r="T70" s="13">
        <f>VLOOKUP(B70,'Data World'!$A:$AL,MATCH(World!$T$1,'Data World'!$A$1:$AL$1,))</f>
        <v/>
      </c>
    </row>
    <row r="71" customFormat="1" s="64">
      <c r="B71" s="12" t="n">
        <v>44104</v>
      </c>
      <c r="C71" s="13">
        <f>VLOOKUP(B71,'Data World'!$A:$AL,MATCH(World!$C$1,'Data World'!$A$1:$AL$1,))</f>
        <v/>
      </c>
      <c r="D71" s="13">
        <f>VLOOKUP(B71,'Data World'!$A:$AL,MATCH(World!$D$1,'Data World'!$A$1:$AL$1,))</f>
        <v/>
      </c>
      <c r="E71" s="13">
        <f>VLOOKUP(B71,'Data World'!$A:$AL,MATCH(World!$E$1,'Data World'!$A$1:$AL$1,))</f>
        <v/>
      </c>
      <c r="F71" s="13">
        <f>VLOOKUP(B71,'Data World'!$A:$AL,MATCH(World!$F$1,'Data World'!$A$1:$AL$1,))</f>
        <v/>
      </c>
      <c r="G71" s="13">
        <f>VLOOKUP(B71,'Data World'!$A:$AL,MATCH(World!$G$1,'Data World'!$A$1:$AL$1,))</f>
        <v/>
      </c>
      <c r="H71" s="13">
        <f>VLOOKUP(B71,'Data World'!$A:$AL,MATCH(World!$H$1,'Data World'!$A$1:$AL$1,))</f>
        <v/>
      </c>
      <c r="I71" s="13">
        <f>VLOOKUP(B71,'Data World'!$A:$AL,MATCH(World!$I$1,'Data World'!$A$1:$AL$1,))</f>
        <v/>
      </c>
      <c r="J71" s="13">
        <f>VLOOKUP(B71,'Data World'!$A:$AL,MATCH(World!$J$1,'Data World'!$A$1:$AL$1,))</f>
        <v/>
      </c>
      <c r="K71" s="13">
        <f>VLOOKUP(B71,'Data World'!$A:$AL,MATCH(World!$K$1,'Data World'!$A$1:$AL$1,))</f>
        <v/>
      </c>
      <c r="L71" s="13">
        <f>VLOOKUP(B71,'Data World'!$A:$AL,MATCH(World!$L$1,'Data World'!$A$1:$AL$1,))</f>
        <v/>
      </c>
      <c r="M71" s="13">
        <f>VLOOKUP(B71,'Data World'!$A:$AL,MATCH(World!$M$1,'Data World'!$A$1:$AL$1,))</f>
        <v/>
      </c>
      <c r="N71" s="13">
        <f>VLOOKUP(B71,'Data World'!$A:$AL,MATCH(World!$N$1,'Data World'!$A$1:$AL$1,))</f>
        <v/>
      </c>
      <c r="O71" s="13">
        <f>VLOOKUP(B71,'Data World'!$A:$AL,MATCH(World!$O$1,'Data World'!$A$1:$AL$1,))</f>
        <v/>
      </c>
      <c r="P71" s="13">
        <f>VLOOKUP(B71,'Data World'!$A:$AL,MATCH(World!$P$1,'Data World'!$A$1:$AL$1,))</f>
        <v/>
      </c>
      <c r="Q71" s="13">
        <f>VLOOKUP(B71,'Data World'!$A:$AL,MATCH(World!$Q$1,'Data World'!$A$1:$AL$1,))</f>
        <v/>
      </c>
      <c r="R71" s="13">
        <f>VLOOKUP(B71,'Data World'!$A:$AL,MATCH(World!$R$1,'Data World'!$A$1:$AL$1,))</f>
        <v/>
      </c>
      <c r="S71" s="13">
        <f>VLOOKUP(B71,'Data World'!$A:$AL,MATCH(World!$S$1,'Data World'!$A$1:$AL$1,))</f>
        <v/>
      </c>
      <c r="T71" s="13">
        <f>VLOOKUP(B71,'Data World'!$A:$AL,MATCH(World!$T$1,'Data World'!$A$1:$AL$1,))</f>
        <v/>
      </c>
    </row>
    <row r="72" customFormat="1" s="64">
      <c r="B72" s="12" t="n">
        <v>44135</v>
      </c>
      <c r="C72" s="13">
        <f>VLOOKUP(B72,'Data World'!$A:$AL,MATCH(World!$C$1,'Data World'!$A$1:$AL$1,))</f>
        <v/>
      </c>
      <c r="D72" s="13">
        <f>VLOOKUP(B72,'Data World'!$A:$AL,MATCH(World!$D$1,'Data World'!$A$1:$AL$1,))</f>
        <v/>
      </c>
      <c r="E72" s="13">
        <f>VLOOKUP(B72,'Data World'!$A:$AL,MATCH(World!$E$1,'Data World'!$A$1:$AL$1,))</f>
        <v/>
      </c>
      <c r="F72" s="13">
        <f>VLOOKUP(B72,'Data World'!$A:$AL,MATCH(World!$F$1,'Data World'!$A$1:$AL$1,))</f>
        <v/>
      </c>
      <c r="G72" s="13">
        <f>VLOOKUP(B72,'Data World'!$A:$AL,MATCH(World!$G$1,'Data World'!$A$1:$AL$1,))</f>
        <v/>
      </c>
      <c r="H72" s="13">
        <f>VLOOKUP(B72,'Data World'!$A:$AL,MATCH(World!$H$1,'Data World'!$A$1:$AL$1,))</f>
        <v/>
      </c>
      <c r="I72" s="13">
        <f>VLOOKUP(B72,'Data World'!$A:$AL,MATCH(World!$I$1,'Data World'!$A$1:$AL$1,))</f>
        <v/>
      </c>
      <c r="J72" s="13">
        <f>VLOOKUP(B72,'Data World'!$A:$AL,MATCH(World!$J$1,'Data World'!$A$1:$AL$1,))</f>
        <v/>
      </c>
      <c r="K72" s="13">
        <f>VLOOKUP(B72,'Data World'!$A:$AL,MATCH(World!$K$1,'Data World'!$A$1:$AL$1,))</f>
        <v/>
      </c>
      <c r="L72" s="13">
        <f>VLOOKUP(B72,'Data World'!$A:$AL,MATCH(World!$L$1,'Data World'!$A$1:$AL$1,))</f>
        <v/>
      </c>
      <c r="M72" s="13">
        <f>VLOOKUP(B72,'Data World'!$A:$AL,MATCH(World!$M$1,'Data World'!$A$1:$AL$1,))</f>
        <v/>
      </c>
      <c r="N72" s="13">
        <f>VLOOKUP(B72,'Data World'!$A:$AL,MATCH(World!$N$1,'Data World'!$A$1:$AL$1,))</f>
        <v/>
      </c>
      <c r="O72" s="13">
        <f>VLOOKUP(B72,'Data World'!$A:$AL,MATCH(World!$O$1,'Data World'!$A$1:$AL$1,))</f>
        <v/>
      </c>
      <c r="P72" s="13">
        <f>VLOOKUP(B72,'Data World'!$A:$AL,MATCH(World!$P$1,'Data World'!$A$1:$AL$1,))</f>
        <v/>
      </c>
      <c r="Q72" s="13">
        <f>VLOOKUP(B72,'Data World'!$A:$AL,MATCH(World!$Q$1,'Data World'!$A$1:$AL$1,))</f>
        <v/>
      </c>
      <c r="R72" s="13">
        <f>VLOOKUP(B72,'Data World'!$A:$AL,MATCH(World!$R$1,'Data World'!$A$1:$AL$1,))</f>
        <v/>
      </c>
      <c r="S72" s="13">
        <f>VLOOKUP(B72,'Data World'!$A:$AL,MATCH(World!$S$1,'Data World'!$A$1:$AL$1,))</f>
        <v/>
      </c>
      <c r="T72" s="13">
        <f>VLOOKUP(B72,'Data World'!$A:$AL,MATCH(World!$T$1,'Data World'!$A$1:$AL$1,))</f>
        <v/>
      </c>
    </row>
    <row r="73" customFormat="1" s="64">
      <c r="B73" s="12" t="n">
        <v>44165</v>
      </c>
      <c r="C73" s="13">
        <f>VLOOKUP(B73,'Data World'!$A:$AL,MATCH(World!$C$1,'Data World'!$A$1:$AL$1,))</f>
        <v/>
      </c>
      <c r="D73" s="13">
        <f>VLOOKUP(B73,'Data World'!$A:$AL,MATCH(World!$D$1,'Data World'!$A$1:$AL$1,))</f>
        <v/>
      </c>
      <c r="E73" s="13">
        <f>VLOOKUP(B73,'Data World'!$A:$AL,MATCH(World!$E$1,'Data World'!$A$1:$AL$1,))</f>
        <v/>
      </c>
      <c r="F73" s="13">
        <f>VLOOKUP(B73,'Data World'!$A:$AL,MATCH(World!$F$1,'Data World'!$A$1:$AL$1,))</f>
        <v/>
      </c>
      <c r="G73" s="13">
        <f>VLOOKUP(B73,'Data World'!$A:$AL,MATCH(World!$G$1,'Data World'!$A$1:$AL$1,))</f>
        <v/>
      </c>
      <c r="H73" s="13">
        <f>VLOOKUP(B73,'Data World'!$A:$AL,MATCH(World!$H$1,'Data World'!$A$1:$AL$1,))</f>
        <v/>
      </c>
      <c r="I73" s="13">
        <f>VLOOKUP(B73,'Data World'!$A:$AL,MATCH(World!$I$1,'Data World'!$A$1:$AL$1,))</f>
        <v/>
      </c>
      <c r="J73" s="13">
        <f>VLOOKUP(B73,'Data World'!$A:$AL,MATCH(World!$J$1,'Data World'!$A$1:$AL$1,))</f>
        <v/>
      </c>
      <c r="K73" s="13">
        <f>VLOOKUP(B73,'Data World'!$A:$AL,MATCH(World!$K$1,'Data World'!$A$1:$AL$1,))</f>
        <v/>
      </c>
      <c r="L73" s="13">
        <f>VLOOKUP(B73,'Data World'!$A:$AL,MATCH(World!$L$1,'Data World'!$A$1:$AL$1,))</f>
        <v/>
      </c>
      <c r="M73" s="13">
        <f>VLOOKUP(B73,'Data World'!$A:$AL,MATCH(World!$M$1,'Data World'!$A$1:$AL$1,))</f>
        <v/>
      </c>
      <c r="N73" s="13">
        <f>VLOOKUP(B73,'Data World'!$A:$AL,MATCH(World!$N$1,'Data World'!$A$1:$AL$1,))</f>
        <v/>
      </c>
      <c r="O73" s="13">
        <f>VLOOKUP(B73,'Data World'!$A:$AL,MATCH(World!$O$1,'Data World'!$A$1:$AL$1,))</f>
        <v/>
      </c>
      <c r="P73" s="13">
        <f>VLOOKUP(B73,'Data World'!$A:$AL,MATCH(World!$P$1,'Data World'!$A$1:$AL$1,))</f>
        <v/>
      </c>
      <c r="Q73" s="13">
        <f>VLOOKUP(B73,'Data World'!$A:$AL,MATCH(World!$Q$1,'Data World'!$A$1:$AL$1,))</f>
        <v/>
      </c>
      <c r="R73" s="13">
        <f>VLOOKUP(B73,'Data World'!$A:$AL,MATCH(World!$R$1,'Data World'!$A$1:$AL$1,))</f>
        <v/>
      </c>
      <c r="S73" s="13">
        <f>VLOOKUP(B73,'Data World'!$A:$AL,MATCH(World!$S$1,'Data World'!$A$1:$AL$1,))</f>
        <v/>
      </c>
      <c r="T73" s="13">
        <f>VLOOKUP(B73,'Data World'!$A:$AL,MATCH(World!$T$1,'Data World'!$A$1:$AL$1,))</f>
        <v/>
      </c>
    </row>
    <row r="74" customFormat="1" s="64">
      <c r="B74" s="12" t="n">
        <v>44196</v>
      </c>
      <c r="C74" s="13">
        <f>VLOOKUP(B74,'Data World'!$A:$AL,MATCH(World!$C$1,'Data World'!$A$1:$AL$1,))</f>
        <v/>
      </c>
      <c r="D74" s="13">
        <f>VLOOKUP(B74,'Data World'!$A:$AL,MATCH(World!$D$1,'Data World'!$A$1:$AL$1,))</f>
        <v/>
      </c>
      <c r="E74" s="13">
        <f>VLOOKUP(B74,'Data World'!$A:$AL,MATCH(World!$E$1,'Data World'!$A$1:$AL$1,))</f>
        <v/>
      </c>
      <c r="F74" s="13">
        <f>VLOOKUP(B74,'Data World'!$A:$AL,MATCH(World!$F$1,'Data World'!$A$1:$AL$1,))</f>
        <v/>
      </c>
      <c r="G74" s="13">
        <f>VLOOKUP(B74,'Data World'!$A:$AL,MATCH(World!$G$1,'Data World'!$A$1:$AL$1,))</f>
        <v/>
      </c>
      <c r="H74" s="13">
        <f>VLOOKUP(B74,'Data World'!$A:$AL,MATCH(World!$H$1,'Data World'!$A$1:$AL$1,))</f>
        <v/>
      </c>
      <c r="I74" s="13">
        <f>VLOOKUP(B74,'Data World'!$A:$AL,MATCH(World!$I$1,'Data World'!$A$1:$AL$1,))</f>
        <v/>
      </c>
      <c r="J74" s="13">
        <f>VLOOKUP(B74,'Data World'!$A:$AL,MATCH(World!$J$1,'Data World'!$A$1:$AL$1,))</f>
        <v/>
      </c>
      <c r="K74" s="13">
        <f>VLOOKUP(B74,'Data World'!$A:$AL,MATCH(World!$K$1,'Data World'!$A$1:$AL$1,))</f>
        <v/>
      </c>
      <c r="L74" s="13">
        <f>VLOOKUP(B74,'Data World'!$A:$AL,MATCH(World!$L$1,'Data World'!$A$1:$AL$1,))</f>
        <v/>
      </c>
      <c r="M74" s="13">
        <f>VLOOKUP(B74,'Data World'!$A:$AL,MATCH(World!$M$1,'Data World'!$A$1:$AL$1,))</f>
        <v/>
      </c>
      <c r="N74" s="13">
        <f>VLOOKUP(B74,'Data World'!$A:$AL,MATCH(World!$N$1,'Data World'!$A$1:$AL$1,))</f>
        <v/>
      </c>
      <c r="O74" s="13">
        <f>VLOOKUP(B74,'Data World'!$A:$AL,MATCH(World!$O$1,'Data World'!$A$1:$AL$1,))</f>
        <v/>
      </c>
      <c r="P74" s="13">
        <f>VLOOKUP(B74,'Data World'!$A:$AL,MATCH(World!$P$1,'Data World'!$A$1:$AL$1,))</f>
        <v/>
      </c>
      <c r="Q74" s="13">
        <f>VLOOKUP(B74,'Data World'!$A:$AL,MATCH(World!$Q$1,'Data World'!$A$1:$AL$1,))</f>
        <v/>
      </c>
      <c r="R74" s="13">
        <f>VLOOKUP(B74,'Data World'!$A:$AL,MATCH(World!$R$1,'Data World'!$A$1:$AL$1,))</f>
        <v/>
      </c>
      <c r="S74" s="13">
        <f>VLOOKUP(B74,'Data World'!$A:$AL,MATCH(World!$S$1,'Data World'!$A$1:$AL$1,))</f>
        <v/>
      </c>
      <c r="T74" s="13">
        <f>VLOOKUP(B74,'Data World'!$A:$AL,MATCH(World!$T$1,'Data World'!$A$1:$AL$1,))</f>
        <v/>
      </c>
    </row>
    <row r="75" customFormat="1" s="64">
      <c r="B75" s="12" t="n">
        <v>44227</v>
      </c>
      <c r="C75" s="13">
        <f>VLOOKUP(B75,'Data World'!$A:$AL,MATCH(World!$C$1,'Data World'!$A$1:$AL$1,))</f>
        <v/>
      </c>
      <c r="D75" s="13">
        <f>VLOOKUP(B75,'Data World'!$A:$AL,MATCH(World!$D$1,'Data World'!$A$1:$AL$1,))</f>
        <v/>
      </c>
      <c r="E75" s="13">
        <f>VLOOKUP(B75,'Data World'!$A:$AL,MATCH(World!$E$1,'Data World'!$A$1:$AL$1,))</f>
        <v/>
      </c>
      <c r="F75" s="13">
        <f>VLOOKUP(B75,'Data World'!$A:$AL,MATCH(World!$F$1,'Data World'!$A$1:$AL$1,))</f>
        <v/>
      </c>
      <c r="G75" s="13">
        <f>VLOOKUP(B75,'Data World'!$A:$AL,MATCH(World!$G$1,'Data World'!$A$1:$AL$1,))</f>
        <v/>
      </c>
      <c r="H75" s="13">
        <f>VLOOKUP(B75,'Data World'!$A:$AL,MATCH(World!$H$1,'Data World'!$A$1:$AL$1,))</f>
        <v/>
      </c>
      <c r="I75" s="13">
        <f>VLOOKUP(B75,'Data World'!$A:$AL,MATCH(World!$I$1,'Data World'!$A$1:$AL$1,))</f>
        <v/>
      </c>
      <c r="J75" s="13">
        <f>VLOOKUP(B75,'Data World'!$A:$AL,MATCH(World!$J$1,'Data World'!$A$1:$AL$1,))</f>
        <v/>
      </c>
      <c r="K75" s="13">
        <f>VLOOKUP(B75,'Data World'!$A:$AL,MATCH(World!$K$1,'Data World'!$A$1:$AL$1,))</f>
        <v/>
      </c>
      <c r="L75" s="13">
        <f>VLOOKUP(B75,'Data World'!$A:$AL,MATCH(World!$L$1,'Data World'!$A$1:$AL$1,))</f>
        <v/>
      </c>
      <c r="M75" s="13">
        <f>VLOOKUP(B75,'Data World'!$A:$AL,MATCH(World!$M$1,'Data World'!$A$1:$AL$1,))</f>
        <v/>
      </c>
      <c r="N75" s="13">
        <f>VLOOKUP(B75,'Data World'!$A:$AL,MATCH(World!$N$1,'Data World'!$A$1:$AL$1,))</f>
        <v/>
      </c>
      <c r="O75" s="13">
        <f>VLOOKUP(B75,'Data World'!$A:$AL,MATCH(World!$O$1,'Data World'!$A$1:$AL$1,))</f>
        <v/>
      </c>
      <c r="P75" s="13">
        <f>VLOOKUP(B75,'Data World'!$A:$AL,MATCH(World!$P$1,'Data World'!$A$1:$AL$1,))</f>
        <v/>
      </c>
      <c r="Q75" s="13">
        <f>VLOOKUP(B75,'Data World'!$A:$AL,MATCH(World!$Q$1,'Data World'!$A$1:$AL$1,))</f>
        <v/>
      </c>
      <c r="R75" s="13">
        <f>VLOOKUP(B75,'Data World'!$A:$AL,MATCH(World!$R$1,'Data World'!$A$1:$AL$1,))</f>
        <v/>
      </c>
      <c r="S75" s="13">
        <f>VLOOKUP(B75,'Data World'!$A:$AL,MATCH(World!$S$1,'Data World'!$A$1:$AL$1,))</f>
        <v/>
      </c>
      <c r="T75" s="13">
        <f>VLOOKUP(B75,'Data World'!$A:$AL,MATCH(World!$T$1,'Data World'!$A$1:$AL$1,))</f>
        <v/>
      </c>
    </row>
    <row r="76" customFormat="1" s="64">
      <c r="B76" s="12" t="n">
        <v>44255</v>
      </c>
      <c r="C76" s="13">
        <f>VLOOKUP(B76,'Data World'!$A:$AL,MATCH(World!$C$1,'Data World'!$A$1:$AL$1,))</f>
        <v/>
      </c>
      <c r="D76" s="13">
        <f>VLOOKUP(B76,'Data World'!$A:$AL,MATCH(World!$D$1,'Data World'!$A$1:$AL$1,))</f>
        <v/>
      </c>
      <c r="E76" s="13">
        <f>VLOOKUP(B76,'Data World'!$A:$AL,MATCH(World!$E$1,'Data World'!$A$1:$AL$1,))</f>
        <v/>
      </c>
      <c r="F76" s="13">
        <f>VLOOKUP(B76,'Data World'!$A:$AL,MATCH(World!$F$1,'Data World'!$A$1:$AL$1,))</f>
        <v/>
      </c>
      <c r="G76" s="13">
        <f>VLOOKUP(B76,'Data World'!$A:$AL,MATCH(World!$G$1,'Data World'!$A$1:$AL$1,))</f>
        <v/>
      </c>
      <c r="H76" s="13">
        <f>VLOOKUP(B76,'Data World'!$A:$AL,MATCH(World!$H$1,'Data World'!$A$1:$AL$1,))</f>
        <v/>
      </c>
      <c r="I76" s="13">
        <f>VLOOKUP(B76,'Data World'!$A:$AL,MATCH(World!$I$1,'Data World'!$A$1:$AL$1,))</f>
        <v/>
      </c>
      <c r="J76" s="13">
        <f>VLOOKUP(B76,'Data World'!$A:$AL,MATCH(World!$J$1,'Data World'!$A$1:$AL$1,))</f>
        <v/>
      </c>
      <c r="K76" s="13">
        <f>VLOOKUP(B76,'Data World'!$A:$AL,MATCH(World!$K$1,'Data World'!$A$1:$AL$1,))</f>
        <v/>
      </c>
      <c r="L76" s="13">
        <f>VLOOKUP(B76,'Data World'!$A:$AL,MATCH(World!$L$1,'Data World'!$A$1:$AL$1,))</f>
        <v/>
      </c>
      <c r="M76" s="13">
        <f>VLOOKUP(B76,'Data World'!$A:$AL,MATCH(World!$M$1,'Data World'!$A$1:$AL$1,))</f>
        <v/>
      </c>
      <c r="N76" s="13">
        <f>VLOOKUP(B76,'Data World'!$A:$AL,MATCH(World!$N$1,'Data World'!$A$1:$AL$1,))</f>
        <v/>
      </c>
      <c r="O76" s="13">
        <f>VLOOKUP(B76,'Data World'!$A:$AL,MATCH(World!$O$1,'Data World'!$A$1:$AL$1,))</f>
        <v/>
      </c>
      <c r="P76" s="13">
        <f>VLOOKUP(B76,'Data World'!$A:$AL,MATCH(World!$P$1,'Data World'!$A$1:$AL$1,))</f>
        <v/>
      </c>
      <c r="Q76" s="13">
        <f>VLOOKUP(B76,'Data World'!$A:$AL,MATCH(World!$Q$1,'Data World'!$A$1:$AL$1,))</f>
        <v/>
      </c>
      <c r="R76" s="13">
        <f>VLOOKUP(B76,'Data World'!$A:$AL,MATCH(World!$R$1,'Data World'!$A$1:$AL$1,))</f>
        <v/>
      </c>
      <c r="S76" s="13">
        <f>VLOOKUP(B76,'Data World'!$A:$AL,MATCH(World!$S$1,'Data World'!$A$1:$AL$1,))</f>
        <v/>
      </c>
      <c r="T76" s="13">
        <f>VLOOKUP(B76,'Data World'!$A:$AL,MATCH(World!$T$1,'Data World'!$A$1:$AL$1,))</f>
        <v/>
      </c>
    </row>
    <row r="77" customFormat="1" s="64">
      <c r="B77" s="12" t="n">
        <v>44286</v>
      </c>
      <c r="C77" s="13">
        <f>VLOOKUP(B77,'Data World'!$A:$AL,MATCH(World!$C$1,'Data World'!$A$1:$AL$1,))</f>
        <v/>
      </c>
      <c r="D77" s="13">
        <f>VLOOKUP(B77,'Data World'!$A:$AL,MATCH(World!$D$1,'Data World'!$A$1:$AL$1,))</f>
        <v/>
      </c>
      <c r="E77" s="13">
        <f>VLOOKUP(B77,'Data World'!$A:$AL,MATCH(World!$E$1,'Data World'!$A$1:$AL$1,))</f>
        <v/>
      </c>
      <c r="F77" s="13">
        <f>VLOOKUP(B77,'Data World'!$A:$AL,MATCH(World!$F$1,'Data World'!$A$1:$AL$1,))</f>
        <v/>
      </c>
      <c r="G77" s="13">
        <f>VLOOKUP(B77,'Data World'!$A:$AL,MATCH(World!$G$1,'Data World'!$A$1:$AL$1,))</f>
        <v/>
      </c>
      <c r="H77" s="13">
        <f>VLOOKUP(B77,'Data World'!$A:$AL,MATCH(World!$H$1,'Data World'!$A$1:$AL$1,))</f>
        <v/>
      </c>
      <c r="I77" s="13">
        <f>VLOOKUP(B77,'Data World'!$A:$AL,MATCH(World!$I$1,'Data World'!$A$1:$AL$1,))</f>
        <v/>
      </c>
      <c r="J77" s="13">
        <f>VLOOKUP(B77,'Data World'!$A:$AL,MATCH(World!$J$1,'Data World'!$A$1:$AL$1,))</f>
        <v/>
      </c>
      <c r="K77" s="13">
        <f>VLOOKUP(B77,'Data World'!$A:$AL,MATCH(World!$K$1,'Data World'!$A$1:$AL$1,))</f>
        <v/>
      </c>
      <c r="L77" s="13">
        <f>VLOOKUP(B77,'Data World'!$A:$AL,MATCH(World!$L$1,'Data World'!$A$1:$AL$1,))</f>
        <v/>
      </c>
      <c r="M77" s="13">
        <f>VLOOKUP(B77,'Data World'!$A:$AL,MATCH(World!$M$1,'Data World'!$A$1:$AL$1,))</f>
        <v/>
      </c>
      <c r="N77" s="13">
        <f>VLOOKUP(B77,'Data World'!$A:$AL,MATCH(World!$N$1,'Data World'!$A$1:$AL$1,))</f>
        <v/>
      </c>
      <c r="O77" s="13">
        <f>VLOOKUP(B77,'Data World'!$A:$AL,MATCH(World!$O$1,'Data World'!$A$1:$AL$1,))</f>
        <v/>
      </c>
      <c r="P77" s="13">
        <f>VLOOKUP(B77,'Data World'!$A:$AL,MATCH(World!$P$1,'Data World'!$A$1:$AL$1,))</f>
        <v/>
      </c>
      <c r="Q77" s="13">
        <f>VLOOKUP(B77,'Data World'!$A:$AL,MATCH(World!$Q$1,'Data World'!$A$1:$AL$1,))</f>
        <v/>
      </c>
      <c r="R77" s="13">
        <f>VLOOKUP(B77,'Data World'!$A:$AL,MATCH(World!$R$1,'Data World'!$A$1:$AL$1,))</f>
        <v/>
      </c>
      <c r="S77" s="13">
        <f>VLOOKUP(B77,'Data World'!$A:$AL,MATCH(World!$S$1,'Data World'!$A$1:$AL$1,))</f>
        <v/>
      </c>
      <c r="T77" s="13">
        <f>VLOOKUP(B77,'Data World'!$A:$AL,MATCH(World!$T$1,'Data World'!$A$1:$AL$1,))</f>
        <v/>
      </c>
    </row>
    <row r="78" customFormat="1" s="64">
      <c r="B78" s="12" t="n">
        <v>44316</v>
      </c>
      <c r="C78" s="13">
        <f>VLOOKUP(B78,'Data World'!$A:$AL,MATCH(World!$C$1,'Data World'!$A$1:$AL$1,))</f>
        <v/>
      </c>
      <c r="D78" s="13">
        <f>VLOOKUP(B78,'Data World'!$A:$AL,MATCH(World!$D$1,'Data World'!$A$1:$AL$1,))</f>
        <v/>
      </c>
      <c r="E78" s="13">
        <f>VLOOKUP(B78,'Data World'!$A:$AL,MATCH(World!$E$1,'Data World'!$A$1:$AL$1,))</f>
        <v/>
      </c>
      <c r="F78" s="13">
        <f>VLOOKUP(B78,'Data World'!$A:$AL,MATCH(World!$F$1,'Data World'!$A$1:$AL$1,))</f>
        <v/>
      </c>
      <c r="G78" s="13">
        <f>VLOOKUP(B78,'Data World'!$A:$AL,MATCH(World!$G$1,'Data World'!$A$1:$AL$1,))</f>
        <v/>
      </c>
      <c r="H78" s="13">
        <f>VLOOKUP(B78,'Data World'!$A:$AL,MATCH(World!$H$1,'Data World'!$A$1:$AL$1,))</f>
        <v/>
      </c>
      <c r="I78" s="13">
        <f>VLOOKUP(B78,'Data World'!$A:$AL,MATCH(World!$I$1,'Data World'!$A$1:$AL$1,))</f>
        <v/>
      </c>
      <c r="J78" s="13">
        <f>VLOOKUP(B78,'Data World'!$A:$AL,MATCH(World!$J$1,'Data World'!$A$1:$AL$1,))</f>
        <v/>
      </c>
      <c r="K78" s="13">
        <f>VLOOKUP(B78,'Data World'!$A:$AL,MATCH(World!$K$1,'Data World'!$A$1:$AL$1,))</f>
        <v/>
      </c>
      <c r="L78" s="13">
        <f>VLOOKUP(B78,'Data World'!$A:$AL,MATCH(World!$L$1,'Data World'!$A$1:$AL$1,))</f>
        <v/>
      </c>
      <c r="M78" s="13">
        <f>VLOOKUP(B78,'Data World'!$A:$AL,MATCH(World!$M$1,'Data World'!$A$1:$AL$1,))</f>
        <v/>
      </c>
      <c r="N78" s="13">
        <f>VLOOKUP(B78,'Data World'!$A:$AL,MATCH(World!$N$1,'Data World'!$A$1:$AL$1,))</f>
        <v/>
      </c>
      <c r="O78" s="13">
        <f>VLOOKUP(B78,'Data World'!$A:$AL,MATCH(World!$O$1,'Data World'!$A$1:$AL$1,))</f>
        <v/>
      </c>
      <c r="P78" s="13">
        <f>VLOOKUP(B78,'Data World'!$A:$AL,MATCH(World!$P$1,'Data World'!$A$1:$AL$1,))</f>
        <v/>
      </c>
      <c r="Q78" s="13">
        <f>VLOOKUP(B78,'Data World'!$A:$AL,MATCH(World!$Q$1,'Data World'!$A$1:$AL$1,))</f>
        <v/>
      </c>
      <c r="R78" s="13">
        <f>VLOOKUP(B78,'Data World'!$A:$AL,MATCH(World!$R$1,'Data World'!$A$1:$AL$1,))</f>
        <v/>
      </c>
      <c r="S78" s="13">
        <f>VLOOKUP(B78,'Data World'!$A:$AL,MATCH(World!$S$1,'Data World'!$A$1:$AL$1,))</f>
        <v/>
      </c>
      <c r="T78" s="13">
        <f>VLOOKUP(B78,'Data World'!$A:$AL,MATCH(World!$T$1,'Data World'!$A$1:$AL$1,))</f>
        <v/>
      </c>
    </row>
    <row r="79" customFormat="1" s="64">
      <c r="B79" s="12" t="n">
        <v>44347</v>
      </c>
      <c r="C79" s="13">
        <f>VLOOKUP(B79,'Data World'!$A:$AL,MATCH(World!$C$1,'Data World'!$A$1:$AL$1,))</f>
        <v/>
      </c>
      <c r="D79" s="13">
        <f>VLOOKUP(B79,'Data World'!$A:$AL,MATCH(World!$D$1,'Data World'!$A$1:$AL$1,))</f>
        <v/>
      </c>
      <c r="E79" s="13">
        <f>VLOOKUP(B79,'Data World'!$A:$AL,MATCH(World!$E$1,'Data World'!$A$1:$AL$1,))</f>
        <v/>
      </c>
      <c r="F79" s="13">
        <f>VLOOKUP(B79,'Data World'!$A:$AL,MATCH(World!$F$1,'Data World'!$A$1:$AL$1,))</f>
        <v/>
      </c>
      <c r="G79" s="13">
        <f>VLOOKUP(B79,'Data World'!$A:$AL,MATCH(World!$G$1,'Data World'!$A$1:$AL$1,))</f>
        <v/>
      </c>
      <c r="H79" s="13">
        <f>VLOOKUP(B79,'Data World'!$A:$AL,MATCH(World!$H$1,'Data World'!$A$1:$AL$1,))</f>
        <v/>
      </c>
      <c r="I79" s="13">
        <f>VLOOKUP(B79,'Data World'!$A:$AL,MATCH(World!$I$1,'Data World'!$A$1:$AL$1,))</f>
        <v/>
      </c>
      <c r="J79" s="13">
        <f>VLOOKUP(B79,'Data World'!$A:$AL,MATCH(World!$J$1,'Data World'!$A$1:$AL$1,))</f>
        <v/>
      </c>
      <c r="K79" s="13">
        <f>VLOOKUP(B79,'Data World'!$A:$AL,MATCH(World!$K$1,'Data World'!$A$1:$AL$1,))</f>
        <v/>
      </c>
      <c r="L79" s="13">
        <f>VLOOKUP(B79,'Data World'!$A:$AL,MATCH(World!$L$1,'Data World'!$A$1:$AL$1,))</f>
        <v/>
      </c>
      <c r="M79" s="13">
        <f>VLOOKUP(B79,'Data World'!$A:$AL,MATCH(World!$M$1,'Data World'!$A$1:$AL$1,))</f>
        <v/>
      </c>
      <c r="N79" s="13">
        <f>VLOOKUP(B79,'Data World'!$A:$AL,MATCH(World!$N$1,'Data World'!$A$1:$AL$1,))</f>
        <v/>
      </c>
      <c r="O79" s="13">
        <f>VLOOKUP(B79,'Data World'!$A:$AL,MATCH(World!$O$1,'Data World'!$A$1:$AL$1,))</f>
        <v/>
      </c>
      <c r="P79" s="13">
        <f>VLOOKUP(B79,'Data World'!$A:$AL,MATCH(World!$P$1,'Data World'!$A$1:$AL$1,))</f>
        <v/>
      </c>
      <c r="Q79" s="13">
        <f>VLOOKUP(B79,'Data World'!$A:$AL,MATCH(World!$Q$1,'Data World'!$A$1:$AL$1,))</f>
        <v/>
      </c>
      <c r="R79" s="13">
        <f>VLOOKUP(B79,'Data World'!$A:$AL,MATCH(World!$R$1,'Data World'!$A$1:$AL$1,))</f>
        <v/>
      </c>
      <c r="S79" s="13">
        <f>VLOOKUP(B79,'Data World'!$A:$AL,MATCH(World!$S$1,'Data World'!$A$1:$AL$1,))</f>
        <v/>
      </c>
      <c r="T79" s="13">
        <f>VLOOKUP(B79,'Data World'!$A:$AL,MATCH(World!$T$1,'Data World'!$A$1:$AL$1,))</f>
        <v/>
      </c>
    </row>
    <row r="80" customFormat="1" s="64">
      <c r="B80" s="12" t="n">
        <v>44377</v>
      </c>
      <c r="C80" s="13">
        <f>VLOOKUP(B80,'Data World'!$A:$AL,MATCH(World!$C$1,'Data World'!$A$1:$AL$1,))</f>
        <v/>
      </c>
      <c r="D80" s="13">
        <f>VLOOKUP(B80,'Data World'!$A:$AL,MATCH(World!$D$1,'Data World'!$A$1:$AL$1,))</f>
        <v/>
      </c>
      <c r="E80" s="13">
        <f>VLOOKUP(B80,'Data World'!$A:$AL,MATCH(World!$E$1,'Data World'!$A$1:$AL$1,))</f>
        <v/>
      </c>
      <c r="F80" s="13">
        <f>VLOOKUP(B80,'Data World'!$A:$AL,MATCH(World!$F$1,'Data World'!$A$1:$AL$1,))</f>
        <v/>
      </c>
      <c r="G80" s="13">
        <f>VLOOKUP(B80,'Data World'!$A:$AL,MATCH(World!$G$1,'Data World'!$A$1:$AL$1,))</f>
        <v/>
      </c>
      <c r="H80" s="13">
        <f>VLOOKUP(B80,'Data World'!$A:$AL,MATCH(World!$H$1,'Data World'!$A$1:$AL$1,))</f>
        <v/>
      </c>
      <c r="I80" s="13">
        <f>VLOOKUP(B80,'Data World'!$A:$AL,MATCH(World!$I$1,'Data World'!$A$1:$AL$1,))</f>
        <v/>
      </c>
      <c r="J80" s="13">
        <f>VLOOKUP(B80,'Data World'!$A:$AL,MATCH(World!$J$1,'Data World'!$A$1:$AL$1,))</f>
        <v/>
      </c>
      <c r="K80" s="13">
        <f>VLOOKUP(B80,'Data World'!$A:$AL,MATCH(World!$K$1,'Data World'!$A$1:$AL$1,))</f>
        <v/>
      </c>
      <c r="L80" s="13">
        <f>VLOOKUP(B80,'Data World'!$A:$AL,MATCH(World!$L$1,'Data World'!$A$1:$AL$1,))</f>
        <v/>
      </c>
      <c r="M80" s="13">
        <f>VLOOKUP(B80,'Data World'!$A:$AL,MATCH(World!$M$1,'Data World'!$A$1:$AL$1,))</f>
        <v/>
      </c>
      <c r="N80" s="13">
        <f>VLOOKUP(B80,'Data World'!$A:$AL,MATCH(World!$N$1,'Data World'!$A$1:$AL$1,))</f>
        <v/>
      </c>
      <c r="O80" s="13">
        <f>VLOOKUP(B80,'Data World'!$A:$AL,MATCH(World!$O$1,'Data World'!$A$1:$AL$1,))</f>
        <v/>
      </c>
      <c r="P80" s="13">
        <f>VLOOKUP(B80,'Data World'!$A:$AL,MATCH(World!$P$1,'Data World'!$A$1:$AL$1,))</f>
        <v/>
      </c>
      <c r="Q80" s="13">
        <f>VLOOKUP(B80,'Data World'!$A:$AL,MATCH(World!$Q$1,'Data World'!$A$1:$AL$1,))</f>
        <v/>
      </c>
      <c r="R80" s="13">
        <f>VLOOKUP(B80,'Data World'!$A:$AL,MATCH(World!$R$1,'Data World'!$A$1:$AL$1,))</f>
        <v/>
      </c>
      <c r="S80" s="13">
        <f>VLOOKUP(B80,'Data World'!$A:$AL,MATCH(World!$S$1,'Data World'!$A$1:$AL$1,))</f>
        <v/>
      </c>
      <c r="T80" s="13">
        <f>VLOOKUP(B80,'Data World'!$A:$AL,MATCH(World!$T$1,'Data World'!$A$1:$AL$1,))</f>
        <v/>
      </c>
    </row>
    <row r="81" customFormat="1" s="64">
      <c r="B81" s="12" t="n">
        <v>44408</v>
      </c>
      <c r="C81" s="13">
        <f>VLOOKUP(B81,'Data World'!$A:$AL,MATCH(World!$C$1,'Data World'!$A$1:$AL$1,))</f>
        <v/>
      </c>
      <c r="D81" s="13">
        <f>VLOOKUP(B81,'Data World'!$A:$AL,MATCH(World!$D$1,'Data World'!$A$1:$AL$1,))</f>
        <v/>
      </c>
      <c r="E81" s="13">
        <f>VLOOKUP(B81,'Data World'!$A:$AL,MATCH(World!$E$1,'Data World'!$A$1:$AL$1,))</f>
        <v/>
      </c>
      <c r="F81" s="13">
        <f>VLOOKUP(B81,'Data World'!$A:$AL,MATCH(World!$F$1,'Data World'!$A$1:$AL$1,))</f>
        <v/>
      </c>
      <c r="G81" s="13">
        <f>VLOOKUP(B81,'Data World'!$A:$AL,MATCH(World!$G$1,'Data World'!$A$1:$AL$1,))</f>
        <v/>
      </c>
      <c r="H81" s="13">
        <f>VLOOKUP(B81,'Data World'!$A:$AL,MATCH(World!$H$1,'Data World'!$A$1:$AL$1,))</f>
        <v/>
      </c>
      <c r="I81" s="13">
        <f>VLOOKUP(B81,'Data World'!$A:$AL,MATCH(World!$I$1,'Data World'!$A$1:$AL$1,))</f>
        <v/>
      </c>
      <c r="J81" s="13">
        <f>VLOOKUP(B81,'Data World'!$A:$AL,MATCH(World!$J$1,'Data World'!$A$1:$AL$1,))</f>
        <v/>
      </c>
      <c r="K81" s="13">
        <f>VLOOKUP(B81,'Data World'!$A:$AL,MATCH(World!$K$1,'Data World'!$A$1:$AL$1,))</f>
        <v/>
      </c>
      <c r="L81" s="13">
        <f>VLOOKUP(B81,'Data World'!$A:$AL,MATCH(World!$L$1,'Data World'!$A$1:$AL$1,))</f>
        <v/>
      </c>
      <c r="M81" s="13">
        <f>VLOOKUP(B81,'Data World'!$A:$AL,MATCH(World!$M$1,'Data World'!$A$1:$AL$1,))</f>
        <v/>
      </c>
      <c r="N81" s="13">
        <f>VLOOKUP(B81,'Data World'!$A:$AL,MATCH(World!$N$1,'Data World'!$A$1:$AL$1,))</f>
        <v/>
      </c>
      <c r="O81" s="13">
        <f>VLOOKUP(B81,'Data World'!$A:$AL,MATCH(World!$O$1,'Data World'!$A$1:$AL$1,))</f>
        <v/>
      </c>
      <c r="P81" s="13">
        <f>VLOOKUP(B81,'Data World'!$A:$AL,MATCH(World!$P$1,'Data World'!$A$1:$AL$1,))</f>
        <v/>
      </c>
      <c r="Q81" s="13">
        <f>VLOOKUP(B81,'Data World'!$A:$AL,MATCH(World!$Q$1,'Data World'!$A$1:$AL$1,))</f>
        <v/>
      </c>
      <c r="R81" s="13">
        <f>VLOOKUP(B81,'Data World'!$A:$AL,MATCH(World!$R$1,'Data World'!$A$1:$AL$1,))</f>
        <v/>
      </c>
      <c r="S81" s="13">
        <f>VLOOKUP(B81,'Data World'!$A:$AL,MATCH(World!$S$1,'Data World'!$A$1:$AL$1,))</f>
        <v/>
      </c>
      <c r="T81" s="13">
        <f>VLOOKUP(B81,'Data World'!$A:$AL,MATCH(World!$T$1,'Data World'!$A$1:$AL$1,))</f>
        <v/>
      </c>
    </row>
    <row r="82" customFormat="1" s="64">
      <c r="B82" s="12" t="n">
        <v>44439</v>
      </c>
      <c r="C82" s="13">
        <f>VLOOKUP(B82,'Data World'!$A:$AL,MATCH(World!$C$1,'Data World'!$A$1:$AL$1,))</f>
        <v/>
      </c>
      <c r="D82" s="13">
        <f>VLOOKUP(B82,'Data World'!$A:$AL,MATCH(World!$D$1,'Data World'!$A$1:$AL$1,))</f>
        <v/>
      </c>
      <c r="E82" s="13">
        <f>VLOOKUP(B82,'Data World'!$A:$AL,MATCH(World!$E$1,'Data World'!$A$1:$AL$1,))</f>
        <v/>
      </c>
      <c r="F82" s="13">
        <f>VLOOKUP(B82,'Data World'!$A:$AL,MATCH(World!$F$1,'Data World'!$A$1:$AL$1,))</f>
        <v/>
      </c>
      <c r="G82" s="13">
        <f>VLOOKUP(B82,'Data World'!$A:$AL,MATCH(World!$G$1,'Data World'!$A$1:$AL$1,))</f>
        <v/>
      </c>
      <c r="H82" s="13">
        <f>VLOOKUP(B82,'Data World'!$A:$AL,MATCH(World!$H$1,'Data World'!$A$1:$AL$1,))</f>
        <v/>
      </c>
      <c r="I82" s="13">
        <f>VLOOKUP(B82,'Data World'!$A:$AL,MATCH(World!$I$1,'Data World'!$A$1:$AL$1,))</f>
        <v/>
      </c>
      <c r="J82" s="13">
        <f>VLOOKUP(B82,'Data World'!$A:$AL,MATCH(World!$J$1,'Data World'!$A$1:$AL$1,))</f>
        <v/>
      </c>
      <c r="K82" s="13">
        <f>VLOOKUP(B82,'Data World'!$A:$AL,MATCH(World!$K$1,'Data World'!$A$1:$AL$1,))</f>
        <v/>
      </c>
      <c r="L82" s="13">
        <f>VLOOKUP(B82,'Data World'!$A:$AL,MATCH(World!$L$1,'Data World'!$A$1:$AL$1,))</f>
        <v/>
      </c>
      <c r="M82" s="13">
        <f>VLOOKUP(B82,'Data World'!$A:$AL,MATCH(World!$M$1,'Data World'!$A$1:$AL$1,))</f>
        <v/>
      </c>
      <c r="N82" s="13">
        <f>VLOOKUP(B82,'Data World'!$A:$AL,MATCH(World!$N$1,'Data World'!$A$1:$AL$1,))</f>
        <v/>
      </c>
      <c r="O82" s="13">
        <f>VLOOKUP(B82,'Data World'!$A:$AL,MATCH(World!$O$1,'Data World'!$A$1:$AL$1,))</f>
        <v/>
      </c>
      <c r="P82" s="13">
        <f>VLOOKUP(B82,'Data World'!$A:$AL,MATCH(World!$P$1,'Data World'!$A$1:$AL$1,))</f>
        <v/>
      </c>
      <c r="Q82" s="13">
        <f>VLOOKUP(B82,'Data World'!$A:$AL,MATCH(World!$Q$1,'Data World'!$A$1:$AL$1,))</f>
        <v/>
      </c>
      <c r="R82" s="13">
        <f>VLOOKUP(B82,'Data World'!$A:$AL,MATCH(World!$R$1,'Data World'!$A$1:$AL$1,))</f>
        <v/>
      </c>
      <c r="S82" s="13">
        <f>VLOOKUP(B82,'Data World'!$A:$AL,MATCH(World!$S$1,'Data World'!$A$1:$AL$1,))</f>
        <v/>
      </c>
      <c r="T82" s="13">
        <f>VLOOKUP(B82,'Data World'!$A:$AL,MATCH(World!$T$1,'Data World'!$A$1:$AL$1,))</f>
        <v/>
      </c>
    </row>
    <row r="83" customFormat="1" s="64">
      <c r="B83" s="12" t="n">
        <v>44469</v>
      </c>
      <c r="C83" s="13">
        <f>VLOOKUP(B83,'Data World'!$A:$AL,MATCH(World!$C$1,'Data World'!$A$1:$AL$1,))</f>
        <v/>
      </c>
      <c r="D83" s="13">
        <f>VLOOKUP(B83,'Data World'!$A:$AL,MATCH(World!$D$1,'Data World'!$A$1:$AL$1,))</f>
        <v/>
      </c>
      <c r="E83" s="13">
        <f>VLOOKUP(B83,'Data World'!$A:$AL,MATCH(World!$E$1,'Data World'!$A$1:$AL$1,))</f>
        <v/>
      </c>
      <c r="F83" s="13">
        <f>VLOOKUP(B83,'Data World'!$A:$AL,MATCH(World!$F$1,'Data World'!$A$1:$AL$1,))</f>
        <v/>
      </c>
      <c r="G83" s="13">
        <f>VLOOKUP(B83,'Data World'!$A:$AL,MATCH(World!$G$1,'Data World'!$A$1:$AL$1,))</f>
        <v/>
      </c>
      <c r="H83" s="13">
        <f>VLOOKUP(B83,'Data World'!$A:$AL,MATCH(World!$H$1,'Data World'!$A$1:$AL$1,))</f>
        <v/>
      </c>
      <c r="I83" s="13">
        <f>VLOOKUP(B83,'Data World'!$A:$AL,MATCH(World!$I$1,'Data World'!$A$1:$AL$1,))</f>
        <v/>
      </c>
      <c r="J83" s="13">
        <f>VLOOKUP(B83,'Data World'!$A:$AL,MATCH(World!$J$1,'Data World'!$A$1:$AL$1,))</f>
        <v/>
      </c>
      <c r="K83" s="13">
        <f>VLOOKUP(B83,'Data World'!$A:$AL,MATCH(World!$K$1,'Data World'!$A$1:$AL$1,))</f>
        <v/>
      </c>
      <c r="L83" s="13">
        <f>VLOOKUP(B83,'Data World'!$A:$AL,MATCH(World!$L$1,'Data World'!$A$1:$AL$1,))</f>
        <v/>
      </c>
      <c r="M83" s="13">
        <f>VLOOKUP(B83,'Data World'!$A:$AL,MATCH(World!$M$1,'Data World'!$A$1:$AL$1,))</f>
        <v/>
      </c>
      <c r="N83" s="13">
        <f>VLOOKUP(B83,'Data World'!$A:$AL,MATCH(World!$N$1,'Data World'!$A$1:$AL$1,))</f>
        <v/>
      </c>
      <c r="O83" s="13">
        <f>VLOOKUP(B83,'Data World'!$A:$AL,MATCH(World!$O$1,'Data World'!$A$1:$AL$1,))</f>
        <v/>
      </c>
      <c r="P83" s="13">
        <f>VLOOKUP(B83,'Data World'!$A:$AL,MATCH(World!$P$1,'Data World'!$A$1:$AL$1,))</f>
        <v/>
      </c>
      <c r="Q83" s="13">
        <f>VLOOKUP(B83,'Data World'!$A:$AL,MATCH(World!$Q$1,'Data World'!$A$1:$AL$1,))</f>
        <v/>
      </c>
      <c r="R83" s="13">
        <f>VLOOKUP(B83,'Data World'!$A:$AL,MATCH(World!$R$1,'Data World'!$A$1:$AL$1,))</f>
        <v/>
      </c>
      <c r="S83" s="13">
        <f>VLOOKUP(B83,'Data World'!$A:$AL,MATCH(World!$S$1,'Data World'!$A$1:$AL$1,))</f>
        <v/>
      </c>
      <c r="T83" s="13">
        <f>VLOOKUP(B83,'Data World'!$A:$AL,MATCH(World!$T$1,'Data World'!$A$1:$AL$1,))</f>
        <v/>
      </c>
    </row>
    <row r="84" customFormat="1" s="64">
      <c r="B84" s="12" t="n">
        <v>44500</v>
      </c>
      <c r="C84" s="13">
        <f>VLOOKUP(B84,'Data World'!$A:$AL,MATCH(World!$C$1,'Data World'!$A$1:$AL$1,))</f>
        <v/>
      </c>
      <c r="D84" s="13">
        <f>VLOOKUP(B84,'Data World'!$A:$AL,MATCH(World!$D$1,'Data World'!$A$1:$AL$1,))</f>
        <v/>
      </c>
      <c r="E84" s="13">
        <f>VLOOKUP(B84,'Data World'!$A:$AL,MATCH(World!$E$1,'Data World'!$A$1:$AL$1,))</f>
        <v/>
      </c>
      <c r="F84" s="13">
        <f>VLOOKUP(B84,'Data World'!$A:$AL,MATCH(World!$F$1,'Data World'!$A$1:$AL$1,))</f>
        <v/>
      </c>
      <c r="G84" s="13">
        <f>VLOOKUP(B84,'Data World'!$A:$AL,MATCH(World!$G$1,'Data World'!$A$1:$AL$1,))</f>
        <v/>
      </c>
      <c r="H84" s="13">
        <f>VLOOKUP(B84,'Data World'!$A:$AL,MATCH(World!$H$1,'Data World'!$A$1:$AL$1,))</f>
        <v/>
      </c>
      <c r="I84" s="13">
        <f>VLOOKUP(B84,'Data World'!$A:$AL,MATCH(World!$I$1,'Data World'!$A$1:$AL$1,))</f>
        <v/>
      </c>
      <c r="J84" s="13">
        <f>VLOOKUP(B84,'Data World'!$A:$AL,MATCH(World!$J$1,'Data World'!$A$1:$AL$1,))</f>
        <v/>
      </c>
      <c r="K84" s="13">
        <f>VLOOKUP(B84,'Data World'!$A:$AL,MATCH(World!$K$1,'Data World'!$A$1:$AL$1,))</f>
        <v/>
      </c>
      <c r="L84" s="13">
        <f>VLOOKUP(B84,'Data World'!$A:$AL,MATCH(World!$L$1,'Data World'!$A$1:$AL$1,))</f>
        <v/>
      </c>
      <c r="M84" s="13">
        <f>VLOOKUP(B84,'Data World'!$A:$AL,MATCH(World!$M$1,'Data World'!$A$1:$AL$1,))</f>
        <v/>
      </c>
      <c r="N84" s="13">
        <f>VLOOKUP(B84,'Data World'!$A:$AL,MATCH(World!$N$1,'Data World'!$A$1:$AL$1,))</f>
        <v/>
      </c>
      <c r="O84" s="13">
        <f>VLOOKUP(B84,'Data World'!$A:$AL,MATCH(World!$O$1,'Data World'!$A$1:$AL$1,))</f>
        <v/>
      </c>
      <c r="P84" s="13">
        <f>VLOOKUP(B84,'Data World'!$A:$AL,MATCH(World!$P$1,'Data World'!$A$1:$AL$1,))</f>
        <v/>
      </c>
      <c r="Q84" s="13">
        <f>VLOOKUP(B84,'Data World'!$A:$AL,MATCH(World!$Q$1,'Data World'!$A$1:$AL$1,))</f>
        <v/>
      </c>
      <c r="R84" s="13">
        <f>VLOOKUP(B84,'Data World'!$A:$AL,MATCH(World!$R$1,'Data World'!$A$1:$AL$1,))</f>
        <v/>
      </c>
      <c r="S84" s="13">
        <f>VLOOKUP(B84,'Data World'!$A:$AL,MATCH(World!$S$1,'Data World'!$A$1:$AL$1,))</f>
        <v/>
      </c>
      <c r="T84" s="13">
        <f>VLOOKUP(B84,'Data World'!$A:$AL,MATCH(World!$T$1,'Data World'!$A$1:$AL$1,))</f>
        <v/>
      </c>
    </row>
    <row r="85" customFormat="1" s="64"/>
    <row r="86" customFormat="1" s="64"/>
    <row r="87" customFormat="1" s="64"/>
    <row r="88" customFormat="1" s="64"/>
    <row r="89" customFormat="1" s="64"/>
    <row r="90" customFormat="1" s="64"/>
    <row r="91" customFormat="1" s="64"/>
    <row r="92" customFormat="1" s="64"/>
    <row r="93" customFormat="1" s="64"/>
    <row r="94" customFormat="1" s="64"/>
    <row r="95" customFormat="1" s="64"/>
    <row r="96" customFormat="1" s="64"/>
    <row r="97" customFormat="1" s="64"/>
    <row r="98" customFormat="1" s="64"/>
    <row r="99" customFormat="1" s="64"/>
    <row r="100" customFormat="1" s="64"/>
    <row r="101" customFormat="1" s="64"/>
    <row r="102" customFormat="1" s="64"/>
    <row r="103" customFormat="1" s="64"/>
    <row r="104" customFormat="1" s="64"/>
    <row r="105" customFormat="1" s="64"/>
    <row r="106" customFormat="1" s="64"/>
    <row r="107" customFormat="1" s="64"/>
    <row r="108" customFormat="1" s="64"/>
    <row r="109" customFormat="1" s="64"/>
    <row r="110" customFormat="1" s="64"/>
    <row r="111" customFormat="1" s="64"/>
    <row r="112" customFormat="1" s="64"/>
    <row r="113" customFormat="1" s="64"/>
    <row r="114" customFormat="1" s="64"/>
    <row r="115" customFormat="1" s="64"/>
    <row r="116" customFormat="1" s="64"/>
    <row r="117" customFormat="1" s="64"/>
    <row r="118" customFormat="1" s="64"/>
    <row r="119" customFormat="1" s="64"/>
    <row r="120" customFormat="1" s="64"/>
    <row r="121" customFormat="1" s="64"/>
    <row r="122" customFormat="1" s="64"/>
    <row r="123" customFormat="1" s="64"/>
    <row r="124" customFormat="1" s="64"/>
    <row r="125" customFormat="1" s="64"/>
    <row r="126" customFormat="1" s="64"/>
    <row r="127" customFormat="1" s="64"/>
    <row r="128" customFormat="1" s="64"/>
    <row r="129" customFormat="1" s="64"/>
    <row r="130" customFormat="1" s="64"/>
    <row r="131" customFormat="1" s="64"/>
    <row r="132" customFormat="1" s="64"/>
    <row r="133" customFormat="1" s="64"/>
    <row r="134" customFormat="1" s="64"/>
    <row r="135" customFormat="1" s="64"/>
    <row r="136" customFormat="1" s="64"/>
    <row r="137" customFormat="1" s="64"/>
    <row r="138" customFormat="1" s="64"/>
    <row r="139" customFormat="1" s="64"/>
    <row r="140" customFormat="1" s="64"/>
    <row r="141" customFormat="1" s="64"/>
    <row r="142" customFormat="1" s="64"/>
    <row r="143" customFormat="1" s="64"/>
    <row r="144" customFormat="1" s="64"/>
    <row r="145" customFormat="1" s="64"/>
    <row r="146" customFormat="1" s="64"/>
    <row r="147" customFormat="1" s="64"/>
    <row r="148" customFormat="1" s="64"/>
    <row r="149" customFormat="1" s="64"/>
    <row r="150" customFormat="1" s="64"/>
    <row r="151" customFormat="1" s="64"/>
    <row r="152" customFormat="1" s="64"/>
    <row r="153" customFormat="1" s="64"/>
    <row r="154" customFormat="1" s="64"/>
    <row r="155" customFormat="1" s="64"/>
    <row r="156" customFormat="1" s="64"/>
    <row r="157" customFormat="1" s="64"/>
    <row r="158" customFormat="1" s="64"/>
    <row r="159" customFormat="1" s="64"/>
    <row r="160" customFormat="1" s="64"/>
    <row r="161" customFormat="1" s="64"/>
    <row r="162" customFormat="1" s="64"/>
    <row r="163" customFormat="1" s="64"/>
    <row r="164" customFormat="1" s="64"/>
    <row r="165" customFormat="1" s="64"/>
    <row r="166" customFormat="1" s="64"/>
    <row r="167" customFormat="1" s="64"/>
    <row r="168" customFormat="1" s="64"/>
    <row r="169" customFormat="1" s="64"/>
    <row r="170" customFormat="1" s="64"/>
    <row r="171" customFormat="1" s="64"/>
    <row r="172" customFormat="1" s="64"/>
    <row r="173" customFormat="1" s="64"/>
    <row r="174" customFormat="1" s="64"/>
    <row r="175" customFormat="1" s="64"/>
    <row r="176" customFormat="1" s="64"/>
    <row r="177" customFormat="1" s="64"/>
    <row r="178" customFormat="1" s="64"/>
    <row r="179" customFormat="1" s="64"/>
    <row r="180" customFormat="1" s="64"/>
    <row r="181" customFormat="1" s="64"/>
    <row r="182" customFormat="1" s="64"/>
    <row r="183" customFormat="1" s="64"/>
    <row r="184" customFormat="1" s="64"/>
    <row r="185" customFormat="1" s="64"/>
    <row r="186" customFormat="1" s="64"/>
    <row r="187" customFormat="1" s="64"/>
    <row r="188" customFormat="1" s="64"/>
    <row r="189" customFormat="1" s="64"/>
    <row r="190" customFormat="1" s="64"/>
    <row r="191" customFormat="1" s="64"/>
    <row r="192" customFormat="1" s="64"/>
    <row r="193" customFormat="1" s="64"/>
    <row r="194" customFormat="1" s="64"/>
    <row r="195" customFormat="1" s="64"/>
    <row r="196" customFormat="1" s="64"/>
    <row r="197" customFormat="1" s="64"/>
    <row r="198" customFormat="1" s="64"/>
    <row r="199" customFormat="1" s="64"/>
    <row r="200" customFormat="1" s="64"/>
    <row r="201" customFormat="1" s="64"/>
    <row r="202" customFormat="1" s="64"/>
    <row r="203" customFormat="1" s="64"/>
    <row r="204" customFormat="1" s="64"/>
    <row r="205" customFormat="1" s="64"/>
    <row r="206" customFormat="1" s="64"/>
    <row r="207" customFormat="1" s="64"/>
    <row r="208" customFormat="1" s="64"/>
    <row r="209" customFormat="1" s="64"/>
    <row r="210" customFormat="1" s="64"/>
    <row r="211" customFormat="1" s="64"/>
    <row r="212" customFormat="1" s="64"/>
    <row r="213" customFormat="1" s="64"/>
    <row r="214" customFormat="1" s="64"/>
    <row r="215" customFormat="1" s="64"/>
    <row r="216" customFormat="1" s="64"/>
    <row r="217" customFormat="1" s="64"/>
    <row r="218" customFormat="1" s="64"/>
    <row r="219" customFormat="1" s="64"/>
    <row r="220" customFormat="1" s="64"/>
    <row r="221" customFormat="1" s="64"/>
    <row r="222" customFormat="1" s="64"/>
    <row r="223" customFormat="1" s="64"/>
    <row r="224" customFormat="1" s="64"/>
    <row r="225" customFormat="1" s="64"/>
    <row r="226" customFormat="1" s="64"/>
    <row r="227" customFormat="1" s="64"/>
    <row r="228" customFormat="1" s="64"/>
    <row r="229" customFormat="1" s="64"/>
    <row r="230" customFormat="1" s="64"/>
    <row r="231" customFormat="1" s="64"/>
    <row r="232" customFormat="1" s="64"/>
    <row r="233" customFormat="1" s="64"/>
    <row r="234" customFormat="1" s="64"/>
    <row r="235" customFormat="1" s="64"/>
    <row r="236" customFormat="1" s="64"/>
    <row r="237" customFormat="1" s="64"/>
    <row r="238" customFormat="1" s="64"/>
    <row r="239" customFormat="1" s="64"/>
    <row r="240" customFormat="1" s="64"/>
    <row r="241" customFormat="1" s="64"/>
    <row r="242" customFormat="1" s="64"/>
    <row r="243" customFormat="1" s="64"/>
    <row r="244" customFormat="1" s="64"/>
    <row r="245" customFormat="1" s="64"/>
    <row r="246" customFormat="1" s="64"/>
    <row r="247" customFormat="1" s="64"/>
    <row r="248" customFormat="1" s="64"/>
    <row r="249" customFormat="1" s="64"/>
    <row r="250" customFormat="1" s="64"/>
    <row r="251" customFormat="1" s="64"/>
    <row r="252" customFormat="1" s="64"/>
    <row r="253" customFormat="1" s="64"/>
    <row r="254" customFormat="1" s="64"/>
    <row r="255" customFormat="1" s="64"/>
    <row r="256" customFormat="1" s="64"/>
    <row r="257" customFormat="1" s="64"/>
    <row r="258" customFormat="1" s="64"/>
    <row r="259" customFormat="1" s="64"/>
    <row r="260" customFormat="1" s="64"/>
    <row r="261" customFormat="1" s="64"/>
    <row r="262" customFormat="1" s="64"/>
    <row r="263" customFormat="1" s="64"/>
    <row r="264" customFormat="1" s="64"/>
    <row r="265" customFormat="1" s="64"/>
    <row r="266" customFormat="1" s="64"/>
    <row r="267" customFormat="1" s="64"/>
    <row r="268" customFormat="1" s="64"/>
    <row r="269" customFormat="1" s="64"/>
    <row r="270" customFormat="1" s="64"/>
    <row r="271" customFormat="1" s="64"/>
    <row r="272" customFormat="1" s="64"/>
    <row r="273" customFormat="1" s="64"/>
    <row r="274" customFormat="1" s="64"/>
    <row r="275" customFormat="1" s="64"/>
    <row r="276" customFormat="1" s="64"/>
    <row r="277" customFormat="1" s="64"/>
    <row r="278" customFormat="1" s="64"/>
    <row r="279" customFormat="1" s="64"/>
    <row r="280" customFormat="1" s="64"/>
    <row r="281" customFormat="1" s="64"/>
    <row r="282" customFormat="1" s="64"/>
    <row r="283" customFormat="1" s="64"/>
    <row r="284" customFormat="1" s="64"/>
    <row r="285" customFormat="1" s="64"/>
    <row r="286" customFormat="1" s="64"/>
    <row r="287" customFormat="1" s="64"/>
    <row r="288" customFormat="1" s="64"/>
    <row r="289" customFormat="1" s="64"/>
    <row r="290" customFormat="1" s="64"/>
    <row r="291" customFormat="1" s="64"/>
    <row r="292" customFormat="1" s="64"/>
    <row r="293" customFormat="1" s="64"/>
    <row r="294" customFormat="1" s="64"/>
    <row r="295" customFormat="1" s="64"/>
    <row r="296" customFormat="1" s="64"/>
    <row r="297" customFormat="1" s="64"/>
    <row r="298" customFormat="1" s="64"/>
    <row r="299" customFormat="1" s="64"/>
    <row r="300" customFormat="1" s="64"/>
    <row r="301" customFormat="1" s="64"/>
    <row r="302" customFormat="1" s="64"/>
    <row r="303" customFormat="1" s="64"/>
    <row r="304" customFormat="1" s="64"/>
    <row r="305" customFormat="1" s="64"/>
    <row r="306" customFormat="1" s="64"/>
    <row r="307" customFormat="1" s="64"/>
    <row r="308" customFormat="1" s="64"/>
    <row r="309" customFormat="1" s="64"/>
    <row r="310" customFormat="1" s="64"/>
    <row r="311" customFormat="1" s="64"/>
    <row r="312" customFormat="1" s="64"/>
    <row r="313" customFormat="1" s="64"/>
    <row r="314" customFormat="1" s="64"/>
    <row r="315" customFormat="1" s="64"/>
    <row r="316" customFormat="1" s="64"/>
    <row r="317" customFormat="1" s="64"/>
    <row r="318" customFormat="1" s="64"/>
    <row r="319" customFormat="1" s="64"/>
    <row r="320" customFormat="1" s="64"/>
    <row r="321" customFormat="1" s="64"/>
    <row r="322" customFormat="1" s="64"/>
    <row r="323" customFormat="1" s="64"/>
    <row r="324" customFormat="1" s="64"/>
    <row r="325" customFormat="1" s="64"/>
    <row r="326" customFormat="1" s="64"/>
    <row r="327" customFormat="1" s="64"/>
    <row r="328" customFormat="1" s="64"/>
    <row r="329" customFormat="1" s="64"/>
    <row r="330" customFormat="1" s="64"/>
  </sheetData>
  <conditionalFormatting sqref="C5:D84">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4">
    <cfRule type="colorScale" priority="115">
      <colorScale>
        <cfvo type="min"/>
        <cfvo type="percentile" val="50"/>
        <cfvo type="max"/>
        <color rgb="FF63BE7B"/>
        <color rgb="FFFFEB84"/>
        <color rgb="FFF8696B"/>
      </colorScale>
    </cfRule>
  </conditionalFormatting>
  <conditionalFormatting sqref="D5:D84">
    <cfRule type="colorScale" priority="116">
      <colorScale>
        <cfvo type="min"/>
        <cfvo type="percentile" val="50"/>
        <cfvo type="max"/>
        <color rgb="FF63BE7B"/>
        <color rgb="FFFFEB84"/>
        <color rgb="FFF8696B"/>
      </colorScale>
    </cfRule>
  </conditionalFormatting>
  <conditionalFormatting sqref="E5:E84">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4">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4">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4">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4">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4">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4">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4">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4">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4">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4">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4">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4">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4">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4">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4">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2021-12-19T08:05:00Z</dcterms:modified>
  <cp:lastModifiedBy>Mark Mukherjee</cp:lastModifiedBy>
</cp:coreProperties>
</file>