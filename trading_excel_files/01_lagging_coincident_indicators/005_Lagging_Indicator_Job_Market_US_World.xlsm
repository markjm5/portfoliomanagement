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NFP!$A$120:$A$1013</f>
              <numCache>
                <formatCode>yyyy\-mm\-dd</formatCode>
                <ptCount val="89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NFP!$E$120:$E$1013</f>
              <numCache>
                <formatCode>General</formatCode>
                <ptCount val="89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NFP!$F$120:$F$1019</f>
              <numCache>
                <formatCode>General</formatCode>
                <ptCount val="90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pt idx="2875">
                  <v>44611</v>
                </pt>
                <pt idx="2876">
                  <v>44618</v>
                </pt>
                <pt idx="2877">
                  <v>44625</v>
                </pt>
                <pt idx="2878">
                  <v>44632</v>
                </pt>
                <pt idx="2879">
                  <v>44639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pt idx="2876">
                  <v>232000</v>
                </pt>
                <pt idx="2877">
                  <v>215000</v>
                </pt>
                <pt idx="2878">
                  <v>227000</v>
                </pt>
                <pt idx="2879">
                  <v>214000</v>
                </pt>
                <pt idx="2880">
                  <v>187000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65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NFP!$A$300:$A$1028</f>
              <numCache>
                <formatCode>yyyy\-mm\-dd</formatCode>
                <ptCount val="729"/>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numCache>
            </numRef>
          </cat>
          <val>
            <numRef>
              <f>NFP!$C$300:$C$1028</f>
              <numCache>
                <formatCode>0</formatCode>
                <ptCount val="729"/>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NFP!$A$800:$A$1028</f>
              <numCache>
                <formatCode>yyyy\-mm\-dd</formatCode>
                <ptCount val="229"/>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numCache>
            </numRef>
          </cat>
          <val>
            <numRef>
              <f>NFP!$C$800:$C$1028</f>
              <numCache>
                <formatCode>0</formatCode>
                <ptCount val="229"/>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0" headerRowCount="1" totalsRowShown="0" headerRowDxfId="21" dataDxfId="20">
  <autoFilter ref="A11:F1010"/>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8"/>
    <col width="9.1640625" customWidth="1" style="69" min="3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0"/>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87"/>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B2883" t="n">
        <v>1523000</v>
      </c>
      <c r="C2883" t="n">
        <v>202000</v>
      </c>
    </row>
    <row r="2884">
      <c r="A2884" s="78" t="n">
        <v>44653</v>
      </c>
      <c r="B2884" t="n">
        <v>1475000</v>
      </c>
      <c r="C2884" t="n">
        <v>166000</v>
      </c>
    </row>
    <row r="2885">
      <c r="A2885" s="78" t="n">
        <v>44660</v>
      </c>
      <c r="B2885" t="n">
        <v>1409000</v>
      </c>
      <c r="C2885" t="n">
        <v>185000</v>
      </c>
    </row>
    <row r="2886">
      <c r="A2886" s="78" t="n">
        <v>44667</v>
      </c>
      <c r="B2886" t="n">
        <v>1408000</v>
      </c>
      <c r="C2886" t="n">
        <v>185000</v>
      </c>
    </row>
    <row r="2887">
      <c r="A2887" s="78" t="n">
        <v>44674</v>
      </c>
      <c r="C2887" t="n">
        <v>180000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2"/>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5"/>
    <col width="9.1640625" customWidth="1" style="49" min="2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G806" t="n">
        <v>7.765368</v>
      </c>
      <c r="H806" t="n">
        <v>2.2</v>
      </c>
      <c r="I806" t="n">
        <v>3.1</v>
      </c>
      <c r="J806" t="n">
        <v>4.7</v>
      </c>
      <c r="K806" t="n">
        <v>6.8</v>
      </c>
      <c r="L806" t="n">
        <v>12.7</v>
      </c>
      <c r="M806" t="n">
        <v>5.3</v>
      </c>
      <c r="N806" t="n">
        <v>7.1</v>
      </c>
      <c r="O806" t="n">
        <v>7</v>
      </c>
      <c r="P806" t="n">
        <v>4.354779</v>
      </c>
      <c r="Q806" t="n">
        <v>3.8</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K806" t="n">
        <v>11.4</v>
      </c>
      <c r="AL806" t="n">
        <v>4</v>
      </c>
    </row>
    <row r="807">
      <c r="A807" s="78" t="n">
        <v>44593</v>
      </c>
      <c r="B807" t="n">
        <v>4.042395</v>
      </c>
      <c r="C807" t="n">
        <v>4.8</v>
      </c>
      <c r="D807" t="n">
        <v>5.6</v>
      </c>
      <c r="E807" t="n">
        <v>5.5</v>
      </c>
      <c r="G807" t="n">
        <v>7.775239</v>
      </c>
      <c r="H807" t="n">
        <v>2.4</v>
      </c>
      <c r="I807" t="n">
        <v>3.1</v>
      </c>
      <c r="J807" t="n">
        <v>4.6</v>
      </c>
      <c r="K807" t="n">
        <v>6.8</v>
      </c>
      <c r="L807" t="n">
        <v>12.6</v>
      </c>
      <c r="M807" t="n">
        <v>5.9</v>
      </c>
      <c r="N807" t="n">
        <v>6.5</v>
      </c>
      <c r="O807" t="n">
        <v>7.4</v>
      </c>
      <c r="P807" t="n">
        <v>4.233253</v>
      </c>
      <c r="Q807" t="n">
        <v>3.9</v>
      </c>
      <c r="R807" t="n">
        <v>11.9</v>
      </c>
      <c r="S807" t="n">
        <v>3.7</v>
      </c>
      <c r="T807" t="n">
        <v>5.2</v>
      </c>
      <c r="U807" t="n">
        <v>4.4</v>
      </c>
      <c r="V807" t="n">
        <v>3.89747</v>
      </c>
      <c r="W807" t="n">
        <v>8.5</v>
      </c>
      <c r="X807" t="n">
        <v>2.7</v>
      </c>
      <c r="Y807" t="n">
        <v>2.7</v>
      </c>
      <c r="Z807" t="n">
        <v>4.6</v>
      </c>
      <c r="AA807" t="n">
        <v>7.2</v>
      </c>
      <c r="AB807" t="n">
        <v>3.733121</v>
      </c>
      <c r="AC807" t="n">
        <v>3.4</v>
      </c>
      <c r="AE807" t="n">
        <v>5.210691</v>
      </c>
      <c r="AF807" t="n">
        <v>3</v>
      </c>
      <c r="AG807" t="n">
        <v>5.8</v>
      </c>
      <c r="AH807" t="n">
        <v>6.5</v>
      </c>
      <c r="AI807" t="n">
        <v>4.1</v>
      </c>
      <c r="AJ807" t="n">
        <v>7.3</v>
      </c>
      <c r="AK807" t="n">
        <v>10.7</v>
      </c>
      <c r="AL807" t="n">
        <v>3.8</v>
      </c>
    </row>
    <row r="808">
      <c r="A808" s="78" t="n">
        <v>44621</v>
      </c>
      <c r="B808" t="n">
        <v>3.954238</v>
      </c>
      <c r="E808" t="n">
        <v>5.3</v>
      </c>
      <c r="X808" t="n">
        <v>2.6</v>
      </c>
      <c r="Y808" t="n">
        <v>2.7</v>
      </c>
      <c r="AB808" t="n">
        <v>3.340287</v>
      </c>
      <c r="AL808" t="n">
        <v>3.6</v>
      </c>
    </row>
    <row r="809">
      <c r="A809" s="78" t="n">
        <v>44652</v>
      </c>
    </row>
    <row r="810">
      <c r="A810" s="78" t="n">
        <v>44682</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0"/>
  <sheetViews>
    <sheetView zoomScale="120" zoomScaleNormal="120" workbookViewId="0">
      <pane ySplit="11" topLeftCell="A986" activePane="bottomLeft" state="frozen"/>
      <selection activeCell="F8" sqref="F8"/>
      <selection pane="bottomLeft" activeCell="H1012" sqref="H1012"/>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MAX(C13:C1033)</f>
        <v/>
      </c>
      <c r="E3" s="15" t="n"/>
      <c r="F3" s="16" t="n"/>
    </row>
    <row r="4" customFormat="1" s="69">
      <c r="A4" s="17" t="n"/>
      <c r="B4" s="15" t="n"/>
      <c r="C4" s="23" t="inlineStr">
        <is>
          <t>Min</t>
        </is>
      </c>
      <c r="D4" s="19">
        <f>MIN(C13:C1033)</f>
        <v/>
      </c>
      <c r="E4" s="15" t="n"/>
      <c r="F4" s="15" t="n"/>
    </row>
    <row r="5" customFormat="1" s="69">
      <c r="B5" s="15" t="n"/>
      <c r="C5" s="23" t="inlineStr">
        <is>
          <t>Average</t>
        </is>
      </c>
      <c r="D5" s="20">
        <f>AVERAGE(C13:C1533)</f>
        <v/>
      </c>
      <c r="E5" s="15" t="n"/>
      <c r="F5" s="15" t="n"/>
    </row>
    <row r="6" ht="16" customFormat="1" customHeight="1" s="69" thickBot="1">
      <c r="B6" s="15" t="n"/>
      <c r="C6" s="24" t="inlineStr">
        <is>
          <t>Avg. since 2010</t>
        </is>
      </c>
      <c r="D6" s="21">
        <f>AVERAGE(C864:C1033)</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sheetData>
  <conditionalFormatting sqref="C864:C1010">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5"/>
  <sheetViews>
    <sheetView zoomScale="130" zoomScaleNormal="130" workbookViewId="0">
      <pane ySplit="4" topLeftCell="A2865" activePane="bottomLeft" state="frozen"/>
      <selection activeCell="K1" sqref="K1"/>
      <selection pane="bottomLeft" activeCell="Q2885" sqref="Q2885"/>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50" zoomScale="110" zoomScaleNormal="110" workbookViewId="0">
      <selection activeCell="V83" sqref="V83"/>
    </sheetView>
  </sheetViews>
  <sheetFormatPr baseColWidth="10" defaultColWidth="9.1640625" defaultRowHeight="15"/>
  <cols>
    <col width="9.1640625" customWidth="1" style="69" min="1" max="19"/>
    <col width="9.1640625" customWidth="1" style="69" min="2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8"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8"/>
  <sheetViews>
    <sheetView tabSelected="1" zoomScale="190" zoomScaleNormal="190" workbookViewId="0">
      <pane xSplit="2" ySplit="3" topLeftCell="E80" activePane="bottomRight" state="frozen"/>
      <selection activeCell="L243" sqref="L243"/>
      <selection pane="topRight" activeCell="L243" sqref="L243"/>
      <selection pane="bottomLeft" activeCell="L243" sqref="L243"/>
      <selection pane="bottomRight" activeCell="N90" sqref="N9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8">
    <cfRule type="colorScale" priority="115">
      <colorScale>
        <cfvo type="min"/>
        <cfvo type="percentile" val="50"/>
        <cfvo type="max"/>
        <color rgb="FF63BE7B"/>
        <color rgb="FFFFEB84"/>
        <color rgb="FFF8696B"/>
      </colorScale>
    </cfRule>
  </conditionalFormatting>
  <conditionalFormatting sqref="D5:D88">
    <cfRule type="colorScale" priority="116">
      <colorScale>
        <cfvo type="min"/>
        <cfvo type="percentile" val="50"/>
        <cfvo type="max"/>
        <color rgb="FF63BE7B"/>
        <color rgb="FFFFEB84"/>
        <color rgb="FFF8696B"/>
      </colorScale>
    </cfRule>
  </conditionalFormatting>
  <conditionalFormatting sqref="E5:E8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2022-04-02T12:33:09Z</dcterms:modified>
  <cp:lastModifiedBy>Mark Mukherjee</cp:lastModifiedBy>
</cp:coreProperties>
</file>