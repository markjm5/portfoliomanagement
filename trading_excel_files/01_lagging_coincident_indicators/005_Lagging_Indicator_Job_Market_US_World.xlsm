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860" yWindow="180" windowWidth="35860" windowHeight="2188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NFP!$A$120:$A$1011</f>
              <numCache>
                <formatCode>yyyy\-mm\-dd</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NFP!$E$120:$E$1011</f>
              <numCache>
                <formatCode>General</formatCode>
                <ptCount val="89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NFP!$F$120:$F$1017</f>
              <numCache>
                <formatCode>General</formatCode>
                <ptCount val="89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56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NFP!$A$300:$A$1026</f>
              <numCache>
                <formatCode>yyyy\-mm\-dd</formatCode>
                <ptCount val="72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numCache>
            </numRef>
          </cat>
          <val>
            <numRef>
              <f>NFP!$C$300:$C$1026</f>
              <numCache>
                <formatCode>0</formatCode>
                <ptCount val="72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NFP!$A$800:$A$1026</f>
              <numCache>
                <formatCode>yyyy\-mm\-dd</formatCode>
                <ptCount val="22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numCache>
            </numRef>
          </cat>
          <val>
            <numRef>
              <f>NFP!$C$800:$C$1026</f>
              <numCache>
                <formatCode>0</formatCode>
                <ptCount val="22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678</v>
                </pt>
                <pt idx="249">
                  <v>678</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8" headerRowCount="1" totalsRowShown="0" headerRowDxfId="21" dataDxfId="20">
  <autoFilter ref="A11:F1008"/>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40" zoomScaleNormal="140" workbookViewId="0">
      <selection activeCell="L243" sqref="L243"/>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37"/>
    <col width="9.1640625" customWidth="1" style="63" min="38"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44470</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9"/>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81"/>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C2881" t="n">
        <v>214000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1"/>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7"/>
    <col width="8.83203125" customWidth="1" style="49" min="18"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4"/>
    <col width="9.1640625" customWidth="1" style="49" min="25"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H806" t="n">
        <v>2.2</v>
      </c>
      <c r="I806" t="n">
        <v>3.1</v>
      </c>
      <c r="J806" t="n">
        <v>4.7</v>
      </c>
      <c r="K806" t="n">
        <v>6.8</v>
      </c>
      <c r="L806" t="n">
        <v>12.7</v>
      </c>
      <c r="M806" t="n">
        <v>5.3</v>
      </c>
      <c r="N806" t="n">
        <v>7.1</v>
      </c>
      <c r="O806" t="n">
        <v>7</v>
      </c>
      <c r="P806" t="n">
        <v>4.354779</v>
      </c>
      <c r="R806" t="n">
        <v>13.3</v>
      </c>
      <c r="S806" t="n">
        <v>3.8</v>
      </c>
      <c r="T806" t="n">
        <v>5.3</v>
      </c>
      <c r="U806" t="n">
        <v>4.2</v>
      </c>
      <c r="V806" t="n">
        <v>3.887385</v>
      </c>
      <c r="W806" t="n">
        <v>8.800000000000001</v>
      </c>
      <c r="X806" t="n">
        <v>2.8</v>
      </c>
      <c r="Y806" t="n">
        <v>3.6</v>
      </c>
      <c r="Z806" t="n">
        <v>4.7</v>
      </c>
      <c r="AA806" t="n">
        <v>7.3</v>
      </c>
      <c r="AB806" t="n">
        <v>3.538229</v>
      </c>
      <c r="AC806" t="n">
        <v>3.6</v>
      </c>
      <c r="AE806" t="n">
        <v>5.32679</v>
      </c>
      <c r="AF806" t="n">
        <v>2.8</v>
      </c>
      <c r="AG806" t="n">
        <v>6</v>
      </c>
      <c r="AH806" t="n">
        <v>6.4</v>
      </c>
      <c r="AI806" t="n">
        <v>4.2</v>
      </c>
      <c r="AJ806" t="n">
        <v>8.1</v>
      </c>
      <c r="AL806" t="n">
        <v>4</v>
      </c>
    </row>
    <row r="807">
      <c r="A807" s="78" t="n">
        <v>44593</v>
      </c>
      <c r="E807" t="n">
        <v>5.5</v>
      </c>
      <c r="Y807" t="n">
        <v>2.7</v>
      </c>
      <c r="AL807" t="n">
        <v>3.8</v>
      </c>
    </row>
    <row r="808">
      <c r="A808" s="78" t="n">
        <v>44621</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08"/>
  <sheetViews>
    <sheetView zoomScale="120" zoomScaleNormal="120" workbookViewId="0">
      <pane ySplit="11" topLeftCell="A989" activePane="bottomLeft" state="frozen"/>
      <selection activeCell="F8" sqref="F8"/>
      <selection pane="bottomLeft" activeCell="J1017" sqref="J1017"/>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MAX(C13:C1031)</f>
        <v/>
      </c>
      <c r="E3" s="15" t="n"/>
      <c r="F3" s="16" t="n"/>
    </row>
    <row r="4" customFormat="1" s="63">
      <c r="A4" s="17" t="n"/>
      <c r="B4" s="15" t="n"/>
      <c r="C4" s="23" t="inlineStr">
        <is>
          <t>Min</t>
        </is>
      </c>
      <c r="D4" s="19">
        <f>MIN(C13:C1031)</f>
        <v/>
      </c>
      <c r="E4" s="15" t="n"/>
      <c r="F4" s="15" t="n"/>
    </row>
    <row r="5" customFormat="1" s="63">
      <c r="B5" s="15" t="n"/>
      <c r="C5" s="23" t="inlineStr">
        <is>
          <t>Average</t>
        </is>
      </c>
      <c r="D5" s="20">
        <f>AVERAGE(C13:C1531)</f>
        <v/>
      </c>
      <c r="E5" s="15" t="n"/>
      <c r="F5" s="15" t="n"/>
    </row>
    <row r="6" ht="16" customFormat="1" customHeight="1" s="63" thickBot="1">
      <c r="B6" s="15" t="n"/>
      <c r="C6" s="24" t="inlineStr">
        <is>
          <t>Avg. since 2010</t>
        </is>
      </c>
      <c r="D6" s="21">
        <f>AVERAGE(C864:C1031)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0"/>
  <sheetViews>
    <sheetView zoomScale="130" zoomScaleNormal="130" workbookViewId="0">
      <pane ySplit="4" topLeftCell="A2847" activePane="bottomLeft" state="frozen"/>
      <selection activeCell="K1" sqref="K1"/>
      <selection pane="bottomLeft" activeCell="R2887" sqref="R2887"/>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row r="2882" customFormat="1" s="63"/>
    <row r="2883" customFormat="1" s="63"/>
    <row r="2884" customFormat="1" s="63"/>
    <row r="2885" customFormat="1" s="63"/>
    <row r="2886" customFormat="1" s="63"/>
    <row r="2887" customFormat="1" s="63"/>
    <row r="2888" customFormat="1" s="63"/>
    <row r="2889" customFormat="1" s="63"/>
    <row r="2890" customFormat="1" s="63"/>
    <row r="2891" customFormat="1" s="63"/>
    <row r="2892" customFormat="1" s="63"/>
    <row r="2893" customFormat="1" s="63"/>
    <row r="2894" customFormat="1" s="63"/>
    <row r="2895" customFormat="1" s="63"/>
    <row r="2896" customFormat="1" s="63"/>
    <row r="2897" customFormat="1" s="63"/>
    <row r="2898" customFormat="1" s="63"/>
    <row r="2899" customFormat="1" s="63"/>
    <row r="2900" customFormat="1" s="63"/>
    <row r="2901" customFormat="1" s="63"/>
    <row r="2902" customFormat="1" s="63"/>
    <row r="2903" customFormat="1" s="63"/>
    <row r="2904" customFormat="1" s="63"/>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8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zoomScale="110" zoomScaleNormal="110" workbookViewId="0">
      <selection activeCell="AA26" sqref="AA26"/>
    </sheetView>
  </sheetViews>
  <sheetFormatPr baseColWidth="10" defaultColWidth="9.1640625" defaultRowHeight="15"/>
  <cols>
    <col width="9.1640625" customWidth="1" style="63" min="1" max="18"/>
    <col width="9.1640625" customWidth="1" style="63" min="19"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5"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15" t="n"/>
      <c r="B256" s="15" t="n"/>
      <c r="C256" s="15" t="n"/>
    </row>
    <row r="257" customFormat="1" s="63">
      <c r="A257" s="15" t="n"/>
      <c r="B257" s="15" t="n"/>
      <c r="C257" s="15" t="n"/>
    </row>
    <row r="258" customFormat="1" s="63">
      <c r="A258" s="15" t="n"/>
      <c r="B258" s="15" t="n"/>
      <c r="C258" s="15" t="n"/>
    </row>
    <row r="259" customFormat="1" s="63">
      <c r="A259" s="15" t="n"/>
      <c r="B259" s="15" t="n"/>
      <c r="C259" s="15" t="n"/>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7"/>
  <sheetViews>
    <sheetView zoomScale="190" zoomScaleNormal="190" workbookViewId="0">
      <pane xSplit="2" ySplit="3" topLeftCell="C77" activePane="bottomRight" state="frozen"/>
      <selection activeCell="L243" sqref="L243"/>
      <selection pane="topRight" activeCell="L243" sqref="L243"/>
      <selection pane="bottomLeft" activeCell="L243" sqref="L243"/>
      <selection pane="bottomRight" activeCell="L243" sqref="L243"/>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row r="89" customFormat="1" s="63"/>
    <row r="90" customFormat="1" s="63"/>
    <row r="91" customFormat="1" s="63"/>
    <row r="92" customFormat="1" s="63"/>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2022-02-27T01:11:11Z</dcterms:modified>
  <cp:lastModifiedBy>Mark Mukherjee</cp:lastModifiedBy>
</cp:coreProperties>
</file>