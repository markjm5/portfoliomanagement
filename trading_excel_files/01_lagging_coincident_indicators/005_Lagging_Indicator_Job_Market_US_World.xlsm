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9F113D84-1E6B-3F42-88D1-9704EBAE0ADF}" xr6:coauthVersionLast="47" xr6:coauthVersionMax="47" xr10:uidLastSave="{00000000-0000-0000-0000-000000000000}"/>
  <bookViews>
    <workbookView xWindow="-67220" yWindow="1200" windowWidth="52080" windowHeight="2498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3" i="9" l="1"/>
  <c r="C263" i="9"/>
  <c r="B262" i="9"/>
  <c r="C262" i="9"/>
  <c r="B2911" i="7"/>
  <c r="C2911" i="7" s="1"/>
  <c r="D2911" i="7"/>
  <c r="E2911" i="7" s="1"/>
  <c r="B2912" i="7"/>
  <c r="C2912" i="7" s="1"/>
  <c r="D2912" i="7"/>
  <c r="E2912" i="7" s="1"/>
  <c r="B2910" i="7"/>
  <c r="C2910" i="7" s="1"/>
  <c r="D2910" i="7"/>
  <c r="E2910" i="7" s="1"/>
  <c r="B1016" i="6"/>
  <c r="E1016" i="6"/>
  <c r="F1016" i="6"/>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09" i="7"/>
  <c r="E2909" i="7" s="1"/>
  <c r="B2909" i="7"/>
  <c r="D2908" i="7"/>
  <c r="E2908" i="7" s="1"/>
  <c r="B2908" i="7"/>
  <c r="C2908" i="7" s="1"/>
  <c r="E2907" i="7"/>
  <c r="D2907" i="7"/>
  <c r="C2907" i="7"/>
  <c r="B2907" i="7"/>
  <c r="D2906" i="7"/>
  <c r="B2906" i="7"/>
  <c r="D2905" i="7"/>
  <c r="E2905" i="7" s="1"/>
  <c r="B2905" i="7"/>
  <c r="C2905" i="7" s="1"/>
  <c r="D2904" i="7"/>
  <c r="C2904" i="7"/>
  <c r="B2904" i="7"/>
  <c r="D2903" i="7"/>
  <c r="E2903" i="7" s="1"/>
  <c r="C2903" i="7"/>
  <c r="B2903" i="7"/>
  <c r="D2902" i="7"/>
  <c r="E2902" i="7" s="1"/>
  <c r="B2902" i="7"/>
  <c r="C2902" i="7" s="1"/>
  <c r="D2901" i="7"/>
  <c r="E2901" i="7" s="1"/>
  <c r="C2901" i="7"/>
  <c r="B2901" i="7"/>
  <c r="D2900" i="7"/>
  <c r="E2900" i="7" s="1"/>
  <c r="B2900" i="7"/>
  <c r="D2899" i="7"/>
  <c r="C2899" i="7"/>
  <c r="B2899" i="7"/>
  <c r="C2900" i="7" s="1"/>
  <c r="D2898" i="7"/>
  <c r="B2898" i="7"/>
  <c r="D2897" i="7"/>
  <c r="B2897" i="7"/>
  <c r="C2897" i="7" s="1"/>
  <c r="D2896" i="7"/>
  <c r="E2896" i="7" s="1"/>
  <c r="C2896" i="7"/>
  <c r="B2896" i="7"/>
  <c r="E2895" i="7"/>
  <c r="D2895" i="7"/>
  <c r="B2895" i="7"/>
  <c r="D2894" i="7"/>
  <c r="B2894" i="7"/>
  <c r="C2894" i="7" s="1"/>
  <c r="D2893" i="7"/>
  <c r="E2893" i="7" s="1"/>
  <c r="B2893" i="7"/>
  <c r="C2893" i="7" s="1"/>
  <c r="D2892" i="7"/>
  <c r="E2892" i="7" s="1"/>
  <c r="C2892" i="7"/>
  <c r="B2892" i="7"/>
  <c r="E2891" i="7"/>
  <c r="D2891" i="7"/>
  <c r="C2891" i="7"/>
  <c r="B2891" i="7"/>
  <c r="D2890" i="7"/>
  <c r="B2890" i="7"/>
  <c r="C2890" i="7" s="1"/>
  <c r="E2889" i="7"/>
  <c r="D2889" i="7"/>
  <c r="B2889" i="7"/>
  <c r="C2889" i="7" s="1"/>
  <c r="D2888" i="7"/>
  <c r="B2888" i="7"/>
  <c r="C2888" i="7" s="1"/>
  <c r="D2887" i="7"/>
  <c r="E2887" i="7" s="1"/>
  <c r="C2887" i="7"/>
  <c r="B2887" i="7"/>
  <c r="D2886" i="7"/>
  <c r="E2886" i="7" s="1"/>
  <c r="B2886" i="7"/>
  <c r="D2885" i="7"/>
  <c r="E2885" i="7" s="1"/>
  <c r="C2885" i="7"/>
  <c r="B2885" i="7"/>
  <c r="D2884" i="7"/>
  <c r="C2884" i="7"/>
  <c r="B2884" i="7"/>
  <c r="D2883" i="7"/>
  <c r="B2883" i="7"/>
  <c r="D2882" i="7"/>
  <c r="E2882" i="7" s="1"/>
  <c r="B2882" i="7"/>
  <c r="D2881" i="7"/>
  <c r="B2881" i="7"/>
  <c r="C2881" i="7" s="1"/>
  <c r="D2880" i="7"/>
  <c r="E2880" i="7" s="1"/>
  <c r="C2880" i="7"/>
  <c r="B2880" i="7"/>
  <c r="D2879" i="7"/>
  <c r="B2879" i="7"/>
  <c r="D2878" i="7"/>
  <c r="B2878" i="7"/>
  <c r="C2878" i="7" s="1"/>
  <c r="D2877" i="7"/>
  <c r="E2877" i="7" s="1"/>
  <c r="B2877" i="7"/>
  <c r="D2876" i="7"/>
  <c r="E2876" i="7" s="1"/>
  <c r="C2876" i="7"/>
  <c r="B2876" i="7"/>
  <c r="E2875" i="7"/>
  <c r="D2875" i="7"/>
  <c r="C2875" i="7"/>
  <c r="B2875" i="7"/>
  <c r="D2874" i="7"/>
  <c r="B2874" i="7"/>
  <c r="E2873" i="7"/>
  <c r="D2873" i="7"/>
  <c r="B2873" i="7"/>
  <c r="C2873" i="7" s="1"/>
  <c r="D2872" i="7"/>
  <c r="B2872" i="7"/>
  <c r="C2872" i="7" s="1"/>
  <c r="D2871" i="7"/>
  <c r="E2871" i="7" s="1"/>
  <c r="C2871" i="7"/>
  <c r="B2871" i="7"/>
  <c r="D2870" i="7"/>
  <c r="B2870" i="7"/>
  <c r="C2870" i="7" s="1"/>
  <c r="D2869" i="7"/>
  <c r="E2869" i="7" s="1"/>
  <c r="C2869" i="7"/>
  <c r="B2869" i="7"/>
  <c r="D2868" i="7"/>
  <c r="E2868" i="7" s="1"/>
  <c r="B2868" i="7"/>
  <c r="D2867" i="7"/>
  <c r="B2867" i="7"/>
  <c r="D2866" i="7"/>
  <c r="B2866" i="7"/>
  <c r="D2865" i="7"/>
  <c r="B2865" i="7"/>
  <c r="D2864" i="7"/>
  <c r="E2864" i="7" s="1"/>
  <c r="B2864" i="7"/>
  <c r="C2864" i="7" s="1"/>
  <c r="D2863" i="7"/>
  <c r="C2863" i="7"/>
  <c r="B2863" i="7"/>
  <c r="D2862" i="7"/>
  <c r="E2862" i="7" s="1"/>
  <c r="C2862" i="7"/>
  <c r="B2862" i="7"/>
  <c r="D2861" i="7"/>
  <c r="B2861" i="7"/>
  <c r="D2860" i="7"/>
  <c r="E2860" i="7" s="1"/>
  <c r="B2860" i="7"/>
  <c r="D2859" i="7"/>
  <c r="E2859" i="7" s="1"/>
  <c r="C2859" i="7"/>
  <c r="B2859" i="7"/>
  <c r="D2858" i="7"/>
  <c r="C2858" i="7"/>
  <c r="B2858" i="7"/>
  <c r="D2857" i="7"/>
  <c r="B2857" i="7"/>
  <c r="C2857" i="7" s="1"/>
  <c r="E2856" i="7"/>
  <c r="D2856" i="7"/>
  <c r="B2856" i="7"/>
  <c r="C2856" i="7" s="1"/>
  <c r="D2855" i="7"/>
  <c r="C2855" i="7"/>
  <c r="B2855" i="7"/>
  <c r="E2854" i="7"/>
  <c r="D2854" i="7"/>
  <c r="B2854" i="7"/>
  <c r="D2853" i="7"/>
  <c r="B2853" i="7"/>
  <c r="D2852" i="7"/>
  <c r="E2852" i="7" s="1"/>
  <c r="C2852" i="7"/>
  <c r="B2852" i="7"/>
  <c r="D2851" i="7"/>
  <c r="B2851" i="7"/>
  <c r="D2850" i="7"/>
  <c r="B2850" i="7"/>
  <c r="D2849" i="7"/>
  <c r="E2849" i="7" s="1"/>
  <c r="B2849" i="7"/>
  <c r="C2849" i="7" s="1"/>
  <c r="D2848" i="7"/>
  <c r="E2848" i="7" s="1"/>
  <c r="B2848" i="7"/>
  <c r="C2848" i="7" s="1"/>
  <c r="D2847" i="7"/>
  <c r="E2847" i="7" s="1"/>
  <c r="C2847" i="7"/>
  <c r="B2847" i="7"/>
  <c r="D2846" i="7"/>
  <c r="E2846" i="7" s="1"/>
  <c r="B2846" i="7"/>
  <c r="D2845" i="7"/>
  <c r="C2845" i="7"/>
  <c r="B2845" i="7"/>
  <c r="C2846" i="7" s="1"/>
  <c r="D2844" i="7"/>
  <c r="E2844" i="7" s="1"/>
  <c r="B2844" i="7"/>
  <c r="C2844" i="7" s="1"/>
  <c r="D2843" i="7"/>
  <c r="E2843" i="7" s="1"/>
  <c r="B2843" i="7"/>
  <c r="E2842" i="7"/>
  <c r="D2842" i="7"/>
  <c r="C2842" i="7"/>
  <c r="B2842" i="7"/>
  <c r="C2843" i="7" s="1"/>
  <c r="D2841" i="7"/>
  <c r="E2841" i="7" s="1"/>
  <c r="B2841" i="7"/>
  <c r="D2840" i="7"/>
  <c r="B2840" i="7"/>
  <c r="C2840" i="7" s="1"/>
  <c r="D2839" i="7"/>
  <c r="E2839" i="7" s="1"/>
  <c r="C2839" i="7"/>
  <c r="B2839" i="7"/>
  <c r="D2838" i="7"/>
  <c r="B2838" i="7"/>
  <c r="D2837" i="7"/>
  <c r="B2837" i="7"/>
  <c r="D2836" i="7"/>
  <c r="E2836" i="7" s="1"/>
  <c r="C2836" i="7"/>
  <c r="B2836" i="7"/>
  <c r="D2835" i="7"/>
  <c r="E2835" i="7" s="1"/>
  <c r="B2835" i="7"/>
  <c r="E2834" i="7"/>
  <c r="D2834" i="7"/>
  <c r="B2834" i="7"/>
  <c r="C2834" i="7" s="1"/>
  <c r="D2833" i="7"/>
  <c r="B2833" i="7"/>
  <c r="E2832" i="7"/>
  <c r="D2832" i="7"/>
  <c r="B2832" i="7"/>
  <c r="D2831" i="7"/>
  <c r="E2831" i="7" s="1"/>
  <c r="C2831" i="7"/>
  <c r="B2831" i="7"/>
  <c r="D2830" i="7"/>
  <c r="C2830" i="7"/>
  <c r="B2830" i="7"/>
  <c r="D2829" i="7"/>
  <c r="B2829" i="7"/>
  <c r="D2828" i="7"/>
  <c r="E2828" i="7" s="1"/>
  <c r="B2828" i="7"/>
  <c r="C2828" i="7" s="1"/>
  <c r="D2827" i="7"/>
  <c r="C2827" i="7"/>
  <c r="B2827" i="7"/>
  <c r="E2826" i="7"/>
  <c r="D2826" i="7"/>
  <c r="B2826" i="7"/>
  <c r="D2825" i="7"/>
  <c r="E2825" i="7" s="1"/>
  <c r="B2825" i="7"/>
  <c r="C2825" i="7" s="1"/>
  <c r="E2824" i="7"/>
  <c r="D2824" i="7"/>
  <c r="C2824" i="7"/>
  <c r="B2824" i="7"/>
  <c r="D2823" i="7"/>
  <c r="B2823" i="7"/>
  <c r="D2822" i="7"/>
  <c r="E2822" i="7" s="1"/>
  <c r="B2822" i="7"/>
  <c r="D2821" i="7"/>
  <c r="B2821" i="7"/>
  <c r="D2820" i="7"/>
  <c r="E2820" i="7" s="1"/>
  <c r="B2820" i="7"/>
  <c r="D2819" i="7"/>
  <c r="E2819" i="7" s="1"/>
  <c r="C2819" i="7"/>
  <c r="B2819" i="7"/>
  <c r="D2818" i="7"/>
  <c r="C2818" i="7"/>
  <c r="B2818" i="7"/>
  <c r="D2817" i="7"/>
  <c r="C2817" i="7"/>
  <c r="B2817" i="7"/>
  <c r="D2816" i="7"/>
  <c r="B2816" i="7"/>
  <c r="D2815" i="7"/>
  <c r="E2815" i="7" s="1"/>
  <c r="B2815" i="7"/>
  <c r="C2815" i="7" s="1"/>
  <c r="E2814" i="7"/>
  <c r="D2814" i="7"/>
  <c r="B2814" i="7"/>
  <c r="D2813" i="7"/>
  <c r="C2813" i="7"/>
  <c r="B2813" i="7"/>
  <c r="C2814" i="7" s="1"/>
  <c r="E2812" i="7"/>
  <c r="D2812" i="7"/>
  <c r="C2812" i="7"/>
  <c r="B2812" i="7"/>
  <c r="D2811" i="7"/>
  <c r="B2811" i="7"/>
  <c r="D2810" i="7"/>
  <c r="E2810" i="7" s="1"/>
  <c r="B2810" i="7"/>
  <c r="C2810" i="7" s="1"/>
  <c r="D2809" i="7"/>
  <c r="B2809" i="7"/>
  <c r="D2808" i="7"/>
  <c r="E2808" i="7" s="1"/>
  <c r="B2808" i="7"/>
  <c r="C2808" i="7" s="1"/>
  <c r="D2807" i="7"/>
  <c r="E2807" i="7" s="1"/>
  <c r="C2807" i="7"/>
  <c r="B2807" i="7"/>
  <c r="D2806" i="7"/>
  <c r="C2806" i="7"/>
  <c r="B2806" i="7"/>
  <c r="D2805" i="7"/>
  <c r="C2805" i="7"/>
  <c r="B2805" i="7"/>
  <c r="D2804" i="7"/>
  <c r="B2804" i="7"/>
  <c r="D2803" i="7"/>
  <c r="E2803" i="7" s="1"/>
  <c r="B2803" i="7"/>
  <c r="E2802" i="7"/>
  <c r="D2802" i="7"/>
  <c r="B2802" i="7"/>
  <c r="D2801" i="7"/>
  <c r="B2801" i="7"/>
  <c r="C2801" i="7" s="1"/>
  <c r="D2800" i="7"/>
  <c r="E2800" i="7" s="1"/>
  <c r="B2800" i="7"/>
  <c r="C2800" i="7" s="1"/>
  <c r="D2799" i="7"/>
  <c r="B2799" i="7"/>
  <c r="C2799" i="7" s="1"/>
  <c r="D2798" i="7"/>
  <c r="C2798" i="7"/>
  <c r="B2798" i="7"/>
  <c r="D2797" i="7"/>
  <c r="B2797" i="7"/>
  <c r="C2797" i="7" s="1"/>
  <c r="D2796" i="7"/>
  <c r="E2796" i="7" s="1"/>
  <c r="B2796" i="7"/>
  <c r="C2796" i="7" s="1"/>
  <c r="D2795" i="7"/>
  <c r="C2795" i="7"/>
  <c r="B2795" i="7"/>
  <c r="D2794" i="7"/>
  <c r="E2794" i="7" s="1"/>
  <c r="B2794" i="7"/>
  <c r="C2794" i="7" s="1"/>
  <c r="D2793" i="7"/>
  <c r="E2793" i="7" s="1"/>
  <c r="B2793" i="7"/>
  <c r="C2793" i="7" s="1"/>
  <c r="D2792" i="7"/>
  <c r="B2792" i="7"/>
  <c r="C2792" i="7" s="1"/>
  <c r="D2791" i="7"/>
  <c r="C2791" i="7"/>
  <c r="B2791" i="7"/>
  <c r="D2790" i="7"/>
  <c r="E2790" i="7" s="1"/>
  <c r="B2790" i="7"/>
  <c r="D2789" i="7"/>
  <c r="B2789" i="7"/>
  <c r="C2789" i="7" s="1"/>
  <c r="D2788" i="7"/>
  <c r="E2788" i="7" s="1"/>
  <c r="C2788" i="7"/>
  <c r="B2788" i="7"/>
  <c r="D2787" i="7"/>
  <c r="E2787" i="7" s="1"/>
  <c r="B2787" i="7"/>
  <c r="D2786" i="7"/>
  <c r="C2786" i="7"/>
  <c r="B2786" i="7"/>
  <c r="D2785" i="7"/>
  <c r="B2785" i="7"/>
  <c r="D2784" i="7"/>
  <c r="B2784" i="7"/>
  <c r="D2783" i="7"/>
  <c r="E2783" i="7" s="1"/>
  <c r="B2783" i="7"/>
  <c r="C2783" i="7" s="1"/>
  <c r="D2782" i="7"/>
  <c r="E2782" i="7" s="1"/>
  <c r="B2782" i="7"/>
  <c r="D2781" i="7"/>
  <c r="E2781" i="7" s="1"/>
  <c r="C2781" i="7"/>
  <c r="B2781" i="7"/>
  <c r="C2782" i="7" s="1"/>
  <c r="E2780" i="7"/>
  <c r="D2780" i="7"/>
  <c r="B2780" i="7"/>
  <c r="C2780" i="7" s="1"/>
  <c r="D2779" i="7"/>
  <c r="C2779" i="7"/>
  <c r="B2779" i="7"/>
  <c r="E2778" i="7"/>
  <c r="D2778" i="7"/>
  <c r="B2778" i="7"/>
  <c r="D2777" i="7"/>
  <c r="B2777" i="7"/>
  <c r="C2777" i="7" s="1"/>
  <c r="D2776" i="7"/>
  <c r="E2776" i="7" s="1"/>
  <c r="B2776" i="7"/>
  <c r="C2776" i="7" s="1"/>
  <c r="D2775" i="7"/>
  <c r="B2775" i="7"/>
  <c r="D2774" i="7"/>
  <c r="E2774" i="7" s="1"/>
  <c r="B2774" i="7"/>
  <c r="D2773" i="7"/>
  <c r="E2773" i="7" s="1"/>
  <c r="B2773" i="7"/>
  <c r="C2773" i="7" s="1"/>
  <c r="D2772" i="7"/>
  <c r="B2772" i="7"/>
  <c r="D2771" i="7"/>
  <c r="E2771" i="7" s="1"/>
  <c r="B2771" i="7"/>
  <c r="D2770" i="7"/>
  <c r="B2770" i="7"/>
  <c r="C2770" i="7" s="1"/>
  <c r="D2769" i="7"/>
  <c r="C2769" i="7"/>
  <c r="B2769" i="7"/>
  <c r="E2768" i="7"/>
  <c r="D2768" i="7"/>
  <c r="B2768" i="7"/>
  <c r="D2767" i="7"/>
  <c r="C2767" i="7"/>
  <c r="B2767" i="7"/>
  <c r="E2766" i="7"/>
  <c r="D2766" i="7"/>
  <c r="C2766" i="7"/>
  <c r="B2766" i="7"/>
  <c r="D2765" i="7"/>
  <c r="B2765" i="7"/>
  <c r="E2764" i="7"/>
  <c r="D2764" i="7"/>
  <c r="C2764" i="7"/>
  <c r="B2764" i="7"/>
  <c r="D2763" i="7"/>
  <c r="B2763" i="7"/>
  <c r="C2763" i="7" s="1"/>
  <c r="E2762" i="7"/>
  <c r="D2762" i="7"/>
  <c r="C2762" i="7"/>
  <c r="B2762" i="7"/>
  <c r="D2761" i="7"/>
  <c r="E2761" i="7" s="1"/>
  <c r="B2761" i="7"/>
  <c r="D2760" i="7"/>
  <c r="E2760" i="7" s="1"/>
  <c r="B2760" i="7"/>
  <c r="C2760" i="7" s="1"/>
  <c r="D2759" i="7"/>
  <c r="E2759" i="7" s="1"/>
  <c r="B2759" i="7"/>
  <c r="D2758" i="7"/>
  <c r="E2758" i="7" s="1"/>
  <c r="B2758" i="7"/>
  <c r="D2757" i="7"/>
  <c r="E2757" i="7" s="1"/>
  <c r="C2757" i="7"/>
  <c r="B2757" i="7"/>
  <c r="D2756" i="7"/>
  <c r="B2756" i="7"/>
  <c r="D2755" i="7"/>
  <c r="E2755" i="7" s="1"/>
  <c r="B2755" i="7"/>
  <c r="C2755" i="7" s="1"/>
  <c r="E2754" i="7"/>
  <c r="D2754" i="7"/>
  <c r="B2754" i="7"/>
  <c r="D2753" i="7"/>
  <c r="B2753" i="7"/>
  <c r="C2753" i="7" s="1"/>
  <c r="D2752" i="7"/>
  <c r="E2752" i="7" s="1"/>
  <c r="B2752" i="7"/>
  <c r="C2752" i="7" s="1"/>
  <c r="D2751" i="7"/>
  <c r="B2751" i="7"/>
  <c r="C2751" i="7" s="1"/>
  <c r="D2750" i="7"/>
  <c r="E2750" i="7" s="1"/>
  <c r="B2750" i="7"/>
  <c r="D2749" i="7"/>
  <c r="B2749" i="7"/>
  <c r="D2748" i="7"/>
  <c r="E2748" i="7" s="1"/>
  <c r="B2748" i="7"/>
  <c r="C2748" i="7" s="1"/>
  <c r="D2747" i="7"/>
  <c r="B2747" i="7"/>
  <c r="C2747" i="7" s="1"/>
  <c r="D2746" i="7"/>
  <c r="E2746" i="7" s="1"/>
  <c r="B2746" i="7"/>
  <c r="C2746" i="7" s="1"/>
  <c r="D2745" i="7"/>
  <c r="B2745" i="7"/>
  <c r="C2745" i="7" s="1"/>
  <c r="D2744" i="7"/>
  <c r="C2744" i="7"/>
  <c r="B2744" i="7"/>
  <c r="D2743" i="7"/>
  <c r="E2743" i="7" s="1"/>
  <c r="B2743" i="7"/>
  <c r="D2742" i="7"/>
  <c r="C2742" i="7"/>
  <c r="B2742" i="7"/>
  <c r="C2743" i="7" s="1"/>
  <c r="D2741" i="7"/>
  <c r="E2741" i="7" s="1"/>
  <c r="B2741" i="7"/>
  <c r="C2741" i="7" s="1"/>
  <c r="D2740" i="7"/>
  <c r="B2740" i="7"/>
  <c r="C2740" i="7" s="1"/>
  <c r="D2739" i="7"/>
  <c r="E2739" i="7" s="1"/>
  <c r="C2739" i="7"/>
  <c r="B2739" i="7"/>
  <c r="E2738" i="7"/>
  <c r="D2738" i="7"/>
  <c r="B2738" i="7"/>
  <c r="C2738" i="7" s="1"/>
  <c r="D2737" i="7"/>
  <c r="C2737" i="7"/>
  <c r="B2737" i="7"/>
  <c r="E2736" i="7"/>
  <c r="D2736" i="7"/>
  <c r="B2736" i="7"/>
  <c r="C2736" i="7" s="1"/>
  <c r="D2735" i="7"/>
  <c r="C2735" i="7"/>
  <c r="B2735" i="7"/>
  <c r="E2734" i="7"/>
  <c r="D2734" i="7"/>
  <c r="C2734" i="7"/>
  <c r="B2734" i="7"/>
  <c r="D2733" i="7"/>
  <c r="B2733" i="7"/>
  <c r="C2733" i="7" s="1"/>
  <c r="E2732" i="7"/>
  <c r="D2732" i="7"/>
  <c r="C2732" i="7"/>
  <c r="B2732" i="7"/>
  <c r="D2731" i="7"/>
  <c r="B2731" i="7"/>
  <c r="C2731" i="7" s="1"/>
  <c r="E2730" i="7"/>
  <c r="D2730" i="7"/>
  <c r="C2730" i="7"/>
  <c r="B2730" i="7"/>
  <c r="D2729" i="7"/>
  <c r="B2729" i="7"/>
  <c r="D2728" i="7"/>
  <c r="E2728" i="7" s="1"/>
  <c r="B2728" i="7"/>
  <c r="C2728" i="7" s="1"/>
  <c r="D2727" i="7"/>
  <c r="E2727" i="7" s="1"/>
  <c r="C2727" i="7"/>
  <c r="B2727" i="7"/>
  <c r="D2726" i="7"/>
  <c r="E2726" i="7" s="1"/>
  <c r="B2726" i="7"/>
  <c r="C2726" i="7" s="1"/>
  <c r="D2725" i="7"/>
  <c r="E2725" i="7" s="1"/>
  <c r="C2725" i="7"/>
  <c r="B2725" i="7"/>
  <c r="D2724" i="7"/>
  <c r="E2724" i="7" s="1"/>
  <c r="B2724" i="7"/>
  <c r="D2723" i="7"/>
  <c r="E2723" i="7" s="1"/>
  <c r="B2723" i="7"/>
  <c r="C2723" i="7" s="1"/>
  <c r="D2722" i="7"/>
  <c r="B2722" i="7"/>
  <c r="C2722" i="7" s="1"/>
  <c r="D2721" i="7"/>
  <c r="B2721" i="7"/>
  <c r="C2721" i="7" s="1"/>
  <c r="D2720" i="7"/>
  <c r="E2720" i="7" s="1"/>
  <c r="B2720" i="7"/>
  <c r="D2719" i="7"/>
  <c r="B2719" i="7"/>
  <c r="C2719" i="7" s="1"/>
  <c r="D2718" i="7"/>
  <c r="E2718" i="7" s="1"/>
  <c r="B2718" i="7"/>
  <c r="D2717" i="7"/>
  <c r="B2717" i="7"/>
  <c r="D2716" i="7"/>
  <c r="E2716" i="7" s="1"/>
  <c r="B2716" i="7"/>
  <c r="C2716" i="7" s="1"/>
  <c r="D2715" i="7"/>
  <c r="B2715" i="7"/>
  <c r="D2714" i="7"/>
  <c r="E2714" i="7" s="1"/>
  <c r="B2714" i="7"/>
  <c r="C2714" i="7" s="1"/>
  <c r="D2713" i="7"/>
  <c r="B2713" i="7"/>
  <c r="C2713" i="7" s="1"/>
  <c r="D2712" i="7"/>
  <c r="C2712" i="7"/>
  <c r="B2712" i="7"/>
  <c r="D2711" i="7"/>
  <c r="E2711" i="7" s="1"/>
  <c r="C2711" i="7"/>
  <c r="B2711" i="7"/>
  <c r="D2710" i="7"/>
  <c r="B2710" i="7"/>
  <c r="D2709" i="7"/>
  <c r="E2709" i="7" s="1"/>
  <c r="B2709" i="7"/>
  <c r="D2708" i="7"/>
  <c r="E2708" i="7" s="1"/>
  <c r="B2708" i="7"/>
  <c r="C2708" i="7" s="1"/>
  <c r="D2707" i="7"/>
  <c r="E2707" i="7" s="1"/>
  <c r="C2707" i="7"/>
  <c r="B2707" i="7"/>
  <c r="E2706" i="7"/>
  <c r="D2706" i="7"/>
  <c r="B2706" i="7"/>
  <c r="C2706" i="7" s="1"/>
  <c r="D2705" i="7"/>
  <c r="E2705" i="7" s="1"/>
  <c r="C2705" i="7"/>
  <c r="B2705" i="7"/>
  <c r="E2704" i="7"/>
  <c r="D2704" i="7"/>
  <c r="B2704" i="7"/>
  <c r="C2704" i="7" s="1"/>
  <c r="D2703" i="7"/>
  <c r="C2703" i="7"/>
  <c r="B2703" i="7"/>
  <c r="E2702" i="7"/>
  <c r="D2702" i="7"/>
  <c r="C2702" i="7"/>
  <c r="B2702" i="7"/>
  <c r="D2701" i="7"/>
  <c r="B2701" i="7"/>
  <c r="C2701" i="7" s="1"/>
  <c r="E2700" i="7"/>
  <c r="D2700" i="7"/>
  <c r="C2700" i="7"/>
  <c r="B2700" i="7"/>
  <c r="D2699" i="7"/>
  <c r="B2699" i="7"/>
  <c r="E2698" i="7"/>
  <c r="D2698" i="7"/>
  <c r="C2698" i="7"/>
  <c r="B2698" i="7"/>
  <c r="D2697" i="7"/>
  <c r="E2697" i="7" s="1"/>
  <c r="B2697" i="7"/>
  <c r="D2696" i="7"/>
  <c r="E2696" i="7" s="1"/>
  <c r="B2696" i="7"/>
  <c r="C2696" i="7" s="1"/>
  <c r="D2695" i="7"/>
  <c r="E2695" i="7" s="1"/>
  <c r="C2695" i="7"/>
  <c r="B2695" i="7"/>
  <c r="D2694" i="7"/>
  <c r="E2694" i="7" s="1"/>
  <c r="B2694" i="7"/>
  <c r="C2694" i="7" s="1"/>
  <c r="D2693" i="7"/>
  <c r="E2693" i="7" s="1"/>
  <c r="C2693" i="7"/>
  <c r="B2693" i="7"/>
  <c r="D2692" i="7"/>
  <c r="B2692" i="7"/>
  <c r="C2692" i="7" s="1"/>
  <c r="D2691" i="7"/>
  <c r="E2691" i="7" s="1"/>
  <c r="B2691" i="7"/>
  <c r="C2691" i="7" s="1"/>
  <c r="D2690" i="7"/>
  <c r="B2690" i="7"/>
  <c r="D2689" i="7"/>
  <c r="B2689" i="7"/>
  <c r="C2689" i="7" s="1"/>
  <c r="D2688" i="7"/>
  <c r="E2688" i="7" s="1"/>
  <c r="B2688" i="7"/>
  <c r="D2687" i="7"/>
  <c r="B2687" i="7"/>
  <c r="C2687" i="7" s="1"/>
  <c r="D2686" i="7"/>
  <c r="E2686" i="7" s="1"/>
  <c r="B2686" i="7"/>
  <c r="D2685" i="7"/>
  <c r="B2685" i="7"/>
  <c r="D2684" i="7"/>
  <c r="E2684" i="7" s="1"/>
  <c r="B2684" i="7"/>
  <c r="C2684" i="7" s="1"/>
  <c r="D2683" i="7"/>
  <c r="B2683" i="7"/>
  <c r="D2682" i="7"/>
  <c r="B2682" i="7"/>
  <c r="C2682" i="7" s="1"/>
  <c r="D2681" i="7"/>
  <c r="E2681" i="7" s="1"/>
  <c r="B2681" i="7"/>
  <c r="C2681" i="7" s="1"/>
  <c r="D2680" i="7"/>
  <c r="C2680" i="7"/>
  <c r="B2680" i="7"/>
  <c r="D2679" i="7"/>
  <c r="E2679" i="7" s="1"/>
  <c r="C2679" i="7"/>
  <c r="B2679" i="7"/>
  <c r="D2678" i="7"/>
  <c r="E2678" i="7" s="1"/>
  <c r="C2678" i="7"/>
  <c r="B2678" i="7"/>
  <c r="D2677" i="7"/>
  <c r="E2677" i="7" s="1"/>
  <c r="B2677" i="7"/>
  <c r="C2677" i="7" s="1"/>
  <c r="D2676" i="7"/>
  <c r="B2676" i="7"/>
  <c r="C2676" i="7" s="1"/>
  <c r="D2675" i="7"/>
  <c r="E2675" i="7" s="1"/>
  <c r="C2675" i="7"/>
  <c r="B2675" i="7"/>
  <c r="E2674" i="7"/>
  <c r="D2674" i="7"/>
  <c r="B2674" i="7"/>
  <c r="D2673" i="7"/>
  <c r="E2673" i="7" s="1"/>
  <c r="B2673" i="7"/>
  <c r="C2673" i="7" s="1"/>
  <c r="E2672" i="7"/>
  <c r="D2672" i="7"/>
  <c r="B2672" i="7"/>
  <c r="C2672" i="7" s="1"/>
  <c r="D2671" i="7"/>
  <c r="C2671" i="7"/>
  <c r="B2671" i="7"/>
  <c r="D2670" i="7"/>
  <c r="E2670" i="7" s="1"/>
  <c r="C2670" i="7"/>
  <c r="B2670" i="7"/>
  <c r="D2669" i="7"/>
  <c r="B2669" i="7"/>
  <c r="E2668" i="7"/>
  <c r="D2668" i="7"/>
  <c r="B2668" i="7"/>
  <c r="C2668" i="7" s="1"/>
  <c r="D2667" i="7"/>
  <c r="B2667" i="7"/>
  <c r="D2666" i="7"/>
  <c r="C2666" i="7"/>
  <c r="B2666" i="7"/>
  <c r="D2665" i="7"/>
  <c r="B2665" i="7"/>
  <c r="C2665" i="7" s="1"/>
  <c r="D2664" i="7"/>
  <c r="E2664" i="7" s="1"/>
  <c r="B2664" i="7"/>
  <c r="C2664" i="7" s="1"/>
  <c r="D2663" i="7"/>
  <c r="E2663" i="7" s="1"/>
  <c r="B2663" i="7"/>
  <c r="D2662" i="7"/>
  <c r="E2662" i="7" s="1"/>
  <c r="C2662" i="7"/>
  <c r="B2662" i="7"/>
  <c r="C2663" i="7" s="1"/>
  <c r="D2661" i="7"/>
  <c r="E2661" i="7" s="1"/>
  <c r="C2661" i="7"/>
  <c r="B2661" i="7"/>
  <c r="D2660" i="7"/>
  <c r="B2660" i="7"/>
  <c r="D2659" i="7"/>
  <c r="E2659" i="7" s="1"/>
  <c r="C2659" i="7"/>
  <c r="B2659" i="7"/>
  <c r="D2658" i="7"/>
  <c r="B2658" i="7"/>
  <c r="D2657" i="7"/>
  <c r="B2657" i="7"/>
  <c r="C2657" i="7" s="1"/>
  <c r="D2656" i="7"/>
  <c r="E2656" i="7" s="1"/>
  <c r="B2656" i="7"/>
  <c r="D2655" i="7"/>
  <c r="B2655" i="7"/>
  <c r="C2655" i="7" s="1"/>
  <c r="D2654" i="7"/>
  <c r="E2654" i="7" s="1"/>
  <c r="C2654" i="7"/>
  <c r="B2654" i="7"/>
  <c r="D2653" i="7"/>
  <c r="B2653" i="7"/>
  <c r="D2652" i="7"/>
  <c r="E2652" i="7" s="1"/>
  <c r="B2652" i="7"/>
  <c r="C2652" i="7" s="1"/>
  <c r="D2651" i="7"/>
  <c r="B2651" i="7"/>
  <c r="C2651" i="7" s="1"/>
  <c r="D2650" i="7"/>
  <c r="E2650" i="7" s="1"/>
  <c r="B2650" i="7"/>
  <c r="C2650" i="7" s="1"/>
  <c r="D2649" i="7"/>
  <c r="B2649" i="7"/>
  <c r="C2649" i="7" s="1"/>
  <c r="D2648" i="7"/>
  <c r="E2648" i="7" s="1"/>
  <c r="C2648" i="7"/>
  <c r="B2648" i="7"/>
  <c r="D2647" i="7"/>
  <c r="E2647" i="7" s="1"/>
  <c r="B2647" i="7"/>
  <c r="D2646" i="7"/>
  <c r="B2646" i="7"/>
  <c r="C2647" i="7" s="1"/>
  <c r="D2645" i="7"/>
  <c r="E2645" i="7" s="1"/>
  <c r="B2645" i="7"/>
  <c r="D2644" i="7"/>
  <c r="B2644" i="7"/>
  <c r="C2644" i="7" s="1"/>
  <c r="D2643" i="7"/>
  <c r="E2643" i="7" s="1"/>
  <c r="B2643" i="7"/>
  <c r="C2643" i="7" s="1"/>
  <c r="E2642" i="7"/>
  <c r="D2642" i="7"/>
  <c r="B2642" i="7"/>
  <c r="C2642" i="7" s="1"/>
  <c r="D2641" i="7"/>
  <c r="C2641" i="7"/>
  <c r="B2641" i="7"/>
  <c r="D2640" i="7"/>
  <c r="E2640" i="7" s="1"/>
  <c r="B2640" i="7"/>
  <c r="C2640" i="7" s="1"/>
  <c r="D2639" i="7"/>
  <c r="C2639" i="7"/>
  <c r="B2639" i="7"/>
  <c r="E2638" i="7"/>
  <c r="D2638" i="7"/>
  <c r="C2638" i="7"/>
  <c r="B2638" i="7"/>
  <c r="D2637" i="7"/>
  <c r="E2637" i="7" s="1"/>
  <c r="B2637" i="7"/>
  <c r="E2636" i="7"/>
  <c r="D2636" i="7"/>
  <c r="C2636" i="7"/>
  <c r="B2636" i="7"/>
  <c r="D2635" i="7"/>
  <c r="B2635" i="7"/>
  <c r="C2635" i="7" s="1"/>
  <c r="D2634" i="7"/>
  <c r="E2634" i="7" s="1"/>
  <c r="B2634" i="7"/>
  <c r="D2633" i="7"/>
  <c r="B2633" i="7"/>
  <c r="C2633" i="7" s="1"/>
  <c r="E2632" i="7"/>
  <c r="D2632" i="7"/>
  <c r="B2632" i="7"/>
  <c r="C2632" i="7" s="1"/>
  <c r="D2631" i="7"/>
  <c r="C2631" i="7"/>
  <c r="B2631" i="7"/>
  <c r="E2630" i="7"/>
  <c r="D2630" i="7"/>
  <c r="C2630" i="7"/>
  <c r="B2630" i="7"/>
  <c r="D2629" i="7"/>
  <c r="E2629" i="7" s="1"/>
  <c r="B2629" i="7"/>
  <c r="D2628" i="7"/>
  <c r="B2628" i="7"/>
  <c r="C2628" i="7" s="1"/>
  <c r="D2627" i="7"/>
  <c r="E2627" i="7" s="1"/>
  <c r="B2627" i="7"/>
  <c r="C2627" i="7" s="1"/>
  <c r="D2626" i="7"/>
  <c r="B2626" i="7"/>
  <c r="C2626" i="7" s="1"/>
  <c r="D2625" i="7"/>
  <c r="B2625" i="7"/>
  <c r="E2624" i="7"/>
  <c r="D2624" i="7"/>
  <c r="B2624" i="7"/>
  <c r="D2623" i="7"/>
  <c r="E2623" i="7" s="1"/>
  <c r="B2623" i="7"/>
  <c r="C2623" i="7" s="1"/>
  <c r="E2622" i="7"/>
  <c r="D2622" i="7"/>
  <c r="B2622" i="7"/>
  <c r="D2621" i="7"/>
  <c r="E2621" i="7" s="1"/>
  <c r="B2621" i="7"/>
  <c r="D2620" i="7"/>
  <c r="E2620" i="7" s="1"/>
  <c r="B2620" i="7"/>
  <c r="C2620" i="7" s="1"/>
  <c r="D2619" i="7"/>
  <c r="C2619" i="7"/>
  <c r="B2619" i="7"/>
  <c r="D2618" i="7"/>
  <c r="E2618" i="7" s="1"/>
  <c r="C2618" i="7"/>
  <c r="B2618" i="7"/>
  <c r="D2617" i="7"/>
  <c r="B2617" i="7"/>
  <c r="E2616" i="7"/>
  <c r="D2616" i="7"/>
  <c r="B2616" i="7"/>
  <c r="C2616" i="7" s="1"/>
  <c r="D2615" i="7"/>
  <c r="B2615" i="7"/>
  <c r="D2614" i="7"/>
  <c r="E2614" i="7" s="1"/>
  <c r="B2614" i="7"/>
  <c r="D2613" i="7"/>
  <c r="E2613" i="7" s="1"/>
  <c r="C2613" i="7"/>
  <c r="B2613" i="7"/>
  <c r="D2612" i="7"/>
  <c r="B2612" i="7"/>
  <c r="D2611" i="7"/>
  <c r="E2611" i="7" s="1"/>
  <c r="B2611" i="7"/>
  <c r="C2611" i="7" s="1"/>
  <c r="D2610" i="7"/>
  <c r="B2610" i="7"/>
  <c r="D2609" i="7"/>
  <c r="B2609" i="7"/>
  <c r="D2608" i="7"/>
  <c r="E2608" i="7" s="1"/>
  <c r="B2608" i="7"/>
  <c r="D2607" i="7"/>
  <c r="B2607" i="7"/>
  <c r="C2607" i="7" s="1"/>
  <c r="D2606" i="7"/>
  <c r="E2606" i="7" s="1"/>
  <c r="C2606" i="7"/>
  <c r="B2606" i="7"/>
  <c r="D2605" i="7"/>
  <c r="B2605" i="7"/>
  <c r="E2604" i="7"/>
  <c r="D2604" i="7"/>
  <c r="C2604" i="7"/>
  <c r="B2604" i="7"/>
  <c r="C2605" i="7" s="1"/>
  <c r="D2603" i="7"/>
  <c r="B2603" i="7"/>
  <c r="D2602" i="7"/>
  <c r="B2602" i="7"/>
  <c r="C2602" i="7" s="1"/>
  <c r="D2601" i="7"/>
  <c r="E2601" i="7" s="1"/>
  <c r="B2601" i="7"/>
  <c r="D2600" i="7"/>
  <c r="E2600" i="7" s="1"/>
  <c r="B2600" i="7"/>
  <c r="C2600" i="7" s="1"/>
  <c r="D2599" i="7"/>
  <c r="E2599" i="7" s="1"/>
  <c r="C2599" i="7"/>
  <c r="B2599" i="7"/>
  <c r="D2598" i="7"/>
  <c r="B2598" i="7"/>
  <c r="D2597" i="7"/>
  <c r="B2597" i="7"/>
  <c r="D2596" i="7"/>
  <c r="E2596" i="7" s="1"/>
  <c r="B2596" i="7"/>
  <c r="D2595" i="7"/>
  <c r="E2595" i="7" s="1"/>
  <c r="B2595" i="7"/>
  <c r="E2594" i="7"/>
  <c r="D2594" i="7"/>
  <c r="B2594" i="7"/>
  <c r="C2594" i="7" s="1"/>
  <c r="D2593" i="7"/>
  <c r="B2593" i="7"/>
  <c r="D2592" i="7"/>
  <c r="B2592" i="7"/>
  <c r="D2591" i="7"/>
  <c r="C2591" i="7"/>
  <c r="B2591" i="7"/>
  <c r="D2590" i="7"/>
  <c r="B2590" i="7"/>
  <c r="D2589" i="7"/>
  <c r="B2589" i="7"/>
  <c r="D2588" i="7"/>
  <c r="E2588" i="7" s="1"/>
  <c r="B2588" i="7"/>
  <c r="C2588" i="7" s="1"/>
  <c r="D2587" i="7"/>
  <c r="B2587" i="7"/>
  <c r="C2587" i="7" s="1"/>
  <c r="E2586" i="7"/>
  <c r="D2586" i="7"/>
  <c r="B2586" i="7"/>
  <c r="D2585" i="7"/>
  <c r="E2585" i="7" s="1"/>
  <c r="B2585" i="7"/>
  <c r="C2585" i="7" s="1"/>
  <c r="D2584" i="7"/>
  <c r="E2584" i="7" s="1"/>
  <c r="C2584" i="7"/>
  <c r="B2584" i="7"/>
  <c r="D2583" i="7"/>
  <c r="B2583" i="7"/>
  <c r="D2582" i="7"/>
  <c r="E2582" i="7" s="1"/>
  <c r="C2582" i="7"/>
  <c r="B2582" i="7"/>
  <c r="C2583" i="7" s="1"/>
  <c r="D2581" i="7"/>
  <c r="B2581" i="7"/>
  <c r="D2580" i="7"/>
  <c r="E2580" i="7" s="1"/>
  <c r="B2580" i="7"/>
  <c r="D2579" i="7"/>
  <c r="E2579" i="7" s="1"/>
  <c r="C2579" i="7"/>
  <c r="B2579" i="7"/>
  <c r="D2578" i="7"/>
  <c r="B2578" i="7"/>
  <c r="D2577" i="7"/>
  <c r="B2577" i="7"/>
  <c r="D2576" i="7"/>
  <c r="E2576" i="7" s="1"/>
  <c r="B2576" i="7"/>
  <c r="D2575" i="7"/>
  <c r="B2575" i="7"/>
  <c r="C2575" i="7" s="1"/>
  <c r="D2574" i="7"/>
  <c r="E2574" i="7" s="1"/>
  <c r="B2574" i="7"/>
  <c r="D2573" i="7"/>
  <c r="C2573" i="7"/>
  <c r="B2573" i="7"/>
  <c r="C2574" i="7" s="1"/>
  <c r="D2572" i="7"/>
  <c r="E2572" i="7" s="1"/>
  <c r="B2572" i="7"/>
  <c r="D2571" i="7"/>
  <c r="B2571" i="7"/>
  <c r="D2570" i="7"/>
  <c r="E2570" i="7" s="1"/>
  <c r="C2570" i="7"/>
  <c r="B2570" i="7"/>
  <c r="D2569" i="7"/>
  <c r="B2569" i="7"/>
  <c r="D2568" i="7"/>
  <c r="B2568" i="7"/>
  <c r="C2568" i="7" s="1"/>
  <c r="D2567" i="7"/>
  <c r="E2567" i="7" s="1"/>
  <c r="C2567" i="7"/>
  <c r="B2567" i="7"/>
  <c r="D2566" i="7"/>
  <c r="B2566" i="7"/>
  <c r="D2565" i="7"/>
  <c r="B2565" i="7"/>
  <c r="D2564" i="7"/>
  <c r="B2564" i="7"/>
  <c r="D2563" i="7"/>
  <c r="E2563" i="7" s="1"/>
  <c r="B2563" i="7"/>
  <c r="E2562" i="7"/>
  <c r="D2562" i="7"/>
  <c r="B2562" i="7"/>
  <c r="C2562" i="7" s="1"/>
  <c r="D2561" i="7"/>
  <c r="C2561" i="7"/>
  <c r="B2561" i="7"/>
  <c r="D2560" i="7"/>
  <c r="E2560" i="7" s="1"/>
  <c r="B2560" i="7"/>
  <c r="C2560" i="7" s="1"/>
  <c r="D2559" i="7"/>
  <c r="C2559" i="7"/>
  <c r="B2559" i="7"/>
  <c r="E2558" i="7"/>
  <c r="D2558" i="7"/>
  <c r="C2558" i="7"/>
  <c r="B2558" i="7"/>
  <c r="D2557" i="7"/>
  <c r="E2557" i="7" s="1"/>
  <c r="B2557" i="7"/>
  <c r="D2556" i="7"/>
  <c r="E2556" i="7" s="1"/>
  <c r="B2556" i="7"/>
  <c r="C2556" i="7" s="1"/>
  <c r="D2555" i="7"/>
  <c r="C2555" i="7"/>
  <c r="B2555" i="7"/>
  <c r="D2554" i="7"/>
  <c r="B2554" i="7"/>
  <c r="D2553" i="7"/>
  <c r="B2553" i="7"/>
  <c r="E2552" i="7"/>
  <c r="D2552" i="7"/>
  <c r="C2552" i="7"/>
  <c r="B2552" i="7"/>
  <c r="D2551" i="7"/>
  <c r="C2551" i="7"/>
  <c r="B2551" i="7"/>
  <c r="E2550" i="7"/>
  <c r="D2550" i="7"/>
  <c r="B2550" i="7"/>
  <c r="C2550" i="7" s="1"/>
  <c r="D2549" i="7"/>
  <c r="B2549" i="7"/>
  <c r="D2548" i="7"/>
  <c r="E2548" i="7" s="1"/>
  <c r="B2548" i="7"/>
  <c r="D2547" i="7"/>
  <c r="E2547" i="7" s="1"/>
  <c r="B2547" i="7"/>
  <c r="D2546" i="7"/>
  <c r="B2546" i="7"/>
  <c r="D2545" i="7"/>
  <c r="B2545" i="7"/>
  <c r="C2545" i="7" s="1"/>
  <c r="D2544" i="7"/>
  <c r="E2544" i="7" s="1"/>
  <c r="B2544" i="7"/>
  <c r="D2543" i="7"/>
  <c r="E2543" i="7" s="1"/>
  <c r="B2543" i="7"/>
  <c r="C2543" i="7" s="1"/>
  <c r="D2542" i="7"/>
  <c r="E2542" i="7" s="1"/>
  <c r="B2542" i="7"/>
  <c r="D2541" i="7"/>
  <c r="E2541" i="7" s="1"/>
  <c r="C2541" i="7"/>
  <c r="B2541" i="7"/>
  <c r="C2542" i="7" s="1"/>
  <c r="E2540" i="7"/>
  <c r="D2540" i="7"/>
  <c r="B2540" i="7"/>
  <c r="D2539" i="7"/>
  <c r="B2539" i="7"/>
  <c r="D2538" i="7"/>
  <c r="E2538" i="7" s="1"/>
  <c r="B2538" i="7"/>
  <c r="C2538" i="7" s="1"/>
  <c r="D2537" i="7"/>
  <c r="B2537" i="7"/>
  <c r="D2536" i="7"/>
  <c r="E2536" i="7" s="1"/>
  <c r="C2536" i="7"/>
  <c r="B2536" i="7"/>
  <c r="D2535" i="7"/>
  <c r="B2535" i="7"/>
  <c r="D2534" i="7"/>
  <c r="B2534" i="7"/>
  <c r="C2535" i="7" s="1"/>
  <c r="D2533" i="7"/>
  <c r="B2533" i="7"/>
  <c r="C2533" i="7" s="1"/>
  <c r="D2532" i="7"/>
  <c r="C2532" i="7"/>
  <c r="B2532" i="7"/>
  <c r="D2531" i="7"/>
  <c r="E2531" i="7" s="1"/>
  <c r="B2531" i="7"/>
  <c r="C2531" i="7" s="1"/>
  <c r="D2530" i="7"/>
  <c r="B2530" i="7"/>
  <c r="D2529" i="7"/>
  <c r="E2529" i="7" s="1"/>
  <c r="C2529" i="7"/>
  <c r="B2529" i="7"/>
  <c r="E2528" i="7"/>
  <c r="D2528" i="7"/>
  <c r="B2528" i="7"/>
  <c r="D2527" i="7"/>
  <c r="C2527" i="7"/>
  <c r="B2527" i="7"/>
  <c r="E2526" i="7"/>
  <c r="D2526" i="7"/>
  <c r="B2526" i="7"/>
  <c r="D2525" i="7"/>
  <c r="B2525" i="7"/>
  <c r="D2524" i="7"/>
  <c r="E2524" i="7" s="1"/>
  <c r="C2524" i="7"/>
  <c r="B2524" i="7"/>
  <c r="D2523" i="7"/>
  <c r="B2523" i="7"/>
  <c r="D2522" i="7"/>
  <c r="C2522" i="7"/>
  <c r="B2522" i="7"/>
  <c r="C2523" i="7" s="1"/>
  <c r="D2521" i="7"/>
  <c r="B2521" i="7"/>
  <c r="D2520" i="7"/>
  <c r="E2520" i="7" s="1"/>
  <c r="C2520" i="7"/>
  <c r="B2520" i="7"/>
  <c r="D2519" i="7"/>
  <c r="E2519" i="7" s="1"/>
  <c r="B2519" i="7"/>
  <c r="D2518" i="7"/>
  <c r="E2518" i="7" s="1"/>
  <c r="B2518" i="7"/>
  <c r="D2517" i="7"/>
  <c r="B2517" i="7"/>
  <c r="C2517" i="7" s="1"/>
  <c r="D2516" i="7"/>
  <c r="E2516" i="7" s="1"/>
  <c r="B2516" i="7"/>
  <c r="C2516" i="7" s="1"/>
  <c r="D2515" i="7"/>
  <c r="E2515" i="7" s="1"/>
  <c r="C2515" i="7"/>
  <c r="B2515" i="7"/>
  <c r="E2514" i="7"/>
  <c r="D2514" i="7"/>
  <c r="B2514" i="7"/>
  <c r="D2513" i="7"/>
  <c r="B2513" i="7"/>
  <c r="D2512" i="7"/>
  <c r="B2512" i="7"/>
  <c r="C2512" i="7" s="1"/>
  <c r="D2511" i="7"/>
  <c r="E2511" i="7" s="1"/>
  <c r="B2511" i="7"/>
  <c r="C2511" i="7" s="1"/>
  <c r="D2510" i="7"/>
  <c r="C2510" i="7"/>
  <c r="B2510" i="7"/>
  <c r="D2509" i="7"/>
  <c r="E2509" i="7" s="1"/>
  <c r="C2509" i="7"/>
  <c r="B2509" i="7"/>
  <c r="E2508" i="7"/>
  <c r="D2508" i="7"/>
  <c r="B2508" i="7"/>
  <c r="D2507" i="7"/>
  <c r="B2507" i="7"/>
  <c r="D2506" i="7"/>
  <c r="E2506" i="7" s="1"/>
  <c r="B2506" i="7"/>
  <c r="C2506" i="7" s="1"/>
  <c r="D2505" i="7"/>
  <c r="B2505" i="7"/>
  <c r="C2505" i="7" s="1"/>
  <c r="D2504" i="7"/>
  <c r="E2504" i="7" s="1"/>
  <c r="B2504" i="7"/>
  <c r="C2504" i="7" s="1"/>
  <c r="D2503" i="7"/>
  <c r="C2503" i="7"/>
  <c r="B2503" i="7"/>
  <c r="D2502" i="7"/>
  <c r="E2502" i="7" s="1"/>
  <c r="B2502" i="7"/>
  <c r="D2501" i="7"/>
  <c r="B2501" i="7"/>
  <c r="D2500" i="7"/>
  <c r="E2500" i="7" s="1"/>
  <c r="C2500" i="7"/>
  <c r="B2500" i="7"/>
  <c r="D2499" i="7"/>
  <c r="B2499" i="7"/>
  <c r="D2498" i="7"/>
  <c r="B2498" i="7"/>
  <c r="E2497" i="7"/>
  <c r="D2497" i="7"/>
  <c r="B2497" i="7"/>
  <c r="C2497" i="7" s="1"/>
  <c r="D2496" i="7"/>
  <c r="C2496" i="7"/>
  <c r="B2496" i="7"/>
  <c r="D2495" i="7"/>
  <c r="E2495" i="7" s="1"/>
  <c r="C2495" i="7"/>
  <c r="B2495" i="7"/>
  <c r="D2494" i="7"/>
  <c r="B2494" i="7"/>
  <c r="D2493" i="7"/>
  <c r="E2493" i="7" s="1"/>
  <c r="C2493" i="7"/>
  <c r="B2493" i="7"/>
  <c r="D2492" i="7"/>
  <c r="B2492" i="7"/>
  <c r="E2491" i="7"/>
  <c r="D2491" i="7"/>
  <c r="B2491" i="7"/>
  <c r="C2492" i="7" s="1"/>
  <c r="D2490" i="7"/>
  <c r="E2490" i="7" s="1"/>
  <c r="B2490" i="7"/>
  <c r="D2489" i="7"/>
  <c r="B2489" i="7"/>
  <c r="C2489" i="7" s="1"/>
  <c r="D2488" i="7"/>
  <c r="E2488" i="7" s="1"/>
  <c r="C2488" i="7"/>
  <c r="B2488" i="7"/>
  <c r="D2487" i="7"/>
  <c r="C2487" i="7"/>
  <c r="B2487" i="7"/>
  <c r="D2486" i="7"/>
  <c r="B2486" i="7"/>
  <c r="C2486" i="7" s="1"/>
  <c r="D2485" i="7"/>
  <c r="E2485" i="7" s="1"/>
  <c r="B2485" i="7"/>
  <c r="D2484" i="7"/>
  <c r="E2484" i="7" s="1"/>
  <c r="C2484" i="7"/>
  <c r="B2484" i="7"/>
  <c r="E2483" i="7"/>
  <c r="D2483" i="7"/>
  <c r="B2483" i="7"/>
  <c r="D2482" i="7"/>
  <c r="B2482" i="7"/>
  <c r="D2481" i="7"/>
  <c r="E2481" i="7" s="1"/>
  <c r="B2481" i="7"/>
  <c r="C2481" i="7" s="1"/>
  <c r="D2480" i="7"/>
  <c r="C2480" i="7"/>
  <c r="B2480" i="7"/>
  <c r="D2479" i="7"/>
  <c r="E2479" i="7" s="1"/>
  <c r="B2479" i="7"/>
  <c r="D2478" i="7"/>
  <c r="B2478" i="7"/>
  <c r="D2477" i="7"/>
  <c r="E2477" i="7" s="1"/>
  <c r="C2477" i="7"/>
  <c r="B2477" i="7"/>
  <c r="D2476" i="7"/>
  <c r="B2476" i="7"/>
  <c r="E2475" i="7"/>
  <c r="D2475" i="7"/>
  <c r="C2475" i="7"/>
  <c r="B2475" i="7"/>
  <c r="D2474" i="7"/>
  <c r="E2474" i="7" s="1"/>
  <c r="B2474" i="7"/>
  <c r="D2473" i="7"/>
  <c r="B2473" i="7"/>
  <c r="C2473" i="7" s="1"/>
  <c r="D2472" i="7"/>
  <c r="E2472" i="7" s="1"/>
  <c r="C2472" i="7"/>
  <c r="B2472" i="7"/>
  <c r="D2471" i="7"/>
  <c r="E2471" i="7" s="1"/>
  <c r="C2471" i="7"/>
  <c r="B2471" i="7"/>
  <c r="D2470" i="7"/>
  <c r="E2470" i="7" s="1"/>
  <c r="B2470" i="7"/>
  <c r="D2469" i="7"/>
  <c r="E2469" i="7" s="1"/>
  <c r="B2469" i="7"/>
  <c r="C2469" i="7" s="1"/>
  <c r="D2468" i="7"/>
  <c r="E2468" i="7" s="1"/>
  <c r="C2468" i="7"/>
  <c r="B2468" i="7"/>
  <c r="D2467" i="7"/>
  <c r="B2467" i="7"/>
  <c r="D2466" i="7"/>
  <c r="B2466" i="7"/>
  <c r="C2466" i="7" s="1"/>
  <c r="D2465" i="7"/>
  <c r="E2465" i="7" s="1"/>
  <c r="B2465" i="7"/>
  <c r="C2465" i="7" s="1"/>
  <c r="D2464" i="7"/>
  <c r="C2464" i="7"/>
  <c r="B2464" i="7"/>
  <c r="D2463" i="7"/>
  <c r="E2463" i="7" s="1"/>
  <c r="C2463" i="7"/>
  <c r="B2463" i="7"/>
  <c r="D2462" i="7"/>
  <c r="B2462" i="7"/>
  <c r="D2461" i="7"/>
  <c r="E2461" i="7" s="1"/>
  <c r="C2461" i="7"/>
  <c r="B2461" i="7"/>
  <c r="D2460" i="7"/>
  <c r="B2460" i="7"/>
  <c r="C2460" i="7" s="1"/>
  <c r="D2459" i="7"/>
  <c r="B2459" i="7"/>
  <c r="C2459" i="7" s="1"/>
  <c r="D2458" i="7"/>
  <c r="B2458" i="7"/>
  <c r="D2457" i="7"/>
  <c r="B2457" i="7"/>
  <c r="C2457" i="7" s="1"/>
  <c r="D2456" i="7"/>
  <c r="E2456" i="7" s="1"/>
  <c r="C2456" i="7"/>
  <c r="B2456" i="7"/>
  <c r="D2455" i="7"/>
  <c r="B2455" i="7"/>
  <c r="D2454" i="7"/>
  <c r="E2454" i="7" s="1"/>
  <c r="B2454" i="7"/>
  <c r="D2453" i="7"/>
  <c r="E2453" i="7" s="1"/>
  <c r="B2453" i="7"/>
  <c r="D2452" i="7"/>
  <c r="E2452" i="7" s="1"/>
  <c r="C2452" i="7"/>
  <c r="B2452" i="7"/>
  <c r="E2451" i="7"/>
  <c r="D2451" i="7"/>
  <c r="B2451" i="7"/>
  <c r="C2451" i="7" s="1"/>
  <c r="D2450" i="7"/>
  <c r="B2450" i="7"/>
  <c r="C2450" i="7" s="1"/>
  <c r="D2449" i="7"/>
  <c r="E2449" i="7" s="1"/>
  <c r="B2449" i="7"/>
  <c r="C2449" i="7" s="1"/>
  <c r="D2448" i="7"/>
  <c r="C2448" i="7"/>
  <c r="B2448" i="7"/>
  <c r="D2447" i="7"/>
  <c r="E2447" i="7" s="1"/>
  <c r="B2447" i="7"/>
  <c r="D2446" i="7"/>
  <c r="B2446" i="7"/>
  <c r="D2445" i="7"/>
  <c r="E2445" i="7" s="1"/>
  <c r="C2445" i="7"/>
  <c r="B2445" i="7"/>
  <c r="D2444" i="7"/>
  <c r="B2444" i="7"/>
  <c r="E2443" i="7"/>
  <c r="D2443" i="7"/>
  <c r="B2443" i="7"/>
  <c r="C2443" i="7" s="1"/>
  <c r="D2442" i="7"/>
  <c r="E2442" i="7" s="1"/>
  <c r="B2442" i="7"/>
  <c r="D2441" i="7"/>
  <c r="B2441" i="7"/>
  <c r="C2441" i="7" s="1"/>
  <c r="D2440" i="7"/>
  <c r="E2440" i="7" s="1"/>
  <c r="C2440" i="7"/>
  <c r="B2440" i="7"/>
  <c r="D2439" i="7"/>
  <c r="E2439" i="7" s="1"/>
  <c r="B2439" i="7"/>
  <c r="D2438" i="7"/>
  <c r="E2438" i="7" s="1"/>
  <c r="B2438" i="7"/>
  <c r="D2437" i="7"/>
  <c r="E2437" i="7" s="1"/>
  <c r="B2437" i="7"/>
  <c r="C2437" i="7" s="1"/>
  <c r="D2436" i="7"/>
  <c r="E2436" i="7" s="1"/>
  <c r="C2436" i="7"/>
  <c r="B2436" i="7"/>
  <c r="E2435" i="7"/>
  <c r="D2435" i="7"/>
  <c r="B2435" i="7"/>
  <c r="C2435" i="7" s="1"/>
  <c r="D2434" i="7"/>
  <c r="E2434" i="7" s="1"/>
  <c r="C2434" i="7"/>
  <c r="B2434" i="7"/>
  <c r="E2433" i="7"/>
  <c r="D2433" i="7"/>
  <c r="B2433" i="7"/>
  <c r="C2433" i="7" s="1"/>
  <c r="D2432" i="7"/>
  <c r="C2432" i="7"/>
  <c r="B2432" i="7"/>
  <c r="E2431" i="7"/>
  <c r="D2431" i="7"/>
  <c r="C2431" i="7"/>
  <c r="B2431" i="7"/>
  <c r="D2430" i="7"/>
  <c r="B2430" i="7"/>
  <c r="D2429" i="7"/>
  <c r="E2429" i="7" s="1"/>
  <c r="B2429" i="7"/>
  <c r="C2429" i="7" s="1"/>
  <c r="D2428" i="7"/>
  <c r="B2428" i="7"/>
  <c r="D2427" i="7"/>
  <c r="B2427" i="7"/>
  <c r="C2427" i="7" s="1"/>
  <c r="D2426" i="7"/>
  <c r="E2426" i="7" s="1"/>
  <c r="B2426" i="7"/>
  <c r="D2425" i="7"/>
  <c r="E2425" i="7" s="1"/>
  <c r="C2425" i="7"/>
  <c r="B2425" i="7"/>
  <c r="D2424" i="7"/>
  <c r="E2424" i="7" s="1"/>
  <c r="B2424" i="7"/>
  <c r="D2423" i="7"/>
  <c r="E2423" i="7" s="1"/>
  <c r="B2423" i="7"/>
  <c r="D2422" i="7"/>
  <c r="C2422" i="7"/>
  <c r="B2422" i="7"/>
  <c r="D2421" i="7"/>
  <c r="E2421" i="7" s="1"/>
  <c r="B2421" i="7"/>
  <c r="C2421" i="7" s="1"/>
  <c r="D2420" i="7"/>
  <c r="E2420" i="7" s="1"/>
  <c r="C2420" i="7"/>
  <c r="B2420" i="7"/>
  <c r="E2419" i="7"/>
  <c r="D2419" i="7"/>
  <c r="B2419" i="7"/>
  <c r="D2418" i="7"/>
  <c r="B2418" i="7"/>
  <c r="D2417" i="7"/>
  <c r="B2417" i="7"/>
  <c r="C2417" i="7" s="1"/>
  <c r="D2416" i="7"/>
  <c r="E2416" i="7" s="1"/>
  <c r="B2416" i="7"/>
  <c r="C2416" i="7" s="1"/>
  <c r="D2415" i="7"/>
  <c r="C2415" i="7"/>
  <c r="B2415" i="7"/>
  <c r="D2414" i="7"/>
  <c r="E2414" i="7" s="1"/>
  <c r="C2414" i="7"/>
  <c r="B2414" i="7"/>
  <c r="D2413" i="7"/>
  <c r="E2413" i="7" s="1"/>
  <c r="B2413" i="7"/>
  <c r="D2412" i="7"/>
  <c r="B2412" i="7"/>
  <c r="D2411" i="7"/>
  <c r="E2411" i="7" s="1"/>
  <c r="B2411" i="7"/>
  <c r="D2410" i="7"/>
  <c r="B2410" i="7"/>
  <c r="C2410" i="7" s="1"/>
  <c r="D2409" i="7"/>
  <c r="E2409" i="7" s="1"/>
  <c r="B2409" i="7"/>
  <c r="C2409" i="7" s="1"/>
  <c r="D2408" i="7"/>
  <c r="C2408" i="7"/>
  <c r="B2408" i="7"/>
  <c r="D2407" i="7"/>
  <c r="E2407" i="7" s="1"/>
  <c r="B2407" i="7"/>
  <c r="D2406" i="7"/>
  <c r="E2406" i="7" s="1"/>
  <c r="B2406" i="7"/>
  <c r="D2405" i="7"/>
  <c r="C2405" i="7"/>
  <c r="B2405" i="7"/>
  <c r="D2404" i="7"/>
  <c r="E2404" i="7" s="1"/>
  <c r="B2404" i="7"/>
  <c r="D2403" i="7"/>
  <c r="B2403" i="7"/>
  <c r="C2403" i="7" s="1"/>
  <c r="D2402" i="7"/>
  <c r="B2402" i="7"/>
  <c r="D2401" i="7"/>
  <c r="E2401" i="7" s="1"/>
  <c r="B2401" i="7"/>
  <c r="D2400" i="7"/>
  <c r="E2400" i="7" s="1"/>
  <c r="B2400" i="7"/>
  <c r="C2400" i="7" s="1"/>
  <c r="E2399" i="7"/>
  <c r="D2399" i="7"/>
  <c r="B2399" i="7"/>
  <c r="D2398" i="7"/>
  <c r="E2398" i="7" s="1"/>
  <c r="B2398" i="7"/>
  <c r="D2397" i="7"/>
  <c r="E2397" i="7" s="1"/>
  <c r="B2397" i="7"/>
  <c r="C2397" i="7" s="1"/>
  <c r="D2396" i="7"/>
  <c r="C2396" i="7"/>
  <c r="B2396" i="7"/>
  <c r="D2395" i="7"/>
  <c r="E2395" i="7" s="1"/>
  <c r="C2395" i="7"/>
  <c r="B2395" i="7"/>
  <c r="D2394" i="7"/>
  <c r="E2394" i="7" s="1"/>
  <c r="B2394" i="7"/>
  <c r="E2393" i="7"/>
  <c r="D2393" i="7"/>
  <c r="B2393" i="7"/>
  <c r="C2393" i="7" s="1"/>
  <c r="D2392" i="7"/>
  <c r="B2392" i="7"/>
  <c r="D2391" i="7"/>
  <c r="B2391" i="7"/>
  <c r="D2390" i="7"/>
  <c r="E2390" i="7" s="1"/>
  <c r="C2390" i="7"/>
  <c r="B2390" i="7"/>
  <c r="D2389" i="7"/>
  <c r="E2389" i="7" s="1"/>
  <c r="B2389" i="7"/>
  <c r="D2388" i="7"/>
  <c r="E2388" i="7" s="1"/>
  <c r="B2388" i="7"/>
  <c r="C2388" i="7" s="1"/>
  <c r="D2387" i="7"/>
  <c r="B2387" i="7"/>
  <c r="D2386" i="7"/>
  <c r="B2386" i="7"/>
  <c r="D2385" i="7"/>
  <c r="E2385" i="7" s="1"/>
  <c r="B2385" i="7"/>
  <c r="D2384" i="7"/>
  <c r="B2384" i="7"/>
  <c r="C2384" i="7" s="1"/>
  <c r="D2383" i="7"/>
  <c r="E2383" i="7" s="1"/>
  <c r="C2383" i="7"/>
  <c r="B2383" i="7"/>
  <c r="D2382" i="7"/>
  <c r="B2382" i="7"/>
  <c r="E2381" i="7"/>
  <c r="D2381" i="7"/>
  <c r="C2381" i="7"/>
  <c r="B2381" i="7"/>
  <c r="C2382" i="7" s="1"/>
  <c r="D2380" i="7"/>
  <c r="B2380" i="7"/>
  <c r="D2379" i="7"/>
  <c r="B2379" i="7"/>
  <c r="D2378" i="7"/>
  <c r="E2378" i="7" s="1"/>
  <c r="B2378" i="7"/>
  <c r="C2378" i="7" s="1"/>
  <c r="D2377" i="7"/>
  <c r="E2377" i="7" s="1"/>
  <c r="B2377" i="7"/>
  <c r="C2377" i="7" s="1"/>
  <c r="D2376" i="7"/>
  <c r="E2376" i="7" s="1"/>
  <c r="C2376" i="7"/>
  <c r="B2376" i="7"/>
  <c r="D2375" i="7"/>
  <c r="B2375" i="7"/>
  <c r="D2374" i="7"/>
  <c r="B2374" i="7"/>
  <c r="D2373" i="7"/>
  <c r="E2373" i="7" s="1"/>
  <c r="B2373" i="7"/>
  <c r="D2372" i="7"/>
  <c r="E2372" i="7" s="1"/>
  <c r="B2372" i="7"/>
  <c r="E2371" i="7"/>
  <c r="D2371" i="7"/>
  <c r="B2371" i="7"/>
  <c r="C2371" i="7" s="1"/>
  <c r="D2370" i="7"/>
  <c r="B2370" i="7"/>
  <c r="D2369" i="7"/>
  <c r="B2369" i="7"/>
  <c r="D2368" i="7"/>
  <c r="C2368" i="7"/>
  <c r="B2368" i="7"/>
  <c r="D2367" i="7"/>
  <c r="B2367" i="7"/>
  <c r="D2366" i="7"/>
  <c r="B2366" i="7"/>
  <c r="D2365" i="7"/>
  <c r="E2365" i="7" s="1"/>
  <c r="B2365" i="7"/>
  <c r="C2365" i="7" s="1"/>
  <c r="D2364" i="7"/>
  <c r="B2364" i="7"/>
  <c r="C2364" i="7" s="1"/>
  <c r="D2363" i="7"/>
  <c r="C2363" i="7"/>
  <c r="B2363" i="7"/>
  <c r="D2362" i="7"/>
  <c r="E2362" i="7" s="1"/>
  <c r="B2362" i="7"/>
  <c r="C2362" i="7" s="1"/>
  <c r="D2361" i="7"/>
  <c r="E2361" i="7" s="1"/>
  <c r="C2361" i="7"/>
  <c r="B2361" i="7"/>
  <c r="D2360" i="7"/>
  <c r="B2360" i="7"/>
  <c r="D2359" i="7"/>
  <c r="E2359" i="7" s="1"/>
  <c r="B2359" i="7"/>
  <c r="C2360" i="7" s="1"/>
  <c r="D2358" i="7"/>
  <c r="B2358" i="7"/>
  <c r="D2357" i="7"/>
  <c r="B2357" i="7"/>
  <c r="D2356" i="7"/>
  <c r="E2356" i="7" s="1"/>
  <c r="C2356" i="7"/>
  <c r="B2356" i="7"/>
  <c r="D2355" i="7"/>
  <c r="B2355" i="7"/>
  <c r="D2354" i="7"/>
  <c r="B2354" i="7"/>
  <c r="C2355" i="7" s="1"/>
  <c r="D2353" i="7"/>
  <c r="E2353" i="7" s="1"/>
  <c r="B2353" i="7"/>
  <c r="D2352" i="7"/>
  <c r="B2352" i="7"/>
  <c r="C2352" i="7" s="1"/>
  <c r="E2351" i="7"/>
  <c r="D2351" i="7"/>
  <c r="B2351" i="7"/>
  <c r="D2350" i="7"/>
  <c r="C2350" i="7"/>
  <c r="B2350" i="7"/>
  <c r="C2351" i="7" s="1"/>
  <c r="D2349" i="7"/>
  <c r="E2349" i="7" s="1"/>
  <c r="C2349" i="7"/>
  <c r="B2349" i="7"/>
  <c r="D2348" i="7"/>
  <c r="B2348" i="7"/>
  <c r="C2348" i="7" s="1"/>
  <c r="D2347" i="7"/>
  <c r="E2347" i="7" s="1"/>
  <c r="B2347" i="7"/>
  <c r="C2347" i="7" s="1"/>
  <c r="D2346" i="7"/>
  <c r="B2346" i="7"/>
  <c r="D2345" i="7"/>
  <c r="E2345" i="7" s="1"/>
  <c r="B2345" i="7"/>
  <c r="C2345" i="7" s="1"/>
  <c r="D2344" i="7"/>
  <c r="E2344" i="7" s="1"/>
  <c r="C2344" i="7"/>
  <c r="B2344" i="7"/>
  <c r="D2343" i="7"/>
  <c r="B2343" i="7"/>
  <c r="D2342" i="7"/>
  <c r="E2342" i="7" s="1"/>
  <c r="B2342" i="7"/>
  <c r="D2341" i="7"/>
  <c r="B2341" i="7"/>
  <c r="D2340" i="7"/>
  <c r="E2340" i="7" s="1"/>
  <c r="B2340" i="7"/>
  <c r="C2340" i="7" s="1"/>
  <c r="E2339" i="7"/>
  <c r="D2339" i="7"/>
  <c r="B2339" i="7"/>
  <c r="C2339" i="7" s="1"/>
  <c r="D2338" i="7"/>
  <c r="B2338" i="7"/>
  <c r="D2337" i="7"/>
  <c r="E2337" i="7" s="1"/>
  <c r="B2337" i="7"/>
  <c r="D2336" i="7"/>
  <c r="B2336" i="7"/>
  <c r="C2336" i="7" s="1"/>
  <c r="E2335" i="7"/>
  <c r="D2335" i="7"/>
  <c r="C2335" i="7"/>
  <c r="B2335" i="7"/>
  <c r="D2334" i="7"/>
  <c r="B2334" i="7"/>
  <c r="D2333" i="7"/>
  <c r="E2333" i="7" s="1"/>
  <c r="B2333" i="7"/>
  <c r="C2333" i="7" s="1"/>
  <c r="D2332" i="7"/>
  <c r="C2332" i="7"/>
  <c r="B2332" i="7"/>
  <c r="D2331" i="7"/>
  <c r="B2331" i="7"/>
  <c r="D2330" i="7"/>
  <c r="E2330" i="7" s="1"/>
  <c r="B2330" i="7"/>
  <c r="E2329" i="7"/>
  <c r="D2329" i="7"/>
  <c r="B2329" i="7"/>
  <c r="C2329" i="7" s="1"/>
  <c r="D2328" i="7"/>
  <c r="B2328" i="7"/>
  <c r="D2327" i="7"/>
  <c r="E2327" i="7" s="1"/>
  <c r="B2327" i="7"/>
  <c r="C2327" i="7" s="1"/>
  <c r="D2326" i="7"/>
  <c r="C2326" i="7"/>
  <c r="B2326" i="7"/>
  <c r="D2325" i="7"/>
  <c r="E2325" i="7" s="1"/>
  <c r="B2325" i="7"/>
  <c r="C2325" i="7" s="1"/>
  <c r="D2324" i="7"/>
  <c r="E2324" i="7" s="1"/>
  <c r="B2324" i="7"/>
  <c r="C2324" i="7" s="1"/>
  <c r="E2323" i="7"/>
  <c r="D2323" i="7"/>
  <c r="B2323" i="7"/>
  <c r="C2323" i="7" s="1"/>
  <c r="D2322" i="7"/>
  <c r="B2322" i="7"/>
  <c r="C2322" i="7" s="1"/>
  <c r="D2321" i="7"/>
  <c r="B2321" i="7"/>
  <c r="D2320" i="7"/>
  <c r="E2320" i="7" s="1"/>
  <c r="C2320" i="7"/>
  <c r="B2320" i="7"/>
  <c r="D2319" i="7"/>
  <c r="E2319" i="7" s="1"/>
  <c r="B2319" i="7"/>
  <c r="D2318" i="7"/>
  <c r="E2318" i="7" s="1"/>
  <c r="B2318" i="7"/>
  <c r="C2319" i="7" s="1"/>
  <c r="E2317" i="7"/>
  <c r="D2317" i="7"/>
  <c r="B2317" i="7"/>
  <c r="D2316" i="7"/>
  <c r="B2316" i="7"/>
  <c r="C2316" i="7" s="1"/>
  <c r="D2315" i="7"/>
  <c r="E2315" i="7" s="1"/>
  <c r="B2315" i="7"/>
  <c r="D2314" i="7"/>
  <c r="B2314" i="7"/>
  <c r="C2314" i="7" s="1"/>
  <c r="D2313" i="7"/>
  <c r="E2313" i="7" s="1"/>
  <c r="B2313" i="7"/>
  <c r="C2313" i="7" s="1"/>
  <c r="D2312" i="7"/>
  <c r="B2312" i="7"/>
  <c r="E2311" i="7"/>
  <c r="D2311" i="7"/>
  <c r="C2311" i="7"/>
  <c r="B2311" i="7"/>
  <c r="C2312" i="7" s="1"/>
  <c r="D2310" i="7"/>
  <c r="E2310" i="7" s="1"/>
  <c r="B2310" i="7"/>
  <c r="C2310" i="7" s="1"/>
  <c r="D2309" i="7"/>
  <c r="C2309" i="7"/>
  <c r="B2309" i="7"/>
  <c r="D2308" i="7"/>
  <c r="E2308" i="7" s="1"/>
  <c r="C2308" i="7"/>
  <c r="B2308" i="7"/>
  <c r="D2307" i="7"/>
  <c r="B2307" i="7"/>
  <c r="D2306" i="7"/>
  <c r="E2306" i="7" s="1"/>
  <c r="B2306" i="7"/>
  <c r="C2306" i="7" s="1"/>
  <c r="E2305" i="7"/>
  <c r="D2305" i="7"/>
  <c r="B2305" i="7"/>
  <c r="C2305" i="7" s="1"/>
  <c r="D2304" i="7"/>
  <c r="C2304" i="7"/>
  <c r="B2304" i="7"/>
  <c r="D2303" i="7"/>
  <c r="E2303" i="7" s="1"/>
  <c r="C2303" i="7"/>
  <c r="B2303" i="7"/>
  <c r="D2302" i="7"/>
  <c r="B2302" i="7"/>
  <c r="D2301" i="7"/>
  <c r="E2301" i="7" s="1"/>
  <c r="C2301" i="7"/>
  <c r="B2301" i="7"/>
  <c r="D2300" i="7"/>
  <c r="B2300" i="7"/>
  <c r="C2300" i="7" s="1"/>
  <c r="E2299" i="7"/>
  <c r="D2299" i="7"/>
  <c r="B2299" i="7"/>
  <c r="C2299" i="7" s="1"/>
  <c r="D2298" i="7"/>
  <c r="E2298" i="7" s="1"/>
  <c r="B2298" i="7"/>
  <c r="D2297" i="7"/>
  <c r="E2297" i="7" s="1"/>
  <c r="C2297" i="7"/>
  <c r="B2297" i="7"/>
  <c r="D2296" i="7"/>
  <c r="E2296" i="7" s="1"/>
  <c r="B2296" i="7"/>
  <c r="D2295" i="7"/>
  <c r="E2295" i="7" s="1"/>
  <c r="B2295" i="7"/>
  <c r="D2294" i="7"/>
  <c r="B2294" i="7"/>
  <c r="C2294" i="7" s="1"/>
  <c r="D2293" i="7"/>
  <c r="E2293" i="7" s="1"/>
  <c r="B2293" i="7"/>
  <c r="C2293" i="7" s="1"/>
  <c r="D2292" i="7"/>
  <c r="E2292" i="7" s="1"/>
  <c r="C2292" i="7"/>
  <c r="B2292" i="7"/>
  <c r="E2291" i="7"/>
  <c r="D2291" i="7"/>
  <c r="C2291" i="7"/>
  <c r="B2291" i="7"/>
  <c r="D2290" i="7"/>
  <c r="B2290" i="7"/>
  <c r="D2289" i="7"/>
  <c r="B2289" i="7"/>
  <c r="C2289" i="7" s="1"/>
  <c r="D2288" i="7"/>
  <c r="E2288" i="7" s="1"/>
  <c r="B2288" i="7"/>
  <c r="C2288" i="7" s="1"/>
  <c r="D2287" i="7"/>
  <c r="E2287" i="7" s="1"/>
  <c r="C2287" i="7"/>
  <c r="B2287" i="7"/>
  <c r="D2286" i="7"/>
  <c r="E2286" i="7" s="1"/>
  <c r="C2286" i="7"/>
  <c r="B2286" i="7"/>
  <c r="D2285" i="7"/>
  <c r="E2285" i="7" s="1"/>
  <c r="C2285" i="7"/>
  <c r="B2285" i="7"/>
  <c r="D2284" i="7"/>
  <c r="B2284" i="7"/>
  <c r="C2284" i="7" s="1"/>
  <c r="D2283" i="7"/>
  <c r="E2283" i="7" s="1"/>
  <c r="B2283" i="7"/>
  <c r="D2282" i="7"/>
  <c r="B2282" i="7"/>
  <c r="C2282" i="7" s="1"/>
  <c r="E2281" i="7"/>
  <c r="D2281" i="7"/>
  <c r="B2281" i="7"/>
  <c r="C2281" i="7" s="1"/>
  <c r="D2280" i="7"/>
  <c r="C2280" i="7"/>
  <c r="B2280" i="7"/>
  <c r="D2279" i="7"/>
  <c r="E2279" i="7" s="1"/>
  <c r="C2279" i="7"/>
  <c r="B2279" i="7"/>
  <c r="D2278" i="7"/>
  <c r="E2278" i="7" s="1"/>
  <c r="B2278" i="7"/>
  <c r="D2277" i="7"/>
  <c r="C2277" i="7"/>
  <c r="B2277" i="7"/>
  <c r="D2276" i="7"/>
  <c r="E2276" i="7" s="1"/>
  <c r="B2276" i="7"/>
  <c r="C2276" i="7" s="1"/>
  <c r="D2275" i="7"/>
  <c r="B2275" i="7"/>
  <c r="C2275" i="7" s="1"/>
  <c r="D2274" i="7"/>
  <c r="B2274" i="7"/>
  <c r="D2273" i="7"/>
  <c r="E2273" i="7" s="1"/>
  <c r="B2273" i="7"/>
  <c r="D2272" i="7"/>
  <c r="E2272" i="7" s="1"/>
  <c r="B2272" i="7"/>
  <c r="C2272" i="7" s="1"/>
  <c r="D2271" i="7"/>
  <c r="B2271" i="7"/>
  <c r="D2270" i="7"/>
  <c r="B2270" i="7"/>
  <c r="E2269" i="7"/>
  <c r="D2269" i="7"/>
  <c r="B2269" i="7"/>
  <c r="C2269" i="7" s="1"/>
  <c r="D2268" i="7"/>
  <c r="C2268" i="7"/>
  <c r="B2268" i="7"/>
  <c r="D2267" i="7"/>
  <c r="E2267" i="7" s="1"/>
  <c r="C2267" i="7"/>
  <c r="B2267" i="7"/>
  <c r="D2266" i="7"/>
  <c r="E2266" i="7" s="1"/>
  <c r="B2266" i="7"/>
  <c r="D2265" i="7"/>
  <c r="B2265" i="7"/>
  <c r="C2265" i="7" s="1"/>
  <c r="D2264" i="7"/>
  <c r="E2264" i="7" s="1"/>
  <c r="B2264" i="7"/>
  <c r="D2263" i="7"/>
  <c r="B2263" i="7"/>
  <c r="D2262" i="7"/>
  <c r="E2262" i="7" s="1"/>
  <c r="C2262" i="7"/>
  <c r="B2262" i="7"/>
  <c r="D2261" i="7"/>
  <c r="E2261" i="7" s="1"/>
  <c r="B2261" i="7"/>
  <c r="C2261" i="7" s="1"/>
  <c r="D2260" i="7"/>
  <c r="E2260" i="7" s="1"/>
  <c r="B2260" i="7"/>
  <c r="C2260" i="7" s="1"/>
  <c r="D2259" i="7"/>
  <c r="B2259" i="7"/>
  <c r="D2258" i="7"/>
  <c r="E2258" i="7" s="1"/>
  <c r="B2258" i="7"/>
  <c r="D2257" i="7"/>
  <c r="E2257" i="7" s="1"/>
  <c r="B2257" i="7"/>
  <c r="D2256" i="7"/>
  <c r="B2256" i="7"/>
  <c r="C2256" i="7" s="1"/>
  <c r="D2255" i="7"/>
  <c r="E2255" i="7" s="1"/>
  <c r="C2255" i="7"/>
  <c r="B2255" i="7"/>
  <c r="D2254" i="7"/>
  <c r="B2254" i="7"/>
  <c r="E2253" i="7"/>
  <c r="D2253" i="7"/>
  <c r="B2253" i="7"/>
  <c r="C2254" i="7" s="1"/>
  <c r="D2252" i="7"/>
  <c r="B2252" i="7"/>
  <c r="C2252" i="7" s="1"/>
  <c r="D2251" i="7"/>
  <c r="B2251" i="7"/>
  <c r="D2250" i="7"/>
  <c r="E2250" i="7" s="1"/>
  <c r="B2250" i="7"/>
  <c r="D2249" i="7"/>
  <c r="E2249" i="7" s="1"/>
  <c r="B2249" i="7"/>
  <c r="C2249" i="7" s="1"/>
  <c r="D2248" i="7"/>
  <c r="E2248" i="7" s="1"/>
  <c r="C2248" i="7"/>
  <c r="B2248" i="7"/>
  <c r="D2247" i="7"/>
  <c r="B2247" i="7"/>
  <c r="D2246" i="7"/>
  <c r="B2246" i="7"/>
  <c r="D2245" i="7"/>
  <c r="E2245" i="7" s="1"/>
  <c r="C2245" i="7"/>
  <c r="B2245" i="7"/>
  <c r="D2244" i="7"/>
  <c r="E2244" i="7" s="1"/>
  <c r="B2244" i="7"/>
  <c r="E2243" i="7"/>
  <c r="D2243" i="7"/>
  <c r="B2243" i="7"/>
  <c r="C2243" i="7" s="1"/>
  <c r="D2242" i="7"/>
  <c r="B2242" i="7"/>
  <c r="D2241" i="7"/>
  <c r="B2241" i="7"/>
  <c r="D2240" i="7"/>
  <c r="C2240" i="7"/>
  <c r="B2240" i="7"/>
  <c r="D2239" i="7"/>
  <c r="B2239" i="7"/>
  <c r="D2238" i="7"/>
  <c r="B2238" i="7"/>
  <c r="C2239" i="7" s="1"/>
  <c r="D2237" i="7"/>
  <c r="E2237" i="7" s="1"/>
  <c r="B2237" i="7"/>
  <c r="C2237" i="7" s="1"/>
  <c r="D2236" i="7"/>
  <c r="B2236" i="7"/>
  <c r="C2236" i="7" s="1"/>
  <c r="D2235" i="7"/>
  <c r="C2235" i="7"/>
  <c r="B2235" i="7"/>
  <c r="D2234" i="7"/>
  <c r="B2234" i="7"/>
  <c r="C2234" i="7" s="1"/>
  <c r="D2233" i="7"/>
  <c r="E2233" i="7" s="1"/>
  <c r="C2233" i="7"/>
  <c r="B2233" i="7"/>
  <c r="D2232" i="7"/>
  <c r="B2232" i="7"/>
  <c r="D2231" i="7"/>
  <c r="E2231" i="7" s="1"/>
  <c r="C2231" i="7"/>
  <c r="B2231" i="7"/>
  <c r="C2232" i="7" s="1"/>
  <c r="D2230" i="7"/>
  <c r="B2230" i="7"/>
  <c r="D2229" i="7"/>
  <c r="E2229" i="7" s="1"/>
  <c r="B2229" i="7"/>
  <c r="D2228" i="7"/>
  <c r="E2228" i="7" s="1"/>
  <c r="C2228" i="7"/>
  <c r="B2228" i="7"/>
  <c r="D2227" i="7"/>
  <c r="B2227" i="7"/>
  <c r="D2226" i="7"/>
  <c r="B2226" i="7"/>
  <c r="D2225" i="7"/>
  <c r="E2225" i="7" s="1"/>
  <c r="B2225" i="7"/>
  <c r="C2225" i="7" s="1"/>
  <c r="D2224" i="7"/>
  <c r="E2224" i="7" s="1"/>
  <c r="B2224" i="7"/>
  <c r="C2224" i="7" s="1"/>
  <c r="D2223" i="7"/>
  <c r="B2223" i="7"/>
  <c r="D2222" i="7"/>
  <c r="B2222" i="7"/>
  <c r="D2221" i="7"/>
  <c r="E2221" i="7" s="1"/>
  <c r="B2221" i="7"/>
  <c r="C2221" i="7" s="1"/>
  <c r="D2220" i="7"/>
  <c r="C2220" i="7"/>
  <c r="B2220" i="7"/>
  <c r="D2219" i="7"/>
  <c r="E2219" i="7" s="1"/>
  <c r="B2219" i="7"/>
  <c r="D2218" i="7"/>
  <c r="B2218" i="7"/>
  <c r="D2217" i="7"/>
  <c r="E2217" i="7" s="1"/>
  <c r="B2217" i="7"/>
  <c r="C2217" i="7" s="1"/>
  <c r="D2216" i="7"/>
  <c r="B2216" i="7"/>
  <c r="D2215" i="7"/>
  <c r="B2215" i="7"/>
  <c r="D2214" i="7"/>
  <c r="B2214" i="7"/>
  <c r="C2214" i="7" s="1"/>
  <c r="D2213" i="7"/>
  <c r="E2213" i="7" s="1"/>
  <c r="B2213" i="7"/>
  <c r="C2213" i="7" s="1"/>
  <c r="D2212" i="7"/>
  <c r="E2212" i="7" s="1"/>
  <c r="C2212" i="7"/>
  <c r="B2212" i="7"/>
  <c r="D2211" i="7"/>
  <c r="C2211" i="7"/>
  <c r="B2211" i="7"/>
  <c r="D2210" i="7"/>
  <c r="B2210" i="7"/>
  <c r="C2210" i="7" s="1"/>
  <c r="D2209" i="7"/>
  <c r="E2209" i="7" s="1"/>
  <c r="B2209" i="7"/>
  <c r="D2208" i="7"/>
  <c r="E2208" i="7" s="1"/>
  <c r="C2208" i="7"/>
  <c r="B2208" i="7"/>
  <c r="E2207" i="7"/>
  <c r="D2207" i="7"/>
  <c r="B2207" i="7"/>
  <c r="D2206" i="7"/>
  <c r="B2206" i="7"/>
  <c r="D2205" i="7"/>
  <c r="E2205" i="7" s="1"/>
  <c r="B2205" i="7"/>
  <c r="C2205" i="7" s="1"/>
  <c r="D2204" i="7"/>
  <c r="C2204" i="7"/>
  <c r="B2204" i="7"/>
  <c r="D2203" i="7"/>
  <c r="E2203" i="7" s="1"/>
  <c r="B2203" i="7"/>
  <c r="D2202" i="7"/>
  <c r="B2202" i="7"/>
  <c r="D2201" i="7"/>
  <c r="E2201" i="7" s="1"/>
  <c r="B2201" i="7"/>
  <c r="C2201" i="7" s="1"/>
  <c r="D2200" i="7"/>
  <c r="B2200" i="7"/>
  <c r="E2199" i="7"/>
  <c r="D2199" i="7"/>
  <c r="C2199" i="7"/>
  <c r="B2199" i="7"/>
  <c r="C2200" i="7" s="1"/>
  <c r="D2198" i="7"/>
  <c r="B2198" i="7"/>
  <c r="D2197" i="7"/>
  <c r="E2197" i="7" s="1"/>
  <c r="B2197" i="7"/>
  <c r="C2197" i="7" s="1"/>
  <c r="D2196" i="7"/>
  <c r="E2196" i="7" s="1"/>
  <c r="C2196" i="7"/>
  <c r="B2196" i="7"/>
  <c r="D2195" i="7"/>
  <c r="B2195" i="7"/>
  <c r="D2194" i="7"/>
  <c r="B2194" i="7"/>
  <c r="D2193" i="7"/>
  <c r="E2193" i="7" s="1"/>
  <c r="B2193" i="7"/>
  <c r="C2193" i="7" s="1"/>
  <c r="D2192" i="7"/>
  <c r="E2192" i="7" s="1"/>
  <c r="B2192" i="7"/>
  <c r="C2192" i="7" s="1"/>
  <c r="D2191" i="7"/>
  <c r="B2191" i="7"/>
  <c r="D2190" i="7"/>
  <c r="B2190" i="7"/>
  <c r="D2189" i="7"/>
  <c r="E2189" i="7" s="1"/>
  <c r="B2189" i="7"/>
  <c r="C2189" i="7" s="1"/>
  <c r="D2188" i="7"/>
  <c r="C2188" i="7"/>
  <c r="B2188" i="7"/>
  <c r="D2187" i="7"/>
  <c r="E2187" i="7" s="1"/>
  <c r="B2187" i="7"/>
  <c r="D2186" i="7"/>
  <c r="B2186" i="7"/>
  <c r="D2185" i="7"/>
  <c r="E2185" i="7" s="1"/>
  <c r="B2185" i="7"/>
  <c r="C2185" i="7" s="1"/>
  <c r="D2184" i="7"/>
  <c r="B2184" i="7"/>
  <c r="D2183" i="7"/>
  <c r="C2183" i="7"/>
  <c r="B2183" i="7"/>
  <c r="C2184" i="7" s="1"/>
  <c r="D2182" i="7"/>
  <c r="B2182" i="7"/>
  <c r="C2182" i="7" s="1"/>
  <c r="D2181" i="7"/>
  <c r="E2181" i="7" s="1"/>
  <c r="B2181" i="7"/>
  <c r="C2181" i="7" s="1"/>
  <c r="D2180" i="7"/>
  <c r="E2180" i="7" s="1"/>
  <c r="C2180" i="7"/>
  <c r="B2180" i="7"/>
  <c r="D2179" i="7"/>
  <c r="C2179" i="7"/>
  <c r="B2179" i="7"/>
  <c r="D2178" i="7"/>
  <c r="B2178" i="7"/>
  <c r="D2177" i="7"/>
  <c r="E2177" i="7" s="1"/>
  <c r="B2177" i="7"/>
  <c r="D2176" i="7"/>
  <c r="E2176" i="7" s="1"/>
  <c r="B2176" i="7"/>
  <c r="C2176" i="7" s="1"/>
  <c r="E2175" i="7"/>
  <c r="D2175" i="7"/>
  <c r="B2175" i="7"/>
  <c r="D2174" i="7"/>
  <c r="B2174" i="7"/>
  <c r="C2174" i="7" s="1"/>
  <c r="E2173" i="7"/>
  <c r="D2173" i="7"/>
  <c r="B2173" i="7"/>
  <c r="C2173" i="7" s="1"/>
  <c r="D2172" i="7"/>
  <c r="C2172" i="7"/>
  <c r="B2172" i="7"/>
  <c r="D2171" i="7"/>
  <c r="E2171" i="7" s="1"/>
  <c r="B2171" i="7"/>
  <c r="D2170" i="7"/>
  <c r="B2170" i="7"/>
  <c r="D2169" i="7"/>
  <c r="E2169" i="7" s="1"/>
  <c r="B2169" i="7"/>
  <c r="C2169" i="7" s="1"/>
  <c r="D2168" i="7"/>
  <c r="B2168" i="7"/>
  <c r="C2168" i="7" s="1"/>
  <c r="E2167" i="7"/>
  <c r="D2167" i="7"/>
  <c r="C2167" i="7"/>
  <c r="B2167" i="7"/>
  <c r="D2166" i="7"/>
  <c r="B2166" i="7"/>
  <c r="D2165" i="7"/>
  <c r="B2165" i="7"/>
  <c r="C2165" i="7" s="1"/>
  <c r="D2164" i="7"/>
  <c r="E2164" i="7" s="1"/>
  <c r="C2164" i="7"/>
  <c r="B2164" i="7"/>
  <c r="D2163" i="7"/>
  <c r="B2163" i="7"/>
  <c r="D2162" i="7"/>
  <c r="E2162" i="7" s="1"/>
  <c r="B2162" i="7"/>
  <c r="D2161" i="7"/>
  <c r="E2161" i="7" s="1"/>
  <c r="B2161" i="7"/>
  <c r="C2161" i="7" s="1"/>
  <c r="D2160" i="7"/>
  <c r="E2160" i="7" s="1"/>
  <c r="B2160" i="7"/>
  <c r="C2160" i="7" s="1"/>
  <c r="D2159" i="7"/>
  <c r="B2159" i="7"/>
  <c r="D2158" i="7"/>
  <c r="B2158" i="7"/>
  <c r="C2158" i="7" s="1"/>
  <c r="D2157" i="7"/>
  <c r="E2157" i="7" s="1"/>
  <c r="B2157" i="7"/>
  <c r="C2157" i="7" s="1"/>
  <c r="D2156" i="7"/>
  <c r="C2156" i="7"/>
  <c r="B2156" i="7"/>
  <c r="D2155" i="7"/>
  <c r="E2155" i="7" s="1"/>
  <c r="B2155" i="7"/>
  <c r="D2154" i="7"/>
  <c r="B2154" i="7"/>
  <c r="D2153" i="7"/>
  <c r="E2153" i="7" s="1"/>
  <c r="B2153" i="7"/>
  <c r="C2153" i="7" s="1"/>
  <c r="D2152" i="7"/>
  <c r="B2152" i="7"/>
  <c r="D2151" i="7"/>
  <c r="B2151" i="7"/>
  <c r="C2151" i="7" s="1"/>
  <c r="D2150" i="7"/>
  <c r="B2150" i="7"/>
  <c r="C2150" i="7" s="1"/>
  <c r="D2149" i="7"/>
  <c r="E2149" i="7" s="1"/>
  <c r="B2149" i="7"/>
  <c r="C2149" i="7" s="1"/>
  <c r="D2148" i="7"/>
  <c r="E2148" i="7" s="1"/>
  <c r="C2148" i="7"/>
  <c r="B2148" i="7"/>
  <c r="D2147" i="7"/>
  <c r="E2147" i="7" s="1"/>
  <c r="C2147" i="7"/>
  <c r="B2147" i="7"/>
  <c r="D2146" i="7"/>
  <c r="E2146" i="7" s="1"/>
  <c r="B2146" i="7"/>
  <c r="D2145" i="7"/>
  <c r="E2145" i="7" s="1"/>
  <c r="B2145" i="7"/>
  <c r="D2144" i="7"/>
  <c r="E2144" i="7" s="1"/>
  <c r="C2144" i="7"/>
  <c r="B2144" i="7"/>
  <c r="E2143" i="7"/>
  <c r="D2143" i="7"/>
  <c r="B2143" i="7"/>
  <c r="D2142" i="7"/>
  <c r="B2142" i="7"/>
  <c r="C2142" i="7" s="1"/>
  <c r="D2141" i="7"/>
  <c r="E2141" i="7" s="1"/>
  <c r="B2141" i="7"/>
  <c r="C2141" i="7" s="1"/>
  <c r="D2140" i="7"/>
  <c r="C2140" i="7"/>
  <c r="B2140" i="7"/>
  <c r="D2139" i="7"/>
  <c r="E2139" i="7" s="1"/>
  <c r="B2139" i="7"/>
  <c r="D2138" i="7"/>
  <c r="B2138" i="7"/>
  <c r="D2137" i="7"/>
  <c r="E2137" i="7" s="1"/>
  <c r="B2137" i="7"/>
  <c r="C2137" i="7" s="1"/>
  <c r="D2136" i="7"/>
  <c r="B2136" i="7"/>
  <c r="C2136" i="7" s="1"/>
  <c r="E2135" i="7"/>
  <c r="D2135" i="7"/>
  <c r="C2135" i="7"/>
  <c r="B2135" i="7"/>
  <c r="D2134" i="7"/>
  <c r="B2134" i="7"/>
  <c r="D2133" i="7"/>
  <c r="B2133" i="7"/>
  <c r="C2133" i="7" s="1"/>
  <c r="D2132" i="7"/>
  <c r="E2132" i="7" s="1"/>
  <c r="C2132" i="7"/>
  <c r="B2132" i="7"/>
  <c r="D2131" i="7"/>
  <c r="B2131" i="7"/>
  <c r="D2130" i="7"/>
  <c r="E2130" i="7" s="1"/>
  <c r="B2130" i="7"/>
  <c r="D2129" i="7"/>
  <c r="E2129" i="7" s="1"/>
  <c r="B2129" i="7"/>
  <c r="C2129" i="7" s="1"/>
  <c r="D2128" i="7"/>
  <c r="E2128" i="7" s="1"/>
  <c r="B2128" i="7"/>
  <c r="C2128" i="7" s="1"/>
  <c r="D2127" i="7"/>
  <c r="B2127" i="7"/>
  <c r="D2126" i="7"/>
  <c r="B2126" i="7"/>
  <c r="C2126" i="7" s="1"/>
  <c r="D2125" i="7"/>
  <c r="E2125" i="7" s="1"/>
  <c r="B2125" i="7"/>
  <c r="C2125" i="7" s="1"/>
  <c r="D2124" i="7"/>
  <c r="C2124" i="7"/>
  <c r="B2124" i="7"/>
  <c r="D2123" i="7"/>
  <c r="E2123" i="7" s="1"/>
  <c r="B2123" i="7"/>
  <c r="D2122" i="7"/>
  <c r="C2122" i="7"/>
  <c r="B2122" i="7"/>
  <c r="C2123" i="7" s="1"/>
  <c r="D2121" i="7"/>
  <c r="E2121" i="7" s="1"/>
  <c r="B2121" i="7"/>
  <c r="C2121" i="7" s="1"/>
  <c r="D2120" i="7"/>
  <c r="B2120" i="7"/>
  <c r="C2120" i="7" s="1"/>
  <c r="E2119" i="7"/>
  <c r="D2119" i="7"/>
  <c r="C2119" i="7"/>
  <c r="B2119" i="7"/>
  <c r="D2118" i="7"/>
  <c r="E2118" i="7" s="1"/>
  <c r="B2118" i="7"/>
  <c r="D2117" i="7"/>
  <c r="B2117" i="7"/>
  <c r="C2117" i="7" s="1"/>
  <c r="D2116" i="7"/>
  <c r="E2116" i="7" s="1"/>
  <c r="C2116" i="7"/>
  <c r="B2116" i="7"/>
  <c r="D2115" i="7"/>
  <c r="B2115" i="7"/>
  <c r="D2114" i="7"/>
  <c r="B2114" i="7"/>
  <c r="C2114" i="7" s="1"/>
  <c r="D2113" i="7"/>
  <c r="E2113" i="7" s="1"/>
  <c r="C2113" i="7"/>
  <c r="B2113" i="7"/>
  <c r="D2112" i="7"/>
  <c r="E2112" i="7" s="1"/>
  <c r="B2112" i="7"/>
  <c r="E2111" i="7"/>
  <c r="D2111" i="7"/>
  <c r="C2111" i="7"/>
  <c r="B2111" i="7"/>
  <c r="D2110" i="7"/>
  <c r="B2110" i="7"/>
  <c r="D2109" i="7"/>
  <c r="E2109" i="7" s="1"/>
  <c r="B2109" i="7"/>
  <c r="C2109" i="7" s="1"/>
  <c r="D2108" i="7"/>
  <c r="E2108" i="7" s="1"/>
  <c r="C2108" i="7"/>
  <c r="B2108" i="7"/>
  <c r="D2107" i="7"/>
  <c r="E2107" i="7" s="1"/>
  <c r="B2107" i="7"/>
  <c r="D2106" i="7"/>
  <c r="E2106" i="7" s="1"/>
  <c r="C2106" i="7"/>
  <c r="B2106" i="7"/>
  <c r="C2107" i="7" s="1"/>
  <c r="D2105" i="7"/>
  <c r="E2105" i="7" s="1"/>
  <c r="B2105" i="7"/>
  <c r="C2105" i="7" s="1"/>
  <c r="D2104" i="7"/>
  <c r="B2104" i="7"/>
  <c r="C2104" i="7" s="1"/>
  <c r="D2103" i="7"/>
  <c r="B2103" i="7"/>
  <c r="D2102" i="7"/>
  <c r="B2102" i="7"/>
  <c r="C2102" i="7" s="1"/>
  <c r="E2101" i="7"/>
  <c r="D2101" i="7"/>
  <c r="C2101" i="7"/>
  <c r="B2101" i="7"/>
  <c r="D2100" i="7"/>
  <c r="B2100" i="7"/>
  <c r="E2099" i="7"/>
  <c r="D2099" i="7"/>
  <c r="C2099" i="7"/>
  <c r="B2099" i="7"/>
  <c r="C2100" i="7" s="1"/>
  <c r="D2098" i="7"/>
  <c r="B2098" i="7"/>
  <c r="D2097" i="7"/>
  <c r="E2097" i="7" s="1"/>
  <c r="B2097" i="7"/>
  <c r="C2097" i="7" s="1"/>
  <c r="D2096" i="7"/>
  <c r="E2096" i="7" s="1"/>
  <c r="B2096" i="7"/>
  <c r="D2095" i="7"/>
  <c r="B2095" i="7"/>
  <c r="D2094" i="7"/>
  <c r="C2094" i="7"/>
  <c r="B2094" i="7"/>
  <c r="D2093" i="7"/>
  <c r="E2093" i="7" s="1"/>
  <c r="B2093" i="7"/>
  <c r="D2092" i="7"/>
  <c r="B2092" i="7"/>
  <c r="C2092" i="7" s="1"/>
  <c r="D2091" i="7"/>
  <c r="E2091" i="7" s="1"/>
  <c r="B2091" i="7"/>
  <c r="D2090" i="7"/>
  <c r="B2090" i="7"/>
  <c r="C2091" i="7" s="1"/>
  <c r="D2089" i="7"/>
  <c r="E2089" i="7" s="1"/>
  <c r="B2089" i="7"/>
  <c r="D2088" i="7"/>
  <c r="B2088" i="7"/>
  <c r="D2087" i="7"/>
  <c r="E2087" i="7" s="1"/>
  <c r="B2087" i="7"/>
  <c r="C2087" i="7" s="1"/>
  <c r="D2086" i="7"/>
  <c r="B2086" i="7"/>
  <c r="D2085" i="7"/>
  <c r="E2085" i="7" s="1"/>
  <c r="C2085" i="7"/>
  <c r="B2085" i="7"/>
  <c r="D2084" i="7"/>
  <c r="E2084" i="7" s="1"/>
  <c r="B2084" i="7"/>
  <c r="D2083" i="7"/>
  <c r="C2083" i="7"/>
  <c r="B2083" i="7"/>
  <c r="C2084" i="7" s="1"/>
  <c r="D2082" i="7"/>
  <c r="E2082" i="7" s="1"/>
  <c r="B2082" i="7"/>
  <c r="C2082" i="7" s="1"/>
  <c r="D2081" i="7"/>
  <c r="B2081" i="7"/>
  <c r="D2080" i="7"/>
  <c r="E2080" i="7" s="1"/>
  <c r="B2080" i="7"/>
  <c r="C2080" i="7" s="1"/>
  <c r="E2079" i="7"/>
  <c r="D2079" i="7"/>
  <c r="B2079" i="7"/>
  <c r="D2078" i="7"/>
  <c r="B2078" i="7"/>
  <c r="D2077" i="7"/>
  <c r="E2077" i="7" s="1"/>
  <c r="B2077" i="7"/>
  <c r="C2077" i="7" s="1"/>
  <c r="D2076" i="7"/>
  <c r="B2076" i="7"/>
  <c r="C2076" i="7" s="1"/>
  <c r="D2075" i="7"/>
  <c r="C2075" i="7"/>
  <c r="B2075" i="7"/>
  <c r="D2074" i="7"/>
  <c r="E2074" i="7" s="1"/>
  <c r="B2074" i="7"/>
  <c r="C2074" i="7" s="1"/>
  <c r="D2073" i="7"/>
  <c r="E2073" i="7" s="1"/>
  <c r="B2073" i="7"/>
  <c r="C2073" i="7" s="1"/>
  <c r="D2072" i="7"/>
  <c r="C2072" i="7"/>
  <c r="B2072" i="7"/>
  <c r="D2071" i="7"/>
  <c r="E2071" i="7" s="1"/>
  <c r="B2071" i="7"/>
  <c r="D2070" i="7"/>
  <c r="E2070" i="7" s="1"/>
  <c r="B2070" i="7"/>
  <c r="C2070" i="7" s="1"/>
  <c r="D2069" i="7"/>
  <c r="B2069" i="7"/>
  <c r="C2069" i="7" s="1"/>
  <c r="D2068" i="7"/>
  <c r="C2068" i="7"/>
  <c r="B2068" i="7"/>
  <c r="D2067" i="7"/>
  <c r="B2067" i="7"/>
  <c r="D2066" i="7"/>
  <c r="E2066" i="7" s="1"/>
  <c r="C2066" i="7"/>
  <c r="B2066" i="7"/>
  <c r="D2065" i="7"/>
  <c r="E2065" i="7" s="1"/>
  <c r="B2065" i="7"/>
  <c r="C2065" i="7" s="1"/>
  <c r="D2064" i="7"/>
  <c r="E2064" i="7" s="1"/>
  <c r="B2064" i="7"/>
  <c r="C2064" i="7" s="1"/>
  <c r="E2063" i="7"/>
  <c r="D2063" i="7"/>
  <c r="C2063" i="7"/>
  <c r="B2063" i="7"/>
  <c r="D2062" i="7"/>
  <c r="B2062" i="7"/>
  <c r="E2061" i="7"/>
  <c r="D2061" i="7"/>
  <c r="B2061" i="7"/>
  <c r="C2061" i="7" s="1"/>
  <c r="D2060" i="7"/>
  <c r="E2060" i="7" s="1"/>
  <c r="C2060" i="7"/>
  <c r="B2060" i="7"/>
  <c r="D2059" i="7"/>
  <c r="B2059" i="7"/>
  <c r="D2058" i="7"/>
  <c r="E2058" i="7" s="1"/>
  <c r="B2058" i="7"/>
  <c r="E2057" i="7"/>
  <c r="D2057" i="7"/>
  <c r="B2057" i="7"/>
  <c r="D2056" i="7"/>
  <c r="C2056" i="7"/>
  <c r="B2056" i="7"/>
  <c r="D2055" i="7"/>
  <c r="E2055" i="7" s="1"/>
  <c r="B2055" i="7"/>
  <c r="C2055" i="7" s="1"/>
  <c r="D2054" i="7"/>
  <c r="B2054" i="7"/>
  <c r="D2053" i="7"/>
  <c r="E2053" i="7" s="1"/>
  <c r="B2053" i="7"/>
  <c r="C2053" i="7" s="1"/>
  <c r="D2052" i="7"/>
  <c r="B2052" i="7"/>
  <c r="D2051" i="7"/>
  <c r="E2051" i="7" s="1"/>
  <c r="B2051" i="7"/>
  <c r="D2050" i="7"/>
  <c r="B2050" i="7"/>
  <c r="C2050" i="7" s="1"/>
  <c r="D2049" i="7"/>
  <c r="E2049" i="7" s="1"/>
  <c r="B2049" i="7"/>
  <c r="D2048" i="7"/>
  <c r="E2048" i="7" s="1"/>
  <c r="B2048" i="7"/>
  <c r="D2047" i="7"/>
  <c r="C2047" i="7"/>
  <c r="B2047" i="7"/>
  <c r="D2046" i="7"/>
  <c r="B2046" i="7"/>
  <c r="C2046" i="7" s="1"/>
  <c r="D2045" i="7"/>
  <c r="B2045" i="7"/>
  <c r="D2044" i="7"/>
  <c r="B2044" i="7"/>
  <c r="C2044" i="7" s="1"/>
  <c r="D2043" i="7"/>
  <c r="E2043" i="7" s="1"/>
  <c r="B2043" i="7"/>
  <c r="D2042" i="7"/>
  <c r="C2042" i="7"/>
  <c r="B2042" i="7"/>
  <c r="C2043" i="7" s="1"/>
  <c r="E2041" i="7"/>
  <c r="D2041" i="7"/>
  <c r="B2041" i="7"/>
  <c r="C2041" i="7" s="1"/>
  <c r="D2040" i="7"/>
  <c r="B2040" i="7"/>
  <c r="C2040" i="7" s="1"/>
  <c r="D2039" i="7"/>
  <c r="E2039" i="7" s="1"/>
  <c r="C2039" i="7"/>
  <c r="B2039" i="7"/>
  <c r="D2038" i="7"/>
  <c r="B2038" i="7"/>
  <c r="D2037" i="7"/>
  <c r="B2037" i="7"/>
  <c r="C2037" i="7" s="1"/>
  <c r="D2036" i="7"/>
  <c r="E2036" i="7" s="1"/>
  <c r="C2036" i="7"/>
  <c r="B2036" i="7"/>
  <c r="D2035" i="7"/>
  <c r="B2035" i="7"/>
  <c r="C2035" i="7" s="1"/>
  <c r="D2034" i="7"/>
  <c r="B2034" i="7"/>
  <c r="C2034" i="7" s="1"/>
  <c r="D2033" i="7"/>
  <c r="E2033" i="7" s="1"/>
  <c r="B2033" i="7"/>
  <c r="D2032" i="7"/>
  <c r="E2032" i="7" s="1"/>
  <c r="B2032" i="7"/>
  <c r="C2032" i="7" s="1"/>
  <c r="E2031" i="7"/>
  <c r="D2031" i="7"/>
  <c r="C2031" i="7"/>
  <c r="B2031" i="7"/>
  <c r="D2030" i="7"/>
  <c r="B2030" i="7"/>
  <c r="C2030" i="7" s="1"/>
  <c r="D2029" i="7"/>
  <c r="B2029" i="7"/>
  <c r="C2029" i="7" s="1"/>
  <c r="D2028" i="7"/>
  <c r="B2028" i="7"/>
  <c r="C2028" i="7" s="1"/>
  <c r="D2027" i="7"/>
  <c r="E2027" i="7" s="1"/>
  <c r="C2027" i="7"/>
  <c r="B2027" i="7"/>
  <c r="D2026" i="7"/>
  <c r="C2026" i="7"/>
  <c r="B2026" i="7"/>
  <c r="D2025" i="7"/>
  <c r="E2025" i="7" s="1"/>
  <c r="B2025" i="7"/>
  <c r="C2025" i="7" s="1"/>
  <c r="D2024" i="7"/>
  <c r="B2024" i="7"/>
  <c r="D2023" i="7"/>
  <c r="E2023" i="7" s="1"/>
  <c r="C2023" i="7"/>
  <c r="B2023" i="7"/>
  <c r="C2024" i="7" s="1"/>
  <c r="D2022" i="7"/>
  <c r="B2022" i="7"/>
  <c r="C2022" i="7" s="1"/>
  <c r="D2021" i="7"/>
  <c r="B2021" i="7"/>
  <c r="C2021" i="7" s="1"/>
  <c r="D2020" i="7"/>
  <c r="E2020" i="7" s="1"/>
  <c r="C2020" i="7"/>
  <c r="B2020" i="7"/>
  <c r="D2019" i="7"/>
  <c r="E2019" i="7" s="1"/>
  <c r="B2019" i="7"/>
  <c r="D2018" i="7"/>
  <c r="C2018" i="7"/>
  <c r="B2018" i="7"/>
  <c r="C2019" i="7" s="1"/>
  <c r="D2017" i="7"/>
  <c r="E2017" i="7" s="1"/>
  <c r="B2017" i="7"/>
  <c r="C2017" i="7" s="1"/>
  <c r="D2016" i="7"/>
  <c r="E2016" i="7" s="1"/>
  <c r="B2016" i="7"/>
  <c r="C2016" i="7" s="1"/>
  <c r="E2015" i="7"/>
  <c r="D2015" i="7"/>
  <c r="C2015" i="7"/>
  <c r="B2015" i="7"/>
  <c r="D2014" i="7"/>
  <c r="B2014" i="7"/>
  <c r="D2013" i="7"/>
  <c r="B2013" i="7"/>
  <c r="D2012" i="7"/>
  <c r="E2012" i="7" s="1"/>
  <c r="B2012" i="7"/>
  <c r="C2012" i="7" s="1"/>
  <c r="D2011" i="7"/>
  <c r="B2011" i="7"/>
  <c r="D2010" i="7"/>
  <c r="B2010" i="7"/>
  <c r="D2009" i="7"/>
  <c r="E2009" i="7" s="1"/>
  <c r="B2009" i="7"/>
  <c r="D2008" i="7"/>
  <c r="B2008" i="7"/>
  <c r="C2008" i="7" s="1"/>
  <c r="D2007" i="7"/>
  <c r="E2007" i="7" s="1"/>
  <c r="C2007" i="7"/>
  <c r="B2007" i="7"/>
  <c r="D2006" i="7"/>
  <c r="B2006" i="7"/>
  <c r="D2005" i="7"/>
  <c r="B2005" i="7"/>
  <c r="C2005" i="7" s="1"/>
  <c r="D2004" i="7"/>
  <c r="E2004" i="7" s="1"/>
  <c r="B2004" i="7"/>
  <c r="D2003" i="7"/>
  <c r="E2003" i="7" s="1"/>
  <c r="B2003" i="7"/>
  <c r="D2002" i="7"/>
  <c r="E2002" i="7" s="1"/>
  <c r="C2002" i="7"/>
  <c r="B2002" i="7"/>
  <c r="D2001" i="7"/>
  <c r="B2001" i="7"/>
  <c r="C2001" i="7" s="1"/>
  <c r="D2000" i="7"/>
  <c r="E2000" i="7" s="1"/>
  <c r="C2000" i="7"/>
  <c r="B2000" i="7"/>
  <c r="E1999" i="7"/>
  <c r="D1999" i="7"/>
  <c r="B1999" i="7"/>
  <c r="D1998" i="7"/>
  <c r="E1998" i="7" s="1"/>
  <c r="B1998" i="7"/>
  <c r="E1997" i="7"/>
  <c r="D1997" i="7"/>
  <c r="B1997" i="7"/>
  <c r="C1997" i="7" s="1"/>
  <c r="E1996" i="7"/>
  <c r="D1996" i="7"/>
  <c r="B1996" i="7"/>
  <c r="D1995" i="7"/>
  <c r="B1995" i="7"/>
  <c r="C1995" i="7" s="1"/>
  <c r="D1994" i="7"/>
  <c r="B1994" i="7"/>
  <c r="C1994" i="7" s="1"/>
  <c r="D1993" i="7"/>
  <c r="B1993" i="7"/>
  <c r="C1993" i="7" s="1"/>
  <c r="D1992" i="7"/>
  <c r="E1993" i="7" s="1"/>
  <c r="C1992" i="7"/>
  <c r="B1992" i="7"/>
  <c r="D1991" i="7"/>
  <c r="B1991" i="7"/>
  <c r="C1991" i="7" s="1"/>
  <c r="D1990" i="7"/>
  <c r="B1990" i="7"/>
  <c r="C1990" i="7" s="1"/>
  <c r="D1989" i="7"/>
  <c r="B1989" i="7"/>
  <c r="E1988" i="7"/>
  <c r="D1988" i="7"/>
  <c r="E1989" i="7" s="1"/>
  <c r="B1988" i="7"/>
  <c r="C1988" i="7" s="1"/>
  <c r="D1987" i="7"/>
  <c r="B1987" i="7"/>
  <c r="D1986" i="7"/>
  <c r="B1986" i="7"/>
  <c r="C1986" i="7" s="1"/>
  <c r="E1985" i="7"/>
  <c r="D1985" i="7"/>
  <c r="B1985" i="7"/>
  <c r="D1984" i="7"/>
  <c r="E1984" i="7" s="1"/>
  <c r="B1984" i="7"/>
  <c r="E1983" i="7"/>
  <c r="D1983" i="7"/>
  <c r="B1983" i="7"/>
  <c r="D1982" i="7"/>
  <c r="E1982" i="7" s="1"/>
  <c r="B1982" i="7"/>
  <c r="C1982" i="7" s="1"/>
  <c r="E1981" i="7"/>
  <c r="D1981" i="7"/>
  <c r="B1981" i="7"/>
  <c r="C1981" i="7" s="1"/>
  <c r="E1980" i="7"/>
  <c r="D1980" i="7"/>
  <c r="B1980" i="7"/>
  <c r="C1980" i="7" s="1"/>
  <c r="E1979" i="7"/>
  <c r="D1979" i="7"/>
  <c r="B1979" i="7"/>
  <c r="C1979" i="7" s="1"/>
  <c r="D1978" i="7"/>
  <c r="E1978" i="7" s="1"/>
  <c r="B1978" i="7"/>
  <c r="C1978" i="7" s="1"/>
  <c r="D1977" i="7"/>
  <c r="B1977" i="7"/>
  <c r="C1977" i="7" s="1"/>
  <c r="D1976" i="7"/>
  <c r="B1976" i="7"/>
  <c r="D1975" i="7"/>
  <c r="B1975" i="7"/>
  <c r="D1974" i="7"/>
  <c r="C1974" i="7"/>
  <c r="B1974" i="7"/>
  <c r="D1973" i="7"/>
  <c r="B1973" i="7"/>
  <c r="E1972" i="7"/>
  <c r="D1972" i="7"/>
  <c r="E1973" i="7" s="1"/>
  <c r="C1972" i="7"/>
  <c r="B1972" i="7"/>
  <c r="E1971" i="7"/>
  <c r="D1971" i="7"/>
  <c r="B1971" i="7"/>
  <c r="D1970" i="7"/>
  <c r="E1970" i="7" s="1"/>
  <c r="B1970" i="7"/>
  <c r="C1970" i="7" s="1"/>
  <c r="E1969" i="7"/>
  <c r="D1969" i="7"/>
  <c r="B1969" i="7"/>
  <c r="D1968" i="7"/>
  <c r="E1968" i="7" s="1"/>
  <c r="C1968" i="7"/>
  <c r="B1968" i="7"/>
  <c r="E1967" i="7"/>
  <c r="D1967" i="7"/>
  <c r="B1967" i="7"/>
  <c r="D1966" i="7"/>
  <c r="E1966" i="7" s="1"/>
  <c r="B1966" i="7"/>
  <c r="E1965" i="7"/>
  <c r="D1965" i="7"/>
  <c r="B1965" i="7"/>
  <c r="C1965" i="7" s="1"/>
  <c r="E1964" i="7"/>
  <c r="D1964" i="7"/>
  <c r="B1964" i="7"/>
  <c r="D1963" i="7"/>
  <c r="B1963" i="7"/>
  <c r="C1963" i="7" s="1"/>
  <c r="D1962" i="7"/>
  <c r="E1962" i="7" s="1"/>
  <c r="B1962" i="7"/>
  <c r="C1962" i="7" s="1"/>
  <c r="D1961" i="7"/>
  <c r="B1961" i="7"/>
  <c r="C1961" i="7" s="1"/>
  <c r="E1960" i="7"/>
  <c r="D1960" i="7"/>
  <c r="E1961" i="7" s="1"/>
  <c r="C1960" i="7"/>
  <c r="B1960" i="7"/>
  <c r="D1959" i="7"/>
  <c r="B1959" i="7"/>
  <c r="D1958" i="7"/>
  <c r="B1958" i="7"/>
  <c r="C1958" i="7" s="1"/>
  <c r="D1957" i="7"/>
  <c r="B1957" i="7"/>
  <c r="E1956" i="7"/>
  <c r="D1956" i="7"/>
  <c r="E1957" i="7" s="1"/>
  <c r="B1956" i="7"/>
  <c r="C1956" i="7" s="1"/>
  <c r="D1955" i="7"/>
  <c r="B1955" i="7"/>
  <c r="D1954" i="7"/>
  <c r="B1954" i="7"/>
  <c r="C1954" i="7" s="1"/>
  <c r="E1953" i="7"/>
  <c r="D1953" i="7"/>
  <c r="B1953" i="7"/>
  <c r="D1952" i="7"/>
  <c r="E1952" i="7" s="1"/>
  <c r="B1952" i="7"/>
  <c r="E1951" i="7"/>
  <c r="D1951" i="7"/>
  <c r="B1951" i="7"/>
  <c r="C1951" i="7" s="1"/>
  <c r="D1950" i="7"/>
  <c r="E1950" i="7" s="1"/>
  <c r="B1950" i="7"/>
  <c r="E1949" i="7"/>
  <c r="D1949" i="7"/>
  <c r="B1949" i="7"/>
  <c r="C1949" i="7" s="1"/>
  <c r="E1948" i="7"/>
  <c r="D1948" i="7"/>
  <c r="B1948" i="7"/>
  <c r="C1948" i="7" s="1"/>
  <c r="D1947" i="7"/>
  <c r="B1947" i="7"/>
  <c r="C1947" i="7" s="1"/>
  <c r="E1946" i="7"/>
  <c r="D1946" i="7"/>
  <c r="E1947" i="7" s="1"/>
  <c r="B1946" i="7"/>
  <c r="C1946" i="7" s="1"/>
  <c r="D1945" i="7"/>
  <c r="B1945" i="7"/>
  <c r="C1945" i="7" s="1"/>
  <c r="D1944" i="7"/>
  <c r="E1945" i="7" s="1"/>
  <c r="B1944" i="7"/>
  <c r="D1943" i="7"/>
  <c r="B1943" i="7"/>
  <c r="D1942" i="7"/>
  <c r="C1942" i="7"/>
  <c r="B1942" i="7"/>
  <c r="D1941" i="7"/>
  <c r="B1941" i="7"/>
  <c r="E1940" i="7"/>
  <c r="D1940" i="7"/>
  <c r="E1941" i="7" s="1"/>
  <c r="C1940" i="7"/>
  <c r="B1940" i="7"/>
  <c r="E1939" i="7"/>
  <c r="D1939" i="7"/>
  <c r="B1939" i="7"/>
  <c r="D1938" i="7"/>
  <c r="E1938" i="7" s="1"/>
  <c r="B1938" i="7"/>
  <c r="C1938" i="7" s="1"/>
  <c r="E1937" i="7"/>
  <c r="D1937" i="7"/>
  <c r="B1937" i="7"/>
  <c r="D1936" i="7"/>
  <c r="E1936" i="7" s="1"/>
  <c r="B1936" i="7"/>
  <c r="E1935" i="7"/>
  <c r="D1935" i="7"/>
  <c r="B1935" i="7"/>
  <c r="D1934" i="7"/>
  <c r="E1934" i="7" s="1"/>
  <c r="B1934" i="7"/>
  <c r="C1934" i="7" s="1"/>
  <c r="E1933" i="7"/>
  <c r="D1933" i="7"/>
  <c r="B1933" i="7"/>
  <c r="C1933" i="7" s="1"/>
  <c r="E1932" i="7"/>
  <c r="D1932" i="7"/>
  <c r="B1932" i="7"/>
  <c r="E1931" i="7"/>
  <c r="D1931" i="7"/>
  <c r="B1931" i="7"/>
  <c r="C1931" i="7" s="1"/>
  <c r="D1930" i="7"/>
  <c r="E1930" i="7" s="1"/>
  <c r="B1930" i="7"/>
  <c r="C1930" i="7" s="1"/>
  <c r="D1929" i="7"/>
  <c r="B1929" i="7"/>
  <c r="C1929" i="7" s="1"/>
  <c r="E1928" i="7"/>
  <c r="D1928" i="7"/>
  <c r="E1929" i="7" s="1"/>
  <c r="C1928" i="7"/>
  <c r="B1928" i="7"/>
  <c r="D1927" i="7"/>
  <c r="B1927" i="7"/>
  <c r="D1926" i="7"/>
  <c r="B1926" i="7"/>
  <c r="C1926" i="7" s="1"/>
  <c r="D1925" i="7"/>
  <c r="B1925" i="7"/>
  <c r="E1924" i="7"/>
  <c r="D1924" i="7"/>
  <c r="E1925" i="7" s="1"/>
  <c r="B1924" i="7"/>
  <c r="C1924" i="7" s="1"/>
  <c r="D1923" i="7"/>
  <c r="B1923" i="7"/>
  <c r="D1922" i="7"/>
  <c r="B1922" i="7"/>
  <c r="C1922" i="7" s="1"/>
  <c r="E1921" i="7"/>
  <c r="D1921" i="7"/>
  <c r="B1921" i="7"/>
  <c r="D1920" i="7"/>
  <c r="E1920" i="7" s="1"/>
  <c r="C1920" i="7"/>
  <c r="B1920" i="7"/>
  <c r="E1919" i="7"/>
  <c r="D1919" i="7"/>
  <c r="B1919" i="7"/>
  <c r="D1918" i="7"/>
  <c r="E1918" i="7" s="1"/>
  <c r="B1918" i="7"/>
  <c r="C1918" i="7" s="1"/>
  <c r="E1917" i="7"/>
  <c r="D1917" i="7"/>
  <c r="B1917" i="7"/>
  <c r="C1917" i="7" s="1"/>
  <c r="E1916" i="7"/>
  <c r="D1916" i="7"/>
  <c r="B1916" i="7"/>
  <c r="D1915" i="7"/>
  <c r="B1915" i="7"/>
  <c r="C1915" i="7" s="1"/>
  <c r="E1914" i="7"/>
  <c r="D1914" i="7"/>
  <c r="E1915" i="7" s="1"/>
  <c r="B1914" i="7"/>
  <c r="C1914" i="7" s="1"/>
  <c r="D1913" i="7"/>
  <c r="B1913" i="7"/>
  <c r="C1913" i="7" s="1"/>
  <c r="D1912" i="7"/>
  <c r="B1912" i="7"/>
  <c r="D1911" i="7"/>
  <c r="B1911" i="7"/>
  <c r="D1910" i="7"/>
  <c r="B1910" i="7"/>
  <c r="C1910" i="7" s="1"/>
  <c r="D1909" i="7"/>
  <c r="B1909" i="7"/>
  <c r="E1908" i="7"/>
  <c r="D1908" i="7"/>
  <c r="E1909" i="7" s="1"/>
  <c r="C1908" i="7"/>
  <c r="B1908" i="7"/>
  <c r="D1907" i="7"/>
  <c r="B1907" i="7"/>
  <c r="D1906" i="7"/>
  <c r="E1906" i="7" s="1"/>
  <c r="B1906" i="7"/>
  <c r="C1906" i="7" s="1"/>
  <c r="E1905" i="7"/>
  <c r="D1905" i="7"/>
  <c r="B1905" i="7"/>
  <c r="D1904" i="7"/>
  <c r="E1904" i="7" s="1"/>
  <c r="B1904" i="7"/>
  <c r="E1903" i="7"/>
  <c r="D1903" i="7"/>
  <c r="B1903" i="7"/>
  <c r="C1903" i="7" s="1"/>
  <c r="D1902" i="7"/>
  <c r="E1902" i="7" s="1"/>
  <c r="B1902" i="7"/>
  <c r="E1901" i="7"/>
  <c r="D1901" i="7"/>
  <c r="B1901" i="7"/>
  <c r="C1901" i="7" s="1"/>
  <c r="E1900" i="7"/>
  <c r="D1900" i="7"/>
  <c r="B1900" i="7"/>
  <c r="C1900" i="7" s="1"/>
  <c r="E1899" i="7"/>
  <c r="D1899" i="7"/>
  <c r="B1899" i="7"/>
  <c r="C1899" i="7" s="1"/>
  <c r="D1898" i="7"/>
  <c r="E1898" i="7" s="1"/>
  <c r="B1898" i="7"/>
  <c r="C1898" i="7" s="1"/>
  <c r="D1897" i="7"/>
  <c r="B1897" i="7"/>
  <c r="C1897" i="7" s="1"/>
  <c r="E1896" i="7"/>
  <c r="D1896" i="7"/>
  <c r="E1897" i="7" s="1"/>
  <c r="B1896" i="7"/>
  <c r="D1895" i="7"/>
  <c r="B1895" i="7"/>
  <c r="D1894" i="7"/>
  <c r="B1894" i="7"/>
  <c r="C1894" i="7" s="1"/>
  <c r="D1893" i="7"/>
  <c r="B1893" i="7"/>
  <c r="E1892" i="7"/>
  <c r="D1892" i="7"/>
  <c r="E1893" i="7" s="1"/>
  <c r="B1892" i="7"/>
  <c r="C1892" i="7" s="1"/>
  <c r="E1891" i="7"/>
  <c r="D1891" i="7"/>
  <c r="B1891" i="7"/>
  <c r="D1890" i="7"/>
  <c r="E1890" i="7" s="1"/>
  <c r="B1890" i="7"/>
  <c r="C1890" i="7" s="1"/>
  <c r="E1889" i="7"/>
  <c r="D1889" i="7"/>
  <c r="B1889" i="7"/>
  <c r="D1888" i="7"/>
  <c r="E1888" i="7" s="1"/>
  <c r="B1888" i="7"/>
  <c r="E1887" i="7"/>
  <c r="D1887" i="7"/>
  <c r="B1887" i="7"/>
  <c r="C1887" i="7" s="1"/>
  <c r="D1886" i="7"/>
  <c r="E1886" i="7" s="1"/>
  <c r="B1886" i="7"/>
  <c r="C1886" i="7" s="1"/>
  <c r="E1885" i="7"/>
  <c r="D1885" i="7"/>
  <c r="B1885" i="7"/>
  <c r="C1885" i="7" s="1"/>
  <c r="E1884" i="7"/>
  <c r="D1884" i="7"/>
  <c r="B1884" i="7"/>
  <c r="C1884" i="7" s="1"/>
  <c r="E1883" i="7"/>
  <c r="D1883" i="7"/>
  <c r="B1883" i="7"/>
  <c r="C1883" i="7" s="1"/>
  <c r="E1882" i="7"/>
  <c r="D1882" i="7"/>
  <c r="B1882" i="7"/>
  <c r="C1882" i="7" s="1"/>
  <c r="D1881" i="7"/>
  <c r="B1881" i="7"/>
  <c r="C1881" i="7" s="1"/>
  <c r="D1880" i="7"/>
  <c r="C1880" i="7"/>
  <c r="B1880" i="7"/>
  <c r="D1879" i="7"/>
  <c r="B1879" i="7"/>
  <c r="D1878" i="7"/>
  <c r="C1878" i="7"/>
  <c r="B1878" i="7"/>
  <c r="D1877" i="7"/>
  <c r="B1877" i="7"/>
  <c r="E1876" i="7"/>
  <c r="D1876" i="7"/>
  <c r="E1877" i="7" s="1"/>
  <c r="B1876" i="7"/>
  <c r="C1876" i="7" s="1"/>
  <c r="E1875" i="7"/>
  <c r="D1875" i="7"/>
  <c r="B1875" i="7"/>
  <c r="D1874" i="7"/>
  <c r="E1874" i="7" s="1"/>
  <c r="B1874" i="7"/>
  <c r="C1874" i="7" s="1"/>
  <c r="E1873" i="7"/>
  <c r="D1873" i="7"/>
  <c r="B1873" i="7"/>
  <c r="D1872" i="7"/>
  <c r="E1872" i="7" s="1"/>
  <c r="C1872" i="7"/>
  <c r="B1872" i="7"/>
  <c r="E1871" i="7"/>
  <c r="D1871" i="7"/>
  <c r="B1871" i="7"/>
  <c r="D1870" i="7"/>
  <c r="E1870" i="7" s="1"/>
  <c r="B1870" i="7"/>
  <c r="E1869" i="7"/>
  <c r="D1869" i="7"/>
  <c r="B1869" i="7"/>
  <c r="C1869" i="7" s="1"/>
  <c r="E1868" i="7"/>
  <c r="D1868" i="7"/>
  <c r="B1868" i="7"/>
  <c r="D1867" i="7"/>
  <c r="B1867" i="7"/>
  <c r="C1867" i="7" s="1"/>
  <c r="D1866" i="7"/>
  <c r="B1866" i="7"/>
  <c r="C1866" i="7" s="1"/>
  <c r="D1865" i="7"/>
  <c r="B1865" i="7"/>
  <c r="C1865" i="7" s="1"/>
  <c r="D1864" i="7"/>
  <c r="E1865" i="7" s="1"/>
  <c r="C1864" i="7"/>
  <c r="B1864" i="7"/>
  <c r="D1863" i="7"/>
  <c r="B1863" i="7"/>
  <c r="C1863" i="7" s="1"/>
  <c r="D1862" i="7"/>
  <c r="B1862" i="7"/>
  <c r="C1862" i="7" s="1"/>
  <c r="D1861" i="7"/>
  <c r="B1861" i="7"/>
  <c r="E1860" i="7"/>
  <c r="D1860" i="7"/>
  <c r="E1861" i="7" s="1"/>
  <c r="B1860" i="7"/>
  <c r="C1860" i="7" s="1"/>
  <c r="D1859" i="7"/>
  <c r="B1859" i="7"/>
  <c r="D1858" i="7"/>
  <c r="B1858" i="7"/>
  <c r="C1858" i="7" s="1"/>
  <c r="E1857" i="7"/>
  <c r="D1857" i="7"/>
  <c r="B1857" i="7"/>
  <c r="D1856" i="7"/>
  <c r="E1856" i="7" s="1"/>
  <c r="B1856" i="7"/>
  <c r="E1855" i="7"/>
  <c r="D1855" i="7"/>
  <c r="B1855" i="7"/>
  <c r="D1854" i="7"/>
  <c r="E1854" i="7" s="1"/>
  <c r="B1854" i="7"/>
  <c r="C1854" i="7" s="1"/>
  <c r="E1853" i="7"/>
  <c r="D1853" i="7"/>
  <c r="B1853" i="7"/>
  <c r="C1853" i="7" s="1"/>
  <c r="E1852" i="7"/>
  <c r="D1852" i="7"/>
  <c r="B1852" i="7"/>
  <c r="C1852" i="7" s="1"/>
  <c r="E1851" i="7"/>
  <c r="D1851" i="7"/>
  <c r="B1851" i="7"/>
  <c r="C1851" i="7" s="1"/>
  <c r="D1850" i="7"/>
  <c r="E1850" i="7" s="1"/>
  <c r="B1850" i="7"/>
  <c r="C1850" i="7" s="1"/>
  <c r="D1849" i="7"/>
  <c r="B1849" i="7"/>
  <c r="C1849" i="7" s="1"/>
  <c r="D1848" i="7"/>
  <c r="B1848" i="7"/>
  <c r="D1847" i="7"/>
  <c r="B1847" i="7"/>
  <c r="D1846" i="7"/>
  <c r="C1846" i="7"/>
  <c r="B1846" i="7"/>
  <c r="D1845" i="7"/>
  <c r="B1845" i="7"/>
  <c r="E1844" i="7"/>
  <c r="D1844" i="7"/>
  <c r="E1845" i="7" s="1"/>
  <c r="C1844" i="7"/>
  <c r="B1844" i="7"/>
  <c r="E1843" i="7"/>
  <c r="D1843" i="7"/>
  <c r="B1843" i="7"/>
  <c r="D1842" i="7"/>
  <c r="E1842" i="7" s="1"/>
  <c r="B1842" i="7"/>
  <c r="C1842" i="7" s="1"/>
  <c r="E1841" i="7"/>
  <c r="D1841" i="7"/>
  <c r="B1841" i="7"/>
  <c r="D1840" i="7"/>
  <c r="E1840" i="7" s="1"/>
  <c r="C1840" i="7"/>
  <c r="B1840" i="7"/>
  <c r="E1839" i="7"/>
  <c r="D1839" i="7"/>
  <c r="B1839" i="7"/>
  <c r="D1838" i="7"/>
  <c r="E1838" i="7" s="1"/>
  <c r="B1838" i="7"/>
  <c r="E1837" i="7"/>
  <c r="D1837" i="7"/>
  <c r="B1837" i="7"/>
  <c r="C1837" i="7" s="1"/>
  <c r="E1836" i="7"/>
  <c r="D1836" i="7"/>
  <c r="B1836" i="7"/>
  <c r="D1835" i="7"/>
  <c r="B1835" i="7"/>
  <c r="C1835" i="7" s="1"/>
  <c r="D1834" i="7"/>
  <c r="B1834" i="7"/>
  <c r="D1833" i="7"/>
  <c r="B1833" i="7"/>
  <c r="C1833" i="7" s="1"/>
  <c r="E1832" i="7"/>
  <c r="D1832" i="7"/>
  <c r="E1833" i="7" s="1"/>
  <c r="C1832" i="7"/>
  <c r="B1832" i="7"/>
  <c r="D1831" i="7"/>
  <c r="B1831" i="7"/>
  <c r="D1830" i="7"/>
  <c r="E1831" i="7" s="1"/>
  <c r="C1830" i="7"/>
  <c r="B1830" i="7"/>
  <c r="D1829" i="7"/>
  <c r="B1829" i="7"/>
  <c r="E1828" i="7"/>
  <c r="D1828" i="7"/>
  <c r="E1829" i="7" s="1"/>
  <c r="B1828" i="7"/>
  <c r="C1828" i="7" s="1"/>
  <c r="E1827" i="7"/>
  <c r="D1827" i="7"/>
  <c r="B1827" i="7"/>
  <c r="D1826" i="7"/>
  <c r="E1826" i="7" s="1"/>
  <c r="C1826" i="7"/>
  <c r="B1826" i="7"/>
  <c r="E1825" i="7"/>
  <c r="D1825" i="7"/>
  <c r="B1825" i="7"/>
  <c r="D1824" i="7"/>
  <c r="E1824" i="7" s="1"/>
  <c r="C1824" i="7"/>
  <c r="B1824" i="7"/>
  <c r="E1823" i="7"/>
  <c r="D1823" i="7"/>
  <c r="B1823" i="7"/>
  <c r="D1822" i="7"/>
  <c r="E1822" i="7" s="1"/>
  <c r="B1822" i="7"/>
  <c r="C1822" i="7" s="1"/>
  <c r="E1821" i="7"/>
  <c r="D1821" i="7"/>
  <c r="B1821" i="7"/>
  <c r="C1821" i="7" s="1"/>
  <c r="E1820" i="7"/>
  <c r="D1820" i="7"/>
  <c r="B1820" i="7"/>
  <c r="D1819" i="7"/>
  <c r="B1819" i="7"/>
  <c r="C1819" i="7" s="1"/>
  <c r="E1818" i="7"/>
  <c r="D1818" i="7"/>
  <c r="E1819" i="7" s="1"/>
  <c r="B1818" i="7"/>
  <c r="C1818" i="7" s="1"/>
  <c r="D1817" i="7"/>
  <c r="B1817" i="7"/>
  <c r="C1817" i="7" s="1"/>
  <c r="D1816" i="7"/>
  <c r="B1816" i="7"/>
  <c r="D1815" i="7"/>
  <c r="B1815" i="7"/>
  <c r="D1814" i="7"/>
  <c r="E1815" i="7" s="1"/>
  <c r="B1814" i="7"/>
  <c r="C1814" i="7" s="1"/>
  <c r="D1813" i="7"/>
  <c r="B1813" i="7"/>
  <c r="D1812" i="7"/>
  <c r="B1812" i="7"/>
  <c r="C1812" i="7" s="1"/>
  <c r="D1811" i="7"/>
  <c r="B1811" i="7"/>
  <c r="D1810" i="7"/>
  <c r="B1810" i="7"/>
  <c r="C1810" i="7" s="1"/>
  <c r="D1809" i="7"/>
  <c r="B1809" i="7"/>
  <c r="D1808" i="7"/>
  <c r="B1808" i="7"/>
  <c r="C1808" i="7" s="1"/>
  <c r="E1807" i="7"/>
  <c r="D1807" i="7"/>
  <c r="B1807" i="7"/>
  <c r="D1806" i="7"/>
  <c r="E1806" i="7" s="1"/>
  <c r="B1806" i="7"/>
  <c r="C1806" i="7" s="1"/>
  <c r="D1805" i="7"/>
  <c r="B1805" i="7"/>
  <c r="C1805" i="7" s="1"/>
  <c r="D1804" i="7"/>
  <c r="B1804" i="7"/>
  <c r="C1804" i="7" s="1"/>
  <c r="D1803" i="7"/>
  <c r="B1803" i="7"/>
  <c r="D1802" i="7"/>
  <c r="B1802" i="7"/>
  <c r="C1802" i="7" s="1"/>
  <c r="D1801" i="7"/>
  <c r="B1801" i="7"/>
  <c r="D1800" i="7"/>
  <c r="B1800" i="7"/>
  <c r="C1800" i="7" s="1"/>
  <c r="E1799" i="7"/>
  <c r="D1799" i="7"/>
  <c r="B1799" i="7"/>
  <c r="D1798" i="7"/>
  <c r="E1798" i="7" s="1"/>
  <c r="B1798" i="7"/>
  <c r="C1798" i="7" s="1"/>
  <c r="D1797" i="7"/>
  <c r="B1797" i="7"/>
  <c r="C1797" i="7" s="1"/>
  <c r="D1796" i="7"/>
  <c r="B1796" i="7"/>
  <c r="C1796" i="7" s="1"/>
  <c r="D1795" i="7"/>
  <c r="B1795" i="7"/>
  <c r="D1794" i="7"/>
  <c r="B1794" i="7"/>
  <c r="C1794" i="7" s="1"/>
  <c r="D1793" i="7"/>
  <c r="E1793" i="7" s="1"/>
  <c r="B1793" i="7"/>
  <c r="D1792" i="7"/>
  <c r="E1792" i="7" s="1"/>
  <c r="B1792" i="7"/>
  <c r="C1792" i="7" s="1"/>
  <c r="D1791" i="7"/>
  <c r="E1791" i="7" s="1"/>
  <c r="B1791" i="7"/>
  <c r="D1790" i="7"/>
  <c r="B1790" i="7"/>
  <c r="C1790" i="7" s="1"/>
  <c r="D1789" i="7"/>
  <c r="E1789" i="7" s="1"/>
  <c r="B1789" i="7"/>
  <c r="C1789" i="7" s="1"/>
  <c r="D1788" i="7"/>
  <c r="E1788" i="7" s="1"/>
  <c r="B1788" i="7"/>
  <c r="C1788" i="7" s="1"/>
  <c r="D1787" i="7"/>
  <c r="B1787" i="7"/>
  <c r="D1786" i="7"/>
  <c r="E1786" i="7" s="1"/>
  <c r="B1786" i="7"/>
  <c r="C1786" i="7" s="1"/>
  <c r="D1785" i="7"/>
  <c r="B1785" i="7"/>
  <c r="D1784" i="7"/>
  <c r="E1784" i="7" s="1"/>
  <c r="B1784" i="7"/>
  <c r="C1784" i="7" s="1"/>
  <c r="D1783" i="7"/>
  <c r="E1783" i="7" s="1"/>
  <c r="B1783" i="7"/>
  <c r="D1782" i="7"/>
  <c r="B1782" i="7"/>
  <c r="C1782" i="7" s="1"/>
  <c r="D1781" i="7"/>
  <c r="B1781" i="7"/>
  <c r="C1781" i="7" s="1"/>
  <c r="D1780" i="7"/>
  <c r="E1780" i="7" s="1"/>
  <c r="B1780" i="7"/>
  <c r="C1780" i="7" s="1"/>
  <c r="D1779" i="7"/>
  <c r="B1779" i="7"/>
  <c r="D1778" i="7"/>
  <c r="E1778" i="7" s="1"/>
  <c r="B1778" i="7"/>
  <c r="C1778" i="7" s="1"/>
  <c r="D1777" i="7"/>
  <c r="B1777" i="7"/>
  <c r="D1776" i="7"/>
  <c r="E1776" i="7" s="1"/>
  <c r="B1776" i="7"/>
  <c r="C1776" i="7" s="1"/>
  <c r="D1775" i="7"/>
  <c r="E1775" i="7" s="1"/>
  <c r="B1775" i="7"/>
  <c r="D1774" i="7"/>
  <c r="B1774" i="7"/>
  <c r="C1774" i="7" s="1"/>
  <c r="D1773" i="7"/>
  <c r="B1773" i="7"/>
  <c r="C1773" i="7" s="1"/>
  <c r="D1772" i="7"/>
  <c r="E1772" i="7" s="1"/>
  <c r="B1772" i="7"/>
  <c r="C1772" i="7" s="1"/>
  <c r="D1771" i="7"/>
  <c r="B1771" i="7"/>
  <c r="D1770" i="7"/>
  <c r="E1770" i="7" s="1"/>
  <c r="B1770" i="7"/>
  <c r="C1770" i="7" s="1"/>
  <c r="D1769" i="7"/>
  <c r="B1769" i="7"/>
  <c r="D1768" i="7"/>
  <c r="E1768" i="7" s="1"/>
  <c r="B1768" i="7"/>
  <c r="C1768" i="7" s="1"/>
  <c r="D1767" i="7"/>
  <c r="E1767" i="7" s="1"/>
  <c r="B1767" i="7"/>
  <c r="D1766" i="7"/>
  <c r="B1766" i="7"/>
  <c r="C1766" i="7" s="1"/>
  <c r="D1765" i="7"/>
  <c r="B1765" i="7"/>
  <c r="C1765" i="7" s="1"/>
  <c r="D1764" i="7"/>
  <c r="E1764" i="7" s="1"/>
  <c r="B1764" i="7"/>
  <c r="C1764" i="7" s="1"/>
  <c r="D1763" i="7"/>
  <c r="B1763" i="7"/>
  <c r="D1762" i="7"/>
  <c r="E1762" i="7" s="1"/>
  <c r="B1762" i="7"/>
  <c r="C1762" i="7" s="1"/>
  <c r="D1761" i="7"/>
  <c r="B1761" i="7"/>
  <c r="D1760" i="7"/>
  <c r="E1760" i="7" s="1"/>
  <c r="B1760" i="7"/>
  <c r="C1760" i="7" s="1"/>
  <c r="D1759" i="7"/>
  <c r="E1759" i="7" s="1"/>
  <c r="B1759" i="7"/>
  <c r="D1758" i="7"/>
  <c r="B1758" i="7"/>
  <c r="C1758" i="7" s="1"/>
  <c r="D1757" i="7"/>
  <c r="B1757" i="7"/>
  <c r="C1757" i="7" s="1"/>
  <c r="D1756" i="7"/>
  <c r="E1756" i="7" s="1"/>
  <c r="B1756" i="7"/>
  <c r="C1756" i="7" s="1"/>
  <c r="D1755" i="7"/>
  <c r="B1755" i="7"/>
  <c r="D1754" i="7"/>
  <c r="E1754" i="7" s="1"/>
  <c r="B1754" i="7"/>
  <c r="C1754" i="7" s="1"/>
  <c r="D1753" i="7"/>
  <c r="B1753" i="7"/>
  <c r="D1752" i="7"/>
  <c r="E1752" i="7" s="1"/>
  <c r="B1752" i="7"/>
  <c r="C1752" i="7" s="1"/>
  <c r="D1751" i="7"/>
  <c r="E1751" i="7" s="1"/>
  <c r="B1751" i="7"/>
  <c r="D1750" i="7"/>
  <c r="B1750" i="7"/>
  <c r="C1750" i="7" s="1"/>
  <c r="D1749" i="7"/>
  <c r="B1749" i="7"/>
  <c r="C1749" i="7" s="1"/>
  <c r="D1748" i="7"/>
  <c r="E1748" i="7" s="1"/>
  <c r="B1748" i="7"/>
  <c r="C1748" i="7" s="1"/>
  <c r="D1747" i="7"/>
  <c r="B1747" i="7"/>
  <c r="D1746" i="7"/>
  <c r="E1746" i="7" s="1"/>
  <c r="B1746" i="7"/>
  <c r="C1746" i="7" s="1"/>
  <c r="D1745" i="7"/>
  <c r="B1745" i="7"/>
  <c r="D1744" i="7"/>
  <c r="E1744" i="7" s="1"/>
  <c r="B1744" i="7"/>
  <c r="C1744" i="7" s="1"/>
  <c r="D1743" i="7"/>
  <c r="E1743" i="7" s="1"/>
  <c r="B1743" i="7"/>
  <c r="D1742" i="7"/>
  <c r="B1742" i="7"/>
  <c r="C1742" i="7" s="1"/>
  <c r="D1741" i="7"/>
  <c r="B1741" i="7"/>
  <c r="C1741" i="7" s="1"/>
  <c r="D1740" i="7"/>
  <c r="E1740" i="7" s="1"/>
  <c r="B1740" i="7"/>
  <c r="C1740" i="7" s="1"/>
  <c r="D1739" i="7"/>
  <c r="B1739" i="7"/>
  <c r="D1738" i="7"/>
  <c r="E1738" i="7" s="1"/>
  <c r="B1738" i="7"/>
  <c r="C1738" i="7" s="1"/>
  <c r="D1737" i="7"/>
  <c r="B1737" i="7"/>
  <c r="D1736" i="7"/>
  <c r="E1736" i="7" s="1"/>
  <c r="B1736" i="7"/>
  <c r="C1736" i="7" s="1"/>
  <c r="D1735" i="7"/>
  <c r="E1735" i="7" s="1"/>
  <c r="B1735" i="7"/>
  <c r="D1734" i="7"/>
  <c r="B1734" i="7"/>
  <c r="C1734" i="7" s="1"/>
  <c r="D1733" i="7"/>
  <c r="B1733" i="7"/>
  <c r="C1733" i="7" s="1"/>
  <c r="D1732" i="7"/>
  <c r="E1732" i="7" s="1"/>
  <c r="B1732" i="7"/>
  <c r="C1732" i="7" s="1"/>
  <c r="D1731" i="7"/>
  <c r="B1731" i="7"/>
  <c r="D1730" i="7"/>
  <c r="E1730" i="7" s="1"/>
  <c r="B1730" i="7"/>
  <c r="C1730" i="7" s="1"/>
  <c r="D1729" i="7"/>
  <c r="B1729" i="7"/>
  <c r="D1728" i="7"/>
  <c r="E1728" i="7" s="1"/>
  <c r="B1728" i="7"/>
  <c r="C1728" i="7" s="1"/>
  <c r="D1727" i="7"/>
  <c r="E1727" i="7" s="1"/>
  <c r="B1727" i="7"/>
  <c r="D1726" i="7"/>
  <c r="B1726" i="7"/>
  <c r="C1726" i="7" s="1"/>
  <c r="D1725" i="7"/>
  <c r="B1725" i="7"/>
  <c r="C1725" i="7" s="1"/>
  <c r="D1724" i="7"/>
  <c r="E1724" i="7" s="1"/>
  <c r="B1724" i="7"/>
  <c r="C1724" i="7" s="1"/>
  <c r="D1723" i="7"/>
  <c r="B1723" i="7"/>
  <c r="D1722" i="7"/>
  <c r="E1722" i="7" s="1"/>
  <c r="B1722" i="7"/>
  <c r="C1722" i="7" s="1"/>
  <c r="D1721" i="7"/>
  <c r="B1721" i="7"/>
  <c r="D1720" i="7"/>
  <c r="E1720" i="7" s="1"/>
  <c r="B1720" i="7"/>
  <c r="C1720" i="7" s="1"/>
  <c r="D1719" i="7"/>
  <c r="E1719" i="7" s="1"/>
  <c r="B1719" i="7"/>
  <c r="D1718" i="7"/>
  <c r="B1718" i="7"/>
  <c r="C1718" i="7" s="1"/>
  <c r="D1717" i="7"/>
  <c r="B1717" i="7"/>
  <c r="C1717" i="7" s="1"/>
  <c r="D1716" i="7"/>
  <c r="E1716" i="7" s="1"/>
  <c r="B1716" i="7"/>
  <c r="C1716" i="7" s="1"/>
  <c r="D1715" i="7"/>
  <c r="B1715" i="7"/>
  <c r="D1714" i="7"/>
  <c r="E1714" i="7" s="1"/>
  <c r="B1714" i="7"/>
  <c r="C1714" i="7" s="1"/>
  <c r="D1713" i="7"/>
  <c r="B1713" i="7"/>
  <c r="D1712" i="7"/>
  <c r="E1712" i="7" s="1"/>
  <c r="B1712" i="7"/>
  <c r="C1712" i="7" s="1"/>
  <c r="D1711" i="7"/>
  <c r="E1711" i="7" s="1"/>
  <c r="B1711" i="7"/>
  <c r="D1710" i="7"/>
  <c r="B1710" i="7"/>
  <c r="C1710" i="7" s="1"/>
  <c r="D1709" i="7"/>
  <c r="B1709" i="7"/>
  <c r="C1709" i="7" s="1"/>
  <c r="D1708" i="7"/>
  <c r="E1708" i="7" s="1"/>
  <c r="B1708" i="7"/>
  <c r="C1708" i="7" s="1"/>
  <c r="D1707" i="7"/>
  <c r="B1707" i="7"/>
  <c r="D1706" i="7"/>
  <c r="E1706" i="7" s="1"/>
  <c r="B1706" i="7"/>
  <c r="C1706" i="7" s="1"/>
  <c r="D1705" i="7"/>
  <c r="B1705" i="7"/>
  <c r="D1704" i="7"/>
  <c r="E1704" i="7" s="1"/>
  <c r="B1704" i="7"/>
  <c r="C1704" i="7" s="1"/>
  <c r="D1703" i="7"/>
  <c r="E1703" i="7" s="1"/>
  <c r="B1703" i="7"/>
  <c r="D1702" i="7"/>
  <c r="B1702" i="7"/>
  <c r="C1702" i="7" s="1"/>
  <c r="D1701" i="7"/>
  <c r="B1701" i="7"/>
  <c r="C1701" i="7" s="1"/>
  <c r="D1700" i="7"/>
  <c r="E1700" i="7" s="1"/>
  <c r="B1700" i="7"/>
  <c r="C1700" i="7" s="1"/>
  <c r="D1699" i="7"/>
  <c r="B1699" i="7"/>
  <c r="D1698" i="7"/>
  <c r="E1698" i="7" s="1"/>
  <c r="B1698" i="7"/>
  <c r="C1698" i="7" s="1"/>
  <c r="D1697" i="7"/>
  <c r="B1697" i="7"/>
  <c r="D1696" i="7"/>
  <c r="E1696" i="7" s="1"/>
  <c r="B1696" i="7"/>
  <c r="C1696" i="7" s="1"/>
  <c r="D1695" i="7"/>
  <c r="E1695" i="7" s="1"/>
  <c r="B1695" i="7"/>
  <c r="D1694" i="7"/>
  <c r="B1694" i="7"/>
  <c r="C1694" i="7" s="1"/>
  <c r="D1693" i="7"/>
  <c r="B1693" i="7"/>
  <c r="C1693" i="7" s="1"/>
  <c r="D1692" i="7"/>
  <c r="E1692" i="7" s="1"/>
  <c r="B1692" i="7"/>
  <c r="C1692" i="7" s="1"/>
  <c r="D1691" i="7"/>
  <c r="B1691" i="7"/>
  <c r="D1690" i="7"/>
  <c r="E1690" i="7" s="1"/>
  <c r="B1690" i="7"/>
  <c r="C1690" i="7" s="1"/>
  <c r="D1689" i="7"/>
  <c r="B1689" i="7"/>
  <c r="D1688" i="7"/>
  <c r="E1688" i="7" s="1"/>
  <c r="B1688" i="7"/>
  <c r="C1688" i="7" s="1"/>
  <c r="D1687" i="7"/>
  <c r="E1687" i="7" s="1"/>
  <c r="B1687" i="7"/>
  <c r="D1686" i="7"/>
  <c r="B1686" i="7"/>
  <c r="C1686" i="7" s="1"/>
  <c r="D1685" i="7"/>
  <c r="B1685" i="7"/>
  <c r="C1685" i="7" s="1"/>
  <c r="D1684" i="7"/>
  <c r="E1684" i="7" s="1"/>
  <c r="B1684" i="7"/>
  <c r="C1684" i="7" s="1"/>
  <c r="D1683" i="7"/>
  <c r="B1683" i="7"/>
  <c r="D1682" i="7"/>
  <c r="E1682" i="7" s="1"/>
  <c r="B1682" i="7"/>
  <c r="C1682" i="7" s="1"/>
  <c r="D1681" i="7"/>
  <c r="B1681" i="7"/>
  <c r="D1680" i="7"/>
  <c r="E1680" i="7" s="1"/>
  <c r="B1680" i="7"/>
  <c r="C1680" i="7" s="1"/>
  <c r="D1679" i="7"/>
  <c r="E1679" i="7" s="1"/>
  <c r="B1679" i="7"/>
  <c r="D1678" i="7"/>
  <c r="B1678" i="7"/>
  <c r="C1678" i="7" s="1"/>
  <c r="D1677" i="7"/>
  <c r="B1677" i="7"/>
  <c r="C1677" i="7" s="1"/>
  <c r="D1676" i="7"/>
  <c r="E1676" i="7" s="1"/>
  <c r="B1676" i="7"/>
  <c r="C1676" i="7" s="1"/>
  <c r="D1675" i="7"/>
  <c r="B1675" i="7"/>
  <c r="D1674" i="7"/>
  <c r="E1674" i="7" s="1"/>
  <c r="B1674" i="7"/>
  <c r="C1674" i="7" s="1"/>
  <c r="D1673" i="7"/>
  <c r="B1673" i="7"/>
  <c r="D1672" i="7"/>
  <c r="E1672" i="7" s="1"/>
  <c r="B1672" i="7"/>
  <c r="C1672" i="7" s="1"/>
  <c r="D1671" i="7"/>
  <c r="E1671" i="7" s="1"/>
  <c r="B1671" i="7"/>
  <c r="D1670" i="7"/>
  <c r="B1670" i="7"/>
  <c r="C1670" i="7" s="1"/>
  <c r="D1669" i="7"/>
  <c r="B1669" i="7"/>
  <c r="C1669" i="7" s="1"/>
  <c r="D1668" i="7"/>
  <c r="E1668" i="7" s="1"/>
  <c r="B1668" i="7"/>
  <c r="C1668" i="7" s="1"/>
  <c r="D1667" i="7"/>
  <c r="B1667" i="7"/>
  <c r="D1666" i="7"/>
  <c r="E1666" i="7" s="1"/>
  <c r="B1666" i="7"/>
  <c r="C1666" i="7" s="1"/>
  <c r="D1665" i="7"/>
  <c r="B1665" i="7"/>
  <c r="D1664" i="7"/>
  <c r="E1664" i="7" s="1"/>
  <c r="B1664" i="7"/>
  <c r="C1664" i="7" s="1"/>
  <c r="D1663" i="7"/>
  <c r="E1663" i="7" s="1"/>
  <c r="B1663" i="7"/>
  <c r="D1662" i="7"/>
  <c r="B1662" i="7"/>
  <c r="C1662" i="7" s="1"/>
  <c r="D1661" i="7"/>
  <c r="B1661" i="7"/>
  <c r="C1661" i="7" s="1"/>
  <c r="D1660" i="7"/>
  <c r="E1660" i="7" s="1"/>
  <c r="B1660" i="7"/>
  <c r="C1660" i="7" s="1"/>
  <c r="D1659" i="7"/>
  <c r="B1659" i="7"/>
  <c r="D1658" i="7"/>
  <c r="E1658" i="7" s="1"/>
  <c r="B1658" i="7"/>
  <c r="C1658" i="7" s="1"/>
  <c r="D1657" i="7"/>
  <c r="E1657" i="7" s="1"/>
  <c r="B1657" i="7"/>
  <c r="E1656" i="7"/>
  <c r="D1656" i="7"/>
  <c r="C1656" i="7"/>
  <c r="B1656" i="7"/>
  <c r="E1655" i="7"/>
  <c r="D1655" i="7"/>
  <c r="B1655" i="7"/>
  <c r="D1654" i="7"/>
  <c r="E1654" i="7" s="1"/>
  <c r="B1654" i="7"/>
  <c r="C1654" i="7" s="1"/>
  <c r="D1653" i="7"/>
  <c r="E1653" i="7" s="1"/>
  <c r="B1653" i="7"/>
  <c r="D1652" i="7"/>
  <c r="B1652" i="7"/>
  <c r="E1651" i="7"/>
  <c r="D1651" i="7"/>
  <c r="E1652" i="7" s="1"/>
  <c r="B1651" i="7"/>
  <c r="D1650" i="7"/>
  <c r="B1650" i="7"/>
  <c r="C1650" i="7" s="1"/>
  <c r="D1649" i="7"/>
  <c r="E1649" i="7" s="1"/>
  <c r="B1649" i="7"/>
  <c r="C1649" i="7" s="1"/>
  <c r="E1648" i="7"/>
  <c r="D1648" i="7"/>
  <c r="B1648" i="7"/>
  <c r="E1647" i="7"/>
  <c r="D1647" i="7"/>
  <c r="B1647" i="7"/>
  <c r="D1646" i="7"/>
  <c r="B1646" i="7"/>
  <c r="C1646" i="7" s="1"/>
  <c r="D1645" i="7"/>
  <c r="E1645" i="7" s="1"/>
  <c r="B1645" i="7"/>
  <c r="C1645" i="7" s="1"/>
  <c r="E1644" i="7"/>
  <c r="D1644" i="7"/>
  <c r="B1644" i="7"/>
  <c r="D1643" i="7"/>
  <c r="B1643" i="7"/>
  <c r="D1642" i="7"/>
  <c r="B1642" i="7"/>
  <c r="C1642" i="7" s="1"/>
  <c r="D1641" i="7"/>
  <c r="E1641" i="7" s="1"/>
  <c r="B1641" i="7"/>
  <c r="E1640" i="7"/>
  <c r="D1640" i="7"/>
  <c r="C1640" i="7"/>
  <c r="B1640" i="7"/>
  <c r="D1639" i="7"/>
  <c r="B1639" i="7"/>
  <c r="D1638" i="7"/>
  <c r="B1638" i="7"/>
  <c r="C1638" i="7" s="1"/>
  <c r="D1637" i="7"/>
  <c r="E1637" i="7" s="1"/>
  <c r="B1637" i="7"/>
  <c r="D1636" i="7"/>
  <c r="C1636" i="7"/>
  <c r="B1636" i="7"/>
  <c r="E1635" i="7"/>
  <c r="D1635" i="7"/>
  <c r="E1636" i="7" s="1"/>
  <c r="B1635" i="7"/>
  <c r="D1634" i="7"/>
  <c r="B1634" i="7"/>
  <c r="C1634" i="7" s="1"/>
  <c r="D1633" i="7"/>
  <c r="E1633" i="7" s="1"/>
  <c r="B1633" i="7"/>
  <c r="C1633" i="7" s="1"/>
  <c r="E1632" i="7"/>
  <c r="D1632" i="7"/>
  <c r="B1632" i="7"/>
  <c r="D1631" i="7"/>
  <c r="B1631" i="7"/>
  <c r="D1630" i="7"/>
  <c r="B1630" i="7"/>
  <c r="C1630" i="7" s="1"/>
  <c r="D1629" i="7"/>
  <c r="E1629" i="7" s="1"/>
  <c r="B1629" i="7"/>
  <c r="C1629" i="7" s="1"/>
  <c r="E1628" i="7"/>
  <c r="D1628" i="7"/>
  <c r="B1628" i="7"/>
  <c r="D1627" i="7"/>
  <c r="B1627" i="7"/>
  <c r="C1627" i="7" s="1"/>
  <c r="D1626" i="7"/>
  <c r="B1626" i="7"/>
  <c r="C1626" i="7" s="1"/>
  <c r="D1625" i="7"/>
  <c r="E1625" i="7" s="1"/>
  <c r="B1625" i="7"/>
  <c r="E1624" i="7"/>
  <c r="D1624" i="7"/>
  <c r="C1624" i="7"/>
  <c r="B1624" i="7"/>
  <c r="E1623" i="7"/>
  <c r="D1623" i="7"/>
  <c r="B1623" i="7"/>
  <c r="D1622" i="7"/>
  <c r="B1622" i="7"/>
  <c r="C1622" i="7" s="1"/>
  <c r="D1621" i="7"/>
  <c r="E1621" i="7" s="1"/>
  <c r="B1621" i="7"/>
  <c r="D1620" i="7"/>
  <c r="C1620" i="7"/>
  <c r="B1620" i="7"/>
  <c r="E1619" i="7"/>
  <c r="D1619" i="7"/>
  <c r="E1620" i="7" s="1"/>
  <c r="B1619" i="7"/>
  <c r="D1618" i="7"/>
  <c r="B1618" i="7"/>
  <c r="C1618" i="7" s="1"/>
  <c r="D1617" i="7"/>
  <c r="E1617" i="7" s="1"/>
  <c r="B1617" i="7"/>
  <c r="C1617" i="7" s="1"/>
  <c r="E1616" i="7"/>
  <c r="D1616" i="7"/>
  <c r="B1616" i="7"/>
  <c r="D1615" i="7"/>
  <c r="B1615" i="7"/>
  <c r="D1614" i="7"/>
  <c r="E1614" i="7" s="1"/>
  <c r="B1614" i="7"/>
  <c r="C1614" i="7" s="1"/>
  <c r="D1613" i="7"/>
  <c r="E1613" i="7" s="1"/>
  <c r="B1613" i="7"/>
  <c r="C1613" i="7" s="1"/>
  <c r="E1612" i="7"/>
  <c r="D1612" i="7"/>
  <c r="B1612" i="7"/>
  <c r="D1611" i="7"/>
  <c r="B1611" i="7"/>
  <c r="D1610" i="7"/>
  <c r="B1610" i="7"/>
  <c r="C1610" i="7" s="1"/>
  <c r="D1609" i="7"/>
  <c r="E1609" i="7" s="1"/>
  <c r="B1609" i="7"/>
  <c r="E1608" i="7"/>
  <c r="D1608" i="7"/>
  <c r="C1608" i="7"/>
  <c r="B1608" i="7"/>
  <c r="E1607" i="7"/>
  <c r="D1607" i="7"/>
  <c r="B1607" i="7"/>
  <c r="D1606" i="7"/>
  <c r="B1606" i="7"/>
  <c r="C1606" i="7" s="1"/>
  <c r="D1605" i="7"/>
  <c r="E1605" i="7" s="1"/>
  <c r="B1605" i="7"/>
  <c r="D1604" i="7"/>
  <c r="C1604" i="7"/>
  <c r="B1604" i="7"/>
  <c r="E1603" i="7"/>
  <c r="D1603" i="7"/>
  <c r="E1604" i="7" s="1"/>
  <c r="B1603" i="7"/>
  <c r="D1602" i="7"/>
  <c r="B1602" i="7"/>
  <c r="C1602" i="7" s="1"/>
  <c r="D1601" i="7"/>
  <c r="E1601" i="7" s="1"/>
  <c r="B1601" i="7"/>
  <c r="C1601" i="7" s="1"/>
  <c r="E1600" i="7"/>
  <c r="D1600" i="7"/>
  <c r="B1600" i="7"/>
  <c r="D1599" i="7"/>
  <c r="B1599" i="7"/>
  <c r="D1598" i="7"/>
  <c r="B1598" i="7"/>
  <c r="C1598" i="7" s="1"/>
  <c r="D1597" i="7"/>
  <c r="E1597" i="7" s="1"/>
  <c r="B1597" i="7"/>
  <c r="C1597" i="7" s="1"/>
  <c r="E1596" i="7"/>
  <c r="D1596" i="7"/>
  <c r="C1596" i="7"/>
  <c r="B1596" i="7"/>
  <c r="D1595" i="7"/>
  <c r="B1595" i="7"/>
  <c r="C1595" i="7" s="1"/>
  <c r="D1594" i="7"/>
  <c r="B1594" i="7"/>
  <c r="C1594" i="7" s="1"/>
  <c r="D1593" i="7"/>
  <c r="E1593" i="7" s="1"/>
  <c r="B1593" i="7"/>
  <c r="E1592" i="7"/>
  <c r="D1592" i="7"/>
  <c r="C1592" i="7"/>
  <c r="B1592" i="7"/>
  <c r="E1591" i="7"/>
  <c r="D1591" i="7"/>
  <c r="B1591" i="7"/>
  <c r="D1590" i="7"/>
  <c r="B1590" i="7"/>
  <c r="C1590" i="7" s="1"/>
  <c r="D1589" i="7"/>
  <c r="E1589" i="7" s="1"/>
  <c r="B1589" i="7"/>
  <c r="D1588" i="7"/>
  <c r="C1588" i="7"/>
  <c r="B1588" i="7"/>
  <c r="E1587" i="7"/>
  <c r="D1587" i="7"/>
  <c r="E1588" i="7" s="1"/>
  <c r="B1587" i="7"/>
  <c r="D1586" i="7"/>
  <c r="E1586" i="7" s="1"/>
  <c r="B1586" i="7"/>
  <c r="C1586" i="7" s="1"/>
  <c r="D1585" i="7"/>
  <c r="E1585" i="7" s="1"/>
  <c r="B1585" i="7"/>
  <c r="C1585" i="7" s="1"/>
  <c r="E1584" i="7"/>
  <c r="D1584" i="7"/>
  <c r="B1584" i="7"/>
  <c r="E1583" i="7"/>
  <c r="D1583" i="7"/>
  <c r="B1583" i="7"/>
  <c r="D1582" i="7"/>
  <c r="E1582" i="7" s="1"/>
  <c r="B1582" i="7"/>
  <c r="C1582" i="7" s="1"/>
  <c r="D1581" i="7"/>
  <c r="E1581" i="7" s="1"/>
  <c r="B1581" i="7"/>
  <c r="C1581" i="7" s="1"/>
  <c r="E1580" i="7"/>
  <c r="D1580" i="7"/>
  <c r="B1580" i="7"/>
  <c r="D1579" i="7"/>
  <c r="B1579" i="7"/>
  <c r="D1578" i="7"/>
  <c r="B1578" i="7"/>
  <c r="C1578" i="7" s="1"/>
  <c r="D1577" i="7"/>
  <c r="E1577" i="7" s="1"/>
  <c r="B1577" i="7"/>
  <c r="E1576" i="7"/>
  <c r="D1576" i="7"/>
  <c r="C1576" i="7"/>
  <c r="B1576" i="7"/>
  <c r="D1575" i="7"/>
  <c r="B1575" i="7"/>
  <c r="D1574" i="7"/>
  <c r="B1574" i="7"/>
  <c r="C1574" i="7" s="1"/>
  <c r="D1573" i="7"/>
  <c r="E1573" i="7" s="1"/>
  <c r="B1573" i="7"/>
  <c r="D1572" i="7"/>
  <c r="B1572" i="7"/>
  <c r="E1571" i="7"/>
  <c r="D1571" i="7"/>
  <c r="E1572" i="7" s="1"/>
  <c r="B1571" i="7"/>
  <c r="C1571" i="7" s="1"/>
  <c r="D1570" i="7"/>
  <c r="E1570" i="7" s="1"/>
  <c r="B1570" i="7"/>
  <c r="C1570" i="7" s="1"/>
  <c r="D1569" i="7"/>
  <c r="E1569" i="7" s="1"/>
  <c r="B1569" i="7"/>
  <c r="C1569" i="7" s="1"/>
  <c r="E1568" i="7"/>
  <c r="D1568" i="7"/>
  <c r="B1568" i="7"/>
  <c r="D1567" i="7"/>
  <c r="B1567" i="7"/>
  <c r="D1566" i="7"/>
  <c r="B1566" i="7"/>
  <c r="C1566" i="7" s="1"/>
  <c r="D1565" i="7"/>
  <c r="E1565" i="7" s="1"/>
  <c r="B1565" i="7"/>
  <c r="C1565" i="7" s="1"/>
  <c r="E1564" i="7"/>
  <c r="D1564" i="7"/>
  <c r="C1564" i="7"/>
  <c r="B1564" i="7"/>
  <c r="D1563" i="7"/>
  <c r="B1563" i="7"/>
  <c r="D1562" i="7"/>
  <c r="B1562" i="7"/>
  <c r="C1562" i="7" s="1"/>
  <c r="D1561" i="7"/>
  <c r="E1561" i="7" s="1"/>
  <c r="B1561" i="7"/>
  <c r="E1560" i="7"/>
  <c r="D1560" i="7"/>
  <c r="C1560" i="7"/>
  <c r="B1560" i="7"/>
  <c r="D1559" i="7"/>
  <c r="B1559" i="7"/>
  <c r="D1558" i="7"/>
  <c r="E1558" i="7" s="1"/>
  <c r="B1558" i="7"/>
  <c r="C1558" i="7" s="1"/>
  <c r="D1557" i="7"/>
  <c r="E1557" i="7" s="1"/>
  <c r="B1557" i="7"/>
  <c r="D1556" i="7"/>
  <c r="B1556" i="7"/>
  <c r="E1555" i="7"/>
  <c r="D1555" i="7"/>
  <c r="E1556" i="7" s="1"/>
  <c r="B1555" i="7"/>
  <c r="D1554" i="7"/>
  <c r="E1554" i="7" s="1"/>
  <c r="B1554" i="7"/>
  <c r="C1554" i="7" s="1"/>
  <c r="D1553" i="7"/>
  <c r="E1553" i="7" s="1"/>
  <c r="B1553" i="7"/>
  <c r="C1553" i="7" s="1"/>
  <c r="E1552" i="7"/>
  <c r="D1552" i="7"/>
  <c r="B1552" i="7"/>
  <c r="E1551" i="7"/>
  <c r="D1551" i="7"/>
  <c r="B1551" i="7"/>
  <c r="D1550" i="7"/>
  <c r="E1550" i="7" s="1"/>
  <c r="B1550" i="7"/>
  <c r="C1550" i="7" s="1"/>
  <c r="D1549" i="7"/>
  <c r="E1549" i="7" s="1"/>
  <c r="B1549" i="7"/>
  <c r="C1549" i="7" s="1"/>
  <c r="E1548" i="7"/>
  <c r="D1548" i="7"/>
  <c r="C1548" i="7"/>
  <c r="B1548" i="7"/>
  <c r="D1547" i="7"/>
  <c r="B1547" i="7"/>
  <c r="D1546" i="7"/>
  <c r="B1546" i="7"/>
  <c r="C1546" i="7" s="1"/>
  <c r="D1545" i="7"/>
  <c r="E1545" i="7" s="1"/>
  <c r="B1545" i="7"/>
  <c r="E1544" i="7"/>
  <c r="D1544" i="7"/>
  <c r="B1544" i="7"/>
  <c r="C1544" i="7" s="1"/>
  <c r="D1543" i="7"/>
  <c r="B1543" i="7"/>
  <c r="D1542" i="7"/>
  <c r="B1542" i="7"/>
  <c r="C1542" i="7" s="1"/>
  <c r="E1541" i="7"/>
  <c r="D1541" i="7"/>
  <c r="B1541" i="7"/>
  <c r="D1540" i="7"/>
  <c r="C1540" i="7"/>
  <c r="B1540" i="7"/>
  <c r="E1539" i="7"/>
  <c r="D1539" i="7"/>
  <c r="E1540" i="7" s="1"/>
  <c r="B1539" i="7"/>
  <c r="D1538" i="7"/>
  <c r="B1538" i="7"/>
  <c r="D1537" i="7"/>
  <c r="E1537" i="7" s="1"/>
  <c r="B1537" i="7"/>
  <c r="C1537" i="7" s="1"/>
  <c r="E1536" i="7"/>
  <c r="D1536" i="7"/>
  <c r="B1536" i="7"/>
  <c r="D1535" i="7"/>
  <c r="B1535" i="7"/>
  <c r="D1534" i="7"/>
  <c r="B1534" i="7"/>
  <c r="C1534" i="7" s="1"/>
  <c r="D1533" i="7"/>
  <c r="E1533" i="7" s="1"/>
  <c r="B1533" i="7"/>
  <c r="C1533" i="7" s="1"/>
  <c r="E1532" i="7"/>
  <c r="D1532" i="7"/>
  <c r="C1532" i="7"/>
  <c r="B1532" i="7"/>
  <c r="D1531" i="7"/>
  <c r="B1531" i="7"/>
  <c r="C1531" i="7" s="1"/>
  <c r="E1530" i="7"/>
  <c r="D1530" i="7"/>
  <c r="E1531" i="7" s="1"/>
  <c r="C1530" i="7"/>
  <c r="B1530" i="7"/>
  <c r="D1529" i="7"/>
  <c r="E1529" i="7" s="1"/>
  <c r="B1529" i="7"/>
  <c r="E1528" i="7"/>
  <c r="D1528" i="7"/>
  <c r="C1528" i="7"/>
  <c r="B1528" i="7"/>
  <c r="D1527" i="7"/>
  <c r="B1527" i="7"/>
  <c r="D1526" i="7"/>
  <c r="E1526" i="7" s="1"/>
  <c r="C1526" i="7"/>
  <c r="B1526" i="7"/>
  <c r="E1525" i="7"/>
  <c r="D1525" i="7"/>
  <c r="B1525" i="7"/>
  <c r="D1524" i="7"/>
  <c r="B1524" i="7"/>
  <c r="E1523" i="7"/>
  <c r="D1523" i="7"/>
  <c r="E1524" i="7" s="1"/>
  <c r="B1523" i="7"/>
  <c r="C1523" i="7" s="1"/>
  <c r="D1522" i="7"/>
  <c r="B1522" i="7"/>
  <c r="D1521" i="7"/>
  <c r="E1521" i="7" s="1"/>
  <c r="B1521" i="7"/>
  <c r="C1521" i="7" s="1"/>
  <c r="E1520" i="7"/>
  <c r="D1520" i="7"/>
  <c r="B1520" i="7"/>
  <c r="D1519" i="7"/>
  <c r="E1519" i="7" s="1"/>
  <c r="B1519" i="7"/>
  <c r="D1518" i="7"/>
  <c r="E1518" i="7" s="1"/>
  <c r="B1518" i="7"/>
  <c r="D1517" i="7"/>
  <c r="E1517" i="7" s="1"/>
  <c r="B1517" i="7"/>
  <c r="C1517" i="7" s="1"/>
  <c r="D1516" i="7"/>
  <c r="E1516" i="7" s="1"/>
  <c r="B1516" i="7"/>
  <c r="D1515" i="7"/>
  <c r="B1515" i="7"/>
  <c r="D1514" i="7"/>
  <c r="B1514" i="7"/>
  <c r="C1514" i="7" s="1"/>
  <c r="D1513" i="7"/>
  <c r="B1513" i="7"/>
  <c r="D1512" i="7"/>
  <c r="E1512" i="7" s="1"/>
  <c r="B1512" i="7"/>
  <c r="C1512" i="7" s="1"/>
  <c r="D1511" i="7"/>
  <c r="B1511" i="7"/>
  <c r="D1510" i="7"/>
  <c r="B1510" i="7"/>
  <c r="C1510" i="7" s="1"/>
  <c r="D1509" i="7"/>
  <c r="E1509" i="7" s="1"/>
  <c r="B1509" i="7"/>
  <c r="D1508" i="7"/>
  <c r="B1508" i="7"/>
  <c r="C1508" i="7" s="1"/>
  <c r="D1507" i="7"/>
  <c r="B1507" i="7"/>
  <c r="C1507" i="7" s="1"/>
  <c r="D1506" i="7"/>
  <c r="E1506" i="7" s="1"/>
  <c r="B1506" i="7"/>
  <c r="E1505" i="7"/>
  <c r="D1505" i="7"/>
  <c r="B1505" i="7"/>
  <c r="C1505" i="7" s="1"/>
  <c r="E1504" i="7"/>
  <c r="D1504" i="7"/>
  <c r="B1504" i="7"/>
  <c r="E1503" i="7"/>
  <c r="D1503" i="7"/>
  <c r="B1503" i="7"/>
  <c r="D1502" i="7"/>
  <c r="B1502" i="7"/>
  <c r="C1502" i="7" s="1"/>
  <c r="D1501" i="7"/>
  <c r="E1501" i="7" s="1"/>
  <c r="B1501" i="7"/>
  <c r="C1501" i="7" s="1"/>
  <c r="E1500" i="7"/>
  <c r="D1500" i="7"/>
  <c r="B1500" i="7"/>
  <c r="D1499" i="7"/>
  <c r="B1499" i="7"/>
  <c r="C1499" i="7" s="1"/>
  <c r="E1498" i="7"/>
  <c r="D1498" i="7"/>
  <c r="E1499" i="7" s="1"/>
  <c r="C1498" i="7"/>
  <c r="B1498" i="7"/>
  <c r="D1497" i="7"/>
  <c r="B1497" i="7"/>
  <c r="D1496" i="7"/>
  <c r="E1496" i="7" s="1"/>
  <c r="C1496" i="7"/>
  <c r="B1496" i="7"/>
  <c r="E1495" i="7"/>
  <c r="D1495" i="7"/>
  <c r="B1495" i="7"/>
  <c r="D1494" i="7"/>
  <c r="B1494" i="7"/>
  <c r="C1494" i="7" s="1"/>
  <c r="E1493" i="7"/>
  <c r="D1493" i="7"/>
  <c r="B1493" i="7"/>
  <c r="D1492" i="7"/>
  <c r="B1492" i="7"/>
  <c r="D1491" i="7"/>
  <c r="E1492" i="7" s="1"/>
  <c r="B1491" i="7"/>
  <c r="D1490" i="7"/>
  <c r="E1490" i="7" s="1"/>
  <c r="B1490" i="7"/>
  <c r="C1490" i="7" s="1"/>
  <c r="D1489" i="7"/>
  <c r="E1489" i="7" s="1"/>
  <c r="B1489" i="7"/>
  <c r="C1489" i="7" s="1"/>
  <c r="D1488" i="7"/>
  <c r="B1488" i="7"/>
  <c r="D1487" i="7"/>
  <c r="B1487" i="7"/>
  <c r="D1486" i="7"/>
  <c r="B1486" i="7"/>
  <c r="D1485" i="7"/>
  <c r="B1485" i="7"/>
  <c r="C1485" i="7" s="1"/>
  <c r="D1484" i="7"/>
  <c r="E1484" i="7" s="1"/>
  <c r="B1484" i="7"/>
  <c r="D1483" i="7"/>
  <c r="B1483" i="7"/>
  <c r="D1482" i="7"/>
  <c r="B1482" i="7"/>
  <c r="C1482" i="7" s="1"/>
  <c r="D1481" i="7"/>
  <c r="B1481" i="7"/>
  <c r="D1480" i="7"/>
  <c r="E1480" i="7" s="1"/>
  <c r="B1480" i="7"/>
  <c r="C1480" i="7" s="1"/>
  <c r="E1479" i="7"/>
  <c r="D1479" i="7"/>
  <c r="B1479" i="7"/>
  <c r="D1478" i="7"/>
  <c r="B1478" i="7"/>
  <c r="C1478" i="7" s="1"/>
  <c r="D1477" i="7"/>
  <c r="E1477" i="7" s="1"/>
  <c r="B1477" i="7"/>
  <c r="D1476" i="7"/>
  <c r="B1476" i="7"/>
  <c r="C1476" i="7" s="1"/>
  <c r="D1475" i="7"/>
  <c r="E1476" i="7" s="1"/>
  <c r="B1475" i="7"/>
  <c r="C1475" i="7" s="1"/>
  <c r="D1474" i="7"/>
  <c r="E1474" i="7" s="1"/>
  <c r="B1474" i="7"/>
  <c r="C1474" i="7" s="1"/>
  <c r="E1473" i="7"/>
  <c r="D1473" i="7"/>
  <c r="B1473" i="7"/>
  <c r="C1473" i="7" s="1"/>
  <c r="D1472" i="7"/>
  <c r="B1472" i="7"/>
  <c r="E1471" i="7"/>
  <c r="D1471" i="7"/>
  <c r="E1472" i="7" s="1"/>
  <c r="B1471" i="7"/>
  <c r="D1470" i="7"/>
  <c r="E1470" i="7" s="1"/>
  <c r="B1470" i="7"/>
  <c r="D1469" i="7"/>
  <c r="E1469" i="7" s="1"/>
  <c r="B1469" i="7"/>
  <c r="C1469" i="7" s="1"/>
  <c r="E1468" i="7"/>
  <c r="D1468" i="7"/>
  <c r="C1468" i="7"/>
  <c r="B1468" i="7"/>
  <c r="D1467" i="7"/>
  <c r="B1467" i="7"/>
  <c r="D1466" i="7"/>
  <c r="E1467" i="7" s="1"/>
  <c r="C1466" i="7"/>
  <c r="B1466" i="7"/>
  <c r="D1465" i="7"/>
  <c r="E1465" i="7" s="1"/>
  <c r="B1465" i="7"/>
  <c r="E1464" i="7"/>
  <c r="D1464" i="7"/>
  <c r="B1464" i="7"/>
  <c r="C1464" i="7" s="1"/>
  <c r="E1463" i="7"/>
  <c r="D1463" i="7"/>
  <c r="B1463" i="7"/>
  <c r="D1462" i="7"/>
  <c r="C1462" i="7"/>
  <c r="B1462" i="7"/>
  <c r="D1461" i="7"/>
  <c r="E1461" i="7" s="1"/>
  <c r="B1461" i="7"/>
  <c r="D1460" i="7"/>
  <c r="C1460" i="7"/>
  <c r="B1460" i="7"/>
  <c r="E1459" i="7"/>
  <c r="D1459" i="7"/>
  <c r="E1460" i="7" s="1"/>
  <c r="B1459" i="7"/>
  <c r="D1458" i="7"/>
  <c r="B1458" i="7"/>
  <c r="C1458" i="7" s="1"/>
  <c r="D1457" i="7"/>
  <c r="E1457" i="7" s="1"/>
  <c r="B1457" i="7"/>
  <c r="C1457" i="7" s="1"/>
  <c r="D1456" i="7"/>
  <c r="B1456" i="7"/>
  <c r="D1455" i="7"/>
  <c r="B1455" i="7"/>
  <c r="E1454" i="7"/>
  <c r="D1454" i="7"/>
  <c r="B1454" i="7"/>
  <c r="D1453" i="7"/>
  <c r="B1453" i="7"/>
  <c r="C1453" i="7" s="1"/>
  <c r="D1452" i="7"/>
  <c r="E1452" i="7" s="1"/>
  <c r="C1452" i="7"/>
  <c r="B1452" i="7"/>
  <c r="D1451" i="7"/>
  <c r="B1451" i="7"/>
  <c r="D1450" i="7"/>
  <c r="E1451" i="7" s="1"/>
  <c r="B1450" i="7"/>
  <c r="C1450" i="7" s="1"/>
  <c r="D1449" i="7"/>
  <c r="E1449" i="7" s="1"/>
  <c r="B1449" i="7"/>
  <c r="D1448" i="7"/>
  <c r="E1448" i="7" s="1"/>
  <c r="B1448" i="7"/>
  <c r="C1448" i="7" s="1"/>
  <c r="D1447" i="7"/>
  <c r="B1447" i="7"/>
  <c r="D1446" i="7"/>
  <c r="B1446" i="7"/>
  <c r="C1446" i="7" s="1"/>
  <c r="D1445" i="7"/>
  <c r="E1445" i="7" s="1"/>
  <c r="B1445" i="7"/>
  <c r="D1444" i="7"/>
  <c r="B1444" i="7"/>
  <c r="C1444" i="7" s="1"/>
  <c r="D1443" i="7"/>
  <c r="E1444" i="7" s="1"/>
  <c r="B1443" i="7"/>
  <c r="D1442" i="7"/>
  <c r="E1442" i="7" s="1"/>
  <c r="B1442" i="7"/>
  <c r="E1441" i="7"/>
  <c r="D1441" i="7"/>
  <c r="B1441" i="7"/>
  <c r="C1441" i="7" s="1"/>
  <c r="D1440" i="7"/>
  <c r="B1440" i="7"/>
  <c r="D1439" i="7"/>
  <c r="E1440" i="7" s="1"/>
  <c r="B1439" i="7"/>
  <c r="D1438" i="7"/>
  <c r="E1438" i="7" s="1"/>
  <c r="B1438" i="7"/>
  <c r="D1437" i="7"/>
  <c r="B1437" i="7"/>
  <c r="C1437" i="7" s="1"/>
  <c r="D1436" i="7"/>
  <c r="E1436" i="7" s="1"/>
  <c r="C1436" i="7"/>
  <c r="B1436" i="7"/>
  <c r="D1435" i="7"/>
  <c r="B1435" i="7"/>
  <c r="E1434" i="7"/>
  <c r="D1434" i="7"/>
  <c r="E1435" i="7" s="1"/>
  <c r="B1434" i="7"/>
  <c r="C1434" i="7" s="1"/>
  <c r="D1433" i="7"/>
  <c r="E1433" i="7" s="1"/>
  <c r="B1433" i="7"/>
  <c r="E1432" i="7"/>
  <c r="D1432" i="7"/>
  <c r="C1432" i="7"/>
  <c r="B1432" i="7"/>
  <c r="E1431" i="7"/>
  <c r="D1431" i="7"/>
  <c r="B1431" i="7"/>
  <c r="D1430" i="7"/>
  <c r="E1430" i="7" s="1"/>
  <c r="C1430" i="7"/>
  <c r="B1430" i="7"/>
  <c r="E1429" i="7"/>
  <c r="D1429" i="7"/>
  <c r="B1429" i="7"/>
  <c r="D1428" i="7"/>
  <c r="C1428" i="7"/>
  <c r="B1428" i="7"/>
  <c r="E1427" i="7"/>
  <c r="D1427" i="7"/>
  <c r="E1428" i="7" s="1"/>
  <c r="B1427" i="7"/>
  <c r="D1426" i="7"/>
  <c r="B1426" i="7"/>
  <c r="C1426" i="7" s="1"/>
  <c r="D1425" i="7"/>
  <c r="E1425" i="7" s="1"/>
  <c r="B1425" i="7"/>
  <c r="C1425" i="7" s="1"/>
  <c r="E1424" i="7"/>
  <c r="D1424" i="7"/>
  <c r="B1424" i="7"/>
  <c r="D1423" i="7"/>
  <c r="E1423" i="7" s="1"/>
  <c r="B1423" i="7"/>
  <c r="E1422" i="7"/>
  <c r="D1422" i="7"/>
  <c r="B1422" i="7"/>
  <c r="C1422" i="7" s="1"/>
  <c r="D1421" i="7"/>
  <c r="B1421" i="7"/>
  <c r="C1421" i="7" s="1"/>
  <c r="D1420" i="7"/>
  <c r="E1420" i="7" s="1"/>
  <c r="B1420" i="7"/>
  <c r="D1419" i="7"/>
  <c r="B1419" i="7"/>
  <c r="D1418" i="7"/>
  <c r="E1419" i="7" s="1"/>
  <c r="B1418" i="7"/>
  <c r="C1418" i="7" s="1"/>
  <c r="D1417" i="7"/>
  <c r="B1417" i="7"/>
  <c r="D1416" i="7"/>
  <c r="E1416" i="7" s="1"/>
  <c r="B1416" i="7"/>
  <c r="C1416" i="7" s="1"/>
  <c r="D1415" i="7"/>
  <c r="B1415" i="7"/>
  <c r="D1414" i="7"/>
  <c r="B1414" i="7"/>
  <c r="C1414" i="7" s="1"/>
  <c r="D1413" i="7"/>
  <c r="E1413" i="7" s="1"/>
  <c r="B1413" i="7"/>
  <c r="D1412" i="7"/>
  <c r="B1412" i="7"/>
  <c r="C1412" i="7" s="1"/>
  <c r="D1411" i="7"/>
  <c r="B1411" i="7"/>
  <c r="D1410" i="7"/>
  <c r="B1410" i="7"/>
  <c r="D1409" i="7"/>
  <c r="E1409" i="7" s="1"/>
  <c r="B1409" i="7"/>
  <c r="C1409" i="7" s="1"/>
  <c r="E1408" i="7"/>
  <c r="D1408" i="7"/>
  <c r="B1408" i="7"/>
  <c r="D1407" i="7"/>
  <c r="B1407" i="7"/>
  <c r="D1406" i="7"/>
  <c r="B1406" i="7"/>
  <c r="C1406" i="7" s="1"/>
  <c r="D1405" i="7"/>
  <c r="E1405" i="7" s="1"/>
  <c r="B1405" i="7"/>
  <c r="C1405" i="7" s="1"/>
  <c r="E1404" i="7"/>
  <c r="D1404" i="7"/>
  <c r="C1404" i="7"/>
  <c r="B1404" i="7"/>
  <c r="D1403" i="7"/>
  <c r="B1403" i="7"/>
  <c r="C1403" i="7" s="1"/>
  <c r="E1402" i="7"/>
  <c r="D1402" i="7"/>
  <c r="E1403" i="7" s="1"/>
  <c r="C1402" i="7"/>
  <c r="B1402" i="7"/>
  <c r="D1401" i="7"/>
  <c r="E1401" i="7" s="1"/>
  <c r="B1401" i="7"/>
  <c r="E1400" i="7"/>
  <c r="D1400" i="7"/>
  <c r="C1400" i="7"/>
  <c r="B1400" i="7"/>
  <c r="D1399" i="7"/>
  <c r="B1399" i="7"/>
  <c r="D1398" i="7"/>
  <c r="E1398" i="7" s="1"/>
  <c r="C1398" i="7"/>
  <c r="B1398" i="7"/>
  <c r="E1397" i="7"/>
  <c r="D1397" i="7"/>
  <c r="B1397" i="7"/>
  <c r="D1396" i="7"/>
  <c r="B1396" i="7"/>
  <c r="E1395" i="7"/>
  <c r="D1395" i="7"/>
  <c r="E1396" i="7" s="1"/>
  <c r="B1395" i="7"/>
  <c r="C1395" i="7" s="1"/>
  <c r="D1394" i="7"/>
  <c r="B1394" i="7"/>
  <c r="D1393" i="7"/>
  <c r="E1393" i="7" s="1"/>
  <c r="B1393" i="7"/>
  <c r="C1393" i="7" s="1"/>
  <c r="E1392" i="7"/>
  <c r="D1392" i="7"/>
  <c r="B1392" i="7"/>
  <c r="D1391" i="7"/>
  <c r="E1391" i="7" s="1"/>
  <c r="B1391" i="7"/>
  <c r="D1390" i="7"/>
  <c r="E1390" i="7" s="1"/>
  <c r="B1390" i="7"/>
  <c r="C1390" i="7" s="1"/>
  <c r="D1389" i="7"/>
  <c r="E1389" i="7" s="1"/>
  <c r="B1389" i="7"/>
  <c r="C1389" i="7" s="1"/>
  <c r="D1388" i="7"/>
  <c r="E1388" i="7" s="1"/>
  <c r="B1388" i="7"/>
  <c r="D1387" i="7"/>
  <c r="B1387" i="7"/>
  <c r="D1386" i="7"/>
  <c r="B1386" i="7"/>
  <c r="C1386" i="7" s="1"/>
  <c r="D1385" i="7"/>
  <c r="B1385" i="7"/>
  <c r="D1384" i="7"/>
  <c r="E1384" i="7" s="1"/>
  <c r="B1384" i="7"/>
  <c r="C1384" i="7" s="1"/>
  <c r="D1383" i="7"/>
  <c r="B1383" i="7"/>
  <c r="D1382" i="7"/>
  <c r="B1382" i="7"/>
  <c r="C1382" i="7" s="1"/>
  <c r="D1381" i="7"/>
  <c r="E1381" i="7" s="1"/>
  <c r="B1381" i="7"/>
  <c r="D1380" i="7"/>
  <c r="B1380" i="7"/>
  <c r="C1380" i="7" s="1"/>
  <c r="D1379" i="7"/>
  <c r="B1379" i="7"/>
  <c r="C1379" i="7" s="1"/>
  <c r="D1378" i="7"/>
  <c r="E1378" i="7" s="1"/>
  <c r="B1378" i="7"/>
  <c r="E1377" i="7"/>
  <c r="D1377" i="7"/>
  <c r="B1377" i="7"/>
  <c r="C1377" i="7" s="1"/>
  <c r="E1376" i="7"/>
  <c r="D1376" i="7"/>
  <c r="B1376" i="7"/>
  <c r="E1375" i="7"/>
  <c r="D1375" i="7"/>
  <c r="B1375" i="7"/>
  <c r="D1374" i="7"/>
  <c r="B1374" i="7"/>
  <c r="C1374" i="7" s="1"/>
  <c r="D1373" i="7"/>
  <c r="E1373" i="7" s="1"/>
  <c r="B1373" i="7"/>
  <c r="C1373" i="7" s="1"/>
  <c r="E1372" i="7"/>
  <c r="D1372" i="7"/>
  <c r="B1372" i="7"/>
  <c r="D1371" i="7"/>
  <c r="B1371" i="7"/>
  <c r="C1371" i="7" s="1"/>
  <c r="E1370" i="7"/>
  <c r="D1370" i="7"/>
  <c r="E1371" i="7" s="1"/>
  <c r="C1370" i="7"/>
  <c r="B1370" i="7"/>
  <c r="D1369" i="7"/>
  <c r="B1369" i="7"/>
  <c r="D1368" i="7"/>
  <c r="E1368" i="7" s="1"/>
  <c r="C1368" i="7"/>
  <c r="B1368" i="7"/>
  <c r="E1367" i="7"/>
  <c r="D1367" i="7"/>
  <c r="B1367" i="7"/>
  <c r="D1366" i="7"/>
  <c r="B1366" i="7"/>
  <c r="C1366" i="7" s="1"/>
  <c r="E1365" i="7"/>
  <c r="D1365" i="7"/>
  <c r="B1365" i="7"/>
  <c r="D1364" i="7"/>
  <c r="B1364" i="7"/>
  <c r="D1363" i="7"/>
  <c r="E1364" i="7" s="1"/>
  <c r="B1363" i="7"/>
  <c r="D1362" i="7"/>
  <c r="E1362" i="7" s="1"/>
  <c r="B1362" i="7"/>
  <c r="C1362" i="7" s="1"/>
  <c r="D1361" i="7"/>
  <c r="E1361" i="7" s="1"/>
  <c r="B1361" i="7"/>
  <c r="C1361" i="7" s="1"/>
  <c r="D1360" i="7"/>
  <c r="B1360" i="7"/>
  <c r="D1359" i="7"/>
  <c r="B1359" i="7"/>
  <c r="D1358" i="7"/>
  <c r="B1358" i="7"/>
  <c r="D1357" i="7"/>
  <c r="B1357" i="7"/>
  <c r="C1357" i="7" s="1"/>
  <c r="D1356" i="7"/>
  <c r="E1356" i="7" s="1"/>
  <c r="B1356" i="7"/>
  <c r="D1355" i="7"/>
  <c r="B1355" i="7"/>
  <c r="D1354" i="7"/>
  <c r="B1354" i="7"/>
  <c r="C1354" i="7" s="1"/>
  <c r="D1353" i="7"/>
  <c r="B1353" i="7"/>
  <c r="D1352" i="7"/>
  <c r="E1352" i="7" s="1"/>
  <c r="B1352" i="7"/>
  <c r="C1352" i="7" s="1"/>
  <c r="E1351" i="7"/>
  <c r="D1351" i="7"/>
  <c r="B1351" i="7"/>
  <c r="D1350" i="7"/>
  <c r="B1350" i="7"/>
  <c r="C1350" i="7" s="1"/>
  <c r="D1349" i="7"/>
  <c r="E1349" i="7" s="1"/>
  <c r="B1349" i="7"/>
  <c r="D1348" i="7"/>
  <c r="B1348" i="7"/>
  <c r="C1348" i="7" s="1"/>
  <c r="D1347" i="7"/>
  <c r="E1348" i="7" s="1"/>
  <c r="B1347" i="7"/>
  <c r="C1347" i="7" s="1"/>
  <c r="D1346" i="7"/>
  <c r="E1346" i="7" s="1"/>
  <c r="B1346" i="7"/>
  <c r="C1346" i="7" s="1"/>
  <c r="E1345" i="7"/>
  <c r="D1345" i="7"/>
  <c r="B1345" i="7"/>
  <c r="C1345" i="7" s="1"/>
  <c r="D1344" i="7"/>
  <c r="B1344" i="7"/>
  <c r="E1343" i="7"/>
  <c r="D1343" i="7"/>
  <c r="E1344" i="7" s="1"/>
  <c r="B1343" i="7"/>
  <c r="D1342" i="7"/>
  <c r="E1342" i="7" s="1"/>
  <c r="B1342" i="7"/>
  <c r="D1341" i="7"/>
  <c r="E1341" i="7" s="1"/>
  <c r="B1341" i="7"/>
  <c r="C1341" i="7" s="1"/>
  <c r="E1340" i="7"/>
  <c r="D1340" i="7"/>
  <c r="C1340" i="7"/>
  <c r="B1340" i="7"/>
  <c r="D1339" i="7"/>
  <c r="B1339" i="7"/>
  <c r="D1338" i="7"/>
  <c r="E1339" i="7" s="1"/>
  <c r="C1338" i="7"/>
  <c r="B1338" i="7"/>
  <c r="D1337" i="7"/>
  <c r="E1337" i="7" s="1"/>
  <c r="B1337" i="7"/>
  <c r="E1336" i="7"/>
  <c r="D1336" i="7"/>
  <c r="B1336" i="7"/>
  <c r="C1336" i="7" s="1"/>
  <c r="E1335" i="7"/>
  <c r="D1335" i="7"/>
  <c r="B1335" i="7"/>
  <c r="D1334" i="7"/>
  <c r="C1334" i="7"/>
  <c r="B1334" i="7"/>
  <c r="D1333" i="7"/>
  <c r="E1333" i="7" s="1"/>
  <c r="B1333" i="7"/>
  <c r="D1332" i="7"/>
  <c r="C1332" i="7"/>
  <c r="B1332" i="7"/>
  <c r="E1331" i="7"/>
  <c r="D1331" i="7"/>
  <c r="E1332" i="7" s="1"/>
  <c r="B1331" i="7"/>
  <c r="D1330" i="7"/>
  <c r="B1330" i="7"/>
  <c r="C1330" i="7" s="1"/>
  <c r="D1329" i="7"/>
  <c r="E1329" i="7" s="1"/>
  <c r="B1329" i="7"/>
  <c r="C1329" i="7" s="1"/>
  <c r="D1328" i="7"/>
  <c r="B1328" i="7"/>
  <c r="D1327" i="7"/>
  <c r="B1327" i="7"/>
  <c r="E1326" i="7"/>
  <c r="D1326" i="7"/>
  <c r="B1326" i="7"/>
  <c r="D1325" i="7"/>
  <c r="B1325" i="7"/>
  <c r="C1325" i="7" s="1"/>
  <c r="D1324" i="7"/>
  <c r="E1324" i="7" s="1"/>
  <c r="C1324" i="7"/>
  <c r="B1324" i="7"/>
  <c r="D1323" i="7"/>
  <c r="B1323" i="7"/>
  <c r="D1322" i="7"/>
  <c r="E1323" i="7" s="1"/>
  <c r="B1322" i="7"/>
  <c r="C1322" i="7" s="1"/>
  <c r="D1321" i="7"/>
  <c r="E1321" i="7" s="1"/>
  <c r="B1321" i="7"/>
  <c r="D1320" i="7"/>
  <c r="E1320" i="7" s="1"/>
  <c r="B1320" i="7"/>
  <c r="C1320" i="7" s="1"/>
  <c r="D1319" i="7"/>
  <c r="B1319" i="7"/>
  <c r="D1318" i="7"/>
  <c r="B1318" i="7"/>
  <c r="C1318" i="7" s="1"/>
  <c r="D1317" i="7"/>
  <c r="E1317" i="7" s="1"/>
  <c r="B1317" i="7"/>
  <c r="D1316" i="7"/>
  <c r="B1316" i="7"/>
  <c r="C1316" i="7" s="1"/>
  <c r="D1315" i="7"/>
  <c r="E1316" i="7" s="1"/>
  <c r="B1315" i="7"/>
  <c r="D1314" i="7"/>
  <c r="E1314" i="7" s="1"/>
  <c r="B1314" i="7"/>
  <c r="E1313" i="7"/>
  <c r="D1313" i="7"/>
  <c r="B1313" i="7"/>
  <c r="C1313" i="7" s="1"/>
  <c r="D1312" i="7"/>
  <c r="B1312" i="7"/>
  <c r="D1311" i="7"/>
  <c r="E1312" i="7" s="1"/>
  <c r="B1311" i="7"/>
  <c r="D1310" i="7"/>
  <c r="E1310" i="7" s="1"/>
  <c r="B1310" i="7"/>
  <c r="D1309" i="7"/>
  <c r="B1309" i="7"/>
  <c r="C1309" i="7" s="1"/>
  <c r="D1308" i="7"/>
  <c r="E1308" i="7" s="1"/>
  <c r="C1308" i="7"/>
  <c r="B1308" i="7"/>
  <c r="D1307" i="7"/>
  <c r="B1307" i="7"/>
  <c r="E1306" i="7"/>
  <c r="D1306" i="7"/>
  <c r="E1307" i="7" s="1"/>
  <c r="B1306" i="7"/>
  <c r="C1306" i="7" s="1"/>
  <c r="D1305" i="7"/>
  <c r="E1305" i="7" s="1"/>
  <c r="B1305" i="7"/>
  <c r="E1304" i="7"/>
  <c r="D1304" i="7"/>
  <c r="C1304" i="7"/>
  <c r="B1304" i="7"/>
  <c r="E1303" i="7"/>
  <c r="D1303" i="7"/>
  <c r="B1303" i="7"/>
  <c r="D1302" i="7"/>
  <c r="E1302" i="7" s="1"/>
  <c r="C1302" i="7"/>
  <c r="B1302" i="7"/>
  <c r="E1301" i="7"/>
  <c r="D1301" i="7"/>
  <c r="B1301" i="7"/>
  <c r="D1300" i="7"/>
  <c r="C1300" i="7"/>
  <c r="B1300" i="7"/>
  <c r="E1299" i="7"/>
  <c r="D1299" i="7"/>
  <c r="E1300" i="7" s="1"/>
  <c r="B1299" i="7"/>
  <c r="D1298" i="7"/>
  <c r="B1298" i="7"/>
  <c r="C1298" i="7" s="1"/>
  <c r="D1297" i="7"/>
  <c r="E1297" i="7" s="1"/>
  <c r="B1297" i="7"/>
  <c r="C1297" i="7" s="1"/>
  <c r="E1296" i="7"/>
  <c r="D1296" i="7"/>
  <c r="B1296" i="7"/>
  <c r="D1295" i="7"/>
  <c r="E1295" i="7" s="1"/>
  <c r="B1295" i="7"/>
  <c r="E1294" i="7"/>
  <c r="D1294" i="7"/>
  <c r="B1294" i="7"/>
  <c r="C1294" i="7" s="1"/>
  <c r="D1293" i="7"/>
  <c r="B1293" i="7"/>
  <c r="C1293" i="7" s="1"/>
  <c r="D1292" i="7"/>
  <c r="E1292" i="7" s="1"/>
  <c r="B1292" i="7"/>
  <c r="D1291" i="7"/>
  <c r="B1291" i="7"/>
  <c r="D1290" i="7"/>
  <c r="E1291" i="7" s="1"/>
  <c r="B1290" i="7"/>
  <c r="C1290" i="7" s="1"/>
  <c r="D1289" i="7"/>
  <c r="B1289" i="7"/>
  <c r="D1288" i="7"/>
  <c r="E1288" i="7" s="1"/>
  <c r="B1288" i="7"/>
  <c r="C1288" i="7" s="1"/>
  <c r="D1287" i="7"/>
  <c r="B1287" i="7"/>
  <c r="D1286" i="7"/>
  <c r="B1286" i="7"/>
  <c r="C1286" i="7" s="1"/>
  <c r="D1285" i="7"/>
  <c r="E1285" i="7" s="1"/>
  <c r="B1285" i="7"/>
  <c r="D1284" i="7"/>
  <c r="B1284" i="7"/>
  <c r="C1284" i="7" s="1"/>
  <c r="D1283" i="7"/>
  <c r="B1283" i="7"/>
  <c r="D1282" i="7"/>
  <c r="B1282" i="7"/>
  <c r="D1281" i="7"/>
  <c r="E1281" i="7" s="1"/>
  <c r="B1281" i="7"/>
  <c r="C1281" i="7" s="1"/>
  <c r="E1280" i="7"/>
  <c r="D1280" i="7"/>
  <c r="B1280" i="7"/>
  <c r="D1279" i="7"/>
  <c r="B1279" i="7"/>
  <c r="D1278" i="7"/>
  <c r="B1278" i="7"/>
  <c r="C1278" i="7" s="1"/>
  <c r="D1277" i="7"/>
  <c r="E1277" i="7" s="1"/>
  <c r="B1277" i="7"/>
  <c r="C1277" i="7" s="1"/>
  <c r="E1276" i="7"/>
  <c r="D1276" i="7"/>
  <c r="C1276" i="7"/>
  <c r="B1276" i="7"/>
  <c r="D1275" i="7"/>
  <c r="B1275" i="7"/>
  <c r="C1275" i="7" s="1"/>
  <c r="E1274" i="7"/>
  <c r="D1274" i="7"/>
  <c r="E1275" i="7" s="1"/>
  <c r="C1274" i="7"/>
  <c r="B1274" i="7"/>
  <c r="D1273" i="7"/>
  <c r="E1273" i="7" s="1"/>
  <c r="B1273" i="7"/>
  <c r="E1272" i="7"/>
  <c r="D1272" i="7"/>
  <c r="C1272" i="7"/>
  <c r="B1272" i="7"/>
  <c r="D1271" i="7"/>
  <c r="B1271" i="7"/>
  <c r="D1270" i="7"/>
  <c r="E1270" i="7" s="1"/>
  <c r="C1270" i="7"/>
  <c r="B1270" i="7"/>
  <c r="E1269" i="7"/>
  <c r="D1269" i="7"/>
  <c r="B1269" i="7"/>
  <c r="D1268" i="7"/>
  <c r="B1268" i="7"/>
  <c r="C1268" i="7" s="1"/>
  <c r="E1267" i="7"/>
  <c r="D1267" i="7"/>
  <c r="E1268" i="7" s="1"/>
  <c r="B1267" i="7"/>
  <c r="C1267" i="7" s="1"/>
  <c r="D1266" i="7"/>
  <c r="B1266" i="7"/>
  <c r="D1265" i="7"/>
  <c r="E1265" i="7" s="1"/>
  <c r="B1265" i="7"/>
  <c r="C1265" i="7" s="1"/>
  <c r="E1264" i="7"/>
  <c r="D1264" i="7"/>
  <c r="B1264" i="7"/>
  <c r="D1263" i="7"/>
  <c r="E1263" i="7" s="1"/>
  <c r="B1263" i="7"/>
  <c r="D1262" i="7"/>
  <c r="E1262" i="7" s="1"/>
  <c r="B1262" i="7"/>
  <c r="D1261" i="7"/>
  <c r="E1261" i="7" s="1"/>
  <c r="B1261" i="7"/>
  <c r="C1261" i="7" s="1"/>
  <c r="D1260" i="7"/>
  <c r="E1260" i="7" s="1"/>
  <c r="B1260" i="7"/>
  <c r="D1259" i="7"/>
  <c r="B1259" i="7"/>
  <c r="D1258" i="7"/>
  <c r="B1258" i="7"/>
  <c r="C1258" i="7" s="1"/>
  <c r="D1257" i="7"/>
  <c r="B1257" i="7"/>
  <c r="D1256" i="7"/>
  <c r="E1256" i="7" s="1"/>
  <c r="B1256" i="7"/>
  <c r="C1256" i="7" s="1"/>
  <c r="D1255" i="7"/>
  <c r="B1255" i="7"/>
  <c r="D1254" i="7"/>
  <c r="B1254" i="7"/>
  <c r="C1254" i="7" s="1"/>
  <c r="D1253" i="7"/>
  <c r="E1253" i="7" s="1"/>
  <c r="B1253" i="7"/>
  <c r="D1252" i="7"/>
  <c r="B1252" i="7"/>
  <c r="C1252" i="7" s="1"/>
  <c r="D1251" i="7"/>
  <c r="B1251" i="7"/>
  <c r="C1251" i="7" s="1"/>
  <c r="D1250" i="7"/>
  <c r="E1250" i="7" s="1"/>
  <c r="B1250" i="7"/>
  <c r="E1249" i="7"/>
  <c r="D1249" i="7"/>
  <c r="B1249" i="7"/>
  <c r="C1249" i="7" s="1"/>
  <c r="E1248" i="7"/>
  <c r="D1248" i="7"/>
  <c r="B1248" i="7"/>
  <c r="E1247" i="7"/>
  <c r="D1247" i="7"/>
  <c r="B1247" i="7"/>
  <c r="D1246" i="7"/>
  <c r="B1246" i="7"/>
  <c r="C1246" i="7" s="1"/>
  <c r="D1245" i="7"/>
  <c r="E1245" i="7" s="1"/>
  <c r="B1245" i="7"/>
  <c r="C1245" i="7" s="1"/>
  <c r="E1244" i="7"/>
  <c r="D1244" i="7"/>
  <c r="B1244" i="7"/>
  <c r="D1243" i="7"/>
  <c r="B1243" i="7"/>
  <c r="C1243" i="7" s="1"/>
  <c r="E1242" i="7"/>
  <c r="D1242" i="7"/>
  <c r="E1243" i="7" s="1"/>
  <c r="C1242" i="7"/>
  <c r="B1242" i="7"/>
  <c r="D1241" i="7"/>
  <c r="B1241" i="7"/>
  <c r="D1240" i="7"/>
  <c r="E1240" i="7" s="1"/>
  <c r="C1240" i="7"/>
  <c r="B1240" i="7"/>
  <c r="E1239" i="7"/>
  <c r="D1239" i="7"/>
  <c r="B1239" i="7"/>
  <c r="D1238" i="7"/>
  <c r="B1238" i="7"/>
  <c r="C1238" i="7" s="1"/>
  <c r="E1237" i="7"/>
  <c r="D1237" i="7"/>
  <c r="B1237" i="7"/>
  <c r="D1236" i="7"/>
  <c r="B1236" i="7"/>
  <c r="D1235" i="7"/>
  <c r="E1236" i="7" s="1"/>
  <c r="B1235" i="7"/>
  <c r="D1234" i="7"/>
  <c r="E1234" i="7" s="1"/>
  <c r="B1234" i="7"/>
  <c r="C1234" i="7" s="1"/>
  <c r="D1233" i="7"/>
  <c r="E1233" i="7" s="1"/>
  <c r="B1233" i="7"/>
  <c r="C1233" i="7" s="1"/>
  <c r="D1232" i="7"/>
  <c r="B1232" i="7"/>
  <c r="D1231" i="7"/>
  <c r="B1231" i="7"/>
  <c r="D1230" i="7"/>
  <c r="B1230" i="7"/>
  <c r="D1229" i="7"/>
  <c r="B1229" i="7"/>
  <c r="C1229" i="7" s="1"/>
  <c r="D1228" i="7"/>
  <c r="E1228" i="7" s="1"/>
  <c r="B1228" i="7"/>
  <c r="D1227" i="7"/>
  <c r="B1227" i="7"/>
  <c r="D1226" i="7"/>
  <c r="B1226" i="7"/>
  <c r="C1226" i="7" s="1"/>
  <c r="D1225" i="7"/>
  <c r="B1225" i="7"/>
  <c r="D1224" i="7"/>
  <c r="E1224" i="7" s="1"/>
  <c r="B1224" i="7"/>
  <c r="C1224" i="7" s="1"/>
  <c r="E1223" i="7"/>
  <c r="D1223" i="7"/>
  <c r="B1223" i="7"/>
  <c r="D1222" i="7"/>
  <c r="B1222" i="7"/>
  <c r="C1222" i="7" s="1"/>
  <c r="D1221" i="7"/>
  <c r="E1221" i="7" s="1"/>
  <c r="B1221" i="7"/>
  <c r="D1220" i="7"/>
  <c r="B1220" i="7"/>
  <c r="C1220" i="7" s="1"/>
  <c r="D1219" i="7"/>
  <c r="E1220" i="7" s="1"/>
  <c r="B1219" i="7"/>
  <c r="C1219" i="7" s="1"/>
  <c r="D1218" i="7"/>
  <c r="E1218" i="7" s="1"/>
  <c r="B1218" i="7"/>
  <c r="C1218" i="7" s="1"/>
  <c r="E1217" i="7"/>
  <c r="D1217" i="7"/>
  <c r="B1217" i="7"/>
  <c r="C1217" i="7" s="1"/>
  <c r="D1216" i="7"/>
  <c r="B1216" i="7"/>
  <c r="E1215" i="7"/>
  <c r="D1215" i="7"/>
  <c r="E1216" i="7" s="1"/>
  <c r="B1215" i="7"/>
  <c r="D1214" i="7"/>
  <c r="E1214" i="7" s="1"/>
  <c r="B1214" i="7"/>
  <c r="D1213" i="7"/>
  <c r="E1213" i="7" s="1"/>
  <c r="B1213" i="7"/>
  <c r="C1213" i="7" s="1"/>
  <c r="E1212" i="7"/>
  <c r="D1212" i="7"/>
  <c r="C1212" i="7"/>
  <c r="B1212" i="7"/>
  <c r="D1211" i="7"/>
  <c r="B1211" i="7"/>
  <c r="D1210" i="7"/>
  <c r="E1211" i="7" s="1"/>
  <c r="C1210" i="7"/>
  <c r="B1210" i="7"/>
  <c r="D1209" i="7"/>
  <c r="E1209" i="7" s="1"/>
  <c r="B1209" i="7"/>
  <c r="E1208" i="7"/>
  <c r="D1208" i="7"/>
  <c r="B1208" i="7"/>
  <c r="C1208" i="7" s="1"/>
  <c r="E1207" i="7"/>
  <c r="D1207" i="7"/>
  <c r="B1207" i="7"/>
  <c r="D1206" i="7"/>
  <c r="C1206" i="7"/>
  <c r="B1206" i="7"/>
  <c r="D1205" i="7"/>
  <c r="E1205" i="7" s="1"/>
  <c r="B1205" i="7"/>
  <c r="D1204" i="7"/>
  <c r="C1204" i="7"/>
  <c r="B1204" i="7"/>
  <c r="E1203" i="7"/>
  <c r="D1203" i="7"/>
  <c r="E1204" i="7" s="1"/>
  <c r="B1203" i="7"/>
  <c r="D1202" i="7"/>
  <c r="B1202" i="7"/>
  <c r="C1202" i="7" s="1"/>
  <c r="D1201" i="7"/>
  <c r="E1201" i="7" s="1"/>
  <c r="B1201" i="7"/>
  <c r="C1201" i="7" s="1"/>
  <c r="D1200" i="7"/>
  <c r="B1200" i="7"/>
  <c r="D1199" i="7"/>
  <c r="B1199" i="7"/>
  <c r="E1198" i="7"/>
  <c r="D1198" i="7"/>
  <c r="B1198" i="7"/>
  <c r="D1197" i="7"/>
  <c r="B1197" i="7"/>
  <c r="C1197" i="7" s="1"/>
  <c r="D1196" i="7"/>
  <c r="E1196" i="7" s="1"/>
  <c r="C1196" i="7"/>
  <c r="B1196" i="7"/>
  <c r="D1195" i="7"/>
  <c r="B1195" i="7"/>
  <c r="D1194" i="7"/>
  <c r="E1195" i="7" s="1"/>
  <c r="B1194" i="7"/>
  <c r="C1194" i="7" s="1"/>
  <c r="D1193" i="7"/>
  <c r="E1193" i="7" s="1"/>
  <c r="B1193" i="7"/>
  <c r="D1192" i="7"/>
  <c r="E1192" i="7" s="1"/>
  <c r="B1192" i="7"/>
  <c r="C1192" i="7" s="1"/>
  <c r="D1191" i="7"/>
  <c r="B1191" i="7"/>
  <c r="D1190" i="7"/>
  <c r="B1190" i="7"/>
  <c r="C1190" i="7" s="1"/>
  <c r="D1189" i="7"/>
  <c r="E1189" i="7" s="1"/>
  <c r="B1189" i="7"/>
  <c r="D1188" i="7"/>
  <c r="B1188" i="7"/>
  <c r="C1188" i="7" s="1"/>
  <c r="D1187" i="7"/>
  <c r="E1188" i="7" s="1"/>
  <c r="B1187" i="7"/>
  <c r="D1186" i="7"/>
  <c r="E1186" i="7" s="1"/>
  <c r="B1186" i="7"/>
  <c r="E1185" i="7"/>
  <c r="D1185" i="7"/>
  <c r="B1185" i="7"/>
  <c r="C1185" i="7" s="1"/>
  <c r="D1184" i="7"/>
  <c r="B1184" i="7"/>
  <c r="D1183" i="7"/>
  <c r="E1184" i="7" s="1"/>
  <c r="B1183" i="7"/>
  <c r="D1182" i="7"/>
  <c r="E1182" i="7" s="1"/>
  <c r="B1182" i="7"/>
  <c r="D1181" i="7"/>
  <c r="B1181" i="7"/>
  <c r="C1181" i="7" s="1"/>
  <c r="D1180" i="7"/>
  <c r="E1180" i="7" s="1"/>
  <c r="C1180" i="7"/>
  <c r="B1180" i="7"/>
  <c r="D1179" i="7"/>
  <c r="B1179" i="7"/>
  <c r="E1178" i="7"/>
  <c r="D1178" i="7"/>
  <c r="E1179" i="7" s="1"/>
  <c r="B1178" i="7"/>
  <c r="C1178" i="7" s="1"/>
  <c r="D1177" i="7"/>
  <c r="E1177" i="7" s="1"/>
  <c r="B1177" i="7"/>
  <c r="E1176" i="7"/>
  <c r="D1176" i="7"/>
  <c r="C1176" i="7"/>
  <c r="B1176" i="7"/>
  <c r="E1175" i="7"/>
  <c r="D1175" i="7"/>
  <c r="B1175" i="7"/>
  <c r="D1174" i="7"/>
  <c r="E1174" i="7" s="1"/>
  <c r="C1174" i="7"/>
  <c r="B1174" i="7"/>
  <c r="E1173" i="7"/>
  <c r="D1173" i="7"/>
  <c r="B1173" i="7"/>
  <c r="D1172" i="7"/>
  <c r="C1172" i="7"/>
  <c r="B1172" i="7"/>
  <c r="E1171" i="7"/>
  <c r="D1171" i="7"/>
  <c r="E1172" i="7" s="1"/>
  <c r="B1171" i="7"/>
  <c r="D1170" i="7"/>
  <c r="B1170" i="7"/>
  <c r="C1170" i="7" s="1"/>
  <c r="D1169" i="7"/>
  <c r="E1169" i="7" s="1"/>
  <c r="B1169" i="7"/>
  <c r="C1169" i="7" s="1"/>
  <c r="E1168" i="7"/>
  <c r="D1168" i="7"/>
  <c r="B1168" i="7"/>
  <c r="D1167" i="7"/>
  <c r="E1167" i="7" s="1"/>
  <c r="B1167" i="7"/>
  <c r="E1166" i="7"/>
  <c r="D1166" i="7"/>
  <c r="B1166" i="7"/>
  <c r="C1166" i="7" s="1"/>
  <c r="D1165" i="7"/>
  <c r="B1165" i="7"/>
  <c r="C1165" i="7" s="1"/>
  <c r="D1164" i="7"/>
  <c r="E1164" i="7" s="1"/>
  <c r="B1164" i="7"/>
  <c r="D1163" i="7"/>
  <c r="B1163" i="7"/>
  <c r="D1162" i="7"/>
  <c r="E1163" i="7" s="1"/>
  <c r="B1162" i="7"/>
  <c r="C1162" i="7" s="1"/>
  <c r="D1161" i="7"/>
  <c r="B1161" i="7"/>
  <c r="D1160" i="7"/>
  <c r="E1160" i="7" s="1"/>
  <c r="B1160" i="7"/>
  <c r="C1160" i="7" s="1"/>
  <c r="D1159" i="7"/>
  <c r="B1159" i="7"/>
  <c r="D1158" i="7"/>
  <c r="B1158" i="7"/>
  <c r="C1158" i="7" s="1"/>
  <c r="D1157" i="7"/>
  <c r="E1157" i="7" s="1"/>
  <c r="B1157" i="7"/>
  <c r="D1156" i="7"/>
  <c r="B1156" i="7"/>
  <c r="C1156" i="7" s="1"/>
  <c r="D1155" i="7"/>
  <c r="B1155" i="7"/>
  <c r="D1154" i="7"/>
  <c r="B1154" i="7"/>
  <c r="D1153" i="7"/>
  <c r="E1153" i="7" s="1"/>
  <c r="B1153" i="7"/>
  <c r="C1153" i="7" s="1"/>
  <c r="E1152" i="7"/>
  <c r="D1152" i="7"/>
  <c r="B1152" i="7"/>
  <c r="D1151" i="7"/>
  <c r="B1151" i="7"/>
  <c r="D1150" i="7"/>
  <c r="B1150" i="7"/>
  <c r="C1150" i="7" s="1"/>
  <c r="D1149" i="7"/>
  <c r="E1149" i="7" s="1"/>
  <c r="B1149" i="7"/>
  <c r="C1149" i="7" s="1"/>
  <c r="E1148" i="7"/>
  <c r="D1148" i="7"/>
  <c r="C1148" i="7"/>
  <c r="B1148" i="7"/>
  <c r="D1147" i="7"/>
  <c r="B1147" i="7"/>
  <c r="C1147" i="7" s="1"/>
  <c r="E1146" i="7"/>
  <c r="D1146" i="7"/>
  <c r="E1147" i="7" s="1"/>
  <c r="C1146" i="7"/>
  <c r="B1146" i="7"/>
  <c r="D1145" i="7"/>
  <c r="E1145" i="7" s="1"/>
  <c r="B1145" i="7"/>
  <c r="E1144" i="7"/>
  <c r="D1144" i="7"/>
  <c r="C1144" i="7"/>
  <c r="B1144" i="7"/>
  <c r="D1143" i="7"/>
  <c r="B1143" i="7"/>
  <c r="D1142" i="7"/>
  <c r="E1142" i="7" s="1"/>
  <c r="C1142" i="7"/>
  <c r="B1142" i="7"/>
  <c r="E1141" i="7"/>
  <c r="D1141" i="7"/>
  <c r="B1141" i="7"/>
  <c r="D1140" i="7"/>
  <c r="B1140" i="7"/>
  <c r="E1139" i="7"/>
  <c r="D1139" i="7"/>
  <c r="E1140" i="7" s="1"/>
  <c r="B1139" i="7"/>
  <c r="C1139" i="7" s="1"/>
  <c r="D1138" i="7"/>
  <c r="B1138" i="7"/>
  <c r="D1137" i="7"/>
  <c r="E1137" i="7" s="1"/>
  <c r="B1137" i="7"/>
  <c r="C1137" i="7" s="1"/>
  <c r="E1136" i="7"/>
  <c r="D1136" i="7"/>
  <c r="B1136" i="7"/>
  <c r="D1135" i="7"/>
  <c r="E1135" i="7" s="1"/>
  <c r="B1135" i="7"/>
  <c r="D1134" i="7"/>
  <c r="E1134" i="7" s="1"/>
  <c r="B1134" i="7"/>
  <c r="D1133" i="7"/>
  <c r="E1133" i="7" s="1"/>
  <c r="B1133" i="7"/>
  <c r="C1133" i="7" s="1"/>
  <c r="D1132" i="7"/>
  <c r="E1132" i="7" s="1"/>
  <c r="B1132" i="7"/>
  <c r="D1131" i="7"/>
  <c r="B1131" i="7"/>
  <c r="D1130" i="7"/>
  <c r="B1130" i="7"/>
  <c r="C1130" i="7" s="1"/>
  <c r="D1129" i="7"/>
  <c r="B1129" i="7"/>
  <c r="D1128" i="7"/>
  <c r="E1128" i="7" s="1"/>
  <c r="B1128" i="7"/>
  <c r="C1128" i="7" s="1"/>
  <c r="D1127" i="7"/>
  <c r="B1127" i="7"/>
  <c r="D1126" i="7"/>
  <c r="B1126" i="7"/>
  <c r="C1126" i="7" s="1"/>
  <c r="D1125" i="7"/>
  <c r="E1125" i="7" s="1"/>
  <c r="B1125" i="7"/>
  <c r="D1124" i="7"/>
  <c r="B1124" i="7"/>
  <c r="C1124" i="7" s="1"/>
  <c r="E1123" i="7"/>
  <c r="D1123" i="7"/>
  <c r="E1124" i="7" s="1"/>
  <c r="B1123" i="7"/>
  <c r="C1123" i="7" s="1"/>
  <c r="D1122" i="7"/>
  <c r="E1122" i="7" s="1"/>
  <c r="B1122" i="7"/>
  <c r="E1121" i="7"/>
  <c r="D1121" i="7"/>
  <c r="B1121" i="7"/>
  <c r="C1121" i="7" s="1"/>
  <c r="E1120" i="7"/>
  <c r="D1120" i="7"/>
  <c r="B1120" i="7"/>
  <c r="E1119" i="7"/>
  <c r="D1119" i="7"/>
  <c r="B1119" i="7"/>
  <c r="D1118" i="7"/>
  <c r="B1118" i="7"/>
  <c r="C1118" i="7" s="1"/>
  <c r="D1117" i="7"/>
  <c r="E1117" i="7" s="1"/>
  <c r="B1117" i="7"/>
  <c r="C1117" i="7" s="1"/>
  <c r="E1116" i="7"/>
  <c r="D1116" i="7"/>
  <c r="B1116" i="7"/>
  <c r="D1115" i="7"/>
  <c r="B1115" i="7"/>
  <c r="E1114" i="7"/>
  <c r="D1114" i="7"/>
  <c r="E1115" i="7" s="1"/>
  <c r="C1114" i="7"/>
  <c r="B1114" i="7"/>
  <c r="D1113" i="7"/>
  <c r="B1113" i="7"/>
  <c r="D1112" i="7"/>
  <c r="E1112" i="7" s="1"/>
  <c r="C1112" i="7"/>
  <c r="B1112" i="7"/>
  <c r="E1111" i="7"/>
  <c r="D1111" i="7"/>
  <c r="B1111" i="7"/>
  <c r="D1110" i="7"/>
  <c r="B1110" i="7"/>
  <c r="C1110" i="7" s="1"/>
  <c r="E1109" i="7"/>
  <c r="D1109" i="7"/>
  <c r="B1109" i="7"/>
  <c r="D1108" i="7"/>
  <c r="B1108" i="7"/>
  <c r="D1107" i="7"/>
  <c r="B1107" i="7"/>
  <c r="D1106" i="7"/>
  <c r="E1106" i="7" s="1"/>
  <c r="B1106" i="7"/>
  <c r="C1106" i="7" s="1"/>
  <c r="D1105" i="7"/>
  <c r="E1105" i="7" s="1"/>
  <c r="B1105" i="7"/>
  <c r="C1105" i="7" s="1"/>
  <c r="D1104" i="7"/>
  <c r="B1104" i="7"/>
  <c r="D1103" i="7"/>
  <c r="B1103" i="7"/>
  <c r="D1102" i="7"/>
  <c r="B1102" i="7"/>
  <c r="D1101" i="7"/>
  <c r="B1101" i="7"/>
  <c r="C1101" i="7" s="1"/>
  <c r="D1100" i="7"/>
  <c r="E1100" i="7" s="1"/>
  <c r="B1100" i="7"/>
  <c r="D1099" i="7"/>
  <c r="B1099" i="7"/>
  <c r="D1098" i="7"/>
  <c r="B1098" i="7"/>
  <c r="C1098" i="7" s="1"/>
  <c r="D1097" i="7"/>
  <c r="B1097" i="7"/>
  <c r="D1096" i="7"/>
  <c r="E1096" i="7" s="1"/>
  <c r="B1096" i="7"/>
  <c r="C1096" i="7" s="1"/>
  <c r="E1095" i="7"/>
  <c r="D1095" i="7"/>
  <c r="B1095" i="7"/>
  <c r="D1094" i="7"/>
  <c r="B1094" i="7"/>
  <c r="C1094" i="7" s="1"/>
  <c r="E1093" i="7"/>
  <c r="D1093" i="7"/>
  <c r="B1093" i="7"/>
  <c r="D1092" i="7"/>
  <c r="B1092" i="7"/>
  <c r="C1092" i="7" s="1"/>
  <c r="D1091" i="7"/>
  <c r="B1091" i="7"/>
  <c r="C1091" i="7" s="1"/>
  <c r="D1090" i="7"/>
  <c r="E1090" i="7" s="1"/>
  <c r="B1090" i="7"/>
  <c r="C1090" i="7" s="1"/>
  <c r="E1089" i="7"/>
  <c r="D1089" i="7"/>
  <c r="B1089" i="7"/>
  <c r="C1089" i="7" s="1"/>
  <c r="D1088" i="7"/>
  <c r="B1088" i="7"/>
  <c r="E1087" i="7"/>
  <c r="D1087" i="7"/>
  <c r="E1088" i="7" s="1"/>
  <c r="B1087" i="7"/>
  <c r="D1086" i="7"/>
  <c r="B1086" i="7"/>
  <c r="D1085" i="7"/>
  <c r="E1085" i="7" s="1"/>
  <c r="B1085" i="7"/>
  <c r="C1085" i="7" s="1"/>
  <c r="E1084" i="7"/>
  <c r="D1084" i="7"/>
  <c r="C1084" i="7"/>
  <c r="B1084" i="7"/>
  <c r="D1083" i="7"/>
  <c r="B1083" i="7"/>
  <c r="D1082" i="7"/>
  <c r="C1082" i="7"/>
  <c r="B1082" i="7"/>
  <c r="D1081" i="7"/>
  <c r="E1081" i="7" s="1"/>
  <c r="B1081" i="7"/>
  <c r="E1080" i="7"/>
  <c r="D1080" i="7"/>
  <c r="B1080" i="7"/>
  <c r="C1080" i="7" s="1"/>
  <c r="E1079" i="7"/>
  <c r="D1079" i="7"/>
  <c r="B1079" i="7"/>
  <c r="D1078" i="7"/>
  <c r="C1078" i="7"/>
  <c r="B1078" i="7"/>
  <c r="D1077" i="7"/>
  <c r="E1077" i="7" s="1"/>
  <c r="B1077" i="7"/>
  <c r="D1076" i="7"/>
  <c r="C1076" i="7"/>
  <c r="B1076" i="7"/>
  <c r="E1075" i="7"/>
  <c r="D1075" i="7"/>
  <c r="E1076" i="7" s="1"/>
  <c r="B1075" i="7"/>
  <c r="D1074" i="7"/>
  <c r="B1074" i="7"/>
  <c r="C1074" i="7" s="1"/>
  <c r="D1073" i="7"/>
  <c r="E1073" i="7" s="1"/>
  <c r="B1073" i="7"/>
  <c r="C1073" i="7" s="1"/>
  <c r="D1072" i="7"/>
  <c r="B1072" i="7"/>
  <c r="E1071" i="7"/>
  <c r="D1071" i="7"/>
  <c r="E1072" i="7" s="1"/>
  <c r="B1071" i="7"/>
  <c r="E1070" i="7"/>
  <c r="D1070" i="7"/>
  <c r="B1070" i="7"/>
  <c r="D1069" i="7"/>
  <c r="B1069" i="7"/>
  <c r="C1069" i="7" s="1"/>
  <c r="E1068" i="7"/>
  <c r="D1068" i="7"/>
  <c r="C1068" i="7"/>
  <c r="B1068" i="7"/>
  <c r="D1067" i="7"/>
  <c r="B1067" i="7"/>
  <c r="D1066" i="7"/>
  <c r="B1066" i="7"/>
  <c r="C1066" i="7" s="1"/>
  <c r="D1065" i="7"/>
  <c r="E1065" i="7" s="1"/>
  <c r="B1065" i="7"/>
  <c r="D1064" i="7"/>
  <c r="E1064" i="7" s="1"/>
  <c r="B1064" i="7"/>
  <c r="C1064" i="7" s="1"/>
  <c r="E1063" i="7"/>
  <c r="D1063" i="7"/>
  <c r="B1063" i="7"/>
  <c r="D1062" i="7"/>
  <c r="B1062" i="7"/>
  <c r="C1062" i="7" s="1"/>
  <c r="D1061" i="7"/>
  <c r="E1061" i="7" s="1"/>
  <c r="B1061" i="7"/>
  <c r="D1060" i="7"/>
  <c r="B1060" i="7"/>
  <c r="C1060" i="7" s="1"/>
  <c r="D1059" i="7"/>
  <c r="E1060" i="7" s="1"/>
  <c r="B1059" i="7"/>
  <c r="D1058" i="7"/>
  <c r="E1058" i="7" s="1"/>
  <c r="B1058" i="7"/>
  <c r="E1057" i="7"/>
  <c r="D1057" i="7"/>
  <c r="B1057" i="7"/>
  <c r="C1057" i="7" s="1"/>
  <c r="D1056" i="7"/>
  <c r="B1056" i="7"/>
  <c r="D1055" i="7"/>
  <c r="E1056" i="7" s="1"/>
  <c r="B1055" i="7"/>
  <c r="D1054" i="7"/>
  <c r="E1054" i="7" s="1"/>
  <c r="B1054" i="7"/>
  <c r="D1053" i="7"/>
  <c r="B1053" i="7"/>
  <c r="C1053" i="7" s="1"/>
  <c r="E1052" i="7"/>
  <c r="D1052" i="7"/>
  <c r="C1052" i="7"/>
  <c r="B1052" i="7"/>
  <c r="D1051" i="7"/>
  <c r="B1051" i="7"/>
  <c r="E1050" i="7"/>
  <c r="D1050" i="7"/>
  <c r="E1051" i="7" s="1"/>
  <c r="C1050" i="7"/>
  <c r="B1050" i="7"/>
  <c r="D1049" i="7"/>
  <c r="E1049" i="7" s="1"/>
  <c r="B1049" i="7"/>
  <c r="E1048" i="7"/>
  <c r="D1048" i="7"/>
  <c r="C1048" i="7"/>
  <c r="B1048" i="7"/>
  <c r="E1047" i="7"/>
  <c r="D1047" i="7"/>
  <c r="B1047" i="7"/>
  <c r="D1046" i="7"/>
  <c r="E1046" i="7" s="1"/>
  <c r="C1046" i="7"/>
  <c r="B1046" i="7"/>
  <c r="E1045" i="7"/>
  <c r="D1045" i="7"/>
  <c r="B1045" i="7"/>
  <c r="D1044" i="7"/>
  <c r="C1044" i="7"/>
  <c r="B1044" i="7"/>
  <c r="E1043" i="7"/>
  <c r="D1043" i="7"/>
  <c r="E1044" i="7" s="1"/>
  <c r="B1043" i="7"/>
  <c r="D1042" i="7"/>
  <c r="B1042" i="7"/>
  <c r="C1042" i="7" s="1"/>
  <c r="D1041" i="7"/>
  <c r="E1041" i="7" s="1"/>
  <c r="B1041" i="7"/>
  <c r="C1041" i="7" s="1"/>
  <c r="E1040" i="7"/>
  <c r="D1040" i="7"/>
  <c r="B1040" i="7"/>
  <c r="D1039" i="7"/>
  <c r="E1039" i="7" s="1"/>
  <c r="B1039" i="7"/>
  <c r="E1038" i="7"/>
  <c r="D1038" i="7"/>
  <c r="B1038" i="7"/>
  <c r="C1038" i="7" s="1"/>
  <c r="D1037" i="7"/>
  <c r="B1037" i="7"/>
  <c r="C1037" i="7" s="1"/>
  <c r="D1036" i="7"/>
  <c r="E1036" i="7" s="1"/>
  <c r="C1036" i="7"/>
  <c r="B1036" i="7"/>
  <c r="D1035" i="7"/>
  <c r="B1035" i="7"/>
  <c r="D1034" i="7"/>
  <c r="E1035" i="7" s="1"/>
  <c r="B1034" i="7"/>
  <c r="C1034" i="7" s="1"/>
  <c r="D1033" i="7"/>
  <c r="B1033" i="7"/>
  <c r="D1032" i="7"/>
  <c r="E1032" i="7" s="1"/>
  <c r="B1032" i="7"/>
  <c r="C1032" i="7" s="1"/>
  <c r="D1031" i="7"/>
  <c r="B1031" i="7"/>
  <c r="D1030" i="7"/>
  <c r="B1030" i="7"/>
  <c r="C1030" i="7" s="1"/>
  <c r="D1029" i="7"/>
  <c r="E1029" i="7" s="1"/>
  <c r="B1029" i="7"/>
  <c r="D1028" i="7"/>
  <c r="C1028" i="7"/>
  <c r="B1028" i="7"/>
  <c r="D1027" i="7"/>
  <c r="B1027" i="7"/>
  <c r="D1026" i="7"/>
  <c r="B1026" i="7"/>
  <c r="E1025" i="7"/>
  <c r="D1025" i="7"/>
  <c r="B1025" i="7"/>
  <c r="C1025" i="7" s="1"/>
  <c r="E1024" i="7"/>
  <c r="D1024" i="7"/>
  <c r="B1024" i="7"/>
  <c r="D1023" i="7"/>
  <c r="B1023" i="7"/>
  <c r="E1022" i="7"/>
  <c r="D1022" i="7"/>
  <c r="E1023" i="7" s="1"/>
  <c r="B1022" i="7"/>
  <c r="C1022" i="7" s="1"/>
  <c r="D1021" i="7"/>
  <c r="E1021" i="7" s="1"/>
  <c r="B1021" i="7"/>
  <c r="C1021" i="7" s="1"/>
  <c r="E1020" i="7"/>
  <c r="D1020" i="7"/>
  <c r="C1020" i="7"/>
  <c r="B1020" i="7"/>
  <c r="D1019" i="7"/>
  <c r="B1019" i="7"/>
  <c r="C1019" i="7" s="1"/>
  <c r="E1018" i="7"/>
  <c r="D1018" i="7"/>
  <c r="E1019" i="7" s="1"/>
  <c r="C1018" i="7"/>
  <c r="B1018" i="7"/>
  <c r="D1017" i="7"/>
  <c r="E1017" i="7" s="1"/>
  <c r="B1017" i="7"/>
  <c r="E1016" i="7"/>
  <c r="D1016" i="7"/>
  <c r="C1016" i="7"/>
  <c r="B1016" i="7"/>
  <c r="D1015" i="7"/>
  <c r="B1015" i="7"/>
  <c r="D1014" i="7"/>
  <c r="C1014" i="7"/>
  <c r="B1014" i="7"/>
  <c r="E1013" i="7"/>
  <c r="D1013" i="7"/>
  <c r="B1013" i="7"/>
  <c r="D1012" i="7"/>
  <c r="C1012" i="7"/>
  <c r="B1012" i="7"/>
  <c r="E1011" i="7"/>
  <c r="D1011" i="7"/>
  <c r="E1012" i="7" s="1"/>
  <c r="B1011" i="7"/>
  <c r="C1011" i="7" s="1"/>
  <c r="D1010" i="7"/>
  <c r="B1010" i="7"/>
  <c r="D1009" i="7"/>
  <c r="E1009" i="7" s="1"/>
  <c r="B1009" i="7"/>
  <c r="C1009" i="7" s="1"/>
  <c r="E1008" i="7"/>
  <c r="D1008" i="7"/>
  <c r="B1008" i="7"/>
  <c r="D1007" i="7"/>
  <c r="B1007" i="7"/>
  <c r="E1006" i="7"/>
  <c r="D1006" i="7"/>
  <c r="B1006" i="7"/>
  <c r="D1005" i="7"/>
  <c r="E1005" i="7" s="1"/>
  <c r="B1005" i="7"/>
  <c r="C1005" i="7" s="1"/>
  <c r="D1004" i="7"/>
  <c r="E1004" i="7" s="1"/>
  <c r="B1004" i="7"/>
  <c r="D1003" i="7"/>
  <c r="B1003" i="7"/>
  <c r="D1002" i="7"/>
  <c r="B1002" i="7"/>
  <c r="C1002" i="7" s="1"/>
  <c r="D1001" i="7"/>
  <c r="B1001" i="7"/>
  <c r="E1000" i="7"/>
  <c r="D1000" i="7"/>
  <c r="C1000" i="7"/>
  <c r="B1000" i="7"/>
  <c r="D999" i="7"/>
  <c r="B999" i="7"/>
  <c r="D998" i="7"/>
  <c r="C998" i="7"/>
  <c r="B998" i="7"/>
  <c r="D997" i="7"/>
  <c r="E997" i="7" s="1"/>
  <c r="B997" i="7"/>
  <c r="D996" i="7"/>
  <c r="B996" i="7"/>
  <c r="C996" i="7" s="1"/>
  <c r="E995" i="7"/>
  <c r="D995" i="7"/>
  <c r="E996" i="7" s="1"/>
  <c r="B995" i="7"/>
  <c r="C995" i="7" s="1"/>
  <c r="D994" i="7"/>
  <c r="E994" i="7" s="1"/>
  <c r="B994" i="7"/>
  <c r="E993" i="7"/>
  <c r="D993" i="7"/>
  <c r="B993" i="7"/>
  <c r="C993" i="7" s="1"/>
  <c r="E992" i="7"/>
  <c r="D992" i="7"/>
  <c r="B992" i="7"/>
  <c r="D991" i="7"/>
  <c r="B991" i="7"/>
  <c r="D990" i="7"/>
  <c r="B990" i="7"/>
  <c r="D989" i="7"/>
  <c r="E989" i="7" s="1"/>
  <c r="B989" i="7"/>
  <c r="C989" i="7" s="1"/>
  <c r="E988" i="7"/>
  <c r="D988" i="7"/>
  <c r="B988" i="7"/>
  <c r="D987" i="7"/>
  <c r="B987" i="7"/>
  <c r="D986" i="7"/>
  <c r="C986" i="7"/>
  <c r="B986" i="7"/>
  <c r="D985" i="7"/>
  <c r="B985" i="7"/>
  <c r="D984" i="7"/>
  <c r="E984" i="7" s="1"/>
  <c r="B984" i="7"/>
  <c r="C984" i="7" s="1"/>
  <c r="E983" i="7"/>
  <c r="D983" i="7"/>
  <c r="B983" i="7"/>
  <c r="D982" i="7"/>
  <c r="B982" i="7"/>
  <c r="C982" i="7" s="1"/>
  <c r="D981" i="7"/>
  <c r="E981" i="7" s="1"/>
  <c r="B981" i="7"/>
  <c r="D980" i="7"/>
  <c r="B980" i="7"/>
  <c r="E979" i="7"/>
  <c r="D979" i="7"/>
  <c r="E980" i="7" s="1"/>
  <c r="B979" i="7"/>
  <c r="D978" i="7"/>
  <c r="E978" i="7" s="1"/>
  <c r="B978" i="7"/>
  <c r="C978" i="7" s="1"/>
  <c r="D977" i="7"/>
  <c r="E977" i="7" s="1"/>
  <c r="B977" i="7"/>
  <c r="C977" i="7" s="1"/>
  <c r="D976" i="7"/>
  <c r="B976" i="7"/>
  <c r="E975" i="7"/>
  <c r="D975" i="7"/>
  <c r="E976" i="7" s="1"/>
  <c r="B975" i="7"/>
  <c r="D974" i="7"/>
  <c r="B974" i="7"/>
  <c r="D973" i="7"/>
  <c r="B973" i="7"/>
  <c r="C973" i="7" s="1"/>
  <c r="D972" i="7"/>
  <c r="E972" i="7" s="1"/>
  <c r="B972" i="7"/>
  <c r="D971" i="7"/>
  <c r="B971" i="7"/>
  <c r="E970" i="7"/>
  <c r="D970" i="7"/>
  <c r="E971" i="7" s="1"/>
  <c r="C970" i="7"/>
  <c r="B970" i="7"/>
  <c r="D969" i="7"/>
  <c r="B969" i="7"/>
  <c r="D968" i="7"/>
  <c r="E968" i="7" s="1"/>
  <c r="C968" i="7"/>
  <c r="B968" i="7"/>
  <c r="E967" i="7"/>
  <c r="D967" i="7"/>
  <c r="B967" i="7"/>
  <c r="D966" i="7"/>
  <c r="B966" i="7"/>
  <c r="C966" i="7" s="1"/>
  <c r="E965" i="7"/>
  <c r="D965" i="7"/>
  <c r="B965" i="7"/>
  <c r="D964" i="7"/>
  <c r="B964" i="7"/>
  <c r="D963" i="7"/>
  <c r="B963" i="7"/>
  <c r="C963" i="7" s="1"/>
  <c r="D962" i="7"/>
  <c r="E962" i="7" s="1"/>
  <c r="B962" i="7"/>
  <c r="C962" i="7" s="1"/>
  <c r="E961" i="7"/>
  <c r="D961" i="7"/>
  <c r="B961" i="7"/>
  <c r="C961" i="7" s="1"/>
  <c r="D960" i="7"/>
  <c r="B960" i="7"/>
  <c r="E959" i="7"/>
  <c r="D959" i="7"/>
  <c r="E960" i="7" s="1"/>
  <c r="B959" i="7"/>
  <c r="D958" i="7"/>
  <c r="E958" i="7" s="1"/>
  <c r="B958" i="7"/>
  <c r="D957" i="7"/>
  <c r="B957" i="7"/>
  <c r="C957" i="7" s="1"/>
  <c r="D956" i="7"/>
  <c r="E956" i="7" s="1"/>
  <c r="C956" i="7"/>
  <c r="B956" i="7"/>
  <c r="D955" i="7"/>
  <c r="B955" i="7"/>
  <c r="D954" i="7"/>
  <c r="E955" i="7" s="1"/>
  <c r="B954" i="7"/>
  <c r="C954" i="7" s="1"/>
  <c r="D953" i="7"/>
  <c r="E953" i="7" s="1"/>
  <c r="B953" i="7"/>
  <c r="E952" i="7"/>
  <c r="D952" i="7"/>
  <c r="B952" i="7"/>
  <c r="C952" i="7" s="1"/>
  <c r="E951" i="7"/>
  <c r="D951" i="7"/>
  <c r="B951" i="7"/>
  <c r="D950" i="7"/>
  <c r="C950" i="7"/>
  <c r="B950" i="7"/>
  <c r="D949" i="7"/>
  <c r="E949" i="7" s="1"/>
  <c r="B949" i="7"/>
  <c r="D948" i="7"/>
  <c r="C948" i="7"/>
  <c r="B948" i="7"/>
  <c r="E947" i="7"/>
  <c r="D947" i="7"/>
  <c r="E948" i="7" s="1"/>
  <c r="B947" i="7"/>
  <c r="D946" i="7"/>
  <c r="B946" i="7"/>
  <c r="C946" i="7" s="1"/>
  <c r="E945" i="7"/>
  <c r="D945" i="7"/>
  <c r="B945" i="7"/>
  <c r="C945" i="7" s="1"/>
  <c r="D944" i="7"/>
  <c r="B944" i="7"/>
  <c r="D943" i="7"/>
  <c r="E944" i="7" s="1"/>
  <c r="B943" i="7"/>
  <c r="E942" i="7"/>
  <c r="D942" i="7"/>
  <c r="B942" i="7"/>
  <c r="D941" i="7"/>
  <c r="B941" i="7"/>
  <c r="C941" i="7" s="1"/>
  <c r="D940" i="7"/>
  <c r="E940" i="7" s="1"/>
  <c r="C940" i="7"/>
  <c r="B940" i="7"/>
  <c r="D939" i="7"/>
  <c r="B939" i="7"/>
  <c r="D938" i="7"/>
  <c r="C938" i="7"/>
  <c r="B938" i="7"/>
  <c r="D937" i="7"/>
  <c r="E937" i="7" s="1"/>
  <c r="B937" i="7"/>
  <c r="D936" i="7"/>
  <c r="E936" i="7" s="1"/>
  <c r="B936" i="7"/>
  <c r="C936" i="7" s="1"/>
  <c r="E935" i="7"/>
  <c r="D935" i="7"/>
  <c r="B935" i="7"/>
  <c r="D934" i="7"/>
  <c r="B934" i="7"/>
  <c r="C934" i="7" s="1"/>
  <c r="D933" i="7"/>
  <c r="E933" i="7" s="1"/>
  <c r="B933" i="7"/>
  <c r="D932" i="7"/>
  <c r="C932" i="7"/>
  <c r="B932" i="7"/>
  <c r="D931" i="7"/>
  <c r="E932" i="7" s="1"/>
  <c r="B931" i="7"/>
  <c r="D930" i="7"/>
  <c r="B930" i="7"/>
  <c r="D929" i="7"/>
  <c r="E929" i="7" s="1"/>
  <c r="B929" i="7"/>
  <c r="C929" i="7" s="1"/>
  <c r="D928" i="7"/>
  <c r="B928" i="7"/>
  <c r="D927" i="7"/>
  <c r="E928" i="7" s="1"/>
  <c r="B927" i="7"/>
  <c r="E926" i="7"/>
  <c r="D926" i="7"/>
  <c r="B926" i="7"/>
  <c r="D925" i="7"/>
  <c r="B925" i="7"/>
  <c r="C925" i="7" s="1"/>
  <c r="D924" i="7"/>
  <c r="E924" i="7" s="1"/>
  <c r="C924" i="7"/>
  <c r="B924" i="7"/>
  <c r="D923" i="7"/>
  <c r="B923" i="7"/>
  <c r="E922" i="7"/>
  <c r="D922" i="7"/>
  <c r="E923" i="7" s="1"/>
  <c r="B922" i="7"/>
  <c r="C922" i="7" s="1"/>
  <c r="D921" i="7"/>
  <c r="E921" i="7" s="1"/>
  <c r="B921" i="7"/>
  <c r="E920" i="7"/>
  <c r="D920" i="7"/>
  <c r="C920" i="7"/>
  <c r="B920" i="7"/>
  <c r="D919" i="7"/>
  <c r="B919" i="7"/>
  <c r="D918" i="7"/>
  <c r="C918" i="7"/>
  <c r="B918" i="7"/>
  <c r="E917" i="7"/>
  <c r="D917" i="7"/>
  <c r="B917" i="7"/>
  <c r="D916" i="7"/>
  <c r="B916" i="7"/>
  <c r="C916" i="7" s="1"/>
  <c r="E915" i="7"/>
  <c r="D915" i="7"/>
  <c r="E916" i="7" s="1"/>
  <c r="B915" i="7"/>
  <c r="D914" i="7"/>
  <c r="B914" i="7"/>
  <c r="E913" i="7"/>
  <c r="D913" i="7"/>
  <c r="B913" i="7"/>
  <c r="C913" i="7" s="1"/>
  <c r="E912" i="7"/>
  <c r="D912" i="7"/>
  <c r="B912" i="7"/>
  <c r="D911" i="7"/>
  <c r="B911" i="7"/>
  <c r="D910" i="7"/>
  <c r="B910" i="7"/>
  <c r="D909" i="7"/>
  <c r="B909" i="7"/>
  <c r="C909" i="7" s="1"/>
  <c r="E908" i="7"/>
  <c r="D908" i="7"/>
  <c r="C908" i="7"/>
  <c r="B908" i="7"/>
  <c r="D907" i="7"/>
  <c r="B907" i="7"/>
  <c r="D906" i="7"/>
  <c r="E906" i="7" s="1"/>
  <c r="C906" i="7"/>
  <c r="B906" i="7"/>
  <c r="D905" i="7"/>
  <c r="E905" i="7" s="1"/>
  <c r="B905" i="7"/>
  <c r="D904" i="7"/>
  <c r="E904" i="7" s="1"/>
  <c r="B904" i="7"/>
  <c r="C904" i="7" s="1"/>
  <c r="E903" i="7"/>
  <c r="D903" i="7"/>
  <c r="B903" i="7"/>
  <c r="C903" i="7" s="1"/>
  <c r="D902" i="7"/>
  <c r="B902" i="7"/>
  <c r="C902" i="7" s="1"/>
  <c r="D901" i="7"/>
  <c r="E901" i="7" s="1"/>
  <c r="B901" i="7"/>
  <c r="E900" i="7"/>
  <c r="D900" i="7"/>
  <c r="C900" i="7"/>
  <c r="B900" i="7"/>
  <c r="D899" i="7"/>
  <c r="B899" i="7"/>
  <c r="D898" i="7"/>
  <c r="B898" i="7"/>
  <c r="C898" i="7" s="1"/>
  <c r="D897" i="7"/>
  <c r="E897" i="7" s="1"/>
  <c r="B897" i="7"/>
  <c r="C897" i="7" s="1"/>
  <c r="D896" i="7"/>
  <c r="B896" i="7"/>
  <c r="D895" i="7"/>
  <c r="B895" i="7"/>
  <c r="D894" i="7"/>
  <c r="E894" i="7" s="1"/>
  <c r="B894" i="7"/>
  <c r="D893" i="7"/>
  <c r="B893" i="7"/>
  <c r="C893" i="7" s="1"/>
  <c r="E892" i="7"/>
  <c r="D892" i="7"/>
  <c r="C892" i="7"/>
  <c r="B892" i="7"/>
  <c r="D891" i="7"/>
  <c r="B891" i="7"/>
  <c r="C891" i="7" s="1"/>
  <c r="E890" i="7"/>
  <c r="D890" i="7"/>
  <c r="E891" i="7" s="1"/>
  <c r="C890" i="7"/>
  <c r="B890" i="7"/>
  <c r="D889" i="7"/>
  <c r="B889" i="7"/>
  <c r="D888" i="7"/>
  <c r="E888" i="7" s="1"/>
  <c r="C888" i="7"/>
  <c r="B888" i="7"/>
  <c r="E887" i="7"/>
  <c r="D887" i="7"/>
  <c r="B887" i="7"/>
  <c r="D886" i="7"/>
  <c r="B886" i="7"/>
  <c r="C886" i="7" s="1"/>
  <c r="D885" i="7"/>
  <c r="E885" i="7" s="1"/>
  <c r="B885" i="7"/>
  <c r="D884" i="7"/>
  <c r="B884" i="7"/>
  <c r="D883" i="7"/>
  <c r="E884" i="7" s="1"/>
  <c r="B883" i="7"/>
  <c r="D882" i="7"/>
  <c r="E882" i="7" s="1"/>
  <c r="B882" i="7"/>
  <c r="C882" i="7" s="1"/>
  <c r="D881" i="7"/>
  <c r="E881" i="7" s="1"/>
  <c r="B881" i="7"/>
  <c r="C881" i="7" s="1"/>
  <c r="E880" i="7"/>
  <c r="D880" i="7"/>
  <c r="C880" i="7"/>
  <c r="B880" i="7"/>
  <c r="E879" i="7"/>
  <c r="D879" i="7"/>
  <c r="B879" i="7"/>
  <c r="D878" i="7"/>
  <c r="B878" i="7"/>
  <c r="D877" i="7"/>
  <c r="E877" i="7" s="1"/>
  <c r="B877" i="7"/>
  <c r="C877" i="7" s="1"/>
  <c r="E876" i="7"/>
  <c r="D876" i="7"/>
  <c r="B876" i="7"/>
  <c r="D875" i="7"/>
  <c r="B875" i="7"/>
  <c r="E874" i="7"/>
  <c r="D874" i="7"/>
  <c r="E875" i="7" s="1"/>
  <c r="B874" i="7"/>
  <c r="C874" i="7" s="1"/>
  <c r="D873" i="7"/>
  <c r="B873" i="7"/>
  <c r="D872" i="7"/>
  <c r="E872" i="7" s="1"/>
  <c r="B872" i="7"/>
  <c r="C872" i="7" s="1"/>
  <c r="D871" i="7"/>
  <c r="B871" i="7"/>
  <c r="D870" i="7"/>
  <c r="C870" i="7"/>
  <c r="B870" i="7"/>
  <c r="E869" i="7"/>
  <c r="D869" i="7"/>
  <c r="B869" i="7"/>
  <c r="D868" i="7"/>
  <c r="C868" i="7"/>
  <c r="B868" i="7"/>
  <c r="E867" i="7"/>
  <c r="D867" i="7"/>
  <c r="E868" i="7" s="1"/>
  <c r="B867" i="7"/>
  <c r="C867" i="7" s="1"/>
  <c r="D866" i="7"/>
  <c r="B866" i="7"/>
  <c r="D865" i="7"/>
  <c r="E865" i="7" s="1"/>
  <c r="B865" i="7"/>
  <c r="C865" i="7" s="1"/>
  <c r="E864" i="7"/>
  <c r="D864" i="7"/>
  <c r="B864" i="7"/>
  <c r="D863" i="7"/>
  <c r="B863" i="7"/>
  <c r="D862" i="7"/>
  <c r="E863" i="7" s="1"/>
  <c r="B862" i="7"/>
  <c r="C862" i="7" s="1"/>
  <c r="D861" i="7"/>
  <c r="E861" i="7" s="1"/>
  <c r="B861" i="7"/>
  <c r="C861" i="7" s="1"/>
  <c r="E860" i="7"/>
  <c r="D860" i="7"/>
  <c r="C860" i="7"/>
  <c r="B860" i="7"/>
  <c r="E859" i="7"/>
  <c r="D859" i="7"/>
  <c r="B859" i="7"/>
  <c r="D858" i="7"/>
  <c r="B858" i="7"/>
  <c r="C858" i="7" s="1"/>
  <c r="D857" i="7"/>
  <c r="B857" i="7"/>
  <c r="D856" i="7"/>
  <c r="E856" i="7" s="1"/>
  <c r="B856" i="7"/>
  <c r="C856" i="7" s="1"/>
  <c r="D855" i="7"/>
  <c r="B855" i="7"/>
  <c r="D854" i="7"/>
  <c r="B854" i="7"/>
  <c r="C854" i="7" s="1"/>
  <c r="D853" i="7"/>
  <c r="E853" i="7" s="1"/>
  <c r="B853" i="7"/>
  <c r="E852" i="7"/>
  <c r="D852" i="7"/>
  <c r="B852" i="7"/>
  <c r="C852" i="7" s="1"/>
  <c r="E851" i="7"/>
  <c r="D851" i="7"/>
  <c r="B851" i="7"/>
  <c r="D850" i="7"/>
  <c r="B850" i="7"/>
  <c r="C850" i="7" s="1"/>
  <c r="E849" i="7"/>
  <c r="D849" i="7"/>
  <c r="B849" i="7"/>
  <c r="C849" i="7" s="1"/>
  <c r="D848" i="7"/>
  <c r="B848" i="7"/>
  <c r="D847" i="7"/>
  <c r="E848" i="7" s="1"/>
  <c r="B847" i="7"/>
  <c r="D846" i="7"/>
  <c r="E846" i="7" s="1"/>
  <c r="B846" i="7"/>
  <c r="D845" i="7"/>
  <c r="B845" i="7"/>
  <c r="C845" i="7" s="1"/>
  <c r="D844" i="7"/>
  <c r="E844" i="7" s="1"/>
  <c r="C844" i="7"/>
  <c r="B844" i="7"/>
  <c r="D843" i="7"/>
  <c r="B843" i="7"/>
  <c r="D842" i="7"/>
  <c r="C842" i="7"/>
  <c r="B842" i="7"/>
  <c r="D841" i="7"/>
  <c r="E841" i="7" s="1"/>
  <c r="B841" i="7"/>
  <c r="D840" i="7"/>
  <c r="E840" i="7" s="1"/>
  <c r="B840" i="7"/>
  <c r="E839" i="7"/>
  <c r="D839" i="7"/>
  <c r="B839" i="7"/>
  <c r="C839" i="7" s="1"/>
  <c r="D838" i="7"/>
  <c r="E838" i="7" s="1"/>
  <c r="B838" i="7"/>
  <c r="C838" i="7" s="1"/>
  <c r="D837" i="7"/>
  <c r="E837" i="7" s="1"/>
  <c r="B837" i="7"/>
  <c r="E836" i="7"/>
  <c r="D836" i="7"/>
  <c r="C836" i="7"/>
  <c r="B836" i="7"/>
  <c r="D835" i="7"/>
  <c r="B835" i="7"/>
  <c r="D834" i="7"/>
  <c r="B834" i="7"/>
  <c r="C834" i="7" s="1"/>
  <c r="D833" i="7"/>
  <c r="E833" i="7" s="1"/>
  <c r="B833" i="7"/>
  <c r="C833" i="7" s="1"/>
  <c r="D832" i="7"/>
  <c r="C832" i="7"/>
  <c r="B832" i="7"/>
  <c r="D831" i="7"/>
  <c r="E832" i="7" s="1"/>
  <c r="B831" i="7"/>
  <c r="C831" i="7" s="1"/>
  <c r="D830" i="7"/>
  <c r="B830" i="7"/>
  <c r="D829" i="7"/>
  <c r="E829" i="7" s="1"/>
  <c r="B829" i="7"/>
  <c r="C829" i="7" s="1"/>
  <c r="E828" i="7"/>
  <c r="D828" i="7"/>
  <c r="B828" i="7"/>
  <c r="D827" i="7"/>
  <c r="B827" i="7"/>
  <c r="D826" i="7"/>
  <c r="E827" i="7" s="1"/>
  <c r="C826" i="7"/>
  <c r="B826" i="7"/>
  <c r="D825" i="7"/>
  <c r="B825" i="7"/>
  <c r="D824" i="7"/>
  <c r="E824" i="7" s="1"/>
  <c r="B824" i="7"/>
  <c r="C824" i="7" s="1"/>
  <c r="E823" i="7"/>
  <c r="D823" i="7"/>
  <c r="B823" i="7"/>
  <c r="D822" i="7"/>
  <c r="B822" i="7"/>
  <c r="C822" i="7" s="1"/>
  <c r="D821" i="7"/>
  <c r="E821" i="7" s="1"/>
  <c r="B821" i="7"/>
  <c r="E820" i="7"/>
  <c r="D820" i="7"/>
  <c r="B820" i="7"/>
  <c r="D819" i="7"/>
  <c r="B819" i="7"/>
  <c r="D818" i="7"/>
  <c r="B818" i="7"/>
  <c r="C818" i="7" s="1"/>
  <c r="D817" i="7"/>
  <c r="E817" i="7" s="1"/>
  <c r="B817" i="7"/>
  <c r="C817" i="7" s="1"/>
  <c r="E816" i="7"/>
  <c r="D816" i="7"/>
  <c r="C816" i="7"/>
  <c r="B816" i="7"/>
  <c r="E815" i="7"/>
  <c r="D815" i="7"/>
  <c r="B815" i="7"/>
  <c r="D814" i="7"/>
  <c r="B814" i="7"/>
  <c r="D813" i="7"/>
  <c r="E813" i="7" s="1"/>
  <c r="B813" i="7"/>
  <c r="C813" i="7" s="1"/>
  <c r="E812" i="7"/>
  <c r="D812" i="7"/>
  <c r="B812" i="7"/>
  <c r="E811" i="7"/>
  <c r="D811" i="7"/>
  <c r="B811" i="7"/>
  <c r="E810" i="7"/>
  <c r="D810" i="7"/>
  <c r="B810" i="7"/>
  <c r="C810" i="7" s="1"/>
  <c r="D809" i="7"/>
  <c r="B809" i="7"/>
  <c r="E808" i="7"/>
  <c r="D808" i="7"/>
  <c r="B808" i="7"/>
  <c r="C808" i="7" s="1"/>
  <c r="D807" i="7"/>
  <c r="B807" i="7"/>
  <c r="D806" i="7"/>
  <c r="B806" i="7"/>
  <c r="C806" i="7" s="1"/>
  <c r="E805" i="7"/>
  <c r="D805" i="7"/>
  <c r="B805" i="7"/>
  <c r="D804" i="7"/>
  <c r="B804" i="7"/>
  <c r="C804" i="7" s="1"/>
  <c r="D803" i="7"/>
  <c r="E804" i="7" s="1"/>
  <c r="B803" i="7"/>
  <c r="C803" i="7" s="1"/>
  <c r="D802" i="7"/>
  <c r="B802" i="7"/>
  <c r="D801" i="7"/>
  <c r="E801" i="7" s="1"/>
  <c r="B801" i="7"/>
  <c r="E800" i="7"/>
  <c r="D800" i="7"/>
  <c r="B800" i="7"/>
  <c r="D799" i="7"/>
  <c r="B799" i="7"/>
  <c r="D798" i="7"/>
  <c r="E798" i="7" s="1"/>
  <c r="B798" i="7"/>
  <c r="C798" i="7" s="1"/>
  <c r="D797" i="7"/>
  <c r="E797" i="7" s="1"/>
  <c r="B797" i="7"/>
  <c r="C797" i="7" s="1"/>
  <c r="E796" i="7"/>
  <c r="D796" i="7"/>
  <c r="C796" i="7"/>
  <c r="B796" i="7"/>
  <c r="E795" i="7"/>
  <c r="D795" i="7"/>
  <c r="B795" i="7"/>
  <c r="D794" i="7"/>
  <c r="E794" i="7" s="1"/>
  <c r="B794" i="7"/>
  <c r="D793" i="7"/>
  <c r="E793" i="7" s="1"/>
  <c r="B793" i="7"/>
  <c r="C794" i="7" s="1"/>
  <c r="D792" i="7"/>
  <c r="E792" i="7" s="1"/>
  <c r="B792" i="7"/>
  <c r="C792" i="7" s="1"/>
  <c r="E791" i="7"/>
  <c r="D791" i="7"/>
  <c r="B791" i="7"/>
  <c r="C791" i="7" s="1"/>
  <c r="D790" i="7"/>
  <c r="C790" i="7"/>
  <c r="B790" i="7"/>
  <c r="E789" i="7"/>
  <c r="D789" i="7"/>
  <c r="E790" i="7" s="1"/>
  <c r="B789" i="7"/>
  <c r="D788" i="7"/>
  <c r="B788" i="7"/>
  <c r="D787" i="7"/>
  <c r="E788" i="7" s="1"/>
  <c r="B787" i="7"/>
  <c r="D786" i="7"/>
  <c r="E786" i="7" s="1"/>
  <c r="C786" i="7"/>
  <c r="B786" i="7"/>
  <c r="D785" i="7"/>
  <c r="E785" i="7" s="1"/>
  <c r="B785" i="7"/>
  <c r="E784" i="7"/>
  <c r="D784" i="7"/>
  <c r="B784" i="7"/>
  <c r="C784" i="7" s="1"/>
  <c r="E783" i="7"/>
  <c r="D783" i="7"/>
  <c r="B783" i="7"/>
  <c r="D782" i="7"/>
  <c r="B782" i="7"/>
  <c r="D781" i="7"/>
  <c r="E781" i="7" s="1"/>
  <c r="B781" i="7"/>
  <c r="C781" i="7" s="1"/>
  <c r="D780" i="7"/>
  <c r="E780" i="7" s="1"/>
  <c r="B780" i="7"/>
  <c r="E779" i="7"/>
  <c r="D779" i="7"/>
  <c r="B779" i="7"/>
  <c r="D778" i="7"/>
  <c r="B778" i="7"/>
  <c r="D777" i="7"/>
  <c r="B777" i="7"/>
  <c r="E776" i="7"/>
  <c r="D776" i="7"/>
  <c r="B776" i="7"/>
  <c r="D775" i="7"/>
  <c r="B775" i="7"/>
  <c r="D774" i="7"/>
  <c r="E775" i="7" s="1"/>
  <c r="C774" i="7"/>
  <c r="B774" i="7"/>
  <c r="D773" i="7"/>
  <c r="B773" i="7"/>
  <c r="D772" i="7"/>
  <c r="E772" i="7" s="1"/>
  <c r="B772" i="7"/>
  <c r="C772" i="7" s="1"/>
  <c r="E771" i="7"/>
  <c r="D771" i="7"/>
  <c r="B771" i="7"/>
  <c r="D770" i="7"/>
  <c r="B770" i="7"/>
  <c r="C770" i="7" s="1"/>
  <c r="D769" i="7"/>
  <c r="E769" i="7" s="1"/>
  <c r="B769" i="7"/>
  <c r="D768" i="7"/>
  <c r="B768" i="7"/>
  <c r="D767" i="7"/>
  <c r="B767" i="7"/>
  <c r="C767" i="7" s="1"/>
  <c r="E766" i="7"/>
  <c r="D766" i="7"/>
  <c r="B766" i="7"/>
  <c r="D765" i="7"/>
  <c r="B765" i="7"/>
  <c r="C765" i="7" s="1"/>
  <c r="D764" i="7"/>
  <c r="E764" i="7" s="1"/>
  <c r="C764" i="7"/>
  <c r="B764" i="7"/>
  <c r="D763" i="7"/>
  <c r="B763" i="7"/>
  <c r="D762" i="7"/>
  <c r="E763" i="7" s="1"/>
  <c r="B762" i="7"/>
  <c r="C762" i="7" s="1"/>
  <c r="D761" i="7"/>
  <c r="B761" i="7"/>
  <c r="D760" i="7"/>
  <c r="E760" i="7" s="1"/>
  <c r="C760" i="7"/>
  <c r="B760" i="7"/>
  <c r="E759" i="7"/>
  <c r="D759" i="7"/>
  <c r="B759" i="7"/>
  <c r="D758" i="7"/>
  <c r="B758" i="7"/>
  <c r="C758" i="7" s="1"/>
  <c r="E757" i="7"/>
  <c r="D757" i="7"/>
  <c r="E758" i="7" s="1"/>
  <c r="B757" i="7"/>
  <c r="D756" i="7"/>
  <c r="B756" i="7"/>
  <c r="C756" i="7" s="1"/>
  <c r="E755" i="7"/>
  <c r="D755" i="7"/>
  <c r="B755" i="7"/>
  <c r="C755" i="7" s="1"/>
  <c r="D754" i="7"/>
  <c r="B754" i="7"/>
  <c r="D753" i="7"/>
  <c r="E753" i="7" s="1"/>
  <c r="B753" i="7"/>
  <c r="C753" i="7" s="1"/>
  <c r="E752" i="7"/>
  <c r="D752" i="7"/>
  <c r="C752" i="7"/>
  <c r="B752" i="7"/>
  <c r="D751" i="7"/>
  <c r="B751" i="7"/>
  <c r="E750" i="7"/>
  <c r="D750" i="7"/>
  <c r="E751" i="7" s="1"/>
  <c r="B750" i="7"/>
  <c r="C750" i="7" s="1"/>
  <c r="E749" i="7"/>
  <c r="D749" i="7"/>
  <c r="B749" i="7"/>
  <c r="C749" i="7" s="1"/>
  <c r="D748" i="7"/>
  <c r="C748" i="7"/>
  <c r="B748" i="7"/>
  <c r="D747" i="7"/>
  <c r="E747" i="7" s="1"/>
  <c r="B747" i="7"/>
  <c r="D746" i="7"/>
  <c r="C746" i="7"/>
  <c r="B746" i="7"/>
  <c r="D745" i="7"/>
  <c r="B745" i="7"/>
  <c r="D744" i="7"/>
  <c r="B744" i="7"/>
  <c r="D743" i="7"/>
  <c r="E743" i="7" s="1"/>
  <c r="C743" i="7"/>
  <c r="B743" i="7"/>
  <c r="D742" i="7"/>
  <c r="B742" i="7"/>
  <c r="D741" i="7"/>
  <c r="B741" i="7"/>
  <c r="C742" i="7" s="1"/>
  <c r="E740" i="7"/>
  <c r="D740" i="7"/>
  <c r="B740" i="7"/>
  <c r="D739" i="7"/>
  <c r="B739" i="7"/>
  <c r="C739" i="7" s="1"/>
  <c r="D738" i="7"/>
  <c r="E738" i="7" s="1"/>
  <c r="C738" i="7"/>
  <c r="B738" i="7"/>
  <c r="D737" i="7"/>
  <c r="B737" i="7"/>
  <c r="D736" i="7"/>
  <c r="E736" i="7" s="1"/>
  <c r="B736" i="7"/>
  <c r="C736" i="7" s="1"/>
  <c r="D735" i="7"/>
  <c r="B735" i="7"/>
  <c r="D734" i="7"/>
  <c r="E734" i="7" s="1"/>
  <c r="B734" i="7"/>
  <c r="D733" i="7"/>
  <c r="E733" i="7" s="1"/>
  <c r="B733" i="7"/>
  <c r="C733" i="7" s="1"/>
  <c r="D732" i="7"/>
  <c r="E732" i="7" s="1"/>
  <c r="C732" i="7"/>
  <c r="B732" i="7"/>
  <c r="D731" i="7"/>
  <c r="E731" i="7" s="1"/>
  <c r="B731" i="7"/>
  <c r="D730" i="7"/>
  <c r="B730" i="7"/>
  <c r="C731" i="7" s="1"/>
  <c r="D729" i="7"/>
  <c r="B729" i="7"/>
  <c r="D728" i="7"/>
  <c r="B728" i="7"/>
  <c r="D727" i="7"/>
  <c r="E727" i="7" s="1"/>
  <c r="C727" i="7"/>
  <c r="B727" i="7"/>
  <c r="D726" i="7"/>
  <c r="B726" i="7"/>
  <c r="D725" i="7"/>
  <c r="E726" i="7" s="1"/>
  <c r="B725" i="7"/>
  <c r="C726" i="7" s="1"/>
  <c r="D724" i="7"/>
  <c r="E724" i="7" s="1"/>
  <c r="B724" i="7"/>
  <c r="D723" i="7"/>
  <c r="C723" i="7"/>
  <c r="B723" i="7"/>
  <c r="D722" i="7"/>
  <c r="E722" i="7" s="1"/>
  <c r="C722" i="7"/>
  <c r="B722" i="7"/>
  <c r="D721" i="7"/>
  <c r="B721" i="7"/>
  <c r="E720" i="7"/>
  <c r="D720" i="7"/>
  <c r="B720" i="7"/>
  <c r="C720" i="7" s="1"/>
  <c r="D719" i="7"/>
  <c r="B719" i="7"/>
  <c r="D718" i="7"/>
  <c r="C718" i="7"/>
  <c r="B718" i="7"/>
  <c r="C719" i="7" s="1"/>
  <c r="D717" i="7"/>
  <c r="B717" i="7"/>
  <c r="C717" i="7" s="1"/>
  <c r="D716" i="7"/>
  <c r="E716" i="7" s="1"/>
  <c r="C716" i="7"/>
  <c r="B716" i="7"/>
  <c r="D715" i="7"/>
  <c r="E715" i="7" s="1"/>
  <c r="B715" i="7"/>
  <c r="D714" i="7"/>
  <c r="B714" i="7"/>
  <c r="C715" i="7" s="1"/>
  <c r="D713" i="7"/>
  <c r="B713" i="7"/>
  <c r="D712" i="7"/>
  <c r="B712" i="7"/>
  <c r="C713" i="7" s="1"/>
  <c r="D711" i="7"/>
  <c r="E711" i="7" s="1"/>
  <c r="B711" i="7"/>
  <c r="C711" i="7" s="1"/>
  <c r="E710" i="7"/>
  <c r="D710" i="7"/>
  <c r="B710" i="7"/>
  <c r="D709" i="7"/>
  <c r="B709" i="7"/>
  <c r="E708" i="7"/>
  <c r="D708" i="7"/>
  <c r="B708" i="7"/>
  <c r="C708" i="7" s="1"/>
  <c r="D707" i="7"/>
  <c r="B707" i="7"/>
  <c r="C707" i="7" s="1"/>
  <c r="D706" i="7"/>
  <c r="E706" i="7" s="1"/>
  <c r="C706" i="7"/>
  <c r="B706" i="7"/>
  <c r="D705" i="7"/>
  <c r="B705" i="7"/>
  <c r="D704" i="7"/>
  <c r="E704" i="7" s="1"/>
  <c r="B704" i="7"/>
  <c r="C704" i="7" s="1"/>
  <c r="D703" i="7"/>
  <c r="B703" i="7"/>
  <c r="E702" i="7"/>
  <c r="D702" i="7"/>
  <c r="B702" i="7"/>
  <c r="C703" i="7" s="1"/>
  <c r="D701" i="7"/>
  <c r="B701" i="7"/>
  <c r="D700" i="7"/>
  <c r="E700" i="7" s="1"/>
  <c r="B700" i="7"/>
  <c r="C700" i="7" s="1"/>
  <c r="D699" i="7"/>
  <c r="E699" i="7" s="1"/>
  <c r="B699" i="7"/>
  <c r="D698" i="7"/>
  <c r="B698" i="7"/>
  <c r="C699" i="7" s="1"/>
  <c r="D697" i="7"/>
  <c r="C697" i="7"/>
  <c r="B697" i="7"/>
  <c r="D696" i="7"/>
  <c r="B696" i="7"/>
  <c r="D695" i="7"/>
  <c r="E695" i="7" s="1"/>
  <c r="B695" i="7"/>
  <c r="C695" i="7" s="1"/>
  <c r="E694" i="7"/>
  <c r="D694" i="7"/>
  <c r="B694" i="7"/>
  <c r="D693" i="7"/>
  <c r="C693" i="7"/>
  <c r="B693" i="7"/>
  <c r="C694" i="7" s="1"/>
  <c r="D692" i="7"/>
  <c r="E692" i="7" s="1"/>
  <c r="B692" i="7"/>
  <c r="C692" i="7" s="1"/>
  <c r="D691" i="7"/>
  <c r="C691" i="7"/>
  <c r="B691" i="7"/>
  <c r="E690" i="7"/>
  <c r="D690" i="7"/>
  <c r="B690" i="7"/>
  <c r="D689" i="7"/>
  <c r="B689" i="7"/>
  <c r="C689" i="7" s="1"/>
  <c r="E688" i="7"/>
  <c r="D688" i="7"/>
  <c r="C688" i="7"/>
  <c r="B688" i="7"/>
  <c r="D687" i="7"/>
  <c r="B687" i="7"/>
  <c r="D686" i="7"/>
  <c r="E686" i="7" s="1"/>
  <c r="C686" i="7"/>
  <c r="B686" i="7"/>
  <c r="C687" i="7" s="1"/>
  <c r="D685" i="7"/>
  <c r="B685" i="7"/>
  <c r="D684" i="7"/>
  <c r="B684" i="7"/>
  <c r="C684" i="7" s="1"/>
  <c r="D683" i="7"/>
  <c r="E683" i="7" s="1"/>
  <c r="B683" i="7"/>
  <c r="D682" i="7"/>
  <c r="B682" i="7"/>
  <c r="D681" i="7"/>
  <c r="B681" i="7"/>
  <c r="C681" i="7" s="1"/>
  <c r="D680" i="7"/>
  <c r="B680" i="7"/>
  <c r="D679" i="7"/>
  <c r="E679" i="7" s="1"/>
  <c r="B679" i="7"/>
  <c r="C679" i="7" s="1"/>
  <c r="E678" i="7"/>
  <c r="D678" i="7"/>
  <c r="B678" i="7"/>
  <c r="D677" i="7"/>
  <c r="B677" i="7"/>
  <c r="C678" i="7" s="1"/>
  <c r="D676" i="7"/>
  <c r="E676" i="7" s="1"/>
  <c r="B676" i="7"/>
  <c r="C676" i="7" s="1"/>
  <c r="D675" i="7"/>
  <c r="C675" i="7"/>
  <c r="B675" i="7"/>
  <c r="D674" i="7"/>
  <c r="E674" i="7" s="1"/>
  <c r="B674" i="7"/>
  <c r="D673" i="7"/>
  <c r="B673" i="7"/>
  <c r="E672" i="7"/>
  <c r="D672" i="7"/>
  <c r="B672" i="7"/>
  <c r="C672" i="7" s="1"/>
  <c r="D671" i="7"/>
  <c r="B671" i="7"/>
  <c r="D670" i="7"/>
  <c r="E670" i="7" s="1"/>
  <c r="C670" i="7"/>
  <c r="B670" i="7"/>
  <c r="C671" i="7" s="1"/>
  <c r="D669" i="7"/>
  <c r="B669" i="7"/>
  <c r="D668" i="7"/>
  <c r="B668" i="7"/>
  <c r="C668" i="7" s="1"/>
  <c r="D667" i="7"/>
  <c r="E667" i="7" s="1"/>
  <c r="C667" i="7"/>
  <c r="B667" i="7"/>
  <c r="D666" i="7"/>
  <c r="B666" i="7"/>
  <c r="D665" i="7"/>
  <c r="B665" i="7"/>
  <c r="C666" i="7" s="1"/>
  <c r="D664" i="7"/>
  <c r="E664" i="7" s="1"/>
  <c r="B664" i="7"/>
  <c r="D663" i="7"/>
  <c r="E663" i="7" s="1"/>
  <c r="C663" i="7"/>
  <c r="B663" i="7"/>
  <c r="E662" i="7"/>
  <c r="D662" i="7"/>
  <c r="B662" i="7"/>
  <c r="D661" i="7"/>
  <c r="E661" i="7" s="1"/>
  <c r="C661" i="7"/>
  <c r="B661" i="7"/>
  <c r="C662" i="7" s="1"/>
  <c r="E660" i="7"/>
  <c r="D660" i="7"/>
  <c r="B660" i="7"/>
  <c r="C660" i="7" s="1"/>
  <c r="D659" i="7"/>
  <c r="B659" i="7"/>
  <c r="C659" i="7" s="1"/>
  <c r="E658" i="7"/>
  <c r="D658" i="7"/>
  <c r="B658" i="7"/>
  <c r="D657" i="7"/>
  <c r="B657" i="7"/>
  <c r="D656" i="7"/>
  <c r="E656" i="7" s="1"/>
  <c r="C656" i="7"/>
  <c r="B656" i="7"/>
  <c r="D655" i="7"/>
  <c r="B655" i="7"/>
  <c r="D654" i="7"/>
  <c r="E654" i="7" s="1"/>
  <c r="B654" i="7"/>
  <c r="C655" i="7" s="1"/>
  <c r="D653" i="7"/>
  <c r="B653" i="7"/>
  <c r="D652" i="7"/>
  <c r="B652" i="7"/>
  <c r="C652" i="7" s="1"/>
  <c r="D651" i="7"/>
  <c r="E651" i="7" s="1"/>
  <c r="C651" i="7"/>
  <c r="B651" i="7"/>
  <c r="D650" i="7"/>
  <c r="B650" i="7"/>
  <c r="D649" i="7"/>
  <c r="B649" i="7"/>
  <c r="C649" i="7" s="1"/>
  <c r="D648" i="7"/>
  <c r="E648" i="7" s="1"/>
  <c r="B648" i="7"/>
  <c r="C648" i="7" s="1"/>
  <c r="D647" i="7"/>
  <c r="E647" i="7" s="1"/>
  <c r="B647" i="7"/>
  <c r="C647" i="7" s="1"/>
  <c r="D646" i="7"/>
  <c r="B646" i="7"/>
  <c r="D645" i="7"/>
  <c r="C645" i="7"/>
  <c r="B645" i="7"/>
  <c r="C646" i="7" s="1"/>
  <c r="D644" i="7"/>
  <c r="E644" i="7" s="1"/>
  <c r="B644" i="7"/>
  <c r="D643" i="7"/>
  <c r="B643" i="7"/>
  <c r="C643" i="7" s="1"/>
  <c r="E642" i="7"/>
  <c r="D642" i="7"/>
  <c r="B642" i="7"/>
  <c r="D641" i="7"/>
  <c r="B641" i="7"/>
  <c r="D640" i="7"/>
  <c r="E640" i="7" s="1"/>
  <c r="C640" i="7"/>
  <c r="B640" i="7"/>
  <c r="D639" i="7"/>
  <c r="B639" i="7"/>
  <c r="D638" i="7"/>
  <c r="E638" i="7" s="1"/>
  <c r="B638" i="7"/>
  <c r="C639" i="7" s="1"/>
  <c r="D637" i="7"/>
  <c r="E637" i="7" s="1"/>
  <c r="B637" i="7"/>
  <c r="D636" i="7"/>
  <c r="C636" i="7"/>
  <c r="B636" i="7"/>
  <c r="D635" i="7"/>
  <c r="E635" i="7" s="1"/>
  <c r="C635" i="7"/>
  <c r="B635" i="7"/>
  <c r="D634" i="7"/>
  <c r="B634" i="7"/>
  <c r="D633" i="7"/>
  <c r="B633" i="7"/>
  <c r="D632" i="7"/>
  <c r="E632" i="7" s="1"/>
  <c r="B632" i="7"/>
  <c r="C632" i="7" s="1"/>
  <c r="D631" i="7"/>
  <c r="E631" i="7" s="1"/>
  <c r="C631" i="7"/>
  <c r="B631" i="7"/>
  <c r="D630" i="7"/>
  <c r="B630" i="7"/>
  <c r="D629" i="7"/>
  <c r="B629" i="7"/>
  <c r="C630" i="7" s="1"/>
  <c r="E628" i="7"/>
  <c r="D628" i="7"/>
  <c r="B628" i="7"/>
  <c r="D627" i="7"/>
  <c r="B627" i="7"/>
  <c r="C627" i="7" s="1"/>
  <c r="D626" i="7"/>
  <c r="E626" i="7" s="1"/>
  <c r="B626" i="7"/>
  <c r="D625" i="7"/>
  <c r="B625" i="7"/>
  <c r="C626" i="7" s="1"/>
  <c r="D624" i="7"/>
  <c r="E624" i="7" s="1"/>
  <c r="C624" i="7"/>
  <c r="B624" i="7"/>
  <c r="D623" i="7"/>
  <c r="B623" i="7"/>
  <c r="D622" i="7"/>
  <c r="B622" i="7"/>
  <c r="C623" i="7" s="1"/>
  <c r="D621" i="7"/>
  <c r="B621" i="7"/>
  <c r="C621" i="7" s="1"/>
  <c r="D620" i="7"/>
  <c r="B620" i="7"/>
  <c r="C620" i="7" s="1"/>
  <c r="D619" i="7"/>
  <c r="E619" i="7" s="1"/>
  <c r="C619" i="7"/>
  <c r="B619" i="7"/>
  <c r="D618" i="7"/>
  <c r="C618" i="7"/>
  <c r="B618" i="7"/>
  <c r="D617" i="7"/>
  <c r="B617" i="7"/>
  <c r="D616" i="7"/>
  <c r="B616" i="7"/>
  <c r="D615" i="7"/>
  <c r="E615" i="7" s="1"/>
  <c r="C615" i="7"/>
  <c r="B615" i="7"/>
  <c r="D614" i="7"/>
  <c r="B614" i="7"/>
  <c r="D613" i="7"/>
  <c r="B613" i="7"/>
  <c r="C614" i="7" s="1"/>
  <c r="E612" i="7"/>
  <c r="D612" i="7"/>
  <c r="B612" i="7"/>
  <c r="D611" i="7"/>
  <c r="B611" i="7"/>
  <c r="C611" i="7" s="1"/>
  <c r="E610" i="7"/>
  <c r="D610" i="7"/>
  <c r="C610" i="7"/>
  <c r="B610" i="7"/>
  <c r="D609" i="7"/>
  <c r="B609" i="7"/>
  <c r="D608" i="7"/>
  <c r="E608" i="7" s="1"/>
  <c r="B608" i="7"/>
  <c r="C608" i="7" s="1"/>
  <c r="D607" i="7"/>
  <c r="B607" i="7"/>
  <c r="D606" i="7"/>
  <c r="B606" i="7"/>
  <c r="D605" i="7"/>
  <c r="E605" i="7" s="1"/>
  <c r="B605" i="7"/>
  <c r="C605" i="7" s="1"/>
  <c r="D604" i="7"/>
  <c r="E604" i="7" s="1"/>
  <c r="C604" i="7"/>
  <c r="B604" i="7"/>
  <c r="D603" i="7"/>
  <c r="E603" i="7" s="1"/>
  <c r="B603" i="7"/>
  <c r="D602" i="7"/>
  <c r="B602" i="7"/>
  <c r="C603" i="7" s="1"/>
  <c r="D601" i="7"/>
  <c r="B601" i="7"/>
  <c r="C601" i="7" s="1"/>
  <c r="D600" i="7"/>
  <c r="B600" i="7"/>
  <c r="D599" i="7"/>
  <c r="E599" i="7" s="1"/>
  <c r="B599" i="7"/>
  <c r="C599" i="7" s="1"/>
  <c r="D598" i="7"/>
  <c r="B598" i="7"/>
  <c r="D597" i="7"/>
  <c r="E598" i="7" s="1"/>
  <c r="B597" i="7"/>
  <c r="C598" i="7" s="1"/>
  <c r="D596" i="7"/>
  <c r="E596" i="7" s="1"/>
  <c r="B596" i="7"/>
  <c r="D595" i="7"/>
  <c r="C595" i="7"/>
  <c r="B595" i="7"/>
  <c r="D594" i="7"/>
  <c r="E594" i="7" s="1"/>
  <c r="C594" i="7"/>
  <c r="B594" i="7"/>
  <c r="D593" i="7"/>
  <c r="B593" i="7"/>
  <c r="E592" i="7"/>
  <c r="D592" i="7"/>
  <c r="B592" i="7"/>
  <c r="C592" i="7" s="1"/>
  <c r="D591" i="7"/>
  <c r="B591" i="7"/>
  <c r="D590" i="7"/>
  <c r="C590" i="7"/>
  <c r="B590" i="7"/>
  <c r="C591" i="7" s="1"/>
  <c r="D589" i="7"/>
  <c r="B589" i="7"/>
  <c r="C589" i="7" s="1"/>
  <c r="D588" i="7"/>
  <c r="E588" i="7" s="1"/>
  <c r="C588" i="7"/>
  <c r="B588" i="7"/>
  <c r="D587" i="7"/>
  <c r="E587" i="7" s="1"/>
  <c r="B587" i="7"/>
  <c r="D586" i="7"/>
  <c r="C586" i="7"/>
  <c r="B586" i="7"/>
  <c r="C587" i="7" s="1"/>
  <c r="D585" i="7"/>
  <c r="B585" i="7"/>
  <c r="D584" i="7"/>
  <c r="B584" i="7"/>
  <c r="C585" i="7" s="1"/>
  <c r="D583" i="7"/>
  <c r="E583" i="7" s="1"/>
  <c r="B583" i="7"/>
  <c r="C583" i="7" s="1"/>
  <c r="E582" i="7"/>
  <c r="D582" i="7"/>
  <c r="B582" i="7"/>
  <c r="D581" i="7"/>
  <c r="B581" i="7"/>
  <c r="E580" i="7"/>
  <c r="D580" i="7"/>
  <c r="B580" i="7"/>
  <c r="C580" i="7" s="1"/>
  <c r="D579" i="7"/>
  <c r="B579" i="7"/>
  <c r="C579" i="7" s="1"/>
  <c r="D578" i="7"/>
  <c r="E578" i="7" s="1"/>
  <c r="C578" i="7"/>
  <c r="B578" i="7"/>
  <c r="D577" i="7"/>
  <c r="B577" i="7"/>
  <c r="D576" i="7"/>
  <c r="E576" i="7" s="1"/>
  <c r="B576" i="7"/>
  <c r="C576" i="7" s="1"/>
  <c r="D575" i="7"/>
  <c r="B575" i="7"/>
  <c r="E574" i="7"/>
  <c r="D574" i="7"/>
  <c r="B574" i="7"/>
  <c r="C575" i="7" s="1"/>
  <c r="D573" i="7"/>
  <c r="B573" i="7"/>
  <c r="C573" i="7" s="1"/>
  <c r="D572" i="7"/>
  <c r="E572" i="7" s="1"/>
  <c r="B572" i="7"/>
  <c r="C572" i="7" s="1"/>
  <c r="D571" i="7"/>
  <c r="E571" i="7" s="1"/>
  <c r="B571" i="7"/>
  <c r="D570" i="7"/>
  <c r="B570" i="7"/>
  <c r="C571" i="7" s="1"/>
  <c r="D569" i="7"/>
  <c r="C569" i="7"/>
  <c r="B569" i="7"/>
  <c r="D568" i="7"/>
  <c r="B568" i="7"/>
  <c r="D567" i="7"/>
  <c r="E567" i="7" s="1"/>
  <c r="B567" i="7"/>
  <c r="C567" i="7" s="1"/>
  <c r="E566" i="7"/>
  <c r="D566" i="7"/>
  <c r="B566" i="7"/>
  <c r="D565" i="7"/>
  <c r="C565" i="7"/>
  <c r="B565" i="7"/>
  <c r="C566" i="7" s="1"/>
  <c r="D564" i="7"/>
  <c r="E564" i="7" s="1"/>
  <c r="B564" i="7"/>
  <c r="C564" i="7" s="1"/>
  <c r="D563" i="7"/>
  <c r="C563" i="7"/>
  <c r="B563" i="7"/>
  <c r="E562" i="7"/>
  <c r="D562" i="7"/>
  <c r="C562" i="7"/>
  <c r="B562" i="7"/>
  <c r="D561" i="7"/>
  <c r="B561" i="7"/>
  <c r="C561" i="7" s="1"/>
  <c r="E560" i="7"/>
  <c r="D560" i="7"/>
  <c r="C560" i="7"/>
  <c r="B560" i="7"/>
  <c r="D559" i="7"/>
  <c r="B559" i="7"/>
  <c r="D558" i="7"/>
  <c r="E558" i="7" s="1"/>
  <c r="C558" i="7"/>
  <c r="B558" i="7"/>
  <c r="C559" i="7" s="1"/>
  <c r="D557" i="7"/>
  <c r="B557" i="7"/>
  <c r="D556" i="7"/>
  <c r="E556" i="7" s="1"/>
  <c r="C556" i="7"/>
  <c r="B556" i="7"/>
  <c r="D555" i="7"/>
  <c r="E555" i="7" s="1"/>
  <c r="B555" i="7"/>
  <c r="D554" i="7"/>
  <c r="B554" i="7"/>
  <c r="D553" i="7"/>
  <c r="B553" i="7"/>
  <c r="C553" i="7" s="1"/>
  <c r="D552" i="7"/>
  <c r="B552" i="7"/>
  <c r="D551" i="7"/>
  <c r="E551" i="7" s="1"/>
  <c r="B551" i="7"/>
  <c r="C551" i="7" s="1"/>
  <c r="E550" i="7"/>
  <c r="D550" i="7"/>
  <c r="B550" i="7"/>
  <c r="D549" i="7"/>
  <c r="B549" i="7"/>
  <c r="C550" i="7" s="1"/>
  <c r="D548" i="7"/>
  <c r="E548" i="7" s="1"/>
  <c r="B548" i="7"/>
  <c r="C548" i="7" s="1"/>
  <c r="D547" i="7"/>
  <c r="C547" i="7"/>
  <c r="B547" i="7"/>
  <c r="D546" i="7"/>
  <c r="E546" i="7" s="1"/>
  <c r="B546" i="7"/>
  <c r="D545" i="7"/>
  <c r="B545" i="7"/>
  <c r="E544" i="7"/>
  <c r="D544" i="7"/>
  <c r="B544" i="7"/>
  <c r="C544" i="7" s="1"/>
  <c r="D543" i="7"/>
  <c r="B543" i="7"/>
  <c r="E542" i="7"/>
  <c r="D542" i="7"/>
  <c r="C542" i="7"/>
  <c r="B542" i="7"/>
  <c r="C543" i="7" s="1"/>
  <c r="D541" i="7"/>
  <c r="B541" i="7"/>
  <c r="D540" i="7"/>
  <c r="B540" i="7"/>
  <c r="C540" i="7" s="1"/>
  <c r="D539" i="7"/>
  <c r="E539" i="7" s="1"/>
  <c r="C539" i="7"/>
  <c r="B539" i="7"/>
  <c r="D538" i="7"/>
  <c r="B538" i="7"/>
  <c r="D537" i="7"/>
  <c r="B537" i="7"/>
  <c r="C538" i="7" s="1"/>
  <c r="D536" i="7"/>
  <c r="E536" i="7" s="1"/>
  <c r="B536" i="7"/>
  <c r="D535" i="7"/>
  <c r="E535" i="7" s="1"/>
  <c r="C535" i="7"/>
  <c r="B535" i="7"/>
  <c r="E534" i="7"/>
  <c r="D534" i="7"/>
  <c r="B534" i="7"/>
  <c r="D533" i="7"/>
  <c r="E533" i="7" s="1"/>
  <c r="C533" i="7"/>
  <c r="B533" i="7"/>
  <c r="C534" i="7" s="1"/>
  <c r="E532" i="7"/>
  <c r="D532" i="7"/>
  <c r="B532" i="7"/>
  <c r="C532" i="7" s="1"/>
  <c r="D531" i="7"/>
  <c r="C531" i="7"/>
  <c r="B531" i="7"/>
  <c r="E530" i="7"/>
  <c r="D530" i="7"/>
  <c r="B530" i="7"/>
  <c r="D529" i="7"/>
  <c r="B529" i="7"/>
  <c r="D528" i="7"/>
  <c r="E528" i="7" s="1"/>
  <c r="C528" i="7"/>
  <c r="B528" i="7"/>
  <c r="D527" i="7"/>
  <c r="B527" i="7"/>
  <c r="D526" i="7"/>
  <c r="E526" i="7" s="1"/>
  <c r="B526" i="7"/>
  <c r="C527" i="7" s="1"/>
  <c r="D525" i="7"/>
  <c r="B525" i="7"/>
  <c r="D524" i="7"/>
  <c r="B524" i="7"/>
  <c r="C524" i="7" s="1"/>
  <c r="D523" i="7"/>
  <c r="E523" i="7" s="1"/>
  <c r="C523" i="7"/>
  <c r="B523" i="7"/>
  <c r="D522" i="7"/>
  <c r="B522" i="7"/>
  <c r="D521" i="7"/>
  <c r="B521" i="7"/>
  <c r="C521" i="7" s="1"/>
  <c r="D520" i="7"/>
  <c r="E520" i="7" s="1"/>
  <c r="B520" i="7"/>
  <c r="C520" i="7" s="1"/>
  <c r="D519" i="7"/>
  <c r="E519" i="7" s="1"/>
  <c r="B519" i="7"/>
  <c r="C519" i="7" s="1"/>
  <c r="D518" i="7"/>
  <c r="B518" i="7"/>
  <c r="D517" i="7"/>
  <c r="C517" i="7"/>
  <c r="B517" i="7"/>
  <c r="C518" i="7" s="1"/>
  <c r="D516" i="7"/>
  <c r="E516" i="7" s="1"/>
  <c r="B516" i="7"/>
  <c r="D515" i="7"/>
  <c r="B515" i="7"/>
  <c r="C515" i="7" s="1"/>
  <c r="E514" i="7"/>
  <c r="D514" i="7"/>
  <c r="B514" i="7"/>
  <c r="D513" i="7"/>
  <c r="B513" i="7"/>
  <c r="E512" i="7"/>
  <c r="D512" i="7"/>
  <c r="C512" i="7"/>
  <c r="B512" i="7"/>
  <c r="D511" i="7"/>
  <c r="B511" i="7"/>
  <c r="D510" i="7"/>
  <c r="E510" i="7" s="1"/>
  <c r="B510" i="7"/>
  <c r="C511" i="7" s="1"/>
  <c r="D509" i="7"/>
  <c r="E509" i="7" s="1"/>
  <c r="B509" i="7"/>
  <c r="D508" i="7"/>
  <c r="C508" i="7"/>
  <c r="B508" i="7"/>
  <c r="D507" i="7"/>
  <c r="E507" i="7" s="1"/>
  <c r="C507" i="7"/>
  <c r="B507" i="7"/>
  <c r="D506" i="7"/>
  <c r="B506" i="7"/>
  <c r="D505" i="7"/>
  <c r="B505" i="7"/>
  <c r="D504" i="7"/>
  <c r="B504" i="7"/>
  <c r="C504" i="7" s="1"/>
  <c r="D503" i="7"/>
  <c r="E503" i="7" s="1"/>
  <c r="C503" i="7"/>
  <c r="B503" i="7"/>
  <c r="D502" i="7"/>
  <c r="B502" i="7"/>
  <c r="D501" i="7"/>
  <c r="B501" i="7"/>
  <c r="C502" i="7" s="1"/>
  <c r="E500" i="7"/>
  <c r="D500" i="7"/>
  <c r="B500" i="7"/>
  <c r="D499" i="7"/>
  <c r="B499" i="7"/>
  <c r="C499" i="7" s="1"/>
  <c r="D498" i="7"/>
  <c r="E498" i="7" s="1"/>
  <c r="B498" i="7"/>
  <c r="D497" i="7"/>
  <c r="B497" i="7"/>
  <c r="C498" i="7" s="1"/>
  <c r="D496" i="7"/>
  <c r="E496" i="7" s="1"/>
  <c r="B496" i="7"/>
  <c r="C496" i="7" s="1"/>
  <c r="D495" i="7"/>
  <c r="B495" i="7"/>
  <c r="D494" i="7"/>
  <c r="B494" i="7"/>
  <c r="C495" i="7" s="1"/>
  <c r="D493" i="7"/>
  <c r="B493" i="7"/>
  <c r="C493" i="7" s="1"/>
  <c r="D492" i="7"/>
  <c r="B492" i="7"/>
  <c r="C492" i="7" s="1"/>
  <c r="D491" i="7"/>
  <c r="E491" i="7" s="1"/>
  <c r="C491" i="7"/>
  <c r="B491" i="7"/>
  <c r="D490" i="7"/>
  <c r="C490" i="7"/>
  <c r="B490" i="7"/>
  <c r="D489" i="7"/>
  <c r="B489" i="7"/>
  <c r="D488" i="7"/>
  <c r="E488" i="7" s="1"/>
  <c r="B488" i="7"/>
  <c r="D487" i="7"/>
  <c r="E487" i="7" s="1"/>
  <c r="C487" i="7"/>
  <c r="B487" i="7"/>
  <c r="D486" i="7"/>
  <c r="B486" i="7"/>
  <c r="D485" i="7"/>
  <c r="B485" i="7"/>
  <c r="C486" i="7" s="1"/>
  <c r="E484" i="7"/>
  <c r="D484" i="7"/>
  <c r="B484" i="7"/>
  <c r="D483" i="7"/>
  <c r="B483" i="7"/>
  <c r="C483" i="7" s="1"/>
  <c r="E482" i="7"/>
  <c r="D482" i="7"/>
  <c r="C482" i="7"/>
  <c r="B482" i="7"/>
  <c r="D481" i="7"/>
  <c r="B481" i="7"/>
  <c r="D480" i="7"/>
  <c r="E480" i="7" s="1"/>
  <c r="B480" i="7"/>
  <c r="C480" i="7" s="1"/>
  <c r="D479" i="7"/>
  <c r="B479" i="7"/>
  <c r="D478" i="7"/>
  <c r="B478" i="7"/>
  <c r="D477" i="7"/>
  <c r="B477" i="7"/>
  <c r="C477" i="7" s="1"/>
  <c r="D476" i="7"/>
  <c r="E476" i="7" s="1"/>
  <c r="C476" i="7"/>
  <c r="B476" i="7"/>
  <c r="D475" i="7"/>
  <c r="E475" i="7" s="1"/>
  <c r="B475" i="7"/>
  <c r="D474" i="7"/>
  <c r="B474" i="7"/>
  <c r="C475" i="7" s="1"/>
  <c r="D473" i="7"/>
  <c r="B473" i="7"/>
  <c r="C473" i="7" s="1"/>
  <c r="D472" i="7"/>
  <c r="B472" i="7"/>
  <c r="C472" i="7" s="1"/>
  <c r="D471" i="7"/>
  <c r="E471" i="7" s="1"/>
  <c r="B471" i="7"/>
  <c r="C471" i="7" s="1"/>
  <c r="D470" i="7"/>
  <c r="B470" i="7"/>
  <c r="D469" i="7"/>
  <c r="E470" i="7" s="1"/>
  <c r="B469" i="7"/>
  <c r="C470" i="7" s="1"/>
  <c r="D468" i="7"/>
  <c r="E468" i="7" s="1"/>
  <c r="B468" i="7"/>
  <c r="D467" i="7"/>
  <c r="C467" i="7"/>
  <c r="B467" i="7"/>
  <c r="D466" i="7"/>
  <c r="E466" i="7" s="1"/>
  <c r="C466" i="7"/>
  <c r="B466" i="7"/>
  <c r="D465" i="7"/>
  <c r="B465" i="7"/>
  <c r="E464" i="7"/>
  <c r="D464" i="7"/>
  <c r="B464" i="7"/>
  <c r="C464" i="7" s="1"/>
  <c r="D463" i="7"/>
  <c r="B463" i="7"/>
  <c r="D462" i="7"/>
  <c r="C462" i="7"/>
  <c r="B462" i="7"/>
  <c r="C463" i="7" s="1"/>
  <c r="D461" i="7"/>
  <c r="B461" i="7"/>
  <c r="C461" i="7" s="1"/>
  <c r="D460" i="7"/>
  <c r="E460" i="7" s="1"/>
  <c r="C460" i="7"/>
  <c r="B460" i="7"/>
  <c r="D459" i="7"/>
  <c r="E459" i="7" s="1"/>
  <c r="B459" i="7"/>
  <c r="D458" i="7"/>
  <c r="C458" i="7"/>
  <c r="B458" i="7"/>
  <c r="C459" i="7" s="1"/>
  <c r="D457" i="7"/>
  <c r="B457" i="7"/>
  <c r="D456" i="7"/>
  <c r="B456" i="7"/>
  <c r="C457" i="7" s="1"/>
  <c r="D455" i="7"/>
  <c r="E455" i="7" s="1"/>
  <c r="B455" i="7"/>
  <c r="C455" i="7" s="1"/>
  <c r="E454" i="7"/>
  <c r="D454" i="7"/>
  <c r="B454" i="7"/>
  <c r="D453" i="7"/>
  <c r="B453" i="7"/>
  <c r="D452" i="7"/>
  <c r="E452" i="7" s="1"/>
  <c r="B452" i="7"/>
  <c r="C452" i="7" s="1"/>
  <c r="D451" i="7"/>
  <c r="B451" i="7"/>
  <c r="C451" i="7" s="1"/>
  <c r="D450" i="7"/>
  <c r="E450" i="7" s="1"/>
  <c r="C450" i="7"/>
  <c r="B450" i="7"/>
  <c r="D449" i="7"/>
  <c r="B449" i="7"/>
  <c r="D448" i="7"/>
  <c r="E448" i="7" s="1"/>
  <c r="B448" i="7"/>
  <c r="C448" i="7" s="1"/>
  <c r="D447" i="7"/>
  <c r="B447" i="7"/>
  <c r="E446" i="7"/>
  <c r="D446" i="7"/>
  <c r="B446" i="7"/>
  <c r="D445" i="7"/>
  <c r="B445" i="7"/>
  <c r="C445" i="7" s="1"/>
  <c r="D444" i="7"/>
  <c r="E444" i="7" s="1"/>
  <c r="C444" i="7"/>
  <c r="B444" i="7"/>
  <c r="D443" i="7"/>
  <c r="E443" i="7" s="1"/>
  <c r="B443" i="7"/>
  <c r="D442" i="7"/>
  <c r="B442" i="7"/>
  <c r="C443" i="7" s="1"/>
  <c r="D441" i="7"/>
  <c r="C441" i="7"/>
  <c r="B441" i="7"/>
  <c r="D440" i="7"/>
  <c r="B440" i="7"/>
  <c r="D439" i="7"/>
  <c r="E439" i="7" s="1"/>
  <c r="B439" i="7"/>
  <c r="C439" i="7" s="1"/>
  <c r="E438" i="7"/>
  <c r="D438" i="7"/>
  <c r="B438" i="7"/>
  <c r="D437" i="7"/>
  <c r="C437" i="7"/>
  <c r="B437" i="7"/>
  <c r="C438" i="7" s="1"/>
  <c r="D436" i="7"/>
  <c r="E436" i="7" s="1"/>
  <c r="B436" i="7"/>
  <c r="C436" i="7" s="1"/>
  <c r="D435" i="7"/>
  <c r="C435" i="7"/>
  <c r="B435" i="7"/>
  <c r="E434" i="7"/>
  <c r="D434" i="7"/>
  <c r="B434" i="7"/>
  <c r="D433" i="7"/>
  <c r="B433" i="7"/>
  <c r="C433" i="7" s="1"/>
  <c r="E432" i="7"/>
  <c r="D432" i="7"/>
  <c r="C432" i="7"/>
  <c r="B432" i="7"/>
  <c r="D431" i="7"/>
  <c r="B431" i="7"/>
  <c r="D430" i="7"/>
  <c r="E430" i="7" s="1"/>
  <c r="C430" i="7"/>
  <c r="B430" i="7"/>
  <c r="C431" i="7" s="1"/>
  <c r="D429" i="7"/>
  <c r="B429" i="7"/>
  <c r="D428" i="7"/>
  <c r="C428" i="7"/>
  <c r="B428" i="7"/>
  <c r="D427" i="7"/>
  <c r="E427" i="7" s="1"/>
  <c r="B427" i="7"/>
  <c r="D426" i="7"/>
  <c r="B426" i="7"/>
  <c r="D425" i="7"/>
  <c r="B425" i="7"/>
  <c r="C425" i="7" s="1"/>
  <c r="D424" i="7"/>
  <c r="B424" i="7"/>
  <c r="D423" i="7"/>
  <c r="E423" i="7" s="1"/>
  <c r="B423" i="7"/>
  <c r="C423" i="7" s="1"/>
  <c r="E422" i="7"/>
  <c r="D422" i="7"/>
  <c r="B422" i="7"/>
  <c r="D421" i="7"/>
  <c r="B421" i="7"/>
  <c r="D420" i="7"/>
  <c r="E420" i="7" s="1"/>
  <c r="B420" i="7"/>
  <c r="C420" i="7" s="1"/>
  <c r="D419" i="7"/>
  <c r="C419" i="7"/>
  <c r="B419" i="7"/>
  <c r="D418" i="7"/>
  <c r="E418" i="7" s="1"/>
  <c r="B418" i="7"/>
  <c r="D417" i="7"/>
  <c r="B417" i="7"/>
  <c r="E416" i="7"/>
  <c r="D416" i="7"/>
  <c r="B416" i="7"/>
  <c r="C416" i="7" s="1"/>
  <c r="D415" i="7"/>
  <c r="B415" i="7"/>
  <c r="E414" i="7"/>
  <c r="D414" i="7"/>
  <c r="C414" i="7"/>
  <c r="B414" i="7"/>
  <c r="C415" i="7" s="1"/>
  <c r="D413" i="7"/>
  <c r="B413" i="7"/>
  <c r="D412" i="7"/>
  <c r="B412" i="7"/>
  <c r="C412" i="7" s="1"/>
  <c r="D411" i="7"/>
  <c r="E411" i="7" s="1"/>
  <c r="C411" i="7"/>
  <c r="B411" i="7"/>
  <c r="D410" i="7"/>
  <c r="B410" i="7"/>
  <c r="D409" i="7"/>
  <c r="C409" i="7"/>
  <c r="B409" i="7"/>
  <c r="C410" i="7" s="1"/>
  <c r="D408" i="7"/>
  <c r="E408" i="7" s="1"/>
  <c r="B408" i="7"/>
  <c r="D407" i="7"/>
  <c r="E407" i="7" s="1"/>
  <c r="C407" i="7"/>
  <c r="B407" i="7"/>
  <c r="D406" i="7"/>
  <c r="B406" i="7"/>
  <c r="D405" i="7"/>
  <c r="E405" i="7" s="1"/>
  <c r="C405" i="7"/>
  <c r="B405" i="7"/>
  <c r="C406" i="7" s="1"/>
  <c r="E404" i="7"/>
  <c r="D404" i="7"/>
  <c r="B404" i="7"/>
  <c r="D403" i="7"/>
  <c r="B403" i="7"/>
  <c r="C403" i="7" s="1"/>
  <c r="E402" i="7"/>
  <c r="D402" i="7"/>
  <c r="B402" i="7"/>
  <c r="D401" i="7"/>
  <c r="B401" i="7"/>
  <c r="C401" i="7" s="1"/>
  <c r="D400" i="7"/>
  <c r="E400" i="7" s="1"/>
  <c r="C400" i="7"/>
  <c r="B400" i="7"/>
  <c r="D399" i="7"/>
  <c r="B399" i="7"/>
  <c r="D398" i="7"/>
  <c r="E398" i="7" s="1"/>
  <c r="B398" i="7"/>
  <c r="C399" i="7" s="1"/>
  <c r="D397" i="7"/>
  <c r="B397" i="7"/>
  <c r="D396" i="7"/>
  <c r="B396" i="7"/>
  <c r="C396" i="7" s="1"/>
  <c r="D395" i="7"/>
  <c r="E395" i="7" s="1"/>
  <c r="C395" i="7"/>
  <c r="B395" i="7"/>
  <c r="D394" i="7"/>
  <c r="B394" i="7"/>
  <c r="D393" i="7"/>
  <c r="B393" i="7"/>
  <c r="C393" i="7" s="1"/>
  <c r="D392" i="7"/>
  <c r="E392" i="7" s="1"/>
  <c r="B392" i="7"/>
  <c r="C392" i="7" s="1"/>
  <c r="D391" i="7"/>
  <c r="E391" i="7" s="1"/>
  <c r="B391" i="7"/>
  <c r="C391" i="7" s="1"/>
  <c r="D390" i="7"/>
  <c r="B390" i="7"/>
  <c r="D389" i="7"/>
  <c r="C389" i="7"/>
  <c r="B389" i="7"/>
  <c r="C390" i="7" s="1"/>
  <c r="D388" i="7"/>
  <c r="E388" i="7" s="1"/>
  <c r="B388" i="7"/>
  <c r="D387" i="7"/>
  <c r="B387" i="7"/>
  <c r="C387" i="7" s="1"/>
  <c r="E386" i="7"/>
  <c r="D386" i="7"/>
  <c r="B386" i="7"/>
  <c r="D385" i="7"/>
  <c r="B385" i="7"/>
  <c r="E384" i="7"/>
  <c r="D384" i="7"/>
  <c r="C384" i="7"/>
  <c r="B384" i="7"/>
  <c r="D383" i="7"/>
  <c r="B383" i="7"/>
  <c r="D382" i="7"/>
  <c r="E382" i="7" s="1"/>
  <c r="B382" i="7"/>
  <c r="C383" i="7" s="1"/>
  <c r="D381" i="7"/>
  <c r="E381" i="7" s="1"/>
  <c r="B381" i="7"/>
  <c r="D380" i="7"/>
  <c r="C380" i="7"/>
  <c r="B380" i="7"/>
  <c r="D379" i="7"/>
  <c r="E379" i="7" s="1"/>
  <c r="C379" i="7"/>
  <c r="B379" i="7"/>
  <c r="D378" i="7"/>
  <c r="B378" i="7"/>
  <c r="D377" i="7"/>
  <c r="B377" i="7"/>
  <c r="D376" i="7"/>
  <c r="B376" i="7"/>
  <c r="C376" i="7" s="1"/>
  <c r="D375" i="7"/>
  <c r="E375" i="7" s="1"/>
  <c r="C375" i="7"/>
  <c r="B375" i="7"/>
  <c r="D374" i="7"/>
  <c r="B374" i="7"/>
  <c r="D373" i="7"/>
  <c r="E373" i="7" s="1"/>
  <c r="C373" i="7"/>
  <c r="B373" i="7"/>
  <c r="C374" i="7" s="1"/>
  <c r="E372" i="7"/>
  <c r="D372" i="7"/>
  <c r="B372" i="7"/>
  <c r="D371" i="7"/>
  <c r="B371" i="7"/>
  <c r="C371" i="7" s="1"/>
  <c r="E370" i="7"/>
  <c r="D370" i="7"/>
  <c r="B370" i="7"/>
  <c r="D369" i="7"/>
  <c r="B369" i="7"/>
  <c r="C370" i="7" s="1"/>
  <c r="D368" i="7"/>
  <c r="E368" i="7" s="1"/>
  <c r="B368" i="7"/>
  <c r="C368" i="7" s="1"/>
  <c r="D367" i="7"/>
  <c r="B367" i="7"/>
  <c r="D366" i="7"/>
  <c r="B366" i="7"/>
  <c r="C367" i="7" s="1"/>
  <c r="D365" i="7"/>
  <c r="E365" i="7" s="1"/>
  <c r="B365" i="7"/>
  <c r="C365" i="7" s="1"/>
  <c r="D364" i="7"/>
  <c r="B364" i="7"/>
  <c r="C364" i="7" s="1"/>
  <c r="D363" i="7"/>
  <c r="E363" i="7" s="1"/>
  <c r="C363" i="7"/>
  <c r="B363" i="7"/>
  <c r="D362" i="7"/>
  <c r="C362" i="7"/>
  <c r="B362" i="7"/>
  <c r="D361" i="7"/>
  <c r="C361" i="7"/>
  <c r="B361" i="7"/>
  <c r="D360" i="7"/>
  <c r="B360" i="7"/>
  <c r="C360" i="7" s="1"/>
  <c r="D359" i="7"/>
  <c r="E359" i="7" s="1"/>
  <c r="C359" i="7"/>
  <c r="B359" i="7"/>
  <c r="D358" i="7"/>
  <c r="B358" i="7"/>
  <c r="D357" i="7"/>
  <c r="B357" i="7"/>
  <c r="C358" i="7" s="1"/>
  <c r="E356" i="7"/>
  <c r="D356" i="7"/>
  <c r="B356" i="7"/>
  <c r="D355" i="7"/>
  <c r="C355" i="7"/>
  <c r="B355" i="7"/>
  <c r="D354" i="7"/>
  <c r="E354" i="7" s="1"/>
  <c r="B354" i="7"/>
  <c r="D353" i="7"/>
  <c r="B353" i="7"/>
  <c r="C353" i="7" s="1"/>
  <c r="E352" i="7"/>
  <c r="D352" i="7"/>
  <c r="B352" i="7"/>
  <c r="C352" i="7" s="1"/>
  <c r="D351" i="7"/>
  <c r="B351" i="7"/>
  <c r="D350" i="7"/>
  <c r="E350" i="7" s="1"/>
  <c r="B350" i="7"/>
  <c r="C351" i="7" s="1"/>
  <c r="D349" i="7"/>
  <c r="B349" i="7"/>
  <c r="C349" i="7" s="1"/>
  <c r="D348" i="7"/>
  <c r="C348" i="7"/>
  <c r="B348" i="7"/>
  <c r="D347" i="7"/>
  <c r="E347" i="7" s="1"/>
  <c r="C347" i="7"/>
  <c r="B347" i="7"/>
  <c r="D346" i="7"/>
  <c r="B346" i="7"/>
  <c r="C346" i="7" s="1"/>
  <c r="D345" i="7"/>
  <c r="B345" i="7"/>
  <c r="D344" i="7"/>
  <c r="E344" i="7" s="1"/>
  <c r="B344" i="7"/>
  <c r="C344" i="7" s="1"/>
  <c r="D343" i="7"/>
  <c r="E343" i="7" s="1"/>
  <c r="B343" i="7"/>
  <c r="C343" i="7" s="1"/>
  <c r="D342" i="7"/>
  <c r="B342" i="7"/>
  <c r="D341" i="7"/>
  <c r="C341" i="7"/>
  <c r="B341" i="7"/>
  <c r="C342" i="7" s="1"/>
  <c r="E340" i="7"/>
  <c r="D340" i="7"/>
  <c r="B340" i="7"/>
  <c r="D339" i="7"/>
  <c r="B339" i="7"/>
  <c r="C339" i="7" s="1"/>
  <c r="E338" i="7"/>
  <c r="D338" i="7"/>
  <c r="C338" i="7"/>
  <c r="B338" i="7"/>
  <c r="D337" i="7"/>
  <c r="B337" i="7"/>
  <c r="D336" i="7"/>
  <c r="E336" i="7" s="1"/>
  <c r="C336" i="7"/>
  <c r="B336" i="7"/>
  <c r="D335" i="7"/>
  <c r="B335" i="7"/>
  <c r="D334" i="7"/>
  <c r="B334" i="7"/>
  <c r="C335" i="7" s="1"/>
  <c r="D333" i="7"/>
  <c r="B333" i="7"/>
  <c r="C333" i="7" s="1"/>
  <c r="D332" i="7"/>
  <c r="E332" i="7" s="1"/>
  <c r="C332" i="7"/>
  <c r="B332" i="7"/>
  <c r="D331" i="7"/>
  <c r="E331" i="7" s="1"/>
  <c r="B331" i="7"/>
  <c r="D330" i="7"/>
  <c r="C330" i="7"/>
  <c r="B330" i="7"/>
  <c r="C331" i="7" s="1"/>
  <c r="D329" i="7"/>
  <c r="B329" i="7"/>
  <c r="D328" i="7"/>
  <c r="B328" i="7"/>
  <c r="D327" i="7"/>
  <c r="E327" i="7" s="1"/>
  <c r="B327" i="7"/>
  <c r="C327" i="7" s="1"/>
  <c r="E326" i="7"/>
  <c r="D326" i="7"/>
  <c r="B326" i="7"/>
  <c r="D325" i="7"/>
  <c r="B325" i="7"/>
  <c r="C326" i="7" s="1"/>
  <c r="D324" i="7"/>
  <c r="E324" i="7" s="1"/>
  <c r="B324" i="7"/>
  <c r="C324" i="7" s="1"/>
  <c r="D323" i="7"/>
  <c r="B323" i="7"/>
  <c r="C323" i="7" s="1"/>
  <c r="D322" i="7"/>
  <c r="E322" i="7" s="1"/>
  <c r="C322" i="7"/>
  <c r="B322" i="7"/>
  <c r="D321" i="7"/>
  <c r="B321" i="7"/>
  <c r="D320" i="7"/>
  <c r="E320" i="7" s="1"/>
  <c r="B320" i="7"/>
  <c r="C320" i="7" s="1"/>
  <c r="D319" i="7"/>
  <c r="B319" i="7"/>
  <c r="D318" i="7"/>
  <c r="B318" i="7"/>
  <c r="D317" i="7"/>
  <c r="E317" i="7" s="1"/>
  <c r="B317" i="7"/>
  <c r="D316" i="7"/>
  <c r="E316" i="7" s="1"/>
  <c r="B316" i="7"/>
  <c r="C316" i="7" s="1"/>
  <c r="D315" i="7"/>
  <c r="E315" i="7" s="1"/>
  <c r="B315" i="7"/>
  <c r="D314" i="7"/>
  <c r="C314" i="7"/>
  <c r="B314" i="7"/>
  <c r="C315" i="7" s="1"/>
  <c r="D313" i="7"/>
  <c r="B313" i="7"/>
  <c r="D312" i="7"/>
  <c r="B312" i="7"/>
  <c r="C312" i="7" s="1"/>
  <c r="D311" i="7"/>
  <c r="E311" i="7" s="1"/>
  <c r="C311" i="7"/>
  <c r="B311" i="7"/>
  <c r="E310" i="7"/>
  <c r="D310" i="7"/>
  <c r="B310" i="7"/>
  <c r="D309" i="7"/>
  <c r="C309" i="7"/>
  <c r="B309" i="7"/>
  <c r="C310" i="7" s="1"/>
  <c r="E308" i="7"/>
  <c r="D308" i="7"/>
  <c r="B308" i="7"/>
  <c r="C308" i="7" s="1"/>
  <c r="D307" i="7"/>
  <c r="C307" i="7"/>
  <c r="B307" i="7"/>
  <c r="E306" i="7"/>
  <c r="D306" i="7"/>
  <c r="C306" i="7"/>
  <c r="B306" i="7"/>
  <c r="D305" i="7"/>
  <c r="B305" i="7"/>
  <c r="E304" i="7"/>
  <c r="D304" i="7"/>
  <c r="C304" i="7"/>
  <c r="B304" i="7"/>
  <c r="D303" i="7"/>
  <c r="B303" i="7"/>
  <c r="D302" i="7"/>
  <c r="E302" i="7" s="1"/>
  <c r="C302" i="7"/>
  <c r="B302" i="7"/>
  <c r="C303" i="7" s="1"/>
  <c r="D301" i="7"/>
  <c r="E301" i="7" s="1"/>
  <c r="B301" i="7"/>
  <c r="C301" i="7" s="1"/>
  <c r="D300" i="7"/>
  <c r="E300" i="7" s="1"/>
  <c r="B300" i="7"/>
  <c r="C300" i="7" s="1"/>
  <c r="D299" i="7"/>
  <c r="E299" i="7" s="1"/>
  <c r="B299" i="7"/>
  <c r="D298" i="7"/>
  <c r="C298" i="7"/>
  <c r="B298" i="7"/>
  <c r="C299" i="7" s="1"/>
  <c r="D297" i="7"/>
  <c r="B297" i="7"/>
  <c r="C297" i="7" s="1"/>
  <c r="D296" i="7"/>
  <c r="B296" i="7"/>
  <c r="D295" i="7"/>
  <c r="E295" i="7" s="1"/>
  <c r="C295" i="7"/>
  <c r="B295" i="7"/>
  <c r="E294" i="7"/>
  <c r="D294" i="7"/>
  <c r="B294" i="7"/>
  <c r="D293" i="7"/>
  <c r="B293" i="7"/>
  <c r="D292" i="7"/>
  <c r="E292" i="7" s="1"/>
  <c r="B292" i="7"/>
  <c r="C292" i="7" s="1"/>
  <c r="D291" i="7"/>
  <c r="C291" i="7"/>
  <c r="B291" i="7"/>
  <c r="D290" i="7"/>
  <c r="E290" i="7" s="1"/>
  <c r="B290" i="7"/>
  <c r="D289" i="7"/>
  <c r="B289" i="7"/>
  <c r="C289" i="7" s="1"/>
  <c r="E288" i="7"/>
  <c r="D288" i="7"/>
  <c r="B288" i="7"/>
  <c r="C288" i="7" s="1"/>
  <c r="D287" i="7"/>
  <c r="B287" i="7"/>
  <c r="D286" i="7"/>
  <c r="E286" i="7" s="1"/>
  <c r="C286" i="7"/>
  <c r="B286" i="7"/>
  <c r="C287" i="7" s="1"/>
  <c r="D285" i="7"/>
  <c r="B285" i="7"/>
  <c r="D284" i="7"/>
  <c r="B284" i="7"/>
  <c r="C284" i="7" s="1"/>
  <c r="D283" i="7"/>
  <c r="E283" i="7" s="1"/>
  <c r="C283" i="7"/>
  <c r="B283" i="7"/>
  <c r="D282" i="7"/>
  <c r="B282" i="7"/>
  <c r="C282" i="7" s="1"/>
  <c r="D281" i="7"/>
  <c r="B281" i="7"/>
  <c r="C281" i="7" s="1"/>
  <c r="D280" i="7"/>
  <c r="E280" i="7" s="1"/>
  <c r="B280" i="7"/>
  <c r="D279" i="7"/>
  <c r="E279" i="7" s="1"/>
  <c r="B279" i="7"/>
  <c r="C279" i="7" s="1"/>
  <c r="D278" i="7"/>
  <c r="B278" i="7"/>
  <c r="D277" i="7"/>
  <c r="E277" i="7" s="1"/>
  <c r="C277" i="7"/>
  <c r="B277" i="7"/>
  <c r="C278" i="7" s="1"/>
  <c r="D276" i="7"/>
  <c r="E276" i="7" s="1"/>
  <c r="B276" i="7"/>
  <c r="D275" i="7"/>
  <c r="C275" i="7"/>
  <c r="B275" i="7"/>
  <c r="E274" i="7"/>
  <c r="D274" i="7"/>
  <c r="B274" i="7"/>
  <c r="D273" i="7"/>
  <c r="B273" i="7"/>
  <c r="C273" i="7" s="1"/>
  <c r="E272" i="7"/>
  <c r="D272" i="7"/>
  <c r="C272" i="7"/>
  <c r="B272" i="7"/>
  <c r="D271" i="7"/>
  <c r="B271" i="7"/>
  <c r="D270" i="7"/>
  <c r="E270" i="7" s="1"/>
  <c r="C270" i="7"/>
  <c r="B270" i="7"/>
  <c r="C271" i="7" s="1"/>
  <c r="D269" i="7"/>
  <c r="B269" i="7"/>
  <c r="D268" i="7"/>
  <c r="B268" i="7"/>
  <c r="C268" i="7" s="1"/>
  <c r="D267" i="7"/>
  <c r="E267" i="7" s="1"/>
  <c r="C267" i="7"/>
  <c r="B267" i="7"/>
  <c r="D266" i="7"/>
  <c r="B266" i="7"/>
  <c r="D265" i="7"/>
  <c r="B265" i="7"/>
  <c r="C265" i="7" s="1"/>
  <c r="D264" i="7"/>
  <c r="E264" i="7" s="1"/>
  <c r="B264" i="7"/>
  <c r="C264" i="7" s="1"/>
  <c r="D263" i="7"/>
  <c r="E263" i="7" s="1"/>
  <c r="B263" i="7"/>
  <c r="C263" i="7" s="1"/>
  <c r="D262" i="7"/>
  <c r="B262" i="7"/>
  <c r="D261" i="7"/>
  <c r="C261" i="7"/>
  <c r="B261" i="7"/>
  <c r="C262" i="7" s="1"/>
  <c r="D260" i="7"/>
  <c r="E260" i="7" s="1"/>
  <c r="B260" i="7"/>
  <c r="C260" i="7" s="1"/>
  <c r="D259" i="7"/>
  <c r="B259" i="7"/>
  <c r="C259" i="7" s="1"/>
  <c r="E258" i="7"/>
  <c r="D258" i="7"/>
  <c r="B258" i="7"/>
  <c r="D257" i="7"/>
  <c r="B257" i="7"/>
  <c r="D256" i="7"/>
  <c r="E256" i="7" s="1"/>
  <c r="C256" i="7"/>
  <c r="B256" i="7"/>
  <c r="D255" i="7"/>
  <c r="B255" i="7"/>
  <c r="D254" i="7"/>
  <c r="E254" i="7" s="1"/>
  <c r="B254" i="7"/>
  <c r="C255" i="7" s="1"/>
  <c r="D253" i="7"/>
  <c r="E253" i="7" s="1"/>
  <c r="B253" i="7"/>
  <c r="D252" i="7"/>
  <c r="C252" i="7"/>
  <c r="B252" i="7"/>
  <c r="D251" i="7"/>
  <c r="E251" i="7" s="1"/>
  <c r="C251" i="7"/>
  <c r="B251" i="7"/>
  <c r="D250" i="7"/>
  <c r="B250" i="7"/>
  <c r="D249" i="7"/>
  <c r="C249" i="7"/>
  <c r="B249" i="7"/>
  <c r="C250" i="7" s="1"/>
  <c r="D248" i="7"/>
  <c r="E248" i="7" s="1"/>
  <c r="B248" i="7"/>
  <c r="C248" i="7" s="1"/>
  <c r="D247" i="7"/>
  <c r="E247" i="7" s="1"/>
  <c r="C247" i="7"/>
  <c r="B247" i="7"/>
  <c r="D246" i="7"/>
  <c r="B246" i="7"/>
  <c r="D245" i="7"/>
  <c r="E245" i="7" s="1"/>
  <c r="B245" i="7"/>
  <c r="C246" i="7" s="1"/>
  <c r="E244" i="7"/>
  <c r="D244" i="7"/>
  <c r="B244" i="7"/>
  <c r="D243" i="7"/>
  <c r="B243" i="7"/>
  <c r="C243" i="7" s="1"/>
  <c r="D242" i="7"/>
  <c r="E242" i="7" s="1"/>
  <c r="B242" i="7"/>
  <c r="D241" i="7"/>
  <c r="B241" i="7"/>
  <c r="E240" i="7"/>
  <c r="D240" i="7"/>
  <c r="C240" i="7"/>
  <c r="B240" i="7"/>
  <c r="D239" i="7"/>
  <c r="B239" i="7"/>
  <c r="D238" i="7"/>
  <c r="E238" i="7" s="1"/>
  <c r="C238" i="7"/>
  <c r="B238" i="7"/>
  <c r="C239" i="7" s="1"/>
  <c r="D237" i="7"/>
  <c r="E237" i="7" s="1"/>
  <c r="B237" i="7"/>
  <c r="D236" i="7"/>
  <c r="B236" i="7"/>
  <c r="C236" i="7" s="1"/>
  <c r="D235" i="7"/>
  <c r="E235" i="7" s="1"/>
  <c r="C235" i="7"/>
  <c r="B235" i="7"/>
  <c r="D234" i="7"/>
  <c r="C234" i="7"/>
  <c r="B234" i="7"/>
  <c r="D233" i="7"/>
  <c r="B233" i="7"/>
  <c r="C233" i="7" s="1"/>
  <c r="D232" i="7"/>
  <c r="B232" i="7"/>
  <c r="C232" i="7" s="1"/>
  <c r="D231" i="7"/>
  <c r="E231" i="7" s="1"/>
  <c r="C231" i="7"/>
  <c r="B231" i="7"/>
  <c r="D230" i="7"/>
  <c r="B230" i="7"/>
  <c r="D229" i="7"/>
  <c r="B229" i="7"/>
  <c r="C230" i="7" s="1"/>
  <c r="E228" i="7"/>
  <c r="D228" i="7"/>
  <c r="B228" i="7"/>
  <c r="D227" i="7"/>
  <c r="B227" i="7"/>
  <c r="C227" i="7" s="1"/>
  <c r="D226" i="7"/>
  <c r="E226" i="7" s="1"/>
  <c r="C226" i="7"/>
  <c r="B226" i="7"/>
  <c r="D225" i="7"/>
  <c r="B225" i="7"/>
  <c r="D224" i="7"/>
  <c r="E224" i="7" s="1"/>
  <c r="B224" i="7"/>
  <c r="C224" i="7" s="1"/>
  <c r="D223" i="7"/>
  <c r="B223" i="7"/>
  <c r="D222" i="7"/>
  <c r="B222" i="7"/>
  <c r="C223" i="7" s="1"/>
  <c r="D221" i="7"/>
  <c r="B221" i="7"/>
  <c r="C221" i="7" s="1"/>
  <c r="D220" i="7"/>
  <c r="E220" i="7" s="1"/>
  <c r="C220" i="7"/>
  <c r="B220" i="7"/>
  <c r="D219" i="7"/>
  <c r="E219" i="7" s="1"/>
  <c r="B219" i="7"/>
  <c r="D218" i="7"/>
  <c r="B218" i="7"/>
  <c r="C219" i="7" s="1"/>
  <c r="D217" i="7"/>
  <c r="B217" i="7"/>
  <c r="C217" i="7" s="1"/>
  <c r="D216" i="7"/>
  <c r="B216" i="7"/>
  <c r="D215" i="7"/>
  <c r="E215" i="7" s="1"/>
  <c r="B215" i="7"/>
  <c r="C215" i="7" s="1"/>
  <c r="D214" i="7"/>
  <c r="B214" i="7"/>
  <c r="D213" i="7"/>
  <c r="B213" i="7"/>
  <c r="C214" i="7" s="1"/>
  <c r="D212" i="7"/>
  <c r="E212" i="7" s="1"/>
  <c r="B212" i="7"/>
  <c r="D211" i="7"/>
  <c r="B211" i="7"/>
  <c r="C211" i="7" s="1"/>
  <c r="D210" i="7"/>
  <c r="E210" i="7" s="1"/>
  <c r="C210" i="7"/>
  <c r="B210" i="7"/>
  <c r="D209" i="7"/>
  <c r="B209" i="7"/>
  <c r="D208" i="7"/>
  <c r="E208" i="7" s="1"/>
  <c r="B208" i="7"/>
  <c r="C208" i="7" s="1"/>
  <c r="D207" i="7"/>
  <c r="B207" i="7"/>
  <c r="D206" i="7"/>
  <c r="C206" i="7"/>
  <c r="B206" i="7"/>
  <c r="C207" i="7" s="1"/>
  <c r="D205" i="7"/>
  <c r="B205" i="7"/>
  <c r="C205" i="7" s="1"/>
  <c r="D204" i="7"/>
  <c r="E204" i="7" s="1"/>
  <c r="C204" i="7"/>
  <c r="B204" i="7"/>
  <c r="D203" i="7"/>
  <c r="E203" i="7" s="1"/>
  <c r="C203" i="7"/>
  <c r="B203" i="7"/>
  <c r="D202" i="7"/>
  <c r="B202" i="7"/>
  <c r="C202" i="7" s="1"/>
  <c r="D201" i="7"/>
  <c r="B201" i="7"/>
  <c r="D200" i="7"/>
  <c r="B200" i="7"/>
  <c r="D199" i="7"/>
  <c r="E199" i="7" s="1"/>
  <c r="C199" i="7"/>
  <c r="B199" i="7"/>
  <c r="D198" i="7"/>
  <c r="B198" i="7"/>
  <c r="D197" i="7"/>
  <c r="E197" i="7" s="1"/>
  <c r="C197" i="7"/>
  <c r="B197" i="7"/>
  <c r="C198" i="7" s="1"/>
  <c r="E196" i="7"/>
  <c r="D196" i="7"/>
  <c r="B196" i="7"/>
  <c r="D195" i="7"/>
  <c r="B195" i="7"/>
  <c r="C195" i="7" s="1"/>
  <c r="D194" i="7"/>
  <c r="E194" i="7" s="1"/>
  <c r="C194" i="7"/>
  <c r="B194" i="7"/>
  <c r="D193" i="7"/>
  <c r="B193" i="7"/>
  <c r="D192" i="7"/>
  <c r="E192" i="7" s="1"/>
  <c r="B192" i="7"/>
  <c r="C192" i="7" s="1"/>
  <c r="D191" i="7"/>
  <c r="B191" i="7"/>
  <c r="E190" i="7"/>
  <c r="D190" i="7"/>
  <c r="B190" i="7"/>
  <c r="D189" i="7"/>
  <c r="B189" i="7"/>
  <c r="D188" i="7"/>
  <c r="E188" i="7" s="1"/>
  <c r="C188" i="7"/>
  <c r="B188" i="7"/>
  <c r="D187" i="7"/>
  <c r="E187" i="7" s="1"/>
  <c r="B187" i="7"/>
  <c r="D186" i="7"/>
  <c r="B186" i="7"/>
  <c r="C187" i="7" s="1"/>
  <c r="D185" i="7"/>
  <c r="C185" i="7"/>
  <c r="B185" i="7"/>
  <c r="D184" i="7"/>
  <c r="B184" i="7"/>
  <c r="D183" i="7"/>
  <c r="E183" i="7" s="1"/>
  <c r="B183" i="7"/>
  <c r="C183" i="7" s="1"/>
  <c r="E182" i="7"/>
  <c r="D182" i="7"/>
  <c r="B182" i="7"/>
  <c r="D181" i="7"/>
  <c r="B181" i="7"/>
  <c r="C182" i="7" s="1"/>
  <c r="D180" i="7"/>
  <c r="E180" i="7" s="1"/>
  <c r="B180" i="7"/>
  <c r="C180" i="7" s="1"/>
  <c r="D179" i="7"/>
  <c r="C179" i="7"/>
  <c r="B179" i="7"/>
  <c r="D178" i="7"/>
  <c r="E178" i="7" s="1"/>
  <c r="B178" i="7"/>
  <c r="D177" i="7"/>
  <c r="B177" i="7"/>
  <c r="C177" i="7" s="1"/>
  <c r="E176" i="7"/>
  <c r="D176" i="7"/>
  <c r="B176" i="7"/>
  <c r="C176" i="7" s="1"/>
  <c r="D175" i="7"/>
  <c r="B175" i="7"/>
  <c r="D174" i="7"/>
  <c r="E174" i="7" s="1"/>
  <c r="C174" i="7"/>
  <c r="B174" i="7"/>
  <c r="C175" i="7" s="1"/>
  <c r="D173" i="7"/>
  <c r="B173" i="7"/>
  <c r="D172" i="7"/>
  <c r="B172" i="7"/>
  <c r="C172" i="7" s="1"/>
  <c r="D171" i="7"/>
  <c r="E171" i="7" s="1"/>
  <c r="B171" i="7"/>
  <c r="D170" i="7"/>
  <c r="B170" i="7"/>
  <c r="C171" i="7" s="1"/>
  <c r="D169" i="7"/>
  <c r="B169" i="7"/>
  <c r="C169" i="7" s="1"/>
  <c r="D168" i="7"/>
  <c r="E168" i="7" s="1"/>
  <c r="B168" i="7"/>
  <c r="D167" i="7"/>
  <c r="E167" i="7" s="1"/>
  <c r="B167" i="7"/>
  <c r="C167" i="7" s="1"/>
  <c r="D166" i="7"/>
  <c r="B166" i="7"/>
  <c r="D165" i="7"/>
  <c r="E165" i="7" s="1"/>
  <c r="B165" i="7"/>
  <c r="E164" i="7"/>
  <c r="D164" i="7"/>
  <c r="B164" i="7"/>
  <c r="D163" i="7"/>
  <c r="B163" i="7"/>
  <c r="C163" i="7" s="1"/>
  <c r="D162" i="7"/>
  <c r="E162" i="7" s="1"/>
  <c r="C162" i="7"/>
  <c r="B162" i="7"/>
  <c r="D161" i="7"/>
  <c r="B161" i="7"/>
  <c r="D160" i="7"/>
  <c r="E160" i="7" s="1"/>
  <c r="B160" i="7"/>
  <c r="C160" i="7" s="1"/>
  <c r="D159" i="7"/>
  <c r="B159" i="7"/>
  <c r="E158" i="7"/>
  <c r="D158" i="7"/>
  <c r="B158" i="7"/>
  <c r="C159" i="7" s="1"/>
  <c r="D157" i="7"/>
  <c r="B157" i="7"/>
  <c r="D156" i="7"/>
  <c r="E156" i="7" s="1"/>
  <c r="B156" i="7"/>
  <c r="C156" i="7" s="1"/>
  <c r="D155" i="7"/>
  <c r="E155" i="7" s="1"/>
  <c r="B155" i="7"/>
  <c r="D154" i="7"/>
  <c r="B154" i="7"/>
  <c r="C155" i="7" s="1"/>
  <c r="D153" i="7"/>
  <c r="C153" i="7"/>
  <c r="B153" i="7"/>
  <c r="D152" i="7"/>
  <c r="E152" i="7" s="1"/>
  <c r="B152" i="7"/>
  <c r="D151" i="7"/>
  <c r="E151" i="7" s="1"/>
  <c r="B151" i="7"/>
  <c r="C151" i="7" s="1"/>
  <c r="E150" i="7"/>
  <c r="D150" i="7"/>
  <c r="B150" i="7"/>
  <c r="D149" i="7"/>
  <c r="C149" i="7"/>
  <c r="B149" i="7"/>
  <c r="C150" i="7" s="1"/>
  <c r="D148" i="7"/>
  <c r="E148" i="7" s="1"/>
  <c r="B148" i="7"/>
  <c r="C148" i="7" s="1"/>
  <c r="D147" i="7"/>
  <c r="B147" i="7"/>
  <c r="C147" i="7" s="1"/>
  <c r="E146" i="7"/>
  <c r="D146" i="7"/>
  <c r="B146" i="7"/>
  <c r="D145" i="7"/>
  <c r="B145" i="7"/>
  <c r="C145" i="7" s="1"/>
  <c r="D144" i="7"/>
  <c r="E144" i="7" s="1"/>
  <c r="C144" i="7"/>
  <c r="B144" i="7"/>
  <c r="D143" i="7"/>
  <c r="B143" i="7"/>
  <c r="D142" i="7"/>
  <c r="E142" i="7" s="1"/>
  <c r="B142" i="7"/>
  <c r="C143" i="7" s="1"/>
  <c r="D141" i="7"/>
  <c r="B141" i="7"/>
  <c r="D140" i="7"/>
  <c r="C140" i="7"/>
  <c r="B140" i="7"/>
  <c r="D139" i="7"/>
  <c r="E139" i="7" s="1"/>
  <c r="B139" i="7"/>
  <c r="D138" i="7"/>
  <c r="B138" i="7"/>
  <c r="D137" i="7"/>
  <c r="C137" i="7"/>
  <c r="B137" i="7"/>
  <c r="D136" i="7"/>
  <c r="E136" i="7" s="1"/>
  <c r="B136" i="7"/>
  <c r="D135" i="7"/>
  <c r="E135" i="7" s="1"/>
  <c r="B135" i="7"/>
  <c r="C135" i="7" s="1"/>
  <c r="D134" i="7"/>
  <c r="B134" i="7"/>
  <c r="D133" i="7"/>
  <c r="E133" i="7" s="1"/>
  <c r="C133" i="7"/>
  <c r="B133" i="7"/>
  <c r="C134" i="7" s="1"/>
  <c r="D132" i="7"/>
  <c r="E132" i="7" s="1"/>
  <c r="B132" i="7"/>
  <c r="D131" i="7"/>
  <c r="B131" i="7"/>
  <c r="C131" i="7" s="1"/>
  <c r="D130" i="7"/>
  <c r="E130" i="7" s="1"/>
  <c r="B130" i="7"/>
  <c r="D129" i="7"/>
  <c r="B129" i="7"/>
  <c r="D128" i="7"/>
  <c r="E128" i="7" s="1"/>
  <c r="C128" i="7"/>
  <c r="B128" i="7"/>
  <c r="D127" i="7"/>
  <c r="B127" i="7"/>
  <c r="D126" i="7"/>
  <c r="E126" i="7" s="1"/>
  <c r="B126" i="7"/>
  <c r="C127" i="7" s="1"/>
  <c r="D125" i="7"/>
  <c r="E125" i="7" s="1"/>
  <c r="B125" i="7"/>
  <c r="C125" i="7" s="1"/>
  <c r="D124" i="7"/>
  <c r="B124" i="7"/>
  <c r="C124" i="7" s="1"/>
  <c r="D123" i="7"/>
  <c r="E123" i="7" s="1"/>
  <c r="C123" i="7"/>
  <c r="B123" i="7"/>
  <c r="D122" i="7"/>
  <c r="C122" i="7"/>
  <c r="B122" i="7"/>
  <c r="D121" i="7"/>
  <c r="B121" i="7"/>
  <c r="C121" i="7" s="1"/>
  <c r="D120" i="7"/>
  <c r="B120" i="7"/>
  <c r="C120" i="7" s="1"/>
  <c r="D119" i="7"/>
  <c r="E119" i="7" s="1"/>
  <c r="C119" i="7"/>
  <c r="B119" i="7"/>
  <c r="D118" i="7"/>
  <c r="B118" i="7"/>
  <c r="D117" i="7"/>
  <c r="E117" i="7" s="1"/>
  <c r="B117" i="7"/>
  <c r="C118" i="7" s="1"/>
  <c r="E116" i="7"/>
  <c r="D116" i="7"/>
  <c r="B116" i="7"/>
  <c r="D115" i="7"/>
  <c r="B115" i="7"/>
  <c r="C115" i="7" s="1"/>
  <c r="D114" i="7"/>
  <c r="E114" i="7" s="1"/>
  <c r="C114" i="7"/>
  <c r="B114" i="7"/>
  <c r="D113" i="7"/>
  <c r="B113" i="7"/>
  <c r="D112" i="7"/>
  <c r="E112" i="7" s="1"/>
  <c r="B112" i="7"/>
  <c r="C112" i="7" s="1"/>
  <c r="D111" i="7"/>
  <c r="B111" i="7"/>
  <c r="D110" i="7"/>
  <c r="E110" i="7" s="1"/>
  <c r="B110" i="7"/>
  <c r="C111" i="7" s="1"/>
  <c r="D109" i="7"/>
  <c r="B109" i="7"/>
  <c r="C109" i="7" s="1"/>
  <c r="D108" i="7"/>
  <c r="E108" i="7" s="1"/>
  <c r="B108" i="7"/>
  <c r="C108" i="7" s="1"/>
  <c r="D107" i="7"/>
  <c r="E107" i="7" s="1"/>
  <c r="B107" i="7"/>
  <c r="D106" i="7"/>
  <c r="B106" i="7"/>
  <c r="C107" i="7" s="1"/>
  <c r="D105" i="7"/>
  <c r="C105" i="7"/>
  <c r="B105" i="7"/>
  <c r="D104" i="7"/>
  <c r="B104" i="7"/>
  <c r="D103" i="7"/>
  <c r="E103" i="7" s="1"/>
  <c r="B103" i="7"/>
  <c r="C103" i="7" s="1"/>
  <c r="D102" i="7"/>
  <c r="B102" i="7"/>
  <c r="D101" i="7"/>
  <c r="B101" i="7"/>
  <c r="C102" i="7" s="1"/>
  <c r="D100" i="7"/>
  <c r="E100" i="7" s="1"/>
  <c r="B100" i="7"/>
  <c r="D99" i="7"/>
  <c r="C99" i="7"/>
  <c r="B99" i="7"/>
  <c r="D98" i="7"/>
  <c r="E98" i="7" s="1"/>
  <c r="B98" i="7"/>
  <c r="D97" i="7"/>
  <c r="B97" i="7"/>
  <c r="C97" i="7" s="1"/>
  <c r="E96" i="7"/>
  <c r="D96" i="7"/>
  <c r="B96" i="7"/>
  <c r="C96" i="7" s="1"/>
  <c r="D95" i="7"/>
  <c r="B95" i="7"/>
  <c r="D94" i="7"/>
  <c r="E94" i="7" s="1"/>
  <c r="B94" i="7"/>
  <c r="C95" i="7" s="1"/>
  <c r="D93" i="7"/>
  <c r="B93" i="7"/>
  <c r="C93" i="7" s="1"/>
  <c r="D92" i="7"/>
  <c r="C92" i="7"/>
  <c r="B92" i="7"/>
  <c r="D91" i="7"/>
  <c r="E91" i="7" s="1"/>
  <c r="C91" i="7"/>
  <c r="B91" i="7"/>
  <c r="D90" i="7"/>
  <c r="B90" i="7"/>
  <c r="C90" i="7" s="1"/>
  <c r="D89" i="7"/>
  <c r="B89" i="7"/>
  <c r="D88" i="7"/>
  <c r="E88" i="7" s="1"/>
  <c r="B88" i="7"/>
  <c r="C88" i="7" s="1"/>
  <c r="D87" i="7"/>
  <c r="E87" i="7" s="1"/>
  <c r="B87" i="7"/>
  <c r="C87" i="7" s="1"/>
  <c r="D86" i="7"/>
  <c r="B86" i="7"/>
  <c r="D85" i="7"/>
  <c r="E85" i="7" s="1"/>
  <c r="B85" i="7"/>
  <c r="C86" i="7" s="1"/>
  <c r="D84" i="7"/>
  <c r="E84" i="7" s="1"/>
  <c r="B84" i="7"/>
  <c r="D83" i="7"/>
  <c r="B83" i="7"/>
  <c r="C83" i="7" s="1"/>
  <c r="D82" i="7"/>
  <c r="E82" i="7" s="1"/>
  <c r="C82" i="7"/>
  <c r="B82" i="7"/>
  <c r="D81" i="7"/>
  <c r="B81" i="7"/>
  <c r="D80" i="7"/>
  <c r="E80" i="7" s="1"/>
  <c r="B80" i="7"/>
  <c r="C80" i="7" s="1"/>
  <c r="D79" i="7"/>
  <c r="B79" i="7"/>
  <c r="D78" i="7"/>
  <c r="B78" i="7"/>
  <c r="D77" i="7"/>
  <c r="E77" i="7" s="1"/>
  <c r="B77" i="7"/>
  <c r="C77" i="7" s="1"/>
  <c r="D76" i="7"/>
  <c r="C76" i="7"/>
  <c r="B76" i="7"/>
  <c r="D75" i="7"/>
  <c r="E75" i="7" s="1"/>
  <c r="C75" i="7"/>
  <c r="B75" i="7"/>
  <c r="E74" i="7"/>
  <c r="D74" i="7"/>
  <c r="B74" i="7"/>
  <c r="C74" i="7" s="1"/>
  <c r="D73" i="7"/>
  <c r="B73" i="7"/>
  <c r="C73" i="7" s="1"/>
  <c r="D72" i="7"/>
  <c r="E72" i="7" s="1"/>
  <c r="B72" i="7"/>
  <c r="C72" i="7" s="1"/>
  <c r="D71" i="7"/>
  <c r="E71" i="7" s="1"/>
  <c r="B71" i="7"/>
  <c r="C71" i="7" s="1"/>
  <c r="D70" i="7"/>
  <c r="B70" i="7"/>
  <c r="D69" i="7"/>
  <c r="B69" i="7"/>
  <c r="C70" i="7" s="1"/>
  <c r="E68" i="7"/>
  <c r="D68" i="7"/>
  <c r="B68" i="7"/>
  <c r="D67" i="7"/>
  <c r="B67" i="7"/>
  <c r="C67" i="7" s="1"/>
  <c r="D66" i="7"/>
  <c r="E66" i="7" s="1"/>
  <c r="B66" i="7"/>
  <c r="D65" i="7"/>
  <c r="B65" i="7"/>
  <c r="D64" i="7"/>
  <c r="E64" i="7" s="1"/>
  <c r="B64" i="7"/>
  <c r="C64" i="7" s="1"/>
  <c r="D63" i="7"/>
  <c r="B63" i="7"/>
  <c r="D62" i="7"/>
  <c r="E62" i="7" s="1"/>
  <c r="B62" i="7"/>
  <c r="D61" i="7"/>
  <c r="E61" i="7" s="1"/>
  <c r="B61" i="7"/>
  <c r="C61" i="7" s="1"/>
  <c r="D60" i="7"/>
  <c r="B60" i="7"/>
  <c r="C60" i="7" s="1"/>
  <c r="D59" i="7"/>
  <c r="E59" i="7" s="1"/>
  <c r="C59" i="7"/>
  <c r="B59" i="7"/>
  <c r="E58" i="7"/>
  <c r="D58" i="7"/>
  <c r="B58" i="7"/>
  <c r="D57" i="7"/>
  <c r="B57" i="7"/>
  <c r="C57" i="7" s="1"/>
  <c r="D56" i="7"/>
  <c r="B56" i="7"/>
  <c r="C56" i="7" s="1"/>
  <c r="D55" i="7"/>
  <c r="E55" i="7" s="1"/>
  <c r="B55" i="7"/>
  <c r="C55" i="7" s="1"/>
  <c r="D54" i="7"/>
  <c r="C54" i="7"/>
  <c r="B54" i="7"/>
  <c r="D53" i="7"/>
  <c r="E53" i="7" s="1"/>
  <c r="C53" i="7"/>
  <c r="B53" i="7"/>
  <c r="E52" i="7"/>
  <c r="D52" i="7"/>
  <c r="B52" i="7"/>
  <c r="D51" i="7"/>
  <c r="B51" i="7"/>
  <c r="C51" i="7" s="1"/>
  <c r="E50" i="7"/>
  <c r="D50" i="7"/>
  <c r="C50" i="7"/>
  <c r="B50" i="7"/>
  <c r="D49" i="7"/>
  <c r="B49" i="7"/>
  <c r="C49" i="7" s="1"/>
  <c r="D48" i="7"/>
  <c r="E48" i="7" s="1"/>
  <c r="C48" i="7"/>
  <c r="B48" i="7"/>
  <c r="D47" i="7"/>
  <c r="B47" i="7"/>
  <c r="D46" i="7"/>
  <c r="E46" i="7" s="1"/>
  <c r="B46" i="7"/>
  <c r="D45" i="7"/>
  <c r="B45" i="7"/>
  <c r="C45" i="7" s="1"/>
  <c r="D44" i="7"/>
  <c r="B44" i="7"/>
  <c r="C44" i="7" s="1"/>
  <c r="D43" i="7"/>
  <c r="E43" i="7" s="1"/>
  <c r="C43" i="7"/>
  <c r="B43" i="7"/>
  <c r="D42" i="7"/>
  <c r="C42" i="7"/>
  <c r="B42" i="7"/>
  <c r="D41" i="7"/>
  <c r="B41" i="7"/>
  <c r="C41" i="7" s="1"/>
  <c r="D40" i="7"/>
  <c r="B40" i="7"/>
  <c r="D39" i="7"/>
  <c r="E39" i="7" s="1"/>
  <c r="C39" i="7"/>
  <c r="B39" i="7"/>
  <c r="E38" i="7"/>
  <c r="D38" i="7"/>
  <c r="B38" i="7"/>
  <c r="D37" i="7"/>
  <c r="B37" i="7"/>
  <c r="C38" i="7" s="1"/>
  <c r="D36" i="7"/>
  <c r="E36" i="7" s="1"/>
  <c r="B36" i="7"/>
  <c r="C36" i="7" s="1"/>
  <c r="D35" i="7"/>
  <c r="C35" i="7"/>
  <c r="B35" i="7"/>
  <c r="D34" i="7"/>
  <c r="E34" i="7" s="1"/>
  <c r="B34" i="7"/>
  <c r="D33" i="7"/>
  <c r="E33" i="7" s="1"/>
  <c r="B33" i="7"/>
  <c r="E32" i="7"/>
  <c r="D32" i="7"/>
  <c r="B32" i="7"/>
  <c r="C32" i="7" s="1"/>
  <c r="D31" i="7"/>
  <c r="B31" i="7"/>
  <c r="C31" i="7" s="1"/>
  <c r="D30" i="7"/>
  <c r="E30" i="7" s="1"/>
  <c r="B30" i="7"/>
  <c r="C30" i="7" s="1"/>
  <c r="D29" i="7"/>
  <c r="E29" i="7" s="1"/>
  <c r="B29" i="7"/>
  <c r="C29" i="7" s="1"/>
  <c r="D28" i="7"/>
  <c r="E28" i="7" s="1"/>
  <c r="B28" i="7"/>
  <c r="C28" i="7" s="1"/>
  <c r="D27" i="7"/>
  <c r="C27" i="7"/>
  <c r="B27" i="7"/>
  <c r="E26" i="7"/>
  <c r="D26" i="7"/>
  <c r="B26" i="7"/>
  <c r="C26" i="7" s="1"/>
  <c r="D25" i="7"/>
  <c r="B25" i="7"/>
  <c r="D24" i="7"/>
  <c r="E24" i="7" s="1"/>
  <c r="B24" i="7"/>
  <c r="C24" i="7" s="1"/>
  <c r="D23" i="7"/>
  <c r="E23" i="7" s="1"/>
  <c r="B23" i="7"/>
  <c r="D22" i="7"/>
  <c r="B22" i="7"/>
  <c r="C22" i="7" s="1"/>
  <c r="D21" i="7"/>
  <c r="C21" i="7"/>
  <c r="B21" i="7"/>
  <c r="D20" i="7"/>
  <c r="B20" i="7"/>
  <c r="D19" i="7"/>
  <c r="E19" i="7" s="1"/>
  <c r="C19" i="7"/>
  <c r="B19" i="7"/>
  <c r="E18" i="7"/>
  <c r="D18" i="7"/>
  <c r="B18" i="7"/>
  <c r="D17" i="7"/>
  <c r="B17" i="7"/>
  <c r="D16" i="7"/>
  <c r="E16" i="7" s="1"/>
  <c r="B16" i="7"/>
  <c r="C16" i="7" s="1"/>
  <c r="D15" i="7"/>
  <c r="B15" i="7"/>
  <c r="C15" i="7" s="1"/>
  <c r="E14" i="7"/>
  <c r="D14" i="7"/>
  <c r="C14" i="7"/>
  <c r="B14" i="7"/>
  <c r="D13" i="7"/>
  <c r="B13" i="7"/>
  <c r="C13" i="7" s="1"/>
  <c r="E12" i="7"/>
  <c r="D12" i="7"/>
  <c r="E13" i="7" s="1"/>
  <c r="C12" i="7"/>
  <c r="B12" i="7"/>
  <c r="D11" i="7"/>
  <c r="B11" i="7"/>
  <c r="C11" i="7" s="1"/>
  <c r="E10" i="7"/>
  <c r="D10" i="7"/>
  <c r="E11" i="7" s="1"/>
  <c r="C10" i="7"/>
  <c r="B10" i="7"/>
  <c r="D9" i="7"/>
  <c r="B9" i="7"/>
  <c r="C9" i="7" s="1"/>
  <c r="E8" i="7"/>
  <c r="D8" i="7"/>
  <c r="E9" i="7" s="1"/>
  <c r="C8" i="7"/>
  <c r="B8" i="7"/>
  <c r="D7" i="7"/>
  <c r="B7" i="7"/>
  <c r="C7" i="7" s="1"/>
  <c r="E6" i="7"/>
  <c r="D6" i="7"/>
  <c r="E7" i="7" s="1"/>
  <c r="C6" i="7"/>
  <c r="B6" i="7"/>
  <c r="D5" i="7"/>
  <c r="B5" i="7"/>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C896" i="6" s="1"/>
  <c r="F895" i="6"/>
  <c r="E895" i="6"/>
  <c r="B895" i="6"/>
  <c r="F894" i="6"/>
  <c r="E894" i="6"/>
  <c r="B894" i="6"/>
  <c r="F893" i="6"/>
  <c r="E893" i="6"/>
  <c r="B893" i="6"/>
  <c r="F892" i="6"/>
  <c r="E892" i="6"/>
  <c r="B892" i="6"/>
  <c r="F891" i="6"/>
  <c r="E891" i="6"/>
  <c r="B891" i="6"/>
  <c r="F890" i="6"/>
  <c r="E890" i="6"/>
  <c r="B890" i="6"/>
  <c r="F889" i="6"/>
  <c r="E889" i="6"/>
  <c r="B889" i="6"/>
  <c r="F888" i="6"/>
  <c r="E888" i="6"/>
  <c r="B888" i="6"/>
  <c r="C888" i="6" s="1"/>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C769" i="6" s="1"/>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C681" i="6" s="1"/>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C657" i="6" s="1"/>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C645" i="6" s="1"/>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C635" i="6" s="1"/>
  <c r="F634" i="6"/>
  <c r="E634" i="6"/>
  <c r="B634" i="6"/>
  <c r="F633" i="6"/>
  <c r="E633" i="6"/>
  <c r="B633" i="6"/>
  <c r="F632" i="6"/>
  <c r="E632" i="6"/>
  <c r="B632" i="6"/>
  <c r="F631" i="6"/>
  <c r="E631" i="6"/>
  <c r="B631" i="6"/>
  <c r="F630" i="6"/>
  <c r="E630" i="6"/>
  <c r="B630" i="6"/>
  <c r="F629" i="6"/>
  <c r="E629" i="6"/>
  <c r="B629" i="6"/>
  <c r="F628" i="6"/>
  <c r="E628" i="6"/>
  <c r="B628" i="6"/>
  <c r="F627" i="6"/>
  <c r="E627" i="6"/>
  <c r="B627" i="6"/>
  <c r="C627" i="6" s="1"/>
  <c r="F626" i="6"/>
  <c r="E626" i="6"/>
  <c r="B626" i="6"/>
  <c r="F625" i="6"/>
  <c r="E625" i="6"/>
  <c r="B625" i="6"/>
  <c r="F624" i="6"/>
  <c r="E624" i="6"/>
  <c r="B624" i="6"/>
  <c r="F623" i="6"/>
  <c r="E623" i="6"/>
  <c r="B623" i="6"/>
  <c r="F622" i="6"/>
  <c r="E622" i="6"/>
  <c r="B622" i="6"/>
  <c r="F621" i="6"/>
  <c r="E621" i="6"/>
  <c r="B621" i="6"/>
  <c r="F620" i="6"/>
  <c r="E620" i="6"/>
  <c r="B620" i="6"/>
  <c r="F619" i="6"/>
  <c r="E619" i="6"/>
  <c r="B619" i="6"/>
  <c r="C619" i="6" s="1"/>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P18" i="1"/>
  <c r="R17" i="1"/>
  <c r="Q17" i="1"/>
  <c r="P17" i="1"/>
  <c r="P16" i="1"/>
  <c r="Q14" i="1"/>
  <c r="Q16" i="1" s="1"/>
  <c r="C63" i="6" l="1"/>
  <c r="C79" i="6"/>
  <c r="C141" i="6"/>
  <c r="C165" i="6"/>
  <c r="C173" i="6"/>
  <c r="C181" i="6"/>
  <c r="C189" i="6"/>
  <c r="C197" i="6"/>
  <c r="C205" i="6"/>
  <c r="C213" i="6"/>
  <c r="C221" i="6"/>
  <c r="C229" i="6"/>
  <c r="C237" i="6"/>
  <c r="C245" i="6"/>
  <c r="C253" i="6"/>
  <c r="C262" i="6"/>
  <c r="C269" i="6"/>
  <c r="C277" i="6"/>
  <c r="C285" i="6"/>
  <c r="C294" i="6"/>
  <c r="C446" i="6"/>
  <c r="C650" i="6"/>
  <c r="C674" i="6"/>
  <c r="C746" i="6"/>
  <c r="C762" i="6"/>
  <c r="C770" i="6"/>
  <c r="C15" i="9" s="1"/>
  <c r="C779" i="6"/>
  <c r="C802" i="6"/>
  <c r="C47" i="9" s="1"/>
  <c r="C810" i="6"/>
  <c r="C882" i="6"/>
  <c r="C890" i="6"/>
  <c r="C135" i="9" s="1"/>
  <c r="C914" i="6"/>
  <c r="C159" i="9" s="1"/>
  <c r="C922" i="6"/>
  <c r="C167" i="9" s="1"/>
  <c r="C930" i="6"/>
  <c r="C175" i="9" s="1"/>
  <c r="C970" i="6"/>
  <c r="C215" i="9" s="1"/>
  <c r="C986" i="6"/>
  <c r="C231" i="9" s="1"/>
  <c r="C994" i="6"/>
  <c r="C239" i="9" s="1"/>
  <c r="C1002" i="6"/>
  <c r="C36" i="6"/>
  <c r="C308" i="6"/>
  <c r="C15" i="6"/>
  <c r="C125" i="6"/>
  <c r="C133" i="6"/>
  <c r="C149" i="6"/>
  <c r="C157" i="6"/>
  <c r="C224" i="6"/>
  <c r="C232" i="6"/>
  <c r="C240" i="6"/>
  <c r="C257" i="6"/>
  <c r="C289" i="6"/>
  <c r="C640" i="6"/>
  <c r="C653" i="6"/>
  <c r="C661" i="6"/>
  <c r="C717" i="6"/>
  <c r="C725" i="6"/>
  <c r="C741" i="6"/>
  <c r="C757" i="6"/>
  <c r="C765" i="6"/>
  <c r="C877" i="6"/>
  <c r="C893" i="6"/>
  <c r="C909" i="6"/>
  <c r="C917" i="6"/>
  <c r="C965" i="6"/>
  <c r="C973" i="6"/>
  <c r="C52" i="6"/>
  <c r="C316" i="6"/>
  <c r="C687" i="6"/>
  <c r="C703" i="6"/>
  <c r="C751" i="6"/>
  <c r="C775" i="6"/>
  <c r="C20" i="9" s="1"/>
  <c r="C791" i="6"/>
  <c r="C799" i="6"/>
  <c r="C815" i="6"/>
  <c r="C855" i="6"/>
  <c r="C919" i="6"/>
  <c r="C164" i="9" s="1"/>
  <c r="C927" i="6"/>
  <c r="C172" i="9" s="1"/>
  <c r="C935" i="6"/>
  <c r="C180" i="9" s="1"/>
  <c r="C983" i="6"/>
  <c r="C228" i="9" s="1"/>
  <c r="C991" i="6"/>
  <c r="C236" i="9" s="1"/>
  <c r="C999" i="6"/>
  <c r="C244" i="9" s="1"/>
  <c r="C1007" i="6"/>
  <c r="C1015" i="6"/>
  <c r="C462" i="6"/>
  <c r="C486" i="6"/>
  <c r="C510" i="6"/>
  <c r="C518" i="6"/>
  <c r="C550" i="6"/>
  <c r="C582" i="6"/>
  <c r="C590" i="6"/>
  <c r="C630" i="6"/>
  <c r="C643" i="6"/>
  <c r="C696" i="6"/>
  <c r="C712" i="6"/>
  <c r="C760" i="6"/>
  <c r="C776" i="6"/>
  <c r="C297" i="6"/>
  <c r="C321" i="6"/>
  <c r="C353" i="6"/>
  <c r="C361" i="6"/>
  <c r="C393" i="6"/>
  <c r="C417" i="6"/>
  <c r="C425" i="6"/>
  <c r="C481" i="6"/>
  <c r="C489" i="6"/>
  <c r="C513" i="6"/>
  <c r="C545" i="6"/>
  <c r="C609" i="6"/>
  <c r="C638" i="6"/>
  <c r="C651" i="6"/>
  <c r="C468" i="6"/>
  <c r="C476" i="6"/>
  <c r="C572" i="6"/>
  <c r="C580" i="6"/>
  <c r="C620" i="6"/>
  <c r="C404" i="6"/>
  <c r="C436" i="6"/>
  <c r="C500" i="6"/>
  <c r="C508" i="6"/>
  <c r="C231" i="6"/>
  <c r="C399" i="6"/>
  <c r="C463" i="6"/>
  <c r="C637" i="6"/>
  <c r="C977" i="6"/>
  <c r="C222" i="9" s="1"/>
  <c r="C444" i="6"/>
  <c r="C239" i="6"/>
  <c r="C295" i="6"/>
  <c r="C391" i="6"/>
  <c r="C431" i="6"/>
  <c r="C495" i="6"/>
  <c r="C559" i="6"/>
  <c r="C599" i="6"/>
  <c r="C607" i="6"/>
  <c r="C119" i="6"/>
  <c r="C226" i="6"/>
  <c r="C234" i="6"/>
  <c r="C242" i="6"/>
  <c r="C250" i="6"/>
  <c r="C274" i="6"/>
  <c r="C282" i="6"/>
  <c r="C290" i="6"/>
  <c r="C330" i="6"/>
  <c r="C338" i="6"/>
  <c r="C346" i="6"/>
  <c r="C354" i="6"/>
  <c r="C386" i="6"/>
  <c r="C394" i="6"/>
  <c r="C402" i="6"/>
  <c r="C611" i="6"/>
  <c r="C1004" i="6"/>
  <c r="C502" i="6"/>
  <c r="C614" i="6"/>
  <c r="C111" i="6"/>
  <c r="C211" i="6"/>
  <c r="C341" i="6"/>
  <c r="C570" i="6"/>
  <c r="C310" i="6"/>
  <c r="C318" i="6"/>
  <c r="C326" i="6"/>
  <c r="C358" i="6"/>
  <c r="C398" i="6"/>
  <c r="C406" i="6"/>
  <c r="C414" i="6"/>
  <c r="C422" i="6"/>
  <c r="C438" i="6"/>
  <c r="C451" i="6"/>
  <c r="C475" i="6"/>
  <c r="C483" i="6"/>
  <c r="C499" i="6"/>
  <c r="C515" i="6"/>
  <c r="C523" i="6"/>
  <c r="C555" i="6"/>
  <c r="C587" i="6"/>
  <c r="C603" i="6"/>
  <c r="C655" i="6"/>
  <c r="C692" i="6"/>
  <c r="C708" i="6"/>
  <c r="C756" i="6"/>
  <c r="C772" i="6"/>
  <c r="C804" i="6"/>
  <c r="C820" i="6"/>
  <c r="C65" i="9" s="1"/>
  <c r="C844" i="6"/>
  <c r="C852" i="6"/>
  <c r="C97" i="9" s="1"/>
  <c r="C868" i="6"/>
  <c r="C113" i="9" s="1"/>
  <c r="C929" i="6"/>
  <c r="C174" i="9" s="1"/>
  <c r="C87" i="6"/>
  <c r="C123" i="6"/>
  <c r="C147" i="6"/>
  <c r="C171" i="6"/>
  <c r="C179" i="6"/>
  <c r="C203" i="6"/>
  <c r="C333" i="6"/>
  <c r="C349" i="6"/>
  <c r="C832" i="6"/>
  <c r="C95" i="6"/>
  <c r="C103" i="6"/>
  <c r="C64" i="6"/>
  <c r="C131" i="6"/>
  <c r="C243" i="6"/>
  <c r="C405" i="6"/>
  <c r="C538" i="6"/>
  <c r="C594" i="6"/>
  <c r="C683" i="6"/>
  <c r="C691" i="6"/>
  <c r="C715" i="6"/>
  <c r="C739" i="6"/>
  <c r="C859" i="6"/>
  <c r="C875" i="6"/>
  <c r="C883" i="6"/>
  <c r="C128" i="9" s="1"/>
  <c r="C907" i="6"/>
  <c r="C912" i="6"/>
  <c r="C960" i="6"/>
  <c r="C968" i="6"/>
  <c r="C992" i="6"/>
  <c r="C72" i="6"/>
  <c r="C155" i="6"/>
  <c r="C163" i="6"/>
  <c r="C195" i="6"/>
  <c r="C227" i="6"/>
  <c r="C530" i="6"/>
  <c r="C819" i="6"/>
  <c r="C64" i="9" s="1"/>
  <c r="C827" i="6"/>
  <c r="C835" i="6"/>
  <c r="C80" i="9" s="1"/>
  <c r="C35" i="6"/>
  <c r="C43" i="6"/>
  <c r="C59" i="6"/>
  <c r="C98" i="6"/>
  <c r="C166" i="6"/>
  <c r="C174" i="6"/>
  <c r="C182" i="6"/>
  <c r="C190" i="6"/>
  <c r="C198" i="6"/>
  <c r="C206" i="6"/>
  <c r="C214" i="6"/>
  <c r="C222" i="6"/>
  <c r="C254" i="6"/>
  <c r="C270" i="6"/>
  <c r="C286" i="6"/>
  <c r="C304" i="6"/>
  <c r="C328" i="6"/>
  <c r="C336" i="6"/>
  <c r="C384" i="6"/>
  <c r="C517" i="6"/>
  <c r="C525" i="6"/>
  <c r="C533" i="6"/>
  <c r="C557" i="6"/>
  <c r="C565" i="6"/>
  <c r="C581" i="6"/>
  <c r="C665" i="6"/>
  <c r="C673" i="6"/>
  <c r="C710" i="6"/>
  <c r="C734" i="6"/>
  <c r="C774" i="6"/>
  <c r="C782" i="6"/>
  <c r="C27" i="9" s="1"/>
  <c r="C830" i="6"/>
  <c r="C878" i="6"/>
  <c r="C902" i="6"/>
  <c r="C947" i="6"/>
  <c r="C955" i="6"/>
  <c r="C963" i="6"/>
  <c r="C80" i="6"/>
  <c r="C66" i="6"/>
  <c r="C139" i="6"/>
  <c r="C187" i="6"/>
  <c r="C219" i="6"/>
  <c r="C389" i="6"/>
  <c r="C265" i="6"/>
  <c r="C299" i="6"/>
  <c r="C307" i="6"/>
  <c r="C323" i="6"/>
  <c r="C339" i="6"/>
  <c r="C347" i="6"/>
  <c r="C363" i="6"/>
  <c r="C371" i="6"/>
  <c r="C435" i="6"/>
  <c r="C448" i="6"/>
  <c r="C464" i="6"/>
  <c r="C488" i="6"/>
  <c r="C512" i="6"/>
  <c r="C520" i="6"/>
  <c r="C528" i="6"/>
  <c r="C560" i="6"/>
  <c r="C600" i="6"/>
  <c r="C613" i="6"/>
  <c r="C660" i="6"/>
  <c r="C705" i="6"/>
  <c r="C713" i="6"/>
  <c r="C729" i="6"/>
  <c r="C777" i="6"/>
  <c r="C793" i="6"/>
  <c r="C38" i="9" s="1"/>
  <c r="C801" i="6"/>
  <c r="C857" i="6"/>
  <c r="C102" i="9" s="1"/>
  <c r="C874" i="6"/>
  <c r="C119" i="9" s="1"/>
  <c r="C897" i="6"/>
  <c r="C142" i="9" s="1"/>
  <c r="C910" i="6"/>
  <c r="C730" i="6"/>
  <c r="C735" i="6"/>
  <c r="C112" i="6"/>
  <c r="C826" i="6"/>
  <c r="C71" i="9" s="1"/>
  <c r="C981" i="6"/>
  <c r="C997" i="6"/>
  <c r="C1013" i="6"/>
  <c r="C258" i="9" s="1"/>
  <c r="C29" i="6"/>
  <c r="C873" i="6"/>
  <c r="C118" i="9" s="1"/>
  <c r="C976" i="6"/>
  <c r="C45" i="6"/>
  <c r="C100" i="6"/>
  <c r="C980" i="6"/>
  <c r="C225" i="9" s="1"/>
  <c r="C77" i="6"/>
  <c r="C972" i="6"/>
  <c r="C217" i="9" s="1"/>
  <c r="C31" i="6"/>
  <c r="C47" i="6"/>
  <c r="C85" i="6"/>
  <c r="C225" i="6"/>
  <c r="C259" i="6"/>
  <c r="C264" i="6"/>
  <c r="C272" i="6"/>
  <c r="C288" i="6"/>
  <c r="D290" i="6" s="1"/>
  <c r="C293" i="6"/>
  <c r="C303" i="6"/>
  <c r="C366" i="6"/>
  <c r="C379" i="6"/>
  <c r="C421" i="6"/>
  <c r="C458" i="6"/>
  <c r="C490" i="6"/>
  <c r="C498" i="6"/>
  <c r="D500" i="6" s="1"/>
  <c r="C506" i="6"/>
  <c r="C563" i="6"/>
  <c r="C589" i="6"/>
  <c r="C598" i="6"/>
  <c r="C602" i="6"/>
  <c r="C623" i="6"/>
  <c r="C678" i="6"/>
  <c r="C682" i="6"/>
  <c r="C698" i="6"/>
  <c r="C719" i="6"/>
  <c r="C727" i="6"/>
  <c r="C732" i="6"/>
  <c r="C737" i="6"/>
  <c r="C750" i="6"/>
  <c r="C789" i="6"/>
  <c r="C797" i="6"/>
  <c r="C842" i="6"/>
  <c r="C87" i="9" s="1"/>
  <c r="C858" i="6"/>
  <c r="C103" i="9" s="1"/>
  <c r="C866" i="6"/>
  <c r="C900" i="6"/>
  <c r="C908" i="6"/>
  <c r="C153" i="9" s="1"/>
  <c r="C913" i="6"/>
  <c r="C921" i="6"/>
  <c r="C166" i="9" s="1"/>
  <c r="C942" i="6"/>
  <c r="C950" i="6"/>
  <c r="C958" i="6"/>
  <c r="C974" i="6"/>
  <c r="C219" i="9" s="1"/>
  <c r="C91" i="6"/>
  <c r="C107" i="6"/>
  <c r="C84" i="6"/>
  <c r="C92" i="6"/>
  <c r="C656" i="6"/>
  <c r="C23" i="6"/>
  <c r="C39" i="6"/>
  <c r="C55" i="6"/>
  <c r="C93" i="6"/>
  <c r="C16" i="6"/>
  <c r="C24" i="6"/>
  <c r="C56" i="6"/>
  <c r="C71" i="6"/>
  <c r="C244" i="6"/>
  <c r="C252" i="6"/>
  <c r="C267" i="6"/>
  <c r="C275" i="6"/>
  <c r="C283" i="6"/>
  <c r="C359" i="6"/>
  <c r="C374" i="6"/>
  <c r="C382" i="6"/>
  <c r="C411" i="6"/>
  <c r="C416" i="6"/>
  <c r="D418" i="6" s="1"/>
  <c r="C453" i="6"/>
  <c r="C469" i="6"/>
  <c r="C477" i="6"/>
  <c r="C493" i="6"/>
  <c r="C553" i="6"/>
  <c r="C571" i="6"/>
  <c r="D572" i="6" s="1"/>
  <c r="C592" i="6"/>
  <c r="C597" i="6"/>
  <c r="C605" i="6"/>
  <c r="C618" i="6"/>
  <c r="D620" i="6" s="1"/>
  <c r="C672" i="6"/>
  <c r="C693" i="6"/>
  <c r="C702" i="6"/>
  <c r="C706" i="6"/>
  <c r="D707" i="6" s="1"/>
  <c r="C722" i="6"/>
  <c r="C761" i="6"/>
  <c r="C6" i="9" s="1"/>
  <c r="C808" i="6"/>
  <c r="C833" i="6"/>
  <c r="C78" i="9" s="1"/>
  <c r="C837" i="6"/>
  <c r="C853" i="6"/>
  <c r="C861" i="6"/>
  <c r="C887" i="6"/>
  <c r="C895" i="6"/>
  <c r="C140" i="9" s="1"/>
  <c r="C937" i="6"/>
  <c r="C182" i="9" s="1"/>
  <c r="C945" i="6"/>
  <c r="C190" i="9" s="1"/>
  <c r="C953" i="6"/>
  <c r="C198" i="9" s="1"/>
  <c r="C985" i="6"/>
  <c r="C230" i="9" s="1"/>
  <c r="C1001" i="6"/>
  <c r="C246" i="9" s="1"/>
  <c r="C1009" i="6"/>
  <c r="C114" i="6"/>
  <c r="C671" i="6"/>
  <c r="C841" i="6"/>
  <c r="C86" i="9" s="1"/>
  <c r="C849" i="6"/>
  <c r="C94" i="9" s="1"/>
  <c r="C865" i="6"/>
  <c r="C42" i="6"/>
  <c r="C50" i="6"/>
  <c r="C104" i="6"/>
  <c r="C546" i="6"/>
  <c r="C551" i="6"/>
  <c r="C670" i="6"/>
  <c r="C721" i="6"/>
  <c r="C1016" i="6"/>
  <c r="C261" i="9" s="1"/>
  <c r="C322" i="6"/>
  <c r="C327" i="6"/>
  <c r="C350" i="6"/>
  <c r="C403" i="6"/>
  <c r="D404" i="6" s="1"/>
  <c r="C491" i="6"/>
  <c r="C573" i="6"/>
  <c r="C675" i="6"/>
  <c r="C794" i="6"/>
  <c r="C39" i="9" s="1"/>
  <c r="C862" i="6"/>
  <c r="C867" i="6"/>
  <c r="C37" i="6"/>
  <c r="D37" i="6" s="1"/>
  <c r="C44" i="6"/>
  <c r="D45" i="6" s="1"/>
  <c r="C51" i="6"/>
  <c r="C58" i="6"/>
  <c r="C99" i="6"/>
  <c r="C106" i="6"/>
  <c r="C785" i="6"/>
  <c r="C30" i="9" s="1"/>
  <c r="C466" i="6"/>
  <c r="C467" i="6"/>
  <c r="C658" i="6"/>
  <c r="C659" i="6"/>
  <c r="C817" i="6"/>
  <c r="C62" i="9" s="1"/>
  <c r="C816" i="6"/>
  <c r="C881" i="6"/>
  <c r="C126" i="9" s="1"/>
  <c r="C880" i="6"/>
  <c r="C67" i="6"/>
  <c r="C541" i="6"/>
  <c r="C542" i="6"/>
  <c r="C850" i="6"/>
  <c r="C95" i="9" s="1"/>
  <c r="C851" i="6"/>
  <c r="C60" i="6"/>
  <c r="C108" i="6"/>
  <c r="C134" i="6"/>
  <c r="C32" i="6"/>
  <c r="C109" i="6"/>
  <c r="C628" i="6"/>
  <c r="C629" i="6"/>
  <c r="C744" i="6"/>
  <c r="D746" i="6" s="1"/>
  <c r="C745" i="6"/>
  <c r="C18" i="6"/>
  <c r="C115" i="6"/>
  <c r="C142" i="6"/>
  <c r="C68" i="6"/>
  <c r="C88" i="6"/>
  <c r="C116" i="6"/>
  <c r="C20" i="6"/>
  <c r="C75" i="6"/>
  <c r="C117" i="6"/>
  <c r="C124" i="6"/>
  <c r="D125" i="6" s="1"/>
  <c r="C140" i="6"/>
  <c r="C156" i="6"/>
  <c r="C188" i="6"/>
  <c r="D190" i="6" s="1"/>
  <c r="C196" i="6"/>
  <c r="D197" i="6" s="1"/>
  <c r="C204" i="6"/>
  <c r="D206" i="6" s="1"/>
  <c r="C212" i="6"/>
  <c r="C220" i="6"/>
  <c r="D222" i="6" s="1"/>
  <c r="C230" i="6"/>
  <c r="D232" i="6" s="1"/>
  <c r="C235" i="6"/>
  <c r="C258" i="6"/>
  <c r="D258" i="6" s="1"/>
  <c r="C263" i="6"/>
  <c r="D265" i="6" s="1"/>
  <c r="C278" i="6"/>
  <c r="C298" i="6"/>
  <c r="C331" i="6"/>
  <c r="C357" i="6"/>
  <c r="C362" i="6"/>
  <c r="C367" i="6"/>
  <c r="C372" i="6"/>
  <c r="C380" i="6"/>
  <c r="C387" i="6"/>
  <c r="C392" i="6"/>
  <c r="C423" i="6"/>
  <c r="C459" i="6"/>
  <c r="C526" i="6"/>
  <c r="C531" i="6"/>
  <c r="D533" i="6" s="1"/>
  <c r="C539" i="6"/>
  <c r="D582" i="6"/>
  <c r="C593" i="6"/>
  <c r="D594" i="6" s="1"/>
  <c r="C636" i="6"/>
  <c r="D638" i="6" s="1"/>
  <c r="C646" i="6"/>
  <c r="C697" i="6"/>
  <c r="C714" i="6"/>
  <c r="C747" i="6"/>
  <c r="C773" i="6"/>
  <c r="C18" i="9" s="1"/>
  <c r="C876" i="6"/>
  <c r="C121" i="9" s="1"/>
  <c r="C961" i="6"/>
  <c r="C206" i="9" s="1"/>
  <c r="C969" i="6"/>
  <c r="C214" i="9" s="1"/>
  <c r="C150" i="6"/>
  <c r="C19" i="6"/>
  <c r="C61" i="6"/>
  <c r="C456" i="6"/>
  <c r="C457" i="6"/>
  <c r="C27" i="6"/>
  <c r="C40" i="6"/>
  <c r="C82" i="6"/>
  <c r="C132" i="6"/>
  <c r="C148" i="6"/>
  <c r="C164" i="6"/>
  <c r="D165" i="6" s="1"/>
  <c r="C172" i="6"/>
  <c r="D173" i="6" s="1"/>
  <c r="C180" i="6"/>
  <c r="D182" i="6" s="1"/>
  <c r="C21" i="6"/>
  <c r="C28" i="6"/>
  <c r="D29" i="6" s="1"/>
  <c r="C34" i="6"/>
  <c r="C48" i="6"/>
  <c r="C69" i="6"/>
  <c r="C76" i="6"/>
  <c r="C83" i="6"/>
  <c r="C90" i="6"/>
  <c r="C96" i="6"/>
  <c r="C238" i="6"/>
  <c r="D239" i="6" s="1"/>
  <c r="C251" i="6"/>
  <c r="C256" i="6"/>
  <c r="C261" i="6"/>
  <c r="C291" i="6"/>
  <c r="D291" i="6" s="1"/>
  <c r="C296" i="6"/>
  <c r="D296" i="6" s="1"/>
  <c r="C306" i="6"/>
  <c r="D308" i="6" s="1"/>
  <c r="C314" i="6"/>
  <c r="C334" i="6"/>
  <c r="C352" i="6"/>
  <c r="C400" i="6"/>
  <c r="C418" i="6"/>
  <c r="C426" i="6"/>
  <c r="C427" i="6"/>
  <c r="C442" i="6"/>
  <c r="C449" i="6"/>
  <c r="C454" i="6"/>
  <c r="C521" i="6"/>
  <c r="C742" i="6"/>
  <c r="C758" i="6"/>
  <c r="C771" i="6"/>
  <c r="C16" i="9" s="1"/>
  <c r="C825" i="6"/>
  <c r="C70" i="9" s="1"/>
  <c r="C110" i="9"/>
  <c r="C884" i="6"/>
  <c r="C129" i="9" s="1"/>
  <c r="C889" i="6"/>
  <c r="C134" i="9" s="1"/>
  <c r="C894" i="6"/>
  <c r="C139" i="9" s="1"/>
  <c r="C928" i="6"/>
  <c r="C933" i="6"/>
  <c r="C938" i="6"/>
  <c r="C183" i="9" s="1"/>
  <c r="C951" i="6"/>
  <c r="C196" i="9" s="1"/>
  <c r="C53" i="6"/>
  <c r="C101" i="6"/>
  <c r="C126" i="6"/>
  <c r="C158" i="6"/>
  <c r="C26" i="6"/>
  <c r="C74" i="6"/>
  <c r="C122" i="6"/>
  <c r="C130" i="6"/>
  <c r="D132" i="6" s="1"/>
  <c r="C138" i="6"/>
  <c r="D140" i="6" s="1"/>
  <c r="C146" i="6"/>
  <c r="C154" i="6"/>
  <c r="C162" i="6"/>
  <c r="C170" i="6"/>
  <c r="C178" i="6"/>
  <c r="C186" i="6"/>
  <c r="C194" i="6"/>
  <c r="C202" i="6"/>
  <c r="C210" i="6"/>
  <c r="C218" i="6"/>
  <c r="C233" i="6"/>
  <c r="D233" i="6" s="1"/>
  <c r="C246" i="6"/>
  <c r="C266" i="6"/>
  <c r="D267" i="6" s="1"/>
  <c r="C271" i="6"/>
  <c r="D271" i="6" s="1"/>
  <c r="C276" i="6"/>
  <c r="C284" i="6"/>
  <c r="C301" i="6"/>
  <c r="C309" i="6"/>
  <c r="D309" i="6" s="1"/>
  <c r="C317" i="6"/>
  <c r="D318" i="6" s="1"/>
  <c r="C329" i="6"/>
  <c r="C342" i="6"/>
  <c r="C365" i="6"/>
  <c r="C378" i="6"/>
  <c r="C385" i="6"/>
  <c r="D386" i="6" s="1"/>
  <c r="C390" i="6"/>
  <c r="D391" i="6" s="1"/>
  <c r="C395" i="6"/>
  <c r="C429" i="6"/>
  <c r="C478" i="6"/>
  <c r="C504" i="6"/>
  <c r="C601" i="6"/>
  <c r="D601" i="6" s="1"/>
  <c r="C606" i="6"/>
  <c r="D607" i="6" s="1"/>
  <c r="C616" i="6"/>
  <c r="C617" i="6"/>
  <c r="C621" i="6"/>
  <c r="C680" i="6"/>
  <c r="C685" i="6"/>
  <c r="C707" i="6"/>
  <c r="C728" i="6"/>
  <c r="D729" i="6" s="1"/>
  <c r="C740" i="6"/>
  <c r="D741" i="6" s="1"/>
  <c r="C766" i="6"/>
  <c r="C11" i="9" s="1"/>
  <c r="C828" i="6"/>
  <c r="C73" i="9" s="1"/>
  <c r="C854" i="6"/>
  <c r="D855" i="6" s="1"/>
  <c r="C869" i="6"/>
  <c r="C114" i="9" s="1"/>
  <c r="C915" i="6"/>
  <c r="C160" i="9" s="1"/>
  <c r="C368" i="6"/>
  <c r="C373" i="6"/>
  <c r="C381" i="6"/>
  <c r="C430" i="6"/>
  <c r="C443" i="6"/>
  <c r="C450" i="6"/>
  <c r="C455" i="6"/>
  <c r="C470" i="6"/>
  <c r="C480" i="6"/>
  <c r="C485" i="6"/>
  <c r="C522" i="6"/>
  <c r="D522" i="6" s="1"/>
  <c r="C527" i="6"/>
  <c r="C532" i="6"/>
  <c r="C540" i="6"/>
  <c r="C547" i="6"/>
  <c r="C552" i="6"/>
  <c r="C562" i="6"/>
  <c r="C574" i="6"/>
  <c r="C584" i="6"/>
  <c r="C608" i="6"/>
  <c r="D609" i="6" s="1"/>
  <c r="C615" i="6"/>
  <c r="D617" i="6" s="1"/>
  <c r="C622" i="6"/>
  <c r="C632" i="6"/>
  <c r="C642" i="6"/>
  <c r="C676" i="6"/>
  <c r="D676" i="6" s="1"/>
  <c r="C700" i="6"/>
  <c r="C724" i="6"/>
  <c r="C743" i="6"/>
  <c r="C767" i="6"/>
  <c r="C12" i="9" s="1"/>
  <c r="C781" i="6"/>
  <c r="C26" i="9" s="1"/>
  <c r="C786" i="6"/>
  <c r="C796" i="6"/>
  <c r="C829" i="6"/>
  <c r="C834" i="6"/>
  <c r="C839" i="6"/>
  <c r="C84" i="9" s="1"/>
  <c r="C856" i="6"/>
  <c r="D857" i="6" s="1"/>
  <c r="C901" i="6"/>
  <c r="C146" i="9" s="1"/>
  <c r="C934" i="6"/>
  <c r="C939" i="6"/>
  <c r="C952" i="6"/>
  <c r="C957" i="6"/>
  <c r="C202" i="9" s="1"/>
  <c r="C962" i="6"/>
  <c r="C207" i="9" s="1"/>
  <c r="C975" i="6"/>
  <c r="C220" i="9" s="1"/>
  <c r="C998" i="6"/>
  <c r="D999" i="6" s="1"/>
  <c r="C1003" i="6"/>
  <c r="D1003" i="6" s="1"/>
  <c r="C993" i="6"/>
  <c r="C238" i="9" s="1"/>
  <c r="C978" i="6"/>
  <c r="C223" i="9" s="1"/>
  <c r="C412" i="6"/>
  <c r="C419" i="6"/>
  <c r="C424" i="6"/>
  <c r="D425" i="6" s="1"/>
  <c r="C434" i="6"/>
  <c r="D436" i="6" s="1"/>
  <c r="C461" i="6"/>
  <c r="D463" i="6" s="1"/>
  <c r="C474" i="6"/>
  <c r="D476" i="6" s="1"/>
  <c r="C496" i="6"/>
  <c r="C501" i="6"/>
  <c r="D502" i="6" s="1"/>
  <c r="C509" i="6"/>
  <c r="D510" i="6" s="1"/>
  <c r="C536" i="6"/>
  <c r="C558" i="6"/>
  <c r="C568" i="6"/>
  <c r="C578" i="6"/>
  <c r="C595" i="6"/>
  <c r="C626" i="6"/>
  <c r="C648" i="6"/>
  <c r="C663" i="6"/>
  <c r="C668" i="6"/>
  <c r="C690" i="6"/>
  <c r="C749" i="6"/>
  <c r="D751" i="6" s="1"/>
  <c r="C754" i="6"/>
  <c r="C759" i="6"/>
  <c r="D759" i="6" s="1"/>
  <c r="C790" i="6"/>
  <c r="C35" i="9" s="1"/>
  <c r="C813" i="6"/>
  <c r="C58" i="9" s="1"/>
  <c r="C818" i="6"/>
  <c r="C823" i="6"/>
  <c r="C68" i="9" s="1"/>
  <c r="C845" i="6"/>
  <c r="D846" i="6" s="1"/>
  <c r="C871" i="6"/>
  <c r="C116" i="9" s="1"/>
  <c r="C885" i="6"/>
  <c r="C920" i="6"/>
  <c r="C165" i="9" s="1"/>
  <c r="C925" i="6"/>
  <c r="C170" i="9" s="1"/>
  <c r="C943" i="6"/>
  <c r="C188" i="9" s="1"/>
  <c r="C966" i="6"/>
  <c r="C211" i="9" s="1"/>
  <c r="C984" i="6"/>
  <c r="C989" i="6"/>
  <c r="C1012" i="6"/>
  <c r="C257" i="9" s="1"/>
  <c r="C302" i="6"/>
  <c r="C315" i="6"/>
  <c r="C320" i="6"/>
  <c r="D322" i="6" s="1"/>
  <c r="C325" i="6"/>
  <c r="C335" i="6"/>
  <c r="C340" i="6"/>
  <c r="D340" i="6" s="1"/>
  <c r="C348" i="6"/>
  <c r="C355" i="6"/>
  <c r="D355" i="6" s="1"/>
  <c r="C360" i="6"/>
  <c r="D361" i="6" s="1"/>
  <c r="C370" i="6"/>
  <c r="C397" i="6"/>
  <c r="D399" i="6" s="1"/>
  <c r="C410" i="6"/>
  <c r="C432" i="6"/>
  <c r="C437" i="6"/>
  <c r="D437" i="6" s="1"/>
  <c r="C445" i="6"/>
  <c r="D446" i="6" s="1"/>
  <c r="C472" i="6"/>
  <c r="C494" i="6"/>
  <c r="C507" i="6"/>
  <c r="D508" i="6" s="1"/>
  <c r="C514" i="6"/>
  <c r="D514" i="6" s="1"/>
  <c r="C519" i="6"/>
  <c r="C534" i="6"/>
  <c r="C544" i="6"/>
  <c r="C549" i="6"/>
  <c r="D551" i="6" s="1"/>
  <c r="C566" i="6"/>
  <c r="C576" i="6"/>
  <c r="C586" i="6"/>
  <c r="C624" i="6"/>
  <c r="C634" i="6"/>
  <c r="C644" i="6"/>
  <c r="C666" i="6"/>
  <c r="C689" i="6"/>
  <c r="C704" i="6"/>
  <c r="D704" i="6" s="1"/>
  <c r="C738" i="6"/>
  <c r="C753" i="6"/>
  <c r="C764" i="6"/>
  <c r="C9" i="9" s="1"/>
  <c r="C778" i="6"/>
  <c r="C788" i="6"/>
  <c r="C33" i="9" s="1"/>
  <c r="C798" i="6"/>
  <c r="D799" i="6" s="1"/>
  <c r="C803" i="6"/>
  <c r="D804" i="6" s="1"/>
  <c r="C811" i="6"/>
  <c r="C821" i="6"/>
  <c r="C66" i="9" s="1"/>
  <c r="C843" i="6"/>
  <c r="D844" i="6" s="1"/>
  <c r="C860" i="6"/>
  <c r="C918" i="6"/>
  <c r="C923" i="6"/>
  <c r="C936" i="6"/>
  <c r="C181" i="9" s="1"/>
  <c r="C941" i="6"/>
  <c r="C946" i="6"/>
  <c r="C191" i="9" s="1"/>
  <c r="C959" i="6"/>
  <c r="C204" i="9" s="1"/>
  <c r="C982" i="6"/>
  <c r="C227" i="9" s="1"/>
  <c r="C988" i="6"/>
  <c r="C233" i="9" s="1"/>
  <c r="C1000" i="6"/>
  <c r="C245" i="9" s="1"/>
  <c r="C1006" i="6"/>
  <c r="C251" i="9" s="1"/>
  <c r="C1010" i="6"/>
  <c r="C255" i="9" s="1"/>
  <c r="C413" i="6"/>
  <c r="D464" i="6"/>
  <c r="C482" i="6"/>
  <c r="D483" i="6" s="1"/>
  <c r="C487" i="6"/>
  <c r="D489" i="6" s="1"/>
  <c r="D519" i="6"/>
  <c r="C554" i="6"/>
  <c r="C564" i="6"/>
  <c r="C579" i="6"/>
  <c r="D581" i="6" s="1"/>
  <c r="C610" i="6"/>
  <c r="D611" i="6" s="1"/>
  <c r="C695" i="6"/>
  <c r="D697" i="6" s="1"/>
  <c r="C711" i="6"/>
  <c r="D712" i="6" s="1"/>
  <c r="C726" i="6"/>
  <c r="D728" i="6" s="1"/>
  <c r="C736" i="6"/>
  <c r="C783" i="6"/>
  <c r="C28" i="9" s="1"/>
  <c r="C806" i="6"/>
  <c r="C51" i="9" s="1"/>
  <c r="C836" i="6"/>
  <c r="C81" i="9" s="1"/>
  <c r="C846" i="6"/>
  <c r="C872" i="6"/>
  <c r="C117" i="9" s="1"/>
  <c r="C891" i="6"/>
  <c r="C136" i="9" s="1"/>
  <c r="C898" i="6"/>
  <c r="D898" i="6" s="1"/>
  <c r="C906" i="6"/>
  <c r="C151" i="9" s="1"/>
  <c r="C911" i="6"/>
  <c r="C156" i="9" s="1"/>
  <c r="C926" i="6"/>
  <c r="D928" i="6" s="1"/>
  <c r="C931" i="6"/>
  <c r="C176" i="9" s="1"/>
  <c r="C944" i="6"/>
  <c r="C189" i="9" s="1"/>
  <c r="C949" i="6"/>
  <c r="C954" i="6"/>
  <c r="C199" i="9" s="1"/>
  <c r="C967" i="6"/>
  <c r="C212" i="9" s="1"/>
  <c r="C990" i="6"/>
  <c r="C235" i="9" s="1"/>
  <c r="C995" i="6"/>
  <c r="C1005" i="6"/>
  <c r="C250" i="9" s="1"/>
  <c r="C344" i="6"/>
  <c r="C345" i="6"/>
  <c r="C121" i="6"/>
  <c r="C120" i="6"/>
  <c r="D121" i="6" s="1"/>
  <c r="C129" i="6"/>
  <c r="C128" i="6"/>
  <c r="C137" i="6"/>
  <c r="C136" i="6"/>
  <c r="C145" i="6"/>
  <c r="C144" i="6"/>
  <c r="C153" i="6"/>
  <c r="C152" i="6"/>
  <c r="C161" i="6"/>
  <c r="D163" i="6" s="1"/>
  <c r="C160" i="6"/>
  <c r="C169" i="6"/>
  <c r="C168" i="6"/>
  <c r="C177" i="6"/>
  <c r="C176" i="6"/>
  <c r="C185" i="6"/>
  <c r="C184" i="6"/>
  <c r="C193" i="6"/>
  <c r="C192" i="6"/>
  <c r="C201" i="6"/>
  <c r="C200" i="6"/>
  <c r="C209" i="6"/>
  <c r="C208" i="6"/>
  <c r="C216" i="6"/>
  <c r="C217" i="6"/>
  <c r="D219" i="6" s="1"/>
  <c r="C248" i="6"/>
  <c r="C249" i="6"/>
  <c r="C75" i="9"/>
  <c r="C280" i="6"/>
  <c r="C281" i="6"/>
  <c r="C130" i="9"/>
  <c r="D299" i="6"/>
  <c r="C312" i="6"/>
  <c r="C313" i="6"/>
  <c r="C376" i="6"/>
  <c r="C377" i="6"/>
  <c r="C408" i="6"/>
  <c r="C409" i="6"/>
  <c r="C440" i="6"/>
  <c r="D442" i="6" s="1"/>
  <c r="C441" i="6"/>
  <c r="D443" i="6" s="1"/>
  <c r="C56" i="9"/>
  <c r="C91" i="9"/>
  <c r="D393" i="6"/>
  <c r="D134" i="6"/>
  <c r="D198" i="6"/>
  <c r="D124" i="6"/>
  <c r="D212" i="6"/>
  <c r="D310" i="6"/>
  <c r="C34" i="9"/>
  <c r="C44" i="9"/>
  <c r="D214" i="6"/>
  <c r="D406" i="6"/>
  <c r="D438" i="6"/>
  <c r="D523" i="6"/>
  <c r="C55" i="9"/>
  <c r="C88" i="9"/>
  <c r="C141" i="9"/>
  <c r="D295" i="6"/>
  <c r="C33" i="6"/>
  <c r="D35" i="6" s="1"/>
  <c r="C89" i="6"/>
  <c r="C241" i="6"/>
  <c r="D242" i="6" s="1"/>
  <c r="D245" i="6"/>
  <c r="C273" i="6"/>
  <c r="D274" i="6" s="1"/>
  <c r="C305" i="6"/>
  <c r="C337" i="6"/>
  <c r="D338" i="6" s="1"/>
  <c r="D341" i="6"/>
  <c r="D354" i="6"/>
  <c r="C369" i="6"/>
  <c r="C401" i="6"/>
  <c r="D405" i="6"/>
  <c r="C433" i="6"/>
  <c r="C465" i="6"/>
  <c r="C497" i="6"/>
  <c r="C529" i="6"/>
  <c r="D546" i="6"/>
  <c r="C561" i="6"/>
  <c r="C567" i="6"/>
  <c r="C588" i="6"/>
  <c r="C625" i="6"/>
  <c r="C631" i="6"/>
  <c r="C699" i="6"/>
  <c r="C723" i="6"/>
  <c r="C768" i="6"/>
  <c r="C792" i="6"/>
  <c r="C805" i="6"/>
  <c r="C814" i="6"/>
  <c r="C61" i="9"/>
  <c r="C72" i="9"/>
  <c r="C145" i="9"/>
  <c r="C162" i="9"/>
  <c r="C203" i="9"/>
  <c r="C208" i="9"/>
  <c r="C221" i="9"/>
  <c r="C667" i="6"/>
  <c r="C22" i="9"/>
  <c r="C24" i="9"/>
  <c r="C48" i="9"/>
  <c r="C79" i="9"/>
  <c r="C838" i="6"/>
  <c r="C123" i="9"/>
  <c r="C155" i="9"/>
  <c r="D912" i="6"/>
  <c r="D976" i="6"/>
  <c r="C237" i="9"/>
  <c r="D659" i="6"/>
  <c r="D715" i="6"/>
  <c r="D775" i="6"/>
  <c r="C784" i="6"/>
  <c r="C42" i="9"/>
  <c r="D852" i="6"/>
  <c r="C99" i="9"/>
  <c r="C106" i="9"/>
  <c r="C158" i="9"/>
  <c r="D615" i="6"/>
  <c r="C97" i="6"/>
  <c r="D99" i="6" s="1"/>
  <c r="D306" i="6"/>
  <c r="D683" i="6"/>
  <c r="C752" i="6"/>
  <c r="C10" i="9"/>
  <c r="C14" i="9"/>
  <c r="C49" i="9"/>
  <c r="D806" i="6"/>
  <c r="C60" i="9"/>
  <c r="C848" i="6"/>
  <c r="C104" i="9"/>
  <c r="C905" i="6"/>
  <c r="C904" i="6"/>
  <c r="C240" i="9"/>
  <c r="C31" i="9"/>
  <c r="C77" i="9"/>
  <c r="C173" i="9"/>
  <c r="C17" i="6"/>
  <c r="C25" i="6"/>
  <c r="C81" i="6"/>
  <c r="C105" i="6"/>
  <c r="C664" i="6"/>
  <c r="C223" i="6"/>
  <c r="D225" i="6" s="1"/>
  <c r="C236" i="6"/>
  <c r="D238" i="6" s="1"/>
  <c r="C255" i="6"/>
  <c r="D257" i="6" s="1"/>
  <c r="C268" i="6"/>
  <c r="D270" i="6" s="1"/>
  <c r="C287" i="6"/>
  <c r="D289" i="6" s="1"/>
  <c r="C300" i="6"/>
  <c r="C319" i="6"/>
  <c r="C332" i="6"/>
  <c r="C351" i="6"/>
  <c r="D353" i="6" s="1"/>
  <c r="C364" i="6"/>
  <c r="D366" i="6" s="1"/>
  <c r="C383" i="6"/>
  <c r="D385" i="6" s="1"/>
  <c r="C396" i="6"/>
  <c r="C415" i="6"/>
  <c r="D417" i="6" s="1"/>
  <c r="C428" i="6"/>
  <c r="C447" i="6"/>
  <c r="C460" i="6"/>
  <c r="C479" i="6"/>
  <c r="C492" i="6"/>
  <c r="D494" i="6" s="1"/>
  <c r="C511" i="6"/>
  <c r="D513" i="6" s="1"/>
  <c r="C524" i="6"/>
  <c r="D526" i="6" s="1"/>
  <c r="C543" i="6"/>
  <c r="C556" i="6"/>
  <c r="C585" i="6"/>
  <c r="C591" i="6"/>
  <c r="D593" i="6" s="1"/>
  <c r="C612" i="6"/>
  <c r="D614" i="6" s="1"/>
  <c r="C649" i="6"/>
  <c r="D651" i="6" s="1"/>
  <c r="C679" i="6"/>
  <c r="C694" i="6"/>
  <c r="D696" i="6" s="1"/>
  <c r="C709" i="6"/>
  <c r="C718" i="6"/>
  <c r="C720" i="6"/>
  <c r="C733" i="6"/>
  <c r="D735" i="6" s="1"/>
  <c r="C21" i="9"/>
  <c r="C36" i="9"/>
  <c r="D793" i="6"/>
  <c r="C795" i="6"/>
  <c r="C824" i="6"/>
  <c r="C89" i="9"/>
  <c r="C111" i="9"/>
  <c r="D868" i="6"/>
  <c r="C870" i="6"/>
  <c r="C122" i="9"/>
  <c r="C133" i="9"/>
  <c r="C899" i="6"/>
  <c r="C179" i="9"/>
  <c r="C184" i="9"/>
  <c r="C7" i="9"/>
  <c r="D777" i="6"/>
  <c r="C53" i="9"/>
  <c r="C49" i="6"/>
  <c r="C65" i="6"/>
  <c r="D67" i="6" s="1"/>
  <c r="C113" i="6"/>
  <c r="C13" i="6"/>
  <c r="C14" i="6"/>
  <c r="C22" i="6"/>
  <c r="C30" i="6"/>
  <c r="C38" i="6"/>
  <c r="C46" i="6"/>
  <c r="C54" i="6"/>
  <c r="D56" i="6" s="1"/>
  <c r="C62" i="6"/>
  <c r="C70" i="6"/>
  <c r="D72" i="6" s="1"/>
  <c r="C78" i="6"/>
  <c r="D80" i="6" s="1"/>
  <c r="C86" i="6"/>
  <c r="C94" i="6"/>
  <c r="C102" i="6"/>
  <c r="C110" i="6"/>
  <c r="C118" i="6"/>
  <c r="D394" i="6"/>
  <c r="D458" i="6"/>
  <c r="C473" i="6"/>
  <c r="D490" i="6"/>
  <c r="C505" i="6"/>
  <c r="C537" i="6"/>
  <c r="C577" i="6"/>
  <c r="C583" i="6"/>
  <c r="C604" i="6"/>
  <c r="D606" i="6" s="1"/>
  <c r="C641" i="6"/>
  <c r="C647" i="6"/>
  <c r="D660" i="6"/>
  <c r="C662" i="6"/>
  <c r="C677" i="6"/>
  <c r="C686" i="6"/>
  <c r="C688" i="6"/>
  <c r="C701" i="6"/>
  <c r="D703" i="6" s="1"/>
  <c r="D761" i="6"/>
  <c r="C763" i="6"/>
  <c r="D763" i="6" s="1"/>
  <c r="C787" i="6"/>
  <c r="C800" i="6"/>
  <c r="D801" i="6" s="1"/>
  <c r="C809" i="6"/>
  <c r="C100" i="9"/>
  <c r="C864" i="6"/>
  <c r="C120" i="9"/>
  <c r="D877" i="6"/>
  <c r="C138" i="9"/>
  <c r="D895" i="6"/>
  <c r="C147" i="9"/>
  <c r="C152" i="9"/>
  <c r="C154" i="9"/>
  <c r="C187" i="9"/>
  <c r="C192" i="9"/>
  <c r="C205" i="9"/>
  <c r="C46" i="9"/>
  <c r="D803" i="6"/>
  <c r="C132" i="9"/>
  <c r="C41" i="6"/>
  <c r="C57" i="6"/>
  <c r="D59" i="6" s="1"/>
  <c r="C73" i="6"/>
  <c r="D75" i="6" s="1"/>
  <c r="D402" i="6"/>
  <c r="D466" i="6"/>
  <c r="D530" i="6"/>
  <c r="R16" i="1"/>
  <c r="C127" i="6"/>
  <c r="C135" i="6"/>
  <c r="C143" i="6"/>
  <c r="C151" i="6"/>
  <c r="C159" i="6"/>
  <c r="D161" i="6" s="1"/>
  <c r="C167" i="6"/>
  <c r="D167" i="6" s="1"/>
  <c r="C175" i="6"/>
  <c r="C183" i="6"/>
  <c r="C191" i="6"/>
  <c r="C199" i="6"/>
  <c r="D199" i="6" s="1"/>
  <c r="C207" i="6"/>
  <c r="D207" i="6" s="1"/>
  <c r="C215" i="6"/>
  <c r="C228" i="6"/>
  <c r="C247" i="6"/>
  <c r="C260" i="6"/>
  <c r="C279" i="6"/>
  <c r="C292" i="6"/>
  <c r="D294" i="6" s="1"/>
  <c r="C311" i="6"/>
  <c r="C324" i="6"/>
  <c r="D328" i="6"/>
  <c r="C343" i="6"/>
  <c r="C356" i="6"/>
  <c r="D358" i="6" s="1"/>
  <c r="C375" i="6"/>
  <c r="C388" i="6"/>
  <c r="C407" i="6"/>
  <c r="C420" i="6"/>
  <c r="D424" i="6"/>
  <c r="C439" i="6"/>
  <c r="C452" i="6"/>
  <c r="C471" i="6"/>
  <c r="C484" i="6"/>
  <c r="C503" i="6"/>
  <c r="C516" i="6"/>
  <c r="D518" i="6" s="1"/>
  <c r="C535" i="6"/>
  <c r="C548" i="6"/>
  <c r="D550" i="6" s="1"/>
  <c r="C569" i="6"/>
  <c r="D571" i="6" s="1"/>
  <c r="C575" i="6"/>
  <c r="C596" i="6"/>
  <c r="D598" i="6" s="1"/>
  <c r="D602" i="6"/>
  <c r="C633" i="6"/>
  <c r="C639" i="6"/>
  <c r="C654" i="6"/>
  <c r="D656" i="6" s="1"/>
  <c r="C669" i="6"/>
  <c r="D675" i="6"/>
  <c r="D705" i="6"/>
  <c r="D714" i="6"/>
  <c r="C731" i="6"/>
  <c r="C755" i="6"/>
  <c r="D757" i="6" s="1"/>
  <c r="C17" i="9"/>
  <c r="D774" i="6"/>
  <c r="C19" i="9"/>
  <c r="D776" i="6"/>
  <c r="C807" i="6"/>
  <c r="D820" i="6"/>
  <c r="C822" i="6"/>
  <c r="C840" i="6"/>
  <c r="C98" i="9"/>
  <c r="C107" i="9"/>
  <c r="C127" i="9"/>
  <c r="C886" i="6"/>
  <c r="D887" i="6" s="1"/>
  <c r="C157" i="9"/>
  <c r="D914" i="6"/>
  <c r="C195" i="9"/>
  <c r="C200" i="9"/>
  <c r="C213" i="9"/>
  <c r="C79" i="7"/>
  <c r="C78" i="7"/>
  <c r="C248" i="9"/>
  <c r="C260" i="9"/>
  <c r="D927" i="6"/>
  <c r="C178" i="9"/>
  <c r="D935" i="6"/>
  <c r="C186" i="9"/>
  <c r="C194" i="9"/>
  <c r="C210" i="9"/>
  <c r="C971" i="6"/>
  <c r="D972" i="6" s="1"/>
  <c r="C218" i="9"/>
  <c r="C979" i="6"/>
  <c r="C226" i="9"/>
  <c r="D983" i="6"/>
  <c r="C987" i="6"/>
  <c r="C234" i="9"/>
  <c r="C242" i="9"/>
  <c r="D929" i="6"/>
  <c r="D937" i="6"/>
  <c r="D947" i="6"/>
  <c r="D955" i="6"/>
  <c r="D891" i="6"/>
  <c r="C47" i="7"/>
  <c r="C46" i="7"/>
  <c r="C63" i="7"/>
  <c r="C62" i="7"/>
  <c r="E69" i="7"/>
  <c r="E70" i="7"/>
  <c r="D859" i="6"/>
  <c r="D875" i="6"/>
  <c r="C916" i="6"/>
  <c r="C249" i="9"/>
  <c r="C652" i="6"/>
  <c r="C684" i="6"/>
  <c r="C716" i="6"/>
  <c r="C748" i="6"/>
  <c r="D773" i="6"/>
  <c r="C780" i="6"/>
  <c r="C812" i="6"/>
  <c r="C831" i="6"/>
  <c r="C847" i="6"/>
  <c r="C863" i="6"/>
  <c r="C879" i="6"/>
  <c r="D897" i="6"/>
  <c r="C903" i="6"/>
  <c r="C924" i="6"/>
  <c r="D925" i="6" s="1"/>
  <c r="C932" i="6"/>
  <c r="C940" i="6"/>
  <c r="C948" i="6"/>
  <c r="C956" i="6"/>
  <c r="C964" i="6"/>
  <c r="D964" i="6" s="1"/>
  <c r="C996" i="6"/>
  <c r="C247" i="9"/>
  <c r="C254" i="9"/>
  <c r="C23" i="7"/>
  <c r="Q18" i="1"/>
  <c r="R18" i="1" s="1"/>
  <c r="D854" i="6"/>
  <c r="C892" i="6"/>
  <c r="D974" i="6"/>
  <c r="D982" i="6"/>
  <c r="C252" i="9"/>
  <c r="C18" i="7"/>
  <c r="C17" i="7"/>
  <c r="E205" i="7"/>
  <c r="E206" i="7"/>
  <c r="E213" i="7"/>
  <c r="E214" i="7"/>
  <c r="C257" i="7"/>
  <c r="C258" i="7"/>
  <c r="E297" i="7"/>
  <c r="E298" i="7"/>
  <c r="E329" i="7"/>
  <c r="E330" i="7"/>
  <c r="C417" i="7"/>
  <c r="C418" i="7"/>
  <c r="E457" i="7"/>
  <c r="E458" i="7"/>
  <c r="C488" i="7"/>
  <c r="C489" i="7"/>
  <c r="E589" i="7"/>
  <c r="E590" i="7"/>
  <c r="E613" i="7"/>
  <c r="E614" i="7"/>
  <c r="C657" i="7"/>
  <c r="C658" i="7"/>
  <c r="E665" i="7"/>
  <c r="E666" i="7"/>
  <c r="E681" i="7"/>
  <c r="E682" i="7"/>
  <c r="E768" i="7"/>
  <c r="E767" i="7"/>
  <c r="E896" i="7"/>
  <c r="E895" i="7"/>
  <c r="E987" i="7"/>
  <c r="E986" i="7"/>
  <c r="C1008" i="6"/>
  <c r="D1009" i="6" s="1"/>
  <c r="E21" i="7"/>
  <c r="E22" i="7"/>
  <c r="C37" i="7"/>
  <c r="C69" i="7"/>
  <c r="C85" i="7"/>
  <c r="C94" i="7"/>
  <c r="E153" i="7"/>
  <c r="E154" i="7"/>
  <c r="C166" i="7"/>
  <c r="C165" i="7"/>
  <c r="C319" i="7"/>
  <c r="C318" i="7"/>
  <c r="C350" i="7"/>
  <c r="C382" i="7"/>
  <c r="C385" i="7"/>
  <c r="C386" i="7"/>
  <c r="C398" i="7"/>
  <c r="C422" i="7"/>
  <c r="C421" i="7"/>
  <c r="E441" i="7"/>
  <c r="E442" i="7"/>
  <c r="C469" i="7"/>
  <c r="C485" i="7"/>
  <c r="C510" i="7"/>
  <c r="C513" i="7"/>
  <c r="C514" i="7"/>
  <c r="C526" i="7"/>
  <c r="C537" i="7"/>
  <c r="C570" i="7"/>
  <c r="C629" i="7"/>
  <c r="C682" i="7"/>
  <c r="C683" i="7"/>
  <c r="C710" i="7"/>
  <c r="C709" i="7"/>
  <c r="C730" i="7"/>
  <c r="E842" i="7"/>
  <c r="E843" i="7"/>
  <c r="E870" i="7"/>
  <c r="E871" i="7"/>
  <c r="E883" i="7"/>
  <c r="C987" i="7"/>
  <c r="C988" i="7"/>
  <c r="E990" i="7"/>
  <c r="E991" i="7"/>
  <c r="E1083" i="7"/>
  <c r="E1082" i="7"/>
  <c r="C200" i="7"/>
  <c r="C201" i="7"/>
  <c r="E461" i="7"/>
  <c r="E462" i="7"/>
  <c r="E485" i="7"/>
  <c r="E486" i="7"/>
  <c r="C529" i="7"/>
  <c r="C530" i="7"/>
  <c r="E537" i="7"/>
  <c r="E538" i="7"/>
  <c r="E553" i="7"/>
  <c r="E554" i="7"/>
  <c r="E629" i="7"/>
  <c r="E630" i="7"/>
  <c r="C633" i="7"/>
  <c r="C634" i="7"/>
  <c r="C735" i="7"/>
  <c r="C734" i="7"/>
  <c r="C1131" i="7"/>
  <c r="C1132" i="7"/>
  <c r="C1291" i="7"/>
  <c r="C1292" i="7"/>
  <c r="E1355" i="7"/>
  <c r="E1354" i="7"/>
  <c r="C1439" i="7"/>
  <c r="C1440" i="7"/>
  <c r="E1446" i="7"/>
  <c r="E1447" i="7"/>
  <c r="E1508" i="7"/>
  <c r="E1507" i="7"/>
  <c r="E1535" i="7"/>
  <c r="E1534" i="7"/>
  <c r="C25" i="7"/>
  <c r="E40" i="7"/>
  <c r="E56" i="7"/>
  <c r="C89" i="7"/>
  <c r="C106" i="7"/>
  <c r="E109" i="7"/>
  <c r="C117" i="7"/>
  <c r="E137" i="7"/>
  <c r="E138" i="7"/>
  <c r="E140" i="7"/>
  <c r="C146" i="7"/>
  <c r="C154" i="7"/>
  <c r="C157" i="7"/>
  <c r="E185" i="7"/>
  <c r="E186" i="7"/>
  <c r="E200" i="7"/>
  <c r="C218" i="7"/>
  <c r="C229" i="7"/>
  <c r="E232" i="7"/>
  <c r="C241" i="7"/>
  <c r="C242" i="7"/>
  <c r="C244" i="7"/>
  <c r="E246" i="7"/>
  <c r="E249" i="7"/>
  <c r="E250" i="7"/>
  <c r="E318" i="7"/>
  <c r="E333" i="7"/>
  <c r="E334" i="7"/>
  <c r="E341" i="7"/>
  <c r="E342" i="7"/>
  <c r="C345" i="7"/>
  <c r="E376" i="7"/>
  <c r="C404" i="7"/>
  <c r="E406" i="7"/>
  <c r="E409" i="7"/>
  <c r="E410" i="7"/>
  <c r="E428" i="7"/>
  <c r="C434" i="7"/>
  <c r="C442" i="7"/>
  <c r="C501" i="7"/>
  <c r="E504" i="7"/>
  <c r="C554" i="7"/>
  <c r="C555" i="7"/>
  <c r="C582" i="7"/>
  <c r="C581" i="7"/>
  <c r="C602" i="7"/>
  <c r="E621" i="7"/>
  <c r="E622" i="7"/>
  <c r="E645" i="7"/>
  <c r="E646" i="7"/>
  <c r="C777" i="7"/>
  <c r="C778" i="7"/>
  <c r="E826" i="7"/>
  <c r="E918" i="7"/>
  <c r="E919" i="7"/>
  <c r="E1074" i="7"/>
  <c r="E17" i="7"/>
  <c r="C20" i="7"/>
  <c r="E25" i="7"/>
  <c r="C33" i="7"/>
  <c r="C65" i="7"/>
  <c r="E78" i="7"/>
  <c r="E89" i="7"/>
  <c r="E90" i="7"/>
  <c r="C98" i="7"/>
  <c r="E120" i="7"/>
  <c r="C126" i="7"/>
  <c r="E134" i="7"/>
  <c r="C138" i="7"/>
  <c r="C189" i="7"/>
  <c r="E221" i="7"/>
  <c r="E229" i="7"/>
  <c r="E230" i="7"/>
  <c r="E261" i="7"/>
  <c r="C276" i="7"/>
  <c r="E278" i="7"/>
  <c r="E281" i="7"/>
  <c r="E282" i="7"/>
  <c r="C290" i="7"/>
  <c r="C294" i="7"/>
  <c r="C293" i="7"/>
  <c r="C354" i="7"/>
  <c r="C377" i="7"/>
  <c r="C378" i="7"/>
  <c r="E425" i="7"/>
  <c r="E426" i="7"/>
  <c r="C447" i="7"/>
  <c r="C446" i="7"/>
  <c r="E501" i="7"/>
  <c r="E502" i="7"/>
  <c r="C505" i="7"/>
  <c r="C506" i="7"/>
  <c r="C607" i="7"/>
  <c r="C606" i="7"/>
  <c r="C673" i="7"/>
  <c r="C674" i="7"/>
  <c r="E713" i="7"/>
  <c r="E714" i="7"/>
  <c r="C728" i="7"/>
  <c r="C744" i="7"/>
  <c r="C745" i="7"/>
  <c r="E777" i="7"/>
  <c r="E778" i="7"/>
  <c r="C787" i="7"/>
  <c r="C827" i="7"/>
  <c r="C828" i="7"/>
  <c r="E830" i="7"/>
  <c r="E862" i="7"/>
  <c r="E1158" i="7"/>
  <c r="E1159" i="7"/>
  <c r="E1200" i="7"/>
  <c r="E1199" i="7"/>
  <c r="C1014" i="6"/>
  <c r="E65" i="7"/>
  <c r="C68" i="7"/>
  <c r="E81" i="7"/>
  <c r="C84" i="7"/>
  <c r="E86" i="7"/>
  <c r="E92" i="7"/>
  <c r="C104" i="7"/>
  <c r="C110" i="7"/>
  <c r="C129" i="7"/>
  <c r="C130" i="7"/>
  <c r="C132" i="7"/>
  <c r="E141" i="7"/>
  <c r="C152" i="7"/>
  <c r="E166" i="7"/>
  <c r="E169" i="7"/>
  <c r="E170" i="7"/>
  <c r="E172" i="7"/>
  <c r="C178" i="7"/>
  <c r="C186" i="7"/>
  <c r="E189" i="7"/>
  <c r="E201" i="7"/>
  <c r="E202" i="7"/>
  <c r="E284" i="7"/>
  <c r="C305" i="7"/>
  <c r="C313" i="7"/>
  <c r="C325" i="7"/>
  <c r="C328" i="7"/>
  <c r="C329" i="7"/>
  <c r="C334" i="7"/>
  <c r="E348" i="7"/>
  <c r="C366" i="7"/>
  <c r="E377" i="7"/>
  <c r="E378" i="7"/>
  <c r="E389" i="7"/>
  <c r="E390" i="7"/>
  <c r="E396" i="7"/>
  <c r="C402" i="7"/>
  <c r="C413" i="7"/>
  <c r="C426" i="7"/>
  <c r="C427" i="7"/>
  <c r="E429" i="7"/>
  <c r="C440" i="7"/>
  <c r="C454" i="7"/>
  <c r="C453" i="7"/>
  <c r="C474" i="7"/>
  <c r="E477" i="7"/>
  <c r="E493" i="7"/>
  <c r="E494" i="7"/>
  <c r="E517" i="7"/>
  <c r="E518" i="7"/>
  <c r="E606" i="7"/>
  <c r="C622" i="7"/>
  <c r="C650" i="7"/>
  <c r="E697" i="7"/>
  <c r="E698" i="7"/>
  <c r="C725" i="7"/>
  <c r="C741" i="7"/>
  <c r="E744" i="7"/>
  <c r="E774" i="7"/>
  <c r="E803" i="7"/>
  <c r="E818" i="7"/>
  <c r="E819" i="7"/>
  <c r="C863" i="7"/>
  <c r="C864" i="7"/>
  <c r="E998" i="7"/>
  <c r="E999" i="7"/>
  <c r="E20" i="7"/>
  <c r="E41" i="7"/>
  <c r="E42" i="7"/>
  <c r="E49" i="7"/>
  <c r="C52" i="7"/>
  <c r="E57" i="7"/>
  <c r="C101" i="7"/>
  <c r="E104" i="7"/>
  <c r="C113" i="7"/>
  <c r="E149" i="7"/>
  <c r="C158" i="7"/>
  <c r="C161" i="7"/>
  <c r="C164" i="7"/>
  <c r="C173" i="7"/>
  <c r="C191" i="7"/>
  <c r="C190" i="7"/>
  <c r="C196" i="7"/>
  <c r="E198" i="7"/>
  <c r="C216" i="7"/>
  <c r="C222" i="7"/>
  <c r="C225" i="7"/>
  <c r="E265" i="7"/>
  <c r="E266" i="7"/>
  <c r="E268" i="7"/>
  <c r="C274" i="7"/>
  <c r="C285" i="7"/>
  <c r="E313" i="7"/>
  <c r="E314" i="7"/>
  <c r="E325" i="7"/>
  <c r="E328" i="7"/>
  <c r="C357" i="7"/>
  <c r="E360" i="7"/>
  <c r="C372" i="7"/>
  <c r="E374" i="7"/>
  <c r="E453" i="7"/>
  <c r="C479" i="7"/>
  <c r="C478" i="7"/>
  <c r="C545" i="7"/>
  <c r="C546" i="7"/>
  <c r="E585" i="7"/>
  <c r="E586" i="7"/>
  <c r="C600" i="7"/>
  <c r="C616" i="7"/>
  <c r="C617" i="7"/>
  <c r="C701" i="7"/>
  <c r="C714" i="7"/>
  <c r="E717" i="7"/>
  <c r="E718" i="7"/>
  <c r="C729" i="7"/>
  <c r="E741" i="7"/>
  <c r="E742" i="7"/>
  <c r="C775" i="7"/>
  <c r="C776" i="7"/>
  <c r="E806" i="7"/>
  <c r="E807" i="7"/>
  <c r="C819" i="7"/>
  <c r="C820" i="7"/>
  <c r="E847" i="7"/>
  <c r="E907" i="7"/>
  <c r="E910" i="7"/>
  <c r="E911" i="7"/>
  <c r="C959" i="7"/>
  <c r="C960" i="7"/>
  <c r="C979" i="7"/>
  <c r="C980" i="7"/>
  <c r="C1006" i="7"/>
  <c r="C1011" i="6"/>
  <c r="C34" i="7"/>
  <c r="E44" i="7"/>
  <c r="E54" i="7"/>
  <c r="C58" i="7"/>
  <c r="C66" i="7"/>
  <c r="E76" i="7"/>
  <c r="E93" i="7"/>
  <c r="E101" i="7"/>
  <c r="E102" i="7"/>
  <c r="C116" i="7"/>
  <c r="E118" i="7"/>
  <c r="E121" i="7"/>
  <c r="E122" i="7"/>
  <c r="C136" i="7"/>
  <c r="C139" i="7"/>
  <c r="C142" i="7"/>
  <c r="C170" i="7"/>
  <c r="E173" i="7"/>
  <c r="C181" i="7"/>
  <c r="C184" i="7"/>
  <c r="C213" i="7"/>
  <c r="E216" i="7"/>
  <c r="E222" i="7"/>
  <c r="C237" i="7"/>
  <c r="C245" i="7"/>
  <c r="C254" i="7"/>
  <c r="E262" i="7"/>
  <c r="C266" i="7"/>
  <c r="C317" i="7"/>
  <c r="E349" i="7"/>
  <c r="E357" i="7"/>
  <c r="E358" i="7"/>
  <c r="E366" i="7"/>
  <c r="C394" i="7"/>
  <c r="E478" i="7"/>
  <c r="C494" i="7"/>
  <c r="C522" i="7"/>
  <c r="E569" i="7"/>
  <c r="E570" i="7"/>
  <c r="C597" i="7"/>
  <c r="C613" i="7"/>
  <c r="E616" i="7"/>
  <c r="C638" i="7"/>
  <c r="C641" i="7"/>
  <c r="C642" i="7"/>
  <c r="C654" i="7"/>
  <c r="C665" i="7"/>
  <c r="E684" i="7"/>
  <c r="C690" i="7"/>
  <c r="C698" i="7"/>
  <c r="C801" i="7"/>
  <c r="C802" i="7"/>
  <c r="C883" i="7"/>
  <c r="C884" i="7"/>
  <c r="C895" i="7"/>
  <c r="C896" i="7"/>
  <c r="E1003" i="7"/>
  <c r="E1002" i="7"/>
  <c r="E1099" i="7"/>
  <c r="E1098" i="7"/>
  <c r="C193" i="7"/>
  <c r="C212" i="7"/>
  <c r="E217" i="7"/>
  <c r="E218" i="7"/>
  <c r="E236" i="7"/>
  <c r="C253" i="7"/>
  <c r="E269" i="7"/>
  <c r="C280" i="7"/>
  <c r="E293" i="7"/>
  <c r="E296" i="7"/>
  <c r="C321" i="7"/>
  <c r="C340" i="7"/>
  <c r="E345" i="7"/>
  <c r="E346" i="7"/>
  <c r="E364" i="7"/>
  <c r="C381" i="7"/>
  <c r="E397" i="7"/>
  <c r="C408" i="7"/>
  <c r="E421" i="7"/>
  <c r="E424" i="7"/>
  <c r="C449" i="7"/>
  <c r="C468" i="7"/>
  <c r="E473" i="7"/>
  <c r="E474" i="7"/>
  <c r="E492" i="7"/>
  <c r="C509" i="7"/>
  <c r="E525" i="7"/>
  <c r="C536" i="7"/>
  <c r="E549" i="7"/>
  <c r="E552" i="7"/>
  <c r="C577" i="7"/>
  <c r="C596" i="7"/>
  <c r="E601" i="7"/>
  <c r="E602" i="7"/>
  <c r="E620" i="7"/>
  <c r="C637" i="7"/>
  <c r="E653" i="7"/>
  <c r="C664" i="7"/>
  <c r="E677" i="7"/>
  <c r="E680" i="7"/>
  <c r="C705" i="7"/>
  <c r="C724" i="7"/>
  <c r="E729" i="7"/>
  <c r="E730" i="7"/>
  <c r="E748" i="7"/>
  <c r="E754" i="7"/>
  <c r="C763" i="7"/>
  <c r="C769" i="7"/>
  <c r="C800" i="7"/>
  <c r="E814" i="7"/>
  <c r="C835" i="7"/>
  <c r="C847" i="7"/>
  <c r="C848" i="7"/>
  <c r="C859" i="7"/>
  <c r="E893" i="7"/>
  <c r="C974" i="7"/>
  <c r="E1007" i="7"/>
  <c r="C1039" i="7"/>
  <c r="C1040" i="7"/>
  <c r="E1067" i="7"/>
  <c r="E1066" i="7"/>
  <c r="C1087" i="7"/>
  <c r="C1088" i="7"/>
  <c r="C1134" i="7"/>
  <c r="C1183" i="7"/>
  <c r="C1184" i="7"/>
  <c r="E1190" i="7"/>
  <c r="E1191" i="7"/>
  <c r="E1252" i="7"/>
  <c r="E1251" i="7"/>
  <c r="E1279" i="7"/>
  <c r="E1278" i="7"/>
  <c r="C1343" i="7"/>
  <c r="C1344" i="7"/>
  <c r="E1374" i="7"/>
  <c r="C1396" i="7"/>
  <c r="E1412" i="7"/>
  <c r="E1411" i="7"/>
  <c r="C1491" i="7"/>
  <c r="C1492" i="7"/>
  <c r="E1515" i="7"/>
  <c r="E1514" i="7"/>
  <c r="E1566" i="7"/>
  <c r="E1567" i="7"/>
  <c r="E939" i="7"/>
  <c r="E938" i="7"/>
  <c r="C971" i="7"/>
  <c r="C972" i="7"/>
  <c r="E1131" i="7"/>
  <c r="E1130" i="7"/>
  <c r="E1286" i="7"/>
  <c r="E1287" i="7"/>
  <c r="E1328" i="7"/>
  <c r="E1327" i="7"/>
  <c r="E1488" i="7"/>
  <c r="E1487" i="7"/>
  <c r="C1515" i="7"/>
  <c r="C1516" i="7"/>
  <c r="C1551" i="7"/>
  <c r="C1552" i="7"/>
  <c r="C990" i="7"/>
  <c r="E1014" i="7"/>
  <c r="E1015" i="7"/>
  <c r="C1023" i="7"/>
  <c r="C1024" i="7"/>
  <c r="E1033" i="7"/>
  <c r="E1092" i="7"/>
  <c r="E1091" i="7"/>
  <c r="E1101" i="7"/>
  <c r="E1102" i="7"/>
  <c r="C1115" i="7"/>
  <c r="C1116" i="7"/>
  <c r="E1118" i="7"/>
  <c r="E1151" i="7"/>
  <c r="E1150" i="7"/>
  <c r="C1215" i="7"/>
  <c r="C1216" i="7"/>
  <c r="E1246" i="7"/>
  <c r="E1284" i="7"/>
  <c r="E1283" i="7"/>
  <c r="C1363" i="7"/>
  <c r="C1364" i="7"/>
  <c r="E1387" i="7"/>
  <c r="E1386" i="7"/>
  <c r="E1627" i="7"/>
  <c r="E1626" i="7"/>
  <c r="E1360" i="7"/>
  <c r="E1359" i="7"/>
  <c r="C1387" i="7"/>
  <c r="C1388" i="7"/>
  <c r="C1555" i="7"/>
  <c r="C1556" i="7"/>
  <c r="E1595" i="7"/>
  <c r="E1594" i="7"/>
  <c r="E1796" i="7"/>
  <c r="E1797" i="7"/>
  <c r="C369" i="7"/>
  <c r="C388" i="7"/>
  <c r="E393" i="7"/>
  <c r="E394" i="7"/>
  <c r="E412" i="7"/>
  <c r="C429" i="7"/>
  <c r="E445" i="7"/>
  <c r="C456" i="7"/>
  <c r="E469" i="7"/>
  <c r="E472" i="7"/>
  <c r="C497" i="7"/>
  <c r="C516" i="7"/>
  <c r="E521" i="7"/>
  <c r="E522" i="7"/>
  <c r="E540" i="7"/>
  <c r="C557" i="7"/>
  <c r="E573" i="7"/>
  <c r="C584" i="7"/>
  <c r="E597" i="7"/>
  <c r="E600" i="7"/>
  <c r="C625" i="7"/>
  <c r="C644" i="7"/>
  <c r="E649" i="7"/>
  <c r="E650" i="7"/>
  <c r="E668" i="7"/>
  <c r="C685" i="7"/>
  <c r="E701" i="7"/>
  <c r="C712" i="7"/>
  <c r="E725" i="7"/>
  <c r="E728" i="7"/>
  <c r="E756" i="7"/>
  <c r="E787" i="7"/>
  <c r="C793" i="7"/>
  <c r="C840" i="7"/>
  <c r="E857" i="7"/>
  <c r="C875" i="7"/>
  <c r="C876" i="7"/>
  <c r="C878" i="7"/>
  <c r="E898" i="7"/>
  <c r="E899" i="7"/>
  <c r="C927" i="7"/>
  <c r="C928" i="7"/>
  <c r="C930" i="7"/>
  <c r="C943" i="7"/>
  <c r="C944" i="7"/>
  <c r="E964" i="7"/>
  <c r="E963" i="7"/>
  <c r="E1030" i="7"/>
  <c r="E1031" i="7"/>
  <c r="C1055" i="7"/>
  <c r="C1056" i="7"/>
  <c r="C1058" i="7"/>
  <c r="C1075" i="7"/>
  <c r="C1163" i="7"/>
  <c r="C1164" i="7"/>
  <c r="E1227" i="7"/>
  <c r="E1226" i="7"/>
  <c r="C1262" i="7"/>
  <c r="C1311" i="7"/>
  <c r="C1312" i="7"/>
  <c r="E1318" i="7"/>
  <c r="E1319" i="7"/>
  <c r="E1380" i="7"/>
  <c r="E1379" i="7"/>
  <c r="E1407" i="7"/>
  <c r="E1406" i="7"/>
  <c r="C1471" i="7"/>
  <c r="C1472" i="7"/>
  <c r="E1502" i="7"/>
  <c r="C1524" i="7"/>
  <c r="C1579" i="7"/>
  <c r="C1580" i="7"/>
  <c r="C1611" i="7"/>
  <c r="C1612" i="7"/>
  <c r="C1651" i="7"/>
  <c r="C1652" i="7"/>
  <c r="E1863" i="7"/>
  <c r="E1862" i="7"/>
  <c r="E456" i="7"/>
  <c r="C481" i="7"/>
  <c r="C500" i="7"/>
  <c r="E505" i="7"/>
  <c r="E506" i="7"/>
  <c r="E524" i="7"/>
  <c r="C541" i="7"/>
  <c r="E557" i="7"/>
  <c r="C568" i="7"/>
  <c r="E581" i="7"/>
  <c r="E584" i="7"/>
  <c r="C609" i="7"/>
  <c r="C628" i="7"/>
  <c r="E633" i="7"/>
  <c r="E634" i="7"/>
  <c r="E652" i="7"/>
  <c r="C669" i="7"/>
  <c r="E685" i="7"/>
  <c r="C696" i="7"/>
  <c r="E709" i="7"/>
  <c r="E712" i="7"/>
  <c r="C737" i="7"/>
  <c r="C768" i="7"/>
  <c r="E773" i="7"/>
  <c r="C779" i="7"/>
  <c r="C780" i="7"/>
  <c r="C782" i="7"/>
  <c r="C788" i="7"/>
  <c r="C799" i="7"/>
  <c r="E854" i="7"/>
  <c r="E855" i="7"/>
  <c r="E878" i="7"/>
  <c r="C899" i="7"/>
  <c r="C911" i="7"/>
  <c r="C912" i="7"/>
  <c r="E930" i="7"/>
  <c r="E946" i="7"/>
  <c r="C964" i="7"/>
  <c r="C1003" i="7"/>
  <c r="C1004" i="7"/>
  <c r="E1028" i="7"/>
  <c r="E1027" i="7"/>
  <c r="C1035" i="7"/>
  <c r="E1062" i="7"/>
  <c r="C1107" i="7"/>
  <c r="C1108" i="7"/>
  <c r="C1140" i="7"/>
  <c r="E1156" i="7"/>
  <c r="E1155" i="7"/>
  <c r="C1235" i="7"/>
  <c r="C1236" i="7"/>
  <c r="E1259" i="7"/>
  <c r="E1258" i="7"/>
  <c r="E1414" i="7"/>
  <c r="E1415" i="7"/>
  <c r="E1456" i="7"/>
  <c r="E1455" i="7"/>
  <c r="E1542" i="7"/>
  <c r="E1543" i="7"/>
  <c r="C1583" i="7"/>
  <c r="C1584" i="7"/>
  <c r="E1598" i="7"/>
  <c r="E1599" i="7"/>
  <c r="E1661" i="7"/>
  <c r="E1665" i="7"/>
  <c r="E1669" i="7"/>
  <c r="E1673" i="7"/>
  <c r="E1677" i="7"/>
  <c r="E1681" i="7"/>
  <c r="E1685" i="7"/>
  <c r="E1689" i="7"/>
  <c r="E1693" i="7"/>
  <c r="E1697" i="7"/>
  <c r="E1701" i="7"/>
  <c r="E1705" i="7"/>
  <c r="E1709" i="7"/>
  <c r="E1713" i="7"/>
  <c r="E1717" i="7"/>
  <c r="E1721" i="7"/>
  <c r="E1725" i="7"/>
  <c r="E1729" i="7"/>
  <c r="E1733" i="7"/>
  <c r="E1737" i="7"/>
  <c r="E1741" i="7"/>
  <c r="E1745" i="7"/>
  <c r="E1749" i="7"/>
  <c r="E1753" i="7"/>
  <c r="E1757" i="7"/>
  <c r="E1761" i="7"/>
  <c r="E1765" i="7"/>
  <c r="E1769" i="7"/>
  <c r="E1773" i="7"/>
  <c r="E1777" i="7"/>
  <c r="E1781" i="7"/>
  <c r="E1785" i="7"/>
  <c r="E1808" i="7"/>
  <c r="E1809" i="7"/>
  <c r="E1813" i="7"/>
  <c r="E1812" i="7"/>
  <c r="E1817" i="7"/>
  <c r="E1816" i="7"/>
  <c r="E1834" i="7"/>
  <c r="E1835" i="7"/>
  <c r="E27" i="7"/>
  <c r="E37" i="7"/>
  <c r="C40" i="7"/>
  <c r="E45" i="7"/>
  <c r="E60" i="7"/>
  <c r="E73" i="7"/>
  <c r="C81" i="7"/>
  <c r="C100" i="7"/>
  <c r="E105" i="7"/>
  <c r="E106" i="7"/>
  <c r="E124" i="7"/>
  <c r="C141" i="7"/>
  <c r="E157" i="7"/>
  <c r="C168" i="7"/>
  <c r="E181" i="7"/>
  <c r="E184" i="7"/>
  <c r="C209" i="7"/>
  <c r="C228" i="7"/>
  <c r="E233" i="7"/>
  <c r="E234" i="7"/>
  <c r="E252" i="7"/>
  <c r="C269" i="7"/>
  <c r="E285" i="7"/>
  <c r="C296" i="7"/>
  <c r="E309" i="7"/>
  <c r="E312" i="7"/>
  <c r="C337" i="7"/>
  <c r="C356" i="7"/>
  <c r="E361" i="7"/>
  <c r="E362" i="7"/>
  <c r="E380" i="7"/>
  <c r="C397" i="7"/>
  <c r="E413" i="7"/>
  <c r="C424" i="7"/>
  <c r="E437" i="7"/>
  <c r="E440" i="7"/>
  <c r="C465" i="7"/>
  <c r="C484" i="7"/>
  <c r="E489" i="7"/>
  <c r="E490" i="7"/>
  <c r="E508" i="7"/>
  <c r="C525" i="7"/>
  <c r="E541" i="7"/>
  <c r="C549" i="7"/>
  <c r="C552" i="7"/>
  <c r="E565" i="7"/>
  <c r="E568" i="7"/>
  <c r="C574" i="7"/>
  <c r="C593" i="7"/>
  <c r="C612" i="7"/>
  <c r="E617" i="7"/>
  <c r="E618" i="7"/>
  <c r="E636" i="7"/>
  <c r="C653" i="7"/>
  <c r="E669" i="7"/>
  <c r="C677" i="7"/>
  <c r="C680" i="7"/>
  <c r="E693" i="7"/>
  <c r="E696" i="7"/>
  <c r="C702" i="7"/>
  <c r="C721" i="7"/>
  <c r="C740" i="7"/>
  <c r="E745" i="7"/>
  <c r="E746" i="7"/>
  <c r="C751" i="7"/>
  <c r="C754" i="7"/>
  <c r="E762" i="7"/>
  <c r="E765" i="7"/>
  <c r="E782" i="7"/>
  <c r="E799" i="7"/>
  <c r="C811" i="7"/>
  <c r="C812" i="7"/>
  <c r="C814" i="7"/>
  <c r="E831" i="7"/>
  <c r="E834" i="7"/>
  <c r="E835" i="7"/>
  <c r="C855" i="7"/>
  <c r="E858" i="7"/>
  <c r="E902" i="7"/>
  <c r="C914" i="7"/>
  <c r="E927" i="7"/>
  <c r="E934" i="7"/>
  <c r="E943" i="7"/>
  <c r="C947" i="7"/>
  <c r="E954" i="7"/>
  <c r="E957" i="7"/>
  <c r="E973" i="7"/>
  <c r="E974" i="7"/>
  <c r="E1055" i="7"/>
  <c r="E1086" i="7"/>
  <c r="E1104" i="7"/>
  <c r="E1103" i="7"/>
  <c r="E1108" i="7"/>
  <c r="E1107" i="7"/>
  <c r="E1232" i="7"/>
  <c r="E1231" i="7"/>
  <c r="C1259" i="7"/>
  <c r="C1260" i="7"/>
  <c r="C1419" i="7"/>
  <c r="C1420" i="7"/>
  <c r="E1483" i="7"/>
  <c r="E1482" i="7"/>
  <c r="C1518" i="7"/>
  <c r="E1638" i="7"/>
  <c r="E1639" i="7"/>
  <c r="E1849" i="7"/>
  <c r="E1848" i="7"/>
  <c r="C1855" i="7"/>
  <c r="C1856" i="7"/>
  <c r="E1881" i="7"/>
  <c r="E1880" i="7"/>
  <c r="C1943" i="7"/>
  <c r="C1944" i="7"/>
  <c r="E1991" i="7"/>
  <c r="E1990" i="7"/>
  <c r="E2044" i="7"/>
  <c r="E2045" i="7"/>
  <c r="C2048" i="7"/>
  <c r="C2049" i="7"/>
  <c r="C1071" i="7"/>
  <c r="C1072" i="7"/>
  <c r="C1199" i="7"/>
  <c r="C1200" i="7"/>
  <c r="C1327" i="7"/>
  <c r="C1328" i="7"/>
  <c r="C1455" i="7"/>
  <c r="C1456" i="7"/>
  <c r="C1567" i="7"/>
  <c r="C1568" i="7"/>
  <c r="E1611" i="7"/>
  <c r="E1610" i="7"/>
  <c r="E1800" i="7"/>
  <c r="E1801" i="7"/>
  <c r="E1804" i="7"/>
  <c r="E1805" i="7"/>
  <c r="E1858" i="7"/>
  <c r="E1859" i="7"/>
  <c r="E1913" i="7"/>
  <c r="E1912" i="7"/>
  <c r="E1995" i="7"/>
  <c r="E1994" i="7"/>
  <c r="E2126" i="7"/>
  <c r="E2127" i="7"/>
  <c r="C2501" i="7"/>
  <c r="C2502" i="7"/>
  <c r="E2028" i="7"/>
  <c r="E2029" i="7"/>
  <c r="E1161" i="7"/>
  <c r="C1167" i="7"/>
  <c r="C1168" i="7"/>
  <c r="C1186" i="7"/>
  <c r="E1202" i="7"/>
  <c r="E1229" i="7"/>
  <c r="E1289" i="7"/>
  <c r="C1295" i="7"/>
  <c r="C1296" i="7"/>
  <c r="C1314" i="7"/>
  <c r="E1330" i="7"/>
  <c r="E1357" i="7"/>
  <c r="E1417" i="7"/>
  <c r="C1423" i="7"/>
  <c r="C1424" i="7"/>
  <c r="C1442" i="7"/>
  <c r="E1458" i="7"/>
  <c r="E1485" i="7"/>
  <c r="C1599" i="7"/>
  <c r="C1600" i="7"/>
  <c r="E1643" i="7"/>
  <c r="E1642" i="7"/>
  <c r="E1867" i="7"/>
  <c r="E1866" i="7"/>
  <c r="E1922" i="7"/>
  <c r="E1923" i="7"/>
  <c r="E1963" i="7"/>
  <c r="C1975" i="7"/>
  <c r="C1976" i="7"/>
  <c r="E2117" i="7"/>
  <c r="C2138" i="7"/>
  <c r="C2139" i="7"/>
  <c r="C1099" i="7"/>
  <c r="C1102" i="7"/>
  <c r="E1126" i="7"/>
  <c r="C1151" i="7"/>
  <c r="C1152" i="7"/>
  <c r="E1183" i="7"/>
  <c r="C1203" i="7"/>
  <c r="E1210" i="7"/>
  <c r="C1227" i="7"/>
  <c r="C1230" i="7"/>
  <c r="E1235" i="7"/>
  <c r="E1254" i="7"/>
  <c r="C1279" i="7"/>
  <c r="C1280" i="7"/>
  <c r="E1311" i="7"/>
  <c r="C1331" i="7"/>
  <c r="E1338" i="7"/>
  <c r="C1355" i="7"/>
  <c r="C1358" i="7"/>
  <c r="E1363" i="7"/>
  <c r="E1382" i="7"/>
  <c r="C1407" i="7"/>
  <c r="C1408" i="7"/>
  <c r="E1439" i="7"/>
  <c r="C1459" i="7"/>
  <c r="E1466" i="7"/>
  <c r="C1483" i="7"/>
  <c r="C1486" i="7"/>
  <c r="E1491" i="7"/>
  <c r="E1510" i="7"/>
  <c r="C1535" i="7"/>
  <c r="C1536" i="7"/>
  <c r="C1538" i="7"/>
  <c r="E1547" i="7"/>
  <c r="E1546" i="7"/>
  <c r="E1574" i="7"/>
  <c r="C1587" i="7"/>
  <c r="E1602" i="7"/>
  <c r="C1615" i="7"/>
  <c r="C1616" i="7"/>
  <c r="E1630" i="7"/>
  <c r="C1643" i="7"/>
  <c r="E1794" i="7"/>
  <c r="E1795" i="7"/>
  <c r="E1927" i="7"/>
  <c r="E1926" i="7"/>
  <c r="C2095" i="7"/>
  <c r="C2096" i="7"/>
  <c r="E2190" i="7"/>
  <c r="E2191" i="7"/>
  <c r="C2227" i="7"/>
  <c r="C2226" i="7"/>
  <c r="E35" i="7"/>
  <c r="E51" i="7"/>
  <c r="E67" i="7"/>
  <c r="E83" i="7"/>
  <c r="E99" i="7"/>
  <c r="E115" i="7"/>
  <c r="E131" i="7"/>
  <c r="E147" i="7"/>
  <c r="E163" i="7"/>
  <c r="E179" i="7"/>
  <c r="E195" i="7"/>
  <c r="E211" i="7"/>
  <c r="E227" i="7"/>
  <c r="E243" i="7"/>
  <c r="E259" i="7"/>
  <c r="E275" i="7"/>
  <c r="E291" i="7"/>
  <c r="E307" i="7"/>
  <c r="E323" i="7"/>
  <c r="E339" i="7"/>
  <c r="E355" i="7"/>
  <c r="E371" i="7"/>
  <c r="E387" i="7"/>
  <c r="E403" i="7"/>
  <c r="E419" i="7"/>
  <c r="E435" i="7"/>
  <c r="E451" i="7"/>
  <c r="E467" i="7"/>
  <c r="E483" i="7"/>
  <c r="E499" i="7"/>
  <c r="E515" i="7"/>
  <c r="E531" i="7"/>
  <c r="E547" i="7"/>
  <c r="E563" i="7"/>
  <c r="E579" i="7"/>
  <c r="E595" i="7"/>
  <c r="E611" i="7"/>
  <c r="E627" i="7"/>
  <c r="E643" i="7"/>
  <c r="E659" i="7"/>
  <c r="E675" i="7"/>
  <c r="E691" i="7"/>
  <c r="E707" i="7"/>
  <c r="E723" i="7"/>
  <c r="E739" i="7"/>
  <c r="E770" i="7"/>
  <c r="C785" i="7"/>
  <c r="C807" i="7"/>
  <c r="E809" i="7"/>
  <c r="C830" i="7"/>
  <c r="E850" i="7"/>
  <c r="C871" i="7"/>
  <c r="E873" i="7"/>
  <c r="C894" i="7"/>
  <c r="E914" i="7"/>
  <c r="C931" i="7"/>
  <c r="E941" i="7"/>
  <c r="C955" i="7"/>
  <c r="C958" i="7"/>
  <c r="E982" i="7"/>
  <c r="E1001" i="7"/>
  <c r="C1007" i="7"/>
  <c r="C1008" i="7"/>
  <c r="C1026" i="7"/>
  <c r="E1042" i="7"/>
  <c r="C1059" i="7"/>
  <c r="E1069" i="7"/>
  <c r="C1083" i="7"/>
  <c r="C1086" i="7"/>
  <c r="E1110" i="7"/>
  <c r="E1129" i="7"/>
  <c r="C1135" i="7"/>
  <c r="C1136" i="7"/>
  <c r="C1154" i="7"/>
  <c r="E1170" i="7"/>
  <c r="C1187" i="7"/>
  <c r="E1194" i="7"/>
  <c r="E1197" i="7"/>
  <c r="C1211" i="7"/>
  <c r="C1214" i="7"/>
  <c r="E1219" i="7"/>
  <c r="E1238" i="7"/>
  <c r="E1257" i="7"/>
  <c r="C1263" i="7"/>
  <c r="C1264" i="7"/>
  <c r="C1282" i="7"/>
  <c r="E1298" i="7"/>
  <c r="C1315" i="7"/>
  <c r="E1322" i="7"/>
  <c r="E1325" i="7"/>
  <c r="C1339" i="7"/>
  <c r="C1342" i="7"/>
  <c r="E1347" i="7"/>
  <c r="E1366" i="7"/>
  <c r="E1385" i="7"/>
  <c r="C1391" i="7"/>
  <c r="C1392" i="7"/>
  <c r="C1410" i="7"/>
  <c r="E1426" i="7"/>
  <c r="C1443" i="7"/>
  <c r="E1450" i="7"/>
  <c r="E1453" i="7"/>
  <c r="C1467" i="7"/>
  <c r="C1470" i="7"/>
  <c r="E1475" i="7"/>
  <c r="E1494" i="7"/>
  <c r="E1513" i="7"/>
  <c r="C1519" i="7"/>
  <c r="C1520" i="7"/>
  <c r="E1538" i="7"/>
  <c r="C1547" i="7"/>
  <c r="E1590" i="7"/>
  <c r="C1603" i="7"/>
  <c r="E1618" i="7"/>
  <c r="C1631" i="7"/>
  <c r="C1632" i="7"/>
  <c r="E1646" i="7"/>
  <c r="E1802" i="7"/>
  <c r="E1803" i="7"/>
  <c r="C1847" i="7"/>
  <c r="C1848" i="7"/>
  <c r="C1888" i="7"/>
  <c r="E1895" i="7"/>
  <c r="E1894" i="7"/>
  <c r="E1954" i="7"/>
  <c r="E1955" i="7"/>
  <c r="E2013" i="7"/>
  <c r="C2216" i="7"/>
  <c r="C2215" i="7"/>
  <c r="E97" i="7"/>
  <c r="E113" i="7"/>
  <c r="E129" i="7"/>
  <c r="E145" i="7"/>
  <c r="E161" i="7"/>
  <c r="E177" i="7"/>
  <c r="E193" i="7"/>
  <c r="E209" i="7"/>
  <c r="E225" i="7"/>
  <c r="E241" i="7"/>
  <c r="E257" i="7"/>
  <c r="E273" i="7"/>
  <c r="E289" i="7"/>
  <c r="E305" i="7"/>
  <c r="E321" i="7"/>
  <c r="E337" i="7"/>
  <c r="E353" i="7"/>
  <c r="E369" i="7"/>
  <c r="E385" i="7"/>
  <c r="E401" i="7"/>
  <c r="E417" i="7"/>
  <c r="E433" i="7"/>
  <c r="E449" i="7"/>
  <c r="E465" i="7"/>
  <c r="E481" i="7"/>
  <c r="E497" i="7"/>
  <c r="E513" i="7"/>
  <c r="E529" i="7"/>
  <c r="E545" i="7"/>
  <c r="E561" i="7"/>
  <c r="E577" i="7"/>
  <c r="E593" i="7"/>
  <c r="E609" i="7"/>
  <c r="E625" i="7"/>
  <c r="E641" i="7"/>
  <c r="E657" i="7"/>
  <c r="E673" i="7"/>
  <c r="E689" i="7"/>
  <c r="E705" i="7"/>
  <c r="E721" i="7"/>
  <c r="E737" i="7"/>
  <c r="C761" i="7"/>
  <c r="C766" i="7"/>
  <c r="C771" i="7"/>
  <c r="C783" i="7"/>
  <c r="C795" i="7"/>
  <c r="C815" i="7"/>
  <c r="E822" i="7"/>
  <c r="C843" i="7"/>
  <c r="E845" i="7"/>
  <c r="C851" i="7"/>
  <c r="C866" i="7"/>
  <c r="C879" i="7"/>
  <c r="E886" i="7"/>
  <c r="C907" i="7"/>
  <c r="E909" i="7"/>
  <c r="C915" i="7"/>
  <c r="E925" i="7"/>
  <c r="C939" i="7"/>
  <c r="C942" i="7"/>
  <c r="E966" i="7"/>
  <c r="E985" i="7"/>
  <c r="C991" i="7"/>
  <c r="C992" i="7"/>
  <c r="C1010" i="7"/>
  <c r="E1026" i="7"/>
  <c r="C1043" i="7"/>
  <c r="E1053" i="7"/>
  <c r="C1067" i="7"/>
  <c r="C1070" i="7"/>
  <c r="E1094" i="7"/>
  <c r="E1113" i="7"/>
  <c r="C1119" i="7"/>
  <c r="C1120" i="7"/>
  <c r="C1138" i="7"/>
  <c r="E1143" i="7"/>
  <c r="E1154" i="7"/>
  <c r="C1171" i="7"/>
  <c r="E1181" i="7"/>
  <c r="C1195" i="7"/>
  <c r="C1198" i="7"/>
  <c r="E1222" i="7"/>
  <c r="E1230" i="7"/>
  <c r="E1241" i="7"/>
  <c r="C1244" i="7"/>
  <c r="C1247" i="7"/>
  <c r="C1248" i="7"/>
  <c r="C1266" i="7"/>
  <c r="E1271" i="7"/>
  <c r="E1282" i="7"/>
  <c r="C1299" i="7"/>
  <c r="E1309" i="7"/>
  <c r="C1323" i="7"/>
  <c r="C1326" i="7"/>
  <c r="E1350" i="7"/>
  <c r="E1358" i="7"/>
  <c r="E1369" i="7"/>
  <c r="C1372" i="7"/>
  <c r="C1375" i="7"/>
  <c r="C1376" i="7"/>
  <c r="C1394" i="7"/>
  <c r="E1399" i="7"/>
  <c r="E1410" i="7"/>
  <c r="C1427" i="7"/>
  <c r="E1437" i="7"/>
  <c r="C1451" i="7"/>
  <c r="C1454" i="7"/>
  <c r="E1478" i="7"/>
  <c r="E1486" i="7"/>
  <c r="E1497" i="7"/>
  <c r="C1500" i="7"/>
  <c r="C1503" i="7"/>
  <c r="C1504" i="7"/>
  <c r="C1522" i="7"/>
  <c r="E1527" i="7"/>
  <c r="C1539" i="7"/>
  <c r="E1559" i="7"/>
  <c r="E1563" i="7"/>
  <c r="E1562" i="7"/>
  <c r="E1606" i="7"/>
  <c r="E1615" i="7"/>
  <c r="C1619" i="7"/>
  <c r="C1628" i="7"/>
  <c r="E1634" i="7"/>
  <c r="C1647" i="7"/>
  <c r="C1648" i="7"/>
  <c r="E1659" i="7"/>
  <c r="E1667" i="7"/>
  <c r="E1675" i="7"/>
  <c r="E1683" i="7"/>
  <c r="E1691" i="7"/>
  <c r="E1699" i="7"/>
  <c r="E1707" i="7"/>
  <c r="E1715" i="7"/>
  <c r="E1723" i="7"/>
  <c r="E1731" i="7"/>
  <c r="E1739" i="7"/>
  <c r="E1747" i="7"/>
  <c r="E1755" i="7"/>
  <c r="E1763" i="7"/>
  <c r="E1771" i="7"/>
  <c r="E1779" i="7"/>
  <c r="E1787" i="7"/>
  <c r="E1810" i="7"/>
  <c r="E1811" i="7"/>
  <c r="C1911" i="7"/>
  <c r="C1912" i="7"/>
  <c r="E1977" i="7"/>
  <c r="E1976" i="7"/>
  <c r="C1983" i="7"/>
  <c r="C1984" i="7"/>
  <c r="C2011" i="7"/>
  <c r="C2010" i="7"/>
  <c r="C2059" i="7"/>
  <c r="C2058" i="7"/>
  <c r="C2202" i="7"/>
  <c r="C2203" i="7"/>
  <c r="E15" i="7"/>
  <c r="E31" i="7"/>
  <c r="E47" i="7"/>
  <c r="E63" i="7"/>
  <c r="E79" i="7"/>
  <c r="E95" i="7"/>
  <c r="E111" i="7"/>
  <c r="E127" i="7"/>
  <c r="E143" i="7"/>
  <c r="E159" i="7"/>
  <c r="E175" i="7"/>
  <c r="E191" i="7"/>
  <c r="E207" i="7"/>
  <c r="E223" i="7"/>
  <c r="E239" i="7"/>
  <c r="E255" i="7"/>
  <c r="E271" i="7"/>
  <c r="E287" i="7"/>
  <c r="E303" i="7"/>
  <c r="E319" i="7"/>
  <c r="E335" i="7"/>
  <c r="E351" i="7"/>
  <c r="E367" i="7"/>
  <c r="E383" i="7"/>
  <c r="E399" i="7"/>
  <c r="E415" i="7"/>
  <c r="E431" i="7"/>
  <c r="E447" i="7"/>
  <c r="E463" i="7"/>
  <c r="E479" i="7"/>
  <c r="E495" i="7"/>
  <c r="E511" i="7"/>
  <c r="E527" i="7"/>
  <c r="E543" i="7"/>
  <c r="E559" i="7"/>
  <c r="E575" i="7"/>
  <c r="E591" i="7"/>
  <c r="E607" i="7"/>
  <c r="E623" i="7"/>
  <c r="E639" i="7"/>
  <c r="E655" i="7"/>
  <c r="E671" i="7"/>
  <c r="E687" i="7"/>
  <c r="E703" i="7"/>
  <c r="E719" i="7"/>
  <c r="E735" i="7"/>
  <c r="C747" i="7"/>
  <c r="C759" i="7"/>
  <c r="E761" i="7"/>
  <c r="E802" i="7"/>
  <c r="C823" i="7"/>
  <c r="E825" i="7"/>
  <c r="C846" i="7"/>
  <c r="E866" i="7"/>
  <c r="C887" i="7"/>
  <c r="E889" i="7"/>
  <c r="C910" i="7"/>
  <c r="C923" i="7"/>
  <c r="C926" i="7"/>
  <c r="E931" i="7"/>
  <c r="E950" i="7"/>
  <c r="E969" i="7"/>
  <c r="C975" i="7"/>
  <c r="C976" i="7"/>
  <c r="C994" i="7"/>
  <c r="E1010" i="7"/>
  <c r="C1027" i="7"/>
  <c r="E1034" i="7"/>
  <c r="E1037" i="7"/>
  <c r="C1051" i="7"/>
  <c r="C1054" i="7"/>
  <c r="E1059" i="7"/>
  <c r="E1078" i="7"/>
  <c r="E1097" i="7"/>
  <c r="C1100" i="7"/>
  <c r="C1103" i="7"/>
  <c r="C1104" i="7"/>
  <c r="C1122" i="7"/>
  <c r="E1127" i="7"/>
  <c r="E1138" i="7"/>
  <c r="C1155" i="7"/>
  <c r="E1162" i="7"/>
  <c r="E1165" i="7"/>
  <c r="C1179" i="7"/>
  <c r="C1182" i="7"/>
  <c r="E1187" i="7"/>
  <c r="E1206" i="7"/>
  <c r="E1225" i="7"/>
  <c r="C1228" i="7"/>
  <c r="C1231" i="7"/>
  <c r="C1232" i="7"/>
  <c r="C1250" i="7"/>
  <c r="E1255" i="7"/>
  <c r="E1266" i="7"/>
  <c r="C1283" i="7"/>
  <c r="E1290" i="7"/>
  <c r="E1293" i="7"/>
  <c r="C1307" i="7"/>
  <c r="C1310" i="7"/>
  <c r="E1315" i="7"/>
  <c r="E1334" i="7"/>
  <c r="E1353" i="7"/>
  <c r="C1356" i="7"/>
  <c r="C1359" i="7"/>
  <c r="C1360" i="7"/>
  <c r="C1378" i="7"/>
  <c r="E1383" i="7"/>
  <c r="E1394" i="7"/>
  <c r="C1411" i="7"/>
  <c r="E1418" i="7"/>
  <c r="E1421" i="7"/>
  <c r="C1435" i="7"/>
  <c r="C1438" i="7"/>
  <c r="E1443" i="7"/>
  <c r="E1462" i="7"/>
  <c r="E1481" i="7"/>
  <c r="C1484" i="7"/>
  <c r="C1487" i="7"/>
  <c r="C1488" i="7"/>
  <c r="C1506" i="7"/>
  <c r="E1511" i="7"/>
  <c r="E1522" i="7"/>
  <c r="C1563" i="7"/>
  <c r="C1572" i="7"/>
  <c r="E1575" i="7"/>
  <c r="E1579" i="7"/>
  <c r="E1578" i="7"/>
  <c r="E1622" i="7"/>
  <c r="E1631" i="7"/>
  <c r="C1635" i="7"/>
  <c r="C1644" i="7"/>
  <c r="E1650" i="7"/>
  <c r="C1815" i="7"/>
  <c r="C1816" i="7"/>
  <c r="C1952" i="7"/>
  <c r="E1986" i="7"/>
  <c r="E1987" i="7"/>
  <c r="C2004" i="7"/>
  <c r="C2003" i="7"/>
  <c r="E2102" i="7"/>
  <c r="E2103" i="7"/>
  <c r="C2518" i="7"/>
  <c r="C2519" i="7"/>
  <c r="E1943" i="7"/>
  <c r="E1942" i="7"/>
  <c r="C2052" i="7"/>
  <c r="C2051" i="7"/>
  <c r="C2131" i="7"/>
  <c r="C2130" i="7"/>
  <c r="E2214" i="7"/>
  <c r="E2215" i="7"/>
  <c r="C2218" i="7"/>
  <c r="C2219" i="7"/>
  <c r="C2230" i="7"/>
  <c r="C2229" i="7"/>
  <c r="C2271" i="7"/>
  <c r="C2270" i="7"/>
  <c r="C2423" i="7"/>
  <c r="C2424" i="7"/>
  <c r="C1659" i="7"/>
  <c r="C1667" i="7"/>
  <c r="C1675" i="7"/>
  <c r="C1683" i="7"/>
  <c r="C1691" i="7"/>
  <c r="C1699" i="7"/>
  <c r="C1707" i="7"/>
  <c r="C1715" i="7"/>
  <c r="C1723" i="7"/>
  <c r="C1731" i="7"/>
  <c r="C1739" i="7"/>
  <c r="C1747" i="7"/>
  <c r="C1755" i="7"/>
  <c r="C1763" i="7"/>
  <c r="C1771" i="7"/>
  <c r="C1779" i="7"/>
  <c r="C1787" i="7"/>
  <c r="C1795" i="7"/>
  <c r="C1803" i="7"/>
  <c r="C1838" i="7"/>
  <c r="E1847" i="7"/>
  <c r="E1846" i="7"/>
  <c r="C1895" i="7"/>
  <c r="C1932" i="7"/>
  <c r="C1935" i="7"/>
  <c r="C1966" i="7"/>
  <c r="E1975" i="7"/>
  <c r="E1974" i="7"/>
  <c r="E2010" i="7"/>
  <c r="E2011" i="7"/>
  <c r="E2067" i="7"/>
  <c r="C2071" i="7"/>
  <c r="E2150" i="7"/>
  <c r="E2151" i="7"/>
  <c r="C2154" i="7"/>
  <c r="C2155" i="7"/>
  <c r="E2222" i="7"/>
  <c r="E2223" i="7"/>
  <c r="C2334" i="7"/>
  <c r="C2337" i="7"/>
  <c r="C2338" i="7"/>
  <c r="C2163" i="7"/>
  <c r="C2162" i="7"/>
  <c r="C2369" i="7"/>
  <c r="C2370" i="7"/>
  <c r="E2386" i="7"/>
  <c r="E2387" i="7"/>
  <c r="C2411" i="7"/>
  <c r="C809" i="7"/>
  <c r="C825" i="7"/>
  <c r="C841" i="7"/>
  <c r="C857" i="7"/>
  <c r="C873" i="7"/>
  <c r="C889" i="7"/>
  <c r="C905" i="7"/>
  <c r="C921" i="7"/>
  <c r="C937" i="7"/>
  <c r="C953" i="7"/>
  <c r="C969" i="7"/>
  <c r="C985" i="7"/>
  <c r="C1001" i="7"/>
  <c r="C1017" i="7"/>
  <c r="C1033" i="7"/>
  <c r="C1049" i="7"/>
  <c r="C1065" i="7"/>
  <c r="C1081" i="7"/>
  <c r="C1097" i="7"/>
  <c r="C1113" i="7"/>
  <c r="C1129" i="7"/>
  <c r="C1145" i="7"/>
  <c r="C1161" i="7"/>
  <c r="C1177" i="7"/>
  <c r="C1193" i="7"/>
  <c r="C1209" i="7"/>
  <c r="C1225" i="7"/>
  <c r="C1241" i="7"/>
  <c r="C1257" i="7"/>
  <c r="C1273" i="7"/>
  <c r="C1289" i="7"/>
  <c r="C1305" i="7"/>
  <c r="C1321" i="7"/>
  <c r="C1337" i="7"/>
  <c r="C1353" i="7"/>
  <c r="C1369" i="7"/>
  <c r="C1385" i="7"/>
  <c r="C1401" i="7"/>
  <c r="C1417" i="7"/>
  <c r="C1433" i="7"/>
  <c r="C1449" i="7"/>
  <c r="C1465" i="7"/>
  <c r="C1481" i="7"/>
  <c r="C1497" i="7"/>
  <c r="C1513" i="7"/>
  <c r="C1529" i="7"/>
  <c r="C1545" i="7"/>
  <c r="C1561" i="7"/>
  <c r="C1577" i="7"/>
  <c r="C1593" i="7"/>
  <c r="C1609" i="7"/>
  <c r="C1625" i="7"/>
  <c r="C1641" i="7"/>
  <c r="C1657" i="7"/>
  <c r="C1665" i="7"/>
  <c r="C1673" i="7"/>
  <c r="C1681" i="7"/>
  <c r="C1689" i="7"/>
  <c r="C1697" i="7"/>
  <c r="C1705" i="7"/>
  <c r="C1713" i="7"/>
  <c r="C1721" i="7"/>
  <c r="C1729" i="7"/>
  <c r="C1737" i="7"/>
  <c r="C1745" i="7"/>
  <c r="C1753" i="7"/>
  <c r="C1761" i="7"/>
  <c r="C1769" i="7"/>
  <c r="C1777" i="7"/>
  <c r="C1785" i="7"/>
  <c r="C1793" i="7"/>
  <c r="C1801" i="7"/>
  <c r="C1809" i="7"/>
  <c r="C1836" i="7"/>
  <c r="C1839" i="7"/>
  <c r="C1870" i="7"/>
  <c r="E1879" i="7"/>
  <c r="E1878" i="7"/>
  <c r="C1904" i="7"/>
  <c r="C1927" i="7"/>
  <c r="C1964" i="7"/>
  <c r="C1967" i="7"/>
  <c r="C1998" i="7"/>
  <c r="C2078" i="7"/>
  <c r="C2081" i="7"/>
  <c r="C2088" i="7"/>
  <c r="C2089" i="7"/>
  <c r="E2114" i="7"/>
  <c r="E2115" i="7"/>
  <c r="E2158" i="7"/>
  <c r="E2159" i="7"/>
  <c r="E2240" i="7"/>
  <c r="E2241" i="7"/>
  <c r="C2259" i="7"/>
  <c r="C2258" i="7"/>
  <c r="C2367" i="7"/>
  <c r="C2366" i="7"/>
  <c r="C2454" i="7"/>
  <c r="C2455" i="7"/>
  <c r="C919" i="7"/>
  <c r="C935" i="7"/>
  <c r="C951" i="7"/>
  <c r="C967" i="7"/>
  <c r="C983" i="7"/>
  <c r="C999" i="7"/>
  <c r="C1015" i="7"/>
  <c r="C1031" i="7"/>
  <c r="C1047" i="7"/>
  <c r="C1063" i="7"/>
  <c r="C1079" i="7"/>
  <c r="C1095" i="7"/>
  <c r="C1111" i="7"/>
  <c r="C1127" i="7"/>
  <c r="C1143" i="7"/>
  <c r="C1159" i="7"/>
  <c r="C1175" i="7"/>
  <c r="C1191" i="7"/>
  <c r="C1207" i="7"/>
  <c r="C1223" i="7"/>
  <c r="C1239" i="7"/>
  <c r="C1255" i="7"/>
  <c r="C1271" i="7"/>
  <c r="C1287" i="7"/>
  <c r="C1303" i="7"/>
  <c r="C1319" i="7"/>
  <c r="C1335" i="7"/>
  <c r="C1351" i="7"/>
  <c r="C1367" i="7"/>
  <c r="C1383" i="7"/>
  <c r="C1399" i="7"/>
  <c r="C1415" i="7"/>
  <c r="C1431" i="7"/>
  <c r="C1447" i="7"/>
  <c r="C1463" i="7"/>
  <c r="C1479" i="7"/>
  <c r="C1495" i="7"/>
  <c r="C1511" i="7"/>
  <c r="C1527" i="7"/>
  <c r="C1543" i="7"/>
  <c r="C1559" i="7"/>
  <c r="C1575" i="7"/>
  <c r="C1591" i="7"/>
  <c r="C1607" i="7"/>
  <c r="C1623" i="7"/>
  <c r="C1639" i="7"/>
  <c r="C1655" i="7"/>
  <c r="E1662" i="7"/>
  <c r="E1670" i="7"/>
  <c r="E1678" i="7"/>
  <c r="E1686" i="7"/>
  <c r="E1694" i="7"/>
  <c r="E1702" i="7"/>
  <c r="E1710" i="7"/>
  <c r="E1718" i="7"/>
  <c r="E1726" i="7"/>
  <c r="E1734" i="7"/>
  <c r="E1742" i="7"/>
  <c r="E1750" i="7"/>
  <c r="E1758" i="7"/>
  <c r="E1766" i="7"/>
  <c r="E1774" i="7"/>
  <c r="E1782" i="7"/>
  <c r="E1790" i="7"/>
  <c r="C1820" i="7"/>
  <c r="C1823" i="7"/>
  <c r="E1830" i="7"/>
  <c r="E1864" i="7"/>
  <c r="C1879" i="7"/>
  <c r="C1896" i="7"/>
  <c r="E1907" i="7"/>
  <c r="C1916" i="7"/>
  <c r="C1919" i="7"/>
  <c r="C1950" i="7"/>
  <c r="E1959" i="7"/>
  <c r="E1958" i="7"/>
  <c r="E1992" i="7"/>
  <c r="E2021" i="7"/>
  <c r="E2046" i="7"/>
  <c r="E2047" i="7"/>
  <c r="E2068" i="7"/>
  <c r="E2069" i="7"/>
  <c r="E2075" i="7"/>
  <c r="E2124" i="7"/>
  <c r="E2182" i="7"/>
  <c r="E2183" i="7"/>
  <c r="C2186" i="7"/>
  <c r="C2187" i="7"/>
  <c r="E2234" i="7"/>
  <c r="E2235" i="7"/>
  <c r="C2241" i="7"/>
  <c r="C2242" i="7"/>
  <c r="C2343" i="7"/>
  <c r="C2342" i="7"/>
  <c r="E2366" i="7"/>
  <c r="E2367" i="7"/>
  <c r="C2392" i="7"/>
  <c r="C2391" i="7"/>
  <c r="C2401" i="7"/>
  <c r="C2402" i="7"/>
  <c r="C2412" i="7"/>
  <c r="C2413" i="7"/>
  <c r="C757" i="7"/>
  <c r="C773" i="7"/>
  <c r="C789" i="7"/>
  <c r="C805" i="7"/>
  <c r="C821" i="7"/>
  <c r="C837" i="7"/>
  <c r="C853" i="7"/>
  <c r="C869" i="7"/>
  <c r="C885" i="7"/>
  <c r="C901" i="7"/>
  <c r="C917" i="7"/>
  <c r="C933" i="7"/>
  <c r="C949" i="7"/>
  <c r="C965" i="7"/>
  <c r="C981" i="7"/>
  <c r="C997" i="7"/>
  <c r="C1013" i="7"/>
  <c r="C1029" i="7"/>
  <c r="C1045" i="7"/>
  <c r="C1061" i="7"/>
  <c r="C1077" i="7"/>
  <c r="C1093" i="7"/>
  <c r="C1109" i="7"/>
  <c r="C1125" i="7"/>
  <c r="C1141" i="7"/>
  <c r="C1157" i="7"/>
  <c r="C1173" i="7"/>
  <c r="C1189" i="7"/>
  <c r="C1205" i="7"/>
  <c r="C1221" i="7"/>
  <c r="C1237" i="7"/>
  <c r="C1253" i="7"/>
  <c r="C1269" i="7"/>
  <c r="C1285" i="7"/>
  <c r="C1301" i="7"/>
  <c r="C1317" i="7"/>
  <c r="C1333" i="7"/>
  <c r="C1349" i="7"/>
  <c r="C1365" i="7"/>
  <c r="C1381" i="7"/>
  <c r="C1397" i="7"/>
  <c r="C1413" i="7"/>
  <c r="C1429" i="7"/>
  <c r="C1445" i="7"/>
  <c r="C1461" i="7"/>
  <c r="C1477" i="7"/>
  <c r="C1493" i="7"/>
  <c r="C1509" i="7"/>
  <c r="C1525" i="7"/>
  <c r="C1541" i="7"/>
  <c r="C1557" i="7"/>
  <c r="C1573" i="7"/>
  <c r="C1589" i="7"/>
  <c r="C1605" i="7"/>
  <c r="C1621" i="7"/>
  <c r="C1637" i="7"/>
  <c r="C1653" i="7"/>
  <c r="C1663" i="7"/>
  <c r="C1671" i="7"/>
  <c r="C1679" i="7"/>
  <c r="C1687" i="7"/>
  <c r="C1695" i="7"/>
  <c r="C1703" i="7"/>
  <c r="C1711" i="7"/>
  <c r="C1719" i="7"/>
  <c r="C1727" i="7"/>
  <c r="C1735" i="7"/>
  <c r="C1743" i="7"/>
  <c r="C1751" i="7"/>
  <c r="C1759" i="7"/>
  <c r="C1767" i="7"/>
  <c r="C1775" i="7"/>
  <c r="C1783" i="7"/>
  <c r="C1791" i="7"/>
  <c r="C1799" i="7"/>
  <c r="C1807" i="7"/>
  <c r="E1814" i="7"/>
  <c r="C1831" i="7"/>
  <c r="C1834" i="7"/>
  <c r="C1868" i="7"/>
  <c r="C1871" i="7"/>
  <c r="C1902" i="7"/>
  <c r="E1911" i="7"/>
  <c r="E1910" i="7"/>
  <c r="C1936" i="7"/>
  <c r="E1944" i="7"/>
  <c r="C1959" i="7"/>
  <c r="C1996" i="7"/>
  <c r="C1999" i="7"/>
  <c r="E2005" i="7"/>
  <c r="E2037" i="7"/>
  <c r="C2170" i="7"/>
  <c r="C2171" i="7"/>
  <c r="C2195" i="7"/>
  <c r="C2194" i="7"/>
  <c r="C2238" i="7"/>
  <c r="C2273" i="7"/>
  <c r="C2274" i="7"/>
  <c r="C2283" i="7"/>
  <c r="E2289" i="7"/>
  <c r="C2295" i="7"/>
  <c r="C2296" i="7"/>
  <c r="E2368" i="7"/>
  <c r="E2369" i="7"/>
  <c r="C2372" i="7"/>
  <c r="C2373" i="7"/>
  <c r="C2571" i="7"/>
  <c r="C2572" i="7"/>
  <c r="E2609" i="7"/>
  <c r="E2610" i="7"/>
  <c r="C2013" i="7"/>
  <c r="E2026" i="7"/>
  <c r="E2034" i="7"/>
  <c r="E2050" i="7"/>
  <c r="C2067" i="7"/>
  <c r="E2083" i="7"/>
  <c r="E2094" i="7"/>
  <c r="E2095" i="7"/>
  <c r="C2103" i="7"/>
  <c r="C2145" i="7"/>
  <c r="C2177" i="7"/>
  <c r="C2191" i="7"/>
  <c r="C2190" i="7"/>
  <c r="C2207" i="7"/>
  <c r="C2206" i="7"/>
  <c r="C2209" i="7"/>
  <c r="C2223" i="7"/>
  <c r="C2222" i="7"/>
  <c r="E2270" i="7"/>
  <c r="E2271" i="7"/>
  <c r="C2330" i="7"/>
  <c r="C2331" i="7"/>
  <c r="C2418" i="7"/>
  <c r="C2419" i="7"/>
  <c r="C2428" i="7"/>
  <c r="C2547" i="7"/>
  <c r="C2546" i="7"/>
  <c r="C2566" i="7"/>
  <c r="C2565" i="7"/>
  <c r="E2568" i="7"/>
  <c r="E2589" i="7"/>
  <c r="E2590" i="7"/>
  <c r="C2615" i="7"/>
  <c r="C2614" i="7"/>
  <c r="C2624" i="7"/>
  <c r="C2625" i="7"/>
  <c r="E2657" i="7"/>
  <c r="E2658" i="7"/>
  <c r="C1813" i="7"/>
  <c r="C1829" i="7"/>
  <c r="C1845" i="7"/>
  <c r="C1861" i="7"/>
  <c r="C1877" i="7"/>
  <c r="C1893" i="7"/>
  <c r="C1909" i="7"/>
  <c r="C1925" i="7"/>
  <c r="C1941" i="7"/>
  <c r="C1957" i="7"/>
  <c r="C1973" i="7"/>
  <c r="C1989" i="7"/>
  <c r="C2062" i="7"/>
  <c r="E2078" i="7"/>
  <c r="C2098" i="7"/>
  <c r="C2112" i="7"/>
  <c r="C2115" i="7"/>
  <c r="C2127" i="7"/>
  <c r="E2133" i="7"/>
  <c r="C2146" i="7"/>
  <c r="C2159" i="7"/>
  <c r="E2165" i="7"/>
  <c r="C2178" i="7"/>
  <c r="E2265" i="7"/>
  <c r="C2315" i="7"/>
  <c r="C2358" i="7"/>
  <c r="C2357" i="7"/>
  <c r="E2363" i="7"/>
  <c r="C2399" i="7"/>
  <c r="C2398" i="7"/>
  <c r="C2553" i="7"/>
  <c r="C2554" i="7"/>
  <c r="E2597" i="7"/>
  <c r="E2598" i="7"/>
  <c r="C1811" i="7"/>
  <c r="C1827" i="7"/>
  <c r="C1843" i="7"/>
  <c r="C1859" i="7"/>
  <c r="C1875" i="7"/>
  <c r="C1891" i="7"/>
  <c r="C1907" i="7"/>
  <c r="C1923" i="7"/>
  <c r="C1939" i="7"/>
  <c r="C1955" i="7"/>
  <c r="C1971" i="7"/>
  <c r="C1987" i="7"/>
  <c r="C2006" i="7"/>
  <c r="C2014" i="7"/>
  <c r="E2035" i="7"/>
  <c r="E2038" i="7"/>
  <c r="C2054" i="7"/>
  <c r="C2057" i="7"/>
  <c r="E2059" i="7"/>
  <c r="E2062" i="7"/>
  <c r="C2079" i="7"/>
  <c r="E2092" i="7"/>
  <c r="E2178" i="7"/>
  <c r="E2179" i="7"/>
  <c r="E2194" i="7"/>
  <c r="E2195" i="7"/>
  <c r="E2210" i="7"/>
  <c r="E2211" i="7"/>
  <c r="E2226" i="7"/>
  <c r="E2227" i="7"/>
  <c r="C2247" i="7"/>
  <c r="C2246" i="7"/>
  <c r="C2253" i="7"/>
  <c r="E2259" i="7"/>
  <c r="C2318" i="7"/>
  <c r="E2321" i="7"/>
  <c r="C2354" i="7"/>
  <c r="E2357" i="7"/>
  <c r="E2374" i="7"/>
  <c r="E2375" i="7"/>
  <c r="C2438" i="7"/>
  <c r="C2439" i="7"/>
  <c r="C1825" i="7"/>
  <c r="C1841" i="7"/>
  <c r="C1857" i="7"/>
  <c r="C1873" i="7"/>
  <c r="C1889" i="7"/>
  <c r="C1905" i="7"/>
  <c r="C1921" i="7"/>
  <c r="C1937" i="7"/>
  <c r="C1953" i="7"/>
  <c r="C1969" i="7"/>
  <c r="C1985" i="7"/>
  <c r="C2009" i="7"/>
  <c r="E2014" i="7"/>
  <c r="E2022" i="7"/>
  <c r="C2033" i="7"/>
  <c r="E2054" i="7"/>
  <c r="C2090" i="7"/>
  <c r="C2110" i="7"/>
  <c r="E2246" i="7"/>
  <c r="E2247" i="7"/>
  <c r="C2250" i="7"/>
  <c r="E2354" i="7"/>
  <c r="E2355" i="7"/>
  <c r="E2402" i="7"/>
  <c r="E2403" i="7"/>
  <c r="C2406" i="7"/>
  <c r="C2407" i="7"/>
  <c r="E2458" i="7"/>
  <c r="E2459" i="7"/>
  <c r="C2478" i="7"/>
  <c r="C2479" i="7"/>
  <c r="E2533" i="7"/>
  <c r="E2534" i="7"/>
  <c r="C2375" i="7"/>
  <c r="C2374" i="7"/>
  <c r="C2446" i="7"/>
  <c r="C2447" i="7"/>
  <c r="C2508" i="7"/>
  <c r="C2507" i="7"/>
  <c r="C2590" i="7"/>
  <c r="C2589" i="7"/>
  <c r="E2689" i="7"/>
  <c r="E2690" i="7"/>
  <c r="E2417" i="7"/>
  <c r="E2565" i="7"/>
  <c r="E2566" i="7"/>
  <c r="C2622" i="7"/>
  <c r="C2621" i="7"/>
  <c r="C2821" i="7"/>
  <c r="C2820" i="7"/>
  <c r="C2865" i="7"/>
  <c r="C2866" i="7"/>
  <c r="E2090" i="7"/>
  <c r="C2093" i="7"/>
  <c r="E2122" i="7"/>
  <c r="C2134" i="7"/>
  <c r="E2142" i="7"/>
  <c r="C2166" i="7"/>
  <c r="E2174" i="7"/>
  <c r="C2198" i="7"/>
  <c r="E2206" i="7"/>
  <c r="E2238" i="7"/>
  <c r="E2239" i="7"/>
  <c r="C2244" i="7"/>
  <c r="C2264" i="7"/>
  <c r="C2263" i="7"/>
  <c r="E2274" i="7"/>
  <c r="E2275" i="7"/>
  <c r="C2278" i="7"/>
  <c r="C2290" i="7"/>
  <c r="C2307" i="7"/>
  <c r="E2322" i="7"/>
  <c r="E2334" i="7"/>
  <c r="C2379" i="7"/>
  <c r="E2391" i="7"/>
  <c r="C2430" i="7"/>
  <c r="C2470" i="7"/>
  <c r="C2499" i="7"/>
  <c r="C2498" i="7"/>
  <c r="E2521" i="7"/>
  <c r="E2522" i="7"/>
  <c r="C2557" i="7"/>
  <c r="C2578" i="7"/>
  <c r="C2577" i="7"/>
  <c r="C2710" i="7"/>
  <c r="C2709" i="7"/>
  <c r="C2771" i="7"/>
  <c r="C2772" i="7"/>
  <c r="E2791" i="7"/>
  <c r="E2792" i="7"/>
  <c r="E2001" i="7"/>
  <c r="E2006" i="7"/>
  <c r="E2018" i="7"/>
  <c r="E2030" i="7"/>
  <c r="E2042" i="7"/>
  <c r="C2045" i="7"/>
  <c r="C2086" i="7"/>
  <c r="E2100" i="7"/>
  <c r="E2134" i="7"/>
  <c r="C2143" i="7"/>
  <c r="E2166" i="7"/>
  <c r="C2175" i="7"/>
  <c r="E2198" i="7"/>
  <c r="C2251" i="7"/>
  <c r="E2263" i="7"/>
  <c r="C2302" i="7"/>
  <c r="E2328" i="7"/>
  <c r="E2331" i="7"/>
  <c r="E2343" i="7"/>
  <c r="E2352" i="7"/>
  <c r="E2379" i="7"/>
  <c r="E2457" i="7"/>
  <c r="C2467" i="7"/>
  <c r="C2525" i="7"/>
  <c r="C2526" i="7"/>
  <c r="C2549" i="7"/>
  <c r="C2548" i="7"/>
  <c r="E2577" i="7"/>
  <c r="E2578" i="7"/>
  <c r="E2785" i="7"/>
  <c r="E2786" i="7"/>
  <c r="C2038" i="7"/>
  <c r="E2052" i="7"/>
  <c r="E2076" i="7"/>
  <c r="E2081" i="7"/>
  <c r="E2086" i="7"/>
  <c r="E2098" i="7"/>
  <c r="E2110" i="7"/>
  <c r="C2118" i="7"/>
  <c r="E2131" i="7"/>
  <c r="C2152" i="7"/>
  <c r="E2163" i="7"/>
  <c r="E2251" i="7"/>
  <c r="C2317" i="7"/>
  <c r="C2341" i="7"/>
  <c r="C2359" i="7"/>
  <c r="C2380" i="7"/>
  <c r="C2387" i="7"/>
  <c r="C2386" i="7"/>
  <c r="C2389" i="7"/>
  <c r="E2392" i="7"/>
  <c r="C2404" i="7"/>
  <c r="E2415" i="7"/>
  <c r="E2427" i="7"/>
  <c r="E2486" i="7"/>
  <c r="E2487" i="7"/>
  <c r="E2489" i="7"/>
  <c r="E2512" i="7"/>
  <c r="E2591" i="7"/>
  <c r="E2592" i="7"/>
  <c r="C2595" i="7"/>
  <c r="C2596" i="7"/>
  <c r="E2665" i="7"/>
  <c r="E2666" i="7"/>
  <c r="E2692" i="7"/>
  <c r="C2717" i="7"/>
  <c r="C2718" i="7"/>
  <c r="C2804" i="7"/>
  <c r="C2803" i="7"/>
  <c r="C2823" i="7"/>
  <c r="C2822" i="7"/>
  <c r="C2598" i="7"/>
  <c r="C2597" i="7"/>
  <c r="C2685" i="7"/>
  <c r="C2686" i="7"/>
  <c r="C2749" i="7"/>
  <c r="C2750" i="7"/>
  <c r="C2853" i="7"/>
  <c r="C2854" i="7"/>
  <c r="E2277" i="7"/>
  <c r="E2282" i="7"/>
  <c r="E2294" i="7"/>
  <c r="C2321" i="7"/>
  <c r="C2328" i="7"/>
  <c r="E2405" i="7"/>
  <c r="E2410" i="7"/>
  <c r="E2422" i="7"/>
  <c r="C2458" i="7"/>
  <c r="E2466" i="7"/>
  <c r="C2490" i="7"/>
  <c r="E2498" i="7"/>
  <c r="C2513" i="7"/>
  <c r="C2530" i="7"/>
  <c r="C2540" i="7"/>
  <c r="C2539" i="7"/>
  <c r="E2545" i="7"/>
  <c r="E2553" i="7"/>
  <c r="E2554" i="7"/>
  <c r="C2581" i="7"/>
  <c r="C2580" i="7"/>
  <c r="C2592" i="7"/>
  <c r="C2593" i="7"/>
  <c r="C2601" i="7"/>
  <c r="C2634" i="7"/>
  <c r="C2645" i="7"/>
  <c r="E2682" i="7"/>
  <c r="E2721" i="7"/>
  <c r="E2722" i="7"/>
  <c r="E2837" i="7"/>
  <c r="E2838" i="7"/>
  <c r="E2140" i="7"/>
  <c r="E2156" i="7"/>
  <c r="E2172" i="7"/>
  <c r="E2188" i="7"/>
  <c r="E2204" i="7"/>
  <c r="E2220" i="7"/>
  <c r="C2266" i="7"/>
  <c r="E2280" i="7"/>
  <c r="E2304" i="7"/>
  <c r="E2309" i="7"/>
  <c r="E2314" i="7"/>
  <c r="E2326" i="7"/>
  <c r="E2338" i="7"/>
  <c r="E2350" i="7"/>
  <c r="C2353" i="7"/>
  <c r="C2394" i="7"/>
  <c r="E2408" i="7"/>
  <c r="E2432" i="7"/>
  <c r="C2444" i="7"/>
  <c r="E2455" i="7"/>
  <c r="C2476" i="7"/>
  <c r="E2551" i="7"/>
  <c r="E2625" i="7"/>
  <c r="E2626" i="7"/>
  <c r="C2629" i="7"/>
  <c r="C2674" i="7"/>
  <c r="C2759" i="7"/>
  <c r="C2758" i="7"/>
  <c r="E2138" i="7"/>
  <c r="E2154" i="7"/>
  <c r="E2170" i="7"/>
  <c r="E2186" i="7"/>
  <c r="E2202" i="7"/>
  <c r="E2218" i="7"/>
  <c r="E2232" i="7"/>
  <c r="E2256" i="7"/>
  <c r="E2290" i="7"/>
  <c r="E2302" i="7"/>
  <c r="C2346" i="7"/>
  <c r="E2360" i="7"/>
  <c r="E2384" i="7"/>
  <c r="E2418" i="7"/>
  <c r="E2430" i="7"/>
  <c r="E2441" i="7"/>
  <c r="C2453" i="7"/>
  <c r="C2462" i="7"/>
  <c r="E2467" i="7"/>
  <c r="E2473" i="7"/>
  <c r="C2483" i="7"/>
  <c r="C2482" i="7"/>
  <c r="C2485" i="7"/>
  <c r="C2491" i="7"/>
  <c r="C2494" i="7"/>
  <c r="E2499" i="7"/>
  <c r="E2510" i="7"/>
  <c r="C2514" i="7"/>
  <c r="C2534" i="7"/>
  <c r="C2537" i="7"/>
  <c r="C2564" i="7"/>
  <c r="C2563" i="7"/>
  <c r="E2602" i="7"/>
  <c r="C2646" i="7"/>
  <c r="C2715" i="7"/>
  <c r="E2008" i="7"/>
  <c r="E2024" i="7"/>
  <c r="E2040" i="7"/>
  <c r="E2056" i="7"/>
  <c r="E2072" i="7"/>
  <c r="E2088" i="7"/>
  <c r="E2104" i="7"/>
  <c r="E2120" i="7"/>
  <c r="E2136" i="7"/>
  <c r="E2152" i="7"/>
  <c r="E2168" i="7"/>
  <c r="E2184" i="7"/>
  <c r="E2200" i="7"/>
  <c r="E2216" i="7"/>
  <c r="E2230" i="7"/>
  <c r="E2242" i="7"/>
  <c r="E2254" i="7"/>
  <c r="C2257" i="7"/>
  <c r="C2298" i="7"/>
  <c r="E2307" i="7"/>
  <c r="E2312" i="7"/>
  <c r="E2336" i="7"/>
  <c r="E2341" i="7"/>
  <c r="E2346" i="7"/>
  <c r="E2358" i="7"/>
  <c r="E2370" i="7"/>
  <c r="E2382" i="7"/>
  <c r="C2385" i="7"/>
  <c r="C2426" i="7"/>
  <c r="C2442" i="7"/>
  <c r="E2450" i="7"/>
  <c r="C2474" i="7"/>
  <c r="E2482" i="7"/>
  <c r="E2546" i="7"/>
  <c r="E2575" i="7"/>
  <c r="C2603" i="7"/>
  <c r="C2610" i="7"/>
  <c r="C2609" i="7"/>
  <c r="C2612" i="7"/>
  <c r="E2615" i="7"/>
  <c r="E2660" i="7"/>
  <c r="C2775" i="7"/>
  <c r="C2774" i="7"/>
  <c r="C2778" i="7"/>
  <c r="E2797" i="7"/>
  <c r="E2798" i="7"/>
  <c r="E2805" i="7"/>
  <c r="E2806" i="7"/>
  <c r="E2817" i="7"/>
  <c r="E2818" i="7"/>
  <c r="E2505" i="7"/>
  <c r="E2517" i="7"/>
  <c r="C2544" i="7"/>
  <c r="E2628" i="7"/>
  <c r="E2633" i="7"/>
  <c r="E2646" i="7"/>
  <c r="E2649" i="7"/>
  <c r="C2660" i="7"/>
  <c r="E2676" i="7"/>
  <c r="C2690" i="7"/>
  <c r="C2720" i="7"/>
  <c r="E2744" i="7"/>
  <c r="C2761" i="7"/>
  <c r="C2838" i="7"/>
  <c r="C2837" i="7"/>
  <c r="C2850" i="7"/>
  <c r="E2448" i="7"/>
  <c r="E2464" i="7"/>
  <c r="E2480" i="7"/>
  <c r="E2496" i="7"/>
  <c r="E2503" i="7"/>
  <c r="E2527" i="7"/>
  <c r="E2532" i="7"/>
  <c r="E2537" i="7"/>
  <c r="E2549" i="7"/>
  <c r="E2561" i="7"/>
  <c r="E2573" i="7"/>
  <c r="C2576" i="7"/>
  <c r="C2617" i="7"/>
  <c r="E2631" i="7"/>
  <c r="E2641" i="7"/>
  <c r="E2644" i="7"/>
  <c r="C2658" i="7"/>
  <c r="C2669" i="7"/>
  <c r="C2688" i="7"/>
  <c r="C2699" i="7"/>
  <c r="E2712" i="7"/>
  <c r="C2729" i="7"/>
  <c r="E2742" i="7"/>
  <c r="E2745" i="7"/>
  <c r="C2756" i="7"/>
  <c r="E2769" i="7"/>
  <c r="E2770" i="7"/>
  <c r="C2784" i="7"/>
  <c r="C2787" i="7"/>
  <c r="C2790" i="7"/>
  <c r="C2851" i="7"/>
  <c r="E2898" i="7"/>
  <c r="E2899" i="7"/>
  <c r="E2446" i="7"/>
  <c r="E2462" i="7"/>
  <c r="E2478" i="7"/>
  <c r="E2494" i="7"/>
  <c r="E2501" i="7"/>
  <c r="E2513" i="7"/>
  <c r="E2525" i="7"/>
  <c r="C2528" i="7"/>
  <c r="C2569" i="7"/>
  <c r="E2583" i="7"/>
  <c r="C2586" i="7"/>
  <c r="E2607" i="7"/>
  <c r="E2612" i="7"/>
  <c r="E2617" i="7"/>
  <c r="C2653" i="7"/>
  <c r="C2683" i="7"/>
  <c r="E2729" i="7"/>
  <c r="E2753" i="7"/>
  <c r="E2756" i="7"/>
  <c r="E2784" i="7"/>
  <c r="E2816" i="7"/>
  <c r="C2829" i="7"/>
  <c r="C2832" i="7"/>
  <c r="C2833" i="7"/>
  <c r="C2835" i="7"/>
  <c r="C2861" i="7"/>
  <c r="C2860" i="7"/>
  <c r="C2868" i="7"/>
  <c r="C2867" i="7"/>
  <c r="E2236" i="7"/>
  <c r="E2252" i="7"/>
  <c r="E2268" i="7"/>
  <c r="E2284" i="7"/>
  <c r="E2300" i="7"/>
  <c r="E2316" i="7"/>
  <c r="E2332" i="7"/>
  <c r="E2348" i="7"/>
  <c r="E2364" i="7"/>
  <c r="E2380" i="7"/>
  <c r="E2396" i="7"/>
  <c r="E2412" i="7"/>
  <c r="E2428" i="7"/>
  <c r="E2444" i="7"/>
  <c r="E2460" i="7"/>
  <c r="E2476" i="7"/>
  <c r="E2492" i="7"/>
  <c r="C2521" i="7"/>
  <c r="E2530" i="7"/>
  <c r="E2535" i="7"/>
  <c r="E2559" i="7"/>
  <c r="E2564" i="7"/>
  <c r="E2569" i="7"/>
  <c r="E2581" i="7"/>
  <c r="E2593" i="7"/>
  <c r="E2605" i="7"/>
  <c r="C2608" i="7"/>
  <c r="C2637" i="7"/>
  <c r="C2656" i="7"/>
  <c r="C2667" i="7"/>
  <c r="E2680" i="7"/>
  <c r="C2697" i="7"/>
  <c r="E2710" i="7"/>
  <c r="E2713" i="7"/>
  <c r="C2724" i="7"/>
  <c r="E2737" i="7"/>
  <c r="E2740" i="7"/>
  <c r="C2754" i="7"/>
  <c r="C2765" i="7"/>
  <c r="C2785" i="7"/>
  <c r="C2802" i="7"/>
  <c r="C2811" i="7"/>
  <c r="E2829" i="7"/>
  <c r="E2830" i="7"/>
  <c r="E2857" i="7"/>
  <c r="E2858" i="7"/>
  <c r="E2865" i="7"/>
  <c r="E2639" i="7"/>
  <c r="E2655" i="7"/>
  <c r="E2671" i="7"/>
  <c r="E2687" i="7"/>
  <c r="E2703" i="7"/>
  <c r="E2719" i="7"/>
  <c r="E2735" i="7"/>
  <c r="E2751" i="7"/>
  <c r="E2767" i="7"/>
  <c r="E2772" i="7"/>
  <c r="E2777" i="7"/>
  <c r="E2789" i="7"/>
  <c r="E2801" i="7"/>
  <c r="E2813" i="7"/>
  <c r="C2816" i="7"/>
  <c r="E2845" i="7"/>
  <c r="E2850" i="7"/>
  <c r="E2855" i="7"/>
  <c r="E2881" i="7"/>
  <c r="E2653" i="7"/>
  <c r="E2669" i="7"/>
  <c r="E2685" i="7"/>
  <c r="E2701" i="7"/>
  <c r="E2717" i="7"/>
  <c r="E2733" i="7"/>
  <c r="E2749" i="7"/>
  <c r="E2765" i="7"/>
  <c r="C2768" i="7"/>
  <c r="C2809" i="7"/>
  <c r="E2823" i="7"/>
  <c r="C2826" i="7"/>
  <c r="E2840" i="7"/>
  <c r="E2853" i="7"/>
  <c r="E2863" i="7"/>
  <c r="E2878" i="7"/>
  <c r="E2879" i="7"/>
  <c r="E2507" i="7"/>
  <c r="E2523" i="7"/>
  <c r="E2539" i="7"/>
  <c r="E2555" i="7"/>
  <c r="E2571" i="7"/>
  <c r="E2587" i="7"/>
  <c r="E2603" i="7"/>
  <c r="E2619" i="7"/>
  <c r="E2635" i="7"/>
  <c r="E2651" i="7"/>
  <c r="E2667" i="7"/>
  <c r="E2683" i="7"/>
  <c r="E2699" i="7"/>
  <c r="E2715" i="7"/>
  <c r="E2731" i="7"/>
  <c r="E2747" i="7"/>
  <c r="E2763" i="7"/>
  <c r="E2775" i="7"/>
  <c r="E2799" i="7"/>
  <c r="E2804" i="7"/>
  <c r="E2809" i="7"/>
  <c r="E2821" i="7"/>
  <c r="E2833" i="7"/>
  <c r="C2841" i="7"/>
  <c r="E2861" i="7"/>
  <c r="E2866" i="7"/>
  <c r="E2851" i="7"/>
  <c r="E2867" i="7"/>
  <c r="E2870" i="7"/>
  <c r="C2879" i="7"/>
  <c r="C2882" i="7"/>
  <c r="C2874" i="7"/>
  <c r="C2877" i="7"/>
  <c r="C2883" i="7"/>
  <c r="C2886" i="7"/>
  <c r="E2894" i="7"/>
  <c r="E2897" i="7"/>
  <c r="C2906" i="7"/>
  <c r="E2779" i="7"/>
  <c r="E2795" i="7"/>
  <c r="E2811" i="7"/>
  <c r="E2827" i="7"/>
  <c r="E2883" i="7"/>
  <c r="C2895" i="7"/>
  <c r="C2898" i="7"/>
  <c r="C2909" i="7"/>
  <c r="E2884" i="7"/>
  <c r="E2874" i="7"/>
  <c r="E2890" i="7"/>
  <c r="E2906" i="7"/>
  <c r="E2872" i="7"/>
  <c r="E2888" i="7"/>
  <c r="E2904" i="7"/>
  <c r="D812" i="6" l="1"/>
  <c r="D856" i="6"/>
  <c r="C90" i="9"/>
  <c r="D817" i="6"/>
  <c r="D244" i="6"/>
  <c r="D303" i="6"/>
  <c r="D629" i="6"/>
  <c r="D889" i="6"/>
  <c r="D367" i="6"/>
  <c r="D153" i="6"/>
  <c r="D690" i="6"/>
  <c r="C243" i="9"/>
  <c r="D462" i="6"/>
  <c r="D725" i="6"/>
  <c r="D371" i="6"/>
  <c r="D211" i="6"/>
  <c r="D147" i="6"/>
  <c r="D830" i="6"/>
  <c r="D708" i="6"/>
  <c r="D180" i="6"/>
  <c r="D427" i="6"/>
  <c r="D949" i="6"/>
  <c r="D654" i="6"/>
  <c r="D921" i="6"/>
  <c r="D823" i="6"/>
  <c r="D298" i="6"/>
  <c r="D387" i="6"/>
  <c r="D946" i="6"/>
  <c r="D896" i="6"/>
  <c r="D700" i="6"/>
  <c r="D923" i="6"/>
  <c r="D553" i="6"/>
  <c r="D331" i="6"/>
  <c r="D246" i="6"/>
  <c r="D698" i="6"/>
  <c r="D477" i="6"/>
  <c r="D967" i="6"/>
  <c r="D1005" i="6"/>
  <c r="D608" i="6"/>
  <c r="D392" i="6"/>
  <c r="D679" i="6"/>
  <c r="D558" i="6"/>
  <c r="D83" i="6"/>
  <c r="C101" i="9"/>
  <c r="D818" i="6"/>
  <c r="D529" i="6"/>
  <c r="D412" i="6"/>
  <c r="D470" i="6"/>
  <c r="D600" i="6"/>
  <c r="D226" i="6"/>
  <c r="D213" i="6"/>
  <c r="D1004" i="6"/>
  <c r="D884" i="6"/>
  <c r="D390" i="6"/>
  <c r="D145" i="6"/>
  <c r="D481" i="6"/>
  <c r="D771" i="6"/>
  <c r="D858" i="6"/>
  <c r="D347" i="6"/>
  <c r="D692" i="6"/>
  <c r="D560" i="6"/>
  <c r="D730" i="6"/>
  <c r="D297" i="6"/>
  <c r="D374" i="6"/>
  <c r="D657" i="6"/>
  <c r="D984" i="6"/>
  <c r="D370" i="6"/>
  <c r="D532" i="6"/>
  <c r="D181" i="6"/>
  <c r="D893" i="6"/>
  <c r="D750" i="6"/>
  <c r="D843" i="6"/>
  <c r="D977" i="6"/>
  <c r="D975" i="6"/>
  <c r="D577" i="6"/>
  <c r="D360" i="6"/>
  <c r="D507" i="6"/>
  <c r="D587" i="6"/>
  <c r="D449" i="6"/>
  <c r="D769" i="6"/>
  <c r="D590" i="6"/>
  <c r="D566" i="6"/>
  <c r="D534" i="6"/>
  <c r="D819" i="6"/>
  <c r="D413" i="6"/>
  <c r="D954" i="6"/>
  <c r="D172" i="6"/>
  <c r="D419" i="6"/>
  <c r="D263" i="6"/>
  <c r="D148" i="6"/>
  <c r="D69" i="6"/>
  <c r="D963" i="6"/>
  <c r="D671" i="6"/>
  <c r="D264" i="6"/>
  <c r="D32" i="6"/>
  <c r="D890" i="6"/>
  <c r="D719" i="6"/>
  <c r="D302" i="6"/>
  <c r="D828" i="6"/>
  <c r="D754" i="6"/>
  <c r="D922" i="6"/>
  <c r="D851" i="6"/>
  <c r="D568" i="6"/>
  <c r="D996" i="6"/>
  <c r="D920" i="6"/>
  <c r="D778" i="6"/>
  <c r="D520" i="6"/>
  <c r="D547" i="6"/>
  <c r="D457" i="6"/>
  <c r="D682" i="6"/>
  <c r="D431" i="6"/>
  <c r="D164" i="6"/>
  <c r="D930" i="6"/>
  <c r="D400" i="6"/>
  <c r="D52" i="6"/>
  <c r="D693" i="6"/>
  <c r="D956" i="6"/>
  <c r="D961" i="6"/>
  <c r="D595" i="6"/>
  <c r="D610" i="6"/>
  <c r="D475" i="6"/>
  <c r="D711" i="6"/>
  <c r="D821" i="6"/>
  <c r="D727" i="6"/>
  <c r="D563" i="6"/>
  <c r="D737" i="6"/>
  <c r="D860" i="6"/>
  <c r="D766" i="6"/>
  <c r="D498" i="6"/>
  <c r="D450" i="6"/>
  <c r="D621" i="6"/>
  <c r="D395" i="6"/>
  <c r="D156" i="6"/>
  <c r="D253" i="6"/>
  <c r="D36" i="6"/>
  <c r="D323" i="6"/>
  <c r="D672" i="6"/>
  <c r="D284" i="6"/>
  <c r="D423" i="6"/>
  <c r="D205" i="6"/>
  <c r="D798" i="6"/>
  <c r="D149" i="6"/>
  <c r="D882" i="6"/>
  <c r="D555" i="6"/>
  <c r="D876" i="6"/>
  <c r="D329" i="6"/>
  <c r="D158" i="6"/>
  <c r="D838" i="6"/>
  <c r="D109" i="6"/>
  <c r="D259" i="6"/>
  <c r="D995" i="6"/>
  <c r="D931" i="6"/>
  <c r="C63" i="9"/>
  <c r="D441" i="6"/>
  <c r="D787" i="6"/>
  <c r="D579" i="6"/>
  <c r="D319" i="6"/>
  <c r="D27" i="6"/>
  <c r="D623" i="6"/>
  <c r="D403" i="6"/>
  <c r="D204" i="6"/>
  <c r="D174" i="6"/>
  <c r="D218" i="6"/>
  <c r="D155" i="6"/>
  <c r="D317" i="6"/>
  <c r="D133" i="6"/>
  <c r="D235" i="6"/>
  <c r="D141" i="6"/>
  <c r="D142" i="6"/>
  <c r="D100" i="6"/>
  <c r="D867" i="6"/>
  <c r="D469" i="6"/>
  <c r="D277" i="6"/>
  <c r="D93" i="6"/>
  <c r="D902" i="6"/>
  <c r="D762" i="6"/>
  <c r="D993" i="6"/>
  <c r="D959" i="6"/>
  <c r="D345" i="6"/>
  <c r="D262" i="6"/>
  <c r="D193" i="6"/>
  <c r="D539" i="6"/>
  <c r="D234" i="6"/>
  <c r="D62" i="6"/>
  <c r="D19" i="6"/>
  <c r="C171" i="9"/>
  <c r="C168" i="9"/>
  <c r="D994" i="6"/>
  <c r="D627" i="6"/>
  <c r="D499" i="6"/>
  <c r="D373" i="6"/>
  <c r="D166" i="6"/>
  <c r="D150" i="6"/>
  <c r="D210" i="6"/>
  <c r="D146" i="6"/>
  <c r="D713" i="6"/>
  <c r="D304" i="6"/>
  <c r="D286" i="6"/>
  <c r="D362" i="6"/>
  <c r="D116" i="6"/>
  <c r="D661" i="6"/>
  <c r="D1012" i="6"/>
  <c r="D848" i="6"/>
  <c r="D1007" i="6"/>
  <c r="C105" i="9"/>
  <c r="D783" i="6"/>
  <c r="D185" i="6"/>
  <c r="D129" i="6"/>
  <c r="D911" i="6"/>
  <c r="D120" i="6"/>
  <c r="D870" i="6"/>
  <c r="D913" i="6"/>
  <c r="D878" i="6"/>
  <c r="D467" i="6"/>
  <c r="D742" i="6"/>
  <c r="D196" i="6"/>
  <c r="D455" i="6"/>
  <c r="D336" i="6"/>
  <c r="D359" i="6"/>
  <c r="D658" i="6"/>
  <c r="D53" i="6"/>
  <c r="D573" i="6"/>
  <c r="D254" i="6"/>
  <c r="D941" i="6"/>
  <c r="D831" i="6"/>
  <c r="D1006" i="6"/>
  <c r="C197" i="9"/>
  <c r="D383" i="6"/>
  <c r="D978" i="6"/>
  <c r="D829" i="6"/>
  <c r="D350" i="6"/>
  <c r="D845" i="6"/>
  <c r="D426" i="6"/>
  <c r="D836" i="6"/>
  <c r="D272" i="6"/>
  <c r="D157" i="6"/>
  <c r="D451" i="6"/>
  <c r="D61" i="6"/>
  <c r="D688" i="6"/>
  <c r="C23" i="9"/>
  <c r="D334" i="6"/>
  <c r="D283" i="6"/>
  <c r="D908" i="6"/>
  <c r="D969" i="6"/>
  <c r="D991" i="6"/>
  <c r="D732" i="6"/>
  <c r="D637" i="6"/>
  <c r="D552" i="6"/>
  <c r="D472" i="6"/>
  <c r="D209" i="6"/>
  <c r="D837" i="6"/>
  <c r="D709" i="6"/>
  <c r="D648" i="6"/>
  <c r="D330" i="6"/>
  <c r="D1000" i="6"/>
  <c r="D618" i="6"/>
  <c r="D227" i="6"/>
  <c r="C143" i="9"/>
  <c r="D815" i="6"/>
  <c r="D736" i="6"/>
  <c r="D919" i="6"/>
  <c r="C41" i="9"/>
  <c r="D91" i="6"/>
  <c r="D342" i="6"/>
  <c r="D320" i="6"/>
  <c r="D315" i="6"/>
  <c r="D187" i="6"/>
  <c r="D123" i="6"/>
  <c r="D691" i="6"/>
  <c r="D674" i="6"/>
  <c r="D108" i="6"/>
  <c r="D827" i="6"/>
  <c r="D952" i="6"/>
  <c r="D635" i="6"/>
  <c r="D456" i="6"/>
  <c r="D377" i="6"/>
  <c r="D944" i="6"/>
  <c r="D835" i="6"/>
  <c r="D643" i="6"/>
  <c r="D16" i="6"/>
  <c r="D51" i="6"/>
  <c r="D796" i="6"/>
  <c r="D722" i="6"/>
  <c r="D107" i="6"/>
  <c r="D834" i="6"/>
  <c r="D779" i="6"/>
  <c r="D363" i="6"/>
  <c r="D314" i="6"/>
  <c r="D178" i="6"/>
  <c r="D117" i="6"/>
  <c r="D986" i="6"/>
  <c r="D702" i="6"/>
  <c r="D574" i="6"/>
  <c r="D380" i="6"/>
  <c r="D276" i="6"/>
  <c r="D924" i="6"/>
  <c r="D1001" i="6"/>
  <c r="D987" i="6"/>
  <c r="D862" i="6"/>
  <c r="D454" i="6"/>
  <c r="D281" i="6"/>
  <c r="D201" i="6"/>
  <c r="D266" i="6"/>
  <c r="D825" i="6"/>
  <c r="D479" i="6"/>
  <c r="D515" i="6"/>
  <c r="D938" i="6"/>
  <c r="D673" i="6"/>
  <c r="C82" i="9"/>
  <c r="D411" i="6"/>
  <c r="D335" i="6"/>
  <c r="D179" i="6"/>
  <c r="D368" i="6"/>
  <c r="D68" i="6"/>
  <c r="D478" i="6"/>
  <c r="D953" i="6"/>
  <c r="D800" i="6"/>
  <c r="D689" i="6"/>
  <c r="D585" i="6"/>
  <c r="D990" i="6"/>
  <c r="D904" i="6"/>
  <c r="D910" i="6"/>
  <c r="D985" i="6"/>
  <c r="D951" i="6"/>
  <c r="C43" i="9"/>
  <c r="D505" i="6"/>
  <c r="D422" i="6"/>
  <c r="D249" i="6"/>
  <c r="D642" i="6"/>
  <c r="D909" i="6"/>
  <c r="D110" i="6"/>
  <c r="D46" i="6"/>
  <c r="D936" i="6"/>
  <c r="D430" i="6"/>
  <c r="D666" i="6"/>
  <c r="D992" i="6"/>
  <c r="C163" i="9"/>
  <c r="C229" i="9"/>
  <c r="C125" i="9"/>
  <c r="D531" i="6"/>
  <c r="D435" i="6"/>
  <c r="D220" i="6"/>
  <c r="D791" i="6"/>
  <c r="D240" i="6"/>
  <c r="D482" i="6"/>
  <c r="D509" i="6"/>
  <c r="D372" i="6"/>
  <c r="D628" i="6"/>
  <c r="D542" i="6"/>
  <c r="D28" i="6"/>
  <c r="D92" i="6"/>
  <c r="D20" i="6"/>
  <c r="D491" i="6"/>
  <c r="D44" i="6"/>
  <c r="D979" i="6"/>
  <c r="D945" i="6"/>
  <c r="D970" i="6"/>
  <c r="D785" i="6"/>
  <c r="D488" i="6"/>
  <c r="D326" i="6"/>
  <c r="D230" i="6"/>
  <c r="D177" i="6"/>
  <c r="D43" i="6"/>
  <c r="D962" i="6"/>
  <c r="D554" i="6"/>
  <c r="D102" i="6"/>
  <c r="D681" i="6"/>
  <c r="D562" i="6"/>
  <c r="D883" i="6"/>
  <c r="D1002" i="6"/>
  <c r="D915" i="6"/>
  <c r="D968" i="6"/>
  <c r="D701" i="6"/>
  <c r="D401" i="6"/>
  <c r="D195" i="6"/>
  <c r="D131" i="6"/>
  <c r="D740" i="6"/>
  <c r="D885" i="6"/>
  <c r="D619" i="6"/>
  <c r="D85" i="6"/>
  <c r="D599" i="6"/>
  <c r="D137" i="6"/>
  <c r="D980" i="6"/>
  <c r="D790" i="6"/>
  <c r="D880" i="6"/>
  <c r="D718" i="6"/>
  <c r="D939" i="6"/>
  <c r="D943" i="6"/>
  <c r="C74" i="9"/>
  <c r="D641" i="6"/>
  <c r="D486" i="6"/>
  <c r="D169" i="6"/>
  <c r="D231" i="6"/>
  <c r="D96" i="6"/>
  <c r="D115" i="6"/>
  <c r="D680" i="6"/>
  <c r="D900" i="6"/>
  <c r="D398" i="6"/>
  <c r="D861" i="6"/>
  <c r="D603" i="6"/>
  <c r="D792" i="6"/>
  <c r="D559" i="6"/>
  <c r="D699" i="6"/>
  <c r="D501" i="6"/>
  <c r="D278" i="6"/>
  <c r="D706" i="6"/>
  <c r="D873" i="6"/>
  <c r="D580" i="6"/>
  <c r="D745" i="6"/>
  <c r="D527" i="6"/>
  <c r="D432" i="6"/>
  <c r="D126" i="6"/>
  <c r="D744" i="6"/>
  <c r="D788" i="6"/>
  <c r="D492" i="6"/>
  <c r="D194" i="6"/>
  <c r="D162" i="6"/>
  <c r="D130" i="6"/>
  <c r="D624" i="6"/>
  <c r="D349" i="6"/>
  <c r="D84" i="6"/>
  <c r="D541" i="6"/>
  <c r="D382" i="6"/>
  <c r="D285" i="6"/>
  <c r="D221" i="6"/>
  <c r="C112" i="9"/>
  <c r="D869" i="6"/>
  <c r="D886" i="6"/>
  <c r="D537" i="6"/>
  <c r="D664" i="6"/>
  <c r="D724" i="6"/>
  <c r="D538" i="6"/>
  <c r="D695" i="6"/>
  <c r="D346" i="6"/>
  <c r="D496" i="6"/>
  <c r="D445" i="6"/>
  <c r="D101" i="6"/>
  <c r="C259" i="9"/>
  <c r="D1016" i="6"/>
  <c r="D669" i="6"/>
  <c r="D444" i="6"/>
  <c r="D316" i="6"/>
  <c r="D528" i="6"/>
  <c r="D189" i="6"/>
  <c r="D630" i="6"/>
  <c r="D468" i="6"/>
  <c r="D60" i="6"/>
  <c r="D493" i="6"/>
  <c r="D726" i="6"/>
  <c r="D760" i="6"/>
  <c r="D459" i="6"/>
  <c r="D772" i="6"/>
  <c r="D616" i="6"/>
  <c r="D758" i="6"/>
  <c r="D575" i="6"/>
  <c r="D143" i="6"/>
  <c r="D694" i="6"/>
  <c r="D410" i="6"/>
  <c r="D487" i="6"/>
  <c r="C96" i="9"/>
  <c r="D853" i="6"/>
  <c r="D348" i="6"/>
  <c r="D743" i="6"/>
  <c r="D381" i="6"/>
  <c r="D822" i="6"/>
  <c r="D899" i="6"/>
  <c r="D731" i="6"/>
  <c r="D639" i="6"/>
  <c r="D409" i="6"/>
  <c r="D545" i="6"/>
  <c r="D447" i="6"/>
  <c r="D434" i="6"/>
  <c r="D874" i="6"/>
  <c r="D565" i="6"/>
  <c r="D540" i="6"/>
  <c r="D622" i="6"/>
  <c r="D252" i="6"/>
  <c r="D379" i="6"/>
  <c r="D251" i="6"/>
  <c r="D202" i="6"/>
  <c r="D170" i="6"/>
  <c r="D138" i="6"/>
  <c r="D646" i="6"/>
  <c r="D564" i="6"/>
  <c r="D76" i="6"/>
  <c r="D77" i="6"/>
  <c r="D747" i="6"/>
  <c r="D768" i="6"/>
  <c r="D313" i="6"/>
  <c r="D217" i="6"/>
  <c r="D175" i="6"/>
  <c r="D135" i="6"/>
  <c r="D670" i="6"/>
  <c r="D739" i="6"/>
  <c r="D321" i="6"/>
  <c r="D223" i="6"/>
  <c r="D767" i="6"/>
  <c r="D495" i="6"/>
  <c r="D960" i="6"/>
  <c r="D33" i="6"/>
  <c r="D188" i="6"/>
  <c r="D203" i="6"/>
  <c r="D171" i="6"/>
  <c r="D139" i="6"/>
  <c r="D738" i="6"/>
  <c r="D636" i="6"/>
  <c r="D521" i="6"/>
  <c r="D327" i="6"/>
  <c r="D414" i="6"/>
  <c r="D644" i="6"/>
  <c r="D21" i="6"/>
  <c r="D645" i="6"/>
  <c r="D1014" i="6"/>
  <c r="C241" i="9"/>
  <c r="D998" i="6"/>
  <c r="C148" i="9"/>
  <c r="D905" i="6"/>
  <c r="C25" i="9"/>
  <c r="D782" i="6"/>
  <c r="C109" i="9"/>
  <c r="D866" i="6"/>
  <c r="D6" i="6"/>
  <c r="C32" i="9"/>
  <c r="D789" i="6"/>
  <c r="D88" i="6"/>
  <c r="D87" i="6"/>
  <c r="D24" i="6"/>
  <c r="D23" i="6"/>
  <c r="C69" i="9"/>
  <c r="D826" i="6"/>
  <c r="D506" i="6"/>
  <c r="C29" i="9"/>
  <c r="D786" i="6"/>
  <c r="D655" i="6"/>
  <c r="D665" i="6"/>
  <c r="C59" i="9"/>
  <c r="D816" i="6"/>
  <c r="D81" i="6"/>
  <c r="D17" i="6"/>
  <c r="D293" i="6"/>
  <c r="D256" i="6"/>
  <c r="D228" i="6"/>
  <c r="D497" i="6"/>
  <c r="D312" i="6"/>
  <c r="D168" i="6"/>
  <c r="D408" i="6"/>
  <c r="D288" i="6"/>
  <c r="D268" i="6"/>
  <c r="D128" i="6"/>
  <c r="D612" i="6"/>
  <c r="D176" i="6"/>
  <c r="D717" i="6"/>
  <c r="D248" i="6"/>
  <c r="D625" i="6"/>
  <c r="D58" i="6"/>
  <c r="D333" i="6"/>
  <c r="C256" i="9"/>
  <c r="D1013" i="6"/>
  <c r="C137" i="9"/>
  <c r="D894" i="6"/>
  <c r="D892" i="6"/>
  <c r="C209" i="9"/>
  <c r="D966" i="6"/>
  <c r="C161" i="9"/>
  <c r="D918" i="6"/>
  <c r="C216" i="9"/>
  <c r="D973" i="6"/>
  <c r="C52" i="9"/>
  <c r="D809" i="6"/>
  <c r="C8" i="9"/>
  <c r="D765" i="6"/>
  <c r="D764" i="6"/>
  <c r="D879" i="6"/>
  <c r="D997" i="6"/>
  <c r="D903" i="6"/>
  <c r="D634" i="6"/>
  <c r="D847" i="6"/>
  <c r="D721" i="6"/>
  <c r="D652" i="6"/>
  <c r="D512" i="6"/>
  <c r="D384" i="6"/>
  <c r="C50" i="9"/>
  <c r="D807" i="6"/>
  <c r="D569" i="6"/>
  <c r="D339" i="6"/>
  <c r="D337" i="6"/>
  <c r="D73" i="6"/>
  <c r="D578" i="6"/>
  <c r="D485" i="6"/>
  <c r="D98" i="6"/>
  <c r="D192" i="6"/>
  <c r="D136" i="6"/>
  <c r="D605" i="6"/>
  <c r="D536" i="6"/>
  <c r="D397" i="6"/>
  <c r="D653" i="6"/>
  <c r="D301" i="6"/>
  <c r="D250" i="6"/>
  <c r="D71" i="6"/>
  <c r="C201" i="9"/>
  <c r="D958" i="6"/>
  <c r="D957" i="6"/>
  <c r="C131" i="9"/>
  <c r="D888" i="6"/>
  <c r="D716" i="6"/>
  <c r="D4" i="6"/>
  <c r="D3" i="6"/>
  <c r="D5" i="6"/>
  <c r="D15" i="6"/>
  <c r="C40" i="9"/>
  <c r="D797" i="6"/>
  <c r="D650" i="6"/>
  <c r="D633" i="6"/>
  <c r="D567" i="6"/>
  <c r="D243" i="6"/>
  <c r="D241" i="6"/>
  <c r="D65" i="6"/>
  <c r="D396" i="6"/>
  <c r="D152" i="6"/>
  <c r="D74" i="6"/>
  <c r="D42" i="6"/>
  <c r="D524" i="6"/>
  <c r="D388" i="6"/>
  <c r="D261" i="6"/>
  <c r="D54" i="6"/>
  <c r="D516" i="6"/>
  <c r="D453" i="6"/>
  <c r="D30" i="6"/>
  <c r="D119" i="6"/>
  <c r="C193" i="9"/>
  <c r="D950" i="6"/>
  <c r="C124" i="9"/>
  <c r="D881" i="6"/>
  <c r="C232" i="9"/>
  <c r="D989" i="6"/>
  <c r="C85" i="9"/>
  <c r="D842" i="6"/>
  <c r="D503" i="6"/>
  <c r="D439" i="6"/>
  <c r="D375" i="6"/>
  <c r="D311" i="6"/>
  <c r="D247" i="6"/>
  <c r="D748" i="6"/>
  <c r="D64" i="6"/>
  <c r="D63" i="6"/>
  <c r="C115" i="9"/>
  <c r="D872" i="6"/>
  <c r="D543" i="6"/>
  <c r="D287" i="6"/>
  <c r="C93" i="9"/>
  <c r="D850" i="6"/>
  <c r="D756" i="6"/>
  <c r="C83" i="9"/>
  <c r="D840" i="6"/>
  <c r="D781" i="6"/>
  <c r="D480" i="6"/>
  <c r="D352" i="6"/>
  <c r="D631" i="6"/>
  <c r="D57" i="6"/>
  <c r="D465" i="6"/>
  <c r="D70" i="6"/>
  <c r="D596" i="6"/>
  <c r="D86" i="6"/>
  <c r="D376" i="6"/>
  <c r="D26" i="6"/>
  <c r="D813" i="6"/>
  <c r="D474" i="6"/>
  <c r="D378" i="6"/>
  <c r="D548" i="6"/>
  <c r="D282" i="6"/>
  <c r="D421" i="6"/>
  <c r="D224" i="6"/>
  <c r="D208" i="6"/>
  <c r="D237" i="6"/>
  <c r="D1011" i="6"/>
  <c r="C185" i="9"/>
  <c r="D942" i="6"/>
  <c r="C108" i="9"/>
  <c r="D865" i="6"/>
  <c r="D191" i="6"/>
  <c r="D159" i="6"/>
  <c r="D127" i="6"/>
  <c r="D662" i="6"/>
  <c r="D583" i="6"/>
  <c r="D663" i="6"/>
  <c r="D570" i="6"/>
  <c r="D841" i="6"/>
  <c r="D525" i="6"/>
  <c r="D710" i="6"/>
  <c r="D592" i="6"/>
  <c r="C37" i="9"/>
  <c r="D794" i="6"/>
  <c r="D307" i="6"/>
  <c r="D305" i="6"/>
  <c r="D113" i="6"/>
  <c r="D49" i="6"/>
  <c r="D461" i="6"/>
  <c r="D460" i="6"/>
  <c r="D369" i="6"/>
  <c r="D34" i="6"/>
  <c r="D78" i="6"/>
  <c r="D589" i="6"/>
  <c r="D452" i="6"/>
  <c r="D561" i="6"/>
  <c r="D365" i="6"/>
  <c r="D723" i="6"/>
  <c r="D389" i="6"/>
  <c r="D186" i="6"/>
  <c r="D154" i="6"/>
  <c r="D122" i="6"/>
  <c r="D144" i="6"/>
  <c r="D55" i="6"/>
  <c r="C253" i="9"/>
  <c r="D1010" i="6"/>
  <c r="D948" i="6"/>
  <c r="C177" i="9"/>
  <c r="D934" i="6"/>
  <c r="C92" i="9"/>
  <c r="D849" i="6"/>
  <c r="D686" i="6"/>
  <c r="D1015" i="6"/>
  <c r="D864" i="6"/>
  <c r="D677" i="6"/>
  <c r="D678" i="6"/>
  <c r="D112" i="6"/>
  <c r="D111" i="6"/>
  <c r="D48" i="6"/>
  <c r="D47" i="6"/>
  <c r="D557" i="6"/>
  <c r="D780" i="6"/>
  <c r="D720" i="6"/>
  <c r="D351" i="6"/>
  <c r="C149" i="9"/>
  <c r="D906" i="6"/>
  <c r="D871" i="6"/>
  <c r="D586" i="6"/>
  <c r="D448" i="6"/>
  <c r="C13" i="9"/>
  <c r="D770" i="6"/>
  <c r="D105" i="6"/>
  <c r="D41" i="6"/>
  <c r="D839" i="6"/>
  <c r="D364" i="6"/>
  <c r="D114" i="6"/>
  <c r="D90" i="6"/>
  <c r="D22" i="6"/>
  <c r="D752" i="6"/>
  <c r="D440" i="6"/>
  <c r="D356" i="6"/>
  <c r="D229" i="6"/>
  <c r="D66" i="6"/>
  <c r="D808" i="6"/>
  <c r="D504" i="6"/>
  <c r="D755" i="6"/>
  <c r="D184" i="6"/>
  <c r="D640" i="6"/>
  <c r="D357" i="6"/>
  <c r="D106" i="6"/>
  <c r="D31" i="6"/>
  <c r="D988" i="6"/>
  <c r="D940" i="6"/>
  <c r="C169" i="9"/>
  <c r="D926" i="6"/>
  <c r="C76" i="9"/>
  <c r="D833" i="6"/>
  <c r="C224" i="9"/>
  <c r="D981" i="6"/>
  <c r="C67" i="9"/>
  <c r="D824" i="6"/>
  <c r="D473" i="6"/>
  <c r="D215" i="6"/>
  <c r="D183" i="6"/>
  <c r="D151" i="6"/>
  <c r="C54" i="9"/>
  <c r="D811" i="6"/>
  <c r="D649" i="6"/>
  <c r="D104" i="6"/>
  <c r="D103" i="6"/>
  <c r="D40" i="6"/>
  <c r="D39" i="6"/>
  <c r="D810" i="6"/>
  <c r="C144" i="9"/>
  <c r="D901" i="6"/>
  <c r="D511" i="6"/>
  <c r="D255" i="6"/>
  <c r="D749" i="6"/>
  <c r="C150" i="9"/>
  <c r="D907" i="6"/>
  <c r="D863" i="6"/>
  <c r="D805" i="6"/>
  <c r="D965" i="6"/>
  <c r="D753" i="6"/>
  <c r="D97" i="6"/>
  <c r="D917" i="6"/>
  <c r="D734" i="6"/>
  <c r="D433" i="6"/>
  <c r="D50" i="6"/>
  <c r="D280" i="6"/>
  <c r="D517" i="6"/>
  <c r="D556" i="6"/>
  <c r="D38" i="6"/>
  <c r="D576" i="6"/>
  <c r="D344" i="6"/>
  <c r="D200" i="6"/>
  <c r="D484" i="6"/>
  <c r="D668" i="6"/>
  <c r="D429" i="6"/>
  <c r="D82" i="6"/>
  <c r="D604" i="6"/>
  <c r="D832" i="6"/>
  <c r="D118" i="6"/>
  <c r="D79" i="6"/>
  <c r="D932" i="6"/>
  <c r="D795" i="6"/>
  <c r="D916" i="6"/>
  <c r="C57" i="9"/>
  <c r="D814" i="6"/>
  <c r="D1008" i="6"/>
  <c r="D971" i="6"/>
  <c r="D733" i="6"/>
  <c r="D535" i="6"/>
  <c r="D471" i="6"/>
  <c r="D407" i="6"/>
  <c r="D343" i="6"/>
  <c r="D279" i="6"/>
  <c r="D626" i="6"/>
  <c r="D613" i="6"/>
  <c r="C45" i="9"/>
  <c r="D802" i="6"/>
  <c r="D647" i="6"/>
  <c r="D591" i="6"/>
  <c r="D415" i="6"/>
  <c r="D584" i="6"/>
  <c r="D933" i="6"/>
  <c r="D784" i="6"/>
  <c r="D667" i="6"/>
  <c r="D544" i="6"/>
  <c r="D416" i="6"/>
  <c r="D684" i="6"/>
  <c r="D275" i="6"/>
  <c r="D273" i="6"/>
  <c r="D89" i="6"/>
  <c r="D25" i="6"/>
  <c r="D687" i="6"/>
  <c r="D632" i="6"/>
  <c r="D428" i="6"/>
  <c r="D325" i="6"/>
  <c r="D332" i="6"/>
  <c r="D236" i="6"/>
  <c r="D324" i="6"/>
  <c r="D216" i="6"/>
  <c r="D549" i="6"/>
  <c r="D420" i="6"/>
  <c r="D300" i="6"/>
  <c r="D160" i="6"/>
  <c r="D685" i="6"/>
  <c r="D292" i="6"/>
  <c r="D588" i="6"/>
  <c r="D260" i="6"/>
  <c r="D597" i="6"/>
  <c r="D269" i="6"/>
  <c r="D94" i="6"/>
  <c r="D18" i="6"/>
  <c r="D95"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<sst xmlns="http://schemas.openxmlformats.org/spreadsheetml/2006/main" count="149" uniqueCount="108">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</sst>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NFP!$A$120:$A$1019</c:f>
              <c:numCache>
                <c:formatCode>yyyy\-mm\-dd</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NFP!$E$120:$E$1019</c:f>
              <c:numCache>
                <c:formatCode>General</c:formatCode>
                <c:ptCount val="90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numCache>
            </c:numRef>
          </c:val>
          <c:smooth val="0"/>
          <c:extLst>
            <c:ext xmlns:c16="http://schemas.microsoft.com/office/drawing/2014/chart" uri="{C3380CC4-5D6E-409C-BE32-E72D297353CC}">
              <c16:uniqueId val="{00000000-80AE-7848-AA4B-AA2C932C20E6}"/>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NFP!$A$120:$A$1025</c:f>
              <c:numCache>
                <c:formatCode>yyyy\-mm\-dd</c:formatCode>
                <c:ptCount val="90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NFP!$E$120:$E$1025</c:f>
              <c:numCache>
                <c:formatCode>General</c:formatCode>
                <c:ptCount val="906"/>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numCache>
            </c:numRef>
          </c:val>
          <c:smooth val="0"/>
          <c:extLst>
            <c:ext xmlns:c16="http://schemas.microsoft.com/office/drawing/2014/chart" uri="{C3380CC4-5D6E-409C-BE32-E72D297353CC}">
              <c16:uniqueId val="{00000000-4038-0347-A75D-649C467F72CD}"/>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NFP!$A$120:$A$1025</c:f>
              <c:numCache>
                <c:formatCode>yyyy\-mm\-dd</c:formatCode>
                <c:ptCount val="90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numCache>
            </c:numRef>
          </c:cat>
          <c:val>
            <c:numRef>
              <c:f>NFP!$F$120:$F$1025</c:f>
              <c:numCache>
                <c:formatCode>General</c:formatCode>
                <c:ptCount val="906"/>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pt idx="896">
                  <c:v>62.3</c:v>
                </c:pt>
              </c:numCache>
            </c:numRef>
          </c:val>
          <c:smooth val="0"/>
          <c:extLst>
            <c:ext xmlns:c16="http://schemas.microsoft.com/office/drawing/2014/chart" uri="{C3380CC4-5D6E-409C-BE32-E72D297353CC}">
              <c16:uniqueId val="{00000000-E6B6-8C43-AD12-204A6AF12287}"/>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NFP!$A$1</c:f>
          <c:strCache>
            <c:ptCount val="1"/>
            <c:pt idx="0">
              <c:v>PAYEMS</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NFP!$A$864:$A$1019</c:f>
              <c:numCache>
                <c:formatCode>yyyy\-mm\-dd</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numCache>
            </c:numRef>
          </c:cat>
          <c:val>
            <c:numRef>
              <c:f>NFP!$B$864:$B$1019</c:f>
              <c:numCache>
                <c:formatCode>#,##0</c:formatCode>
                <c:ptCount val="156"/>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152755</c:v>
                </c:pt>
                <c:pt idx="152">
                  <c:v>153018</c:v>
                </c:pt>
              </c:numCache>
            </c:numRef>
          </c:val>
          <c:smooth val="0"/>
          <c:extLst>
            <c:ext xmlns:c16="http://schemas.microsoft.com/office/drawing/2014/chart" uri="{C3380CC4-5D6E-409C-BE32-E72D297353CC}">
              <c16:uniqueId val="{00000000-7397-724A-BCF1-85B2422FF4BB}"/>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41AB-4849-B0FA-908E365805E9}"/>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numCache>
            </c:numRef>
          </c:cat>
          <c:val>
            <c:numRef>
              <c:f>Claims!$B$2670:$B$2917</c:f>
              <c:numCache>
                <c:formatCode>#,##0</c:formatCode>
                <c:ptCount val="248"/>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numCache>
            </c:numRef>
          </c:val>
          <c:smooth val="0"/>
          <c:extLst>
            <c:ext xmlns:c16="http://schemas.microsoft.com/office/drawing/2014/chart" uri="{C3380CC4-5D6E-409C-BE32-E72D297353CC}">
              <c16:uniqueId val="{00000000-5E34-D14E-9935-8374DF21BAED}"/>
            </c:ext>
          </c:extLst>
        </c:ser>
        <c:dLbls>
          <c:showLegendKey val="0"/>
          <c:showVal val="0"/>
          <c:showCatName val="0"/>
          <c:showSerName val="0"/>
          <c:showPercent val="0"/>
          <c:showBubbleSize val="0"/>
        </c:dLbls>
        <c:smooth val="0"/>
        <c:axId val="1717239216"/>
        <c:axId val="1717239544"/>
      </c:lineChart>
      <c:dateAx>
        <c:axId val="1717239216"/>
        <c:scaling>
          <c:orientation val="minMax"/>
          <c:max val="4482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NFP!$A$300:$A$1034</c:f>
              <c:numCache>
                <c:formatCode>yyyy\-mm\-dd</c:formatCode>
                <c:ptCount val="735"/>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numCache>
            </c:numRef>
          </c:cat>
          <c:val>
            <c:numRef>
              <c:f>NFP!$C$300:$C$1034</c:f>
              <c:numCache>
                <c:formatCode>0</c:formatCode>
                <c:ptCount val="735"/>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315</c:v>
                </c:pt>
                <c:pt idx="716">
                  <c:v>263</c:v>
                </c:pt>
              </c:numCache>
            </c:numRef>
          </c:val>
          <c:smooth val="0"/>
          <c:extLst>
            <c:ext xmlns:c16="http://schemas.microsoft.com/office/drawing/2014/chart" uri="{C3380CC4-5D6E-409C-BE32-E72D297353CC}">
              <c16:uniqueId val="{00000000-316F-4D46-B04B-735CA4F4D146}"/>
            </c:ext>
          </c:extLst>
        </c:ser>
        <c:dLbls>
          <c:showLegendKey val="0"/>
          <c:showVal val="0"/>
          <c:showCatName val="0"/>
          <c:showSerName val="0"/>
          <c:showPercent val="0"/>
          <c:showBubbleSize val="0"/>
        </c:dLbls>
        <c:smooth val="0"/>
        <c:axId val="1034261896"/>
        <c:axId val="1034262288"/>
      </c:lineChart>
      <c:dateAx>
        <c:axId val="1034261896"/>
        <c:scaling>
          <c:orientation val="minMax"/>
          <c:max val="44774"/>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NFP!$A$800:$A$1034</c:f>
              <c:numCache>
                <c:formatCode>yyyy\-mm\-dd</c:formatCode>
                <c:ptCount val="235"/>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numCache>
            </c:numRef>
          </c:cat>
          <c:val>
            <c:numRef>
              <c:f>NFP!$C$800:$C$1034</c:f>
              <c:numCache>
                <c:formatCode>0</c:formatCode>
                <c:ptCount val="235"/>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315</c:v>
                </c:pt>
                <c:pt idx="216">
                  <c:v>263</c:v>
                </c:pt>
              </c:numCache>
            </c:numRef>
          </c:val>
          <c:smooth val="0"/>
          <c:extLst>
            <c:ext xmlns:c16="http://schemas.microsoft.com/office/drawing/2014/chart" uri="{C3380CC4-5D6E-409C-BE32-E72D297353CC}">
              <c16:uniqueId val="{00000000-6B8E-3547-B17A-0A4C404F4EF1}"/>
            </c:ext>
          </c:extLst>
        </c:ser>
        <c:dLbls>
          <c:showLegendKey val="0"/>
          <c:showVal val="0"/>
          <c:showCatName val="0"/>
          <c:showSerName val="0"/>
          <c:showPercent val="0"/>
          <c:showBubbleSize val="0"/>
        </c:dLbls>
        <c:smooth val="0"/>
        <c:axId val="1034263072"/>
        <c:axId val="1034263464"/>
      </c:lineChart>
      <c:dateAx>
        <c:axId val="1034263072"/>
        <c:scaling>
          <c:orientation val="minMax"/>
          <c:max val="4480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NFP!$A$13:$A$1034</c:f>
              <c:numCache>
                <c:formatCode>yyyy\-mm\-dd</c:formatCode>
                <c:ptCount val="1022"/>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numCache>
            </c:numRef>
          </c:cat>
          <c:val>
            <c:numRef>
              <c:f>NFP!$C$13:$C$1034</c:f>
              <c:numCache>
                <c:formatCode>0</c:formatCode>
                <c:ptCount val="1022"/>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315</c:v>
                </c:pt>
                <c:pt idx="1003">
                  <c:v>263</c:v>
                </c:pt>
              </c:numCache>
            </c:numRef>
          </c:val>
          <c:extLst>
            <c:ext xmlns:c16="http://schemas.microsoft.com/office/drawing/2014/chart" uri="{C3380CC4-5D6E-409C-BE32-E72D297353CC}">
              <c16:uniqueId val="{00000000-34EE-ED48-AEEE-928581CDC65A}"/>
            </c:ext>
          </c:extLst>
        </c:ser>
        <c:dLbls>
          <c:showLegendKey val="0"/>
          <c:showVal val="0"/>
          <c:showCatName val="0"/>
          <c:showSerName val="0"/>
          <c:showPercent val="0"/>
          <c:showBubbleSize val="0"/>
        </c:dLbls>
        <c:gapWidth val="150"/>
        <c:axId val="827929136"/>
        <c:axId val="827929792"/>
      </c:barChart>
      <c:dateAx>
        <c:axId val="82792913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NFP!$A$13:$A$1034</c:f>
              <c:numCache>
                <c:formatCode>yyyy\-mm\-dd</c:formatCode>
                <c:ptCount val="1022"/>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numCache>
            </c:numRef>
          </c:cat>
          <c:val>
            <c:numRef>
              <c:f>NFP!$C$13:$C$1034</c:f>
              <c:numCache>
                <c:formatCode>0</c:formatCode>
                <c:ptCount val="1022"/>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315</c:v>
                </c:pt>
                <c:pt idx="1003">
                  <c:v>263</c:v>
                </c:pt>
              </c:numCache>
            </c:numRef>
          </c:val>
          <c:extLst>
            <c:ext xmlns:c16="http://schemas.microsoft.com/office/drawing/2014/chart" uri="{C3380CC4-5D6E-409C-BE32-E72D297353CC}">
              <c16:uniqueId val="{00000000-EC0C-7A45-8901-E5A17EDC8F94}"/>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5493-9647-9FBB-3E8D2310204C}"/>
            </c:ext>
          </c:extLst>
        </c:ser>
        <c:dLbls>
          <c:showLegendKey val="0"/>
          <c:showVal val="0"/>
          <c:showCatName val="0"/>
          <c:showSerName val="0"/>
          <c:showPercent val="0"/>
          <c:showBubbleSize val="0"/>
        </c:dLbls>
        <c:smooth val="0"/>
        <c:axId val="1052641016"/>
        <c:axId val="971633608"/>
      </c:lineChart>
      <c:dateAx>
        <c:axId val="1052641016"/>
        <c:scaling>
          <c:orientation val="minMax"/>
          <c:max val="44774"/>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986A-0B4E-9D0C-BFEE8E04315F}"/>
            </c:ext>
          </c:extLst>
        </c:ser>
        <c:dLbls>
          <c:showLegendKey val="0"/>
          <c:showVal val="0"/>
          <c:showCatName val="0"/>
          <c:showSerName val="0"/>
          <c:showPercent val="0"/>
          <c:showBubbleSize val="0"/>
        </c:dLbls>
        <c:smooth val="0"/>
        <c:axId val="1046199384"/>
        <c:axId val="1018478600"/>
      </c:lineChart>
      <c:dateAx>
        <c:axId val="1046199384"/>
        <c:scaling>
          <c:orientation val="minMax"/>
          <c:max val="44774"/>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ADP!$A$6:$A$263</c:f>
              <c:numCache>
                <c:formatCode>m/d/yy</c:formatCode>
                <c:ptCount val="25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numCache>
            </c:numRef>
          </c:cat>
          <c:val>
            <c:numRef>
              <c:f>ADP!$B$6:$B$263</c:f>
              <c:numCache>
                <c:formatCode>0.00</c:formatCode>
                <c:ptCount val="258"/>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numCache>
            </c:numRef>
          </c:val>
          <c:smooth val="0"/>
          <c:extLst>
            <c:ext xmlns:c16="http://schemas.microsoft.com/office/drawing/2014/chart" uri="{C3380CC4-5D6E-409C-BE32-E72D297353CC}">
              <c16:uniqueId val="{00000000-60A8-9045-A6E9-05326C22DF72}"/>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ADP!$A$6:$A$263</c:f>
              <c:numCache>
                <c:formatCode>m/d/yy</c:formatCode>
                <c:ptCount val="25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numCache>
            </c:numRef>
          </c:cat>
          <c:val>
            <c:numRef>
              <c:f>ADP!$C$6:$C$263</c:f>
              <c:numCache>
                <c:formatCode>0.00</c:formatCode>
                <c:ptCount val="258"/>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315</c:v>
                </c:pt>
                <c:pt idx="255">
                  <c:v>263</c:v>
                </c:pt>
                <c:pt idx="256">
                  <c:v>263</c:v>
                </c:pt>
                <c:pt idx="257">
                  <c:v>263</c:v>
                </c:pt>
              </c:numCache>
            </c:numRef>
          </c:val>
          <c:smooth val="0"/>
          <c:extLst>
            <c:ext xmlns:c16="http://schemas.microsoft.com/office/drawing/2014/chart" uri="{C3380CC4-5D6E-409C-BE32-E72D297353CC}">
              <c16:uniqueId val="{00000001-60A8-9045-A6E9-05326C22DF72}"/>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137584</xdr:rowOff>
    </xdr:from>
    <xdr:to>
      <xdr:col>23</xdr:col>
      <xdr:colOff>179918</xdr:colOff>
      <xdr:row>975</xdr:row>
      <xdr:rowOff>148167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214839</xdr:colOff>
      <xdr:row>976</xdr:row>
      <xdr:rowOff>52916</xdr:rowOff>
    </xdr:from>
    <xdr:to>
      <xdr:col>23</xdr:col>
      <xdr:colOff>190500</xdr:colOff>
      <xdr:row>1006</xdr:row>
      <xdr:rowOff>169334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21</xdr:col>
      <xdr:colOff>381000</xdr:colOff>
      <xdr:row>1043</xdr:row>
      <xdr:rowOff>52916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179915</xdr:colOff>
      <xdr:row>1044</xdr:row>
      <xdr:rowOff>14818</xdr:rowOff>
    </xdr:from>
    <xdr:to>
      <xdr:col>21</xdr:col>
      <xdr:colOff>370416</xdr:colOff>
      <xdr:row>1076</xdr:row>
      <xdr:rowOff>10584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19</xdr:col>
      <xdr:colOff>332154</xdr:colOff>
      <xdr:row>2903</xdr:row>
      <xdr:rowOff>166077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244231</xdr:colOff>
      <xdr:row>237</xdr:row>
      <xdr:rowOff>181706</xdr:rowOff>
    </xdr:from>
    <xdr:to>
      <xdr:col>14</xdr:col>
      <xdr:colOff>329957</xdr:colOff>
      <xdr:row>260</xdr:row>
      <xdr:rowOff>95981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6" totalsRowShown="0" headerRowDxfId="21" dataDxfId="20">
  <autoFilter ref="A11:F1016"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3" totalsRowShown="0" headerRowDxfId="6" dataDxfId="5">
  <autoFilter ref="A5:C263"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20" sqref="P20"/>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45" width="9.1640625" style="59" customWidth="1"/>
    <col min="46"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44743</v>
      </c>
      <c r="Q14" s="37">
        <f>DATE(YEAR(P14),MONTH(P14)-1,DAY(P14))</f>
        <v>44713</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152440</v>
      </c>
      <c r="Q16" s="41">
        <f>VLOOKUP($Q$14,Database!A:D,MATCH(Note!S16,Database!A1:D1,),)</f>
        <v>151903</v>
      </c>
      <c r="R16" s="44">
        <f>P16-Q16</f>
        <v>537</v>
      </c>
      <c r="S16" s="42" t="s">
        <v>16</v>
      </c>
    </row>
    <row r="17" spans="2:19" x14ac:dyDescent="0.2">
      <c r="B17" s="4" t="s">
        <v>16</v>
      </c>
      <c r="G17" s="59" t="s">
        <v>17</v>
      </c>
      <c r="N17" s="69" t="s">
        <v>18</v>
      </c>
      <c r="O17" s="66"/>
      <c r="P17" s="50">
        <f>VLOOKUP($P$14,Database!A:D,MATCH(Note!S17,Database!A1:D1,),)</f>
        <v>3.5</v>
      </c>
      <c r="Q17" s="50">
        <f>VLOOKUP($Q$14,Database!A:D,MATCH(Note!S17,Database!A1:D1,),)</f>
        <v>3.6</v>
      </c>
      <c r="R17" s="51">
        <f>P17-Q17</f>
        <v>-0.10000000000000009</v>
      </c>
      <c r="S17" s="43" t="s">
        <v>19</v>
      </c>
    </row>
    <row r="18" spans="2:19" ht="16" customHeight="1" thickBot="1" x14ac:dyDescent="0.25">
      <c r="B18" s="4" t="s">
        <v>19</v>
      </c>
      <c r="G18" s="59" t="s">
        <v>20</v>
      </c>
      <c r="N18" s="70" t="s">
        <v>21</v>
      </c>
      <c r="O18" s="71"/>
      <c r="P18" s="52">
        <f>VLOOKUP($P$14,Database!A:D,MATCH(Note!S18,Database!A1:D1,),)</f>
        <v>62.1</v>
      </c>
      <c r="Q18" s="52">
        <f>VLOOKUP($Q$14,Database!A:D,MATCH(Note!S18,Database!A1:D1,),)</f>
        <v>62.2</v>
      </c>
      <c r="R18" s="53">
        <f>P18-Q18</f>
        <v>-0.10000000000000142</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6"/>
  <sheetViews>
    <sheetView zoomScale="160" zoomScaleNormal="160" workbookViewId="0">
      <pane ySplit="1" topLeftCell="A988"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145628</v>
      </c>
      <c r="D938">
        <v>4.7</v>
      </c>
    </row>
    <row r="939" spans="1:4" x14ac:dyDescent="0.2">
      <c r="A939" s="61">
        <v>42767</v>
      </c>
      <c r="B939">
        <v>62.9</v>
      </c>
      <c r="C939">
        <v>145818</v>
      </c>
      <c r="D939">
        <v>4.5999999999999996</v>
      </c>
    </row>
    <row r="940" spans="1:4" x14ac:dyDescent="0.2">
      <c r="A940" s="61">
        <v>42795</v>
      </c>
      <c r="B940">
        <v>62.9</v>
      </c>
      <c r="C940">
        <v>145960</v>
      </c>
      <c r="D940">
        <v>4.4000000000000004</v>
      </c>
    </row>
    <row r="941" spans="1:4" x14ac:dyDescent="0.2">
      <c r="A941" s="61">
        <v>42826</v>
      </c>
      <c r="B941">
        <v>63</v>
      </c>
      <c r="C941">
        <v>146165</v>
      </c>
      <c r="D941">
        <v>4.4000000000000004</v>
      </c>
    </row>
    <row r="942" spans="1:4" x14ac:dyDescent="0.2">
      <c r="A942" s="61">
        <v>42856</v>
      </c>
      <c r="B942">
        <v>62.8</v>
      </c>
      <c r="C942">
        <v>146388</v>
      </c>
      <c r="D942">
        <v>4.4000000000000004</v>
      </c>
    </row>
    <row r="943" spans="1:4" x14ac:dyDescent="0.2">
      <c r="A943" s="61">
        <v>42887</v>
      </c>
      <c r="B943">
        <v>62.8</v>
      </c>
      <c r="C943">
        <v>146585</v>
      </c>
      <c r="D943">
        <v>4.3</v>
      </c>
    </row>
    <row r="944" spans="1:4" x14ac:dyDescent="0.2">
      <c r="A944" s="61">
        <v>42917</v>
      </c>
      <c r="B944">
        <v>62.9</v>
      </c>
      <c r="C944">
        <v>146768</v>
      </c>
      <c r="D944">
        <v>4.3</v>
      </c>
    </row>
    <row r="945" spans="1:4" x14ac:dyDescent="0.2">
      <c r="A945" s="61">
        <v>42948</v>
      </c>
      <c r="B945">
        <v>62.9</v>
      </c>
      <c r="C945">
        <v>146913</v>
      </c>
      <c r="D945">
        <v>4.4000000000000004</v>
      </c>
    </row>
    <row r="946" spans="1:4" x14ac:dyDescent="0.2">
      <c r="A946" s="61">
        <v>42979</v>
      </c>
      <c r="B946">
        <v>63.1</v>
      </c>
      <c r="C946">
        <v>147012</v>
      </c>
      <c r="D946">
        <v>4.3</v>
      </c>
    </row>
    <row r="947" spans="1:4" x14ac:dyDescent="0.2">
      <c r="A947" s="61">
        <v>43009</v>
      </c>
      <c r="B947">
        <v>62.7</v>
      </c>
      <c r="C947">
        <v>147153</v>
      </c>
      <c r="D947">
        <v>4.2</v>
      </c>
    </row>
    <row r="948" spans="1:4" x14ac:dyDescent="0.2">
      <c r="A948" s="61">
        <v>43040</v>
      </c>
      <c r="B948">
        <v>62.7</v>
      </c>
      <c r="C948">
        <v>147353</v>
      </c>
      <c r="D948">
        <v>4.2</v>
      </c>
    </row>
    <row r="949" spans="1:4" x14ac:dyDescent="0.2">
      <c r="A949" s="61">
        <v>43070</v>
      </c>
      <c r="B949">
        <v>62.7</v>
      </c>
      <c r="C949">
        <v>147529</v>
      </c>
      <c r="D949">
        <v>4.0999999999999996</v>
      </c>
    </row>
    <row r="950" spans="1:4" x14ac:dyDescent="0.2">
      <c r="A950" s="61">
        <v>43101</v>
      </c>
      <c r="B950">
        <v>62.7</v>
      </c>
      <c r="C950">
        <v>147662</v>
      </c>
      <c r="D950">
        <v>4</v>
      </c>
    </row>
    <row r="951" spans="1:4" x14ac:dyDescent="0.2">
      <c r="A951" s="61">
        <v>43132</v>
      </c>
      <c r="B951">
        <v>63</v>
      </c>
      <c r="C951">
        <v>148064</v>
      </c>
      <c r="D951">
        <v>4.0999999999999996</v>
      </c>
    </row>
    <row r="952" spans="1:4" x14ac:dyDescent="0.2">
      <c r="A952" s="61">
        <v>43160</v>
      </c>
      <c r="B952">
        <v>62.9</v>
      </c>
      <c r="C952">
        <v>148289</v>
      </c>
      <c r="D952">
        <v>4</v>
      </c>
    </row>
    <row r="953" spans="1:4" x14ac:dyDescent="0.2">
      <c r="A953" s="61">
        <v>43191</v>
      </c>
      <c r="B953">
        <v>62.9</v>
      </c>
      <c r="C953">
        <v>148468</v>
      </c>
      <c r="D953">
        <v>4</v>
      </c>
    </row>
    <row r="954" spans="1:4" x14ac:dyDescent="0.2">
      <c r="A954" s="61">
        <v>43221</v>
      </c>
      <c r="B954">
        <v>62.9</v>
      </c>
      <c r="C954">
        <v>148801</v>
      </c>
      <c r="D954">
        <v>3.8</v>
      </c>
    </row>
    <row r="955" spans="1:4" x14ac:dyDescent="0.2">
      <c r="A955" s="61">
        <v>43252</v>
      </c>
      <c r="B955">
        <v>62.9</v>
      </c>
      <c r="C955">
        <v>148984</v>
      </c>
      <c r="D955">
        <v>4</v>
      </c>
    </row>
    <row r="956" spans="1:4" x14ac:dyDescent="0.2">
      <c r="A956" s="61">
        <v>43282</v>
      </c>
      <c r="B956">
        <v>62.9</v>
      </c>
      <c r="C956">
        <v>149050</v>
      </c>
      <c r="D956">
        <v>3.8</v>
      </c>
    </row>
    <row r="957" spans="1:4" x14ac:dyDescent="0.2">
      <c r="A957" s="61">
        <v>43313</v>
      </c>
      <c r="B957">
        <v>62.7</v>
      </c>
      <c r="C957">
        <v>149269</v>
      </c>
      <c r="D957">
        <v>3.8</v>
      </c>
    </row>
    <row r="958" spans="1:4" x14ac:dyDescent="0.2">
      <c r="A958" s="61">
        <v>43344</v>
      </c>
      <c r="B958">
        <v>62.7</v>
      </c>
      <c r="C958">
        <v>149326</v>
      </c>
      <c r="D958">
        <v>3.7</v>
      </c>
    </row>
    <row r="959" spans="1:4" x14ac:dyDescent="0.2">
      <c r="A959" s="61">
        <v>43374</v>
      </c>
      <c r="B959">
        <v>62.9</v>
      </c>
      <c r="C959">
        <v>149471</v>
      </c>
      <c r="D959">
        <v>3.8</v>
      </c>
    </row>
    <row r="960" spans="1:4" x14ac:dyDescent="0.2">
      <c r="A960" s="61">
        <v>43405</v>
      </c>
      <c r="B960">
        <v>62.9</v>
      </c>
      <c r="C960">
        <v>149573</v>
      </c>
      <c r="D960">
        <v>3.8</v>
      </c>
    </row>
    <row r="961" spans="1:4" x14ac:dyDescent="0.2">
      <c r="A961" s="61">
        <v>43435</v>
      </c>
      <c r="B961">
        <v>63</v>
      </c>
      <c r="C961">
        <v>149821</v>
      </c>
      <c r="D961">
        <v>3.9</v>
      </c>
    </row>
    <row r="962" spans="1:4" x14ac:dyDescent="0.2">
      <c r="A962" s="61">
        <v>43466</v>
      </c>
      <c r="B962">
        <v>63.1</v>
      </c>
      <c r="C962">
        <v>150100</v>
      </c>
      <c r="D962">
        <v>4</v>
      </c>
    </row>
    <row r="963" spans="1:4" x14ac:dyDescent="0.2">
      <c r="A963" s="61">
        <v>43497</v>
      </c>
      <c r="B963">
        <v>63.1</v>
      </c>
      <c r="C963">
        <v>150124</v>
      </c>
      <c r="D963">
        <v>3.8</v>
      </c>
    </row>
    <row r="964" spans="1:4" x14ac:dyDescent="0.2">
      <c r="A964" s="61">
        <v>43525</v>
      </c>
      <c r="B964">
        <v>63.1</v>
      </c>
      <c r="C964">
        <v>150348</v>
      </c>
      <c r="D964">
        <v>3.8</v>
      </c>
    </row>
    <row r="965" spans="1:4" x14ac:dyDescent="0.2">
      <c r="A965" s="61">
        <v>43556</v>
      </c>
      <c r="B965">
        <v>62.9</v>
      </c>
      <c r="C965">
        <v>150636</v>
      </c>
      <c r="D965">
        <v>3.6</v>
      </c>
    </row>
    <row r="966" spans="1:4" x14ac:dyDescent="0.2">
      <c r="A966" s="61">
        <v>43586</v>
      </c>
      <c r="B966">
        <v>62.9</v>
      </c>
      <c r="C966">
        <v>150713</v>
      </c>
      <c r="D966">
        <v>3.6</v>
      </c>
    </row>
    <row r="967" spans="1:4" x14ac:dyDescent="0.2">
      <c r="A967" s="61">
        <v>43617</v>
      </c>
      <c r="B967">
        <v>62.9</v>
      </c>
      <c r="C967">
        <v>150843</v>
      </c>
      <c r="D967">
        <v>3.6</v>
      </c>
    </row>
    <row r="968" spans="1:4" x14ac:dyDescent="0.2">
      <c r="A968" s="61">
        <v>43647</v>
      </c>
      <c r="B968">
        <v>63.1</v>
      </c>
      <c r="C968">
        <v>150921</v>
      </c>
      <c r="D968">
        <v>3.7</v>
      </c>
    </row>
    <row r="969" spans="1:4" x14ac:dyDescent="0.2">
      <c r="A969" s="61">
        <v>43678</v>
      </c>
      <c r="B969">
        <v>63.1</v>
      </c>
      <c r="C969">
        <v>151081</v>
      </c>
      <c r="D969">
        <v>3.7</v>
      </c>
    </row>
    <row r="970" spans="1:4" x14ac:dyDescent="0.2">
      <c r="A970" s="61">
        <v>43709</v>
      </c>
      <c r="B970">
        <v>63.2</v>
      </c>
      <c r="C970">
        <v>151244</v>
      </c>
      <c r="D970">
        <v>3.5</v>
      </c>
    </row>
    <row r="971" spans="1:4" x14ac:dyDescent="0.2">
      <c r="A971" s="61">
        <v>43739</v>
      </c>
      <c r="B971">
        <v>63.2</v>
      </c>
      <c r="C971">
        <v>151337</v>
      </c>
      <c r="D971">
        <v>3.6</v>
      </c>
    </row>
    <row r="972" spans="1:4" x14ac:dyDescent="0.2">
      <c r="A972" s="61">
        <v>43770</v>
      </c>
      <c r="B972">
        <v>63.2</v>
      </c>
      <c r="C972">
        <v>151589</v>
      </c>
      <c r="D972">
        <v>3.6</v>
      </c>
    </row>
    <row r="973" spans="1:4" x14ac:dyDescent="0.2">
      <c r="A973" s="61">
        <v>43800</v>
      </c>
      <c r="B973">
        <v>63.3</v>
      </c>
      <c r="C973">
        <v>151789</v>
      </c>
      <c r="D973">
        <v>3.6</v>
      </c>
    </row>
    <row r="974" spans="1:4" x14ac:dyDescent="0.2">
      <c r="A974" s="61">
        <v>43831</v>
      </c>
      <c r="B974">
        <v>63.4</v>
      </c>
      <c r="C974">
        <v>152128</v>
      </c>
      <c r="D974">
        <v>3.5</v>
      </c>
    </row>
    <row r="975" spans="1:4" x14ac:dyDescent="0.2">
      <c r="A975" s="61">
        <v>43862</v>
      </c>
      <c r="B975">
        <v>63.4</v>
      </c>
      <c r="C975">
        <v>152504</v>
      </c>
      <c r="D975">
        <v>3.5</v>
      </c>
    </row>
    <row r="976" spans="1:4" x14ac:dyDescent="0.2">
      <c r="A976" s="61">
        <v>43891</v>
      </c>
      <c r="B976">
        <v>62.7</v>
      </c>
      <c r="C976">
        <v>151006</v>
      </c>
      <c r="D976">
        <v>4.4000000000000004</v>
      </c>
    </row>
    <row r="977" spans="1:4" x14ac:dyDescent="0.2">
      <c r="A977" s="61">
        <v>43922</v>
      </c>
      <c r="B977">
        <v>60.2</v>
      </c>
      <c r="C977">
        <v>130513</v>
      </c>
      <c r="D977">
        <v>14.7</v>
      </c>
    </row>
    <row r="978" spans="1:4" x14ac:dyDescent="0.2">
      <c r="A978" s="61">
        <v>43952</v>
      </c>
      <c r="B978">
        <v>60.8</v>
      </c>
      <c r="C978">
        <v>133155</v>
      </c>
      <c r="D978">
        <v>13.2</v>
      </c>
    </row>
    <row r="979" spans="1:4" x14ac:dyDescent="0.2">
      <c r="A979" s="61">
        <v>43983</v>
      </c>
      <c r="B979">
        <v>61.4</v>
      </c>
      <c r="C979">
        <v>137660</v>
      </c>
      <c r="D979">
        <v>11</v>
      </c>
    </row>
    <row r="980" spans="1:4" x14ac:dyDescent="0.2">
      <c r="A980" s="61">
        <v>44013</v>
      </c>
      <c r="B980">
        <v>61.5</v>
      </c>
      <c r="C980">
        <v>139048</v>
      </c>
      <c r="D980">
        <v>10.199999999999999</v>
      </c>
    </row>
    <row r="981" spans="1:4" x14ac:dyDescent="0.2">
      <c r="A981" s="61">
        <v>44044</v>
      </c>
      <c r="B981">
        <v>61.7</v>
      </c>
      <c r="C981">
        <v>140713</v>
      </c>
      <c r="D981">
        <v>8.4</v>
      </c>
    </row>
    <row r="982" spans="1:4" x14ac:dyDescent="0.2">
      <c r="A982" s="61">
        <v>44075</v>
      </c>
      <c r="B982">
        <v>61.4</v>
      </c>
      <c r="C982">
        <v>141632</v>
      </c>
      <c r="D982">
        <v>7.9</v>
      </c>
    </row>
    <row r="983" spans="1:4" x14ac:dyDescent="0.2">
      <c r="A983" s="61">
        <v>44105</v>
      </c>
      <c r="B983">
        <v>61.6</v>
      </c>
      <c r="C983">
        <v>142279</v>
      </c>
      <c r="D983">
        <v>6.9</v>
      </c>
    </row>
    <row r="984" spans="1:4" x14ac:dyDescent="0.2">
      <c r="A984" s="61">
        <v>44136</v>
      </c>
      <c r="B984">
        <v>61.5</v>
      </c>
      <c r="C984">
        <v>142612</v>
      </c>
      <c r="D984">
        <v>6.7</v>
      </c>
    </row>
    <row r="985" spans="1:4" x14ac:dyDescent="0.2">
      <c r="A985" s="61">
        <v>44166</v>
      </c>
      <c r="B985">
        <v>61.5</v>
      </c>
      <c r="C985">
        <v>142497</v>
      </c>
      <c r="D985">
        <v>6.7</v>
      </c>
    </row>
    <row r="986" spans="1:4" x14ac:dyDescent="0.2">
      <c r="A986" s="61">
        <v>44197</v>
      </c>
      <c r="B986">
        <v>61.4</v>
      </c>
      <c r="C986">
        <v>143017</v>
      </c>
      <c r="D986">
        <v>6.4</v>
      </c>
    </row>
    <row r="987" spans="1:4" x14ac:dyDescent="0.2">
      <c r="A987" s="61">
        <v>44228</v>
      </c>
      <c r="B987">
        <v>61.5</v>
      </c>
      <c r="C987">
        <v>143727</v>
      </c>
      <c r="D987">
        <v>6.2</v>
      </c>
    </row>
    <row r="988" spans="1:4" x14ac:dyDescent="0.2">
      <c r="A988" s="61">
        <v>44256</v>
      </c>
      <c r="B988">
        <v>61.5</v>
      </c>
      <c r="C988">
        <v>144431</v>
      </c>
      <c r="D988">
        <v>6</v>
      </c>
    </row>
    <row r="989" spans="1:4" x14ac:dyDescent="0.2">
      <c r="A989" s="61">
        <v>44287</v>
      </c>
      <c r="B989">
        <v>61.7</v>
      </c>
      <c r="C989">
        <v>144694</v>
      </c>
      <c r="D989">
        <v>6</v>
      </c>
    </row>
    <row r="990" spans="1:4" x14ac:dyDescent="0.2">
      <c r="A990" s="61">
        <v>44317</v>
      </c>
      <c r="B990">
        <v>61.6</v>
      </c>
      <c r="C990">
        <v>145141</v>
      </c>
      <c r="D990">
        <v>5.8</v>
      </c>
    </row>
    <row r="991" spans="1:4" x14ac:dyDescent="0.2">
      <c r="A991" s="61">
        <v>44348</v>
      </c>
      <c r="B991">
        <v>61.6</v>
      </c>
      <c r="C991">
        <v>145698</v>
      </c>
      <c r="D991">
        <v>5.9</v>
      </c>
    </row>
    <row r="992" spans="1:4" x14ac:dyDescent="0.2">
      <c r="A992" s="61">
        <v>44378</v>
      </c>
      <c r="B992">
        <v>61.7</v>
      </c>
      <c r="C992">
        <v>146387</v>
      </c>
      <c r="D992">
        <v>5.4</v>
      </c>
    </row>
    <row r="993" spans="1:4" x14ac:dyDescent="0.2">
      <c r="A993" s="61">
        <v>44409</v>
      </c>
      <c r="B993">
        <v>61.7</v>
      </c>
      <c r="C993">
        <v>146904</v>
      </c>
      <c r="D993">
        <v>5.2</v>
      </c>
    </row>
    <row r="994" spans="1:4" x14ac:dyDescent="0.2">
      <c r="A994" s="61">
        <v>44440</v>
      </c>
      <c r="B994">
        <v>61.7</v>
      </c>
      <c r="C994">
        <v>147328</v>
      </c>
      <c r="D994">
        <v>4.7</v>
      </c>
    </row>
    <row r="995" spans="1:4" x14ac:dyDescent="0.2">
      <c r="A995" s="61">
        <v>44470</v>
      </c>
      <c r="B995">
        <v>61.7</v>
      </c>
      <c r="C995">
        <v>148005</v>
      </c>
      <c r="D995">
        <v>4.5999999999999996</v>
      </c>
    </row>
    <row r="996" spans="1:4" x14ac:dyDescent="0.2">
      <c r="A996" s="61">
        <v>44501</v>
      </c>
      <c r="B996">
        <v>61.9</v>
      </c>
      <c r="C996">
        <v>148652</v>
      </c>
      <c r="D996">
        <v>4.2</v>
      </c>
    </row>
    <row r="997" spans="1:4" x14ac:dyDescent="0.2">
      <c r="A997" s="61">
        <v>44531</v>
      </c>
      <c r="B997">
        <v>61.9</v>
      </c>
      <c r="C997">
        <v>149240</v>
      </c>
      <c r="D997">
        <v>3.9</v>
      </c>
    </row>
    <row r="998" spans="1:4" x14ac:dyDescent="0.2">
      <c r="A998" s="61">
        <v>44562</v>
      </c>
      <c r="B998">
        <v>62.2</v>
      </c>
      <c r="C998">
        <v>149744</v>
      </c>
      <c r="D998">
        <v>4</v>
      </c>
    </row>
    <row r="999" spans="1:4" x14ac:dyDescent="0.2">
      <c r="A999" s="61">
        <v>44593</v>
      </c>
      <c r="B999">
        <v>62.3</v>
      </c>
      <c r="C999">
        <v>150458</v>
      </c>
      <c r="D999">
        <v>3.8</v>
      </c>
    </row>
    <row r="1000" spans="1:4" x14ac:dyDescent="0.2">
      <c r="A1000" s="61">
        <v>44621</v>
      </c>
      <c r="B1000">
        <v>62.4</v>
      </c>
      <c r="C1000">
        <v>150856</v>
      </c>
      <c r="D1000">
        <v>3.6</v>
      </c>
    </row>
    <row r="1001" spans="1:4" x14ac:dyDescent="0.2">
      <c r="A1001" s="61">
        <v>44652</v>
      </c>
      <c r="B1001">
        <v>62.2</v>
      </c>
      <c r="C1001">
        <v>151224</v>
      </c>
      <c r="D1001">
        <v>3.6</v>
      </c>
    </row>
    <row r="1002" spans="1:4" x14ac:dyDescent="0.2">
      <c r="A1002" s="61">
        <v>44682</v>
      </c>
      <c r="B1002">
        <v>62.3</v>
      </c>
      <c r="C1002">
        <v>151610</v>
      </c>
      <c r="D1002">
        <v>3.6</v>
      </c>
    </row>
    <row r="1003" spans="1:4" x14ac:dyDescent="0.2">
      <c r="A1003" s="61">
        <v>44713</v>
      </c>
      <c r="B1003">
        <v>62.2</v>
      </c>
      <c r="C1003">
        <v>151903</v>
      </c>
      <c r="D1003">
        <v>3.6</v>
      </c>
    </row>
    <row r="1004" spans="1:4" x14ac:dyDescent="0.2">
      <c r="A1004" s="61">
        <v>44743</v>
      </c>
      <c r="B1004">
        <v>62.1</v>
      </c>
      <c r="C1004">
        <v>152440</v>
      </c>
      <c r="D1004">
        <v>3.5</v>
      </c>
    </row>
    <row r="1005" spans="1:4" x14ac:dyDescent="0.2">
      <c r="A1005" s="61">
        <v>44774</v>
      </c>
      <c r="B1005">
        <v>62.4</v>
      </c>
      <c r="C1005">
        <v>152755</v>
      </c>
      <c r="D1005">
        <v>3.7</v>
      </c>
    </row>
    <row r="1006" spans="1:4" x14ac:dyDescent="0.2">
      <c r="A1006" s="61">
        <v>44805</v>
      </c>
      <c r="B1006">
        <v>62.3</v>
      </c>
      <c r="C1006">
        <v>153018</v>
      </c>
      <c r="D1006">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10"/>
  <sheetViews>
    <sheetView zoomScale="170" zoomScaleNormal="170" workbookViewId="0">
      <pane ySplit="1" topLeftCell="A2886" activePane="bottomLeft" state="frozen"/>
      <selection activeCell="A2" sqref="A2"/>
      <selection pane="bottomLeft" activeCell="H2915" sqref="H2915"/>
    </sheetView>
  </sheetViews>
  <sheetFormatPr baseColWidth="10" defaultColWidth="8.83203125" defaultRowHeight="15" x14ac:dyDescent="0.2"/>
  <cols>
    <col min="1" max="1" width="16.33203125" style="49" customWidth="1"/>
    <col min="2" max="2" width="10.6640625" style="49" customWidth="1"/>
    <col min="3" max="26" width="8.83203125" style="49" customWidth="1"/>
    <col min="27"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2080000</v>
      </c>
      <c r="C2611">
        <v>245000</v>
      </c>
    </row>
    <row r="2612" spans="1:3" x14ac:dyDescent="0.2">
      <c r="A2612" s="61">
        <v>42749</v>
      </c>
      <c r="B2612">
        <v>2099000</v>
      </c>
      <c r="C2612">
        <v>240000</v>
      </c>
    </row>
    <row r="2613" spans="1:3" x14ac:dyDescent="0.2">
      <c r="A2613" s="61">
        <v>42756</v>
      </c>
      <c r="B2613">
        <v>2067000</v>
      </c>
      <c r="C2613">
        <v>250000</v>
      </c>
    </row>
    <row r="2614" spans="1:3" x14ac:dyDescent="0.2">
      <c r="A2614" s="61">
        <v>42763</v>
      </c>
      <c r="B2614">
        <v>2078000</v>
      </c>
      <c r="C2614">
        <v>241000</v>
      </c>
    </row>
    <row r="2615" spans="1:3" x14ac:dyDescent="0.2">
      <c r="A2615" s="61">
        <v>42770</v>
      </c>
      <c r="B2615">
        <v>2064000</v>
      </c>
      <c r="C2615">
        <v>230000</v>
      </c>
    </row>
    <row r="2616" spans="1:3" x14ac:dyDescent="0.2">
      <c r="A2616" s="61">
        <v>42777</v>
      </c>
      <c r="B2616">
        <v>2076000</v>
      </c>
      <c r="C2616">
        <v>233000</v>
      </c>
    </row>
    <row r="2617" spans="1:3" x14ac:dyDescent="0.2">
      <c r="A2617" s="61">
        <v>42784</v>
      </c>
      <c r="B2617">
        <v>2034000</v>
      </c>
      <c r="C2617">
        <v>237000</v>
      </c>
    </row>
    <row r="2618" spans="1:3" x14ac:dyDescent="0.2">
      <c r="A2618" s="61">
        <v>42791</v>
      </c>
      <c r="B2618">
        <v>2065000</v>
      </c>
      <c r="C2618">
        <v>221000</v>
      </c>
    </row>
    <row r="2619" spans="1:3" x14ac:dyDescent="0.2">
      <c r="A2619" s="61">
        <v>42798</v>
      </c>
      <c r="B2619">
        <v>2020000</v>
      </c>
      <c r="C2619">
        <v>236000</v>
      </c>
    </row>
    <row r="2620" spans="1:3" x14ac:dyDescent="0.2">
      <c r="A2620" s="61">
        <v>42805</v>
      </c>
      <c r="B2620">
        <v>2002000</v>
      </c>
      <c r="C2620">
        <v>228000</v>
      </c>
    </row>
    <row r="2621" spans="1:3" x14ac:dyDescent="0.2">
      <c r="A2621" s="61">
        <v>42812</v>
      </c>
      <c r="B2621">
        <v>2021000</v>
      </c>
      <c r="C2621">
        <v>235000</v>
      </c>
    </row>
    <row r="2622" spans="1:3" x14ac:dyDescent="0.2">
      <c r="A2622" s="61">
        <v>42819</v>
      </c>
      <c r="B2622">
        <v>2027000</v>
      </c>
      <c r="C2622">
        <v>236000</v>
      </c>
    </row>
    <row r="2623" spans="1:3" x14ac:dyDescent="0.2">
      <c r="A2623" s="61">
        <v>42826</v>
      </c>
      <c r="B2623">
        <v>1990000</v>
      </c>
      <c r="C2623">
        <v>216000</v>
      </c>
    </row>
    <row r="2624" spans="1:3" x14ac:dyDescent="0.2">
      <c r="A2624" s="61">
        <v>42833</v>
      </c>
      <c r="B2624">
        <v>1968000</v>
      </c>
      <c r="C2624">
        <v>222000</v>
      </c>
    </row>
    <row r="2625" spans="1:3" x14ac:dyDescent="0.2">
      <c r="A2625" s="61">
        <v>42840</v>
      </c>
      <c r="B2625">
        <v>1961000</v>
      </c>
      <c r="C2625">
        <v>231000</v>
      </c>
    </row>
    <row r="2626" spans="1:3" x14ac:dyDescent="0.2">
      <c r="A2626" s="61">
        <v>42847</v>
      </c>
      <c r="B2626">
        <v>1962000</v>
      </c>
      <c r="C2626">
        <v>238000</v>
      </c>
    </row>
    <row r="2627" spans="1:3" x14ac:dyDescent="0.2">
      <c r="A2627" s="61">
        <v>42854</v>
      </c>
      <c r="B2627">
        <v>1896000</v>
      </c>
      <c r="C2627">
        <v>232000</v>
      </c>
    </row>
    <row r="2628" spans="1:3" x14ac:dyDescent="0.2">
      <c r="A2628" s="61">
        <v>42861</v>
      </c>
      <c r="B2628">
        <v>1892000</v>
      </c>
      <c r="C2628">
        <v>233000</v>
      </c>
    </row>
    <row r="2629" spans="1:3" x14ac:dyDescent="0.2">
      <c r="A2629" s="61">
        <v>42868</v>
      </c>
      <c r="B2629">
        <v>1902000</v>
      </c>
      <c r="C2629">
        <v>234000</v>
      </c>
    </row>
    <row r="2630" spans="1:3" x14ac:dyDescent="0.2">
      <c r="A2630" s="61">
        <v>42875</v>
      </c>
      <c r="B2630">
        <v>1900000</v>
      </c>
      <c r="C2630">
        <v>236000</v>
      </c>
    </row>
    <row r="2631" spans="1:3" x14ac:dyDescent="0.2">
      <c r="A2631" s="61">
        <v>42882</v>
      </c>
      <c r="B2631">
        <v>1891000</v>
      </c>
      <c r="C2631">
        <v>253000</v>
      </c>
    </row>
    <row r="2632" spans="1:3" x14ac:dyDescent="0.2">
      <c r="A2632" s="61">
        <v>42889</v>
      </c>
      <c r="B2632">
        <v>1909000</v>
      </c>
      <c r="C2632">
        <v>251000</v>
      </c>
    </row>
    <row r="2633" spans="1:3" x14ac:dyDescent="0.2">
      <c r="A2633" s="61">
        <v>42896</v>
      </c>
      <c r="B2633">
        <v>1914000</v>
      </c>
      <c r="C2633">
        <v>245000</v>
      </c>
    </row>
    <row r="2634" spans="1:3" x14ac:dyDescent="0.2">
      <c r="A2634" s="61">
        <v>42903</v>
      </c>
      <c r="B2634">
        <v>1915000</v>
      </c>
      <c r="C2634">
        <v>249000</v>
      </c>
    </row>
    <row r="2635" spans="1:3" x14ac:dyDescent="0.2">
      <c r="A2635" s="61">
        <v>42910</v>
      </c>
      <c r="B2635">
        <v>1929000</v>
      </c>
      <c r="C2635">
        <v>247000</v>
      </c>
    </row>
    <row r="2636" spans="1:3" x14ac:dyDescent="0.2">
      <c r="A2636" s="61">
        <v>42917</v>
      </c>
      <c r="B2636">
        <v>1911000</v>
      </c>
      <c r="C2636">
        <v>256000</v>
      </c>
    </row>
    <row r="2637" spans="1:3" x14ac:dyDescent="0.2">
      <c r="A2637" s="61">
        <v>42924</v>
      </c>
      <c r="B2637">
        <v>1942000</v>
      </c>
      <c r="C2637">
        <v>259000</v>
      </c>
    </row>
    <row r="2638" spans="1:3" x14ac:dyDescent="0.2">
      <c r="A2638" s="61">
        <v>42931</v>
      </c>
      <c r="B2638">
        <v>1929000</v>
      </c>
      <c r="C2638">
        <v>245000</v>
      </c>
    </row>
    <row r="2639" spans="1:3" x14ac:dyDescent="0.2">
      <c r="A2639" s="61">
        <v>42938</v>
      </c>
      <c r="B2639">
        <v>1928000</v>
      </c>
      <c r="C2639">
        <v>249000</v>
      </c>
    </row>
    <row r="2640" spans="1:3" x14ac:dyDescent="0.2">
      <c r="A2640" s="61">
        <v>42945</v>
      </c>
      <c r="B2640">
        <v>1926000</v>
      </c>
      <c r="C2640">
        <v>245000</v>
      </c>
    </row>
    <row r="2641" spans="1:3" x14ac:dyDescent="0.2">
      <c r="A2641" s="61">
        <v>42952</v>
      </c>
      <c r="B2641">
        <v>1928000</v>
      </c>
      <c r="C2641">
        <v>254000</v>
      </c>
    </row>
    <row r="2642" spans="1:3" x14ac:dyDescent="0.2">
      <c r="A2642" s="61">
        <v>42959</v>
      </c>
      <c r="B2642">
        <v>1926000</v>
      </c>
      <c r="C2642">
        <v>245000</v>
      </c>
    </row>
    <row r="2643" spans="1:3" x14ac:dyDescent="0.2">
      <c r="A2643" s="61">
        <v>42966</v>
      </c>
      <c r="B2643">
        <v>1928000</v>
      </c>
      <c r="C2643">
        <v>245000</v>
      </c>
    </row>
    <row r="2644" spans="1:3" x14ac:dyDescent="0.2">
      <c r="A2644" s="61">
        <v>42973</v>
      </c>
      <c r="B2644">
        <v>1912000</v>
      </c>
      <c r="C2644">
        <v>247000</v>
      </c>
    </row>
    <row r="2645" spans="1:3" x14ac:dyDescent="0.2">
      <c r="A2645" s="61">
        <v>42980</v>
      </c>
      <c r="B2645">
        <v>1911000</v>
      </c>
      <c r="C2645">
        <v>297000</v>
      </c>
    </row>
    <row r="2646" spans="1:3" x14ac:dyDescent="0.2">
      <c r="A2646" s="61">
        <v>42987</v>
      </c>
      <c r="B2646">
        <v>1939000</v>
      </c>
      <c r="C2646">
        <v>280000</v>
      </c>
    </row>
    <row r="2647" spans="1:3" x14ac:dyDescent="0.2">
      <c r="A2647" s="61">
        <v>42994</v>
      </c>
      <c r="B2647">
        <v>1872000</v>
      </c>
      <c r="C2647">
        <v>261000</v>
      </c>
    </row>
    <row r="2648" spans="1:3" x14ac:dyDescent="0.2">
      <c r="A2648" s="61">
        <v>43001</v>
      </c>
      <c r="B2648">
        <v>1871000</v>
      </c>
      <c r="C2648">
        <v>264000</v>
      </c>
    </row>
    <row r="2649" spans="1:3" x14ac:dyDescent="0.2">
      <c r="A2649" s="61">
        <v>43008</v>
      </c>
      <c r="B2649">
        <v>1871000</v>
      </c>
      <c r="C2649">
        <v>260000</v>
      </c>
    </row>
    <row r="2650" spans="1:3" x14ac:dyDescent="0.2">
      <c r="A2650" s="61">
        <v>43015</v>
      </c>
      <c r="B2650">
        <v>1869000</v>
      </c>
      <c r="C2650">
        <v>252000</v>
      </c>
    </row>
    <row r="2651" spans="1:3" x14ac:dyDescent="0.2">
      <c r="A2651" s="61">
        <v>43022</v>
      </c>
      <c r="B2651">
        <v>1902000</v>
      </c>
      <c r="C2651">
        <v>235000</v>
      </c>
    </row>
    <row r="2652" spans="1:3" x14ac:dyDescent="0.2">
      <c r="A2652" s="61">
        <v>43029</v>
      </c>
      <c r="B2652">
        <v>1913000</v>
      </c>
      <c r="C2652">
        <v>241000</v>
      </c>
    </row>
    <row r="2653" spans="1:3" x14ac:dyDescent="0.2">
      <c r="A2653" s="61">
        <v>43036</v>
      </c>
      <c r="B2653">
        <v>1927000</v>
      </c>
      <c r="C2653">
        <v>241000</v>
      </c>
    </row>
    <row r="2654" spans="1:3" x14ac:dyDescent="0.2">
      <c r="A2654" s="61">
        <v>43043</v>
      </c>
      <c r="B2654">
        <v>1939000</v>
      </c>
      <c r="C2654">
        <v>248000</v>
      </c>
    </row>
    <row r="2655" spans="1:3" x14ac:dyDescent="0.2">
      <c r="A2655" s="61">
        <v>43050</v>
      </c>
      <c r="B2655">
        <v>1944000</v>
      </c>
      <c r="C2655">
        <v>254000</v>
      </c>
    </row>
    <row r="2656" spans="1:3" x14ac:dyDescent="0.2">
      <c r="A2656" s="61">
        <v>43057</v>
      </c>
      <c r="B2656">
        <v>1974000</v>
      </c>
      <c r="C2656">
        <v>246000</v>
      </c>
    </row>
    <row r="2657" spans="1:3" x14ac:dyDescent="0.2">
      <c r="A2657" s="61">
        <v>43064</v>
      </c>
      <c r="B2657">
        <v>1997000</v>
      </c>
      <c r="C2657">
        <v>243000</v>
      </c>
    </row>
    <row r="2658" spans="1:3" x14ac:dyDescent="0.2">
      <c r="A2658" s="61">
        <v>43071</v>
      </c>
      <c r="B2658">
        <v>1953000</v>
      </c>
      <c r="C2658">
        <v>241000</v>
      </c>
    </row>
    <row r="2659" spans="1:3" x14ac:dyDescent="0.2">
      <c r="A2659" s="61">
        <v>43078</v>
      </c>
      <c r="B2659">
        <v>1984000</v>
      </c>
      <c r="C2659">
        <v>229000</v>
      </c>
    </row>
    <row r="2660" spans="1:3" x14ac:dyDescent="0.2">
      <c r="A2660" s="61">
        <v>43085</v>
      </c>
      <c r="B2660">
        <v>2006000</v>
      </c>
      <c r="C2660">
        <v>244000</v>
      </c>
    </row>
    <row r="2661" spans="1:3" x14ac:dyDescent="0.2">
      <c r="A2661" s="61">
        <v>43092</v>
      </c>
      <c r="B2661">
        <v>1979000</v>
      </c>
      <c r="C2661">
        <v>251000</v>
      </c>
    </row>
    <row r="2662" spans="1:3" x14ac:dyDescent="0.2">
      <c r="A2662" s="61">
        <v>43099</v>
      </c>
      <c r="B2662">
        <v>1933000</v>
      </c>
      <c r="C2662">
        <v>248000</v>
      </c>
    </row>
    <row r="2663" spans="1:3" x14ac:dyDescent="0.2">
      <c r="A2663" s="61">
        <v>43106</v>
      </c>
      <c r="B2663">
        <v>1971000</v>
      </c>
      <c r="C2663">
        <v>252000</v>
      </c>
    </row>
    <row r="2664" spans="1:3" x14ac:dyDescent="0.2">
      <c r="A2664" s="61">
        <v>43113</v>
      </c>
      <c r="B2664">
        <v>1957000</v>
      </c>
      <c r="C2664">
        <v>224000</v>
      </c>
    </row>
    <row r="2665" spans="1:3" x14ac:dyDescent="0.2">
      <c r="A2665" s="61">
        <v>43120</v>
      </c>
      <c r="B2665">
        <v>1975000</v>
      </c>
      <c r="C2665">
        <v>227000</v>
      </c>
    </row>
    <row r="2666" spans="1:3" x14ac:dyDescent="0.2">
      <c r="A2666" s="61">
        <v>43127</v>
      </c>
      <c r="B2666">
        <v>1943000</v>
      </c>
      <c r="C2666">
        <v>223000</v>
      </c>
    </row>
    <row r="2667" spans="1:3" x14ac:dyDescent="0.2">
      <c r="A2667" s="61">
        <v>43134</v>
      </c>
      <c r="B2667">
        <v>1954000</v>
      </c>
      <c r="C2667">
        <v>213000</v>
      </c>
    </row>
    <row r="2668" spans="1:3" x14ac:dyDescent="0.2">
      <c r="A2668" s="61">
        <v>43141</v>
      </c>
      <c r="B2668">
        <v>1909000</v>
      </c>
      <c r="C2668">
        <v>213000</v>
      </c>
    </row>
    <row r="2669" spans="1:3" x14ac:dyDescent="0.2">
      <c r="A2669" s="61">
        <v>43148</v>
      </c>
      <c r="B2669">
        <v>1921000</v>
      </c>
      <c r="C2669">
        <v>206000</v>
      </c>
    </row>
    <row r="2670" spans="1:3" x14ac:dyDescent="0.2">
      <c r="A2670" s="61">
        <v>43155</v>
      </c>
      <c r="B2670">
        <v>1892000</v>
      </c>
      <c r="C2670">
        <v>202000</v>
      </c>
    </row>
    <row r="2671" spans="1:3" x14ac:dyDescent="0.2">
      <c r="A2671" s="61">
        <v>43162</v>
      </c>
      <c r="B2671">
        <v>1883000</v>
      </c>
      <c r="C2671">
        <v>212000</v>
      </c>
    </row>
    <row r="2672" spans="1:3" x14ac:dyDescent="0.2">
      <c r="A2672" s="61">
        <v>43169</v>
      </c>
      <c r="B2672">
        <v>1859000</v>
      </c>
      <c r="C2672">
        <v>204000</v>
      </c>
    </row>
    <row r="2673" spans="1:3" x14ac:dyDescent="0.2">
      <c r="A2673" s="61">
        <v>43176</v>
      </c>
      <c r="B2673">
        <v>1861000</v>
      </c>
      <c r="C2673">
        <v>198000</v>
      </c>
    </row>
    <row r="2674" spans="1:3" x14ac:dyDescent="0.2">
      <c r="A2674" s="61">
        <v>43183</v>
      </c>
      <c r="B2674">
        <v>1828000</v>
      </c>
      <c r="C2674">
        <v>197000</v>
      </c>
    </row>
    <row r="2675" spans="1:3" x14ac:dyDescent="0.2">
      <c r="A2675" s="61">
        <v>43190</v>
      </c>
      <c r="B2675">
        <v>1848000</v>
      </c>
      <c r="C2675">
        <v>205000</v>
      </c>
    </row>
    <row r="2676" spans="1:3" x14ac:dyDescent="0.2">
      <c r="A2676" s="61">
        <v>43197</v>
      </c>
      <c r="B2676">
        <v>1856000</v>
      </c>
      <c r="C2676">
        <v>210000</v>
      </c>
    </row>
    <row r="2677" spans="1:3" x14ac:dyDescent="0.2">
      <c r="A2677" s="61">
        <v>43204</v>
      </c>
      <c r="B2677">
        <v>1804000</v>
      </c>
      <c r="C2677">
        <v>218000</v>
      </c>
    </row>
    <row r="2678" spans="1:3" x14ac:dyDescent="0.2">
      <c r="A2678" s="61">
        <v>43211</v>
      </c>
      <c r="B2678">
        <v>1744000</v>
      </c>
      <c r="C2678">
        <v>191000</v>
      </c>
    </row>
    <row r="2679" spans="1:3" x14ac:dyDescent="0.2">
      <c r="A2679" s="61">
        <v>43218</v>
      </c>
      <c r="B2679">
        <v>1745000</v>
      </c>
      <c r="C2679">
        <v>200000</v>
      </c>
    </row>
    <row r="2680" spans="1:3" x14ac:dyDescent="0.2">
      <c r="A2680" s="61">
        <v>43225</v>
      </c>
      <c r="B2680">
        <v>1683000</v>
      </c>
      <c r="C2680">
        <v>204000</v>
      </c>
    </row>
    <row r="2681" spans="1:3" x14ac:dyDescent="0.2">
      <c r="A2681" s="61">
        <v>43232</v>
      </c>
      <c r="B2681">
        <v>1697000</v>
      </c>
      <c r="C2681">
        <v>220000</v>
      </c>
    </row>
    <row r="2682" spans="1:3" x14ac:dyDescent="0.2">
      <c r="A2682" s="61">
        <v>43239</v>
      </c>
      <c r="B2682">
        <v>1689000</v>
      </c>
      <c r="C2682">
        <v>231000</v>
      </c>
    </row>
    <row r="2683" spans="1:3" x14ac:dyDescent="0.2">
      <c r="A2683" s="61">
        <v>43246</v>
      </c>
      <c r="B2683">
        <v>1686000</v>
      </c>
      <c r="C2683">
        <v>224000</v>
      </c>
    </row>
    <row r="2684" spans="1:3" x14ac:dyDescent="0.2">
      <c r="A2684" s="61">
        <v>43253</v>
      </c>
      <c r="B2684">
        <v>1659000</v>
      </c>
      <c r="C2684">
        <v>229000</v>
      </c>
    </row>
    <row r="2685" spans="1:3" x14ac:dyDescent="0.2">
      <c r="A2685" s="61">
        <v>43260</v>
      </c>
      <c r="B2685">
        <v>1684000</v>
      </c>
      <c r="C2685">
        <v>230000</v>
      </c>
    </row>
    <row r="2686" spans="1:3" x14ac:dyDescent="0.2">
      <c r="A2686" s="61">
        <v>43267</v>
      </c>
      <c r="B2686">
        <v>1668000</v>
      </c>
      <c r="C2686">
        <v>228000</v>
      </c>
    </row>
    <row r="2687" spans="1:3" x14ac:dyDescent="0.2">
      <c r="A2687" s="61">
        <v>43274</v>
      </c>
      <c r="B2687">
        <v>1695000</v>
      </c>
      <c r="C2687">
        <v>233000</v>
      </c>
    </row>
    <row r="2688" spans="1:3" x14ac:dyDescent="0.2">
      <c r="A2688" s="61">
        <v>43281</v>
      </c>
      <c r="B2688">
        <v>1698000</v>
      </c>
      <c r="C2688">
        <v>241000</v>
      </c>
    </row>
    <row r="2689" spans="1:3" x14ac:dyDescent="0.2">
      <c r="A2689" s="61">
        <v>43288</v>
      </c>
      <c r="B2689">
        <v>1718000</v>
      </c>
      <c r="C2689">
        <v>232000</v>
      </c>
    </row>
    <row r="2690" spans="1:3" x14ac:dyDescent="0.2">
      <c r="A2690" s="61">
        <v>43295</v>
      </c>
      <c r="B2690">
        <v>1711000</v>
      </c>
      <c r="C2690">
        <v>219000</v>
      </c>
    </row>
    <row r="2691" spans="1:3" x14ac:dyDescent="0.2">
      <c r="A2691" s="61">
        <v>43302</v>
      </c>
      <c r="B2691">
        <v>1680000</v>
      </c>
      <c r="C2691">
        <v>224000</v>
      </c>
    </row>
    <row r="2692" spans="1:3" x14ac:dyDescent="0.2">
      <c r="A2692" s="61">
        <v>43309</v>
      </c>
      <c r="B2692">
        <v>1728000</v>
      </c>
      <c r="C2692">
        <v>222000</v>
      </c>
    </row>
    <row r="2693" spans="1:3" x14ac:dyDescent="0.2">
      <c r="A2693" s="61">
        <v>43316</v>
      </c>
      <c r="B2693">
        <v>1694000</v>
      </c>
      <c r="C2693">
        <v>228000</v>
      </c>
    </row>
    <row r="2694" spans="1:3" x14ac:dyDescent="0.2">
      <c r="A2694" s="61">
        <v>43323</v>
      </c>
      <c r="B2694">
        <v>1701000</v>
      </c>
      <c r="C2694">
        <v>224000</v>
      </c>
    </row>
    <row r="2695" spans="1:3" x14ac:dyDescent="0.2">
      <c r="A2695" s="61">
        <v>43330</v>
      </c>
      <c r="B2695">
        <v>1685000</v>
      </c>
      <c r="C2695">
        <v>221000</v>
      </c>
    </row>
    <row r="2696" spans="1:3" x14ac:dyDescent="0.2">
      <c r="A2696" s="61">
        <v>43337</v>
      </c>
      <c r="B2696">
        <v>1677000</v>
      </c>
      <c r="C2696">
        <v>225000</v>
      </c>
    </row>
    <row r="2697" spans="1:3" x14ac:dyDescent="0.2">
      <c r="A2697" s="61">
        <v>43344</v>
      </c>
      <c r="B2697">
        <v>1659000</v>
      </c>
      <c r="C2697">
        <v>211000</v>
      </c>
    </row>
    <row r="2698" spans="1:3" x14ac:dyDescent="0.2">
      <c r="A2698" s="61">
        <v>43351</v>
      </c>
      <c r="B2698">
        <v>1615000</v>
      </c>
      <c r="C2698">
        <v>217000</v>
      </c>
    </row>
    <row r="2699" spans="1:3" x14ac:dyDescent="0.2">
      <c r="A2699" s="61">
        <v>43358</v>
      </c>
      <c r="B2699">
        <v>1609000</v>
      </c>
      <c r="C2699">
        <v>214000</v>
      </c>
    </row>
    <row r="2700" spans="1:3" x14ac:dyDescent="0.2">
      <c r="A2700" s="61">
        <v>43365</v>
      </c>
      <c r="B2700">
        <v>1598000</v>
      </c>
      <c r="C2700">
        <v>214000</v>
      </c>
    </row>
    <row r="2701" spans="1:3" x14ac:dyDescent="0.2">
      <c r="A2701" s="61">
        <v>43372</v>
      </c>
      <c r="B2701">
        <v>1602000</v>
      </c>
      <c r="C2701">
        <v>221000</v>
      </c>
    </row>
    <row r="2702" spans="1:3" x14ac:dyDescent="0.2">
      <c r="A2702" s="61">
        <v>43379</v>
      </c>
      <c r="B2702">
        <v>1599000</v>
      </c>
      <c r="C2702">
        <v>221000</v>
      </c>
    </row>
    <row r="2703" spans="1:3" x14ac:dyDescent="0.2">
      <c r="A2703" s="61">
        <v>43386</v>
      </c>
      <c r="B2703">
        <v>1626000</v>
      </c>
      <c r="C2703">
        <v>218000</v>
      </c>
    </row>
    <row r="2704" spans="1:3" x14ac:dyDescent="0.2">
      <c r="A2704" s="61">
        <v>43393</v>
      </c>
      <c r="B2704">
        <v>1647000</v>
      </c>
      <c r="C2704">
        <v>226000</v>
      </c>
    </row>
    <row r="2705" spans="1:3" x14ac:dyDescent="0.2">
      <c r="A2705" s="61">
        <v>43400</v>
      </c>
      <c r="B2705">
        <v>1653000</v>
      </c>
      <c r="C2705">
        <v>225000</v>
      </c>
    </row>
    <row r="2706" spans="1:3" x14ac:dyDescent="0.2">
      <c r="A2706" s="61">
        <v>43407</v>
      </c>
      <c r="B2706">
        <v>1676000</v>
      </c>
      <c r="C2706">
        <v>227000</v>
      </c>
    </row>
    <row r="2707" spans="1:3" x14ac:dyDescent="0.2">
      <c r="A2707" s="61">
        <v>43414</v>
      </c>
      <c r="B2707">
        <v>1704000</v>
      </c>
      <c r="C2707">
        <v>228000</v>
      </c>
    </row>
    <row r="2708" spans="1:3" x14ac:dyDescent="0.2">
      <c r="A2708" s="61">
        <v>43421</v>
      </c>
      <c r="B2708">
        <v>1786000</v>
      </c>
      <c r="C2708">
        <v>234000</v>
      </c>
    </row>
    <row r="2709" spans="1:3" x14ac:dyDescent="0.2">
      <c r="A2709" s="61">
        <v>43428</v>
      </c>
      <c r="B2709">
        <v>1737000</v>
      </c>
      <c r="C2709">
        <v>244000</v>
      </c>
    </row>
    <row r="2710" spans="1:3" x14ac:dyDescent="0.2">
      <c r="A2710" s="61">
        <v>43435</v>
      </c>
      <c r="B2710">
        <v>1735000</v>
      </c>
      <c r="C2710">
        <v>240000</v>
      </c>
    </row>
    <row r="2711" spans="1:3" x14ac:dyDescent="0.2">
      <c r="A2711" s="61">
        <v>43442</v>
      </c>
      <c r="B2711">
        <v>1777000</v>
      </c>
      <c r="C2711">
        <v>209000</v>
      </c>
    </row>
    <row r="2712" spans="1:3" x14ac:dyDescent="0.2">
      <c r="A2712" s="61">
        <v>43449</v>
      </c>
      <c r="B2712">
        <v>1790000</v>
      </c>
      <c r="C2712">
        <v>219000</v>
      </c>
    </row>
    <row r="2713" spans="1:3" x14ac:dyDescent="0.2">
      <c r="A2713" s="61">
        <v>43456</v>
      </c>
      <c r="B2713">
        <v>1798000</v>
      </c>
      <c r="C2713">
        <v>230000</v>
      </c>
    </row>
    <row r="2714" spans="1:3" x14ac:dyDescent="0.2">
      <c r="A2714" s="61">
        <v>43463</v>
      </c>
      <c r="B2714">
        <v>1779000</v>
      </c>
      <c r="C2714">
        <v>237000</v>
      </c>
    </row>
    <row r="2715" spans="1:3" x14ac:dyDescent="0.2">
      <c r="A2715" s="61">
        <v>43470</v>
      </c>
      <c r="B2715">
        <v>1785000</v>
      </c>
      <c r="C2715">
        <v>222000</v>
      </c>
    </row>
    <row r="2716" spans="1:3" x14ac:dyDescent="0.2">
      <c r="A2716" s="61">
        <v>43477</v>
      </c>
      <c r="B2716">
        <v>1779000</v>
      </c>
      <c r="C2716">
        <v>211000</v>
      </c>
    </row>
    <row r="2717" spans="1:3" x14ac:dyDescent="0.2">
      <c r="A2717" s="61">
        <v>43484</v>
      </c>
      <c r="B2717">
        <v>1802000</v>
      </c>
      <c r="C2717">
        <v>205000</v>
      </c>
    </row>
    <row r="2718" spans="1:3" x14ac:dyDescent="0.2">
      <c r="A2718" s="61">
        <v>43491</v>
      </c>
      <c r="B2718">
        <v>1775000</v>
      </c>
      <c r="C2718">
        <v>227000</v>
      </c>
    </row>
    <row r="2719" spans="1:3" x14ac:dyDescent="0.2">
      <c r="A2719" s="61">
        <v>43498</v>
      </c>
      <c r="B2719">
        <v>1820000</v>
      </c>
      <c r="C2719">
        <v>220000</v>
      </c>
    </row>
    <row r="2720" spans="1:3" x14ac:dyDescent="0.2">
      <c r="A2720" s="61">
        <v>43505</v>
      </c>
      <c r="B2720">
        <v>1785000</v>
      </c>
      <c r="C2720">
        <v>213000</v>
      </c>
    </row>
    <row r="2721" spans="1:3" x14ac:dyDescent="0.2">
      <c r="A2721" s="61">
        <v>43512</v>
      </c>
      <c r="B2721">
        <v>1819000</v>
      </c>
      <c r="C2721">
        <v>199000</v>
      </c>
    </row>
    <row r="2722" spans="1:3" x14ac:dyDescent="0.2">
      <c r="A2722" s="61">
        <v>43519</v>
      </c>
      <c r="B2722">
        <v>1801000</v>
      </c>
      <c r="C2722">
        <v>204000</v>
      </c>
    </row>
    <row r="2723" spans="1:3" x14ac:dyDescent="0.2">
      <c r="A2723" s="61">
        <v>43526</v>
      </c>
      <c r="B2723">
        <v>1797000</v>
      </c>
      <c r="C2723">
        <v>200000</v>
      </c>
    </row>
    <row r="2724" spans="1:3" x14ac:dyDescent="0.2">
      <c r="A2724" s="61">
        <v>43533</v>
      </c>
      <c r="B2724">
        <v>1782000</v>
      </c>
      <c r="C2724">
        <v>201000</v>
      </c>
    </row>
    <row r="2725" spans="1:3" x14ac:dyDescent="0.2">
      <c r="A2725" s="61">
        <v>43540</v>
      </c>
      <c r="B2725">
        <v>1770000</v>
      </c>
      <c r="C2725">
        <v>182000</v>
      </c>
    </row>
    <row r="2726" spans="1:3" x14ac:dyDescent="0.2">
      <c r="A2726" s="61">
        <v>43547</v>
      </c>
      <c r="B2726">
        <v>1741000</v>
      </c>
      <c r="C2726">
        <v>184000</v>
      </c>
    </row>
    <row r="2727" spans="1:3" x14ac:dyDescent="0.2">
      <c r="A2727" s="61">
        <v>43554</v>
      </c>
      <c r="B2727">
        <v>1711000</v>
      </c>
      <c r="C2727">
        <v>173000</v>
      </c>
    </row>
    <row r="2728" spans="1:3" x14ac:dyDescent="0.2">
      <c r="A2728" s="61">
        <v>43561</v>
      </c>
      <c r="B2728">
        <v>1660000</v>
      </c>
      <c r="C2728">
        <v>173000</v>
      </c>
    </row>
    <row r="2729" spans="1:3" x14ac:dyDescent="0.2">
      <c r="A2729" s="61">
        <v>43568</v>
      </c>
      <c r="B2729">
        <v>1636000</v>
      </c>
      <c r="C2729">
        <v>183000</v>
      </c>
    </row>
    <row r="2730" spans="1:3" x14ac:dyDescent="0.2">
      <c r="A2730" s="61">
        <v>43575</v>
      </c>
      <c r="B2730">
        <v>1643000</v>
      </c>
      <c r="C2730">
        <v>200000</v>
      </c>
    </row>
    <row r="2731" spans="1:3" x14ac:dyDescent="0.2">
      <c r="A2731" s="61">
        <v>43582</v>
      </c>
      <c r="B2731">
        <v>1634000</v>
      </c>
      <c r="C2731">
        <v>210000</v>
      </c>
    </row>
    <row r="2732" spans="1:3" x14ac:dyDescent="0.2">
      <c r="A2732" s="61">
        <v>43589</v>
      </c>
      <c r="B2732">
        <v>1605000</v>
      </c>
      <c r="C2732">
        <v>214000</v>
      </c>
    </row>
    <row r="2733" spans="1:3" x14ac:dyDescent="0.2">
      <c r="A2733" s="61">
        <v>43596</v>
      </c>
      <c r="B2733">
        <v>1616000</v>
      </c>
      <c r="C2733">
        <v>210000</v>
      </c>
    </row>
    <row r="2734" spans="1:3" x14ac:dyDescent="0.2">
      <c r="A2734" s="61">
        <v>43603</v>
      </c>
      <c r="B2734">
        <v>1604000</v>
      </c>
      <c r="C2734">
        <v>213000</v>
      </c>
    </row>
    <row r="2735" spans="1:3" x14ac:dyDescent="0.2">
      <c r="A2735" s="61">
        <v>43610</v>
      </c>
      <c r="B2735">
        <v>1614000</v>
      </c>
      <c r="C2735">
        <v>222000</v>
      </c>
    </row>
    <row r="2736" spans="1:3" x14ac:dyDescent="0.2">
      <c r="A2736" s="61">
        <v>43617</v>
      </c>
      <c r="B2736">
        <v>1621000</v>
      </c>
      <c r="C2736">
        <v>229000</v>
      </c>
    </row>
    <row r="2737" spans="1:3" x14ac:dyDescent="0.2">
      <c r="A2737" s="61">
        <v>43624</v>
      </c>
      <c r="B2737">
        <v>1599000</v>
      </c>
      <c r="C2737">
        <v>237000</v>
      </c>
    </row>
    <row r="2738" spans="1:3" x14ac:dyDescent="0.2">
      <c r="A2738" s="61">
        <v>43631</v>
      </c>
      <c r="B2738">
        <v>1627000</v>
      </c>
      <c r="C2738">
        <v>231000</v>
      </c>
    </row>
    <row r="2739" spans="1:3" x14ac:dyDescent="0.2">
      <c r="A2739" s="61">
        <v>43638</v>
      </c>
      <c r="B2739">
        <v>1626000</v>
      </c>
      <c r="C2739">
        <v>242000</v>
      </c>
    </row>
    <row r="2740" spans="1:3" x14ac:dyDescent="0.2">
      <c r="A2740" s="61">
        <v>43645</v>
      </c>
      <c r="B2740">
        <v>1666000</v>
      </c>
      <c r="C2740">
        <v>240000</v>
      </c>
    </row>
    <row r="2741" spans="1:3" x14ac:dyDescent="0.2">
      <c r="A2741" s="61">
        <v>43652</v>
      </c>
      <c r="B2741">
        <v>1642000</v>
      </c>
      <c r="C2741">
        <v>230000</v>
      </c>
    </row>
    <row r="2742" spans="1:3" x14ac:dyDescent="0.2">
      <c r="A2742" s="61">
        <v>43659</v>
      </c>
      <c r="B2742">
        <v>1639000</v>
      </c>
      <c r="C2742">
        <v>231000</v>
      </c>
    </row>
    <row r="2743" spans="1:3" x14ac:dyDescent="0.2">
      <c r="A2743" s="61">
        <v>43666</v>
      </c>
      <c r="B2743">
        <v>1626000</v>
      </c>
      <c r="C2743">
        <v>216000</v>
      </c>
    </row>
    <row r="2744" spans="1:3" x14ac:dyDescent="0.2">
      <c r="A2744" s="61">
        <v>43673</v>
      </c>
      <c r="B2744">
        <v>1659000</v>
      </c>
      <c r="C2744">
        <v>220000</v>
      </c>
    </row>
    <row r="2745" spans="1:3" x14ac:dyDescent="0.2">
      <c r="A2745" s="61">
        <v>43680</v>
      </c>
      <c r="B2745">
        <v>1674000</v>
      </c>
      <c r="C2745">
        <v>227000</v>
      </c>
    </row>
    <row r="2746" spans="1:3" x14ac:dyDescent="0.2">
      <c r="A2746" s="61">
        <v>43687</v>
      </c>
      <c r="B2746">
        <v>1647000</v>
      </c>
      <c r="C2746">
        <v>236000</v>
      </c>
    </row>
    <row r="2747" spans="1:3" x14ac:dyDescent="0.2">
      <c r="A2747" s="61">
        <v>43694</v>
      </c>
      <c r="B2747">
        <v>1654000</v>
      </c>
      <c r="C2747">
        <v>222000</v>
      </c>
    </row>
    <row r="2748" spans="1:3" x14ac:dyDescent="0.2">
      <c r="A2748" s="61">
        <v>43701</v>
      </c>
      <c r="B2748">
        <v>1634000</v>
      </c>
      <c r="C2748">
        <v>231000</v>
      </c>
    </row>
    <row r="2749" spans="1:3" x14ac:dyDescent="0.2">
      <c r="A2749" s="61">
        <v>43708</v>
      </c>
      <c r="B2749">
        <v>1610000</v>
      </c>
      <c r="C2749">
        <v>224000</v>
      </c>
    </row>
    <row r="2750" spans="1:3" x14ac:dyDescent="0.2">
      <c r="A2750" s="61">
        <v>43715</v>
      </c>
      <c r="B2750">
        <v>1605000</v>
      </c>
      <c r="C2750">
        <v>217000</v>
      </c>
    </row>
    <row r="2751" spans="1:3" x14ac:dyDescent="0.2">
      <c r="A2751" s="61">
        <v>43722</v>
      </c>
      <c r="B2751">
        <v>1566000</v>
      </c>
      <c r="C2751">
        <v>215000</v>
      </c>
    </row>
    <row r="2752" spans="1:3" x14ac:dyDescent="0.2">
      <c r="A2752" s="61">
        <v>43729</v>
      </c>
      <c r="B2752">
        <v>1561000</v>
      </c>
      <c r="C2752">
        <v>218000</v>
      </c>
    </row>
    <row r="2753" spans="1:3" x14ac:dyDescent="0.2">
      <c r="A2753" s="61">
        <v>43736</v>
      </c>
      <c r="B2753">
        <v>1606000</v>
      </c>
      <c r="C2753">
        <v>224000</v>
      </c>
    </row>
    <row r="2754" spans="1:3" x14ac:dyDescent="0.2">
      <c r="A2754" s="61">
        <v>43743</v>
      </c>
      <c r="B2754">
        <v>1597000</v>
      </c>
      <c r="C2754">
        <v>224000</v>
      </c>
    </row>
    <row r="2755" spans="1:3" x14ac:dyDescent="0.2">
      <c r="A2755" s="61">
        <v>43750</v>
      </c>
      <c r="B2755">
        <v>1639000</v>
      </c>
      <c r="C2755">
        <v>226000</v>
      </c>
    </row>
    <row r="2756" spans="1:3" x14ac:dyDescent="0.2">
      <c r="A2756" s="61">
        <v>43757</v>
      </c>
      <c r="B2756">
        <v>1684000</v>
      </c>
      <c r="C2756">
        <v>222000</v>
      </c>
    </row>
    <row r="2757" spans="1:3" x14ac:dyDescent="0.2">
      <c r="A2757" s="61">
        <v>43764</v>
      </c>
      <c r="B2757">
        <v>1699000</v>
      </c>
      <c r="C2757">
        <v>230000</v>
      </c>
    </row>
    <row r="2758" spans="1:3" x14ac:dyDescent="0.2">
      <c r="A2758" s="61">
        <v>43771</v>
      </c>
      <c r="B2758">
        <v>1702000</v>
      </c>
      <c r="C2758">
        <v>224000</v>
      </c>
    </row>
    <row r="2759" spans="1:3" x14ac:dyDescent="0.2">
      <c r="A2759" s="61">
        <v>43778</v>
      </c>
      <c r="B2759">
        <v>1741000</v>
      </c>
      <c r="C2759">
        <v>239000</v>
      </c>
    </row>
    <row r="2760" spans="1:3" x14ac:dyDescent="0.2">
      <c r="A2760" s="61">
        <v>43785</v>
      </c>
      <c r="B2760">
        <v>1746000</v>
      </c>
      <c r="C2760">
        <v>240000</v>
      </c>
    </row>
    <row r="2761" spans="1:3" x14ac:dyDescent="0.2">
      <c r="A2761" s="61">
        <v>43792</v>
      </c>
      <c r="B2761">
        <v>1802000</v>
      </c>
      <c r="C2761">
        <v>224000</v>
      </c>
    </row>
    <row r="2762" spans="1:3" x14ac:dyDescent="0.2">
      <c r="A2762" s="61">
        <v>43799</v>
      </c>
      <c r="B2762">
        <v>1800000</v>
      </c>
      <c r="C2762">
        <v>221000</v>
      </c>
    </row>
    <row r="2763" spans="1:3" x14ac:dyDescent="0.2">
      <c r="A2763" s="61">
        <v>43806</v>
      </c>
      <c r="B2763">
        <v>1831000</v>
      </c>
      <c r="C2763">
        <v>251000</v>
      </c>
    </row>
    <row r="2764" spans="1:3" x14ac:dyDescent="0.2">
      <c r="A2764" s="61">
        <v>43813</v>
      </c>
      <c r="B2764">
        <v>1841000</v>
      </c>
      <c r="C2764">
        <v>233000</v>
      </c>
    </row>
    <row r="2765" spans="1:3" x14ac:dyDescent="0.2">
      <c r="A2765" s="61">
        <v>43820</v>
      </c>
      <c r="B2765">
        <v>1841000</v>
      </c>
      <c r="C2765">
        <v>233000</v>
      </c>
    </row>
    <row r="2766" spans="1:3" x14ac:dyDescent="0.2">
      <c r="A2766" s="61">
        <v>43827</v>
      </c>
      <c r="B2766">
        <v>1891000</v>
      </c>
      <c r="C2766">
        <v>235000</v>
      </c>
    </row>
    <row r="2767" spans="1:3" x14ac:dyDescent="0.2">
      <c r="A2767" s="61">
        <v>43834</v>
      </c>
      <c r="B2767">
        <v>1876000</v>
      </c>
      <c r="C2767">
        <v>217000</v>
      </c>
    </row>
    <row r="2768" spans="1:3" x14ac:dyDescent="0.2">
      <c r="A2768" s="61">
        <v>43841</v>
      </c>
      <c r="B2768">
        <v>1835000</v>
      </c>
      <c r="C2768">
        <v>203000</v>
      </c>
    </row>
    <row r="2769" spans="1:3" x14ac:dyDescent="0.2">
      <c r="A2769" s="61">
        <v>43848</v>
      </c>
      <c r="B2769">
        <v>1797000</v>
      </c>
      <c r="C2769">
        <v>211000</v>
      </c>
    </row>
    <row r="2770" spans="1:3" x14ac:dyDescent="0.2">
      <c r="A2770" s="61">
        <v>43855</v>
      </c>
      <c r="B2770">
        <v>1839000</v>
      </c>
      <c r="C2770">
        <v>200000</v>
      </c>
    </row>
    <row r="2771" spans="1:3" x14ac:dyDescent="0.2">
      <c r="A2771" s="61">
        <v>43862</v>
      </c>
      <c r="B2771">
        <v>1799000</v>
      </c>
      <c r="C2771">
        <v>191000</v>
      </c>
    </row>
    <row r="2772" spans="1:3" x14ac:dyDescent="0.2">
      <c r="A2772" s="61">
        <v>43869</v>
      </c>
      <c r="B2772">
        <v>1822000</v>
      </c>
      <c r="C2772">
        <v>186000</v>
      </c>
    </row>
    <row r="2773" spans="1:3" x14ac:dyDescent="0.2">
      <c r="A2773" s="61">
        <v>43876</v>
      </c>
      <c r="B2773">
        <v>1787000</v>
      </c>
      <c r="C2773">
        <v>190000</v>
      </c>
    </row>
    <row r="2774" spans="1:3" x14ac:dyDescent="0.2">
      <c r="A2774" s="61">
        <v>43883</v>
      </c>
      <c r="B2774">
        <v>1801000</v>
      </c>
      <c r="C2774">
        <v>196000</v>
      </c>
    </row>
    <row r="2775" spans="1:3" x14ac:dyDescent="0.2">
      <c r="A2775" s="61">
        <v>43890</v>
      </c>
      <c r="B2775">
        <v>1780000</v>
      </c>
      <c r="C2775">
        <v>190000</v>
      </c>
    </row>
    <row r="2776" spans="1:3" x14ac:dyDescent="0.2">
      <c r="A2776" s="61">
        <v>43897</v>
      </c>
      <c r="B2776">
        <v>1763000</v>
      </c>
      <c r="C2776">
        <v>186000</v>
      </c>
    </row>
    <row r="2777" spans="1:3" x14ac:dyDescent="0.2">
      <c r="A2777" s="61">
        <v>43904</v>
      </c>
      <c r="B2777">
        <v>1834000</v>
      </c>
      <c r="C2777">
        <v>221000</v>
      </c>
    </row>
    <row r="2778" spans="1:3" x14ac:dyDescent="0.2">
      <c r="A2778" s="61">
        <v>43911</v>
      </c>
      <c r="B2778">
        <v>3238000</v>
      </c>
      <c r="C2778">
        <v>2914000</v>
      </c>
    </row>
    <row r="2779" spans="1:3" x14ac:dyDescent="0.2">
      <c r="A2779" s="61">
        <v>43918</v>
      </c>
      <c r="B2779">
        <v>8004000</v>
      </c>
      <c r="C2779">
        <v>5946000</v>
      </c>
    </row>
    <row r="2780" spans="1:3" x14ac:dyDescent="0.2">
      <c r="A2780" s="61">
        <v>43925</v>
      </c>
      <c r="B2780">
        <v>12396000</v>
      </c>
      <c r="C2780">
        <v>6137000</v>
      </c>
    </row>
    <row r="2781" spans="1:3" x14ac:dyDescent="0.2">
      <c r="A2781" s="61">
        <v>43932</v>
      </c>
      <c r="B2781">
        <v>16193000</v>
      </c>
      <c r="C2781">
        <v>4869000</v>
      </c>
    </row>
    <row r="2782" spans="1:3" x14ac:dyDescent="0.2">
      <c r="A2782" s="61">
        <v>43939</v>
      </c>
      <c r="B2782">
        <v>17789000</v>
      </c>
      <c r="C2782">
        <v>4201000</v>
      </c>
    </row>
    <row r="2783" spans="1:3" x14ac:dyDescent="0.2">
      <c r="A2783" s="61">
        <v>43946</v>
      </c>
      <c r="B2783">
        <v>21750000</v>
      </c>
      <c r="C2783">
        <v>3446000</v>
      </c>
    </row>
    <row r="2784" spans="1:3" x14ac:dyDescent="0.2">
      <c r="A2784" s="61">
        <v>43953</v>
      </c>
      <c r="B2784">
        <v>20939000</v>
      </c>
      <c r="C2784">
        <v>2796000</v>
      </c>
    </row>
    <row r="2785" spans="1:3" x14ac:dyDescent="0.2">
      <c r="A2785" s="61">
        <v>43960</v>
      </c>
      <c r="B2785">
        <v>23130000</v>
      </c>
      <c r="C2785">
        <v>2335000</v>
      </c>
    </row>
    <row r="2786" spans="1:3" x14ac:dyDescent="0.2">
      <c r="A2786" s="61">
        <v>43967</v>
      </c>
      <c r="B2786">
        <v>19153000</v>
      </c>
      <c r="C2786">
        <v>2176000</v>
      </c>
    </row>
    <row r="2787" spans="1:3" x14ac:dyDescent="0.2">
      <c r="A2787" s="61">
        <v>43974</v>
      </c>
      <c r="B2787">
        <v>19194000</v>
      </c>
      <c r="C2787">
        <v>1921000</v>
      </c>
    </row>
    <row r="2788" spans="1:3" x14ac:dyDescent="0.2">
      <c r="A2788" s="61">
        <v>43981</v>
      </c>
      <c r="B2788">
        <v>19216000</v>
      </c>
      <c r="C2788">
        <v>1639000</v>
      </c>
    </row>
    <row r="2789" spans="1:3" x14ac:dyDescent="0.2">
      <c r="A2789" s="61">
        <v>43988</v>
      </c>
      <c r="B2789">
        <v>18743000</v>
      </c>
      <c r="C2789">
        <v>1575000</v>
      </c>
    </row>
    <row r="2790" spans="1:3" x14ac:dyDescent="0.2">
      <c r="A2790" s="61">
        <v>43995</v>
      </c>
      <c r="B2790">
        <v>17860000</v>
      </c>
      <c r="C2790">
        <v>1473000</v>
      </c>
    </row>
    <row r="2791" spans="1:3" x14ac:dyDescent="0.2">
      <c r="A2791" s="61">
        <v>44002</v>
      </c>
      <c r="B2791">
        <v>17501000</v>
      </c>
      <c r="C2791">
        <v>1467000</v>
      </c>
    </row>
    <row r="2792" spans="1:3" x14ac:dyDescent="0.2">
      <c r="A2792" s="61">
        <v>44009</v>
      </c>
      <c r="B2792">
        <v>16610000</v>
      </c>
      <c r="C2792">
        <v>1446000</v>
      </c>
    </row>
    <row r="2793" spans="1:3" x14ac:dyDescent="0.2">
      <c r="A2793" s="61">
        <v>44016</v>
      </c>
      <c r="B2793">
        <v>17273000</v>
      </c>
      <c r="C2793">
        <v>1413000</v>
      </c>
    </row>
    <row r="2794" spans="1:3" x14ac:dyDescent="0.2">
      <c r="A2794" s="61">
        <v>44023</v>
      </c>
      <c r="B2794">
        <v>16251000</v>
      </c>
      <c r="C2794">
        <v>1468000</v>
      </c>
    </row>
    <row r="2795" spans="1:3" x14ac:dyDescent="0.2">
      <c r="A2795" s="61">
        <v>44030</v>
      </c>
      <c r="B2795">
        <v>16799000</v>
      </c>
      <c r="C2795">
        <v>1393000</v>
      </c>
    </row>
    <row r="2796" spans="1:3" x14ac:dyDescent="0.2">
      <c r="A2796" s="61">
        <v>44037</v>
      </c>
      <c r="B2796">
        <v>15929000</v>
      </c>
      <c r="C2796">
        <v>1260000</v>
      </c>
    </row>
    <row r="2797" spans="1:3" x14ac:dyDescent="0.2">
      <c r="A2797" s="61">
        <v>44044</v>
      </c>
      <c r="B2797">
        <v>15255000</v>
      </c>
      <c r="C2797">
        <v>1044000</v>
      </c>
    </row>
    <row r="2798" spans="1:3" x14ac:dyDescent="0.2">
      <c r="A2798" s="61">
        <v>44051</v>
      </c>
      <c r="B2798">
        <v>14184000</v>
      </c>
      <c r="C2798">
        <v>884000</v>
      </c>
    </row>
    <row r="2799" spans="1:3" x14ac:dyDescent="0.2">
      <c r="A2799" s="61">
        <v>44058</v>
      </c>
      <c r="B2799">
        <v>13910000</v>
      </c>
      <c r="C2799">
        <v>927000</v>
      </c>
    </row>
    <row r="2800" spans="1:3" x14ac:dyDescent="0.2">
      <c r="A2800" s="61">
        <v>44065</v>
      </c>
      <c r="B2800">
        <v>13217000</v>
      </c>
      <c r="C2800">
        <v>876000</v>
      </c>
    </row>
    <row r="2801" spans="1:3" x14ac:dyDescent="0.2">
      <c r="A2801" s="61">
        <v>44072</v>
      </c>
      <c r="B2801">
        <v>13501000</v>
      </c>
      <c r="C2801">
        <v>881000</v>
      </c>
    </row>
    <row r="2802" spans="1:3" x14ac:dyDescent="0.2">
      <c r="A2802" s="61">
        <v>44079</v>
      </c>
      <c r="B2802">
        <v>12765000</v>
      </c>
      <c r="C2802">
        <v>892000</v>
      </c>
    </row>
    <row r="2803" spans="1:3" x14ac:dyDescent="0.2">
      <c r="A2803" s="61">
        <v>44086</v>
      </c>
      <c r="B2803">
        <v>12684000</v>
      </c>
      <c r="C2803">
        <v>861000</v>
      </c>
    </row>
    <row r="2804" spans="1:3" x14ac:dyDescent="0.2">
      <c r="A2804" s="61">
        <v>44093</v>
      </c>
      <c r="B2804">
        <v>11367000</v>
      </c>
      <c r="C2804">
        <v>859000</v>
      </c>
    </row>
    <row r="2805" spans="1:3" x14ac:dyDescent="0.2">
      <c r="A2805" s="61">
        <v>44100</v>
      </c>
      <c r="B2805">
        <v>10481000</v>
      </c>
      <c r="C2805">
        <v>795000</v>
      </c>
    </row>
    <row r="2806" spans="1:3" x14ac:dyDescent="0.2">
      <c r="A2806" s="61">
        <v>44107</v>
      </c>
      <c r="B2806">
        <v>9270000</v>
      </c>
      <c r="C2806">
        <v>785000</v>
      </c>
    </row>
    <row r="2807" spans="1:3" x14ac:dyDescent="0.2">
      <c r="A2807" s="61">
        <v>44114</v>
      </c>
      <c r="B2807">
        <v>8425000</v>
      </c>
      <c r="C2807">
        <v>839000</v>
      </c>
    </row>
    <row r="2808" spans="1:3" x14ac:dyDescent="0.2">
      <c r="A2808" s="61">
        <v>44121</v>
      </c>
      <c r="B2808">
        <v>7777000</v>
      </c>
      <c r="C2808">
        <v>804000</v>
      </c>
    </row>
    <row r="2809" spans="1:3" x14ac:dyDescent="0.2">
      <c r="A2809" s="61">
        <v>44128</v>
      </c>
      <c r="B2809">
        <v>7180000</v>
      </c>
      <c r="C2809">
        <v>776000</v>
      </c>
    </row>
    <row r="2810" spans="1:3" x14ac:dyDescent="0.2">
      <c r="A2810" s="61">
        <v>44135</v>
      </c>
      <c r="B2810">
        <v>6705000</v>
      </c>
      <c r="C2810">
        <v>773000</v>
      </c>
    </row>
    <row r="2811" spans="1:3" x14ac:dyDescent="0.2">
      <c r="A2811" s="61">
        <v>44142</v>
      </c>
      <c r="B2811">
        <v>6341000</v>
      </c>
      <c r="C2811">
        <v>737000</v>
      </c>
    </row>
    <row r="2812" spans="1:3" x14ac:dyDescent="0.2">
      <c r="A2812" s="61">
        <v>44149</v>
      </c>
      <c r="B2812">
        <v>6088000</v>
      </c>
      <c r="C2812">
        <v>738000</v>
      </c>
    </row>
    <row r="2813" spans="1:3" x14ac:dyDescent="0.2">
      <c r="A2813" s="61">
        <v>44156</v>
      </c>
      <c r="B2813">
        <v>5580000</v>
      </c>
      <c r="C2813">
        <v>793000</v>
      </c>
    </row>
    <row r="2814" spans="1:3" x14ac:dyDescent="0.2">
      <c r="A2814" s="61">
        <v>44163</v>
      </c>
      <c r="B2814">
        <v>5784000</v>
      </c>
      <c r="C2814">
        <v>737000</v>
      </c>
    </row>
    <row r="2815" spans="1:3" x14ac:dyDescent="0.2">
      <c r="A2815" s="61">
        <v>44170</v>
      </c>
      <c r="B2815">
        <v>5609000</v>
      </c>
      <c r="C2815">
        <v>873000</v>
      </c>
    </row>
    <row r="2816" spans="1:3" x14ac:dyDescent="0.2">
      <c r="A2816" s="61">
        <v>44177</v>
      </c>
      <c r="B2816">
        <v>5416000</v>
      </c>
      <c r="C2816">
        <v>886000</v>
      </c>
    </row>
    <row r="2817" spans="1:3" x14ac:dyDescent="0.2">
      <c r="A2817" s="61">
        <v>44184</v>
      </c>
      <c r="B2817">
        <v>5332000</v>
      </c>
      <c r="C2817">
        <v>815000</v>
      </c>
    </row>
    <row r="2818" spans="1:3" x14ac:dyDescent="0.2">
      <c r="A2818" s="61">
        <v>44191</v>
      </c>
      <c r="B2818">
        <v>5181000</v>
      </c>
      <c r="C2818">
        <v>773000</v>
      </c>
    </row>
    <row r="2819" spans="1:3" x14ac:dyDescent="0.2">
      <c r="A2819" s="61">
        <v>44198</v>
      </c>
      <c r="B2819">
        <v>5330000</v>
      </c>
      <c r="C2819">
        <v>803000</v>
      </c>
    </row>
    <row r="2820" spans="1:3" x14ac:dyDescent="0.2">
      <c r="A2820" s="61">
        <v>44205</v>
      </c>
      <c r="B2820">
        <v>5069000</v>
      </c>
      <c r="C2820">
        <v>890000</v>
      </c>
    </row>
    <row r="2821" spans="1:3" x14ac:dyDescent="0.2">
      <c r="A2821" s="61">
        <v>44212</v>
      </c>
      <c r="B2821">
        <v>4877000</v>
      </c>
      <c r="C2821">
        <v>844000</v>
      </c>
    </row>
    <row r="2822" spans="1:3" x14ac:dyDescent="0.2">
      <c r="A2822" s="61">
        <v>44219</v>
      </c>
      <c r="B2822">
        <v>4789000</v>
      </c>
      <c r="C2822">
        <v>799000</v>
      </c>
    </row>
    <row r="2823" spans="1:3" x14ac:dyDescent="0.2">
      <c r="A2823" s="61">
        <v>44226</v>
      </c>
      <c r="B2823">
        <v>4658000</v>
      </c>
      <c r="C2823">
        <v>803000</v>
      </c>
    </row>
    <row r="2824" spans="1:3" x14ac:dyDescent="0.2">
      <c r="A2824" s="61">
        <v>44233</v>
      </c>
      <c r="B2824">
        <v>4599000</v>
      </c>
      <c r="C2824">
        <v>812000</v>
      </c>
    </row>
    <row r="2825" spans="1:3" x14ac:dyDescent="0.2">
      <c r="A2825" s="61">
        <v>44240</v>
      </c>
      <c r="B2825">
        <v>4495000</v>
      </c>
      <c r="C2825">
        <v>802000</v>
      </c>
    </row>
    <row r="2826" spans="1:3" x14ac:dyDescent="0.2">
      <c r="A2826" s="61">
        <v>44247</v>
      </c>
      <c r="B2826">
        <v>4406000</v>
      </c>
      <c r="C2826">
        <v>702000</v>
      </c>
    </row>
    <row r="2827" spans="1:3" x14ac:dyDescent="0.2">
      <c r="A2827" s="61">
        <v>44254</v>
      </c>
      <c r="B2827">
        <v>4227000</v>
      </c>
      <c r="C2827">
        <v>704000</v>
      </c>
    </row>
    <row r="2828" spans="1:3" x14ac:dyDescent="0.2">
      <c r="A2828" s="61">
        <v>44261</v>
      </c>
      <c r="B2828">
        <v>4185000</v>
      </c>
      <c r="C2828">
        <v>693000</v>
      </c>
    </row>
    <row r="2829" spans="1:3" x14ac:dyDescent="0.2">
      <c r="A2829" s="61">
        <v>44268</v>
      </c>
      <c r="B2829">
        <v>3970000</v>
      </c>
      <c r="C2829">
        <v>699000</v>
      </c>
    </row>
    <row r="2830" spans="1:3" x14ac:dyDescent="0.2">
      <c r="A2830" s="61">
        <v>44275</v>
      </c>
      <c r="B2830">
        <v>3887000</v>
      </c>
      <c r="C2830">
        <v>627000</v>
      </c>
    </row>
    <row r="2831" spans="1:3" x14ac:dyDescent="0.2">
      <c r="A2831" s="61">
        <v>44282</v>
      </c>
      <c r="B2831">
        <v>3859000</v>
      </c>
      <c r="C2831">
        <v>658000</v>
      </c>
    </row>
    <row r="2832" spans="1:3" x14ac:dyDescent="0.2">
      <c r="A2832" s="61">
        <v>44289</v>
      </c>
      <c r="B2832">
        <v>3830000</v>
      </c>
      <c r="C2832">
        <v>645000</v>
      </c>
    </row>
    <row r="2833" spans="1:3" x14ac:dyDescent="0.2">
      <c r="A2833" s="61">
        <v>44296</v>
      </c>
      <c r="B2833">
        <v>3779000</v>
      </c>
      <c r="C2833">
        <v>571000</v>
      </c>
    </row>
    <row r="2834" spans="1:3" x14ac:dyDescent="0.2">
      <c r="A2834" s="61">
        <v>44303</v>
      </c>
      <c r="B2834">
        <v>3776000</v>
      </c>
      <c r="C2834">
        <v>566000</v>
      </c>
    </row>
    <row r="2835" spans="1:3" x14ac:dyDescent="0.2">
      <c r="A2835" s="61">
        <v>44310</v>
      </c>
      <c r="B2835">
        <v>3767000</v>
      </c>
      <c r="C2835">
        <v>574000</v>
      </c>
    </row>
    <row r="2836" spans="1:3" x14ac:dyDescent="0.2">
      <c r="A2836" s="61">
        <v>44317</v>
      </c>
      <c r="B2836">
        <v>3756000</v>
      </c>
      <c r="C2836">
        <v>517000</v>
      </c>
    </row>
    <row r="2837" spans="1:3" x14ac:dyDescent="0.2">
      <c r="A2837" s="61">
        <v>44324</v>
      </c>
      <c r="B2837">
        <v>3737000</v>
      </c>
      <c r="C2837">
        <v>494000</v>
      </c>
    </row>
    <row r="2838" spans="1:3" x14ac:dyDescent="0.2">
      <c r="A2838" s="61">
        <v>44331</v>
      </c>
      <c r="B2838">
        <v>3618000</v>
      </c>
      <c r="C2838">
        <v>467000</v>
      </c>
    </row>
    <row r="2839" spans="1:3" x14ac:dyDescent="0.2">
      <c r="A2839" s="61">
        <v>44338</v>
      </c>
      <c r="B2839">
        <v>3575000</v>
      </c>
      <c r="C2839">
        <v>441000</v>
      </c>
    </row>
    <row r="2840" spans="1:3" x14ac:dyDescent="0.2">
      <c r="A2840" s="61">
        <v>44345</v>
      </c>
      <c r="B2840">
        <v>3422000</v>
      </c>
      <c r="C2840">
        <v>427000</v>
      </c>
    </row>
    <row r="2841" spans="1:3" x14ac:dyDescent="0.2">
      <c r="A2841" s="61">
        <v>44352</v>
      </c>
      <c r="B2841">
        <v>3352000</v>
      </c>
      <c r="C2841">
        <v>420000</v>
      </c>
    </row>
    <row r="2842" spans="1:3" x14ac:dyDescent="0.2">
      <c r="A2842" s="61">
        <v>44359</v>
      </c>
      <c r="B2842">
        <v>3271000</v>
      </c>
      <c r="C2842">
        <v>429000</v>
      </c>
    </row>
    <row r="2843" spans="1:3" x14ac:dyDescent="0.2">
      <c r="A2843" s="61">
        <v>44366</v>
      </c>
      <c r="B2843">
        <v>3266000</v>
      </c>
      <c r="C2843">
        <v>424000</v>
      </c>
    </row>
    <row r="2844" spans="1:3" x14ac:dyDescent="0.2">
      <c r="A2844" s="61">
        <v>44373</v>
      </c>
      <c r="B2844">
        <v>3230000</v>
      </c>
      <c r="C2844">
        <v>405000</v>
      </c>
    </row>
    <row r="2845" spans="1:3" x14ac:dyDescent="0.2">
      <c r="A2845" s="61">
        <v>44380</v>
      </c>
      <c r="B2845">
        <v>3116000</v>
      </c>
      <c r="C2845">
        <v>403000</v>
      </c>
    </row>
    <row r="2846" spans="1:3" x14ac:dyDescent="0.2">
      <c r="A2846" s="61">
        <v>44387</v>
      </c>
      <c r="B2846">
        <v>3116000</v>
      </c>
      <c r="C2846">
        <v>391000</v>
      </c>
    </row>
    <row r="2847" spans="1:3" x14ac:dyDescent="0.2">
      <c r="A2847" s="61">
        <v>44394</v>
      </c>
      <c r="B2847">
        <v>3082000</v>
      </c>
      <c r="C2847">
        <v>424000</v>
      </c>
    </row>
    <row r="2848" spans="1:3" x14ac:dyDescent="0.2">
      <c r="A2848" s="61">
        <v>44401</v>
      </c>
      <c r="B2848">
        <v>2881000</v>
      </c>
      <c r="C2848">
        <v>411000</v>
      </c>
    </row>
    <row r="2849" spans="1:3" x14ac:dyDescent="0.2">
      <c r="A2849" s="61">
        <v>44408</v>
      </c>
      <c r="B2849">
        <v>2794000</v>
      </c>
      <c r="C2849">
        <v>414000</v>
      </c>
    </row>
    <row r="2850" spans="1:3" x14ac:dyDescent="0.2">
      <c r="A2850" s="61">
        <v>44415</v>
      </c>
      <c r="B2850">
        <v>2839000</v>
      </c>
      <c r="C2850">
        <v>416000</v>
      </c>
    </row>
    <row r="2851" spans="1:3" x14ac:dyDescent="0.2">
      <c r="A2851" s="61">
        <v>44422</v>
      </c>
      <c r="B2851">
        <v>2804000</v>
      </c>
      <c r="C2851">
        <v>405000</v>
      </c>
    </row>
    <row r="2852" spans="1:3" x14ac:dyDescent="0.2">
      <c r="A2852" s="61">
        <v>44429</v>
      </c>
      <c r="B2852">
        <v>2772000</v>
      </c>
      <c r="C2852">
        <v>395000</v>
      </c>
    </row>
    <row r="2853" spans="1:3" x14ac:dyDescent="0.2">
      <c r="A2853" s="61">
        <v>44436</v>
      </c>
      <c r="B2853">
        <v>2740000</v>
      </c>
      <c r="C2853">
        <v>381000</v>
      </c>
    </row>
    <row r="2854" spans="1:3" x14ac:dyDescent="0.2">
      <c r="A2854" s="61">
        <v>44443</v>
      </c>
      <c r="B2854">
        <v>2628000</v>
      </c>
      <c r="C2854">
        <v>361000</v>
      </c>
    </row>
    <row r="2855" spans="1:3" x14ac:dyDescent="0.2">
      <c r="A2855" s="61">
        <v>44450</v>
      </c>
      <c r="B2855">
        <v>2705000</v>
      </c>
      <c r="C2855">
        <v>363000</v>
      </c>
    </row>
    <row r="2856" spans="1:3" x14ac:dyDescent="0.2">
      <c r="A2856" s="61">
        <v>44457</v>
      </c>
      <c r="B2856">
        <v>2720000</v>
      </c>
      <c r="C2856">
        <v>380000</v>
      </c>
    </row>
    <row r="2857" spans="1:3" x14ac:dyDescent="0.2">
      <c r="A2857" s="61">
        <v>44464</v>
      </c>
      <c r="B2857">
        <v>2674000</v>
      </c>
      <c r="C2857">
        <v>376000</v>
      </c>
    </row>
    <row r="2858" spans="1:3" x14ac:dyDescent="0.2">
      <c r="A2858" s="61">
        <v>44471</v>
      </c>
      <c r="B2858">
        <v>2571000</v>
      </c>
      <c r="C2858">
        <v>340000</v>
      </c>
    </row>
    <row r="2859" spans="1:3" x14ac:dyDescent="0.2">
      <c r="A2859" s="61">
        <v>44478</v>
      </c>
      <c r="B2859">
        <v>2512000</v>
      </c>
      <c r="C2859">
        <v>317000</v>
      </c>
    </row>
    <row r="2860" spans="1:3" x14ac:dyDescent="0.2">
      <c r="A2860" s="61">
        <v>44485</v>
      </c>
      <c r="B2860">
        <v>2334000</v>
      </c>
      <c r="C2860">
        <v>310000</v>
      </c>
    </row>
    <row r="2861" spans="1:3" x14ac:dyDescent="0.2">
      <c r="A2861" s="61">
        <v>44492</v>
      </c>
      <c r="B2861">
        <v>2263000</v>
      </c>
      <c r="C2861">
        <v>294000</v>
      </c>
    </row>
    <row r="2862" spans="1:3" x14ac:dyDescent="0.2">
      <c r="A2862" s="61">
        <v>44499</v>
      </c>
      <c r="B2862">
        <v>2303000</v>
      </c>
      <c r="C2862">
        <v>280000</v>
      </c>
    </row>
    <row r="2863" spans="1:3" x14ac:dyDescent="0.2">
      <c r="A2863" s="61">
        <v>44506</v>
      </c>
      <c r="B2863">
        <v>2172000</v>
      </c>
      <c r="C2863">
        <v>279000</v>
      </c>
    </row>
    <row r="2864" spans="1:3" x14ac:dyDescent="0.2">
      <c r="A2864" s="61">
        <v>44513</v>
      </c>
      <c r="B2864">
        <v>2100000</v>
      </c>
      <c r="C2864">
        <v>265000</v>
      </c>
    </row>
    <row r="2865" spans="1:3" x14ac:dyDescent="0.2">
      <c r="A2865" s="61">
        <v>44520</v>
      </c>
      <c r="B2865">
        <v>1976000</v>
      </c>
      <c r="C2865">
        <v>244000</v>
      </c>
    </row>
    <row r="2866" spans="1:3" x14ac:dyDescent="0.2">
      <c r="A2866" s="61">
        <v>44527</v>
      </c>
      <c r="B2866">
        <v>2098000</v>
      </c>
      <c r="C2866">
        <v>240000</v>
      </c>
    </row>
    <row r="2867" spans="1:3" x14ac:dyDescent="0.2">
      <c r="A2867" s="61">
        <v>44534</v>
      </c>
      <c r="B2867">
        <v>1927000</v>
      </c>
      <c r="C2867">
        <v>228000</v>
      </c>
    </row>
    <row r="2868" spans="1:3" x14ac:dyDescent="0.2">
      <c r="A2868" s="61">
        <v>44541</v>
      </c>
      <c r="B2868">
        <v>1904000</v>
      </c>
      <c r="C2868">
        <v>228000</v>
      </c>
    </row>
    <row r="2869" spans="1:3" x14ac:dyDescent="0.2">
      <c r="A2869" s="61">
        <v>44548</v>
      </c>
      <c r="B2869">
        <v>1793000</v>
      </c>
      <c r="C2869">
        <v>220000</v>
      </c>
    </row>
    <row r="2870" spans="1:3" x14ac:dyDescent="0.2">
      <c r="A2870" s="61">
        <v>44555</v>
      </c>
      <c r="B2870">
        <v>1805000</v>
      </c>
      <c r="C2870">
        <v>211000</v>
      </c>
    </row>
    <row r="2871" spans="1:3" x14ac:dyDescent="0.2">
      <c r="A2871" s="61">
        <v>44562</v>
      </c>
      <c r="B2871">
        <v>1778000</v>
      </c>
      <c r="C2871">
        <v>224000</v>
      </c>
    </row>
    <row r="2872" spans="1:3" x14ac:dyDescent="0.2">
      <c r="A2872" s="61">
        <v>44569</v>
      </c>
      <c r="B2872">
        <v>1776000</v>
      </c>
      <c r="C2872">
        <v>238000</v>
      </c>
    </row>
    <row r="2873" spans="1:3" x14ac:dyDescent="0.2">
      <c r="A2873" s="61">
        <v>44576</v>
      </c>
      <c r="B2873">
        <v>1787000</v>
      </c>
      <c r="C2873">
        <v>240000</v>
      </c>
    </row>
    <row r="2874" spans="1:3" x14ac:dyDescent="0.2">
      <c r="A2874" s="61">
        <v>44583</v>
      </c>
      <c r="B2874">
        <v>1757000</v>
      </c>
      <c r="C2874">
        <v>222000</v>
      </c>
    </row>
    <row r="2875" spans="1:3" x14ac:dyDescent="0.2">
      <c r="A2875" s="61">
        <v>44590</v>
      </c>
      <c r="B2875">
        <v>1743000</v>
      </c>
      <c r="C2875">
        <v>214000</v>
      </c>
    </row>
    <row r="2876" spans="1:3" x14ac:dyDescent="0.2">
      <c r="A2876" s="61">
        <v>44597</v>
      </c>
      <c r="B2876">
        <v>1714000</v>
      </c>
      <c r="C2876">
        <v>191000</v>
      </c>
    </row>
    <row r="2877" spans="1:3" x14ac:dyDescent="0.2">
      <c r="A2877" s="61">
        <v>44604</v>
      </c>
      <c r="B2877">
        <v>1633000</v>
      </c>
      <c r="C2877">
        <v>209000</v>
      </c>
    </row>
    <row r="2878" spans="1:3" x14ac:dyDescent="0.2">
      <c r="A2878" s="61">
        <v>44611</v>
      </c>
      <c r="B2878">
        <v>1623000</v>
      </c>
      <c r="C2878">
        <v>198000</v>
      </c>
    </row>
    <row r="2879" spans="1:3" x14ac:dyDescent="0.2">
      <c r="A2879" s="61">
        <v>44618</v>
      </c>
      <c r="B2879">
        <v>1664000</v>
      </c>
      <c r="C2879">
        <v>182000</v>
      </c>
    </row>
    <row r="2880" spans="1:3" x14ac:dyDescent="0.2">
      <c r="A2880" s="61">
        <v>44625</v>
      </c>
      <c r="B2880">
        <v>1594000</v>
      </c>
      <c r="C2880">
        <v>198000</v>
      </c>
    </row>
    <row r="2881" spans="1:3" x14ac:dyDescent="0.2">
      <c r="A2881" s="61">
        <v>44632</v>
      </c>
      <c r="B2881">
        <v>1542000</v>
      </c>
      <c r="C2881">
        <v>177000</v>
      </c>
    </row>
    <row r="2882" spans="1:3" x14ac:dyDescent="0.2">
      <c r="A2882" s="61">
        <v>44639</v>
      </c>
      <c r="B2882">
        <v>1506000</v>
      </c>
      <c r="C2882">
        <v>166000</v>
      </c>
    </row>
    <row r="2883" spans="1:3" x14ac:dyDescent="0.2">
      <c r="A2883" s="61">
        <v>44646</v>
      </c>
      <c r="B2883">
        <v>1529000</v>
      </c>
      <c r="C2883">
        <v>171000</v>
      </c>
    </row>
    <row r="2884" spans="1:3" x14ac:dyDescent="0.2">
      <c r="A2884" s="61">
        <v>44653</v>
      </c>
      <c r="B2884">
        <v>1474000</v>
      </c>
      <c r="C2884">
        <v>168000</v>
      </c>
    </row>
    <row r="2885" spans="1:3" x14ac:dyDescent="0.2">
      <c r="A2885" s="61">
        <v>44660</v>
      </c>
      <c r="B2885">
        <v>1407000</v>
      </c>
      <c r="C2885">
        <v>186000</v>
      </c>
    </row>
    <row r="2886" spans="1:3" x14ac:dyDescent="0.2">
      <c r="A2886" s="61">
        <v>44667</v>
      </c>
      <c r="B2886">
        <v>1403000</v>
      </c>
      <c r="C2886">
        <v>185000</v>
      </c>
    </row>
    <row r="2887" spans="1:3" x14ac:dyDescent="0.2">
      <c r="A2887" s="61">
        <v>44674</v>
      </c>
      <c r="B2887">
        <v>1387000</v>
      </c>
      <c r="C2887">
        <v>181000</v>
      </c>
    </row>
    <row r="2888" spans="1:3" x14ac:dyDescent="0.2">
      <c r="A2888" s="61">
        <v>44681</v>
      </c>
      <c r="B2888">
        <v>1342000</v>
      </c>
      <c r="C2888">
        <v>202000</v>
      </c>
    </row>
    <row r="2889" spans="1:3" x14ac:dyDescent="0.2">
      <c r="A2889" s="61">
        <v>44688</v>
      </c>
      <c r="B2889">
        <v>1315000</v>
      </c>
      <c r="C2889">
        <v>197000</v>
      </c>
    </row>
    <row r="2890" spans="1:3" x14ac:dyDescent="0.2">
      <c r="A2890" s="61">
        <v>44695</v>
      </c>
      <c r="B2890">
        <v>1343000</v>
      </c>
      <c r="C2890">
        <v>218000</v>
      </c>
    </row>
    <row r="2891" spans="1:3" x14ac:dyDescent="0.2">
      <c r="A2891" s="61">
        <v>44702</v>
      </c>
      <c r="B2891">
        <v>1306000</v>
      </c>
      <c r="C2891">
        <v>211000</v>
      </c>
    </row>
    <row r="2892" spans="1:3" x14ac:dyDescent="0.2">
      <c r="A2892" s="61">
        <v>44709</v>
      </c>
      <c r="B2892">
        <v>1309000</v>
      </c>
      <c r="C2892">
        <v>202000</v>
      </c>
    </row>
    <row r="2893" spans="1:3" x14ac:dyDescent="0.2">
      <c r="A2893" s="61">
        <v>44716</v>
      </c>
      <c r="B2893">
        <v>1310000</v>
      </c>
      <c r="C2893">
        <v>232000</v>
      </c>
    </row>
    <row r="2894" spans="1:3" x14ac:dyDescent="0.2">
      <c r="A2894" s="61">
        <v>44723</v>
      </c>
      <c r="B2894">
        <v>1331000</v>
      </c>
      <c r="C2894">
        <v>231000</v>
      </c>
    </row>
    <row r="2895" spans="1:3" x14ac:dyDescent="0.2">
      <c r="A2895" s="61">
        <v>44730</v>
      </c>
      <c r="B2895">
        <v>1324000</v>
      </c>
      <c r="C2895">
        <v>233000</v>
      </c>
    </row>
    <row r="2896" spans="1:3" x14ac:dyDescent="0.2">
      <c r="A2896" s="61">
        <v>44737</v>
      </c>
      <c r="B2896">
        <v>1372000</v>
      </c>
      <c r="C2896">
        <v>231000</v>
      </c>
    </row>
    <row r="2897" spans="1:3" x14ac:dyDescent="0.2">
      <c r="A2897" s="61">
        <v>44744</v>
      </c>
      <c r="B2897">
        <v>1333000</v>
      </c>
      <c r="C2897">
        <v>236000</v>
      </c>
    </row>
    <row r="2898" spans="1:3" x14ac:dyDescent="0.2">
      <c r="A2898" s="61">
        <v>44751</v>
      </c>
      <c r="B2898">
        <v>1384000</v>
      </c>
      <c r="C2898">
        <v>244000</v>
      </c>
    </row>
    <row r="2899" spans="1:3" x14ac:dyDescent="0.2">
      <c r="A2899" s="61">
        <v>44758</v>
      </c>
      <c r="B2899">
        <v>1365000</v>
      </c>
      <c r="C2899">
        <v>261000</v>
      </c>
    </row>
    <row r="2900" spans="1:3" x14ac:dyDescent="0.2">
      <c r="A2900" s="61">
        <v>44765</v>
      </c>
      <c r="B2900">
        <v>1420000</v>
      </c>
      <c r="C2900">
        <v>237000</v>
      </c>
    </row>
    <row r="2901" spans="1:3" x14ac:dyDescent="0.2">
      <c r="A2901" s="61">
        <v>44772</v>
      </c>
      <c r="B2901">
        <v>1430000</v>
      </c>
      <c r="C2901">
        <v>248000</v>
      </c>
    </row>
    <row r="2902" spans="1:3" x14ac:dyDescent="0.2">
      <c r="A2902" s="61">
        <v>44779</v>
      </c>
      <c r="B2902">
        <v>1434000</v>
      </c>
      <c r="C2902">
        <v>252000</v>
      </c>
    </row>
    <row r="2903" spans="1:3" x14ac:dyDescent="0.2">
      <c r="A2903" s="61">
        <v>44786</v>
      </c>
      <c r="B2903">
        <v>1412000</v>
      </c>
      <c r="C2903">
        <v>245000</v>
      </c>
    </row>
    <row r="2904" spans="1:3" x14ac:dyDescent="0.2">
      <c r="A2904" s="61">
        <v>44793</v>
      </c>
      <c r="B2904">
        <v>1437000</v>
      </c>
      <c r="C2904">
        <v>237000</v>
      </c>
    </row>
    <row r="2905" spans="1:3" x14ac:dyDescent="0.2">
      <c r="A2905" s="61">
        <v>44800</v>
      </c>
      <c r="B2905">
        <v>1402000</v>
      </c>
      <c r="C2905">
        <v>228000</v>
      </c>
    </row>
    <row r="2906" spans="1:3" x14ac:dyDescent="0.2">
      <c r="A2906" s="61">
        <v>44807</v>
      </c>
      <c r="B2906">
        <v>1400000</v>
      </c>
      <c r="C2906">
        <v>218000</v>
      </c>
    </row>
    <row r="2907" spans="1:3" x14ac:dyDescent="0.2">
      <c r="A2907" s="61">
        <v>44814</v>
      </c>
      <c r="B2907">
        <v>1376000</v>
      </c>
      <c r="C2907">
        <v>208000</v>
      </c>
    </row>
    <row r="2908" spans="1:3" x14ac:dyDescent="0.2">
      <c r="A2908" s="61">
        <v>44821</v>
      </c>
      <c r="B2908">
        <v>1346000</v>
      </c>
      <c r="C2908">
        <v>209000</v>
      </c>
    </row>
    <row r="2909" spans="1:3" x14ac:dyDescent="0.2">
      <c r="A2909" s="61">
        <v>44828</v>
      </c>
      <c r="B2909">
        <v>1361000</v>
      </c>
      <c r="C2909">
        <v>190000</v>
      </c>
    </row>
    <row r="2910" spans="1:3" x14ac:dyDescent="0.2">
      <c r="A2910" s="61">
        <v>44835</v>
      </c>
      <c r="C2910">
        <v>219000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6"/>
  <sheetViews>
    <sheetView zoomScale="190" zoomScaleNormal="190" workbookViewId="0">
      <pane ySplit="1" topLeftCell="A229"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25" width="8.83203125" style="49" customWidth="1"/>
    <col min="26"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row r="255" spans="1:2" x14ac:dyDescent="0.2">
      <c r="A255" s="61">
        <v>44804</v>
      </c>
      <c r="B255">
        <v>380</v>
      </c>
    </row>
    <row r="256" spans="1:2" x14ac:dyDescent="0.2">
      <c r="A256" s="61">
        <v>44839</v>
      </c>
      <c r="B256">
        <v>208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32" width="9.1640625" style="49" customWidth="1"/>
    <col min="33"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7.4</v>
      </c>
      <c r="X264">
        <v>2</v>
      </c>
      <c r="AL264">
        <v>7.8</v>
      </c>
    </row>
    <row r="265" spans="1:38" x14ac:dyDescent="0.2">
      <c r="A265" s="61">
        <v>28095</v>
      </c>
      <c r="E265">
        <v>7.5</v>
      </c>
      <c r="X265">
        <v>1.8</v>
      </c>
      <c r="AL265">
        <v>7.8</v>
      </c>
    </row>
    <row r="266" spans="1:38" x14ac:dyDescent="0.2">
      <c r="A266" s="61">
        <v>28126</v>
      </c>
      <c r="E266">
        <v>7.6</v>
      </c>
      <c r="X266">
        <v>1.9</v>
      </c>
      <c r="AL266">
        <v>7.5</v>
      </c>
    </row>
    <row r="267" spans="1:38" x14ac:dyDescent="0.2">
      <c r="A267" s="61">
        <v>28157</v>
      </c>
      <c r="E267">
        <v>7.9</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7.8</v>
      </c>
      <c r="X271">
        <v>2.1</v>
      </c>
      <c r="AL271">
        <v>7.2</v>
      </c>
    </row>
    <row r="272" spans="1:38" x14ac:dyDescent="0.2">
      <c r="A272" s="61">
        <v>28307</v>
      </c>
      <c r="E272">
        <v>8.1</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8.4</v>
      </c>
      <c r="X275">
        <v>1.9</v>
      </c>
      <c r="AL275">
        <v>6.8</v>
      </c>
    </row>
    <row r="276" spans="1:38" x14ac:dyDescent="0.2">
      <c r="A276" s="61">
        <v>28430</v>
      </c>
      <c r="E276">
        <v>8.5</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6.6445540000000003</v>
      </c>
      <c r="E279">
        <v>8.3000000000000007</v>
      </c>
      <c r="X279">
        <v>2.2000000000000002</v>
      </c>
      <c r="AL279">
        <v>6.3</v>
      </c>
    </row>
    <row r="280" spans="1:38" x14ac:dyDescent="0.2">
      <c r="A280" s="61">
        <v>28550</v>
      </c>
      <c r="B280">
        <v>6.3019910000000001</v>
      </c>
      <c r="E280">
        <v>8.5</v>
      </c>
      <c r="X280">
        <v>2.2000000000000002</v>
      </c>
      <c r="AL280">
        <v>6.3</v>
      </c>
    </row>
    <row r="281" spans="1:38" x14ac:dyDescent="0.2">
      <c r="A281" s="61">
        <v>28581</v>
      </c>
      <c r="B281">
        <v>6.2672429999999997</v>
      </c>
      <c r="E281">
        <v>8.4</v>
      </c>
      <c r="X281">
        <v>2.2000000000000002</v>
      </c>
      <c r="AL281">
        <v>6.1</v>
      </c>
    </row>
    <row r="282" spans="1:38" x14ac:dyDescent="0.2">
      <c r="A282" s="61">
        <v>28611</v>
      </c>
      <c r="B282">
        <v>6.2089439999999998</v>
      </c>
      <c r="E282">
        <v>8.6</v>
      </c>
      <c r="X282">
        <v>2.2999999999999998</v>
      </c>
      <c r="AL282">
        <v>6</v>
      </c>
    </row>
    <row r="283" spans="1:38" x14ac:dyDescent="0.2">
      <c r="A283" s="61">
        <v>28642</v>
      </c>
      <c r="B283">
        <v>6.3029400000000004</v>
      </c>
      <c r="E283">
        <v>8.4</v>
      </c>
      <c r="X283">
        <v>2.2999999999999998</v>
      </c>
      <c r="AL283">
        <v>5.9</v>
      </c>
    </row>
    <row r="284" spans="1:38" x14ac:dyDescent="0.2">
      <c r="A284" s="61">
        <v>28672</v>
      </c>
      <c r="B284">
        <v>6.2229919999999996</v>
      </c>
      <c r="E284">
        <v>8.3000000000000007</v>
      </c>
      <c r="X284">
        <v>2.2000000000000002</v>
      </c>
      <c r="AL284">
        <v>6.2</v>
      </c>
    </row>
    <row r="285" spans="1:38" x14ac:dyDescent="0.2">
      <c r="A285" s="61">
        <v>28703</v>
      </c>
      <c r="B285">
        <v>6.4898639999999999</v>
      </c>
      <c r="E285">
        <v>8.4</v>
      </c>
      <c r="X285">
        <v>2.2999999999999998</v>
      </c>
      <c r="AL285">
        <v>5.9</v>
      </c>
    </row>
    <row r="286" spans="1:38" x14ac:dyDescent="0.2">
      <c r="A286" s="61">
        <v>28734</v>
      </c>
      <c r="B286">
        <v>6.2569210000000002</v>
      </c>
      <c r="E286">
        <v>8.4</v>
      </c>
      <c r="X286">
        <v>2.4</v>
      </c>
      <c r="AL286">
        <v>6</v>
      </c>
    </row>
    <row r="287" spans="1:38" x14ac:dyDescent="0.2">
      <c r="A287" s="61">
        <v>28764</v>
      </c>
      <c r="B287">
        <v>6.1627619999999999</v>
      </c>
      <c r="E287">
        <v>8.1999999999999993</v>
      </c>
      <c r="X287">
        <v>2.2000000000000002</v>
      </c>
      <c r="AL287">
        <v>5.8</v>
      </c>
    </row>
    <row r="288" spans="1:38" x14ac:dyDescent="0.2">
      <c r="A288" s="61">
        <v>28795</v>
      </c>
      <c r="B288">
        <v>6.3297230000000004</v>
      </c>
      <c r="E288">
        <v>8.3000000000000007</v>
      </c>
      <c r="X288">
        <v>2.2000000000000002</v>
      </c>
      <c r="AL288">
        <v>5.9</v>
      </c>
    </row>
    <row r="289" spans="1:38" x14ac:dyDescent="0.2">
      <c r="A289" s="61">
        <v>28825</v>
      </c>
      <c r="B289">
        <v>6.4045759999999996</v>
      </c>
      <c r="E289">
        <v>8.3000000000000007</v>
      </c>
      <c r="X289">
        <v>2.2000000000000002</v>
      </c>
      <c r="AL289">
        <v>6</v>
      </c>
    </row>
    <row r="290" spans="1:38" x14ac:dyDescent="0.2">
      <c r="A290" s="61">
        <v>28856</v>
      </c>
      <c r="B290">
        <v>6.3705059999999998</v>
      </c>
      <c r="E290">
        <v>8.1999999999999993</v>
      </c>
      <c r="X290">
        <v>2.2000000000000002</v>
      </c>
      <c r="AL290">
        <v>5.9</v>
      </c>
    </row>
    <row r="291" spans="1:38" x14ac:dyDescent="0.2">
      <c r="A291" s="61">
        <v>28887</v>
      </c>
      <c r="B291">
        <v>6.2568330000000003</v>
      </c>
      <c r="E291">
        <v>8</v>
      </c>
      <c r="X291">
        <v>2</v>
      </c>
      <c r="AL291">
        <v>5.9</v>
      </c>
    </row>
    <row r="292" spans="1:38" x14ac:dyDescent="0.2">
      <c r="A292" s="61">
        <v>28915</v>
      </c>
      <c r="B292">
        <v>6.3022299999999998</v>
      </c>
      <c r="E292">
        <v>7.9</v>
      </c>
      <c r="X292">
        <v>2.1</v>
      </c>
      <c r="AL292">
        <v>5.8</v>
      </c>
    </row>
    <row r="293" spans="1:38" x14ac:dyDescent="0.2">
      <c r="A293" s="61">
        <v>28946</v>
      </c>
      <c r="B293">
        <v>6.4981350000000004</v>
      </c>
      <c r="E293">
        <v>8</v>
      </c>
      <c r="X293">
        <v>2.1</v>
      </c>
      <c r="AL293">
        <v>5.8</v>
      </c>
    </row>
    <row r="294" spans="1:38" x14ac:dyDescent="0.2">
      <c r="A294" s="61">
        <v>28976</v>
      </c>
      <c r="B294">
        <v>6.2030609999999999</v>
      </c>
      <c r="E294">
        <v>7.6</v>
      </c>
      <c r="X294">
        <v>2</v>
      </c>
      <c r="AL294">
        <v>5.6</v>
      </c>
    </row>
    <row r="295" spans="1:38" x14ac:dyDescent="0.2">
      <c r="A295" s="61">
        <v>29007</v>
      </c>
      <c r="B295">
        <v>6.250591</v>
      </c>
      <c r="E295">
        <v>7.4</v>
      </c>
      <c r="X295">
        <v>2</v>
      </c>
      <c r="AL295">
        <v>5.7</v>
      </c>
    </row>
    <row r="296" spans="1:38" x14ac:dyDescent="0.2">
      <c r="A296" s="61">
        <v>29037</v>
      </c>
      <c r="B296">
        <v>6.2743070000000003</v>
      </c>
      <c r="E296">
        <v>7.2</v>
      </c>
      <c r="X296">
        <v>2.2000000000000002</v>
      </c>
      <c r="AL296">
        <v>5.7</v>
      </c>
    </row>
    <row r="297" spans="1:38" x14ac:dyDescent="0.2">
      <c r="A297" s="61">
        <v>29068</v>
      </c>
      <c r="B297">
        <v>6.117572</v>
      </c>
      <c r="E297">
        <v>7.1</v>
      </c>
      <c r="X297">
        <v>2.2000000000000002</v>
      </c>
      <c r="AL297">
        <v>6</v>
      </c>
    </row>
    <row r="298" spans="1:38" x14ac:dyDescent="0.2">
      <c r="A298" s="61">
        <v>29099</v>
      </c>
      <c r="B298">
        <v>6.2313710000000002</v>
      </c>
      <c r="E298">
        <v>7</v>
      </c>
      <c r="X298">
        <v>2</v>
      </c>
      <c r="AL298">
        <v>5.9</v>
      </c>
    </row>
    <row r="299" spans="1:38" x14ac:dyDescent="0.2">
      <c r="A299" s="61">
        <v>29129</v>
      </c>
      <c r="B299">
        <v>6.3831069999999999</v>
      </c>
      <c r="E299">
        <v>7.2</v>
      </c>
      <c r="X299">
        <v>2.1</v>
      </c>
      <c r="AL299">
        <v>6</v>
      </c>
    </row>
    <row r="300" spans="1:38" x14ac:dyDescent="0.2">
      <c r="A300" s="61">
        <v>29160</v>
      </c>
      <c r="B300">
        <v>6.0438039999999997</v>
      </c>
      <c r="E300">
        <v>7.2</v>
      </c>
      <c r="X300">
        <v>2.1</v>
      </c>
      <c r="AL300">
        <v>5.9</v>
      </c>
    </row>
    <row r="301" spans="1:38" x14ac:dyDescent="0.2">
      <c r="A301" s="61">
        <v>29190</v>
      </c>
      <c r="B301">
        <v>6.1193470000000003</v>
      </c>
      <c r="E301">
        <v>7.2</v>
      </c>
      <c r="X301">
        <v>2</v>
      </c>
      <c r="AL301">
        <v>6</v>
      </c>
    </row>
    <row r="302" spans="1:38" x14ac:dyDescent="0.2">
      <c r="A302" s="61">
        <v>29221</v>
      </c>
      <c r="B302">
        <v>6.1460559999999997</v>
      </c>
      <c r="E302">
        <v>7.5</v>
      </c>
      <c r="X302">
        <v>1.9</v>
      </c>
      <c r="AL302">
        <v>6.3</v>
      </c>
    </row>
    <row r="303" spans="1:38" x14ac:dyDescent="0.2">
      <c r="A303" s="61">
        <v>29252</v>
      </c>
      <c r="B303">
        <v>5.9983709999999997</v>
      </c>
      <c r="E303">
        <v>7.6</v>
      </c>
      <c r="X303">
        <v>1.9</v>
      </c>
      <c r="AL303">
        <v>6.3</v>
      </c>
    </row>
    <row r="304" spans="1:38" x14ac:dyDescent="0.2">
      <c r="A304" s="61">
        <v>29281</v>
      </c>
      <c r="B304">
        <v>5.9358029999999999</v>
      </c>
      <c r="E304">
        <v>7.6</v>
      </c>
      <c r="X304">
        <v>1.9</v>
      </c>
      <c r="AL304">
        <v>6.3</v>
      </c>
    </row>
    <row r="305" spans="1:38" x14ac:dyDescent="0.2">
      <c r="A305" s="61">
        <v>29312</v>
      </c>
      <c r="B305">
        <v>6.1134529999999998</v>
      </c>
      <c r="E305">
        <v>7.7</v>
      </c>
      <c r="X305">
        <v>2</v>
      </c>
      <c r="AL305">
        <v>6.9</v>
      </c>
    </row>
    <row r="306" spans="1:38" x14ac:dyDescent="0.2">
      <c r="A306" s="61">
        <v>29342</v>
      </c>
      <c r="B306">
        <v>6.2450640000000002</v>
      </c>
      <c r="E306">
        <v>7.8</v>
      </c>
      <c r="X306">
        <v>2</v>
      </c>
      <c r="AL306">
        <v>7.5</v>
      </c>
    </row>
    <row r="307" spans="1:38" x14ac:dyDescent="0.2">
      <c r="A307" s="61">
        <v>29373</v>
      </c>
      <c r="B307">
        <v>6.3220700000000001</v>
      </c>
      <c r="E307">
        <v>7.7</v>
      </c>
      <c r="X307">
        <v>1.9</v>
      </c>
      <c r="AL307">
        <v>7.6</v>
      </c>
    </row>
    <row r="308" spans="1:38" x14ac:dyDescent="0.2">
      <c r="A308" s="61">
        <v>29403</v>
      </c>
      <c r="B308">
        <v>6.0776050000000001</v>
      </c>
      <c r="E308">
        <v>7.6</v>
      </c>
      <c r="X308">
        <v>2</v>
      </c>
      <c r="AL308">
        <v>7.8</v>
      </c>
    </row>
    <row r="309" spans="1:38" x14ac:dyDescent="0.2">
      <c r="A309" s="61">
        <v>29434</v>
      </c>
      <c r="B309">
        <v>6.1762829999999997</v>
      </c>
      <c r="E309">
        <v>7.6</v>
      </c>
      <c r="X309">
        <v>2.1</v>
      </c>
      <c r="AL309">
        <v>7.7</v>
      </c>
    </row>
    <row r="310" spans="1:38" x14ac:dyDescent="0.2">
      <c r="A310" s="61">
        <v>29465</v>
      </c>
      <c r="B310">
        <v>6.1398669999999997</v>
      </c>
      <c r="E310">
        <v>7.3</v>
      </c>
      <c r="X310">
        <v>2</v>
      </c>
      <c r="AL310">
        <v>7.5</v>
      </c>
    </row>
    <row r="311" spans="1:38" x14ac:dyDescent="0.2">
      <c r="A311" s="61">
        <v>29495</v>
      </c>
      <c r="B311">
        <v>6.0544359999999999</v>
      </c>
      <c r="E311">
        <v>7.3</v>
      </c>
      <c r="X311">
        <v>2.1</v>
      </c>
      <c r="AL311">
        <v>7.5</v>
      </c>
    </row>
    <row r="312" spans="1:38" x14ac:dyDescent="0.2">
      <c r="A312" s="61">
        <v>29526</v>
      </c>
      <c r="B312">
        <v>5.8492360000000003</v>
      </c>
      <c r="E312">
        <v>7.2</v>
      </c>
      <c r="X312">
        <v>2.2000000000000002</v>
      </c>
      <c r="AL312">
        <v>7.5</v>
      </c>
    </row>
    <row r="313" spans="1:38" x14ac:dyDescent="0.2">
      <c r="A313" s="61">
        <v>29556</v>
      </c>
      <c r="B313">
        <v>6.0503369999999999</v>
      </c>
      <c r="E313">
        <v>7.3</v>
      </c>
      <c r="X313">
        <v>2.2000000000000002</v>
      </c>
      <c r="AL313">
        <v>7.2</v>
      </c>
    </row>
    <row r="314" spans="1:38" x14ac:dyDescent="0.2">
      <c r="A314" s="61">
        <v>29587</v>
      </c>
      <c r="B314">
        <v>5.9157830000000002</v>
      </c>
      <c r="E314">
        <v>7.4</v>
      </c>
      <c r="X314">
        <v>2.1</v>
      </c>
      <c r="AL314">
        <v>7.5</v>
      </c>
    </row>
    <row r="315" spans="1:38" x14ac:dyDescent="0.2">
      <c r="A315" s="61">
        <v>29618</v>
      </c>
      <c r="B315">
        <v>5.6161919999999999</v>
      </c>
      <c r="E315">
        <v>7.4</v>
      </c>
      <c r="X315">
        <v>2.2999999999999998</v>
      </c>
      <c r="AL315">
        <v>7.4</v>
      </c>
    </row>
    <row r="316" spans="1:38" x14ac:dyDescent="0.2">
      <c r="A316" s="61">
        <v>29646</v>
      </c>
      <c r="B316">
        <v>5.7451949999999998</v>
      </c>
      <c r="E316">
        <v>7.4</v>
      </c>
      <c r="X316">
        <v>2.2000000000000002</v>
      </c>
      <c r="AL316">
        <v>7.4</v>
      </c>
    </row>
    <row r="317" spans="1:38" x14ac:dyDescent="0.2">
      <c r="A317" s="61">
        <v>29677</v>
      </c>
      <c r="B317">
        <v>5.5547110000000002</v>
      </c>
      <c r="E317">
        <v>7.1</v>
      </c>
      <c r="X317">
        <v>2.2000000000000002</v>
      </c>
      <c r="AL317">
        <v>7.2</v>
      </c>
    </row>
    <row r="318" spans="1:38" x14ac:dyDescent="0.2">
      <c r="A318" s="61">
        <v>29707</v>
      </c>
      <c r="B318">
        <v>5.5879500000000002</v>
      </c>
      <c r="E318">
        <v>7.2</v>
      </c>
      <c r="X318">
        <v>2.2999999999999998</v>
      </c>
      <c r="AL318">
        <v>7.5</v>
      </c>
    </row>
    <row r="319" spans="1:38" x14ac:dyDescent="0.2">
      <c r="A319" s="61">
        <v>29738</v>
      </c>
      <c r="B319">
        <v>5.3733890000000004</v>
      </c>
      <c r="E319">
        <v>7.2</v>
      </c>
      <c r="X319">
        <v>2.2999999999999998</v>
      </c>
      <c r="AL319">
        <v>7.5</v>
      </c>
    </row>
    <row r="320" spans="1:38" x14ac:dyDescent="0.2">
      <c r="A320" s="61">
        <v>29768</v>
      </c>
      <c r="B320">
        <v>5.8276539999999999</v>
      </c>
      <c r="E320">
        <v>7.2</v>
      </c>
      <c r="X320">
        <v>2.2000000000000002</v>
      </c>
      <c r="AL320">
        <v>7.2</v>
      </c>
    </row>
    <row r="321" spans="1:38" x14ac:dyDescent="0.2">
      <c r="A321" s="61">
        <v>29799</v>
      </c>
      <c r="B321">
        <v>5.8454839999999999</v>
      </c>
      <c r="E321">
        <v>7.1</v>
      </c>
      <c r="X321">
        <v>2.1</v>
      </c>
      <c r="AL321">
        <v>7.4</v>
      </c>
    </row>
    <row r="322" spans="1:38" x14ac:dyDescent="0.2">
      <c r="A322" s="61">
        <v>29830</v>
      </c>
      <c r="B322">
        <v>5.8109909999999996</v>
      </c>
      <c r="E322">
        <v>8.1</v>
      </c>
      <c r="X322">
        <v>2.2000000000000002</v>
      </c>
      <c r="AL322">
        <v>7.6</v>
      </c>
    </row>
    <row r="323" spans="1:38" x14ac:dyDescent="0.2">
      <c r="A323" s="61">
        <v>29860</v>
      </c>
      <c r="B323">
        <v>5.8716970000000002</v>
      </c>
      <c r="E323">
        <v>8.3000000000000007</v>
      </c>
      <c r="X323">
        <v>2.2000000000000002</v>
      </c>
      <c r="AL323">
        <v>7.9</v>
      </c>
    </row>
    <row r="324" spans="1:38" x14ac:dyDescent="0.2">
      <c r="A324" s="61">
        <v>29891</v>
      </c>
      <c r="B324">
        <v>5.9939660000000003</v>
      </c>
      <c r="E324">
        <v>8.3000000000000007</v>
      </c>
      <c r="X324">
        <v>2.2000000000000002</v>
      </c>
      <c r="AL324">
        <v>8.3000000000000007</v>
      </c>
    </row>
    <row r="325" spans="1:38" x14ac:dyDescent="0.2">
      <c r="A325" s="61">
        <v>29921</v>
      </c>
      <c r="B325">
        <v>6.0260439999999997</v>
      </c>
      <c r="E325">
        <v>8.6999999999999993</v>
      </c>
      <c r="X325">
        <v>2.2000000000000002</v>
      </c>
      <c r="AL325">
        <v>8.5</v>
      </c>
    </row>
    <row r="326" spans="1:38" x14ac:dyDescent="0.2">
      <c r="A326" s="61">
        <v>29952</v>
      </c>
      <c r="B326">
        <v>5.9817489999999998</v>
      </c>
      <c r="E326">
        <v>8.6</v>
      </c>
      <c r="X326">
        <v>2.2000000000000002</v>
      </c>
      <c r="AL326">
        <v>8.6</v>
      </c>
    </row>
    <row r="327" spans="1:38" x14ac:dyDescent="0.2">
      <c r="A327" s="61">
        <v>29983</v>
      </c>
      <c r="B327">
        <v>6.3080299999999996</v>
      </c>
      <c r="E327">
        <v>8.9</v>
      </c>
      <c r="X327">
        <v>2.2000000000000002</v>
      </c>
      <c r="AL327">
        <v>8.9</v>
      </c>
    </row>
    <row r="328" spans="1:38" x14ac:dyDescent="0.2">
      <c r="A328" s="61">
        <v>30011</v>
      </c>
      <c r="B328">
        <v>6.3219969999999996</v>
      </c>
      <c r="E328">
        <v>9.3000000000000007</v>
      </c>
      <c r="X328">
        <v>2.2999999999999998</v>
      </c>
      <c r="AL328">
        <v>9</v>
      </c>
    </row>
    <row r="329" spans="1:38" x14ac:dyDescent="0.2">
      <c r="A329" s="61">
        <v>30042</v>
      </c>
      <c r="B329">
        <v>6.3320239999999997</v>
      </c>
      <c r="E329">
        <v>9.8000000000000007</v>
      </c>
      <c r="X329">
        <v>2.2999999999999998</v>
      </c>
      <c r="AL329">
        <v>9.3000000000000007</v>
      </c>
    </row>
    <row r="330" spans="1:38" x14ac:dyDescent="0.2">
      <c r="A330" s="61">
        <v>30072</v>
      </c>
      <c r="B330">
        <v>6.5916579999999998</v>
      </c>
      <c r="E330">
        <v>10.3</v>
      </c>
      <c r="X330">
        <v>2.2999999999999998</v>
      </c>
      <c r="AL330">
        <v>9.4</v>
      </c>
    </row>
    <row r="331" spans="1:38" x14ac:dyDescent="0.2">
      <c r="A331" s="61">
        <v>30103</v>
      </c>
      <c r="B331">
        <v>6.765898</v>
      </c>
      <c r="E331">
        <v>11.1</v>
      </c>
      <c r="X331">
        <v>2.4</v>
      </c>
      <c r="AL331">
        <v>9.6</v>
      </c>
    </row>
    <row r="332" spans="1:38" x14ac:dyDescent="0.2">
      <c r="A332" s="61">
        <v>30133</v>
      </c>
      <c r="B332">
        <v>6.8832180000000003</v>
      </c>
      <c r="E332">
        <v>11.9</v>
      </c>
      <c r="X332">
        <v>2.4</v>
      </c>
      <c r="AL332">
        <v>9.8000000000000007</v>
      </c>
    </row>
    <row r="333" spans="1:38" x14ac:dyDescent="0.2">
      <c r="A333" s="61">
        <v>30164</v>
      </c>
      <c r="B333">
        <v>7.0106919999999997</v>
      </c>
      <c r="E333">
        <v>12</v>
      </c>
      <c r="X333">
        <v>2.2999999999999998</v>
      </c>
      <c r="AL333">
        <v>9.8000000000000007</v>
      </c>
    </row>
    <row r="334" spans="1:38" x14ac:dyDescent="0.2">
      <c r="A334" s="61">
        <v>30195</v>
      </c>
      <c r="B334">
        <v>7.4283190000000001</v>
      </c>
      <c r="E334">
        <v>12.4</v>
      </c>
      <c r="X334">
        <v>2.4</v>
      </c>
      <c r="AL334">
        <v>10.1</v>
      </c>
    </row>
    <row r="335" spans="1:38" x14ac:dyDescent="0.2">
      <c r="A335" s="61">
        <v>30225</v>
      </c>
      <c r="B335">
        <v>8.2938360000000007</v>
      </c>
      <c r="E335">
        <v>12.9</v>
      </c>
      <c r="X335">
        <v>2.5</v>
      </c>
      <c r="AL335">
        <v>10.4</v>
      </c>
    </row>
    <row r="336" spans="1:38" x14ac:dyDescent="0.2">
      <c r="A336" s="61">
        <v>30256</v>
      </c>
      <c r="B336">
        <v>8.6781330000000008</v>
      </c>
      <c r="E336">
        <v>12.9</v>
      </c>
      <c r="X336">
        <v>2.4</v>
      </c>
      <c r="AL336">
        <v>10.8</v>
      </c>
    </row>
    <row r="337" spans="1:38" x14ac:dyDescent="0.2">
      <c r="A337" s="61">
        <v>30286</v>
      </c>
      <c r="B337">
        <v>9.4006980000000002</v>
      </c>
      <c r="E337">
        <v>13.1</v>
      </c>
      <c r="X337">
        <v>2.5</v>
      </c>
      <c r="AL337">
        <v>10.8</v>
      </c>
    </row>
    <row r="338" spans="1:38" x14ac:dyDescent="0.2">
      <c r="A338" s="61">
        <v>30317</v>
      </c>
      <c r="B338">
        <v>9.2984939999999998</v>
      </c>
      <c r="D338">
        <v>10.4</v>
      </c>
      <c r="E338">
        <v>12.7</v>
      </c>
      <c r="J338">
        <v>8.1</v>
      </c>
      <c r="O338">
        <v>8.3000000000000007</v>
      </c>
      <c r="Q338">
        <v>10.7</v>
      </c>
      <c r="T338">
        <v>12.9</v>
      </c>
      <c r="W338">
        <v>6.9</v>
      </c>
      <c r="X338">
        <v>2.7</v>
      </c>
      <c r="Z338">
        <v>3.3</v>
      </c>
      <c r="AC338">
        <v>9.5</v>
      </c>
      <c r="AG338">
        <v>8.1</v>
      </c>
      <c r="AJ338">
        <v>3.4</v>
      </c>
      <c r="AL338">
        <v>10.4</v>
      </c>
    </row>
    <row r="339" spans="1:38" x14ac:dyDescent="0.2">
      <c r="A339" s="61">
        <v>30348</v>
      </c>
      <c r="B339">
        <v>9.6579660000000001</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9.9498990000000003</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10.152089999999999</v>
      </c>
      <c r="D341">
        <v>10.6</v>
      </c>
      <c r="E341">
        <v>12.4</v>
      </c>
      <c r="J341">
        <v>8.4</v>
      </c>
      <c r="O341">
        <v>8.3000000000000007</v>
      </c>
      <c r="Q341">
        <v>11</v>
      </c>
      <c r="T341">
        <v>13.5</v>
      </c>
      <c r="W341">
        <v>7.2</v>
      </c>
      <c r="X341">
        <v>2.7</v>
      </c>
      <c r="Z341">
        <v>3.3</v>
      </c>
      <c r="AC341">
        <v>9.5</v>
      </c>
      <c r="AG341">
        <v>8.5</v>
      </c>
      <c r="AJ341">
        <v>3.4</v>
      </c>
      <c r="AL341">
        <v>10.199999999999999</v>
      </c>
    </row>
    <row r="342" spans="1:38" x14ac:dyDescent="0.2">
      <c r="A342" s="61">
        <v>30437</v>
      </c>
      <c r="B342">
        <v>10.32147</v>
      </c>
      <c r="D342">
        <v>10.7</v>
      </c>
      <c r="E342">
        <v>12.4</v>
      </c>
      <c r="J342">
        <v>8.4</v>
      </c>
      <c r="O342">
        <v>8.5</v>
      </c>
      <c r="Q342">
        <v>10.9</v>
      </c>
      <c r="T342">
        <v>13.7</v>
      </c>
      <c r="W342">
        <v>7.3</v>
      </c>
      <c r="X342">
        <v>2.7</v>
      </c>
      <c r="Z342">
        <v>3.5</v>
      </c>
      <c r="AC342">
        <v>9.5</v>
      </c>
      <c r="AG342">
        <v>8.8000000000000007</v>
      </c>
      <c r="AJ342">
        <v>3.7</v>
      </c>
      <c r="AL342">
        <v>10.1</v>
      </c>
    </row>
    <row r="343" spans="1:38" x14ac:dyDescent="0.2">
      <c r="A343" s="61">
        <v>30468</v>
      </c>
      <c r="B343">
        <v>10.20194</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10.519920000000001</v>
      </c>
      <c r="D344">
        <v>10.8</v>
      </c>
      <c r="E344">
        <v>11.9</v>
      </c>
      <c r="J344">
        <v>8.5</v>
      </c>
      <c r="O344">
        <v>8.9</v>
      </c>
      <c r="Q344">
        <v>10.9</v>
      </c>
      <c r="T344">
        <v>14</v>
      </c>
      <c r="W344">
        <v>7.4</v>
      </c>
      <c r="X344">
        <v>2.6</v>
      </c>
      <c r="Z344">
        <v>3.6</v>
      </c>
      <c r="AC344">
        <v>9.5</v>
      </c>
      <c r="AG344">
        <v>9.1999999999999993</v>
      </c>
      <c r="AJ344">
        <v>3.7</v>
      </c>
      <c r="AL344">
        <v>9.4</v>
      </c>
    </row>
    <row r="345" spans="1:38" x14ac:dyDescent="0.2">
      <c r="A345" s="61">
        <v>30529</v>
      </c>
      <c r="B345">
        <v>10.2179</v>
      </c>
      <c r="D345">
        <v>10.8</v>
      </c>
      <c r="E345">
        <v>11.7</v>
      </c>
      <c r="J345">
        <v>8.5</v>
      </c>
      <c r="O345">
        <v>9</v>
      </c>
      <c r="Q345">
        <v>10.9</v>
      </c>
      <c r="T345">
        <v>14.1</v>
      </c>
      <c r="W345">
        <v>7.4</v>
      </c>
      <c r="X345">
        <v>2.8</v>
      </c>
      <c r="Z345">
        <v>3.7</v>
      </c>
      <c r="AC345">
        <v>9.5</v>
      </c>
      <c r="AG345">
        <v>9.4</v>
      </c>
      <c r="AJ345">
        <v>3.8</v>
      </c>
      <c r="AL345">
        <v>9.5</v>
      </c>
    </row>
    <row r="346" spans="1:38" x14ac:dyDescent="0.2">
      <c r="A346" s="61">
        <v>30560</v>
      </c>
      <c r="B346">
        <v>10.33649</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10.00662</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9.6527989999999999</v>
      </c>
      <c r="D348">
        <v>11</v>
      </c>
      <c r="E348">
        <v>11.3</v>
      </c>
      <c r="J348">
        <v>8.4</v>
      </c>
      <c r="O348">
        <v>9.4</v>
      </c>
      <c r="Q348">
        <v>10.8</v>
      </c>
      <c r="T348">
        <v>14.6</v>
      </c>
      <c r="W348">
        <v>7.7</v>
      </c>
      <c r="X348">
        <v>2.6</v>
      </c>
      <c r="Z348">
        <v>3.4</v>
      </c>
      <c r="AC348">
        <v>9.5</v>
      </c>
      <c r="AG348">
        <v>9.3000000000000007</v>
      </c>
      <c r="AJ348">
        <v>3.7</v>
      </c>
      <c r="AL348">
        <v>8.5</v>
      </c>
    </row>
    <row r="349" spans="1:38" x14ac:dyDescent="0.2">
      <c r="A349" s="61">
        <v>30651</v>
      </c>
      <c r="B349">
        <v>9.4559309999999996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9.4964759999999995</v>
      </c>
      <c r="D350">
        <v>10.9</v>
      </c>
      <c r="E350">
        <v>11.3</v>
      </c>
      <c r="J350">
        <v>8.3000000000000007</v>
      </c>
      <c r="O350">
        <v>9.6</v>
      </c>
      <c r="Q350">
        <v>10.7</v>
      </c>
      <c r="T350">
        <v>14.9</v>
      </c>
      <c r="W350">
        <v>7.9</v>
      </c>
      <c r="X350">
        <v>2.7</v>
      </c>
      <c r="Z350">
        <v>3.3</v>
      </c>
      <c r="AC350">
        <v>9.5</v>
      </c>
      <c r="AG350">
        <v>9.4</v>
      </c>
      <c r="AJ350">
        <v>3.7</v>
      </c>
      <c r="AL350">
        <v>8</v>
      </c>
    </row>
    <row r="351" spans="1:38" x14ac:dyDescent="0.2">
      <c r="A351" s="61">
        <v>30713</v>
      </c>
      <c r="B351">
        <v>9.3849859999999996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9.2068320000000003</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9.3704370000000008</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8.9350109999999994</v>
      </c>
      <c r="D354">
        <v>10.8</v>
      </c>
      <c r="E354">
        <v>11.7</v>
      </c>
      <c r="J354">
        <v>8</v>
      </c>
      <c r="O354">
        <v>9.9</v>
      </c>
      <c r="Q354">
        <v>10.7</v>
      </c>
      <c r="T354">
        <v>15.4</v>
      </c>
      <c r="W354">
        <v>7.8</v>
      </c>
      <c r="X354">
        <v>2.7</v>
      </c>
      <c r="Z354">
        <v>2.9</v>
      </c>
      <c r="AC354">
        <v>9.4</v>
      </c>
      <c r="AG354">
        <v>9.5</v>
      </c>
      <c r="AJ354">
        <v>3.3</v>
      </c>
      <c r="AL354">
        <v>7.4</v>
      </c>
    </row>
    <row r="355" spans="1:38" x14ac:dyDescent="0.2">
      <c r="A355" s="61">
        <v>30834</v>
      </c>
      <c r="B355">
        <v>9.0939449999999997</v>
      </c>
      <c r="D355">
        <v>10.8</v>
      </c>
      <c r="E355">
        <v>11.3</v>
      </c>
      <c r="J355">
        <v>8</v>
      </c>
      <c r="O355">
        <v>10</v>
      </c>
      <c r="Q355">
        <v>10.8</v>
      </c>
      <c r="T355">
        <v>15.4</v>
      </c>
      <c r="W355">
        <v>7.8</v>
      </c>
      <c r="X355">
        <v>2.8</v>
      </c>
      <c r="Z355">
        <v>2.9</v>
      </c>
      <c r="AC355">
        <v>9.3000000000000007</v>
      </c>
      <c r="AG355">
        <v>9.6</v>
      </c>
      <c r="AJ355">
        <v>3.2</v>
      </c>
      <c r="AL355">
        <v>7.2</v>
      </c>
    </row>
    <row r="356" spans="1:38" x14ac:dyDescent="0.2">
      <c r="A356" s="61">
        <v>30864</v>
      </c>
      <c r="B356">
        <v>8.9173570000000009</v>
      </c>
      <c r="D356">
        <v>10.8</v>
      </c>
      <c r="E356">
        <v>11.2</v>
      </c>
      <c r="J356">
        <v>7.9</v>
      </c>
      <c r="O356">
        <v>10.1</v>
      </c>
      <c r="Q356">
        <v>10.9</v>
      </c>
      <c r="T356">
        <v>15.5</v>
      </c>
      <c r="W356">
        <v>7.8</v>
      </c>
      <c r="X356">
        <v>2.8</v>
      </c>
      <c r="Z356">
        <v>3</v>
      </c>
      <c r="AC356">
        <v>9.3000000000000007</v>
      </c>
      <c r="AG356">
        <v>9.6</v>
      </c>
      <c r="AJ356">
        <v>3.3</v>
      </c>
      <c r="AL356">
        <v>7.5</v>
      </c>
    </row>
    <row r="357" spans="1:38" x14ac:dyDescent="0.2">
      <c r="A357" s="61">
        <v>30895</v>
      </c>
      <c r="B357">
        <v>8.8274889999999999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8.7338079999999998</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8.6941030000000001</v>
      </c>
      <c r="D359">
        <v>10.8</v>
      </c>
      <c r="E359">
        <v>11.3</v>
      </c>
      <c r="J359">
        <v>7.7</v>
      </c>
      <c r="O359">
        <v>10.4</v>
      </c>
      <c r="Q359">
        <v>11</v>
      </c>
      <c r="T359">
        <v>15.8</v>
      </c>
      <c r="W359">
        <v>7.8</v>
      </c>
      <c r="X359">
        <v>2.7</v>
      </c>
      <c r="Z359">
        <v>3</v>
      </c>
      <c r="AC359">
        <v>9.1</v>
      </c>
      <c r="AG359">
        <v>9.8000000000000007</v>
      </c>
      <c r="AJ359">
        <v>3.3</v>
      </c>
      <c r="AL359">
        <v>7.4</v>
      </c>
    </row>
    <row r="360" spans="1:38" x14ac:dyDescent="0.2">
      <c r="A360" s="61">
        <v>30987</v>
      </c>
      <c r="B360">
        <v>8.6777560000000005</v>
      </c>
      <c r="D360">
        <v>10.8</v>
      </c>
      <c r="E360">
        <v>11.4</v>
      </c>
      <c r="J360">
        <v>7.6</v>
      </c>
      <c r="O360">
        <v>10.4</v>
      </c>
      <c r="Q360">
        <v>11.1</v>
      </c>
      <c r="T360">
        <v>16</v>
      </c>
      <c r="W360">
        <v>7.8</v>
      </c>
      <c r="X360">
        <v>2.7</v>
      </c>
      <c r="Z360">
        <v>3</v>
      </c>
      <c r="AC360">
        <v>9</v>
      </c>
      <c r="AG360">
        <v>9.9</v>
      </c>
      <c r="AJ360">
        <v>3</v>
      </c>
      <c r="AL360">
        <v>7.2</v>
      </c>
    </row>
    <row r="361" spans="1:38" x14ac:dyDescent="0.2">
      <c r="A361" s="61">
        <v>31017</v>
      </c>
      <c r="B361">
        <v>8.5181489999999993</v>
      </c>
      <c r="D361">
        <v>10.7</v>
      </c>
      <c r="E361">
        <v>11.1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8.5499159999999996</v>
      </c>
      <c r="D362">
        <v>10.6</v>
      </c>
      <c r="E362">
        <v>10.6</v>
      </c>
      <c r="J362">
        <v>7.4</v>
      </c>
      <c r="O362">
        <v>10.4</v>
      </c>
      <c r="Q362">
        <v>11.2</v>
      </c>
      <c r="T362">
        <v>16.3</v>
      </c>
      <c r="W362">
        <v>8</v>
      </c>
      <c r="X362">
        <v>2.5</v>
      </c>
      <c r="Z362">
        <v>2.8</v>
      </c>
      <c r="AC362">
        <v>8.9</v>
      </c>
      <c r="AG362">
        <v>9.6</v>
      </c>
      <c r="AJ362">
        <v>3.1</v>
      </c>
      <c r="AL362">
        <v>7.3</v>
      </c>
    </row>
    <row r="363" spans="1:38" x14ac:dyDescent="0.2">
      <c r="A363" s="61">
        <v>31079</v>
      </c>
      <c r="B363">
        <v>8.3888149999999992</v>
      </c>
      <c r="D363">
        <v>10.6</v>
      </c>
      <c r="E363">
        <v>10.8</v>
      </c>
      <c r="J363">
        <v>7.3</v>
      </c>
      <c r="O363">
        <v>10.4</v>
      </c>
      <c r="Q363">
        <v>11.2</v>
      </c>
      <c r="T363">
        <v>16.600000000000001</v>
      </c>
      <c r="W363">
        <v>8</v>
      </c>
      <c r="X363">
        <v>2.6</v>
      </c>
      <c r="Z363">
        <v>2.8</v>
      </c>
      <c r="AC363">
        <v>8.8000000000000007</v>
      </c>
      <c r="AG363">
        <v>9.6</v>
      </c>
      <c r="AJ363">
        <v>2.9</v>
      </c>
      <c r="AL363">
        <v>7.2</v>
      </c>
    </row>
    <row r="364" spans="1:38" x14ac:dyDescent="0.2">
      <c r="A364" s="61">
        <v>31107</v>
      </c>
      <c r="B364">
        <v>8.6640149999999991</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8.4005130000000001</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2">
      <c r="A366" s="61">
        <v>31168</v>
      </c>
      <c r="B366">
        <v>8.3744580000000006</v>
      </c>
      <c r="D366">
        <v>10.1</v>
      </c>
      <c r="E366">
        <v>10.6</v>
      </c>
      <c r="J366">
        <v>7</v>
      </c>
      <c r="O366">
        <v>10.4</v>
      </c>
      <c r="Q366">
        <v>11.3</v>
      </c>
      <c r="T366">
        <v>16.7</v>
      </c>
      <c r="W366">
        <v>8</v>
      </c>
      <c r="X366">
        <v>2.6</v>
      </c>
      <c r="Z366">
        <v>3</v>
      </c>
      <c r="AC366">
        <v>8.6</v>
      </c>
      <c r="AG366">
        <v>9.8000000000000007</v>
      </c>
      <c r="AJ366">
        <v>3</v>
      </c>
      <c r="AL366">
        <v>7.2</v>
      </c>
    </row>
    <row r="367" spans="1:38" x14ac:dyDescent="0.2">
      <c r="A367" s="61">
        <v>31199</v>
      </c>
      <c r="B367">
        <v>8.5690679999999997</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8.3082379999999993</v>
      </c>
      <c r="D368">
        <v>9.9</v>
      </c>
      <c r="E368">
        <v>10.4</v>
      </c>
      <c r="J368">
        <v>6.6</v>
      </c>
      <c r="O368">
        <v>10.4</v>
      </c>
      <c r="Q368">
        <v>11.2</v>
      </c>
      <c r="T368">
        <v>16.899999999999999</v>
      </c>
      <c r="W368">
        <v>8.1999999999999993</v>
      </c>
      <c r="X368">
        <v>2.6</v>
      </c>
      <c r="Z368">
        <v>3</v>
      </c>
      <c r="AC368">
        <v>8.4</v>
      </c>
      <c r="AG368">
        <v>9.9</v>
      </c>
      <c r="AJ368">
        <v>2.8</v>
      </c>
      <c r="AL368">
        <v>7.4</v>
      </c>
    </row>
    <row r="369" spans="1:38" x14ac:dyDescent="0.2">
      <c r="A369" s="61">
        <v>31260</v>
      </c>
      <c r="B369">
        <v>8.1546579999999995</v>
      </c>
      <c r="D369">
        <v>9.9</v>
      </c>
      <c r="E369">
        <v>10.3</v>
      </c>
      <c r="J369">
        <v>6.4</v>
      </c>
      <c r="O369">
        <v>10.4</v>
      </c>
      <c r="Q369">
        <v>11.2</v>
      </c>
      <c r="T369">
        <v>17</v>
      </c>
      <c r="W369">
        <v>8.1999999999999993</v>
      </c>
      <c r="X369">
        <v>2.5</v>
      </c>
      <c r="Z369">
        <v>2.9</v>
      </c>
      <c r="AC369">
        <v>8.3000000000000007</v>
      </c>
      <c r="AG369">
        <v>10</v>
      </c>
      <c r="AJ369">
        <v>2.8</v>
      </c>
      <c r="AL369">
        <v>7.1</v>
      </c>
    </row>
    <row r="370" spans="1:38" x14ac:dyDescent="0.2">
      <c r="A370" s="61">
        <v>31291</v>
      </c>
      <c r="B370">
        <v>8.0564610000000005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7.8474969999999997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2">
      <c r="A372" s="61">
        <v>31352</v>
      </c>
      <c r="B372">
        <v>7.9491420000000002</v>
      </c>
      <c r="D372">
        <v>9.9</v>
      </c>
      <c r="E372">
        <v>10.3</v>
      </c>
      <c r="J372">
        <v>5.8</v>
      </c>
      <c r="O372">
        <v>10.5</v>
      </c>
      <c r="Q372">
        <v>11.1</v>
      </c>
      <c r="T372">
        <v>16.899999999999999</v>
      </c>
      <c r="W372">
        <v>8.4</v>
      </c>
      <c r="X372">
        <v>2.8</v>
      </c>
      <c r="Z372">
        <v>2.8</v>
      </c>
      <c r="AC372">
        <v>8.1</v>
      </c>
      <c r="AG372">
        <v>10</v>
      </c>
      <c r="AJ372">
        <v>2.7</v>
      </c>
      <c r="AL372">
        <v>7</v>
      </c>
    </row>
    <row r="373" spans="1:38" x14ac:dyDescent="0.2">
      <c r="A373" s="61">
        <v>31382</v>
      </c>
      <c r="B373">
        <v>7.7833079999999999</v>
      </c>
      <c r="D373">
        <v>10</v>
      </c>
      <c r="E373">
        <v>10.1</v>
      </c>
      <c r="J373">
        <v>5.6</v>
      </c>
      <c r="O373">
        <v>10.5</v>
      </c>
      <c r="Q373">
        <v>11.2</v>
      </c>
      <c r="T373">
        <v>17</v>
      </c>
      <c r="W373">
        <v>8.5</v>
      </c>
      <c r="X373">
        <v>2.8</v>
      </c>
      <c r="Z373">
        <v>2.8</v>
      </c>
      <c r="AC373">
        <v>8</v>
      </c>
      <c r="AG373">
        <v>10.1</v>
      </c>
      <c r="AJ373">
        <v>2.8</v>
      </c>
      <c r="AL373">
        <v>7</v>
      </c>
    </row>
    <row r="374" spans="1:38" x14ac:dyDescent="0.2">
      <c r="A374" s="61">
        <v>31413</v>
      </c>
      <c r="B374">
        <v>7.8043740000000001</v>
      </c>
      <c r="D374">
        <v>10.1</v>
      </c>
      <c r="E374">
        <v>9.8000000000000007</v>
      </c>
      <c r="G374">
        <v>14.486470000000001</v>
      </c>
      <c r="J374">
        <v>5.4</v>
      </c>
      <c r="O374">
        <v>10.4</v>
      </c>
      <c r="Q374">
        <v>11.2</v>
      </c>
      <c r="T374">
        <v>16.899999999999999</v>
      </c>
      <c r="W374">
        <v>8.5</v>
      </c>
      <c r="X374">
        <v>2.7</v>
      </c>
      <c r="Z374">
        <v>2.8</v>
      </c>
      <c r="AC374">
        <v>7.9</v>
      </c>
      <c r="AG374">
        <v>10.1</v>
      </c>
      <c r="AJ374">
        <v>2.7</v>
      </c>
      <c r="AL374">
        <v>6.7</v>
      </c>
    </row>
    <row r="375" spans="1:38" x14ac:dyDescent="0.2">
      <c r="A375" s="61">
        <v>31444</v>
      </c>
      <c r="B375">
        <v>8.0025250000000003</v>
      </c>
      <c r="D375">
        <v>10.1</v>
      </c>
      <c r="E375">
        <v>9.9</v>
      </c>
      <c r="G375">
        <v>13.88147</v>
      </c>
      <c r="J375">
        <v>5.2</v>
      </c>
      <c r="O375">
        <v>10.3</v>
      </c>
      <c r="Q375">
        <v>11.1</v>
      </c>
      <c r="T375">
        <v>16.8</v>
      </c>
      <c r="W375">
        <v>8.6</v>
      </c>
      <c r="X375">
        <v>2.6</v>
      </c>
      <c r="Z375">
        <v>2.8</v>
      </c>
      <c r="AC375">
        <v>7.8</v>
      </c>
      <c r="AG375">
        <v>10.1</v>
      </c>
      <c r="AJ375">
        <v>2.9</v>
      </c>
      <c r="AL375">
        <v>7.2</v>
      </c>
    </row>
    <row r="376" spans="1:38" x14ac:dyDescent="0.2">
      <c r="A376" s="61">
        <v>31472</v>
      </c>
      <c r="B376">
        <v>7.9253109999999998</v>
      </c>
      <c r="D376">
        <v>10.1</v>
      </c>
      <c r="E376">
        <v>9.8000000000000007</v>
      </c>
      <c r="G376">
        <v>13.088649999999999</v>
      </c>
      <c r="J376">
        <v>5.0999999999999996</v>
      </c>
      <c r="O376">
        <v>10.4</v>
      </c>
      <c r="Q376">
        <v>11.2</v>
      </c>
      <c r="T376">
        <v>16.8</v>
      </c>
      <c r="W376">
        <v>8.6</v>
      </c>
      <c r="X376">
        <v>2.7</v>
      </c>
      <c r="Z376">
        <v>2.7</v>
      </c>
      <c r="AC376">
        <v>7.8</v>
      </c>
      <c r="AG376">
        <v>10.1</v>
      </c>
      <c r="AJ376">
        <v>2.9</v>
      </c>
      <c r="AL376">
        <v>7.2</v>
      </c>
    </row>
    <row r="377" spans="1:38" x14ac:dyDescent="0.2">
      <c r="A377" s="61">
        <v>31503</v>
      </c>
      <c r="B377">
        <v>7.900874</v>
      </c>
      <c r="D377">
        <v>10.1</v>
      </c>
      <c r="E377">
        <v>9.6999999999999993</v>
      </c>
      <c r="G377">
        <v>12.48241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7.8450129999999998</v>
      </c>
      <c r="D378">
        <v>10.1</v>
      </c>
      <c r="E378">
        <v>9.5</v>
      </c>
      <c r="G378">
        <v>12.014519999999999</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7.6515589999999998</v>
      </c>
      <c r="D379">
        <v>10.1</v>
      </c>
      <c r="E379">
        <v>9.6</v>
      </c>
      <c r="G379">
        <v>11.56029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8.1104629999999993</v>
      </c>
      <c r="D380">
        <v>10</v>
      </c>
      <c r="E380">
        <v>9.6</v>
      </c>
      <c r="G380">
        <v>11.27815</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8.2382200000000001</v>
      </c>
      <c r="D381">
        <v>9.9</v>
      </c>
      <c r="E381">
        <v>9.6</v>
      </c>
      <c r="G381">
        <v>11.310309999999999</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8.3371790000000008</v>
      </c>
      <c r="D382">
        <v>9.9</v>
      </c>
      <c r="E382">
        <v>9.5</v>
      </c>
      <c r="G382">
        <v>11.29823</v>
      </c>
      <c r="J382">
        <v>4.9000000000000004</v>
      </c>
      <c r="L382">
        <v>20.3</v>
      </c>
      <c r="O382">
        <v>10.7</v>
      </c>
      <c r="Q382">
        <v>11.3</v>
      </c>
      <c r="T382">
        <v>16.8</v>
      </c>
      <c r="W382">
        <v>9.1</v>
      </c>
      <c r="X382">
        <v>2.8</v>
      </c>
      <c r="Z382">
        <v>2.4</v>
      </c>
      <c r="AC382">
        <v>7.5</v>
      </c>
      <c r="AG382">
        <v>9</v>
      </c>
      <c r="AJ382">
        <v>2.6</v>
      </c>
      <c r="AL382">
        <v>7</v>
      </c>
    </row>
    <row r="383" spans="1:38" x14ac:dyDescent="0.2">
      <c r="A383" s="61">
        <v>31686</v>
      </c>
      <c r="B383">
        <v>8.3086850000000005</v>
      </c>
      <c r="D383">
        <v>10</v>
      </c>
      <c r="E383">
        <v>9.4</v>
      </c>
      <c r="G383">
        <v>11.505979999999999</v>
      </c>
      <c r="J383">
        <v>4.8</v>
      </c>
      <c r="L383">
        <v>20.2</v>
      </c>
      <c r="O383">
        <v>10.8</v>
      </c>
      <c r="Q383">
        <v>11.2</v>
      </c>
      <c r="T383">
        <v>16.7</v>
      </c>
      <c r="W383">
        <v>9.1</v>
      </c>
      <c r="X383">
        <v>2.7</v>
      </c>
      <c r="Z383">
        <v>2.2999999999999998</v>
      </c>
      <c r="AC383">
        <v>7.5</v>
      </c>
      <c r="AG383">
        <v>9</v>
      </c>
      <c r="AJ383">
        <v>2.6</v>
      </c>
      <c r="AL383">
        <v>7</v>
      </c>
    </row>
    <row r="384" spans="1:38" x14ac:dyDescent="0.2">
      <c r="A384" s="61">
        <v>31717</v>
      </c>
      <c r="B384">
        <v>8.3176439999999996</v>
      </c>
      <c r="D384">
        <v>10.1</v>
      </c>
      <c r="E384">
        <v>9.4</v>
      </c>
      <c r="G384">
        <v>11.232810000000001</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8.361872</v>
      </c>
      <c r="D385">
        <v>10.1</v>
      </c>
      <c r="E385">
        <v>9.5</v>
      </c>
      <c r="G385">
        <v>11.01455</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8.1853590000000001</v>
      </c>
      <c r="D386">
        <v>10.1</v>
      </c>
      <c r="E386">
        <v>9.5</v>
      </c>
      <c r="G386">
        <v>10.99757</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8.2107080000000003</v>
      </c>
      <c r="D387">
        <v>10</v>
      </c>
      <c r="E387">
        <v>9.5</v>
      </c>
      <c r="G387">
        <v>11.055720000000001</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8.4328780000000005</v>
      </c>
      <c r="D388">
        <v>10</v>
      </c>
      <c r="E388">
        <v>9.4</v>
      </c>
      <c r="G388">
        <v>11.19392</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8.3003239999999998</v>
      </c>
      <c r="D389">
        <v>10</v>
      </c>
      <c r="E389">
        <v>9.1999999999999993</v>
      </c>
      <c r="G389">
        <v>11.314500000000001</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8.2002299999999995</v>
      </c>
      <c r="D390">
        <v>9.9</v>
      </c>
      <c r="E390">
        <v>8.9</v>
      </c>
      <c r="G390">
        <v>11.40211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8.0071899999999996</v>
      </c>
      <c r="D391">
        <v>9.9</v>
      </c>
      <c r="E391">
        <v>8.9</v>
      </c>
      <c r="G391">
        <v>11.42488</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8.0757060000000003</v>
      </c>
      <c r="D392">
        <v>9.8000000000000007</v>
      </c>
      <c r="E392">
        <v>8.6999999999999993</v>
      </c>
      <c r="G392">
        <v>11.09544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8.1046250000000004</v>
      </c>
      <c r="D393">
        <v>9.6999999999999993</v>
      </c>
      <c r="E393">
        <v>8.6</v>
      </c>
      <c r="G393">
        <v>10.893520000000001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7.7544570000000004</v>
      </c>
      <c r="D394">
        <v>9.6</v>
      </c>
      <c r="E394">
        <v>8.4</v>
      </c>
      <c r="G394">
        <v>10.832240000000001</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8.0848969999999998</v>
      </c>
      <c r="D395">
        <v>9.6</v>
      </c>
      <c r="E395">
        <v>8.3000000000000007</v>
      </c>
      <c r="G395">
        <v>10.24311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7.9300199999999998</v>
      </c>
      <c r="D396">
        <v>9.6</v>
      </c>
      <c r="E396">
        <v>8.1999999999999993</v>
      </c>
      <c r="G396">
        <v>10.360939999999999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7.7268670000000004</v>
      </c>
      <c r="D397">
        <v>9.5</v>
      </c>
      <c r="E397">
        <v>8</v>
      </c>
      <c r="G397">
        <v>10.195510000000001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7.6296400000000002</v>
      </c>
      <c r="D398">
        <v>9.5</v>
      </c>
      <c r="E398">
        <v>8.1</v>
      </c>
      <c r="G398">
        <v>10.67361</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7.4167389999999997</v>
      </c>
      <c r="D399">
        <v>9.4</v>
      </c>
      <c r="E399">
        <v>7.8</v>
      </c>
      <c r="G399">
        <v>10.457610000000001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7.5012559999999997</v>
      </c>
      <c r="D400">
        <v>9.3000000000000007</v>
      </c>
      <c r="E400">
        <v>7.8</v>
      </c>
      <c r="G400">
        <v>10.58093</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7.9129610000000001</v>
      </c>
      <c r="D401">
        <v>9.1999999999999993</v>
      </c>
      <c r="E401">
        <v>7.7</v>
      </c>
      <c r="G401">
        <v>10.31174</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7.4499930000000001</v>
      </c>
      <c r="D402">
        <v>9.1</v>
      </c>
      <c r="E402">
        <v>7.8</v>
      </c>
      <c r="G402">
        <v>10.28293</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7.582516</v>
      </c>
      <c r="D403">
        <v>8.9</v>
      </c>
      <c r="E403">
        <v>7.6</v>
      </c>
      <c r="G403">
        <v>10.02012</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6.7562959999999999</v>
      </c>
      <c r="D404">
        <v>8.8000000000000007</v>
      </c>
      <c r="E404">
        <v>7.8</v>
      </c>
      <c r="G404">
        <v>9.8596590000000006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7.0679499999999997</v>
      </c>
      <c r="D405">
        <v>8.6999999999999993</v>
      </c>
      <c r="E405">
        <v>7.8</v>
      </c>
      <c r="G405">
        <v>9.6525390000000009</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6.9337989999999996</v>
      </c>
      <c r="D406">
        <v>8.5</v>
      </c>
      <c r="E406">
        <v>7.8</v>
      </c>
      <c r="G406">
        <v>9.1910589999999992</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6.8171920000000004</v>
      </c>
      <c r="D407">
        <v>8.3000000000000007</v>
      </c>
      <c r="E407">
        <v>7.8</v>
      </c>
      <c r="G407">
        <v>8.8854070000000007</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6.6118800000000002</v>
      </c>
      <c r="D408">
        <v>8.1999999999999993</v>
      </c>
      <c r="E408">
        <v>7.8</v>
      </c>
      <c r="G408">
        <v>8.6039569999999994</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6.831518</v>
      </c>
      <c r="D409">
        <v>8.1</v>
      </c>
      <c r="E409">
        <v>7.5</v>
      </c>
      <c r="G409">
        <v>8.3132940000000008</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6.8059890000000003</v>
      </c>
      <c r="D410">
        <v>7.9</v>
      </c>
      <c r="E410">
        <v>7.5</v>
      </c>
      <c r="G410">
        <v>8.1702290000000009</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6.6377870000000003</v>
      </c>
      <c r="D411">
        <v>7.8</v>
      </c>
      <c r="E411">
        <v>7.6</v>
      </c>
      <c r="G411">
        <v>8.1963559999999998</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6.344112</v>
      </c>
      <c r="D412">
        <v>7.7</v>
      </c>
      <c r="E412">
        <v>7.5</v>
      </c>
      <c r="G412">
        <v>8.2944790000000008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6.2000460000000004</v>
      </c>
      <c r="D413">
        <v>7.6</v>
      </c>
      <c r="E413">
        <v>7.8</v>
      </c>
      <c r="G413">
        <v>8.4116119999999999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6.2790679999999996</v>
      </c>
      <c r="D414">
        <v>7.5</v>
      </c>
      <c r="E414">
        <v>7.7</v>
      </c>
      <c r="G414">
        <v>8.2186269999999997</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6.0112940000000004</v>
      </c>
      <c r="D415">
        <v>7.4</v>
      </c>
      <c r="E415">
        <v>7.5</v>
      </c>
      <c r="G415">
        <v>7.8268810000000002</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6.0394439999999996</v>
      </c>
      <c r="D416">
        <v>7.3</v>
      </c>
      <c r="E416">
        <v>7.5</v>
      </c>
      <c r="G416">
        <v>7.7360170000000004</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5.9440439999999999</v>
      </c>
      <c r="D417">
        <v>7.2</v>
      </c>
      <c r="E417">
        <v>7.3</v>
      </c>
      <c r="G417">
        <v>7.5251760000000001</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6.0306379999999997</v>
      </c>
      <c r="D418">
        <v>7.1</v>
      </c>
      <c r="E418">
        <v>7.3</v>
      </c>
      <c r="G418">
        <v>7.7763559999999998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5.9238780000000002</v>
      </c>
      <c r="D419">
        <v>7</v>
      </c>
      <c r="E419">
        <v>7.2</v>
      </c>
      <c r="G419">
        <v>7.6669879999999999</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5.7861010000000004</v>
      </c>
      <c r="D420">
        <v>7</v>
      </c>
      <c r="E420">
        <v>7.5</v>
      </c>
      <c r="G420">
        <v>7.6910100000000003</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5.8472770000000001</v>
      </c>
      <c r="D421">
        <v>6.9</v>
      </c>
      <c r="E421">
        <v>7.7</v>
      </c>
      <c r="G421">
        <v>7.4082109999999997</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6.111307</v>
      </c>
      <c r="D422">
        <v>6.8</v>
      </c>
      <c r="E422">
        <v>7.9</v>
      </c>
      <c r="G422">
        <v>7.3127769999999996</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6.391769</v>
      </c>
      <c r="D423">
        <v>6.7</v>
      </c>
      <c r="E423">
        <v>7.7</v>
      </c>
      <c r="G423">
        <v>7.3959710000000003</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6.1881279999999999</v>
      </c>
      <c r="D424">
        <v>6.7</v>
      </c>
      <c r="E424">
        <v>7.3</v>
      </c>
      <c r="G424">
        <v>7.6633699999999996</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6.2788370000000002</v>
      </c>
      <c r="D425">
        <v>6.6</v>
      </c>
      <c r="E425">
        <v>7.6</v>
      </c>
      <c r="G425">
        <v>7.806934</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6.5040190000000004</v>
      </c>
      <c r="D426">
        <v>6.6</v>
      </c>
      <c r="E426">
        <v>7.8</v>
      </c>
      <c r="G426">
        <v>7.894787</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6.6082020000000004</v>
      </c>
      <c r="D427">
        <v>6.6</v>
      </c>
      <c r="E427">
        <v>7.6</v>
      </c>
      <c r="G427">
        <v>7.8846860000000003</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7.0969620000000004</v>
      </c>
      <c r="D428">
        <v>6.6</v>
      </c>
      <c r="E428">
        <v>7.9</v>
      </c>
      <c r="G428">
        <v>7.8248689999999996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7.2115109999999998</v>
      </c>
      <c r="D429">
        <v>6.5</v>
      </c>
      <c r="E429">
        <v>8.1</v>
      </c>
      <c r="G429">
        <v>7.7209149999999998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7.3738060000000001</v>
      </c>
      <c r="D430">
        <v>6.4</v>
      </c>
      <c r="E430">
        <v>8.5</v>
      </c>
      <c r="G430">
        <v>7.8714620000000002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7.6371010000000004</v>
      </c>
      <c r="D431">
        <v>6.4</v>
      </c>
      <c r="E431">
        <v>8.8000000000000007</v>
      </c>
      <c r="G431">
        <v>8.1212119999999999</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7.9454200000000004</v>
      </c>
      <c r="D432">
        <v>6.4</v>
      </c>
      <c r="E432">
        <v>9.1</v>
      </c>
      <c r="G432">
        <v>8.0431779999999993</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8.0183759999999999</v>
      </c>
      <c r="D433">
        <v>6.4</v>
      </c>
      <c r="E433">
        <v>9.5</v>
      </c>
      <c r="G433">
        <v>7.9698320000000002</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8.3962109999999992</v>
      </c>
      <c r="D434">
        <v>6.4</v>
      </c>
      <c r="E434">
        <v>9.8000000000000007</v>
      </c>
      <c r="G434">
        <v>7.9776680000000004</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8.6173819999999992</v>
      </c>
      <c r="D435">
        <v>6.4</v>
      </c>
      <c r="E435">
        <v>10.199999999999999</v>
      </c>
      <c r="G435">
        <v>8.287509</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9.1855810000000009</v>
      </c>
      <c r="D436">
        <v>6.4</v>
      </c>
      <c r="E436">
        <v>10.5</v>
      </c>
      <c r="G436">
        <v>8.1937429999999996</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9.8601729999999996</v>
      </c>
      <c r="D437">
        <v>6.4</v>
      </c>
      <c r="E437">
        <v>10.3</v>
      </c>
      <c r="G437">
        <v>8.1296719999999993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9.5024599999999992</v>
      </c>
      <c r="D438">
        <v>6.4</v>
      </c>
      <c r="E438">
        <v>10.199999999999999</v>
      </c>
      <c r="G438">
        <v>8.0293910000000004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9.5536030000000007</v>
      </c>
      <c r="D439">
        <v>6.4</v>
      </c>
      <c r="E439">
        <v>10.5</v>
      </c>
      <c r="G439">
        <v>8.4540609999999994</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9.6767579999999995</v>
      </c>
      <c r="D440">
        <v>6.4</v>
      </c>
      <c r="E440">
        <v>10.5</v>
      </c>
      <c r="G440">
        <v>8.5066220000000001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9.7901690000000006</v>
      </c>
      <c r="D441">
        <v>6.4</v>
      </c>
      <c r="E441">
        <v>10.5</v>
      </c>
      <c r="G441">
        <v>8.651116</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10.032080000000001</v>
      </c>
      <c r="D442">
        <v>6.4</v>
      </c>
      <c r="E442">
        <v>10.3</v>
      </c>
      <c r="G442">
        <v>8.4480249999999995</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9.9872200000000007</v>
      </c>
      <c r="D443">
        <v>6.5</v>
      </c>
      <c r="E443">
        <v>10.3</v>
      </c>
      <c r="G443">
        <v>8.2135929999999995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10.19735</v>
      </c>
      <c r="D444">
        <v>6.6</v>
      </c>
      <c r="E444">
        <v>10.4</v>
      </c>
      <c r="G444">
        <v>7.6607229999999999</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10.47293</v>
      </c>
      <c r="D445">
        <v>6.7</v>
      </c>
      <c r="E445">
        <v>10.3</v>
      </c>
      <c r="G445">
        <v>7.3389199999999999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10.346209999999999</v>
      </c>
      <c r="D446">
        <v>6.7</v>
      </c>
      <c r="E446">
        <v>10.4</v>
      </c>
      <c r="G446">
        <v>7.1645430000000001</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10.40568</v>
      </c>
      <c r="D447">
        <v>6.7</v>
      </c>
      <c r="E447">
        <v>10.5</v>
      </c>
      <c r="G447">
        <v>7.0595980000000003</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10.498060000000001</v>
      </c>
      <c r="D448">
        <v>6.8</v>
      </c>
      <c r="E448">
        <v>10.9</v>
      </c>
      <c r="G448">
        <v>6.638693</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10.47073</v>
      </c>
      <c r="D449">
        <v>6.9</v>
      </c>
      <c r="E449">
        <v>10.7</v>
      </c>
      <c r="G449">
        <v>6.352741</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2">
      <c r="A450" s="61">
        <v>33725</v>
      </c>
      <c r="B450">
        <v>10.618600000000001</v>
      </c>
      <c r="D450">
        <v>7</v>
      </c>
      <c r="E450">
        <v>10.9</v>
      </c>
      <c r="G450">
        <v>6.3758239999999997</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2">
      <c r="A451" s="61">
        <v>33756</v>
      </c>
      <c r="B451">
        <v>10.81148</v>
      </c>
      <c r="D451">
        <v>7.1</v>
      </c>
      <c r="E451">
        <v>11.4</v>
      </c>
      <c r="G451">
        <v>6.4175040000000001</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2">
      <c r="A452" s="61">
        <v>33786</v>
      </c>
      <c r="B452">
        <v>11.134259999999999</v>
      </c>
      <c r="D452">
        <v>7.1</v>
      </c>
      <c r="E452">
        <v>11.3</v>
      </c>
      <c r="G452">
        <v>6.5341300000000002</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2">
      <c r="A453" s="61">
        <v>33817</v>
      </c>
      <c r="B453">
        <v>10.722569999999999</v>
      </c>
      <c r="D453">
        <v>7.1</v>
      </c>
      <c r="E453">
        <v>11.7</v>
      </c>
      <c r="G453">
        <v>6.574846</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2">
      <c r="A454" s="61">
        <v>33848</v>
      </c>
      <c r="B454">
        <v>10.61605</v>
      </c>
      <c r="D454">
        <v>7.2</v>
      </c>
      <c r="E454">
        <v>11.6</v>
      </c>
      <c r="G454">
        <v>6.5549860000000004</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11.09165</v>
      </c>
      <c r="D455">
        <v>7.3</v>
      </c>
      <c r="E455">
        <v>11.4</v>
      </c>
      <c r="G455">
        <v>6.6144020000000001</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11.13611</v>
      </c>
      <c r="D456">
        <v>7.5</v>
      </c>
      <c r="E456">
        <v>12.1</v>
      </c>
      <c r="G456">
        <v>6.6698279999999999</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11.21693</v>
      </c>
      <c r="D457">
        <v>7.7</v>
      </c>
      <c r="E457">
        <v>11.7</v>
      </c>
      <c r="G457">
        <v>6.707103</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2">
      <c r="A458" s="61">
        <v>33970</v>
      </c>
      <c r="B458">
        <v>10.83315</v>
      </c>
      <c r="C458">
        <v>3.8</v>
      </c>
      <c r="D458">
        <v>7.8</v>
      </c>
      <c r="E458">
        <v>11.2</v>
      </c>
      <c r="G458">
        <v>6.598357</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2">
      <c r="A459" s="61">
        <v>34001</v>
      </c>
      <c r="B459">
        <v>11.01526</v>
      </c>
      <c r="C459">
        <v>3.8</v>
      </c>
      <c r="D459">
        <v>7.9</v>
      </c>
      <c r="E459">
        <v>11</v>
      </c>
      <c r="G459">
        <v>6.5744009999999999</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10.85871</v>
      </c>
      <c r="C460">
        <v>3.9</v>
      </c>
      <c r="D460">
        <v>8.1</v>
      </c>
      <c r="E460">
        <v>11.2</v>
      </c>
      <c r="G460">
        <v>6.486529</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10.762320000000001</v>
      </c>
      <c r="C461">
        <v>3.9</v>
      </c>
      <c r="D461">
        <v>8.1999999999999993</v>
      </c>
      <c r="E461">
        <v>11.6</v>
      </c>
      <c r="G461">
        <v>6.3793639999999998</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2">
      <c r="A462" s="61">
        <v>34090</v>
      </c>
      <c r="B462">
        <v>10.78661</v>
      </c>
      <c r="C462">
        <v>4</v>
      </c>
      <c r="D462">
        <v>8.4</v>
      </c>
      <c r="E462">
        <v>11.6</v>
      </c>
      <c r="G462">
        <v>6.2349990000000002</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10.99422</v>
      </c>
      <c r="C463">
        <v>4</v>
      </c>
      <c r="D463">
        <v>8.5</v>
      </c>
      <c r="E463">
        <v>11.7</v>
      </c>
      <c r="G463">
        <v>6.2910750000000002</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2">
      <c r="A464" s="61">
        <v>34151</v>
      </c>
      <c r="B464">
        <v>10.94243</v>
      </c>
      <c r="C464">
        <v>4</v>
      </c>
      <c r="D464">
        <v>8.6999999999999993</v>
      </c>
      <c r="E464">
        <v>11.6</v>
      </c>
      <c r="G464">
        <v>6.4298219999999997</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2">
      <c r="A465" s="61">
        <v>34182</v>
      </c>
      <c r="B465">
        <v>10.98343</v>
      </c>
      <c r="C465">
        <v>4.0999999999999996</v>
      </c>
      <c r="D465">
        <v>8.9</v>
      </c>
      <c r="E465">
        <v>11.2</v>
      </c>
      <c r="G465">
        <v>6.4847960000000002</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2">
      <c r="A466" s="61">
        <v>34213</v>
      </c>
      <c r="B466">
        <v>10.74095</v>
      </c>
      <c r="C466">
        <v>4</v>
      </c>
      <c r="D466">
        <v>9</v>
      </c>
      <c r="E466">
        <v>11.5</v>
      </c>
      <c r="G466">
        <v>6.4344929999999998</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2">
      <c r="A467" s="61">
        <v>34243</v>
      </c>
      <c r="B467">
        <v>10.95776</v>
      </c>
      <c r="C467">
        <v>4</v>
      </c>
      <c r="D467">
        <v>9.1999999999999993</v>
      </c>
      <c r="E467">
        <v>11.3</v>
      </c>
      <c r="G467">
        <v>6.3788320000000001</v>
      </c>
      <c r="H467">
        <v>4.2</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2">
      <c r="A468" s="61">
        <v>34274</v>
      </c>
      <c r="B468">
        <v>10.94891</v>
      </c>
      <c r="C468">
        <v>4</v>
      </c>
      <c r="D468">
        <v>9.3000000000000007</v>
      </c>
      <c r="E468">
        <v>11.2</v>
      </c>
      <c r="G468">
        <v>6.9116210000000002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2">
      <c r="A469" s="61">
        <v>34304</v>
      </c>
      <c r="B469">
        <v>10.7562</v>
      </c>
      <c r="C469">
        <v>4</v>
      </c>
      <c r="D469">
        <v>9.5</v>
      </c>
      <c r="E469">
        <v>11.4</v>
      </c>
      <c r="G469">
        <v>7.3362860000000003</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2">
      <c r="A470" s="61">
        <v>34335</v>
      </c>
      <c r="B470">
        <v>10.56823</v>
      </c>
      <c r="C470">
        <v>4</v>
      </c>
      <c r="D470">
        <v>9.6</v>
      </c>
      <c r="E470">
        <v>11.4</v>
      </c>
      <c r="G470">
        <v>7.5500340000000001</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2">
      <c r="A471" s="61">
        <v>34366</v>
      </c>
      <c r="B471">
        <v>10.399760000000001</v>
      </c>
      <c r="C471">
        <v>3.9</v>
      </c>
      <c r="D471">
        <v>9.6999999999999993</v>
      </c>
      <c r="E471">
        <v>11.1</v>
      </c>
      <c r="G471">
        <v>7.3317579999999998</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2">
      <c r="A472" s="61">
        <v>34394</v>
      </c>
      <c r="B472">
        <v>10.353669999999999</v>
      </c>
      <c r="C472">
        <v>3.8</v>
      </c>
      <c r="D472">
        <v>9.6999999999999993</v>
      </c>
      <c r="E472">
        <v>10.6</v>
      </c>
      <c r="G472">
        <v>7.4609439999999996</v>
      </c>
      <c r="H472">
        <v>4.0999999999999996</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2">
      <c r="A473" s="61">
        <v>34425</v>
      </c>
      <c r="B473">
        <v>10.06175</v>
      </c>
      <c r="C473">
        <v>3.8</v>
      </c>
      <c r="D473">
        <v>9.8000000000000007</v>
      </c>
      <c r="E473">
        <v>10.9</v>
      </c>
      <c r="G473">
        <v>7.5720499999999999</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2">
      <c r="A474" s="61">
        <v>34455</v>
      </c>
      <c r="B474">
        <v>9.7668189999999999</v>
      </c>
      <c r="C474">
        <v>3.9</v>
      </c>
      <c r="D474">
        <v>9.8000000000000007</v>
      </c>
      <c r="E474">
        <v>10.7</v>
      </c>
      <c r="G474">
        <v>7.6674920000000002</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2">
      <c r="A475" s="61">
        <v>34486</v>
      </c>
      <c r="B475">
        <v>9.8218180000000004</v>
      </c>
      <c r="C475">
        <v>3.8</v>
      </c>
      <c r="D475">
        <v>9.8000000000000007</v>
      </c>
      <c r="E475">
        <v>10.3</v>
      </c>
      <c r="G475">
        <v>7.7268860000000004</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2">
      <c r="A476" s="61">
        <v>34516</v>
      </c>
      <c r="B476">
        <v>9.6304630000000007</v>
      </c>
      <c r="C476">
        <v>3.8</v>
      </c>
      <c r="D476">
        <v>9.8000000000000007</v>
      </c>
      <c r="E476">
        <v>10.1</v>
      </c>
      <c r="G476">
        <v>7.7118570000000002</v>
      </c>
      <c r="H476">
        <v>4.2</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2">
      <c r="A477" s="61">
        <v>34547</v>
      </c>
      <c r="B477">
        <v>9.4450000000000003</v>
      </c>
      <c r="C477">
        <v>3.8</v>
      </c>
      <c r="D477">
        <v>9.8000000000000007</v>
      </c>
      <c r="E477">
        <v>10.199999999999999</v>
      </c>
      <c r="G477">
        <v>7.8999410000000001</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2">
      <c r="A478" s="61">
        <v>34578</v>
      </c>
      <c r="B478">
        <v>9.3540179999999999</v>
      </c>
      <c r="C478">
        <v>3.8</v>
      </c>
      <c r="D478">
        <v>9.8000000000000007</v>
      </c>
      <c r="E478">
        <v>10.1</v>
      </c>
      <c r="G478">
        <v>8.231128</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2">
      <c r="A479" s="61">
        <v>34608</v>
      </c>
      <c r="B479">
        <v>9.0929870000000008</v>
      </c>
      <c r="C479">
        <v>3.8</v>
      </c>
      <c r="D479">
        <v>9.8000000000000007</v>
      </c>
      <c r="E479">
        <v>10</v>
      </c>
      <c r="G479">
        <v>8.4891070000000006</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2">
      <c r="A480" s="61">
        <v>34639</v>
      </c>
      <c r="B480">
        <v>9.1429559999999999</v>
      </c>
      <c r="C480">
        <v>3.8</v>
      </c>
      <c r="D480">
        <v>9.6999999999999993</v>
      </c>
      <c r="E480">
        <v>9.6999999999999993</v>
      </c>
      <c r="G480">
        <v>8.3814580000000003</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2">
      <c r="A481" s="61">
        <v>34669</v>
      </c>
      <c r="B481">
        <v>8.9352990000000005</v>
      </c>
      <c r="C481">
        <v>3.8</v>
      </c>
      <c r="D481">
        <v>9.6999999999999993</v>
      </c>
      <c r="E481">
        <v>9.6</v>
      </c>
      <c r="G481">
        <v>8.1251750000000005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2">
      <c r="A482" s="61">
        <v>34700</v>
      </c>
      <c r="B482">
        <v>8.8570589999999996</v>
      </c>
      <c r="C482">
        <v>4</v>
      </c>
      <c r="D482">
        <v>9.6999999999999993</v>
      </c>
      <c r="E482">
        <v>9.6</v>
      </c>
      <c r="G482">
        <v>7.8062480000000001</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2">
      <c r="A483" s="61">
        <v>34731</v>
      </c>
      <c r="B483">
        <v>8.8241689999999995</v>
      </c>
      <c r="C483">
        <v>3.9</v>
      </c>
      <c r="D483">
        <v>9.6999999999999993</v>
      </c>
      <c r="E483">
        <v>9.6</v>
      </c>
      <c r="G483">
        <v>7.6625500000000004</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8.6168890000000005</v>
      </c>
      <c r="C484">
        <v>3.9</v>
      </c>
      <c r="D484">
        <v>9.6</v>
      </c>
      <c r="E484">
        <v>9.6999999999999993</v>
      </c>
      <c r="G484">
        <v>7.3710319999999996</v>
      </c>
      <c r="H484">
        <v>4.2</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8.2659950000000002</v>
      </c>
      <c r="C485">
        <v>4</v>
      </c>
      <c r="D485">
        <v>9.6</v>
      </c>
      <c r="E485">
        <v>9.5</v>
      </c>
      <c r="G485">
        <v>7.4533129999999996</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2">
      <c r="A486" s="61">
        <v>34820</v>
      </c>
      <c r="B486">
        <v>8.4750750000000004</v>
      </c>
      <c r="C486">
        <v>4.0999999999999996</v>
      </c>
      <c r="D486">
        <v>9.6</v>
      </c>
      <c r="E486">
        <v>9.5</v>
      </c>
      <c r="G486">
        <v>7.411867</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2">
      <c r="A487" s="61">
        <v>34851</v>
      </c>
      <c r="B487">
        <v>8.3550330000000006</v>
      </c>
      <c r="C487">
        <v>4.2</v>
      </c>
      <c r="D487">
        <v>9.6</v>
      </c>
      <c r="E487">
        <v>9.5</v>
      </c>
      <c r="G487">
        <v>7.4066260000000002</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2">
      <c r="A488" s="61">
        <v>34881</v>
      </c>
      <c r="B488">
        <v>8.4262499999999996</v>
      </c>
      <c r="C488">
        <v>4.3</v>
      </c>
      <c r="D488">
        <v>9.6</v>
      </c>
      <c r="E488">
        <v>9.6</v>
      </c>
      <c r="G488">
        <v>7.2352439999999998</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2">
      <c r="A489" s="61">
        <v>34912</v>
      </c>
      <c r="B489">
        <v>8.3203700000000005</v>
      </c>
      <c r="C489">
        <v>4.4000000000000004</v>
      </c>
      <c r="D489">
        <v>9.6999999999999993</v>
      </c>
      <c r="E489">
        <v>9.5</v>
      </c>
      <c r="G489">
        <v>7.0559950000000002</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2">
      <c r="A490" s="61">
        <v>34943</v>
      </c>
      <c r="B490">
        <v>8.3628040000000006</v>
      </c>
      <c r="C490">
        <v>4.4000000000000004</v>
      </c>
      <c r="D490">
        <v>9.6999999999999993</v>
      </c>
      <c r="E490">
        <v>9.1999999999999993</v>
      </c>
      <c r="G490">
        <v>6.9406410000000003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8.5755379999999999</v>
      </c>
      <c r="C491">
        <v>4.5</v>
      </c>
      <c r="D491">
        <v>9.8000000000000007</v>
      </c>
      <c r="E491">
        <v>9.3000000000000007</v>
      </c>
      <c r="G491">
        <v>6.9001739999999998</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2">
      <c r="A492" s="61">
        <v>35004</v>
      </c>
      <c r="B492">
        <v>8.4518979999999999</v>
      </c>
      <c r="C492">
        <v>4.5999999999999996</v>
      </c>
      <c r="D492">
        <v>9.8000000000000007</v>
      </c>
      <c r="E492">
        <v>9.1999999999999993</v>
      </c>
      <c r="G492">
        <v>7.1034470000000001</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2">
      <c r="A493" s="61">
        <v>35034</v>
      </c>
      <c r="B493">
        <v>8.1442110000000003</v>
      </c>
      <c r="C493">
        <v>4.5999999999999996</v>
      </c>
      <c r="D493">
        <v>9.8000000000000007</v>
      </c>
      <c r="E493">
        <v>9.4</v>
      </c>
      <c r="G493">
        <v>7.5270339999999996</v>
      </c>
      <c r="H493">
        <v>3.6</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2">
      <c r="A494" s="61">
        <v>35065</v>
      </c>
      <c r="B494">
        <v>8.4546379999999992</v>
      </c>
      <c r="C494">
        <v>4.7</v>
      </c>
      <c r="D494">
        <v>9.9</v>
      </c>
      <c r="E494">
        <v>9.4</v>
      </c>
      <c r="G494">
        <v>7.4863439999999999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8.3272700000000004</v>
      </c>
      <c r="C495">
        <v>4.8</v>
      </c>
      <c r="D495">
        <v>9.9</v>
      </c>
      <c r="E495">
        <v>9.5</v>
      </c>
      <c r="G495">
        <v>6.8547180000000001</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8.4210279999999997</v>
      </c>
      <c r="C496">
        <v>4.8</v>
      </c>
      <c r="D496">
        <v>9.8000000000000007</v>
      </c>
      <c r="E496">
        <v>9.6</v>
      </c>
      <c r="G496">
        <v>6.3240429999999996</v>
      </c>
      <c r="H496">
        <v>3.5</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2">
      <c r="A497" s="61">
        <v>35156</v>
      </c>
      <c r="B497">
        <v>8.5743030000000005</v>
      </c>
      <c r="C497">
        <v>4.8</v>
      </c>
      <c r="D497">
        <v>9.8000000000000007</v>
      </c>
      <c r="E497">
        <v>9.3000000000000007</v>
      </c>
      <c r="G497">
        <v>6.2290020000000004</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8.4149779999999996</v>
      </c>
      <c r="C498">
        <v>4.8</v>
      </c>
      <c r="D498">
        <v>9.6999999999999993</v>
      </c>
      <c r="E498">
        <v>9.1999999999999993</v>
      </c>
      <c r="G498">
        <v>6.2952690000000002</v>
      </c>
      <c r="H498">
        <v>3.8</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8.2564250000000001</v>
      </c>
      <c r="C499">
        <v>4.8</v>
      </c>
      <c r="D499">
        <v>9.5</v>
      </c>
      <c r="E499">
        <v>9.8000000000000007</v>
      </c>
      <c r="G499">
        <v>6.5561860000000003</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8.5677970000000006</v>
      </c>
      <c r="C500">
        <v>4.7</v>
      </c>
      <c r="D500">
        <v>9.5</v>
      </c>
      <c r="E500">
        <v>9.6999999999999993</v>
      </c>
      <c r="G500">
        <v>6.4649609999999997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8.7221670000000007</v>
      </c>
      <c r="C501">
        <v>4.7</v>
      </c>
      <c r="D501">
        <v>9.4</v>
      </c>
      <c r="E501">
        <v>9.4</v>
      </c>
      <c r="G501">
        <v>6.2764949999999997</v>
      </c>
      <c r="H501">
        <v>3.9</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8.576257</v>
      </c>
      <c r="C502">
        <v>4.7</v>
      </c>
      <c r="D502">
        <v>9.4</v>
      </c>
      <c r="E502">
        <v>9.9</v>
      </c>
      <c r="G502">
        <v>5.9650910000000001</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8.7599049999999998</v>
      </c>
      <c r="C503">
        <v>4.5999999999999996</v>
      </c>
      <c r="D503">
        <v>9.3000000000000007</v>
      </c>
      <c r="E503">
        <v>9.9</v>
      </c>
      <c r="G503">
        <v>5.96624</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8.4705809999999992</v>
      </c>
      <c r="C504">
        <v>4.5999999999999996</v>
      </c>
      <c r="D504">
        <v>9.1999999999999993</v>
      </c>
      <c r="E504">
        <v>9.9</v>
      </c>
      <c r="G504">
        <v>5.8714339999999998</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8.6309609999999992</v>
      </c>
      <c r="C505">
        <v>4.5999999999999996</v>
      </c>
      <c r="D505">
        <v>9.1999999999999993</v>
      </c>
      <c r="E505">
        <v>9.6999999999999993</v>
      </c>
      <c r="G505">
        <v>5.9268470000000004</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8.5665840000000006</v>
      </c>
      <c r="C506">
        <v>4.5999999999999996</v>
      </c>
      <c r="D506">
        <v>9.1</v>
      </c>
      <c r="E506">
        <v>9.5</v>
      </c>
      <c r="G506">
        <v>5.9026149999999999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8.7031949999999991</v>
      </c>
      <c r="C507">
        <v>4.7</v>
      </c>
      <c r="D507">
        <v>9.1</v>
      </c>
      <c r="E507">
        <v>9.5</v>
      </c>
      <c r="G507">
        <v>6.1139929999999998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8.5923029999999994</v>
      </c>
      <c r="C508">
        <v>4.7</v>
      </c>
      <c r="D508">
        <v>9.1</v>
      </c>
      <c r="E508">
        <v>9.3000000000000007</v>
      </c>
      <c r="G508">
        <v>6.2000570000000002</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8.5665859999999991</v>
      </c>
      <c r="C509">
        <v>4.7</v>
      </c>
      <c r="D509">
        <v>9.1</v>
      </c>
      <c r="E509">
        <v>9.4</v>
      </c>
      <c r="G509">
        <v>6.3080239999999996</v>
      </c>
      <c r="H509">
        <v>4.5999999999999996</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8.5482639999999996</v>
      </c>
      <c r="C510">
        <v>4.7</v>
      </c>
      <c r="D510">
        <v>9.1</v>
      </c>
      <c r="E510">
        <v>9.4</v>
      </c>
      <c r="G510">
        <v>6.3204500000000001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8.3324359999999995</v>
      </c>
      <c r="C511">
        <v>4.7</v>
      </c>
      <c r="D511">
        <v>9.1999999999999993</v>
      </c>
      <c r="E511">
        <v>9.1</v>
      </c>
      <c r="G511">
        <v>6.2417699999999998</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8.5893219999999992</v>
      </c>
      <c r="C512">
        <v>4.8</v>
      </c>
      <c r="D512">
        <v>9.3000000000000007</v>
      </c>
      <c r="E512">
        <v>8.9</v>
      </c>
      <c r="G512">
        <v>6.1503160000000001</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8.4656120000000001</v>
      </c>
      <c r="C513">
        <v>4.8</v>
      </c>
      <c r="D513">
        <v>9.3000000000000007</v>
      </c>
      <c r="E513">
        <v>8.9</v>
      </c>
      <c r="G513">
        <v>6.2191929999999997</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8.0682329999999993</v>
      </c>
      <c r="C514">
        <v>4.8</v>
      </c>
      <c r="D514">
        <v>9.3000000000000007</v>
      </c>
      <c r="E514">
        <v>8.8000000000000007</v>
      </c>
      <c r="G514">
        <v>6.1738</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8.0333959999999998</v>
      </c>
      <c r="C515">
        <v>4.8</v>
      </c>
      <c r="D515">
        <v>9.3000000000000007</v>
      </c>
      <c r="E515">
        <v>8.9</v>
      </c>
      <c r="G515">
        <v>6.0561230000000004</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7.9869260000000004</v>
      </c>
      <c r="C516">
        <v>4.9000000000000004</v>
      </c>
      <c r="D516">
        <v>9.3000000000000007</v>
      </c>
      <c r="E516">
        <v>8.9</v>
      </c>
      <c r="G516">
        <v>5.8205400000000003</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7.9107130000000003</v>
      </c>
      <c r="C517">
        <v>4.9000000000000004</v>
      </c>
      <c r="D517">
        <v>9.4</v>
      </c>
      <c r="E517">
        <v>8.5</v>
      </c>
      <c r="G517">
        <v>5.7188299999999996</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7.8652829999999998</v>
      </c>
      <c r="C518">
        <v>4.9000000000000004</v>
      </c>
      <c r="D518">
        <v>9.4</v>
      </c>
      <c r="E518">
        <v>8.8000000000000007</v>
      </c>
      <c r="G518">
        <v>5.5492949999999999</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7.7729030000000003</v>
      </c>
      <c r="C519">
        <v>5</v>
      </c>
      <c r="D519">
        <v>9.4</v>
      </c>
      <c r="E519">
        <v>8.6</v>
      </c>
      <c r="G519">
        <v>5.5325680000000004</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7.8834720000000003</v>
      </c>
      <c r="C520">
        <v>4.9000000000000004</v>
      </c>
      <c r="D520">
        <v>9.5</v>
      </c>
      <c r="E520">
        <v>8.4</v>
      </c>
      <c r="G520">
        <v>5.4884000000000004</v>
      </c>
      <c r="H520">
        <v>6</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7.6025179999999999</v>
      </c>
      <c r="C521">
        <v>4.9000000000000004</v>
      </c>
      <c r="D521">
        <v>9.5</v>
      </c>
      <c r="E521">
        <v>8.3000000000000007</v>
      </c>
      <c r="G521">
        <v>5.6006200000000002</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7.7653780000000001</v>
      </c>
      <c r="C522">
        <v>4.8</v>
      </c>
      <c r="D522">
        <v>9.4</v>
      </c>
      <c r="E522">
        <v>8.3000000000000007</v>
      </c>
      <c r="G522">
        <v>5.8384929999999997</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7.8331759999999999</v>
      </c>
      <c r="C523">
        <v>4.8</v>
      </c>
      <c r="D523">
        <v>9.4</v>
      </c>
      <c r="E523">
        <v>8.4</v>
      </c>
      <c r="G523">
        <v>6.0055459999999998</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2">
      <c r="A524" s="61">
        <v>35977</v>
      </c>
      <c r="B524">
        <v>7.9747349999999999</v>
      </c>
      <c r="C524">
        <v>4.7</v>
      </c>
      <c r="D524">
        <v>9.3000000000000007</v>
      </c>
      <c r="E524">
        <v>8.3000000000000007</v>
      </c>
      <c r="G524">
        <v>6.2781830000000003</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7.7559040000000001</v>
      </c>
      <c r="C525">
        <v>4.7</v>
      </c>
      <c r="D525">
        <v>9.4</v>
      </c>
      <c r="E525">
        <v>8.1</v>
      </c>
      <c r="G525">
        <v>6.3297720000000002</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7.6340769999999996</v>
      </c>
      <c r="C526">
        <v>4.5999999999999996</v>
      </c>
      <c r="D526">
        <v>9.4</v>
      </c>
      <c r="E526">
        <v>8.1999999999999993</v>
      </c>
      <c r="G526">
        <v>6.6927919999999999</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7.3138569999999996</v>
      </c>
      <c r="C527">
        <v>4.5</v>
      </c>
      <c r="D527">
        <v>9.1999999999999993</v>
      </c>
      <c r="E527">
        <v>8</v>
      </c>
      <c r="G527">
        <v>7.347658</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7.6270110000000004</v>
      </c>
      <c r="C528">
        <v>4.4000000000000004</v>
      </c>
      <c r="D528">
        <v>9.1</v>
      </c>
      <c r="E528">
        <v>8</v>
      </c>
      <c r="G528">
        <v>7.9536069999999999</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7.1838449999999998</v>
      </c>
      <c r="C529">
        <v>4.3</v>
      </c>
      <c r="D529">
        <v>9.1</v>
      </c>
      <c r="E529">
        <v>8.1</v>
      </c>
      <c r="G529">
        <v>8.3201509999999992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7.1191639999999996</v>
      </c>
      <c r="C530">
        <v>4.3</v>
      </c>
      <c r="D530">
        <v>8.9</v>
      </c>
      <c r="E530">
        <v>7.9</v>
      </c>
      <c r="G530">
        <v>8.3746500000000008</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7.115494</v>
      </c>
      <c r="C531">
        <v>4.2</v>
      </c>
      <c r="D531">
        <v>9</v>
      </c>
      <c r="E531">
        <v>7.9</v>
      </c>
      <c r="G531">
        <v>8.8170260000000003</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7.0129299999999999</v>
      </c>
      <c r="C532">
        <v>4.2</v>
      </c>
      <c r="D532">
        <v>9</v>
      </c>
      <c r="E532">
        <v>7.9</v>
      </c>
      <c r="G532">
        <v>9.3119750000000003</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6.9787879999999998</v>
      </c>
      <c r="C533">
        <v>4.2</v>
      </c>
      <c r="D533">
        <v>9</v>
      </c>
      <c r="E533">
        <v>8.1999999999999993</v>
      </c>
      <c r="G533">
        <v>10.03736</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2">
      <c r="A534" s="61">
        <v>36281</v>
      </c>
      <c r="B534">
        <v>7.0256449999999999</v>
      </c>
      <c r="C534">
        <v>4.2</v>
      </c>
      <c r="D534">
        <v>9</v>
      </c>
      <c r="E534">
        <v>7.9</v>
      </c>
      <c r="G534">
        <v>10.646979999999999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6.654026</v>
      </c>
      <c r="C535">
        <v>4.2</v>
      </c>
      <c r="D535">
        <v>8.6999999999999993</v>
      </c>
      <c r="E535">
        <v>7.6</v>
      </c>
      <c r="G535">
        <v>10.742470000000001</v>
      </c>
      <c r="H535">
        <v>8.6</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6</v>
      </c>
      <c r="AH535">
        <v>16.5</v>
      </c>
      <c r="AI535">
        <v>7.6</v>
      </c>
      <c r="AJ535">
        <v>6.7</v>
      </c>
      <c r="AL535">
        <v>4.3</v>
      </c>
    </row>
    <row r="536" spans="1:38" x14ac:dyDescent="0.2">
      <c r="A536" s="61">
        <v>36342</v>
      </c>
      <c r="B536">
        <v>6.6756729999999997</v>
      </c>
      <c r="C536">
        <v>4.0999999999999996</v>
      </c>
      <c r="D536">
        <v>8.3000000000000007</v>
      </c>
      <c r="E536">
        <v>7.6</v>
      </c>
      <c r="G536">
        <v>10.94248</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6.9067220000000002</v>
      </c>
      <c r="C537">
        <v>4</v>
      </c>
      <c r="D537">
        <v>8.1999999999999993</v>
      </c>
      <c r="E537">
        <v>7.4</v>
      </c>
      <c r="G537">
        <v>10.966559999999999</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2">
      <c r="A538" s="61">
        <v>36404</v>
      </c>
      <c r="B538">
        <v>7.0422459999999996</v>
      </c>
      <c r="C538">
        <v>4</v>
      </c>
      <c r="D538">
        <v>7.9</v>
      </c>
      <c r="E538">
        <v>7.5</v>
      </c>
      <c r="G538">
        <v>10.97457</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6.7767759999999999</v>
      </c>
      <c r="C539">
        <v>4</v>
      </c>
      <c r="D539">
        <v>7.8</v>
      </c>
      <c r="E539">
        <v>7.2</v>
      </c>
      <c r="G539">
        <v>10.60768</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6.4400890000000004</v>
      </c>
      <c r="C540">
        <v>4.0999999999999996</v>
      </c>
      <c r="D540">
        <v>7.7</v>
      </c>
      <c r="E540">
        <v>6.9</v>
      </c>
      <c r="G540">
        <v>10.15484</v>
      </c>
      <c r="H540">
        <v>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6.684831</v>
      </c>
      <c r="C541">
        <v>4.2</v>
      </c>
      <c r="D541">
        <v>7.6</v>
      </c>
      <c r="E541">
        <v>6.8</v>
      </c>
      <c r="G541">
        <v>9.6020310000000002</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2">
      <c r="A542" s="61">
        <v>36526</v>
      </c>
      <c r="B542">
        <v>6.7684059999999997</v>
      </c>
      <c r="C542">
        <v>4.3</v>
      </c>
      <c r="D542">
        <v>7.3</v>
      </c>
      <c r="E542">
        <v>6.8</v>
      </c>
      <c r="G542">
        <v>9.170337</v>
      </c>
      <c r="H542">
        <v>9.1999999999999993</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6.6195329999999997</v>
      </c>
      <c r="C543">
        <v>4.3</v>
      </c>
      <c r="D543">
        <v>7.1</v>
      </c>
      <c r="E543">
        <v>6.9</v>
      </c>
      <c r="G543">
        <v>9.0162750000000003</v>
      </c>
      <c r="H543">
        <v>9.3000000000000007</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2">
      <c r="A544" s="61">
        <v>36586</v>
      </c>
      <c r="B544">
        <v>6.565366</v>
      </c>
      <c r="C544">
        <v>4.0999999999999996</v>
      </c>
      <c r="D544">
        <v>6.9</v>
      </c>
      <c r="E544">
        <v>6.9</v>
      </c>
      <c r="G544">
        <v>9.2401920000000004</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6.3763480000000001</v>
      </c>
      <c r="C545">
        <v>3.8</v>
      </c>
      <c r="D545">
        <v>6.9</v>
      </c>
      <c r="E545">
        <v>6.7</v>
      </c>
      <c r="G545">
        <v>9.2352559999999997</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6.4147569999999998</v>
      </c>
      <c r="C546">
        <v>3.7</v>
      </c>
      <c r="D546">
        <v>6.8</v>
      </c>
      <c r="E546">
        <v>6.6</v>
      </c>
      <c r="G546">
        <v>9.4004779999999997</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6.1158200000000003</v>
      </c>
      <c r="C547">
        <v>3.6</v>
      </c>
      <c r="D547">
        <v>6.7</v>
      </c>
      <c r="E547">
        <v>6.7</v>
      </c>
      <c r="G547">
        <v>9.9761279999999992</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5.9545070000000004</v>
      </c>
      <c r="C548">
        <v>3.8</v>
      </c>
      <c r="D548">
        <v>6.8</v>
      </c>
      <c r="E548">
        <v>6.8</v>
      </c>
      <c r="G548">
        <v>10.25202</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6.0519660000000002</v>
      </c>
      <c r="C549">
        <v>3.8</v>
      </c>
      <c r="D549">
        <v>7</v>
      </c>
      <c r="E549">
        <v>7</v>
      </c>
      <c r="G549">
        <v>10.531029999999999</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2">
      <c r="A550" s="61">
        <v>36770</v>
      </c>
      <c r="B550">
        <v>5.9638359999999997</v>
      </c>
      <c r="C550">
        <v>3.9</v>
      </c>
      <c r="D550">
        <v>6.9</v>
      </c>
      <c r="E550">
        <v>6.9</v>
      </c>
      <c r="G550">
        <v>10.13946</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6.0100949999999997</v>
      </c>
      <c r="C551">
        <v>3.8</v>
      </c>
      <c r="D551">
        <v>6.8</v>
      </c>
      <c r="E551">
        <v>7</v>
      </c>
      <c r="G551">
        <v>10.19173</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6.26187</v>
      </c>
      <c r="C552">
        <v>3.8</v>
      </c>
      <c r="D552">
        <v>6.7</v>
      </c>
      <c r="E552">
        <v>6.9</v>
      </c>
      <c r="G552">
        <v>9.7195619999999998</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2">
      <c r="A553" s="61">
        <v>36861</v>
      </c>
      <c r="B553">
        <v>6.2442849999999996</v>
      </c>
      <c r="C553">
        <v>3.7</v>
      </c>
      <c r="D553">
        <v>6.4</v>
      </c>
      <c r="E553">
        <v>6.8</v>
      </c>
      <c r="G553">
        <v>9.8196940000000001</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6.1405320000000003</v>
      </c>
      <c r="C554">
        <v>3.6</v>
      </c>
      <c r="D554">
        <v>6.1</v>
      </c>
      <c r="E554">
        <v>6.9</v>
      </c>
      <c r="G554">
        <v>9.8130939999999995</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6.4551360000000004</v>
      </c>
      <c r="AF554">
        <v>17.100000000000001</v>
      </c>
      <c r="AG554">
        <v>5.0999999999999996</v>
      </c>
      <c r="AH554">
        <v>19.399999999999999</v>
      </c>
      <c r="AI554">
        <v>6.1</v>
      </c>
      <c r="AJ554">
        <v>6</v>
      </c>
      <c r="AL554">
        <v>4.2</v>
      </c>
    </row>
    <row r="555" spans="1:38" x14ac:dyDescent="0.2">
      <c r="A555" s="61">
        <v>36923</v>
      </c>
      <c r="B555">
        <v>6.5021339999999999</v>
      </c>
      <c r="C555">
        <v>3.6</v>
      </c>
      <c r="D555">
        <v>6</v>
      </c>
      <c r="E555">
        <v>7</v>
      </c>
      <c r="G555">
        <v>9.9445160000000001</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6.4728659999999998</v>
      </c>
      <c r="AF555">
        <v>17.399999999999999</v>
      </c>
      <c r="AG555">
        <v>5.3</v>
      </c>
      <c r="AH555">
        <v>19.3</v>
      </c>
      <c r="AI555">
        <v>6</v>
      </c>
      <c r="AJ555">
        <v>5.9</v>
      </c>
      <c r="AL555">
        <v>4.2</v>
      </c>
    </row>
    <row r="556" spans="1:38" x14ac:dyDescent="0.2">
      <c r="A556" s="61">
        <v>36951</v>
      </c>
      <c r="B556">
        <v>6.4590529999999999</v>
      </c>
      <c r="C556">
        <v>3.7</v>
      </c>
      <c r="D556">
        <v>6.1</v>
      </c>
      <c r="E556">
        <v>7.1</v>
      </c>
      <c r="G556">
        <v>10.028169999999999</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6.4748250000000001</v>
      </c>
      <c r="AF556">
        <v>17.7</v>
      </c>
      <c r="AG556">
        <v>5.4</v>
      </c>
      <c r="AH556">
        <v>19.399999999999999</v>
      </c>
      <c r="AI556">
        <v>6.1</v>
      </c>
      <c r="AJ556">
        <v>5.8</v>
      </c>
      <c r="AL556">
        <v>4.3</v>
      </c>
    </row>
    <row r="557" spans="1:38" x14ac:dyDescent="0.2">
      <c r="A557" s="61">
        <v>36982</v>
      </c>
      <c r="B557">
        <v>6.7826700000000004</v>
      </c>
      <c r="C557">
        <v>3.9</v>
      </c>
      <c r="D557">
        <v>6.5</v>
      </c>
      <c r="E557">
        <v>7.1</v>
      </c>
      <c r="G557">
        <v>10.14547</v>
      </c>
      <c r="H557">
        <v>8.1999999999999993</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6.4977140000000002</v>
      </c>
      <c r="AF557">
        <v>18.100000000000001</v>
      </c>
      <c r="AG557">
        <v>5.4</v>
      </c>
      <c r="AH557">
        <v>19.600000000000001</v>
      </c>
      <c r="AI557">
        <v>6</v>
      </c>
      <c r="AJ557">
        <v>5.7</v>
      </c>
      <c r="AL557">
        <v>4.4000000000000004</v>
      </c>
    </row>
    <row r="558" spans="1:38" x14ac:dyDescent="0.2">
      <c r="A558" s="61">
        <v>37012</v>
      </c>
      <c r="B558">
        <v>6.8934259999999998</v>
      </c>
      <c r="C558">
        <v>4</v>
      </c>
      <c r="D558">
        <v>6.6</v>
      </c>
      <c r="E558">
        <v>7</v>
      </c>
      <c r="G558">
        <v>9.8915509999999998</v>
      </c>
      <c r="H558">
        <v>8.1</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6.5197700000000003</v>
      </c>
      <c r="AF558">
        <v>18.399999999999999</v>
      </c>
      <c r="AG558">
        <v>5.4</v>
      </c>
      <c r="AH558">
        <v>19.5</v>
      </c>
      <c r="AI558">
        <v>5.9</v>
      </c>
      <c r="AJ558">
        <v>5.7</v>
      </c>
      <c r="AL558">
        <v>4.3</v>
      </c>
    </row>
    <row r="559" spans="1:38" x14ac:dyDescent="0.2">
      <c r="A559" s="61">
        <v>37043</v>
      </c>
      <c r="B559">
        <v>6.9338009999999999</v>
      </c>
      <c r="C559">
        <v>4.0999999999999996</v>
      </c>
      <c r="D559">
        <v>6.4</v>
      </c>
      <c r="E559">
        <v>7.2</v>
      </c>
      <c r="G559">
        <v>9.7993489999999994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6.5741250000000004</v>
      </c>
      <c r="AF559">
        <v>18.5</v>
      </c>
      <c r="AG559">
        <v>5.5</v>
      </c>
      <c r="AH559">
        <v>19.5</v>
      </c>
      <c r="AI559">
        <v>5.9</v>
      </c>
      <c r="AJ559">
        <v>5.7</v>
      </c>
      <c r="AL559">
        <v>4.5</v>
      </c>
    </row>
    <row r="560" spans="1:38" x14ac:dyDescent="0.2">
      <c r="A560" s="61">
        <v>37073</v>
      </c>
      <c r="B560">
        <v>6.8803869999999998</v>
      </c>
      <c r="C560">
        <v>4.0999999999999996</v>
      </c>
      <c r="D560">
        <v>6.1</v>
      </c>
      <c r="E560">
        <v>7.1</v>
      </c>
      <c r="G560">
        <v>9.6535639999999994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6.6509660000000004</v>
      </c>
      <c r="AF560">
        <v>18.399999999999999</v>
      </c>
      <c r="AG560">
        <v>5.5</v>
      </c>
      <c r="AH560">
        <v>19.399999999999999</v>
      </c>
      <c r="AI560">
        <v>5.9</v>
      </c>
      <c r="AJ560">
        <v>5.9</v>
      </c>
      <c r="AL560">
        <v>4.5999999999999996</v>
      </c>
    </row>
    <row r="561" spans="1:38" x14ac:dyDescent="0.2">
      <c r="A561" s="61">
        <v>37104</v>
      </c>
      <c r="B561">
        <v>6.8815530000000003</v>
      </c>
      <c r="C561">
        <v>4.0999999999999996</v>
      </c>
      <c r="D561">
        <v>6.2</v>
      </c>
      <c r="E561">
        <v>7.2</v>
      </c>
      <c r="G561">
        <v>10.114879999999999</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6.7495440000000002</v>
      </c>
      <c r="AF561">
        <v>18.399999999999999</v>
      </c>
      <c r="AG561">
        <v>5.4</v>
      </c>
      <c r="AH561">
        <v>19.5</v>
      </c>
      <c r="AI561">
        <v>6</v>
      </c>
      <c r="AJ561">
        <v>5.8</v>
      </c>
      <c r="AL561">
        <v>4.9000000000000004</v>
      </c>
    </row>
    <row r="562" spans="1:38" x14ac:dyDescent="0.2">
      <c r="A562" s="61">
        <v>37135</v>
      </c>
      <c r="B562">
        <v>6.8423480000000003</v>
      </c>
      <c r="C562">
        <v>4.0999999999999996</v>
      </c>
      <c r="D562">
        <v>6.6</v>
      </c>
      <c r="E562">
        <v>7.2</v>
      </c>
      <c r="G562">
        <v>9.9829679999999996</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6.7931739999999996</v>
      </c>
      <c r="AF562">
        <v>18.600000000000001</v>
      </c>
      <c r="AG562">
        <v>5.4</v>
      </c>
      <c r="AH562">
        <v>19.5</v>
      </c>
      <c r="AI562">
        <v>6.3</v>
      </c>
      <c r="AJ562">
        <v>5.8</v>
      </c>
      <c r="AL562">
        <v>5</v>
      </c>
    </row>
    <row r="563" spans="1:38" x14ac:dyDescent="0.2">
      <c r="A563" s="61">
        <v>37165</v>
      </c>
      <c r="B563">
        <v>7.1939630000000001</v>
      </c>
      <c r="C563">
        <v>4.2</v>
      </c>
      <c r="D563">
        <v>7.3</v>
      </c>
      <c r="E563">
        <v>7.3</v>
      </c>
      <c r="G563">
        <v>9.7899180000000001</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6.9698539999999998</v>
      </c>
      <c r="AF563">
        <v>18.8</v>
      </c>
      <c r="AG563">
        <v>5.3</v>
      </c>
      <c r="AH563">
        <v>19.600000000000001</v>
      </c>
      <c r="AI563">
        <v>6.5</v>
      </c>
      <c r="AJ563">
        <v>6.2</v>
      </c>
      <c r="AL563">
        <v>5.3</v>
      </c>
    </row>
    <row r="564" spans="1:38" x14ac:dyDescent="0.2">
      <c r="A564" s="61">
        <v>37196</v>
      </c>
      <c r="B564">
        <v>6.8839160000000001</v>
      </c>
      <c r="C564">
        <v>4.3</v>
      </c>
      <c r="D564">
        <v>7.4</v>
      </c>
      <c r="E564">
        <v>7.5</v>
      </c>
      <c r="G564">
        <v>9.4576460000000004</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7.0458569999999998</v>
      </c>
      <c r="AF564">
        <v>19.100000000000001</v>
      </c>
      <c r="AG564">
        <v>5.4</v>
      </c>
      <c r="AH564">
        <v>19.5</v>
      </c>
      <c r="AI564">
        <v>6.8</v>
      </c>
      <c r="AJ564">
        <v>5.8</v>
      </c>
      <c r="AL564">
        <v>5.5</v>
      </c>
    </row>
    <row r="565" spans="1:38" x14ac:dyDescent="0.2">
      <c r="A565" s="61">
        <v>37226</v>
      </c>
      <c r="B565">
        <v>6.8617889999999999</v>
      </c>
      <c r="C565">
        <v>4.4000000000000004</v>
      </c>
      <c r="D565">
        <v>7.5</v>
      </c>
      <c r="E565">
        <v>8.1</v>
      </c>
      <c r="G565">
        <v>9.6287160000000007</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13.3</v>
      </c>
      <c r="AB565">
        <v>3.0861649999999998</v>
      </c>
      <c r="AC565">
        <v>3.2</v>
      </c>
      <c r="AD565">
        <v>3.6</v>
      </c>
      <c r="AE565">
        <v>7.1232889999999998</v>
      </c>
      <c r="AF565">
        <v>19.2</v>
      </c>
      <c r="AG565">
        <v>5.4</v>
      </c>
      <c r="AH565">
        <v>19.3</v>
      </c>
      <c r="AI565">
        <v>6.8</v>
      </c>
      <c r="AJ565">
        <v>5.9</v>
      </c>
      <c r="AL565">
        <v>5.7</v>
      </c>
    </row>
    <row r="566" spans="1:38" x14ac:dyDescent="0.2">
      <c r="A566" s="61">
        <v>37257</v>
      </c>
      <c r="B566">
        <v>6.9138520000000003</v>
      </c>
      <c r="C566">
        <v>4.5</v>
      </c>
      <c r="D566">
        <v>7.4</v>
      </c>
      <c r="E566">
        <v>8</v>
      </c>
      <c r="G566">
        <v>9.8815100000000005</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7.1351110000000002</v>
      </c>
      <c r="AF566">
        <v>19.399999999999999</v>
      </c>
      <c r="AG566">
        <v>5.6</v>
      </c>
      <c r="AH566">
        <v>19.100000000000001</v>
      </c>
      <c r="AI566">
        <v>6.7</v>
      </c>
      <c r="AJ566">
        <v>5.8</v>
      </c>
      <c r="AL566">
        <v>5.7</v>
      </c>
    </row>
    <row r="567" spans="1:38" x14ac:dyDescent="0.2">
      <c r="A567" s="61">
        <v>37288</v>
      </c>
      <c r="B567">
        <v>6.5367819999999996</v>
      </c>
      <c r="C567">
        <v>4.5</v>
      </c>
      <c r="D567">
        <v>7.3</v>
      </c>
      <c r="E567">
        <v>8</v>
      </c>
      <c r="G567">
        <v>10.0146</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7.1428390000000004</v>
      </c>
      <c r="AF567">
        <v>19.399999999999999</v>
      </c>
      <c r="AG567">
        <v>5.5</v>
      </c>
      <c r="AH567">
        <v>19</v>
      </c>
      <c r="AI567">
        <v>6.6</v>
      </c>
      <c r="AJ567">
        <v>5.8</v>
      </c>
      <c r="AL567">
        <v>5.7</v>
      </c>
    </row>
    <row r="568" spans="1:38" x14ac:dyDescent="0.2">
      <c r="A568" s="61">
        <v>37316</v>
      </c>
      <c r="B568">
        <v>6.4308040000000002</v>
      </c>
      <c r="C568">
        <v>4.5</v>
      </c>
      <c r="D568">
        <v>7.3</v>
      </c>
      <c r="E568">
        <v>7.9</v>
      </c>
      <c r="G568">
        <v>9.9025339999999993</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7.1458760000000003</v>
      </c>
      <c r="AF568">
        <v>19.600000000000001</v>
      </c>
      <c r="AG568">
        <v>5.7</v>
      </c>
      <c r="AH568">
        <v>18.899999999999999</v>
      </c>
      <c r="AI568">
        <v>6.4</v>
      </c>
      <c r="AJ568">
        <v>5.8</v>
      </c>
      <c r="AL568">
        <v>5.7</v>
      </c>
    </row>
    <row r="569" spans="1:38" x14ac:dyDescent="0.2">
      <c r="A569" s="61">
        <v>37347</v>
      </c>
      <c r="B569">
        <v>6.3459919999999999</v>
      </c>
      <c r="C569">
        <v>4.3</v>
      </c>
      <c r="D569">
        <v>7.3</v>
      </c>
      <c r="E569">
        <v>7.7</v>
      </c>
      <c r="G569">
        <v>9.7820400000000003</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7.2146410000000003</v>
      </c>
      <c r="AF569">
        <v>19.899999999999999</v>
      </c>
      <c r="AG569">
        <v>5.8</v>
      </c>
      <c r="AH569">
        <v>18.899999999999999</v>
      </c>
      <c r="AI569">
        <v>6.3</v>
      </c>
      <c r="AJ569">
        <v>6</v>
      </c>
      <c r="AL569">
        <v>5.9</v>
      </c>
    </row>
    <row r="570" spans="1:38" x14ac:dyDescent="0.2">
      <c r="A570" s="61">
        <v>37377</v>
      </c>
      <c r="B570">
        <v>6.3730739999999999</v>
      </c>
      <c r="C570">
        <v>4.2</v>
      </c>
      <c r="D570">
        <v>7.3</v>
      </c>
      <c r="E570">
        <v>7.8</v>
      </c>
      <c r="G570">
        <v>9.7927070000000001</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7.1906860000000004</v>
      </c>
      <c r="AF570">
        <v>19.8</v>
      </c>
      <c r="AG570">
        <v>6.2</v>
      </c>
      <c r="AH570">
        <v>19</v>
      </c>
      <c r="AI570">
        <v>6.3</v>
      </c>
      <c r="AJ570">
        <v>5.8</v>
      </c>
      <c r="AL570">
        <v>5.8</v>
      </c>
    </row>
    <row r="571" spans="1:38" x14ac:dyDescent="0.2">
      <c r="A571" s="61">
        <v>37408</v>
      </c>
      <c r="B571">
        <v>6.4965780000000004</v>
      </c>
      <c r="C571">
        <v>4.2</v>
      </c>
      <c r="D571">
        <v>7.3</v>
      </c>
      <c r="E571">
        <v>7.6</v>
      </c>
      <c r="G571">
        <v>9.5743039999999997</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7.2104039999999996</v>
      </c>
      <c r="AF571">
        <v>20.2</v>
      </c>
      <c r="AG571">
        <v>6.4</v>
      </c>
      <c r="AH571">
        <v>18.899999999999999</v>
      </c>
      <c r="AI571">
        <v>6.1</v>
      </c>
      <c r="AJ571">
        <v>5.6</v>
      </c>
      <c r="AL571">
        <v>5.8</v>
      </c>
    </row>
    <row r="572" spans="1:38" x14ac:dyDescent="0.2">
      <c r="A572" s="61">
        <v>37438</v>
      </c>
      <c r="B572">
        <v>6.1798820000000001</v>
      </c>
      <c r="C572">
        <v>4.3</v>
      </c>
      <c r="D572">
        <v>7.5</v>
      </c>
      <c r="E572">
        <v>7.6</v>
      </c>
      <c r="G572">
        <v>9.6784510000000008</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7.2338040000000001</v>
      </c>
      <c r="AF572">
        <v>20.399999999999999</v>
      </c>
      <c r="AG572">
        <v>6.6</v>
      </c>
      <c r="AH572">
        <v>18.8</v>
      </c>
      <c r="AI572">
        <v>6.1</v>
      </c>
      <c r="AJ572">
        <v>6.1</v>
      </c>
      <c r="AL572">
        <v>5.8</v>
      </c>
    </row>
    <row r="573" spans="1:38" x14ac:dyDescent="0.2">
      <c r="A573" s="61">
        <v>37469</v>
      </c>
      <c r="B573">
        <v>6.3501789999999998</v>
      </c>
      <c r="C573">
        <v>4.4000000000000004</v>
      </c>
      <c r="D573">
        <v>7.4</v>
      </c>
      <c r="E573">
        <v>7.4</v>
      </c>
      <c r="G573">
        <v>9.8855009999999996</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7.2547139999999999</v>
      </c>
      <c r="AF573">
        <v>20.5</v>
      </c>
      <c r="AG573">
        <v>6.5</v>
      </c>
      <c r="AH573">
        <v>18.8</v>
      </c>
      <c r="AI573">
        <v>6.3</v>
      </c>
      <c r="AJ573">
        <v>5.9</v>
      </c>
      <c r="AL573">
        <v>5.7</v>
      </c>
    </row>
    <row r="574" spans="1:38" x14ac:dyDescent="0.2">
      <c r="A574" s="61">
        <v>37500</v>
      </c>
      <c r="B574">
        <v>6.3128729999999997</v>
      </c>
      <c r="C574">
        <v>4.5</v>
      </c>
      <c r="D574">
        <v>7.6</v>
      </c>
      <c r="E574">
        <v>7.5</v>
      </c>
      <c r="G574">
        <v>10.09503</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7.2410059999999996</v>
      </c>
      <c r="AF574">
        <v>20.5</v>
      </c>
      <c r="AG574">
        <v>6.8</v>
      </c>
      <c r="AH574">
        <v>18.7</v>
      </c>
      <c r="AI574">
        <v>6.3</v>
      </c>
      <c r="AJ574">
        <v>6.2</v>
      </c>
      <c r="AL574">
        <v>5.7</v>
      </c>
    </row>
    <row r="575" spans="1:38" x14ac:dyDescent="0.2">
      <c r="A575" s="61">
        <v>37530</v>
      </c>
      <c r="B575">
        <v>6.1287260000000003</v>
      </c>
      <c r="C575">
        <v>4.4000000000000004</v>
      </c>
      <c r="D575">
        <v>7.8</v>
      </c>
      <c r="E575">
        <v>7.6</v>
      </c>
      <c r="G575">
        <v>9.9463469999999994</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7.2552390000000004</v>
      </c>
      <c r="AF575">
        <v>20.399999999999999</v>
      </c>
      <c r="AG575">
        <v>7.2</v>
      </c>
      <c r="AH575">
        <v>18.7</v>
      </c>
      <c r="AI575">
        <v>6.2</v>
      </c>
      <c r="AJ575">
        <v>6</v>
      </c>
      <c r="AL575">
        <v>5.7</v>
      </c>
    </row>
    <row r="576" spans="1:38" x14ac:dyDescent="0.2">
      <c r="A576" s="61">
        <v>37561</v>
      </c>
      <c r="B576">
        <v>6.1625930000000002</v>
      </c>
      <c r="C576">
        <v>4.4000000000000004</v>
      </c>
      <c r="D576">
        <v>8</v>
      </c>
      <c r="E576">
        <v>7.4</v>
      </c>
      <c r="G576">
        <v>9.521331</v>
      </c>
      <c r="H576">
        <v>7.4</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7.278753</v>
      </c>
      <c r="AF576">
        <v>20.3</v>
      </c>
      <c r="AG576">
        <v>7.5</v>
      </c>
      <c r="AH576">
        <v>18.600000000000001</v>
      </c>
      <c r="AI576">
        <v>6.4</v>
      </c>
      <c r="AJ576">
        <v>6.2</v>
      </c>
      <c r="AL576">
        <v>5.9</v>
      </c>
    </row>
    <row r="577" spans="1:38" x14ac:dyDescent="0.2">
      <c r="A577" s="61">
        <v>37591</v>
      </c>
      <c r="B577">
        <v>6.1826920000000003</v>
      </c>
      <c r="C577">
        <v>4.5</v>
      </c>
      <c r="D577">
        <v>8.1</v>
      </c>
      <c r="E577">
        <v>7.5</v>
      </c>
      <c r="G577">
        <v>9.3543310000000002</v>
      </c>
      <c r="H577">
        <v>7.5</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7.3109590000000004</v>
      </c>
      <c r="AF577">
        <v>20.100000000000001</v>
      </c>
      <c r="AG577">
        <v>7.6</v>
      </c>
      <c r="AH577">
        <v>18.5</v>
      </c>
      <c r="AI577">
        <v>6.4</v>
      </c>
      <c r="AJ577">
        <v>6.3</v>
      </c>
      <c r="AL577">
        <v>6</v>
      </c>
    </row>
    <row r="578" spans="1:38" x14ac:dyDescent="0.2">
      <c r="A578" s="61">
        <v>37622</v>
      </c>
      <c r="B578">
        <v>6.0815229999999998</v>
      </c>
      <c r="C578">
        <v>4.5</v>
      </c>
      <c r="D578">
        <v>8.1</v>
      </c>
      <c r="E578">
        <v>7.5</v>
      </c>
      <c r="G578">
        <v>9.5441269999999996</v>
      </c>
      <c r="H578">
        <v>7.2</v>
      </c>
      <c r="I578">
        <v>9.4</v>
      </c>
      <c r="J578">
        <v>4.8</v>
      </c>
      <c r="K578">
        <v>9</v>
      </c>
      <c r="L578">
        <v>11.7</v>
      </c>
      <c r="M578">
        <v>11.4</v>
      </c>
      <c r="N578">
        <v>9.1</v>
      </c>
      <c r="O578">
        <v>8.1999999999999993</v>
      </c>
      <c r="P578">
        <v>6.5695379999999997</v>
      </c>
      <c r="Q578">
        <v>5.0999999999999996</v>
      </c>
      <c r="R578">
        <v>9.8000000000000007</v>
      </c>
      <c r="S578">
        <v>5.7</v>
      </c>
      <c r="T578">
        <v>5</v>
      </c>
      <c r="U578">
        <v>3.8</v>
      </c>
      <c r="W578">
        <v>8.8000000000000007</v>
      </c>
      <c r="X578">
        <v>5.4</v>
      </c>
      <c r="Y578">
        <v>3.3</v>
      </c>
      <c r="Z578">
        <v>3.2</v>
      </c>
      <c r="AA578">
        <v>11.6</v>
      </c>
      <c r="AB578">
        <v>2.8900190000000001</v>
      </c>
      <c r="AC578">
        <v>5.3</v>
      </c>
      <c r="AD578">
        <v>3.9</v>
      </c>
      <c r="AE578">
        <v>7.2894920000000001</v>
      </c>
      <c r="AF578">
        <v>19.899999999999999</v>
      </c>
      <c r="AG578">
        <v>7.6</v>
      </c>
      <c r="AH578">
        <v>18.2</v>
      </c>
      <c r="AI578">
        <v>6.5</v>
      </c>
      <c r="AJ578">
        <v>6.4</v>
      </c>
      <c r="AL578">
        <v>5.8</v>
      </c>
    </row>
    <row r="579" spans="1:38" x14ac:dyDescent="0.2">
      <c r="A579" s="61">
        <v>37653</v>
      </c>
      <c r="B579">
        <v>5.9553890000000003</v>
      </c>
      <c r="C579">
        <v>4.5</v>
      </c>
      <c r="D579">
        <v>8.1</v>
      </c>
      <c r="E579">
        <v>7.5</v>
      </c>
      <c r="G579">
        <v>9.5743299999999998</v>
      </c>
      <c r="H579">
        <v>7.3</v>
      </c>
      <c r="I579">
        <v>9.5</v>
      </c>
      <c r="J579">
        <v>5</v>
      </c>
      <c r="K579">
        <v>9.1</v>
      </c>
      <c r="L579">
        <v>11.7</v>
      </c>
      <c r="M579">
        <v>11.2</v>
      </c>
      <c r="N579">
        <v>8.6</v>
      </c>
      <c r="O579">
        <v>8.3000000000000007</v>
      </c>
      <c r="P579">
        <v>6.5779990000000002</v>
      </c>
      <c r="Q579">
        <v>5.2</v>
      </c>
      <c r="R579">
        <v>9.6999999999999993</v>
      </c>
      <c r="S579">
        <v>5.7</v>
      </c>
      <c r="T579">
        <v>4.8</v>
      </c>
      <c r="U579">
        <v>3.7</v>
      </c>
      <c r="W579">
        <v>8.6999999999999993</v>
      </c>
      <c r="X579">
        <v>5.2</v>
      </c>
      <c r="Y579">
        <v>3.3</v>
      </c>
      <c r="Z579">
        <v>3.3</v>
      </c>
      <c r="AA579">
        <v>11.3</v>
      </c>
      <c r="AB579">
        <v>2.9803799999999998</v>
      </c>
      <c r="AC579">
        <v>5.4</v>
      </c>
      <c r="AD579">
        <v>4</v>
      </c>
      <c r="AE579">
        <v>7.2819320000000003</v>
      </c>
      <c r="AF579">
        <v>19.8</v>
      </c>
      <c r="AG579">
        <v>7.7</v>
      </c>
      <c r="AH579">
        <v>18</v>
      </c>
      <c r="AI579">
        <v>6.7</v>
      </c>
      <c r="AJ579">
        <v>6</v>
      </c>
      <c r="AL579">
        <v>5.9</v>
      </c>
    </row>
    <row r="580" spans="1:38" x14ac:dyDescent="0.2">
      <c r="A580" s="61">
        <v>37681</v>
      </c>
      <c r="B580">
        <v>6.13157</v>
      </c>
      <c r="C580">
        <v>4.5999999999999996</v>
      </c>
      <c r="D580">
        <v>8.1</v>
      </c>
      <c r="E580">
        <v>7.4</v>
      </c>
      <c r="G580">
        <v>9.7833310000000004</v>
      </c>
      <c r="H580">
        <v>7.6</v>
      </c>
      <c r="I580">
        <v>9.6</v>
      </c>
      <c r="J580">
        <v>5.2</v>
      </c>
      <c r="K580">
        <v>9.1</v>
      </c>
      <c r="L580">
        <v>11.6</v>
      </c>
      <c r="M580">
        <v>11.1</v>
      </c>
      <c r="N580">
        <v>9.1999999999999993</v>
      </c>
      <c r="O580">
        <v>8.4</v>
      </c>
      <c r="P580">
        <v>6.6173529999999996</v>
      </c>
      <c r="Q580">
        <v>5.0999999999999996</v>
      </c>
      <c r="R580">
        <v>9.6999999999999993</v>
      </c>
      <c r="S580">
        <v>5.7</v>
      </c>
      <c r="T580">
        <v>4.7</v>
      </c>
      <c r="U580">
        <v>3.6</v>
      </c>
      <c r="W580">
        <v>8.6999999999999993</v>
      </c>
      <c r="X580">
        <v>5.4</v>
      </c>
      <c r="Y580">
        <v>3.3</v>
      </c>
      <c r="Z580">
        <v>3.4</v>
      </c>
      <c r="AA580">
        <v>11.2</v>
      </c>
      <c r="AB580">
        <v>3.1239080000000001</v>
      </c>
      <c r="AC580">
        <v>5.6</v>
      </c>
      <c r="AD580">
        <v>4</v>
      </c>
      <c r="AE580">
        <v>7.3178080000000003</v>
      </c>
      <c r="AF580">
        <v>19.600000000000001</v>
      </c>
      <c r="AG580">
        <v>7.7</v>
      </c>
      <c r="AH580">
        <v>17.8</v>
      </c>
      <c r="AI580">
        <v>6.8</v>
      </c>
      <c r="AJ580">
        <v>6.3</v>
      </c>
      <c r="AL580">
        <v>5.9</v>
      </c>
    </row>
    <row r="581" spans="1:38" x14ac:dyDescent="0.2">
      <c r="A581" s="61">
        <v>37712</v>
      </c>
      <c r="B581">
        <v>6.0301600000000004</v>
      </c>
      <c r="C581">
        <v>4.7</v>
      </c>
      <c r="D581">
        <v>8.1</v>
      </c>
      <c r="E581">
        <v>7.6</v>
      </c>
      <c r="G581">
        <v>9.603389</v>
      </c>
      <c r="H581">
        <v>7.5</v>
      </c>
      <c r="I581">
        <v>9.6999999999999993</v>
      </c>
      <c r="J581">
        <v>5.4</v>
      </c>
      <c r="K581">
        <v>9.1</v>
      </c>
      <c r="L581">
        <v>11.4</v>
      </c>
      <c r="M581">
        <v>10.8</v>
      </c>
      <c r="N581">
        <v>9.4</v>
      </c>
      <c r="O581">
        <v>8.5</v>
      </c>
      <c r="P581">
        <v>6.6873360000000002</v>
      </c>
      <c r="Q581">
        <v>5</v>
      </c>
      <c r="R581">
        <v>9.6999999999999993</v>
      </c>
      <c r="S581">
        <v>5.8</v>
      </c>
      <c r="T581">
        <v>4.8</v>
      </c>
      <c r="U581">
        <v>3.5</v>
      </c>
      <c r="W581">
        <v>8.4</v>
      </c>
      <c r="X581">
        <v>5.5</v>
      </c>
      <c r="Y581">
        <v>3.4</v>
      </c>
      <c r="Z581">
        <v>3.5</v>
      </c>
      <c r="AA581">
        <v>11.4</v>
      </c>
      <c r="AB581">
        <v>3.0914999999999999</v>
      </c>
      <c r="AC581">
        <v>5.7</v>
      </c>
      <c r="AD581">
        <v>4.2</v>
      </c>
      <c r="AE581">
        <v>7.3593960000000003</v>
      </c>
      <c r="AF581">
        <v>19.5</v>
      </c>
      <c r="AG581">
        <v>7.8</v>
      </c>
      <c r="AH581">
        <v>17.399999999999999</v>
      </c>
      <c r="AI581">
        <v>6.8</v>
      </c>
      <c r="AJ581">
        <v>6.3</v>
      </c>
      <c r="AL581">
        <v>6</v>
      </c>
    </row>
    <row r="582" spans="1:38" x14ac:dyDescent="0.2">
      <c r="A582" s="61">
        <v>37742</v>
      </c>
      <c r="B582">
        <v>6.0694600000000003</v>
      </c>
      <c r="C582">
        <v>4.8</v>
      </c>
      <c r="D582">
        <v>8.1</v>
      </c>
      <c r="E582">
        <v>7.8</v>
      </c>
      <c r="G582">
        <v>9.5889819999999997</v>
      </c>
      <c r="H582">
        <v>7.8</v>
      </c>
      <c r="I582">
        <v>9.6999999999999993</v>
      </c>
      <c r="J582">
        <v>5.6</v>
      </c>
      <c r="K582">
        <v>9.1</v>
      </c>
      <c r="L582">
        <v>11.3</v>
      </c>
      <c r="M582">
        <v>11.1</v>
      </c>
      <c r="N582">
        <v>9.1</v>
      </c>
      <c r="O582">
        <v>8.5</v>
      </c>
      <c r="P582">
        <v>6.7266709999999996</v>
      </c>
      <c r="Q582">
        <v>4.9000000000000004</v>
      </c>
      <c r="R582">
        <v>9.6999999999999993</v>
      </c>
      <c r="S582">
        <v>5.8</v>
      </c>
      <c r="T582">
        <v>4.7</v>
      </c>
      <c r="U582">
        <v>3.5</v>
      </c>
      <c r="W582">
        <v>8.5</v>
      </c>
      <c r="X582">
        <v>5.4</v>
      </c>
      <c r="Y582">
        <v>3.6</v>
      </c>
      <c r="Z582">
        <v>3.6</v>
      </c>
      <c r="AA582">
        <v>11.7</v>
      </c>
      <c r="AB582">
        <v>3.1919520000000001</v>
      </c>
      <c r="AC582">
        <v>5.8</v>
      </c>
      <c r="AD582">
        <v>4.2</v>
      </c>
      <c r="AE582">
        <v>7.3940910000000004</v>
      </c>
      <c r="AF582">
        <v>19.5</v>
      </c>
      <c r="AG582">
        <v>8</v>
      </c>
      <c r="AH582">
        <v>17.3</v>
      </c>
      <c r="AI582">
        <v>6.8</v>
      </c>
      <c r="AJ582">
        <v>6.3</v>
      </c>
      <c r="AL582">
        <v>6.1</v>
      </c>
    </row>
    <row r="583" spans="1:38" x14ac:dyDescent="0.2">
      <c r="A583" s="61">
        <v>37773</v>
      </c>
      <c r="B583">
        <v>6.0554920000000001</v>
      </c>
      <c r="C583">
        <v>4.9000000000000004</v>
      </c>
      <c r="D583">
        <v>8.1</v>
      </c>
      <c r="E583">
        <v>7.6</v>
      </c>
      <c r="G583">
        <v>9.4622720000000005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7.4526620000000001</v>
      </c>
      <c r="AF583">
        <v>19.7</v>
      </c>
      <c r="AG583">
        <v>7.9</v>
      </c>
      <c r="AH583">
        <v>17.3</v>
      </c>
      <c r="AI583">
        <v>6.8</v>
      </c>
      <c r="AJ583">
        <v>6.4</v>
      </c>
      <c r="AL583">
        <v>6.3</v>
      </c>
    </row>
    <row r="584" spans="1:38" x14ac:dyDescent="0.2">
      <c r="A584" s="61">
        <v>37803</v>
      </c>
      <c r="B584">
        <v>6.1281559999999997</v>
      </c>
      <c r="C584">
        <v>4.8</v>
      </c>
      <c r="D584">
        <v>8.1</v>
      </c>
      <c r="E584">
        <v>7.7</v>
      </c>
      <c r="G584">
        <v>9.6522710000000007</v>
      </c>
      <c r="H584">
        <v>7.9</v>
      </c>
      <c r="I584">
        <v>9.8000000000000007</v>
      </c>
      <c r="J584">
        <v>5.4</v>
      </c>
      <c r="K584">
        <v>9.1</v>
      </c>
      <c r="L584">
        <v>11.6</v>
      </c>
      <c r="M584">
        <v>10.5</v>
      </c>
      <c r="N584">
        <v>9</v>
      </c>
      <c r="O584">
        <v>8.5</v>
      </c>
      <c r="P584">
        <v>6.7011279999999998</v>
      </c>
      <c r="Q584">
        <v>5.0999999999999996</v>
      </c>
      <c r="R584">
        <v>9.6999999999999993</v>
      </c>
      <c r="S584">
        <v>5.7</v>
      </c>
      <c r="T584">
        <v>5</v>
      </c>
      <c r="U584">
        <v>3.4</v>
      </c>
      <c r="W584">
        <v>8.4</v>
      </c>
      <c r="X584">
        <v>5.2</v>
      </c>
      <c r="Y584">
        <v>3.6</v>
      </c>
      <c r="Z584">
        <v>3.8</v>
      </c>
      <c r="AA584">
        <v>12.4</v>
      </c>
      <c r="AB584">
        <v>3.576365</v>
      </c>
      <c r="AC584">
        <v>6</v>
      </c>
      <c r="AD584">
        <v>4.3</v>
      </c>
      <c r="AE584">
        <v>7.3821519999999996</v>
      </c>
      <c r="AF584">
        <v>19.899999999999999</v>
      </c>
      <c r="AG584">
        <v>7.8</v>
      </c>
      <c r="AH584">
        <v>17.399999999999999</v>
      </c>
      <c r="AI584">
        <v>6.8</v>
      </c>
      <c r="AJ584">
        <v>6.5</v>
      </c>
      <c r="AL584">
        <v>6.2</v>
      </c>
    </row>
    <row r="585" spans="1:38" x14ac:dyDescent="0.2">
      <c r="A585" s="61">
        <v>37834</v>
      </c>
      <c r="B585">
        <v>5.81853</v>
      </c>
      <c r="C585">
        <v>4.8</v>
      </c>
      <c r="D585">
        <v>8.1</v>
      </c>
      <c r="E585">
        <v>7.8</v>
      </c>
      <c r="G585">
        <v>9.7296069999999997</v>
      </c>
      <c r="H585">
        <v>7.9</v>
      </c>
      <c r="I585">
        <v>9.8000000000000007</v>
      </c>
      <c r="J585">
        <v>5.4</v>
      </c>
      <c r="K585">
        <v>9.1</v>
      </c>
      <c r="L585">
        <v>11.5</v>
      </c>
      <c r="M585">
        <v>10.1</v>
      </c>
      <c r="N585">
        <v>8.6999999999999993</v>
      </c>
      <c r="O585">
        <v>8.3000000000000007</v>
      </c>
      <c r="P585">
        <v>6.638147</v>
      </c>
      <c r="Q585">
        <v>5</v>
      </c>
      <c r="R585">
        <v>9.6999999999999993</v>
      </c>
      <c r="S585">
        <v>5.7</v>
      </c>
      <c r="T585">
        <v>5</v>
      </c>
      <c r="U585">
        <v>3.4</v>
      </c>
      <c r="W585">
        <v>8.4</v>
      </c>
      <c r="X585">
        <v>5.0999999999999996</v>
      </c>
      <c r="Y585">
        <v>3.6</v>
      </c>
      <c r="Z585">
        <v>3.9</v>
      </c>
      <c r="AA585">
        <v>12.5</v>
      </c>
      <c r="AB585">
        <v>3.6646920000000001</v>
      </c>
      <c r="AC585">
        <v>6.1</v>
      </c>
      <c r="AD585">
        <v>4.4000000000000004</v>
      </c>
      <c r="AE585">
        <v>7.3425320000000003</v>
      </c>
      <c r="AF585">
        <v>20</v>
      </c>
      <c r="AG585">
        <v>7.8</v>
      </c>
      <c r="AH585">
        <v>17.600000000000001</v>
      </c>
      <c r="AI585">
        <v>6.8</v>
      </c>
      <c r="AJ585">
        <v>6.9</v>
      </c>
      <c r="AL585">
        <v>6.1</v>
      </c>
    </row>
    <row r="586" spans="1:38" x14ac:dyDescent="0.2">
      <c r="A586" s="61">
        <v>37865</v>
      </c>
      <c r="B586">
        <v>5.7758710000000004</v>
      </c>
      <c r="C586">
        <v>4.8</v>
      </c>
      <c r="D586">
        <v>8.1999999999999993</v>
      </c>
      <c r="E586">
        <v>7.8</v>
      </c>
      <c r="G586">
        <v>9.5267130000000009</v>
      </c>
      <c r="H586">
        <v>8.1</v>
      </c>
      <c r="I586">
        <v>9.8000000000000007</v>
      </c>
      <c r="J586">
        <v>5.5</v>
      </c>
      <c r="K586">
        <v>9.1</v>
      </c>
      <c r="L586">
        <v>11.5</v>
      </c>
      <c r="M586">
        <v>9.1</v>
      </c>
      <c r="N586">
        <v>9</v>
      </c>
      <c r="O586">
        <v>8.5</v>
      </c>
      <c r="P586">
        <v>6.6670239999999996</v>
      </c>
      <c r="Q586">
        <v>5</v>
      </c>
      <c r="R586">
        <v>9.6999999999999993</v>
      </c>
      <c r="S586">
        <v>5.7</v>
      </c>
      <c r="T586">
        <v>5</v>
      </c>
      <c r="U586">
        <v>3.4</v>
      </c>
      <c r="W586">
        <v>8.4</v>
      </c>
      <c r="X586">
        <v>5.2</v>
      </c>
      <c r="Y586">
        <v>3.7</v>
      </c>
      <c r="Z586">
        <v>4.0999999999999996</v>
      </c>
      <c r="AA586">
        <v>12.2</v>
      </c>
      <c r="AB586">
        <v>3.8164009999999999</v>
      </c>
      <c r="AC586">
        <v>6.2</v>
      </c>
      <c r="AD586">
        <v>4.4000000000000004</v>
      </c>
      <c r="AE586">
        <v>7.354749</v>
      </c>
      <c r="AF586">
        <v>19.899999999999999</v>
      </c>
      <c r="AG586">
        <v>7.8</v>
      </c>
      <c r="AH586">
        <v>17.5</v>
      </c>
      <c r="AI586">
        <v>6.8</v>
      </c>
      <c r="AJ586">
        <v>6.5</v>
      </c>
      <c r="AL586">
        <v>6.1</v>
      </c>
    </row>
    <row r="587" spans="1:38" x14ac:dyDescent="0.2">
      <c r="A587" s="61">
        <v>37895</v>
      </c>
      <c r="B587">
        <v>5.7837509999999996</v>
      </c>
      <c r="C587">
        <v>4.9000000000000004</v>
      </c>
      <c r="D587">
        <v>8.3000000000000007</v>
      </c>
      <c r="E587">
        <v>7.6</v>
      </c>
      <c r="G587">
        <v>9.3383710000000004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7.2913600000000001</v>
      </c>
      <c r="AF587">
        <v>19.8</v>
      </c>
      <c r="AG587">
        <v>8</v>
      </c>
      <c r="AH587">
        <v>17.600000000000001</v>
      </c>
      <c r="AI587">
        <v>6.6</v>
      </c>
      <c r="AJ587">
        <v>6.9</v>
      </c>
      <c r="AL587">
        <v>6</v>
      </c>
    </row>
    <row r="588" spans="1:38" x14ac:dyDescent="0.2">
      <c r="A588" s="61">
        <v>37926</v>
      </c>
      <c r="B588">
        <v>5.6614459999999998</v>
      </c>
      <c r="C588">
        <v>5</v>
      </c>
      <c r="D588">
        <v>8.3000000000000007</v>
      </c>
      <c r="E588">
        <v>7.4</v>
      </c>
      <c r="G588">
        <v>9.2693180000000002</v>
      </c>
      <c r="H588">
        <v>8.1999999999999993</v>
      </c>
      <c r="I588">
        <v>9.8000000000000007</v>
      </c>
      <c r="J588">
        <v>5.8</v>
      </c>
      <c r="K588">
        <v>9.1999999999999993</v>
      </c>
      <c r="L588">
        <v>11.3</v>
      </c>
      <c r="M588">
        <v>9.4</v>
      </c>
      <c r="N588">
        <v>8.9</v>
      </c>
      <c r="O588">
        <v>8.8000000000000007</v>
      </c>
      <c r="P588">
        <v>6.5327320000000002</v>
      </c>
      <c r="Q588">
        <v>4.9000000000000004</v>
      </c>
      <c r="R588">
        <v>9.9</v>
      </c>
      <c r="S588">
        <v>5.7</v>
      </c>
      <c r="T588">
        <v>4.7</v>
      </c>
      <c r="U588">
        <v>3.5</v>
      </c>
      <c r="W588">
        <v>8.1999999999999993</v>
      </c>
      <c r="X588">
        <v>5.0999999999999996</v>
      </c>
      <c r="Y588">
        <v>3.9</v>
      </c>
      <c r="Z588">
        <v>4.3</v>
      </c>
      <c r="AA588">
        <v>11</v>
      </c>
      <c r="AB588">
        <v>4.0353250000000003</v>
      </c>
      <c r="AC588">
        <v>6.4</v>
      </c>
      <c r="AD588">
        <v>4.3</v>
      </c>
      <c r="AE588">
        <v>7.2676569999999998</v>
      </c>
      <c r="AF588">
        <v>19.7</v>
      </c>
      <c r="AG588">
        <v>7.9</v>
      </c>
      <c r="AH588">
        <v>17.899999999999999</v>
      </c>
      <c r="AI588">
        <v>6.5</v>
      </c>
      <c r="AJ588">
        <v>7.3</v>
      </c>
      <c r="AL588">
        <v>5.8</v>
      </c>
    </row>
    <row r="589" spans="1:38" x14ac:dyDescent="0.2">
      <c r="A589" s="61">
        <v>37956</v>
      </c>
      <c r="B589">
        <v>5.6818010000000001</v>
      </c>
      <c r="C589">
        <v>5.2</v>
      </c>
      <c r="D589">
        <v>8.5</v>
      </c>
      <c r="E589">
        <v>7.3</v>
      </c>
      <c r="G589">
        <v>9.2270120000000002</v>
      </c>
      <c r="H589">
        <v>8.3000000000000007</v>
      </c>
      <c r="I589">
        <v>9.8000000000000007</v>
      </c>
      <c r="J589">
        <v>5.8</v>
      </c>
      <c r="K589">
        <v>9.1999999999999993</v>
      </c>
      <c r="L589">
        <v>11.4</v>
      </c>
      <c r="M589">
        <v>10.4</v>
      </c>
      <c r="N589">
        <v>9</v>
      </c>
      <c r="O589">
        <v>9</v>
      </c>
      <c r="P589">
        <v>6.4334569999999998</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7.2142980000000003</v>
      </c>
      <c r="AF589">
        <v>19.8</v>
      </c>
      <c r="AG589">
        <v>7.7</v>
      </c>
      <c r="AH589">
        <v>18.399999999999999</v>
      </c>
      <c r="AI589">
        <v>6.5</v>
      </c>
      <c r="AJ589">
        <v>7</v>
      </c>
      <c r="AL589">
        <v>5.7</v>
      </c>
    </row>
    <row r="590" spans="1:38" x14ac:dyDescent="0.2">
      <c r="A590" s="61">
        <v>37987</v>
      </c>
      <c r="B590">
        <v>5.531218</v>
      </c>
      <c r="C590">
        <v>6.1</v>
      </c>
      <c r="D590">
        <v>8.6999999999999993</v>
      </c>
      <c r="E590">
        <v>7.3</v>
      </c>
      <c r="G590">
        <v>9.1569260000000003</v>
      </c>
      <c r="H590">
        <v>8.3000000000000007</v>
      </c>
      <c r="I590">
        <v>9.8000000000000007</v>
      </c>
      <c r="J590">
        <v>5.8</v>
      </c>
      <c r="K590">
        <v>9.3000000000000007</v>
      </c>
      <c r="L590">
        <v>11.3</v>
      </c>
      <c r="M590">
        <v>10.6</v>
      </c>
      <c r="N590">
        <v>9</v>
      </c>
      <c r="O590">
        <v>8.9</v>
      </c>
      <c r="P590">
        <v>6.4519149999999996</v>
      </c>
      <c r="Q590">
        <v>4.8</v>
      </c>
      <c r="R590">
        <v>11.2</v>
      </c>
      <c r="S590">
        <v>5.7</v>
      </c>
      <c r="T590">
        <v>5.0999999999999996</v>
      </c>
      <c r="U590">
        <v>3.5</v>
      </c>
      <c r="W590">
        <v>8.4</v>
      </c>
      <c r="X590">
        <v>4.9000000000000004</v>
      </c>
      <c r="Y590">
        <v>3.5</v>
      </c>
      <c r="Z590">
        <v>4.5999999999999996</v>
      </c>
      <c r="AA590">
        <v>11.7</v>
      </c>
      <c r="AB590">
        <v>3.7777959999999999</v>
      </c>
      <c r="AC590">
        <v>6.5</v>
      </c>
      <c r="AD590">
        <v>4.2</v>
      </c>
      <c r="AE590">
        <v>7.2927309999999999</v>
      </c>
      <c r="AF590">
        <v>20</v>
      </c>
      <c r="AG590">
        <v>7.5</v>
      </c>
      <c r="AH590">
        <v>18.7</v>
      </c>
      <c r="AI590">
        <v>6.5</v>
      </c>
      <c r="AJ590">
        <v>7</v>
      </c>
      <c r="AL590">
        <v>5.7</v>
      </c>
    </row>
    <row r="591" spans="1:38" x14ac:dyDescent="0.2">
      <c r="A591" s="61">
        <v>38018</v>
      </c>
      <c r="B591">
        <v>5.6435050000000002</v>
      </c>
      <c r="C591">
        <v>5.8</v>
      </c>
      <c r="D591">
        <v>8.6</v>
      </c>
      <c r="E591">
        <v>7.3</v>
      </c>
      <c r="G591">
        <v>9.5261479999999992</v>
      </c>
      <c r="H591">
        <v>8.6999999999999993</v>
      </c>
      <c r="I591">
        <v>10.1</v>
      </c>
      <c r="J591">
        <v>5.7</v>
      </c>
      <c r="K591">
        <v>9.3000000000000007</v>
      </c>
      <c r="L591">
        <v>11.2</v>
      </c>
      <c r="M591">
        <v>10</v>
      </c>
      <c r="N591">
        <v>8.6999999999999993</v>
      </c>
      <c r="O591">
        <v>8.9</v>
      </c>
      <c r="P591">
        <v>6.4157900000000003</v>
      </c>
      <c r="Q591">
        <v>4.8</v>
      </c>
      <c r="R591">
        <v>10.7</v>
      </c>
      <c r="S591">
        <v>5.8</v>
      </c>
      <c r="T591">
        <v>5.2</v>
      </c>
      <c r="U591">
        <v>3.4</v>
      </c>
      <c r="W591">
        <v>8.1</v>
      </c>
      <c r="X591">
        <v>5</v>
      </c>
      <c r="Y591">
        <v>3.6</v>
      </c>
      <c r="Z591">
        <v>4.7</v>
      </c>
      <c r="AA591">
        <v>11.9</v>
      </c>
      <c r="AB591">
        <v>4.0438390000000002</v>
      </c>
      <c r="AC591">
        <v>6.6</v>
      </c>
      <c r="AD591">
        <v>4.2</v>
      </c>
      <c r="AE591">
        <v>7.2738759999999996</v>
      </c>
      <c r="AF591">
        <v>19.899999999999999</v>
      </c>
      <c r="AG591">
        <v>7.6</v>
      </c>
      <c r="AH591">
        <v>19</v>
      </c>
      <c r="AI591">
        <v>6.5</v>
      </c>
      <c r="AJ591">
        <v>7.6</v>
      </c>
      <c r="AL591">
        <v>5.6</v>
      </c>
    </row>
    <row r="592" spans="1:38" x14ac:dyDescent="0.2">
      <c r="A592" s="61">
        <v>38047</v>
      </c>
      <c r="B592">
        <v>5.4379470000000003</v>
      </c>
      <c r="C592">
        <v>6</v>
      </c>
      <c r="D592">
        <v>8.3000000000000007</v>
      </c>
      <c r="E592">
        <v>7.3</v>
      </c>
      <c r="G592">
        <v>10.09136</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7.3158830000000004</v>
      </c>
      <c r="AF592">
        <v>19.8</v>
      </c>
      <c r="AG592">
        <v>7.6</v>
      </c>
      <c r="AH592">
        <v>19</v>
      </c>
      <c r="AI592">
        <v>6.5</v>
      </c>
      <c r="AJ592">
        <v>7.4</v>
      </c>
      <c r="AL592">
        <v>5.8</v>
      </c>
    </row>
    <row r="593" spans="1:38" x14ac:dyDescent="0.2">
      <c r="A593" s="61">
        <v>38078</v>
      </c>
      <c r="B593">
        <v>5.5078430000000003</v>
      </c>
      <c r="C593">
        <v>6.1</v>
      </c>
      <c r="D593">
        <v>7.7</v>
      </c>
      <c r="E593">
        <v>7.2</v>
      </c>
      <c r="G593">
        <v>10.48785</v>
      </c>
      <c r="H593">
        <v>8.3000000000000007</v>
      </c>
      <c r="I593">
        <v>10.3</v>
      </c>
      <c r="J593">
        <v>5.5</v>
      </c>
      <c r="K593">
        <v>9.4</v>
      </c>
      <c r="L593">
        <v>11.2</v>
      </c>
      <c r="M593">
        <v>9.6</v>
      </c>
      <c r="N593">
        <v>9.5</v>
      </c>
      <c r="O593">
        <v>8.8000000000000007</v>
      </c>
      <c r="P593">
        <v>6.3889680000000002</v>
      </c>
      <c r="Q593">
        <v>4.8</v>
      </c>
      <c r="R593">
        <v>10.5</v>
      </c>
      <c r="S593">
        <v>5.8</v>
      </c>
      <c r="T593">
        <v>4.8</v>
      </c>
      <c r="U593">
        <v>3.3</v>
      </c>
      <c r="W593">
        <v>8.1</v>
      </c>
      <c r="X593">
        <v>4.8</v>
      </c>
      <c r="Y593">
        <v>3.6</v>
      </c>
      <c r="Z593">
        <v>5</v>
      </c>
      <c r="AA593">
        <v>11.5</v>
      </c>
      <c r="AB593">
        <v>3.9876469999999999</v>
      </c>
      <c r="AC593">
        <v>6.9</v>
      </c>
      <c r="AD593">
        <v>4.2</v>
      </c>
      <c r="AE593">
        <v>7.218083</v>
      </c>
      <c r="AF593">
        <v>19.5</v>
      </c>
      <c r="AG593">
        <v>7.8</v>
      </c>
      <c r="AH593">
        <v>19.100000000000001</v>
      </c>
      <c r="AI593">
        <v>6.4</v>
      </c>
      <c r="AJ593">
        <v>7.1</v>
      </c>
      <c r="AL593">
        <v>5.6</v>
      </c>
    </row>
    <row r="594" spans="1:38" x14ac:dyDescent="0.2">
      <c r="A594" s="61">
        <v>38108</v>
      </c>
      <c r="B594">
        <v>5.3370379999999997</v>
      </c>
      <c r="C594">
        <v>5.6</v>
      </c>
      <c r="D594">
        <v>7.6</v>
      </c>
      <c r="E594">
        <v>7.1</v>
      </c>
      <c r="G594">
        <v>10.391260000000001</v>
      </c>
      <c r="H594">
        <v>8.6</v>
      </c>
      <c r="I594">
        <v>10.3</v>
      </c>
      <c r="J594">
        <v>5.4</v>
      </c>
      <c r="K594">
        <v>9.3000000000000007</v>
      </c>
      <c r="L594">
        <v>11.2</v>
      </c>
      <c r="M594">
        <v>9.9</v>
      </c>
      <c r="N594">
        <v>9.5</v>
      </c>
      <c r="O594">
        <v>8.8000000000000007</v>
      </c>
      <c r="P594">
        <v>6.3727660000000004</v>
      </c>
      <c r="Q594">
        <v>4.8</v>
      </c>
      <c r="R594">
        <v>10.6</v>
      </c>
      <c r="S594">
        <v>5.9</v>
      </c>
      <c r="T594">
        <v>4.7</v>
      </c>
      <c r="U594">
        <v>3.3</v>
      </c>
      <c r="W594">
        <v>8.1</v>
      </c>
      <c r="X594">
        <v>4.7</v>
      </c>
      <c r="Y594">
        <v>3.7</v>
      </c>
      <c r="Z594">
        <v>5</v>
      </c>
      <c r="AA594">
        <v>11.3</v>
      </c>
      <c r="AB594">
        <v>3.884007</v>
      </c>
      <c r="AC594">
        <v>7</v>
      </c>
      <c r="AD594">
        <v>4.2</v>
      </c>
      <c r="AE594">
        <v>7.2083620000000002</v>
      </c>
      <c r="AF594">
        <v>19.3</v>
      </c>
      <c r="AG594">
        <v>8.1</v>
      </c>
      <c r="AH594">
        <v>18.8</v>
      </c>
      <c r="AI594">
        <v>6.4</v>
      </c>
      <c r="AJ594">
        <v>7.6</v>
      </c>
      <c r="AL594">
        <v>5.6</v>
      </c>
    </row>
    <row r="595" spans="1:38" x14ac:dyDescent="0.2">
      <c r="A595" s="61">
        <v>38139</v>
      </c>
      <c r="B595">
        <v>5.463927</v>
      </c>
      <c r="C595">
        <v>5.7</v>
      </c>
      <c r="D595">
        <v>8</v>
      </c>
      <c r="E595">
        <v>7.2</v>
      </c>
      <c r="G595">
        <v>10.303000000000001</v>
      </c>
      <c r="H595">
        <v>8.1999999999999993</v>
      </c>
      <c r="I595">
        <v>10.3</v>
      </c>
      <c r="J595">
        <v>5.5</v>
      </c>
      <c r="K595">
        <v>9.3000000000000007</v>
      </c>
      <c r="L595">
        <v>11.2</v>
      </c>
      <c r="M595">
        <v>9.6999999999999993</v>
      </c>
      <c r="N595">
        <v>8.6</v>
      </c>
      <c r="O595">
        <v>8.8000000000000007</v>
      </c>
      <c r="P595">
        <v>6.3861270000000001</v>
      </c>
      <c r="Q595">
        <v>4.8</v>
      </c>
      <c r="R595">
        <v>10.6</v>
      </c>
      <c r="S595">
        <v>6</v>
      </c>
      <c r="T595">
        <v>4.5</v>
      </c>
      <c r="U595">
        <v>3.3</v>
      </c>
      <c r="W595">
        <v>7.9</v>
      </c>
      <c r="X595">
        <v>4.7</v>
      </c>
      <c r="Y595">
        <v>3.5</v>
      </c>
      <c r="Z595">
        <v>5</v>
      </c>
      <c r="AA595">
        <v>11.2</v>
      </c>
      <c r="AB595">
        <v>3.9583750000000002</v>
      </c>
      <c r="AC595">
        <v>6.9</v>
      </c>
      <c r="AD595">
        <v>4.3</v>
      </c>
      <c r="AE595">
        <v>7.2011440000000002</v>
      </c>
      <c r="AF595">
        <v>19.2</v>
      </c>
      <c r="AG595">
        <v>8.3000000000000007</v>
      </c>
      <c r="AH595">
        <v>18.5</v>
      </c>
      <c r="AI595">
        <v>6.2</v>
      </c>
      <c r="AJ595">
        <v>7.4</v>
      </c>
      <c r="AL595">
        <v>5.6</v>
      </c>
    </row>
    <row r="596" spans="1:38" x14ac:dyDescent="0.2">
      <c r="A596" s="61">
        <v>38169</v>
      </c>
      <c r="B596">
        <v>5.5506180000000001</v>
      </c>
      <c r="C596">
        <v>5.4</v>
      </c>
      <c r="D596">
        <v>8.6</v>
      </c>
      <c r="E596">
        <v>7.1</v>
      </c>
      <c r="G596">
        <v>10.42109</v>
      </c>
      <c r="H596">
        <v>8</v>
      </c>
      <c r="I596">
        <v>10.3</v>
      </c>
      <c r="J596">
        <v>5.6</v>
      </c>
      <c r="K596">
        <v>9.3000000000000007</v>
      </c>
      <c r="L596">
        <v>11</v>
      </c>
      <c r="M596">
        <v>10</v>
      </c>
      <c r="N596">
        <v>8.9</v>
      </c>
      <c r="O596">
        <v>8.8000000000000007</v>
      </c>
      <c r="P596">
        <v>6.3532539999999997</v>
      </c>
      <c r="Q596">
        <v>4.7</v>
      </c>
      <c r="R596">
        <v>10.6</v>
      </c>
      <c r="S596">
        <v>6.1</v>
      </c>
      <c r="T596">
        <v>4.5</v>
      </c>
      <c r="U596">
        <v>3.4</v>
      </c>
      <c r="W596">
        <v>7.8</v>
      </c>
      <c r="X596">
        <v>4.9000000000000004</v>
      </c>
      <c r="Y596">
        <v>3.7</v>
      </c>
      <c r="Z596">
        <v>5.0999999999999996</v>
      </c>
      <c r="AA596">
        <v>11.5</v>
      </c>
      <c r="AB596">
        <v>3.7950590000000002</v>
      </c>
      <c r="AC596">
        <v>6.8</v>
      </c>
      <c r="AD596">
        <v>4.3</v>
      </c>
      <c r="AE596">
        <v>7.1799140000000001</v>
      </c>
      <c r="AF596">
        <v>19</v>
      </c>
      <c r="AG596">
        <v>8.1999999999999993</v>
      </c>
      <c r="AH596">
        <v>18.2</v>
      </c>
      <c r="AI596">
        <v>6.1</v>
      </c>
      <c r="AJ596">
        <v>7.2</v>
      </c>
      <c r="AL596">
        <v>5.5</v>
      </c>
    </row>
    <row r="597" spans="1:38" x14ac:dyDescent="0.2">
      <c r="A597" s="61">
        <v>38200</v>
      </c>
      <c r="B597">
        <v>5.5182849999999997</v>
      </c>
      <c r="C597">
        <v>5.7</v>
      </c>
      <c r="D597">
        <v>9</v>
      </c>
      <c r="E597">
        <v>7</v>
      </c>
      <c r="G597">
        <v>10.408010000000001</v>
      </c>
      <c r="H597">
        <v>8.3000000000000007</v>
      </c>
      <c r="I597">
        <v>10.4</v>
      </c>
      <c r="J597">
        <v>5.6</v>
      </c>
      <c r="K597">
        <v>9.3000000000000007</v>
      </c>
      <c r="L597">
        <v>11</v>
      </c>
      <c r="M597">
        <v>10.4</v>
      </c>
      <c r="N597">
        <v>9</v>
      </c>
      <c r="O597">
        <v>8.8000000000000007</v>
      </c>
      <c r="P597">
        <v>6.2953830000000002</v>
      </c>
      <c r="Q597">
        <v>4.7</v>
      </c>
      <c r="R597">
        <v>10.5</v>
      </c>
      <c r="S597">
        <v>6.2</v>
      </c>
      <c r="T597">
        <v>4.4000000000000004</v>
      </c>
      <c r="U597">
        <v>3.4</v>
      </c>
      <c r="W597">
        <v>7.7</v>
      </c>
      <c r="X597">
        <v>4.8</v>
      </c>
      <c r="Y597">
        <v>3.7</v>
      </c>
      <c r="Z597">
        <v>5.0999999999999996</v>
      </c>
      <c r="AA597">
        <v>11.8</v>
      </c>
      <c r="AB597">
        <v>3.997989</v>
      </c>
      <c r="AC597">
        <v>6.7</v>
      </c>
      <c r="AD597">
        <v>4.4000000000000004</v>
      </c>
      <c r="AE597">
        <v>7.1512330000000004</v>
      </c>
      <c r="AF597">
        <v>18.899999999999999</v>
      </c>
      <c r="AG597">
        <v>8.5</v>
      </c>
      <c r="AH597">
        <v>18</v>
      </c>
      <c r="AI597">
        <v>6.2</v>
      </c>
      <c r="AJ597">
        <v>7.3</v>
      </c>
      <c r="AL597">
        <v>5.4</v>
      </c>
    </row>
    <row r="598" spans="1:38" x14ac:dyDescent="0.2">
      <c r="A598" s="61">
        <v>38231</v>
      </c>
      <c r="B598">
        <v>5.3713129999999998</v>
      </c>
      <c r="C598">
        <v>6.3</v>
      </c>
      <c r="D598">
        <v>9</v>
      </c>
      <c r="E598">
        <v>6.9</v>
      </c>
      <c r="G598">
        <v>10.425649999999999</v>
      </c>
      <c r="H598">
        <v>8.3000000000000007</v>
      </c>
      <c r="I598">
        <v>10.4</v>
      </c>
      <c r="J598">
        <v>5.6</v>
      </c>
      <c r="K598">
        <v>9.4</v>
      </c>
      <c r="L598">
        <v>10.9</v>
      </c>
      <c r="M598">
        <v>10.199999999999999</v>
      </c>
      <c r="N598">
        <v>8</v>
      </c>
      <c r="O598">
        <v>8.9</v>
      </c>
      <c r="P598">
        <v>6.2763799999999996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7.1295840000000004</v>
      </c>
      <c r="AF598">
        <v>18.7</v>
      </c>
      <c r="AG598">
        <v>8.5</v>
      </c>
      <c r="AH598">
        <v>17.899999999999999</v>
      </c>
      <c r="AI598">
        <v>6.2</v>
      </c>
      <c r="AJ598">
        <v>7.8</v>
      </c>
      <c r="AL598">
        <v>5.4</v>
      </c>
    </row>
    <row r="599" spans="1:38" x14ac:dyDescent="0.2">
      <c r="A599" s="61">
        <v>38261</v>
      </c>
      <c r="B599">
        <v>5.1233149999999998</v>
      </c>
      <c r="C599">
        <v>6</v>
      </c>
      <c r="D599">
        <v>8.6</v>
      </c>
      <c r="E599">
        <v>7.1</v>
      </c>
      <c r="G599">
        <v>10.010579999999999</v>
      </c>
      <c r="H599">
        <v>8.5</v>
      </c>
      <c r="I599">
        <v>10.5</v>
      </c>
      <c r="J599">
        <v>5.4</v>
      </c>
      <c r="K599">
        <v>9.4</v>
      </c>
      <c r="L599">
        <v>10.7</v>
      </c>
      <c r="M599">
        <v>10.3</v>
      </c>
      <c r="N599">
        <v>8.6</v>
      </c>
      <c r="O599">
        <v>9</v>
      </c>
      <c r="P599">
        <v>6.3273679999999999</v>
      </c>
      <c r="Q599">
        <v>4.7</v>
      </c>
      <c r="R599">
        <v>10.4</v>
      </c>
      <c r="S599">
        <v>6.4</v>
      </c>
      <c r="T599">
        <v>4.7</v>
      </c>
      <c r="U599">
        <v>3.4</v>
      </c>
      <c r="W599">
        <v>8</v>
      </c>
      <c r="X599">
        <v>4.5999999999999996</v>
      </c>
      <c r="Y599">
        <v>3.7</v>
      </c>
      <c r="Z599">
        <v>4.9000000000000004</v>
      </c>
      <c r="AA599">
        <v>12.2</v>
      </c>
      <c r="AB599">
        <v>3.9000059999999999</v>
      </c>
      <c r="AC599">
        <v>6.8</v>
      </c>
      <c r="AD599">
        <v>4.4000000000000004</v>
      </c>
      <c r="AE599">
        <v>7.1196679999999999</v>
      </c>
      <c r="AF599">
        <v>18.600000000000001</v>
      </c>
      <c r="AG599">
        <v>8.5</v>
      </c>
      <c r="AH599">
        <v>17.8</v>
      </c>
      <c r="AI599">
        <v>6.3</v>
      </c>
      <c r="AJ599">
        <v>7.1</v>
      </c>
      <c r="AL599">
        <v>5.5</v>
      </c>
    </row>
    <row r="600" spans="1:38" x14ac:dyDescent="0.2">
      <c r="A600" s="61">
        <v>38292</v>
      </c>
      <c r="B600">
        <v>5.1618409999999999</v>
      </c>
      <c r="C600">
        <v>5.7</v>
      </c>
      <c r="D600">
        <v>8.3000000000000007</v>
      </c>
      <c r="E600">
        <v>7.2</v>
      </c>
      <c r="G600">
        <v>9.7299740000000003</v>
      </c>
      <c r="H600">
        <v>8.4</v>
      </c>
      <c r="I600">
        <v>10.6</v>
      </c>
      <c r="J600">
        <v>5.3</v>
      </c>
      <c r="K600">
        <v>9.4</v>
      </c>
      <c r="L600">
        <v>10.6</v>
      </c>
      <c r="M600">
        <v>9.5</v>
      </c>
      <c r="N600">
        <v>8.6999999999999993</v>
      </c>
      <c r="O600">
        <v>9</v>
      </c>
      <c r="P600">
        <v>6.2990079999999997</v>
      </c>
      <c r="Q600">
        <v>4.7</v>
      </c>
      <c r="R600">
        <v>10.3</v>
      </c>
      <c r="S600">
        <v>6.4</v>
      </c>
      <c r="T600">
        <v>4.7</v>
      </c>
      <c r="U600">
        <v>3.3</v>
      </c>
      <c r="W600">
        <v>8.1</v>
      </c>
      <c r="X600">
        <v>4.5</v>
      </c>
      <c r="Y600">
        <v>3.8</v>
      </c>
      <c r="Z600">
        <v>5</v>
      </c>
      <c r="AA600">
        <v>12.1</v>
      </c>
      <c r="AB600">
        <v>3.8685269999999998</v>
      </c>
      <c r="AC600">
        <v>6.8</v>
      </c>
      <c r="AD600">
        <v>4.4000000000000004</v>
      </c>
      <c r="AE600">
        <v>7.089467</v>
      </c>
      <c r="AF600">
        <v>18.399999999999999</v>
      </c>
      <c r="AG600">
        <v>8.5</v>
      </c>
      <c r="AH600">
        <v>17.7</v>
      </c>
      <c r="AI600">
        <v>6.2</v>
      </c>
      <c r="AJ600">
        <v>7.5</v>
      </c>
      <c r="AL600">
        <v>5.4</v>
      </c>
    </row>
    <row r="601" spans="1:38" x14ac:dyDescent="0.2">
      <c r="A601" s="61">
        <v>38322</v>
      </c>
      <c r="B601">
        <v>5.0691800000000002</v>
      </c>
      <c r="C601">
        <v>6</v>
      </c>
      <c r="D601">
        <v>8.1999999999999993</v>
      </c>
      <c r="E601">
        <v>7.1</v>
      </c>
      <c r="G601">
        <v>9.4470259999999993</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7.0543579999999997</v>
      </c>
      <c r="AF601">
        <v>18.3</v>
      </c>
      <c r="AG601">
        <v>8.6999999999999993</v>
      </c>
      <c r="AH601">
        <v>17.600000000000001</v>
      </c>
      <c r="AI601">
        <v>6.4</v>
      </c>
      <c r="AJ601">
        <v>7.5</v>
      </c>
      <c r="AL601">
        <v>5.4</v>
      </c>
    </row>
    <row r="602" spans="1:38" x14ac:dyDescent="0.2">
      <c r="A602" s="61">
        <v>38353</v>
      </c>
      <c r="B602">
        <v>5.0739429999999999</v>
      </c>
      <c r="C602">
        <v>5.7</v>
      </c>
      <c r="D602">
        <v>8.3000000000000007</v>
      </c>
      <c r="E602">
        <v>7</v>
      </c>
      <c r="G602">
        <v>9.5000719999999994</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3.9791439999999998</v>
      </c>
      <c r="AC602">
        <v>7</v>
      </c>
      <c r="AD602">
        <v>4.5</v>
      </c>
      <c r="AE602">
        <v>6.9306919999999996</v>
      </c>
      <c r="AF602">
        <v>18.100000000000001</v>
      </c>
      <c r="AG602">
        <v>8.8000000000000007</v>
      </c>
      <c r="AH602">
        <v>17.3</v>
      </c>
      <c r="AI602">
        <v>6.4</v>
      </c>
      <c r="AJ602">
        <v>7</v>
      </c>
      <c r="AK602">
        <v>9.3000000000000007</v>
      </c>
      <c r="AL602">
        <v>5.3</v>
      </c>
    </row>
    <row r="603" spans="1:38" x14ac:dyDescent="0.2">
      <c r="A603" s="61">
        <v>38384</v>
      </c>
      <c r="B603">
        <v>5.0849520000000004</v>
      </c>
      <c r="C603">
        <v>5.5</v>
      </c>
      <c r="D603">
        <v>8.5</v>
      </c>
      <c r="E603">
        <v>7</v>
      </c>
      <c r="G603">
        <v>9.3652309999999996</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3.6590829999999999</v>
      </c>
      <c r="AC603">
        <v>7.2</v>
      </c>
      <c r="AD603">
        <v>4.4000000000000004</v>
      </c>
      <c r="AE603">
        <v>6.9510209999999999</v>
      </c>
      <c r="AF603">
        <v>18.2</v>
      </c>
      <c r="AG603">
        <v>8.8000000000000007</v>
      </c>
      <c r="AH603">
        <v>17.100000000000001</v>
      </c>
      <c r="AI603">
        <v>6.5</v>
      </c>
      <c r="AJ603">
        <v>7.8</v>
      </c>
      <c r="AK603">
        <v>9.1</v>
      </c>
      <c r="AL603">
        <v>5.4</v>
      </c>
    </row>
    <row r="604" spans="1:38" x14ac:dyDescent="0.2">
      <c r="A604" s="61">
        <v>38412</v>
      </c>
      <c r="B604">
        <v>5.1634330000000004</v>
      </c>
      <c r="C604">
        <v>6.1</v>
      </c>
      <c r="D604">
        <v>8.6</v>
      </c>
      <c r="E604">
        <v>6.9</v>
      </c>
      <c r="G604">
        <v>9.5102810000000009</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3.7727840000000001</v>
      </c>
      <c r="AC604">
        <v>7.1</v>
      </c>
      <c r="AD604">
        <v>4.5999999999999996</v>
      </c>
      <c r="AE604">
        <v>6.9045339999999999</v>
      </c>
      <c r="AF604">
        <v>18.3</v>
      </c>
      <c r="AG604">
        <v>9</v>
      </c>
      <c r="AH604">
        <v>17</v>
      </c>
      <c r="AI604">
        <v>6.4</v>
      </c>
      <c r="AJ604">
        <v>7.3</v>
      </c>
      <c r="AK604">
        <v>9.3000000000000007</v>
      </c>
      <c r="AL604">
        <v>5.2</v>
      </c>
    </row>
    <row r="605" spans="1:38" x14ac:dyDescent="0.2">
      <c r="A605" s="61">
        <v>38443</v>
      </c>
      <c r="B605">
        <v>5.122719</v>
      </c>
      <c r="C605">
        <v>6</v>
      </c>
      <c r="D605">
        <v>8.4</v>
      </c>
      <c r="E605">
        <v>6.7</v>
      </c>
      <c r="G605">
        <v>9.3955179999999991</v>
      </c>
      <c r="H605">
        <v>8</v>
      </c>
      <c r="I605">
        <v>11.2</v>
      </c>
      <c r="J605">
        <v>5.2</v>
      </c>
      <c r="K605">
        <v>9.3000000000000007</v>
      </c>
      <c r="L605">
        <v>9.6999999999999993</v>
      </c>
      <c r="M605">
        <v>8.3000000000000007</v>
      </c>
      <c r="N605">
        <v>8.9</v>
      </c>
      <c r="O605">
        <v>8.6999999999999993</v>
      </c>
      <c r="P605">
        <v>6.218655</v>
      </c>
      <c r="Q605">
        <v>4.8</v>
      </c>
      <c r="R605">
        <v>9.9</v>
      </c>
      <c r="S605">
        <v>7.1</v>
      </c>
      <c r="T605">
        <v>4.8</v>
      </c>
      <c r="U605">
        <v>2.9</v>
      </c>
      <c r="W605">
        <v>7.9</v>
      </c>
      <c r="X605">
        <v>4.5</v>
      </c>
      <c r="Y605">
        <v>3.7</v>
      </c>
      <c r="Z605">
        <v>4.7</v>
      </c>
      <c r="AA605">
        <v>10.199999999999999</v>
      </c>
      <c r="AB605">
        <v>3.8090980000000001</v>
      </c>
      <c r="AC605">
        <v>7.1</v>
      </c>
      <c r="AD605">
        <v>4.5999999999999996</v>
      </c>
      <c r="AE605">
        <v>6.923991</v>
      </c>
      <c r="AF605">
        <v>18.399999999999999</v>
      </c>
      <c r="AG605">
        <v>9.1</v>
      </c>
      <c r="AH605">
        <v>16.7</v>
      </c>
      <c r="AI605">
        <v>6.1</v>
      </c>
      <c r="AJ605">
        <v>7.7</v>
      </c>
      <c r="AK605">
        <v>9.5</v>
      </c>
      <c r="AL605">
        <v>5.2</v>
      </c>
    </row>
    <row r="606" spans="1:38" x14ac:dyDescent="0.2">
      <c r="A606" s="61">
        <v>38473</v>
      </c>
      <c r="B606">
        <v>5.0997599999999998</v>
      </c>
      <c r="C606">
        <v>6.2</v>
      </c>
      <c r="D606">
        <v>8.6</v>
      </c>
      <c r="E606">
        <v>7</v>
      </c>
      <c r="G606">
        <v>9.6095699999999997</v>
      </c>
      <c r="H606">
        <v>8.1</v>
      </c>
      <c r="I606">
        <v>11.2</v>
      </c>
      <c r="J606">
        <v>5</v>
      </c>
      <c r="K606">
        <v>9.3000000000000007</v>
      </c>
      <c r="L606">
        <v>9.4</v>
      </c>
      <c r="M606">
        <v>8</v>
      </c>
      <c r="N606">
        <v>8.1</v>
      </c>
      <c r="O606">
        <v>8.8000000000000007</v>
      </c>
      <c r="P606">
        <v>6.2122320000000002</v>
      </c>
      <c r="Q606">
        <v>4.8</v>
      </c>
      <c r="R606">
        <v>9.9</v>
      </c>
      <c r="S606">
        <v>7.2</v>
      </c>
      <c r="T606">
        <v>4.9000000000000004</v>
      </c>
      <c r="U606">
        <v>2.9</v>
      </c>
      <c r="W606">
        <v>7.6</v>
      </c>
      <c r="X606">
        <v>4.5</v>
      </c>
      <c r="Y606">
        <v>3.7</v>
      </c>
      <c r="Z606">
        <v>4.7</v>
      </c>
      <c r="AA606">
        <v>10</v>
      </c>
      <c r="AB606">
        <v>3.650217</v>
      </c>
      <c r="AC606">
        <v>7.2</v>
      </c>
      <c r="AD606">
        <v>4.5999999999999996</v>
      </c>
      <c r="AE606">
        <v>6.9096140000000004</v>
      </c>
      <c r="AF606">
        <v>18.399999999999999</v>
      </c>
      <c r="AG606">
        <v>9.1</v>
      </c>
      <c r="AH606">
        <v>16.600000000000001</v>
      </c>
      <c r="AI606">
        <v>6</v>
      </c>
      <c r="AJ606">
        <v>8.3000000000000007</v>
      </c>
      <c r="AK606">
        <v>9.6999999999999993</v>
      </c>
      <c r="AL606">
        <v>5.0999999999999996</v>
      </c>
    </row>
    <row r="607" spans="1:38" x14ac:dyDescent="0.2">
      <c r="A607" s="61">
        <v>38504</v>
      </c>
      <c r="B607">
        <v>4.9505850000000002</v>
      </c>
      <c r="C607">
        <v>6.2</v>
      </c>
      <c r="D607">
        <v>8.5</v>
      </c>
      <c r="E607">
        <v>6.8</v>
      </c>
      <c r="G607">
        <v>9.425694</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3.8268930000000001</v>
      </c>
      <c r="AC607">
        <v>7</v>
      </c>
      <c r="AD607">
        <v>4.5999999999999996</v>
      </c>
      <c r="AE607">
        <v>6.8637430000000004</v>
      </c>
      <c r="AF607">
        <v>18.399999999999999</v>
      </c>
      <c r="AG607">
        <v>9.1999999999999993</v>
      </c>
      <c r="AH607">
        <v>16.3</v>
      </c>
      <c r="AI607">
        <v>6</v>
      </c>
      <c r="AJ607">
        <v>8.1999999999999993</v>
      </c>
      <c r="AK607">
        <v>9.6</v>
      </c>
      <c r="AL607">
        <v>5</v>
      </c>
    </row>
    <row r="608" spans="1:38" x14ac:dyDescent="0.2">
      <c r="A608" s="61">
        <v>38534</v>
      </c>
      <c r="B608">
        <v>4.9723160000000002</v>
      </c>
      <c r="C608">
        <v>6.2</v>
      </c>
      <c r="D608">
        <v>8.5</v>
      </c>
      <c r="E608">
        <v>6.7</v>
      </c>
      <c r="G608">
        <v>9.3719599999999996</v>
      </c>
      <c r="H608">
        <v>7.7</v>
      </c>
      <c r="I608">
        <v>11.2</v>
      </c>
      <c r="J608">
        <v>5</v>
      </c>
      <c r="K608">
        <v>9.1999999999999993</v>
      </c>
      <c r="L608">
        <v>8.8000000000000007</v>
      </c>
      <c r="M608">
        <v>7.7</v>
      </c>
      <c r="N608">
        <v>8.4</v>
      </c>
      <c r="O608">
        <v>8.9</v>
      </c>
      <c r="P608">
        <v>6.1156860000000002</v>
      </c>
      <c r="Q608">
        <v>4.7</v>
      </c>
      <c r="R608">
        <v>10.199999999999999</v>
      </c>
      <c r="S608">
        <v>7.3</v>
      </c>
      <c r="T608">
        <v>4.8</v>
      </c>
      <c r="U608">
        <v>3.1</v>
      </c>
      <c r="W608">
        <v>7.6</v>
      </c>
      <c r="X608">
        <v>4.4000000000000004</v>
      </c>
      <c r="Y608">
        <v>3.8</v>
      </c>
      <c r="Z608">
        <v>4.5</v>
      </c>
      <c r="AA608">
        <v>10.1</v>
      </c>
      <c r="AB608">
        <v>3.7658369999999999</v>
      </c>
      <c r="AC608">
        <v>7</v>
      </c>
      <c r="AD608">
        <v>4.7</v>
      </c>
      <c r="AE608">
        <v>6.8169639999999996</v>
      </c>
      <c r="AF608">
        <v>18.2</v>
      </c>
      <c r="AG608">
        <v>9.5</v>
      </c>
      <c r="AH608">
        <v>16.100000000000001</v>
      </c>
      <c r="AI608">
        <v>6.3</v>
      </c>
      <c r="AJ608">
        <v>8.3000000000000007</v>
      </c>
      <c r="AK608">
        <v>9.5</v>
      </c>
      <c r="AL608">
        <v>5</v>
      </c>
    </row>
    <row r="609" spans="1:38" x14ac:dyDescent="0.2">
      <c r="A609" s="61">
        <v>38565</v>
      </c>
      <c r="B609">
        <v>4.9022300000000003</v>
      </c>
      <c r="C609">
        <v>6</v>
      </c>
      <c r="D609">
        <v>8.5</v>
      </c>
      <c r="E609">
        <v>6.7</v>
      </c>
      <c r="G609">
        <v>9.2620459999999998</v>
      </c>
      <c r="H609">
        <v>7.8</v>
      </c>
      <c r="I609">
        <v>11.2</v>
      </c>
      <c r="J609">
        <v>4.7</v>
      </c>
      <c r="K609">
        <v>9.1</v>
      </c>
      <c r="L609">
        <v>8.6</v>
      </c>
      <c r="M609">
        <v>7.6</v>
      </c>
      <c r="N609">
        <v>8.1</v>
      </c>
      <c r="O609">
        <v>9</v>
      </c>
      <c r="P609">
        <v>6.0753750000000002</v>
      </c>
      <c r="Q609">
        <v>4.7</v>
      </c>
      <c r="R609">
        <v>10.199999999999999</v>
      </c>
      <c r="S609">
        <v>7.4</v>
      </c>
      <c r="T609">
        <v>4.7</v>
      </c>
      <c r="U609">
        <v>3.1</v>
      </c>
      <c r="W609">
        <v>7.5</v>
      </c>
      <c r="X609">
        <v>4.3</v>
      </c>
      <c r="Y609">
        <v>3.7</v>
      </c>
      <c r="Z609">
        <v>4.5</v>
      </c>
      <c r="AA609">
        <v>10</v>
      </c>
      <c r="AB609">
        <v>3.423962</v>
      </c>
      <c r="AC609">
        <v>6.9</v>
      </c>
      <c r="AD609">
        <v>4.5999999999999996</v>
      </c>
      <c r="AE609">
        <v>6.73733</v>
      </c>
      <c r="AF609">
        <v>18</v>
      </c>
      <c r="AG609">
        <v>9.4</v>
      </c>
      <c r="AH609">
        <v>16</v>
      </c>
      <c r="AI609">
        <v>6.5</v>
      </c>
      <c r="AJ609">
        <v>8.1</v>
      </c>
      <c r="AK609">
        <v>9.4</v>
      </c>
      <c r="AL609">
        <v>4.9000000000000004</v>
      </c>
    </row>
    <row r="610" spans="1:38" x14ac:dyDescent="0.2">
      <c r="A610" s="61">
        <v>38596</v>
      </c>
      <c r="B610">
        <v>5.0026989999999998</v>
      </c>
      <c r="C610">
        <v>6</v>
      </c>
      <c r="D610">
        <v>8.5</v>
      </c>
      <c r="E610">
        <v>6.7</v>
      </c>
      <c r="G610">
        <v>9.131202</v>
      </c>
      <c r="H610">
        <v>7.8</v>
      </c>
      <c r="I610">
        <v>11.1</v>
      </c>
      <c r="J610">
        <v>4.5</v>
      </c>
      <c r="K610">
        <v>9.1</v>
      </c>
      <c r="L610">
        <v>8.5</v>
      </c>
      <c r="M610">
        <v>7.8</v>
      </c>
      <c r="N610">
        <v>7.9</v>
      </c>
      <c r="O610">
        <v>9</v>
      </c>
      <c r="P610">
        <v>6.1389079999999998</v>
      </c>
      <c r="Q610">
        <v>4.9000000000000004</v>
      </c>
      <c r="R610">
        <v>10.3</v>
      </c>
      <c r="S610">
        <v>7.4</v>
      </c>
      <c r="T610">
        <v>4.5999999999999996</v>
      </c>
      <c r="U610">
        <v>3.1</v>
      </c>
      <c r="W610">
        <v>7.8</v>
      </c>
      <c r="X610">
        <v>4.2</v>
      </c>
      <c r="Y610">
        <v>4</v>
      </c>
      <c r="Z610">
        <v>4.5999999999999996</v>
      </c>
      <c r="AA610">
        <v>9.8000000000000007</v>
      </c>
      <c r="AB610">
        <v>3.4629810000000001</v>
      </c>
      <c r="AC610">
        <v>6.9</v>
      </c>
      <c r="AD610">
        <v>4.5</v>
      </c>
      <c r="AE610">
        <v>6.7810199999999998</v>
      </c>
      <c r="AF610">
        <v>17.8</v>
      </c>
      <c r="AG610">
        <v>9.5</v>
      </c>
      <c r="AH610">
        <v>16.100000000000001</v>
      </c>
      <c r="AI610">
        <v>6.9</v>
      </c>
      <c r="AJ610">
        <v>7.7</v>
      </c>
      <c r="AK610">
        <v>9.6</v>
      </c>
      <c r="AL610">
        <v>5</v>
      </c>
    </row>
    <row r="611" spans="1:38" x14ac:dyDescent="0.2">
      <c r="A611" s="61">
        <v>38626</v>
      </c>
      <c r="B611">
        <v>5.0162370000000003</v>
      </c>
      <c r="C611">
        <v>6.4</v>
      </c>
      <c r="D611">
        <v>8.4</v>
      </c>
      <c r="E611">
        <v>6.7</v>
      </c>
      <c r="G611">
        <v>9.0149699999999999</v>
      </c>
      <c r="H611">
        <v>7.9</v>
      </c>
      <c r="I611">
        <v>11</v>
      </c>
      <c r="J611">
        <v>4.3</v>
      </c>
      <c r="K611">
        <v>9.1</v>
      </c>
      <c r="L611">
        <v>8.6</v>
      </c>
      <c r="M611">
        <v>7.6</v>
      </c>
      <c r="N611">
        <v>7.8</v>
      </c>
      <c r="O611">
        <v>9.1</v>
      </c>
      <c r="P611">
        <v>6.1552629999999997</v>
      </c>
      <c r="Q611">
        <v>5.0999999999999996</v>
      </c>
      <c r="R611">
        <v>10.1</v>
      </c>
      <c r="S611">
        <v>7.4</v>
      </c>
      <c r="T611">
        <v>4.5</v>
      </c>
      <c r="U611">
        <v>3.2</v>
      </c>
      <c r="W611">
        <v>7.8</v>
      </c>
      <c r="X611">
        <v>4.4000000000000004</v>
      </c>
      <c r="Y611">
        <v>3.9</v>
      </c>
      <c r="Z611">
        <v>4.5999999999999996</v>
      </c>
      <c r="AA611">
        <v>9.3000000000000007</v>
      </c>
      <c r="AB611">
        <v>3.4220069999999998</v>
      </c>
      <c r="AC611">
        <v>6.9</v>
      </c>
      <c r="AD611">
        <v>4.5</v>
      </c>
      <c r="AE611">
        <v>6.786111</v>
      </c>
      <c r="AF611">
        <v>17.5</v>
      </c>
      <c r="AG611">
        <v>9.5</v>
      </c>
      <c r="AH611">
        <v>16</v>
      </c>
      <c r="AI611">
        <v>7.1</v>
      </c>
      <c r="AJ611">
        <v>8.1</v>
      </c>
      <c r="AK611">
        <v>9.6999999999999993</v>
      </c>
      <c r="AL611">
        <v>5</v>
      </c>
    </row>
    <row r="612" spans="1:38" x14ac:dyDescent="0.2">
      <c r="A612" s="61">
        <v>38657</v>
      </c>
      <c r="B612">
        <v>4.9378830000000002</v>
      </c>
      <c r="C612">
        <v>6.1</v>
      </c>
      <c r="D612">
        <v>8.4</v>
      </c>
      <c r="E612">
        <v>6.4</v>
      </c>
      <c r="G612">
        <v>8.7097850000000001</v>
      </c>
      <c r="H612">
        <v>7.8</v>
      </c>
      <c r="I612">
        <v>10.9</v>
      </c>
      <c r="J612">
        <v>4.0999999999999996</v>
      </c>
      <c r="K612">
        <v>9.1</v>
      </c>
      <c r="L612">
        <v>8.6999999999999993</v>
      </c>
      <c r="M612">
        <v>7.2</v>
      </c>
      <c r="N612">
        <v>8.5</v>
      </c>
      <c r="O612">
        <v>9.1</v>
      </c>
      <c r="P612">
        <v>6.1739579999999998</v>
      </c>
      <c r="Q612">
        <v>5.0999999999999996</v>
      </c>
      <c r="R612">
        <v>9.6</v>
      </c>
      <c r="S612">
        <v>7.4</v>
      </c>
      <c r="T612">
        <v>4.5</v>
      </c>
      <c r="U612">
        <v>3.2</v>
      </c>
      <c r="W612">
        <v>7.6</v>
      </c>
      <c r="X612">
        <v>4.5</v>
      </c>
      <c r="Y612">
        <v>3.6</v>
      </c>
      <c r="Z612">
        <v>4.5999999999999996</v>
      </c>
      <c r="AA612">
        <v>8.8000000000000007</v>
      </c>
      <c r="AB612">
        <v>3.1785969999999999</v>
      </c>
      <c r="AC612">
        <v>6.8</v>
      </c>
      <c r="AD612">
        <v>4.4000000000000004</v>
      </c>
      <c r="AE612">
        <v>6.7425839999999999</v>
      </c>
      <c r="AF612">
        <v>17.100000000000001</v>
      </c>
      <c r="AG612">
        <v>9.5</v>
      </c>
      <c r="AH612">
        <v>15.7</v>
      </c>
      <c r="AI612">
        <v>7.2</v>
      </c>
      <c r="AJ612">
        <v>7.5</v>
      </c>
      <c r="AK612">
        <v>9.6999999999999993</v>
      </c>
      <c r="AL612">
        <v>5</v>
      </c>
    </row>
    <row r="613" spans="1:38" x14ac:dyDescent="0.2">
      <c r="A613" s="61">
        <v>38687</v>
      </c>
      <c r="B613">
        <v>5.070729</v>
      </c>
      <c r="C613">
        <v>5.9</v>
      </c>
      <c r="D613">
        <v>8.5</v>
      </c>
      <c r="E613">
        <v>6.6</v>
      </c>
      <c r="G613">
        <v>8.4484779999999997</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3.1</v>
      </c>
      <c r="W613">
        <v>7.6</v>
      </c>
      <c r="X613">
        <v>4.4000000000000004</v>
      </c>
      <c r="Y613">
        <v>3.5</v>
      </c>
      <c r="Z613">
        <v>4.7</v>
      </c>
      <c r="AA613">
        <v>8.5</v>
      </c>
      <c r="AB613">
        <v>3.1889949999999998</v>
      </c>
      <c r="AC613">
        <v>6.8</v>
      </c>
      <c r="AD613">
        <v>4.3</v>
      </c>
      <c r="AE613">
        <v>6.6513249999999999</v>
      </c>
      <c r="AF613">
        <v>16.600000000000001</v>
      </c>
      <c r="AG613">
        <v>9.3000000000000007</v>
      </c>
      <c r="AH613">
        <v>15.4</v>
      </c>
      <c r="AI613">
        <v>7</v>
      </c>
      <c r="AJ613">
        <v>7.9</v>
      </c>
      <c r="AK613">
        <v>9.6999999999999993</v>
      </c>
      <c r="AL613">
        <v>4.9000000000000004</v>
      </c>
    </row>
    <row r="614" spans="1:38" x14ac:dyDescent="0.2">
      <c r="A614" s="61">
        <v>38718</v>
      </c>
      <c r="B614">
        <v>5.1630739999999999</v>
      </c>
      <c r="C614">
        <v>6.2</v>
      </c>
      <c r="D614">
        <v>8.5</v>
      </c>
      <c r="E614">
        <v>6.6</v>
      </c>
      <c r="G614">
        <v>8.4154110000000006</v>
      </c>
      <c r="H614">
        <v>8</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3.336716</v>
      </c>
      <c r="AC614">
        <v>6.5</v>
      </c>
      <c r="AD614">
        <v>4.3</v>
      </c>
      <c r="AE614">
        <v>6.5856110000000001</v>
      </c>
      <c r="AF614">
        <v>16</v>
      </c>
      <c r="AG614">
        <v>9.1999999999999993</v>
      </c>
      <c r="AH614">
        <v>15</v>
      </c>
      <c r="AI614">
        <v>6.7</v>
      </c>
      <c r="AJ614">
        <v>8</v>
      </c>
      <c r="AK614">
        <v>9.6</v>
      </c>
      <c r="AL614">
        <v>4.7</v>
      </c>
    </row>
    <row r="615" spans="1:38" x14ac:dyDescent="0.2">
      <c r="A615" s="61">
        <v>38749</v>
      </c>
      <c r="B615">
        <v>5.1047310000000001</v>
      </c>
      <c r="C615">
        <v>6</v>
      </c>
      <c r="D615">
        <v>8.6</v>
      </c>
      <c r="E615">
        <v>6.4</v>
      </c>
      <c r="G615">
        <v>8.5909809999999993</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3.618541</v>
      </c>
      <c r="AC615">
        <v>6.5</v>
      </c>
      <c r="AD615">
        <v>4.3</v>
      </c>
      <c r="AE615">
        <v>6.5482860000000001</v>
      </c>
      <c r="AF615">
        <v>15.4</v>
      </c>
      <c r="AG615">
        <v>9.1</v>
      </c>
      <c r="AH615">
        <v>14.6</v>
      </c>
      <c r="AI615">
        <v>6.5</v>
      </c>
      <c r="AJ615">
        <v>7.4</v>
      </c>
      <c r="AK615">
        <v>9.6</v>
      </c>
      <c r="AL615">
        <v>4.8</v>
      </c>
    </row>
    <row r="616" spans="1:38" x14ac:dyDescent="0.2">
      <c r="A616" s="61">
        <v>38777</v>
      </c>
      <c r="B616">
        <v>4.8678080000000001</v>
      </c>
      <c r="C616">
        <v>6.1</v>
      </c>
      <c r="D616">
        <v>8.6</v>
      </c>
      <c r="E616">
        <v>6.4</v>
      </c>
      <c r="G616">
        <v>8.6664999999999992</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3.5938110000000001</v>
      </c>
      <c r="AC616">
        <v>6.3</v>
      </c>
      <c r="AD616">
        <v>3.9</v>
      </c>
      <c r="AE616">
        <v>6.4868079999999999</v>
      </c>
      <c r="AF616">
        <v>15.1</v>
      </c>
      <c r="AG616">
        <v>9.1</v>
      </c>
      <c r="AH616">
        <v>14.3</v>
      </c>
      <c r="AI616">
        <v>6.4</v>
      </c>
      <c r="AJ616">
        <v>7.5</v>
      </c>
      <c r="AK616">
        <v>9.3000000000000007</v>
      </c>
      <c r="AL616">
        <v>4.7</v>
      </c>
    </row>
    <row r="617" spans="1:38" x14ac:dyDescent="0.2">
      <c r="A617" s="61">
        <v>38808</v>
      </c>
      <c r="B617">
        <v>4.9666329999999999</v>
      </c>
      <c r="C617">
        <v>5.7</v>
      </c>
      <c r="D617">
        <v>8.6999999999999993</v>
      </c>
      <c r="E617">
        <v>6.3</v>
      </c>
      <c r="G617">
        <v>8.5454469999999993</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3.4065639999999999</v>
      </c>
      <c r="AC617">
        <v>6.2</v>
      </c>
      <c r="AD617">
        <v>4</v>
      </c>
      <c r="AE617">
        <v>6.4340210000000004</v>
      </c>
      <c r="AF617">
        <v>14.7</v>
      </c>
      <c r="AG617">
        <v>9.1</v>
      </c>
      <c r="AH617">
        <v>14</v>
      </c>
      <c r="AI617">
        <v>6.3</v>
      </c>
      <c r="AJ617">
        <v>8</v>
      </c>
      <c r="AK617">
        <v>9.3000000000000007</v>
      </c>
      <c r="AL617">
        <v>4.7</v>
      </c>
    </row>
    <row r="618" spans="1:38" x14ac:dyDescent="0.2">
      <c r="A618" s="61">
        <v>38838</v>
      </c>
      <c r="B618">
        <v>4.7983750000000001</v>
      </c>
      <c r="C618">
        <v>5.2</v>
      </c>
      <c r="D618">
        <v>8.8000000000000007</v>
      </c>
      <c r="E618">
        <v>6.1</v>
      </c>
      <c r="G618">
        <v>8.5183020000000003</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6.8</v>
      </c>
      <c r="AB618">
        <v>3.1885059999999998</v>
      </c>
      <c r="AC618">
        <v>6.2</v>
      </c>
      <c r="AD618">
        <v>3.9</v>
      </c>
      <c r="AE618">
        <v>6.3272380000000004</v>
      </c>
      <c r="AF618">
        <v>14.4</v>
      </c>
      <c r="AG618">
        <v>9.1</v>
      </c>
      <c r="AH618">
        <v>13.7</v>
      </c>
      <c r="AI618">
        <v>6.2</v>
      </c>
      <c r="AJ618">
        <v>7.5</v>
      </c>
      <c r="AK618">
        <v>8.8000000000000007</v>
      </c>
      <c r="AL618">
        <v>4.5999999999999996</v>
      </c>
    </row>
    <row r="619" spans="1:38" x14ac:dyDescent="0.2">
      <c r="A619" s="61">
        <v>38869</v>
      </c>
      <c r="B619">
        <v>4.8086500000000001</v>
      </c>
      <c r="C619">
        <v>6.1</v>
      </c>
      <c r="D619">
        <v>8.5</v>
      </c>
      <c r="E619">
        <v>6.1</v>
      </c>
      <c r="G619">
        <v>8.2894050000000004</v>
      </c>
      <c r="H619">
        <v>7.4</v>
      </c>
      <c r="I619">
        <v>10.1</v>
      </c>
      <c r="J619">
        <v>4</v>
      </c>
      <c r="K619">
        <v>8.5</v>
      </c>
      <c r="L619">
        <v>8.4</v>
      </c>
      <c r="M619">
        <v>6.2</v>
      </c>
      <c r="N619">
        <v>7.7</v>
      </c>
      <c r="O619">
        <v>8.9</v>
      </c>
      <c r="P619">
        <v>5.7969210000000002</v>
      </c>
      <c r="Q619">
        <v>5.5</v>
      </c>
      <c r="R619">
        <v>9.1</v>
      </c>
      <c r="S619">
        <v>7.5</v>
      </c>
      <c r="T619">
        <v>4.8</v>
      </c>
      <c r="U619">
        <v>3.5</v>
      </c>
      <c r="W619">
        <v>6.7</v>
      </c>
      <c r="X619">
        <v>4.2</v>
      </c>
      <c r="Y619">
        <v>3.5</v>
      </c>
      <c r="Z619">
        <v>4.5</v>
      </c>
      <c r="AA619">
        <v>6.5</v>
      </c>
      <c r="AB619">
        <v>3.4936430000000001</v>
      </c>
      <c r="AC619">
        <v>6</v>
      </c>
      <c r="AD619">
        <v>3.9</v>
      </c>
      <c r="AE619">
        <v>6.3406310000000001</v>
      </c>
      <c r="AF619">
        <v>14</v>
      </c>
      <c r="AG619">
        <v>9.1</v>
      </c>
      <c r="AH619">
        <v>13.4</v>
      </c>
      <c r="AI619">
        <v>6</v>
      </c>
      <c r="AJ619">
        <v>7.1</v>
      </c>
      <c r="AK619">
        <v>9</v>
      </c>
      <c r="AL619">
        <v>4.5999999999999996</v>
      </c>
    </row>
    <row r="620" spans="1:38" x14ac:dyDescent="0.2">
      <c r="A620" s="61">
        <v>38899</v>
      </c>
      <c r="B620">
        <v>4.6570980000000004</v>
      </c>
      <c r="C620">
        <v>5.8</v>
      </c>
      <c r="D620">
        <v>8</v>
      </c>
      <c r="E620">
        <v>6.4</v>
      </c>
      <c r="G620">
        <v>7.9735740000000002</v>
      </c>
      <c r="H620">
        <v>7.1</v>
      </c>
      <c r="I620">
        <v>10</v>
      </c>
      <c r="J620">
        <v>3.8</v>
      </c>
      <c r="K620">
        <v>8.4</v>
      </c>
      <c r="L620">
        <v>8.3000000000000007</v>
      </c>
      <c r="M620">
        <v>6</v>
      </c>
      <c r="N620">
        <v>7.6</v>
      </c>
      <c r="O620">
        <v>9</v>
      </c>
      <c r="P620">
        <v>5.8208010000000003</v>
      </c>
      <c r="Q620">
        <v>5.5</v>
      </c>
      <c r="R620">
        <v>8.8000000000000007</v>
      </c>
      <c r="S620">
        <v>7.5</v>
      </c>
      <c r="T620">
        <v>5</v>
      </c>
      <c r="U620">
        <v>3.4</v>
      </c>
      <c r="W620">
        <v>6.6</v>
      </c>
      <c r="X620">
        <v>4.0999999999999996</v>
      </c>
      <c r="Y620">
        <v>3.5</v>
      </c>
      <c r="Z620">
        <v>4.5</v>
      </c>
      <c r="AA620">
        <v>6.4</v>
      </c>
      <c r="AB620">
        <v>3.6293250000000001</v>
      </c>
      <c r="AC620">
        <v>6</v>
      </c>
      <c r="AD620">
        <v>3.4</v>
      </c>
      <c r="AE620">
        <v>6.3307479999999998</v>
      </c>
      <c r="AF620">
        <v>13.8</v>
      </c>
      <c r="AG620">
        <v>9.1999999999999993</v>
      </c>
      <c r="AH620">
        <v>13.3</v>
      </c>
      <c r="AI620">
        <v>5.9</v>
      </c>
      <c r="AJ620">
        <v>7.2</v>
      </c>
      <c r="AK620">
        <v>9</v>
      </c>
      <c r="AL620">
        <v>4.7</v>
      </c>
    </row>
    <row r="621" spans="1:38" x14ac:dyDescent="0.2">
      <c r="A621" s="61">
        <v>38930</v>
      </c>
      <c r="B621">
        <v>4.7129960000000004</v>
      </c>
      <c r="C621">
        <v>5</v>
      </c>
      <c r="D621">
        <v>7.8</v>
      </c>
      <c r="E621">
        <v>6.4</v>
      </c>
      <c r="G621">
        <v>7.497573</v>
      </c>
      <c r="H621">
        <v>6.8</v>
      </c>
      <c r="I621">
        <v>9.9</v>
      </c>
      <c r="J621">
        <v>3.7</v>
      </c>
      <c r="K621">
        <v>8.3000000000000007</v>
      </c>
      <c r="L621">
        <v>8.3000000000000007</v>
      </c>
      <c r="M621">
        <v>5.8</v>
      </c>
      <c r="N621">
        <v>7.7</v>
      </c>
      <c r="O621">
        <v>9</v>
      </c>
      <c r="P621">
        <v>5.786308</v>
      </c>
      <c r="Q621">
        <v>5.5</v>
      </c>
      <c r="R621">
        <v>8.8000000000000007</v>
      </c>
      <c r="S621">
        <v>7.6</v>
      </c>
      <c r="T621">
        <v>5.0999999999999996</v>
      </c>
      <c r="U621">
        <v>3.3</v>
      </c>
      <c r="W621">
        <v>6.7</v>
      </c>
      <c r="X621">
        <v>4.0999999999999996</v>
      </c>
      <c r="Y621">
        <v>3.5</v>
      </c>
      <c r="Z621">
        <v>4.5999999999999996</v>
      </c>
      <c r="AA621">
        <v>6.3</v>
      </c>
      <c r="AB621">
        <v>3.7873589999999999</v>
      </c>
      <c r="AC621">
        <v>5.9</v>
      </c>
      <c r="AD621">
        <v>3.7</v>
      </c>
      <c r="AE621">
        <v>6.3036399999999997</v>
      </c>
      <c r="AF621">
        <v>13.5</v>
      </c>
      <c r="AG621">
        <v>9.1999999999999993</v>
      </c>
      <c r="AH621">
        <v>13.1</v>
      </c>
      <c r="AI621">
        <v>5.7</v>
      </c>
      <c r="AJ621">
        <v>7.3</v>
      </c>
      <c r="AK621">
        <v>9</v>
      </c>
      <c r="AL621">
        <v>4.7</v>
      </c>
    </row>
    <row r="622" spans="1:38" x14ac:dyDescent="0.2">
      <c r="A622" s="61">
        <v>38961</v>
      </c>
      <c r="B622">
        <v>4.6665840000000003</v>
      </c>
      <c r="C622">
        <v>5.0999999999999996</v>
      </c>
      <c r="D622">
        <v>7.9</v>
      </c>
      <c r="E622">
        <v>6.4</v>
      </c>
      <c r="G622">
        <v>7.165597</v>
      </c>
      <c r="H622">
        <v>7.1</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3.6968709999999998</v>
      </c>
      <c r="AC622">
        <v>5.9</v>
      </c>
      <c r="AD622">
        <v>3.3</v>
      </c>
      <c r="AE622">
        <v>6.214893</v>
      </c>
      <c r="AF622">
        <v>13.2</v>
      </c>
      <c r="AG622">
        <v>9.5</v>
      </c>
      <c r="AH622">
        <v>12.8</v>
      </c>
      <c r="AI622">
        <v>5.6</v>
      </c>
      <c r="AJ622">
        <v>6.9</v>
      </c>
      <c r="AK622">
        <v>8.8000000000000007</v>
      </c>
      <c r="AL622">
        <v>4.5</v>
      </c>
    </row>
    <row r="623" spans="1:38" x14ac:dyDescent="0.2">
      <c r="A623" s="61">
        <v>38991</v>
      </c>
      <c r="B623">
        <v>4.4637609999999999</v>
      </c>
      <c r="C623">
        <v>5.4</v>
      </c>
      <c r="D623">
        <v>7.9</v>
      </c>
      <c r="E623">
        <v>6.2</v>
      </c>
      <c r="G623">
        <v>6.8571920000000004</v>
      </c>
      <c r="H623">
        <v>6.7</v>
      </c>
      <c r="I623">
        <v>9.6999999999999993</v>
      </c>
      <c r="J623">
        <v>3.5</v>
      </c>
      <c r="K623">
        <v>8.1999999999999993</v>
      </c>
      <c r="L623">
        <v>8.1999999999999993</v>
      </c>
      <c r="M623">
        <v>5.8</v>
      </c>
      <c r="N623">
        <v>7.7</v>
      </c>
      <c r="O623">
        <v>8.5</v>
      </c>
      <c r="P623">
        <v>5.6004370000000003</v>
      </c>
      <c r="Q623">
        <v>5.4</v>
      </c>
      <c r="R623">
        <v>8.5</v>
      </c>
      <c r="S623">
        <v>7.7</v>
      </c>
      <c r="T623">
        <v>4.7</v>
      </c>
      <c r="U623">
        <v>3.1</v>
      </c>
      <c r="W623">
        <v>6.7</v>
      </c>
      <c r="X623">
        <v>4.0999999999999996</v>
      </c>
      <c r="Y623">
        <v>3.6</v>
      </c>
      <c r="Z623">
        <v>4.5999999999999996</v>
      </c>
      <c r="AA623">
        <v>6.4</v>
      </c>
      <c r="AB623">
        <v>3.7416260000000001</v>
      </c>
      <c r="AC623">
        <v>5.9</v>
      </c>
      <c r="AD623">
        <v>2.9</v>
      </c>
      <c r="AE623">
        <v>6.1311780000000002</v>
      </c>
      <c r="AF623">
        <v>12.9</v>
      </c>
      <c r="AG623">
        <v>9.6999999999999993</v>
      </c>
      <c r="AH623">
        <v>12.6</v>
      </c>
      <c r="AI623">
        <v>5.5</v>
      </c>
      <c r="AJ623">
        <v>6.7</v>
      </c>
      <c r="AK623">
        <v>8.6999999999999993</v>
      </c>
      <c r="AL623">
        <v>4.4000000000000004</v>
      </c>
    </row>
    <row r="624" spans="1:38" x14ac:dyDescent="0.2">
      <c r="A624" s="61">
        <v>39022</v>
      </c>
      <c r="B624">
        <v>4.5155510000000003</v>
      </c>
      <c r="C624">
        <v>5.2</v>
      </c>
      <c r="D624">
        <v>8</v>
      </c>
      <c r="E624">
        <v>6.4</v>
      </c>
      <c r="G624">
        <v>6.5913890000000004</v>
      </c>
      <c r="H624">
        <v>6.6</v>
      </c>
      <c r="I624">
        <v>9.6</v>
      </c>
      <c r="J624">
        <v>3.6</v>
      </c>
      <c r="K624">
        <v>8.1</v>
      </c>
      <c r="L624">
        <v>8.3000000000000007</v>
      </c>
      <c r="M624">
        <v>5.4</v>
      </c>
      <c r="N624">
        <v>7.3</v>
      </c>
      <c r="O624">
        <v>8.3000000000000007</v>
      </c>
      <c r="P624">
        <v>5.6005890000000003</v>
      </c>
      <c r="Q624">
        <v>5.5</v>
      </c>
      <c r="R624">
        <v>8.9</v>
      </c>
      <c r="S624">
        <v>7.6</v>
      </c>
      <c r="T624">
        <v>4.5999999999999996</v>
      </c>
      <c r="U624">
        <v>3</v>
      </c>
      <c r="W624">
        <v>6.6</v>
      </c>
      <c r="X624">
        <v>4</v>
      </c>
      <c r="Y624">
        <v>3.5</v>
      </c>
      <c r="Z624">
        <v>4.5999999999999996</v>
      </c>
      <c r="AA624">
        <v>6.5</v>
      </c>
      <c r="AB624">
        <v>3.8000419999999999</v>
      </c>
      <c r="AC624">
        <v>5.9</v>
      </c>
      <c r="AD624">
        <v>2.8</v>
      </c>
      <c r="AE624">
        <v>6.119084</v>
      </c>
      <c r="AF624">
        <v>12.4</v>
      </c>
      <c r="AG624">
        <v>9.6999999999999993</v>
      </c>
      <c r="AH624">
        <v>12.4</v>
      </c>
      <c r="AI624">
        <v>5.5</v>
      </c>
      <c r="AJ624">
        <v>6.9</v>
      </c>
      <c r="AK624">
        <v>8.6999999999999993</v>
      </c>
      <c r="AL624">
        <v>4.5</v>
      </c>
    </row>
    <row r="625" spans="1:38" x14ac:dyDescent="0.2">
      <c r="A625" s="61">
        <v>39052</v>
      </c>
      <c r="B625">
        <v>4.5687449999999998</v>
      </c>
      <c r="C625">
        <v>5.3</v>
      </c>
      <c r="D625">
        <v>7.9</v>
      </c>
      <c r="E625">
        <v>6.2</v>
      </c>
      <c r="G625">
        <v>6.6223349999999996</v>
      </c>
      <c r="H625">
        <v>6.5</v>
      </c>
      <c r="I625">
        <v>9.4</v>
      </c>
      <c r="J625">
        <v>3.8</v>
      </c>
      <c r="K625">
        <v>8</v>
      </c>
      <c r="L625">
        <v>8.3000000000000007</v>
      </c>
      <c r="M625">
        <v>5.0999999999999996</v>
      </c>
      <c r="N625">
        <v>7.1</v>
      </c>
      <c r="O625">
        <v>8.3000000000000007</v>
      </c>
      <c r="P625">
        <v>5.5103049999999998</v>
      </c>
      <c r="Q625">
        <v>5.5</v>
      </c>
      <c r="R625">
        <v>9</v>
      </c>
      <c r="S625">
        <v>7.4</v>
      </c>
      <c r="T625">
        <v>4.7</v>
      </c>
      <c r="U625">
        <v>3</v>
      </c>
      <c r="W625">
        <v>6.2</v>
      </c>
      <c r="X625">
        <v>4</v>
      </c>
      <c r="Y625">
        <v>3.4</v>
      </c>
      <c r="Z625">
        <v>4.5999999999999996</v>
      </c>
      <c r="AA625">
        <v>6.7</v>
      </c>
      <c r="AB625">
        <v>3.8794680000000001</v>
      </c>
      <c r="AC625">
        <v>5.8</v>
      </c>
      <c r="AD625">
        <v>2.8</v>
      </c>
      <c r="AE625">
        <v>6.0561230000000004</v>
      </c>
      <c r="AF625">
        <v>11.9</v>
      </c>
      <c r="AG625">
        <v>9.6999999999999993</v>
      </c>
      <c r="AH625">
        <v>12.1</v>
      </c>
      <c r="AI625">
        <v>5.4</v>
      </c>
      <c r="AJ625">
        <v>6.6</v>
      </c>
      <c r="AK625">
        <v>8.9</v>
      </c>
      <c r="AL625">
        <v>4.4000000000000004</v>
      </c>
    </row>
    <row r="626" spans="1:38" x14ac:dyDescent="0.2">
      <c r="A626" s="61">
        <v>39083</v>
      </c>
      <c r="B626">
        <v>4.5544609999999999</v>
      </c>
      <c r="C626">
        <v>5.3</v>
      </c>
      <c r="D626">
        <v>7.8</v>
      </c>
      <c r="E626">
        <v>6.3</v>
      </c>
      <c r="G626">
        <v>6.8285650000000002</v>
      </c>
      <c r="H626">
        <v>6.1</v>
      </c>
      <c r="I626">
        <v>9.1999999999999993</v>
      </c>
      <c r="J626">
        <v>4.0999999999999996</v>
      </c>
      <c r="K626">
        <v>8</v>
      </c>
      <c r="L626">
        <v>8.3000000000000007</v>
      </c>
      <c r="M626">
        <v>5</v>
      </c>
      <c r="N626">
        <v>7.2</v>
      </c>
      <c r="O626">
        <v>8.5</v>
      </c>
      <c r="P626">
        <v>5.6207419999999999</v>
      </c>
      <c r="Q626">
        <v>5.5</v>
      </c>
      <c r="R626">
        <v>8.6</v>
      </c>
      <c r="S626">
        <v>7.1</v>
      </c>
      <c r="T626">
        <v>4.8</v>
      </c>
      <c r="U626">
        <v>2.9</v>
      </c>
      <c r="W626">
        <v>6.4</v>
      </c>
      <c r="X626">
        <v>4</v>
      </c>
      <c r="Y626">
        <v>3.4</v>
      </c>
      <c r="Z626">
        <v>4.4000000000000004</v>
      </c>
      <c r="AA626">
        <v>6.8</v>
      </c>
      <c r="AB626">
        <v>3.7430289999999999</v>
      </c>
      <c r="AC626">
        <v>5.7</v>
      </c>
      <c r="AD626">
        <v>3.1</v>
      </c>
      <c r="AE626">
        <v>6.0600639999999997</v>
      </c>
      <c r="AF626">
        <v>11.3</v>
      </c>
      <c r="AG626">
        <v>9.6999999999999993</v>
      </c>
      <c r="AH626">
        <v>11.7</v>
      </c>
      <c r="AI626">
        <v>5.4</v>
      </c>
      <c r="AJ626">
        <v>6.6</v>
      </c>
      <c r="AK626">
        <v>8.8000000000000007</v>
      </c>
      <c r="AL626">
        <v>4.5999999999999996</v>
      </c>
    </row>
    <row r="627" spans="1:38" x14ac:dyDescent="0.2">
      <c r="A627" s="61">
        <v>39114</v>
      </c>
      <c r="B627">
        <v>4.6357660000000003</v>
      </c>
      <c r="C627">
        <v>5.4</v>
      </c>
      <c r="D627">
        <v>7.8</v>
      </c>
      <c r="E627">
        <v>6.2</v>
      </c>
      <c r="G627">
        <v>6.884182</v>
      </c>
      <c r="H627">
        <v>5.8</v>
      </c>
      <c r="I627">
        <v>9.1</v>
      </c>
      <c r="J627">
        <v>3.9</v>
      </c>
      <c r="K627">
        <v>7.9</v>
      </c>
      <c r="L627">
        <v>8.1999999999999993</v>
      </c>
      <c r="M627">
        <v>4.9000000000000004</v>
      </c>
      <c r="N627">
        <v>7.2</v>
      </c>
      <c r="O627">
        <v>8.5</v>
      </c>
      <c r="P627">
        <v>5.5348879999999996</v>
      </c>
      <c r="Q627">
        <v>5.5</v>
      </c>
      <c r="R627">
        <v>8.8000000000000007</v>
      </c>
      <c r="S627">
        <v>7.1</v>
      </c>
      <c r="T627">
        <v>4.9000000000000004</v>
      </c>
      <c r="U627">
        <v>2.8</v>
      </c>
      <c r="W627">
        <v>6.2</v>
      </c>
      <c r="X627">
        <v>4</v>
      </c>
      <c r="Y627">
        <v>3.1</v>
      </c>
      <c r="Z627">
        <v>4.4000000000000004</v>
      </c>
      <c r="AA627">
        <v>6.8</v>
      </c>
      <c r="AB627">
        <v>3.9351769999999999</v>
      </c>
      <c r="AC627">
        <v>5.7</v>
      </c>
      <c r="AD627">
        <v>2.9</v>
      </c>
      <c r="AE627">
        <v>6.0015499999999999</v>
      </c>
      <c r="AF627">
        <v>10.7</v>
      </c>
      <c r="AG627">
        <v>9.8000000000000007</v>
      </c>
      <c r="AH627">
        <v>11.4</v>
      </c>
      <c r="AI627">
        <v>5.3</v>
      </c>
      <c r="AJ627">
        <v>6.4</v>
      </c>
      <c r="AK627">
        <v>9</v>
      </c>
      <c r="AL627">
        <v>4.5</v>
      </c>
    </row>
    <row r="628" spans="1:38" x14ac:dyDescent="0.2">
      <c r="A628" s="61">
        <v>39142</v>
      </c>
      <c r="B628">
        <v>4.4603549999999998</v>
      </c>
      <c r="C628">
        <v>5.0999999999999996</v>
      </c>
      <c r="D628">
        <v>7.9</v>
      </c>
      <c r="E628">
        <v>6.2</v>
      </c>
      <c r="G628">
        <v>6.8692830000000002</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4.1598889999999997</v>
      </c>
      <c r="AC628">
        <v>5.5</v>
      </c>
      <c r="AD628">
        <v>2.8</v>
      </c>
      <c r="AE628">
        <v>5.935384</v>
      </c>
      <c r="AF628">
        <v>10.3</v>
      </c>
      <c r="AG628">
        <v>9.6999999999999993</v>
      </c>
      <c r="AH628">
        <v>11.2</v>
      </c>
      <c r="AI628">
        <v>5.0999999999999996</v>
      </c>
      <c r="AJ628">
        <v>6.6</v>
      </c>
      <c r="AK628">
        <v>8.9</v>
      </c>
      <c r="AL628">
        <v>4.4000000000000004</v>
      </c>
    </row>
    <row r="629" spans="1:38" x14ac:dyDescent="0.2">
      <c r="A629" s="61">
        <v>39173</v>
      </c>
      <c r="B629">
        <v>4.3867159999999998</v>
      </c>
      <c r="C629">
        <v>5.6</v>
      </c>
      <c r="D629">
        <v>8.1999999999999993</v>
      </c>
      <c r="E629">
        <v>6.2</v>
      </c>
      <c r="G629">
        <v>6.5453029999999996</v>
      </c>
      <c r="H629">
        <v>5.4</v>
      </c>
      <c r="I629">
        <v>8.8000000000000007</v>
      </c>
      <c r="J629">
        <v>3.5</v>
      </c>
      <c r="K629">
        <v>7.7</v>
      </c>
      <c r="L629">
        <v>8</v>
      </c>
      <c r="M629">
        <v>4.9000000000000004</v>
      </c>
      <c r="N629">
        <v>6.5</v>
      </c>
      <c r="O629">
        <v>8.1999999999999993</v>
      </c>
      <c r="P629">
        <v>5.404325</v>
      </c>
      <c r="Q629">
        <v>5.4</v>
      </c>
      <c r="R629">
        <v>8.4</v>
      </c>
      <c r="S629">
        <v>7.2</v>
      </c>
      <c r="T629">
        <v>5</v>
      </c>
      <c r="U629">
        <v>2.6</v>
      </c>
      <c r="W629">
        <v>5.9</v>
      </c>
      <c r="X629">
        <v>3.8</v>
      </c>
      <c r="Y629">
        <v>3.3</v>
      </c>
      <c r="Z629">
        <v>4.2</v>
      </c>
      <c r="AA629">
        <v>6.3</v>
      </c>
      <c r="AB629">
        <v>3.698108</v>
      </c>
      <c r="AC629">
        <v>5.3</v>
      </c>
      <c r="AD629">
        <v>2.9</v>
      </c>
      <c r="AE629">
        <v>5.8405810000000002</v>
      </c>
      <c r="AF629">
        <v>10</v>
      </c>
      <c r="AG629">
        <v>9.9</v>
      </c>
      <c r="AH629">
        <v>11.3</v>
      </c>
      <c r="AI629">
        <v>4.9000000000000004</v>
      </c>
      <c r="AJ629">
        <v>6.3</v>
      </c>
      <c r="AK629">
        <v>9.1999999999999993</v>
      </c>
      <c r="AL629">
        <v>4.5</v>
      </c>
    </row>
    <row r="630" spans="1:38" x14ac:dyDescent="0.2">
      <c r="A630" s="61">
        <v>39203</v>
      </c>
      <c r="B630">
        <v>4.2646519999999999</v>
      </c>
      <c r="C630">
        <v>5.6</v>
      </c>
      <c r="D630">
        <v>8.1</v>
      </c>
      <c r="E630">
        <v>6</v>
      </c>
      <c r="G630">
        <v>6.5258250000000002</v>
      </c>
      <c r="H630">
        <v>5.5</v>
      </c>
      <c r="I630">
        <v>8.6</v>
      </c>
      <c r="J630">
        <v>3.6</v>
      </c>
      <c r="K630">
        <v>7.6</v>
      </c>
      <c r="L630">
        <v>7.9</v>
      </c>
      <c r="M630">
        <v>4.9000000000000004</v>
      </c>
      <c r="N630">
        <v>6.6</v>
      </c>
      <c r="O630">
        <v>8.1</v>
      </c>
      <c r="P630">
        <v>5.3427090000000002</v>
      </c>
      <c r="Q630">
        <v>5.4</v>
      </c>
      <c r="R630">
        <v>8.5</v>
      </c>
      <c r="S630">
        <v>7.1</v>
      </c>
      <c r="T630">
        <v>5</v>
      </c>
      <c r="U630">
        <v>2.5</v>
      </c>
      <c r="W630">
        <v>6.1</v>
      </c>
      <c r="X630">
        <v>3.8</v>
      </c>
      <c r="Y630">
        <v>3.3</v>
      </c>
      <c r="Z630">
        <v>4.0999999999999996</v>
      </c>
      <c r="AA630">
        <v>6.1</v>
      </c>
      <c r="AB630">
        <v>3.5686450000000001</v>
      </c>
      <c r="AC630">
        <v>5.3</v>
      </c>
      <c r="AD630">
        <v>2.7</v>
      </c>
      <c r="AE630">
        <v>5.7993699999999997</v>
      </c>
      <c r="AF630">
        <v>9.6999999999999993</v>
      </c>
      <c r="AG630">
        <v>9.6999999999999993</v>
      </c>
      <c r="AH630">
        <v>11.3</v>
      </c>
      <c r="AI630">
        <v>4.8</v>
      </c>
      <c r="AJ630">
        <v>6.1</v>
      </c>
      <c r="AK630">
        <v>9.1999999999999993</v>
      </c>
      <c r="AL630">
        <v>4.4000000000000004</v>
      </c>
    </row>
    <row r="631" spans="1:38" x14ac:dyDescent="0.2">
      <c r="A631" s="61">
        <v>39234</v>
      </c>
      <c r="B631">
        <v>4.3245339999999999</v>
      </c>
      <c r="C631">
        <v>5.3</v>
      </c>
      <c r="D631">
        <v>7.7</v>
      </c>
      <c r="E631">
        <v>6.1</v>
      </c>
      <c r="G631">
        <v>6.6054130000000004</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3.4280249999999999</v>
      </c>
      <c r="AC631">
        <v>5.2</v>
      </c>
      <c r="AD631">
        <v>2.5</v>
      </c>
      <c r="AE631">
        <v>5.7824650000000002</v>
      </c>
      <c r="AF631">
        <v>9.5</v>
      </c>
      <c r="AG631">
        <v>9.6</v>
      </c>
      <c r="AH631">
        <v>11.4</v>
      </c>
      <c r="AI631">
        <v>4.8</v>
      </c>
      <c r="AJ631">
        <v>6.4</v>
      </c>
      <c r="AK631">
        <v>9.1999999999999993</v>
      </c>
      <c r="AL631">
        <v>4.5999999999999996</v>
      </c>
    </row>
    <row r="632" spans="1:38" x14ac:dyDescent="0.2">
      <c r="A632" s="61">
        <v>39264</v>
      </c>
      <c r="B632">
        <v>4.2537640000000003</v>
      </c>
      <c r="C632">
        <v>5.4</v>
      </c>
      <c r="D632">
        <v>7.3</v>
      </c>
      <c r="E632">
        <v>6</v>
      </c>
      <c r="G632">
        <v>7.1133259999999998</v>
      </c>
      <c r="H632">
        <v>5.0999999999999996</v>
      </c>
      <c r="I632">
        <v>8.5</v>
      </c>
      <c r="J632">
        <v>4</v>
      </c>
      <c r="K632">
        <v>7.6</v>
      </c>
      <c r="L632">
        <v>8.1</v>
      </c>
      <c r="M632">
        <v>4.2</v>
      </c>
      <c r="N632">
        <v>6.8</v>
      </c>
      <c r="O632">
        <v>8.1</v>
      </c>
      <c r="P632">
        <v>5.4012589999999996</v>
      </c>
      <c r="Q632">
        <v>5.3</v>
      </c>
      <c r="R632">
        <v>8.3000000000000007</v>
      </c>
      <c r="S632">
        <v>7.3</v>
      </c>
      <c r="T632">
        <v>4.9000000000000004</v>
      </c>
      <c r="U632">
        <v>2.7</v>
      </c>
      <c r="W632">
        <v>6.3</v>
      </c>
      <c r="X632">
        <v>3.6</v>
      </c>
      <c r="Y632">
        <v>3.3</v>
      </c>
      <c r="Z632">
        <v>4</v>
      </c>
      <c r="AA632">
        <v>6</v>
      </c>
      <c r="AB632">
        <v>3.6435770000000001</v>
      </c>
      <c r="AC632">
        <v>5.3</v>
      </c>
      <c r="AD632">
        <v>2.9</v>
      </c>
      <c r="AE632">
        <v>5.8055289999999999</v>
      </c>
      <c r="AF632">
        <v>9.4</v>
      </c>
      <c r="AG632">
        <v>9.6</v>
      </c>
      <c r="AH632">
        <v>11.5</v>
      </c>
      <c r="AI632">
        <v>4.7</v>
      </c>
      <c r="AJ632">
        <v>6</v>
      </c>
      <c r="AK632">
        <v>9.1</v>
      </c>
      <c r="AL632">
        <v>4.7</v>
      </c>
    </row>
    <row r="633" spans="1:38" x14ac:dyDescent="0.2">
      <c r="A633" s="61">
        <v>39295</v>
      </c>
      <c r="B633">
        <v>4.3000230000000004</v>
      </c>
      <c r="C633">
        <v>5.4</v>
      </c>
      <c r="D633">
        <v>7</v>
      </c>
      <c r="E633">
        <v>5.9</v>
      </c>
      <c r="G633">
        <v>7.2945000000000002</v>
      </c>
      <c r="H633">
        <v>5</v>
      </c>
      <c r="I633">
        <v>8.4</v>
      </c>
      <c r="J633">
        <v>4</v>
      </c>
      <c r="K633">
        <v>7.5</v>
      </c>
      <c r="L633">
        <v>8.3000000000000007</v>
      </c>
      <c r="M633">
        <v>4.0999999999999996</v>
      </c>
      <c r="N633">
        <v>6.8</v>
      </c>
      <c r="O633">
        <v>8</v>
      </c>
      <c r="P633">
        <v>5.3717499999999996</v>
      </c>
      <c r="Q633">
        <v>5.3</v>
      </c>
      <c r="R633">
        <v>8.5</v>
      </c>
      <c r="S633">
        <v>7.3</v>
      </c>
      <c r="T633">
        <v>4.9000000000000004</v>
      </c>
      <c r="U633">
        <v>2.7</v>
      </c>
      <c r="W633">
        <v>6.1</v>
      </c>
      <c r="X633">
        <v>3.7</v>
      </c>
      <c r="Y633">
        <v>3.3</v>
      </c>
      <c r="Z633">
        <v>4.0999999999999996</v>
      </c>
      <c r="AA633">
        <v>6</v>
      </c>
      <c r="AB633">
        <v>3.6578810000000002</v>
      </c>
      <c r="AC633">
        <v>5.2</v>
      </c>
      <c r="AD633">
        <v>2.8</v>
      </c>
      <c r="AE633">
        <v>5.8069769999999998</v>
      </c>
      <c r="AF633">
        <v>9.3000000000000007</v>
      </c>
      <c r="AG633">
        <v>9.6</v>
      </c>
      <c r="AH633">
        <v>11.5</v>
      </c>
      <c r="AI633">
        <v>4.5999999999999996</v>
      </c>
      <c r="AJ633">
        <v>6.2</v>
      </c>
      <c r="AK633">
        <v>9.1999999999999993</v>
      </c>
      <c r="AL633">
        <v>4.5999999999999996</v>
      </c>
    </row>
    <row r="634" spans="1:38" x14ac:dyDescent="0.2">
      <c r="A634" s="61">
        <v>39326</v>
      </c>
      <c r="B634">
        <v>4.2136250000000004</v>
      </c>
      <c r="C634">
        <v>5</v>
      </c>
      <c r="D634">
        <v>6.9</v>
      </c>
      <c r="E634">
        <v>5.9</v>
      </c>
      <c r="G634">
        <v>7.5289890000000002</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3.60162</v>
      </c>
      <c r="AC634">
        <v>5.2</v>
      </c>
      <c r="AD634">
        <v>2.4</v>
      </c>
      <c r="AE634">
        <v>5.836487</v>
      </c>
      <c r="AF634">
        <v>9.1999999999999993</v>
      </c>
      <c r="AG634">
        <v>9.4</v>
      </c>
      <c r="AH634">
        <v>11.3</v>
      </c>
      <c r="AI634">
        <v>4.5</v>
      </c>
      <c r="AJ634">
        <v>6.3</v>
      </c>
      <c r="AK634">
        <v>9.3000000000000007</v>
      </c>
      <c r="AL634">
        <v>4.7</v>
      </c>
    </row>
    <row r="635" spans="1:38" x14ac:dyDescent="0.2">
      <c r="A635" s="61">
        <v>39356</v>
      </c>
      <c r="B635">
        <v>4.3269640000000003</v>
      </c>
      <c r="C635">
        <v>4.9000000000000004</v>
      </c>
      <c r="D635">
        <v>7</v>
      </c>
      <c r="E635">
        <v>5.9</v>
      </c>
      <c r="G635">
        <v>7.5531470000000001</v>
      </c>
      <c r="H635">
        <v>5</v>
      </c>
      <c r="I635">
        <v>8.3000000000000007</v>
      </c>
      <c r="J635">
        <v>3.7</v>
      </c>
      <c r="K635">
        <v>7.4</v>
      </c>
      <c r="L635">
        <v>8.4</v>
      </c>
      <c r="M635">
        <v>4</v>
      </c>
      <c r="N635">
        <v>6.6</v>
      </c>
      <c r="O635">
        <v>7.7</v>
      </c>
      <c r="P635">
        <v>5.4259880000000003</v>
      </c>
      <c r="Q635">
        <v>5.2</v>
      </c>
      <c r="R635">
        <v>8.1999999999999993</v>
      </c>
      <c r="S635">
        <v>7.6</v>
      </c>
      <c r="T635">
        <v>5.0999999999999996</v>
      </c>
      <c r="U635">
        <v>2.6</v>
      </c>
      <c r="W635">
        <v>6.3</v>
      </c>
      <c r="X635">
        <v>4</v>
      </c>
      <c r="Y635">
        <v>3.3</v>
      </c>
      <c r="Z635">
        <v>4.0999999999999996</v>
      </c>
      <c r="AA635">
        <v>5.3</v>
      </c>
      <c r="AB635">
        <v>3.766</v>
      </c>
      <c r="AC635">
        <v>5.0999999999999996</v>
      </c>
      <c r="AD635">
        <v>2.8</v>
      </c>
      <c r="AE635">
        <v>5.848814</v>
      </c>
      <c r="AF635">
        <v>8.9</v>
      </c>
      <c r="AG635">
        <v>9.4</v>
      </c>
      <c r="AH635">
        <v>10.9</v>
      </c>
      <c r="AI635">
        <v>4.5999999999999996</v>
      </c>
      <c r="AJ635">
        <v>6.4</v>
      </c>
      <c r="AK635">
        <v>9.5</v>
      </c>
      <c r="AL635">
        <v>4.7</v>
      </c>
    </row>
    <row r="636" spans="1:38" x14ac:dyDescent="0.2">
      <c r="A636" s="61">
        <v>39387</v>
      </c>
      <c r="B636">
        <v>4.4272809999999998</v>
      </c>
      <c r="C636">
        <v>5.0999999999999996</v>
      </c>
      <c r="D636">
        <v>7.1</v>
      </c>
      <c r="E636">
        <v>6.1</v>
      </c>
      <c r="G636">
        <v>7.8555549999999998</v>
      </c>
      <c r="H636">
        <v>4.8</v>
      </c>
      <c r="I636">
        <v>8.1999999999999993</v>
      </c>
      <c r="J636">
        <v>3.7</v>
      </c>
      <c r="K636">
        <v>7.4</v>
      </c>
      <c r="L636">
        <v>8.6</v>
      </c>
      <c r="M636">
        <v>4</v>
      </c>
      <c r="N636">
        <v>6.7</v>
      </c>
      <c r="O636">
        <v>7.5</v>
      </c>
      <c r="P636">
        <v>5.3642320000000003</v>
      </c>
      <c r="Q636">
        <v>5.2</v>
      </c>
      <c r="R636">
        <v>7.9</v>
      </c>
      <c r="S636">
        <v>7.9</v>
      </c>
      <c r="T636">
        <v>5.2</v>
      </c>
      <c r="U636">
        <v>2.5</v>
      </c>
      <c r="W636">
        <v>6.3</v>
      </c>
      <c r="X636">
        <v>3.8</v>
      </c>
      <c r="Y636">
        <v>3.3</v>
      </c>
      <c r="Z636">
        <v>4.2</v>
      </c>
      <c r="AA636">
        <v>5.3</v>
      </c>
      <c r="AB636">
        <v>3.652793</v>
      </c>
      <c r="AC636">
        <v>5.0999999999999996</v>
      </c>
      <c r="AD636">
        <v>2.4</v>
      </c>
      <c r="AE636">
        <v>5.7807019999999998</v>
      </c>
      <c r="AF636">
        <v>8.6999999999999993</v>
      </c>
      <c r="AG636">
        <v>9.3000000000000007</v>
      </c>
      <c r="AH636">
        <v>10.6</v>
      </c>
      <c r="AI636">
        <v>4.7</v>
      </c>
      <c r="AJ636">
        <v>6.2</v>
      </c>
      <c r="AK636">
        <v>9.4</v>
      </c>
      <c r="AL636">
        <v>4.7</v>
      </c>
    </row>
    <row r="637" spans="1:38" x14ac:dyDescent="0.2">
      <c r="A637" s="61">
        <v>39417</v>
      </c>
      <c r="B637">
        <v>4.3092579999999998</v>
      </c>
      <c r="C637">
        <v>4.5</v>
      </c>
      <c r="D637">
        <v>7.1</v>
      </c>
      <c r="E637">
        <v>6.1</v>
      </c>
      <c r="G637">
        <v>7.7779069999999999</v>
      </c>
      <c r="H637">
        <v>4.9000000000000004</v>
      </c>
      <c r="I637">
        <v>8.1</v>
      </c>
      <c r="J637">
        <v>3.3</v>
      </c>
      <c r="K637">
        <v>7.4</v>
      </c>
      <c r="L637">
        <v>8.8000000000000007</v>
      </c>
      <c r="M637">
        <v>4.0999999999999996</v>
      </c>
      <c r="N637">
        <v>6.6</v>
      </c>
      <c r="O637">
        <v>7.3</v>
      </c>
      <c r="P637">
        <v>5.4579909999999998</v>
      </c>
      <c r="Q637">
        <v>5.2</v>
      </c>
      <c r="R637">
        <v>8.1</v>
      </c>
      <c r="S637">
        <v>8</v>
      </c>
      <c r="T637">
        <v>5.3</v>
      </c>
      <c r="U637">
        <v>2.6</v>
      </c>
      <c r="W637">
        <v>6.6</v>
      </c>
      <c r="X637">
        <v>3.7</v>
      </c>
      <c r="Y637">
        <v>3.1</v>
      </c>
      <c r="Z637">
        <v>4.2</v>
      </c>
      <c r="AA637">
        <v>5.6</v>
      </c>
      <c r="AB637">
        <v>3.791801</v>
      </c>
      <c r="AC637">
        <v>5</v>
      </c>
      <c r="AD637">
        <v>2.4</v>
      </c>
      <c r="AE637">
        <v>5.8249560000000002</v>
      </c>
      <c r="AF637">
        <v>8.3000000000000007</v>
      </c>
      <c r="AG637">
        <v>9.1999999999999993</v>
      </c>
      <c r="AH637">
        <v>10.5</v>
      </c>
      <c r="AI637">
        <v>4.7</v>
      </c>
      <c r="AJ637">
        <v>6.2</v>
      </c>
      <c r="AK637">
        <v>9.3000000000000007</v>
      </c>
      <c r="AL637">
        <v>5</v>
      </c>
    </row>
    <row r="638" spans="1:38" x14ac:dyDescent="0.2">
      <c r="A638" s="61">
        <v>39448</v>
      </c>
      <c r="B638">
        <v>4.2203629999999999</v>
      </c>
      <c r="C638">
        <v>4.5999999999999996</v>
      </c>
      <c r="D638">
        <v>7.1</v>
      </c>
      <c r="E638">
        <v>5.9</v>
      </c>
      <c r="G638">
        <v>7.8091540000000004</v>
      </c>
      <c r="H638">
        <v>4.7</v>
      </c>
      <c r="I638">
        <v>8</v>
      </c>
      <c r="J638">
        <v>3.2</v>
      </c>
      <c r="K638">
        <v>7.4</v>
      </c>
      <c r="L638">
        <v>9.1</v>
      </c>
      <c r="M638">
        <v>4.3</v>
      </c>
      <c r="N638">
        <v>6.5</v>
      </c>
      <c r="O638">
        <v>7.2</v>
      </c>
      <c r="P638">
        <v>5.4768119999999998</v>
      </c>
      <c r="Q638">
        <v>5.2</v>
      </c>
      <c r="R638">
        <v>7.7</v>
      </c>
      <c r="S638">
        <v>7.8</v>
      </c>
      <c r="T638">
        <v>5.3</v>
      </c>
      <c r="U638">
        <v>2.7</v>
      </c>
      <c r="W638">
        <v>6.7</v>
      </c>
      <c r="X638">
        <v>3.9</v>
      </c>
      <c r="Y638">
        <v>3</v>
      </c>
      <c r="Z638">
        <v>4.3</v>
      </c>
      <c r="AA638">
        <v>6.2</v>
      </c>
      <c r="AB638">
        <v>3.7878829999999999</v>
      </c>
      <c r="AC638">
        <v>5</v>
      </c>
      <c r="AD638">
        <v>2.9</v>
      </c>
      <c r="AE638">
        <v>5.8272630000000003</v>
      </c>
      <c r="AF638">
        <v>7.8</v>
      </c>
      <c r="AG638">
        <v>9</v>
      </c>
      <c r="AH638">
        <v>10.4</v>
      </c>
      <c r="AI638">
        <v>4.8</v>
      </c>
      <c r="AJ638">
        <v>6.1</v>
      </c>
      <c r="AK638">
        <v>9.3000000000000007</v>
      </c>
      <c r="AL638">
        <v>5</v>
      </c>
    </row>
    <row r="639" spans="1:38" x14ac:dyDescent="0.2">
      <c r="A639" s="61">
        <v>39479</v>
      </c>
      <c r="B639">
        <v>3.9806650000000001</v>
      </c>
      <c r="C639">
        <v>4.5999999999999996</v>
      </c>
      <c r="D639">
        <v>6.9</v>
      </c>
      <c r="E639">
        <v>6</v>
      </c>
      <c r="G639">
        <v>7.6751569999999996</v>
      </c>
      <c r="H639">
        <v>4.5</v>
      </c>
      <c r="I639">
        <v>7.9</v>
      </c>
      <c r="J639">
        <v>3.5</v>
      </c>
      <c r="K639">
        <v>7.4</v>
      </c>
      <c r="L639">
        <v>9.3000000000000007</v>
      </c>
      <c r="M639">
        <v>4.4000000000000004</v>
      </c>
      <c r="N639">
        <v>6.1</v>
      </c>
      <c r="O639">
        <v>7.1</v>
      </c>
      <c r="P639">
        <v>5.4333549999999997</v>
      </c>
      <c r="Q639">
        <v>5.2</v>
      </c>
      <c r="R639">
        <v>7.8</v>
      </c>
      <c r="S639">
        <v>7.6</v>
      </c>
      <c r="T639">
        <v>5.3</v>
      </c>
      <c r="U639">
        <v>2.7</v>
      </c>
      <c r="W639">
        <v>6.7</v>
      </c>
      <c r="X639">
        <v>4</v>
      </c>
      <c r="Y639">
        <v>2.9</v>
      </c>
      <c r="Z639">
        <v>4.4000000000000004</v>
      </c>
      <c r="AA639">
        <v>6.5</v>
      </c>
      <c r="AB639">
        <v>3.8163809999999998</v>
      </c>
      <c r="AC639">
        <v>4.7</v>
      </c>
      <c r="AD639">
        <v>2.6</v>
      </c>
      <c r="AE639">
        <v>5.7979250000000002</v>
      </c>
      <c r="AF639">
        <v>7.5</v>
      </c>
      <c r="AG639">
        <v>8.9</v>
      </c>
      <c r="AH639">
        <v>10.3</v>
      </c>
      <c r="AI639">
        <v>4.7</v>
      </c>
      <c r="AJ639">
        <v>6</v>
      </c>
      <c r="AK639">
        <v>9.5</v>
      </c>
      <c r="AL639">
        <v>4.9000000000000004</v>
      </c>
    </row>
    <row r="640" spans="1:38" x14ac:dyDescent="0.2">
      <c r="A640" s="61">
        <v>39508</v>
      </c>
      <c r="B640">
        <v>4.0577589999999999</v>
      </c>
      <c r="C640">
        <v>4.4000000000000004</v>
      </c>
      <c r="D640">
        <v>6.7</v>
      </c>
      <c r="E640">
        <v>6.2</v>
      </c>
      <c r="G640">
        <v>7.6577489999999999</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6.5</v>
      </c>
      <c r="AB640">
        <v>4.0122340000000003</v>
      </c>
      <c r="AC640">
        <v>4.7</v>
      </c>
      <c r="AD640">
        <v>2.6</v>
      </c>
      <c r="AE640">
        <v>5.847588</v>
      </c>
      <c r="AF640">
        <v>7.3</v>
      </c>
      <c r="AG640">
        <v>9</v>
      </c>
      <c r="AH640">
        <v>10.199999999999999</v>
      </c>
      <c r="AI640">
        <v>4.5999999999999996</v>
      </c>
      <c r="AJ640">
        <v>5.9</v>
      </c>
      <c r="AK640">
        <v>9.4</v>
      </c>
      <c r="AL640">
        <v>5.0999999999999996</v>
      </c>
    </row>
    <row r="641" spans="1:38" x14ac:dyDescent="0.2">
      <c r="A641" s="61">
        <v>39539</v>
      </c>
      <c r="B641">
        <v>4.2661569999999998</v>
      </c>
      <c r="C641">
        <v>4.0999999999999996</v>
      </c>
      <c r="D641">
        <v>6.5</v>
      </c>
      <c r="E641">
        <v>6.1</v>
      </c>
      <c r="G641">
        <v>7.7099229999999999</v>
      </c>
      <c r="H641">
        <v>4.3</v>
      </c>
      <c r="I641">
        <v>7.7</v>
      </c>
      <c r="J641">
        <v>3.2</v>
      </c>
      <c r="K641">
        <v>7.4</v>
      </c>
      <c r="L641">
        <v>10</v>
      </c>
      <c r="M641">
        <v>4.5</v>
      </c>
      <c r="N641">
        <v>5.7</v>
      </c>
      <c r="O641">
        <v>7.3</v>
      </c>
      <c r="P641">
        <v>5.4686389999999996</v>
      </c>
      <c r="Q641">
        <v>5.2</v>
      </c>
      <c r="R641">
        <v>7.7</v>
      </c>
      <c r="S641">
        <v>7.6</v>
      </c>
      <c r="T641">
        <v>5.6</v>
      </c>
      <c r="U641">
        <v>2.6</v>
      </c>
      <c r="W641">
        <v>6.9</v>
      </c>
      <c r="X641">
        <v>3.9</v>
      </c>
      <c r="Y641">
        <v>3.1</v>
      </c>
      <c r="Z641">
        <v>4.7</v>
      </c>
      <c r="AA641">
        <v>6.3</v>
      </c>
      <c r="AB641">
        <v>3.701838</v>
      </c>
      <c r="AC641">
        <v>4.8</v>
      </c>
      <c r="AD641">
        <v>2.7</v>
      </c>
      <c r="AE641">
        <v>5.8184149999999999</v>
      </c>
      <c r="AF641">
        <v>7.2</v>
      </c>
      <c r="AG641">
        <v>9</v>
      </c>
      <c r="AH641">
        <v>10.199999999999999</v>
      </c>
      <c r="AI641">
        <v>4.4000000000000004</v>
      </c>
      <c r="AJ641">
        <v>5.8</v>
      </c>
      <c r="AK641">
        <v>9.1999999999999993</v>
      </c>
      <c r="AL641">
        <v>5</v>
      </c>
    </row>
    <row r="642" spans="1:38" x14ac:dyDescent="0.2">
      <c r="A642" s="61">
        <v>39569</v>
      </c>
      <c r="B642">
        <v>4.2665369999999996</v>
      </c>
      <c r="C642">
        <v>4.3</v>
      </c>
      <c r="D642">
        <v>6.5</v>
      </c>
      <c r="E642">
        <v>6.1</v>
      </c>
      <c r="G642">
        <v>7.9846539999999999</v>
      </c>
      <c r="H642">
        <v>4.2</v>
      </c>
      <c r="I642">
        <v>7.6</v>
      </c>
      <c r="J642">
        <v>3.5</v>
      </c>
      <c r="K642">
        <v>7.5</v>
      </c>
      <c r="L642">
        <v>10.4</v>
      </c>
      <c r="M642">
        <v>3.9</v>
      </c>
      <c r="N642">
        <v>6.4</v>
      </c>
      <c r="O642">
        <v>7.3</v>
      </c>
      <c r="P642">
        <v>5.6688770000000002</v>
      </c>
      <c r="Q642">
        <v>5.4</v>
      </c>
      <c r="R642">
        <v>7.4</v>
      </c>
      <c r="S642">
        <v>7.7</v>
      </c>
      <c r="T642">
        <v>5.9</v>
      </c>
      <c r="U642">
        <v>2.7</v>
      </c>
      <c r="W642">
        <v>6.8</v>
      </c>
      <c r="X642">
        <v>4</v>
      </c>
      <c r="Y642">
        <v>3.2</v>
      </c>
      <c r="Z642">
        <v>4.8</v>
      </c>
      <c r="AA642">
        <v>6.4</v>
      </c>
      <c r="AB642">
        <v>3.539326</v>
      </c>
      <c r="AC642">
        <v>4.8</v>
      </c>
      <c r="AD642">
        <v>2.8</v>
      </c>
      <c r="AE642">
        <v>5.9461849999999998</v>
      </c>
      <c r="AF642">
        <v>7.2</v>
      </c>
      <c r="AG642">
        <v>9.1</v>
      </c>
      <c r="AH642">
        <v>10.199999999999999</v>
      </c>
      <c r="AI642">
        <v>4.4000000000000004</v>
      </c>
      <c r="AJ642">
        <v>6</v>
      </c>
      <c r="AK642">
        <v>9.1999999999999993</v>
      </c>
      <c r="AL642">
        <v>5.4</v>
      </c>
    </row>
    <row r="643" spans="1:38" x14ac:dyDescent="0.2">
      <c r="A643" s="61">
        <v>39600</v>
      </c>
      <c r="B643">
        <v>4.2440410000000002</v>
      </c>
      <c r="C643">
        <v>3.9</v>
      </c>
      <c r="D643">
        <v>6.9</v>
      </c>
      <c r="E643">
        <v>6.1</v>
      </c>
      <c r="G643">
        <v>7.882638</v>
      </c>
      <c r="H643">
        <v>4.5</v>
      </c>
      <c r="I643">
        <v>7.4</v>
      </c>
      <c r="J643">
        <v>3.7</v>
      </c>
      <c r="K643">
        <v>7.6</v>
      </c>
      <c r="L643">
        <v>10.8</v>
      </c>
      <c r="M643">
        <v>4.2</v>
      </c>
      <c r="N643">
        <v>6.4</v>
      </c>
      <c r="O643">
        <v>7.4</v>
      </c>
      <c r="P643">
        <v>5.7284350000000002</v>
      </c>
      <c r="Q643">
        <v>5.5</v>
      </c>
      <c r="R643">
        <v>7.6</v>
      </c>
      <c r="S643">
        <v>7.6</v>
      </c>
      <c r="T643">
        <v>6.4</v>
      </c>
      <c r="U643">
        <v>2.8</v>
      </c>
      <c r="W643">
        <v>6.9</v>
      </c>
      <c r="X643">
        <v>4</v>
      </c>
      <c r="Y643">
        <v>3.1</v>
      </c>
      <c r="Z643">
        <v>4.9000000000000004</v>
      </c>
      <c r="AA643">
        <v>6.6</v>
      </c>
      <c r="AB643">
        <v>3.699211</v>
      </c>
      <c r="AC643">
        <v>4.8</v>
      </c>
      <c r="AD643">
        <v>3</v>
      </c>
      <c r="AE643">
        <v>6.0530140000000001</v>
      </c>
      <c r="AF643">
        <v>7</v>
      </c>
      <c r="AG643">
        <v>9.3000000000000007</v>
      </c>
      <c r="AH643">
        <v>9.9</v>
      </c>
      <c r="AI643">
        <v>4.3</v>
      </c>
      <c r="AJ643">
        <v>6.8</v>
      </c>
      <c r="AK643">
        <v>9.6</v>
      </c>
      <c r="AL643">
        <v>5.6</v>
      </c>
    </row>
    <row r="644" spans="1:38" x14ac:dyDescent="0.2">
      <c r="A644" s="61">
        <v>39630</v>
      </c>
      <c r="B644">
        <v>4.2508249999999999</v>
      </c>
      <c r="C644">
        <v>4.3</v>
      </c>
      <c r="D644">
        <v>7.5</v>
      </c>
      <c r="E644">
        <v>6.1</v>
      </c>
      <c r="G644">
        <v>7.6854100000000001</v>
      </c>
      <c r="H644">
        <v>4.3</v>
      </c>
      <c r="I644">
        <v>7.3</v>
      </c>
      <c r="J644">
        <v>3.7</v>
      </c>
      <c r="K644">
        <v>7.6</v>
      </c>
      <c r="L644">
        <v>11.1</v>
      </c>
      <c r="M644">
        <v>5.2</v>
      </c>
      <c r="N644">
        <v>6.1</v>
      </c>
      <c r="O644">
        <v>7.5</v>
      </c>
      <c r="P644">
        <v>5.8149139999999999</v>
      </c>
      <c r="Q644">
        <v>5.7</v>
      </c>
      <c r="R644">
        <v>7.6</v>
      </c>
      <c r="S644">
        <v>7.6</v>
      </c>
      <c r="T644">
        <v>6.9</v>
      </c>
      <c r="U644">
        <v>4.3</v>
      </c>
      <c r="W644">
        <v>6.6</v>
      </c>
      <c r="X644">
        <v>3.9</v>
      </c>
      <c r="Y644">
        <v>3.1</v>
      </c>
      <c r="Z644">
        <v>4.9000000000000004</v>
      </c>
      <c r="AA644">
        <v>7</v>
      </c>
      <c r="AB644">
        <v>3.8230270000000002</v>
      </c>
      <c r="AC644">
        <v>4.7</v>
      </c>
      <c r="AD644">
        <v>3</v>
      </c>
      <c r="AE644">
        <v>6.1455440000000001</v>
      </c>
      <c r="AF644">
        <v>6.9</v>
      </c>
      <c r="AG644">
        <v>9.1999999999999993</v>
      </c>
      <c r="AH644">
        <v>9.4</v>
      </c>
      <c r="AI644">
        <v>4.3</v>
      </c>
      <c r="AJ644">
        <v>6.4</v>
      </c>
      <c r="AK644">
        <v>9.9</v>
      </c>
      <c r="AL644">
        <v>5.8</v>
      </c>
    </row>
    <row r="645" spans="1:38" x14ac:dyDescent="0.2">
      <c r="A645" s="61">
        <v>39661</v>
      </c>
      <c r="B645">
        <v>4.0160650000000002</v>
      </c>
      <c r="C645">
        <v>4.7</v>
      </c>
      <c r="D645">
        <v>7.6</v>
      </c>
      <c r="E645">
        <v>6.1</v>
      </c>
      <c r="G645">
        <v>7.393427</v>
      </c>
      <c r="H645">
        <v>4.0999999999999996</v>
      </c>
      <c r="I645">
        <v>7.1</v>
      </c>
      <c r="J645">
        <v>3.8</v>
      </c>
      <c r="K645">
        <v>7.7</v>
      </c>
      <c r="L645">
        <v>11.5</v>
      </c>
      <c r="M645">
        <v>6.3</v>
      </c>
      <c r="N645">
        <v>6.4</v>
      </c>
      <c r="O645">
        <v>7.5</v>
      </c>
      <c r="P645">
        <v>5.9665410000000003</v>
      </c>
      <c r="Q645">
        <v>5.9</v>
      </c>
      <c r="R645">
        <v>7.8</v>
      </c>
      <c r="S645">
        <v>7.8</v>
      </c>
      <c r="T645">
        <v>7.4</v>
      </c>
      <c r="U645">
        <v>4.4000000000000004</v>
      </c>
      <c r="W645">
        <v>6.7</v>
      </c>
      <c r="X645">
        <v>4.0999999999999996</v>
      </c>
      <c r="Y645">
        <v>3.3</v>
      </c>
      <c r="Z645">
        <v>5.0999999999999996</v>
      </c>
      <c r="AA645">
        <v>7.6</v>
      </c>
      <c r="AB645">
        <v>3.8874360000000001</v>
      </c>
      <c r="AC645">
        <v>4.7</v>
      </c>
      <c r="AD645">
        <v>2.8</v>
      </c>
      <c r="AE645">
        <v>6.2563279999999999</v>
      </c>
      <c r="AF645">
        <v>6.8</v>
      </c>
      <c r="AG645">
        <v>9.4</v>
      </c>
      <c r="AH645">
        <v>9</v>
      </c>
      <c r="AI645">
        <v>4.3</v>
      </c>
      <c r="AJ645">
        <v>6.1</v>
      </c>
      <c r="AK645">
        <v>9.8000000000000007</v>
      </c>
      <c r="AL645">
        <v>6.1</v>
      </c>
    </row>
    <row r="646" spans="1:38" x14ac:dyDescent="0.2">
      <c r="A646" s="61">
        <v>39692</v>
      </c>
      <c r="B646">
        <v>4.289472</v>
      </c>
      <c r="C646">
        <v>4.2</v>
      </c>
      <c r="D646">
        <v>7.4</v>
      </c>
      <c r="E646">
        <v>6.1</v>
      </c>
      <c r="G646">
        <v>7.3888439999999997</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3.9606720000000002</v>
      </c>
      <c r="AC646">
        <v>4.8</v>
      </c>
      <c r="AD646">
        <v>3.2</v>
      </c>
      <c r="AE646">
        <v>6.3158919999999998</v>
      </c>
      <c r="AF646">
        <v>6.7</v>
      </c>
      <c r="AG646">
        <v>9.4</v>
      </c>
      <c r="AH646">
        <v>8.8000000000000007</v>
      </c>
      <c r="AI646">
        <v>4.2</v>
      </c>
      <c r="AJ646">
        <v>6.6</v>
      </c>
      <c r="AK646">
        <v>10.199999999999999</v>
      </c>
      <c r="AL646">
        <v>6.1</v>
      </c>
    </row>
    <row r="647" spans="1:38" x14ac:dyDescent="0.2">
      <c r="A647" s="61">
        <v>39722</v>
      </c>
      <c r="B647">
        <v>4.2907849999999996</v>
      </c>
      <c r="C647">
        <v>4.3</v>
      </c>
      <c r="D647">
        <v>6.9</v>
      </c>
      <c r="E647">
        <v>6.2</v>
      </c>
      <c r="G647">
        <v>7.7630309999999998</v>
      </c>
      <c r="H647">
        <v>4.0999999999999996</v>
      </c>
      <c r="I647">
        <v>7</v>
      </c>
      <c r="J647">
        <v>3.6</v>
      </c>
      <c r="K647">
        <v>7.9</v>
      </c>
      <c r="L647">
        <v>12.9</v>
      </c>
      <c r="M647">
        <v>6.9</v>
      </c>
      <c r="N647">
        <v>6.3</v>
      </c>
      <c r="O647">
        <v>7.6</v>
      </c>
      <c r="P647">
        <v>6.140612</v>
      </c>
      <c r="Q647">
        <v>6.2</v>
      </c>
      <c r="R647">
        <v>7.6</v>
      </c>
      <c r="S647">
        <v>8</v>
      </c>
      <c r="T647">
        <v>8.1</v>
      </c>
      <c r="U647">
        <v>4.9000000000000004</v>
      </c>
      <c r="W647">
        <v>7</v>
      </c>
      <c r="X647">
        <v>3.8</v>
      </c>
      <c r="Y647">
        <v>3.3</v>
      </c>
      <c r="Z647">
        <v>5.2</v>
      </c>
      <c r="AA647">
        <v>9.6</v>
      </c>
      <c r="AB647">
        <v>3.9886699999999999</v>
      </c>
      <c r="AC647">
        <v>4.7</v>
      </c>
      <c r="AD647">
        <v>3.2</v>
      </c>
      <c r="AE647">
        <v>6.454421</v>
      </c>
      <c r="AF647">
        <v>6.6</v>
      </c>
      <c r="AG647">
        <v>9.3000000000000007</v>
      </c>
      <c r="AH647">
        <v>8.6999999999999993</v>
      </c>
      <c r="AI647">
        <v>4.2</v>
      </c>
      <c r="AJ647">
        <v>6.5</v>
      </c>
      <c r="AK647">
        <v>10.6</v>
      </c>
      <c r="AL647">
        <v>6.5</v>
      </c>
    </row>
    <row r="648" spans="1:38" x14ac:dyDescent="0.2">
      <c r="A648" s="61">
        <v>39753</v>
      </c>
      <c r="B648">
        <v>4.463158</v>
      </c>
      <c r="C648">
        <v>4.8</v>
      </c>
      <c r="D648">
        <v>6.7</v>
      </c>
      <c r="E648">
        <v>6.6</v>
      </c>
      <c r="G648">
        <v>8.1417649999999995</v>
      </c>
      <c r="H648">
        <v>4.4000000000000004</v>
      </c>
      <c r="I648">
        <v>7</v>
      </c>
      <c r="J648">
        <v>4.5999999999999996</v>
      </c>
      <c r="K648">
        <v>8.1</v>
      </c>
      <c r="L648">
        <v>13.8</v>
      </c>
      <c r="M648">
        <v>7.6</v>
      </c>
      <c r="N648">
        <v>6.7</v>
      </c>
      <c r="O648">
        <v>7.8</v>
      </c>
      <c r="P648">
        <v>6.3620320000000001</v>
      </c>
      <c r="Q648">
        <v>6.4</v>
      </c>
      <c r="R648">
        <v>8</v>
      </c>
      <c r="S648">
        <v>8.1999999999999993</v>
      </c>
      <c r="T648">
        <v>8.5</v>
      </c>
      <c r="U648">
        <v>5.2</v>
      </c>
      <c r="W648">
        <v>7.1</v>
      </c>
      <c r="X648">
        <v>4</v>
      </c>
      <c r="Y648">
        <v>3.4</v>
      </c>
      <c r="Z648">
        <v>5.2</v>
      </c>
      <c r="AA648">
        <v>10.6</v>
      </c>
      <c r="AB648">
        <v>4.6563429999999997</v>
      </c>
      <c r="AC648">
        <v>4.7</v>
      </c>
      <c r="AD648">
        <v>2.9</v>
      </c>
      <c r="AE648">
        <v>6.7753990000000002</v>
      </c>
      <c r="AF648">
        <v>6.8</v>
      </c>
      <c r="AG648">
        <v>9.4</v>
      </c>
      <c r="AH648">
        <v>8.9</v>
      </c>
      <c r="AI648">
        <v>4.3</v>
      </c>
      <c r="AJ648">
        <v>7.2</v>
      </c>
      <c r="AK648">
        <v>11.5</v>
      </c>
      <c r="AL648">
        <v>6.8</v>
      </c>
    </row>
    <row r="649" spans="1:38" x14ac:dyDescent="0.2">
      <c r="A649" s="61">
        <v>39783</v>
      </c>
      <c r="B649">
        <v>4.5708489999999999</v>
      </c>
      <c r="C649">
        <v>5.0999999999999996</v>
      </c>
      <c r="D649">
        <v>6.9</v>
      </c>
      <c r="E649">
        <v>6.9</v>
      </c>
      <c r="G649">
        <v>8.6184480000000008</v>
      </c>
      <c r="H649">
        <v>4.8</v>
      </c>
      <c r="I649">
        <v>7</v>
      </c>
      <c r="J649">
        <v>4.2</v>
      </c>
      <c r="K649">
        <v>8.4</v>
      </c>
      <c r="L649">
        <v>14.8</v>
      </c>
      <c r="M649">
        <v>9.3000000000000007</v>
      </c>
      <c r="N649">
        <v>6.7</v>
      </c>
      <c r="O649">
        <v>8</v>
      </c>
      <c r="P649">
        <v>6.6690050000000003</v>
      </c>
      <c r="Q649">
        <v>6.5</v>
      </c>
      <c r="R649">
        <v>8.5</v>
      </c>
      <c r="S649">
        <v>8.4</v>
      </c>
      <c r="T649">
        <v>9</v>
      </c>
      <c r="U649">
        <v>5.6</v>
      </c>
      <c r="W649">
        <v>6.9</v>
      </c>
      <c r="X649">
        <v>4.4000000000000004</v>
      </c>
      <c r="Y649">
        <v>3.4</v>
      </c>
      <c r="Z649">
        <v>5.2</v>
      </c>
      <c r="AA649">
        <v>11.6</v>
      </c>
      <c r="AB649">
        <v>4.8213920000000003</v>
      </c>
      <c r="AC649">
        <v>4.8</v>
      </c>
      <c r="AD649">
        <v>3.2</v>
      </c>
      <c r="AE649">
        <v>7.0520370000000003</v>
      </c>
      <c r="AF649">
        <v>7</v>
      </c>
      <c r="AG649">
        <v>9.8000000000000007</v>
      </c>
      <c r="AH649">
        <v>9.1</v>
      </c>
      <c r="AI649">
        <v>4.3</v>
      </c>
      <c r="AJ649">
        <v>7</v>
      </c>
      <c r="AK649">
        <v>12</v>
      </c>
      <c r="AL649">
        <v>7.3</v>
      </c>
    </row>
    <row r="650" spans="1:38" x14ac:dyDescent="0.2">
      <c r="A650" s="61">
        <v>39814</v>
      </c>
      <c r="B650">
        <v>4.907089</v>
      </c>
      <c r="C650">
        <v>5</v>
      </c>
      <c r="D650">
        <v>7.8</v>
      </c>
      <c r="E650">
        <v>7.4</v>
      </c>
      <c r="G650">
        <v>9.069229</v>
      </c>
      <c r="H650">
        <v>5.3</v>
      </c>
      <c r="I650">
        <v>7.1</v>
      </c>
      <c r="J650">
        <v>5.4</v>
      </c>
      <c r="K650">
        <v>8.8000000000000007</v>
      </c>
      <c r="L650">
        <v>15.9</v>
      </c>
      <c r="M650">
        <v>10.3</v>
      </c>
      <c r="N650">
        <v>7</v>
      </c>
      <c r="O650">
        <v>8.1999999999999993</v>
      </c>
      <c r="P650">
        <v>6.9721089999999997</v>
      </c>
      <c r="Q650">
        <v>6.7</v>
      </c>
      <c r="R650">
        <v>9</v>
      </c>
      <c r="S650">
        <v>8.8000000000000007</v>
      </c>
      <c r="T650">
        <v>10.1</v>
      </c>
      <c r="U650">
        <v>6.2</v>
      </c>
      <c r="W650">
        <v>7.3</v>
      </c>
      <c r="X650">
        <v>4.3</v>
      </c>
      <c r="Y650">
        <v>3.3</v>
      </c>
      <c r="Z650">
        <v>5.4</v>
      </c>
      <c r="AA650">
        <v>12.6</v>
      </c>
      <c r="AB650">
        <v>4.7791119999999996</v>
      </c>
      <c r="AC650">
        <v>4.8</v>
      </c>
      <c r="AD650">
        <v>3.2</v>
      </c>
      <c r="AE650">
        <v>7.3798240000000002</v>
      </c>
      <c r="AF650">
        <v>7.4</v>
      </c>
      <c r="AG650">
        <v>10.1</v>
      </c>
      <c r="AH650">
        <v>9.9</v>
      </c>
      <c r="AI650">
        <v>4.8</v>
      </c>
      <c r="AJ650">
        <v>7</v>
      </c>
      <c r="AK650">
        <v>12.6</v>
      </c>
      <c r="AL650">
        <v>7.8</v>
      </c>
    </row>
    <row r="651" spans="1:38" x14ac:dyDescent="0.2">
      <c r="A651" s="61">
        <v>39845</v>
      </c>
      <c r="B651">
        <v>5.3053030000000003</v>
      </c>
      <c r="C651">
        <v>4.9000000000000004</v>
      </c>
      <c r="D651">
        <v>7.9</v>
      </c>
      <c r="E651">
        <v>8</v>
      </c>
      <c r="G651">
        <v>9.368544</v>
      </c>
      <c r="H651">
        <v>5.6</v>
      </c>
      <c r="I651">
        <v>7.1</v>
      </c>
      <c r="J651">
        <v>5</v>
      </c>
      <c r="K651">
        <v>9.1</v>
      </c>
      <c r="L651">
        <v>16.8</v>
      </c>
      <c r="M651">
        <v>11</v>
      </c>
      <c r="N651">
        <v>7.4</v>
      </c>
      <c r="O651">
        <v>8.6</v>
      </c>
      <c r="P651">
        <v>7.3401610000000002</v>
      </c>
      <c r="Q651">
        <v>7.1</v>
      </c>
      <c r="R651">
        <v>9.4</v>
      </c>
      <c r="S651">
        <v>9.1</v>
      </c>
      <c r="T651">
        <v>10.9</v>
      </c>
      <c r="U651">
        <v>6.6</v>
      </c>
      <c r="W651">
        <v>7.4</v>
      </c>
      <c r="X651">
        <v>4.5999999999999996</v>
      </c>
      <c r="Y651">
        <v>3.3</v>
      </c>
      <c r="Z651">
        <v>5.4</v>
      </c>
      <c r="AA651">
        <v>13.8</v>
      </c>
      <c r="AB651">
        <v>5.2005020000000002</v>
      </c>
      <c r="AC651">
        <v>4.9000000000000004</v>
      </c>
      <c r="AD651">
        <v>3.4</v>
      </c>
      <c r="AE651">
        <v>7.715211</v>
      </c>
      <c r="AF651">
        <v>7.5</v>
      </c>
      <c r="AG651">
        <v>10.3</v>
      </c>
      <c r="AH651">
        <v>10.3</v>
      </c>
      <c r="AI651">
        <v>5</v>
      </c>
      <c r="AJ651">
        <v>7.9</v>
      </c>
      <c r="AK651">
        <v>13</v>
      </c>
      <c r="AL651">
        <v>8.3000000000000007</v>
      </c>
    </row>
    <row r="652" spans="1:38" x14ac:dyDescent="0.2">
      <c r="A652" s="61">
        <v>39873</v>
      </c>
      <c r="B652">
        <v>5.7120810000000004</v>
      </c>
      <c r="C652">
        <v>5.3</v>
      </c>
      <c r="D652">
        <v>7.9</v>
      </c>
      <c r="E652">
        <v>8.1999999999999993</v>
      </c>
      <c r="G652">
        <v>9.8656769999999998</v>
      </c>
      <c r="H652">
        <v>5.9</v>
      </c>
      <c r="I652">
        <v>7.2</v>
      </c>
      <c r="J652">
        <v>5.4</v>
      </c>
      <c r="K652">
        <v>9.4</v>
      </c>
      <c r="L652">
        <v>17.5</v>
      </c>
      <c r="M652">
        <v>11.9</v>
      </c>
      <c r="N652">
        <v>7.7</v>
      </c>
      <c r="O652">
        <v>8.9</v>
      </c>
      <c r="P652">
        <v>7.631329</v>
      </c>
      <c r="Q652">
        <v>7.3</v>
      </c>
      <c r="R652">
        <v>9.3000000000000007</v>
      </c>
      <c r="S652">
        <v>9.4</v>
      </c>
      <c r="T652">
        <v>11.6</v>
      </c>
      <c r="U652">
        <v>7.1</v>
      </c>
      <c r="W652">
        <v>7.7</v>
      </c>
      <c r="X652">
        <v>4.8</v>
      </c>
      <c r="Y652">
        <v>3.5</v>
      </c>
      <c r="Z652">
        <v>5.4</v>
      </c>
      <c r="AA652">
        <v>14.8</v>
      </c>
      <c r="AB652">
        <v>5.0830729999999997</v>
      </c>
      <c r="AC652">
        <v>5</v>
      </c>
      <c r="AD652">
        <v>3.3</v>
      </c>
      <c r="AE652">
        <v>8.0098819999999993</v>
      </c>
      <c r="AF652">
        <v>7.7</v>
      </c>
      <c r="AG652">
        <v>10.6</v>
      </c>
      <c r="AH652">
        <v>10.8</v>
      </c>
      <c r="AI652">
        <v>5.2</v>
      </c>
      <c r="AJ652">
        <v>8</v>
      </c>
      <c r="AK652">
        <v>13.7</v>
      </c>
      <c r="AL652">
        <v>8.6999999999999993</v>
      </c>
    </row>
    <row r="653" spans="1:38" x14ac:dyDescent="0.2">
      <c r="A653" s="61">
        <v>39904</v>
      </c>
      <c r="B653">
        <v>5.5137520000000002</v>
      </c>
      <c r="C653">
        <v>5.8</v>
      </c>
      <c r="D653">
        <v>7.9</v>
      </c>
      <c r="E653">
        <v>8.3000000000000007</v>
      </c>
      <c r="G653">
        <v>9.9587880000000002</v>
      </c>
      <c r="H653">
        <v>6.3</v>
      </c>
      <c r="I653">
        <v>7.3</v>
      </c>
      <c r="J653">
        <v>6.2</v>
      </c>
      <c r="K653">
        <v>9.5</v>
      </c>
      <c r="L653">
        <v>17.8</v>
      </c>
      <c r="M653">
        <v>12.5</v>
      </c>
      <c r="N653">
        <v>8.3000000000000007</v>
      </c>
      <c r="O653">
        <v>9.1</v>
      </c>
      <c r="P653">
        <v>7.8085269999999998</v>
      </c>
      <c r="Q653">
        <v>7.6</v>
      </c>
      <c r="R653">
        <v>9.3000000000000007</v>
      </c>
      <c r="S653">
        <v>9.5</v>
      </c>
      <c r="T653">
        <v>12.2</v>
      </c>
      <c r="U653">
        <v>7.4</v>
      </c>
      <c r="W653">
        <v>7.5</v>
      </c>
      <c r="X653">
        <v>5</v>
      </c>
      <c r="Y653">
        <v>3.7</v>
      </c>
      <c r="Z653">
        <v>5.3</v>
      </c>
      <c r="AA653">
        <v>16</v>
      </c>
      <c r="AB653">
        <v>5.425745</v>
      </c>
      <c r="AC653">
        <v>5.2</v>
      </c>
      <c r="AD653">
        <v>3.6</v>
      </c>
      <c r="AE653">
        <v>8.2054620000000007</v>
      </c>
      <c r="AF653">
        <v>7.8</v>
      </c>
      <c r="AG653">
        <v>10.8</v>
      </c>
      <c r="AH653">
        <v>11.2</v>
      </c>
      <c r="AI653">
        <v>5.4</v>
      </c>
      <c r="AJ653">
        <v>8</v>
      </c>
      <c r="AK653">
        <v>14</v>
      </c>
      <c r="AL653">
        <v>9</v>
      </c>
    </row>
    <row r="654" spans="1:38" x14ac:dyDescent="0.2">
      <c r="A654" s="61">
        <v>39934</v>
      </c>
      <c r="B654">
        <v>5.8119209999999999</v>
      </c>
      <c r="C654">
        <v>5.5</v>
      </c>
      <c r="D654">
        <v>7.9</v>
      </c>
      <c r="E654">
        <v>8.6999999999999993</v>
      </c>
      <c r="G654">
        <v>10.25314</v>
      </c>
      <c r="H654">
        <v>6.6</v>
      </c>
      <c r="I654">
        <v>7.3</v>
      </c>
      <c r="J654">
        <v>6</v>
      </c>
      <c r="K654">
        <v>9.6</v>
      </c>
      <c r="L654">
        <v>17.899999999999999</v>
      </c>
      <c r="M654">
        <v>13</v>
      </c>
      <c r="N654">
        <v>8.6999999999999993</v>
      </c>
      <c r="O654">
        <v>9.1999999999999993</v>
      </c>
      <c r="P654">
        <v>8.043215</v>
      </c>
      <c r="Q654">
        <v>7.8</v>
      </c>
      <c r="R654">
        <v>9.4</v>
      </c>
      <c r="S654">
        <v>9.3000000000000007</v>
      </c>
      <c r="T654">
        <v>12.7</v>
      </c>
      <c r="U654">
        <v>7.7</v>
      </c>
      <c r="W654">
        <v>7.4</v>
      </c>
      <c r="X654">
        <v>5.0999999999999996</v>
      </c>
      <c r="Y654">
        <v>3.9</v>
      </c>
      <c r="Z654">
        <v>5.3</v>
      </c>
      <c r="AA654">
        <v>17</v>
      </c>
      <c r="AB654">
        <v>5.6959059999999999</v>
      </c>
      <c r="AC654">
        <v>5.2</v>
      </c>
      <c r="AD654">
        <v>3.6</v>
      </c>
      <c r="AE654">
        <v>8.387162</v>
      </c>
      <c r="AF654">
        <v>7.9</v>
      </c>
      <c r="AG654">
        <v>11</v>
      </c>
      <c r="AH654">
        <v>11.6</v>
      </c>
      <c r="AI654">
        <v>5.6</v>
      </c>
      <c r="AJ654">
        <v>9.1</v>
      </c>
      <c r="AK654">
        <v>13.8</v>
      </c>
      <c r="AL654">
        <v>9.4</v>
      </c>
    </row>
    <row r="655" spans="1:38" x14ac:dyDescent="0.2">
      <c r="A655" s="61">
        <v>39965</v>
      </c>
      <c r="B655">
        <v>5.861694</v>
      </c>
      <c r="C655">
        <v>5.8</v>
      </c>
      <c r="D655">
        <v>8</v>
      </c>
      <c r="E655">
        <v>8.6999999999999993</v>
      </c>
      <c r="G655">
        <v>10.186260000000001</v>
      </c>
      <c r="H655">
        <v>6.5</v>
      </c>
      <c r="I655">
        <v>7.4</v>
      </c>
      <c r="J655">
        <v>7.4</v>
      </c>
      <c r="K655">
        <v>9.6999999999999993</v>
      </c>
      <c r="L655">
        <v>17.899999999999999</v>
      </c>
      <c r="M655">
        <v>13.1</v>
      </c>
      <c r="N655">
        <v>8.6999999999999993</v>
      </c>
      <c r="O655">
        <v>9.1999999999999993</v>
      </c>
      <c r="P655">
        <v>8.173311</v>
      </c>
      <c r="Q655">
        <v>7.9</v>
      </c>
      <c r="R655">
        <v>9.5</v>
      </c>
      <c r="S655">
        <v>9.4</v>
      </c>
      <c r="T655">
        <v>12.9</v>
      </c>
      <c r="U655">
        <v>7.8</v>
      </c>
      <c r="W655">
        <v>7.8</v>
      </c>
      <c r="X655">
        <v>5.2</v>
      </c>
      <c r="Y655">
        <v>3.9</v>
      </c>
      <c r="Z655">
        <v>5.3</v>
      </c>
      <c r="AA655">
        <v>17.899999999999999</v>
      </c>
      <c r="AB655">
        <v>5.3876759999999999</v>
      </c>
      <c r="AC655">
        <v>5.3</v>
      </c>
      <c r="AD655">
        <v>3.6</v>
      </c>
      <c r="AE655">
        <v>8.4507680000000001</v>
      </c>
      <c r="AF655">
        <v>8.1</v>
      </c>
      <c r="AG655">
        <v>11.3</v>
      </c>
      <c r="AH655">
        <v>12</v>
      </c>
      <c r="AI655">
        <v>5.9</v>
      </c>
      <c r="AJ655">
        <v>8.6</v>
      </c>
      <c r="AK655">
        <v>13.4</v>
      </c>
      <c r="AL655">
        <v>9.5</v>
      </c>
    </row>
    <row r="656" spans="1:38" x14ac:dyDescent="0.2">
      <c r="A656" s="61">
        <v>39995</v>
      </c>
      <c r="B656">
        <v>5.673324</v>
      </c>
      <c r="C656">
        <v>6.3</v>
      </c>
      <c r="D656">
        <v>8</v>
      </c>
      <c r="E656">
        <v>8.6999999999999993</v>
      </c>
      <c r="G656">
        <v>10.146599999999999</v>
      </c>
      <c r="H656">
        <v>7</v>
      </c>
      <c r="I656">
        <v>7.4</v>
      </c>
      <c r="J656">
        <v>5.8</v>
      </c>
      <c r="K656">
        <v>9.8000000000000007</v>
      </c>
      <c r="L656">
        <v>18</v>
      </c>
      <c r="M656">
        <v>14.1</v>
      </c>
      <c r="N656">
        <v>8.5</v>
      </c>
      <c r="O656">
        <v>9.1</v>
      </c>
      <c r="P656">
        <v>8.1930739999999993</v>
      </c>
      <c r="Q656">
        <v>7.9</v>
      </c>
      <c r="R656">
        <v>9.8000000000000007</v>
      </c>
      <c r="S656">
        <v>9.8000000000000007</v>
      </c>
      <c r="T656">
        <v>13</v>
      </c>
      <c r="U656">
        <v>7.9</v>
      </c>
      <c r="W656">
        <v>7.9</v>
      </c>
      <c r="X656">
        <v>5.5</v>
      </c>
      <c r="Y656">
        <v>3.8</v>
      </c>
      <c r="Z656">
        <v>5.0999999999999996</v>
      </c>
      <c r="AA656">
        <v>18.8</v>
      </c>
      <c r="AB656">
        <v>5.7307370000000004</v>
      </c>
      <c r="AC656">
        <v>5.5</v>
      </c>
      <c r="AD656">
        <v>3.3</v>
      </c>
      <c r="AE656">
        <v>8.5106990000000007</v>
      </c>
      <c r="AF656">
        <v>8.3000000000000007</v>
      </c>
      <c r="AG656">
        <v>11.5</v>
      </c>
      <c r="AH656">
        <v>12.3</v>
      </c>
      <c r="AI656">
        <v>6.2</v>
      </c>
      <c r="AJ656">
        <v>8.6</v>
      </c>
      <c r="AK656">
        <v>13.1</v>
      </c>
      <c r="AL656">
        <v>9.5</v>
      </c>
    </row>
    <row r="657" spans="1:38" x14ac:dyDescent="0.2">
      <c r="A657" s="61">
        <v>40026</v>
      </c>
      <c r="B657">
        <v>5.7160570000000002</v>
      </c>
      <c r="C657">
        <v>5.8</v>
      </c>
      <c r="D657">
        <v>8</v>
      </c>
      <c r="E657">
        <v>8.6</v>
      </c>
      <c r="G657">
        <v>9.7793989999999997</v>
      </c>
      <c r="H657">
        <v>7.4</v>
      </c>
      <c r="I657">
        <v>7.4</v>
      </c>
      <c r="J657">
        <v>7.1</v>
      </c>
      <c r="K657">
        <v>9.8000000000000007</v>
      </c>
      <c r="L657">
        <v>18.2</v>
      </c>
      <c r="M657">
        <v>14.6</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5.8667800000000003</v>
      </c>
      <c r="AC657">
        <v>5.6</v>
      </c>
      <c r="AD657">
        <v>3.6</v>
      </c>
      <c r="AE657">
        <v>8.5738389999999995</v>
      </c>
      <c r="AF657">
        <v>8.4</v>
      </c>
      <c r="AG657">
        <v>11.7</v>
      </c>
      <c r="AH657">
        <v>12.6</v>
      </c>
      <c r="AI657">
        <v>6.3</v>
      </c>
      <c r="AJ657">
        <v>9</v>
      </c>
      <c r="AK657">
        <v>13.2</v>
      </c>
      <c r="AL657">
        <v>9.6</v>
      </c>
    </row>
    <row r="658" spans="1:38" x14ac:dyDescent="0.2">
      <c r="A658" s="61">
        <v>40057</v>
      </c>
      <c r="B658">
        <v>5.6614190000000004</v>
      </c>
      <c r="C658">
        <v>6.4</v>
      </c>
      <c r="D658">
        <v>8</v>
      </c>
      <c r="E658">
        <v>8.4</v>
      </c>
      <c r="G658">
        <v>9.5578120000000002</v>
      </c>
      <c r="H658">
        <v>7.4</v>
      </c>
      <c r="I658">
        <v>7.3</v>
      </c>
      <c r="J658">
        <v>7.2</v>
      </c>
      <c r="K658">
        <v>10</v>
      </c>
      <c r="L658">
        <v>18.399999999999999</v>
      </c>
      <c r="M658">
        <v>14.2</v>
      </c>
      <c r="N658">
        <v>8.4</v>
      </c>
      <c r="O658">
        <v>9.3000000000000007</v>
      </c>
      <c r="P658">
        <v>8.3144980000000004</v>
      </c>
      <c r="Q658">
        <v>7.9</v>
      </c>
      <c r="R658">
        <v>10.1</v>
      </c>
      <c r="S658">
        <v>10.3</v>
      </c>
      <c r="T658">
        <v>13.7</v>
      </c>
      <c r="U658">
        <v>8.1</v>
      </c>
      <c r="W658">
        <v>8.3000000000000007</v>
      </c>
      <c r="X658">
        <v>5.4</v>
      </c>
      <c r="Y658">
        <v>3.6</v>
      </c>
      <c r="Z658">
        <v>5</v>
      </c>
      <c r="AA658">
        <v>19.899999999999999</v>
      </c>
      <c r="AB658">
        <v>5.9836429999999998</v>
      </c>
      <c r="AC658">
        <v>5.7</v>
      </c>
      <c r="AD658">
        <v>3.4</v>
      </c>
      <c r="AE658">
        <v>8.6573060000000002</v>
      </c>
      <c r="AF658">
        <v>8.4</v>
      </c>
      <c r="AG658">
        <v>11.8</v>
      </c>
      <c r="AH658">
        <v>13.1</v>
      </c>
      <c r="AI658">
        <v>6.4</v>
      </c>
      <c r="AJ658">
        <v>9</v>
      </c>
      <c r="AK658">
        <v>12.9</v>
      </c>
      <c r="AL658">
        <v>9.8000000000000007</v>
      </c>
    </row>
    <row r="659" spans="1:38" x14ac:dyDescent="0.2">
      <c r="A659" s="61">
        <v>40087</v>
      </c>
      <c r="B659">
        <v>5.6239939999999997</v>
      </c>
      <c r="C659">
        <v>5.8</v>
      </c>
      <c r="D659">
        <v>8</v>
      </c>
      <c r="E659">
        <v>8.5</v>
      </c>
      <c r="G659">
        <v>9.4349500000000006</v>
      </c>
      <c r="H659">
        <v>7.3</v>
      </c>
      <c r="I659">
        <v>7.2</v>
      </c>
      <c r="J659">
        <v>7</v>
      </c>
      <c r="K659">
        <v>10.1</v>
      </c>
      <c r="L659">
        <v>18.600000000000001</v>
      </c>
      <c r="M659">
        <v>15.1</v>
      </c>
      <c r="N659">
        <v>9.1999999999999993</v>
      </c>
      <c r="O659">
        <v>9.5</v>
      </c>
      <c r="P659">
        <v>8.3823819999999998</v>
      </c>
      <c r="Q659">
        <v>7.8</v>
      </c>
      <c r="R659">
        <v>10.1</v>
      </c>
      <c r="S659">
        <v>10</v>
      </c>
      <c r="T659">
        <v>13.8</v>
      </c>
      <c r="U659">
        <v>8.1999999999999993</v>
      </c>
      <c r="W659">
        <v>8.3000000000000007</v>
      </c>
      <c r="X659">
        <v>5.2</v>
      </c>
      <c r="Y659">
        <v>3.6</v>
      </c>
      <c r="Z659">
        <v>5</v>
      </c>
      <c r="AA659">
        <v>20.2</v>
      </c>
      <c r="AB659">
        <v>5.8071590000000004</v>
      </c>
      <c r="AC659">
        <v>5.8</v>
      </c>
      <c r="AD659">
        <v>3.4</v>
      </c>
      <c r="AE659">
        <v>8.6783959999999993</v>
      </c>
      <c r="AF659">
        <v>8.4</v>
      </c>
      <c r="AG659">
        <v>11.8</v>
      </c>
      <c r="AH659">
        <v>13.4</v>
      </c>
      <c r="AI659">
        <v>6.4</v>
      </c>
      <c r="AJ659">
        <v>8.9</v>
      </c>
      <c r="AK659">
        <v>12.5</v>
      </c>
      <c r="AL659">
        <v>10</v>
      </c>
    </row>
    <row r="660" spans="1:38" x14ac:dyDescent="0.2">
      <c r="A660" s="61">
        <v>40118</v>
      </c>
      <c r="B660">
        <v>5.5588769999999998</v>
      </c>
      <c r="C660">
        <v>6.2</v>
      </c>
      <c r="D660">
        <v>8.1</v>
      </c>
      <c r="E660">
        <v>8.5</v>
      </c>
      <c r="G660">
        <v>9.3643260000000001</v>
      </c>
      <c r="H660">
        <v>7.4</v>
      </c>
      <c r="I660">
        <v>7.1</v>
      </c>
      <c r="J660">
        <v>7.3</v>
      </c>
      <c r="K660">
        <v>10.1</v>
      </c>
      <c r="L660">
        <v>18.7</v>
      </c>
      <c r="M660">
        <v>15.5</v>
      </c>
      <c r="N660">
        <v>9.5</v>
      </c>
      <c r="O660">
        <v>9.6</v>
      </c>
      <c r="P660">
        <v>8.3524820000000002</v>
      </c>
      <c r="Q660">
        <v>7.8</v>
      </c>
      <c r="R660">
        <v>10.7</v>
      </c>
      <c r="S660">
        <v>10.4</v>
      </c>
      <c r="T660">
        <v>13.8</v>
      </c>
      <c r="U660">
        <v>8.1999999999999993</v>
      </c>
      <c r="W660">
        <v>8.4</v>
      </c>
      <c r="X660">
        <v>5.2</v>
      </c>
      <c r="Y660">
        <v>3.7</v>
      </c>
      <c r="Z660">
        <v>4.9000000000000004</v>
      </c>
      <c r="AA660">
        <v>20.5</v>
      </c>
      <c r="AB660">
        <v>5.4874739999999997</v>
      </c>
      <c r="AC660">
        <v>5.9</v>
      </c>
      <c r="AD660">
        <v>3.7</v>
      </c>
      <c r="AE660">
        <v>8.6473990000000001</v>
      </c>
      <c r="AF660">
        <v>8.6999999999999993</v>
      </c>
      <c r="AG660">
        <v>11.8</v>
      </c>
      <c r="AH660">
        <v>13.8</v>
      </c>
      <c r="AI660">
        <v>6.5</v>
      </c>
      <c r="AJ660">
        <v>8.9</v>
      </c>
      <c r="AK660">
        <v>12.2</v>
      </c>
      <c r="AL660">
        <v>9.9</v>
      </c>
    </row>
    <row r="661" spans="1:38" x14ac:dyDescent="0.2">
      <c r="A661" s="61">
        <v>40148</v>
      </c>
      <c r="B661">
        <v>5.492019</v>
      </c>
      <c r="C661">
        <v>5.5</v>
      </c>
      <c r="D661">
        <v>8.4</v>
      </c>
      <c r="E661">
        <v>8.5</v>
      </c>
      <c r="G661">
        <v>9.3065929999999994</v>
      </c>
      <c r="H661">
        <v>7.4</v>
      </c>
      <c r="I661">
        <v>7.1</v>
      </c>
      <c r="J661">
        <v>7.5</v>
      </c>
      <c r="K661">
        <v>10.199999999999999</v>
      </c>
      <c r="L661">
        <v>18.899999999999999</v>
      </c>
      <c r="M661">
        <v>16.899999999999999</v>
      </c>
      <c r="N661">
        <v>8.5</v>
      </c>
      <c r="O661">
        <v>9.5</v>
      </c>
      <c r="P661">
        <v>8.3155459999999994</v>
      </c>
      <c r="Q661">
        <v>7.7</v>
      </c>
      <c r="R661">
        <v>10.8</v>
      </c>
      <c r="S661">
        <v>10.3</v>
      </c>
      <c r="T661">
        <v>13.8</v>
      </c>
      <c r="U661">
        <v>8.1999999999999993</v>
      </c>
      <c r="W661">
        <v>8.5</v>
      </c>
      <c r="X661">
        <v>5.2</v>
      </c>
      <c r="Y661">
        <v>3.6</v>
      </c>
      <c r="Z661">
        <v>4.8</v>
      </c>
      <c r="AA661">
        <v>20.7</v>
      </c>
      <c r="AB661">
        <v>5.3433479999999998</v>
      </c>
      <c r="AC661">
        <v>6.1</v>
      </c>
      <c r="AD661">
        <v>3.4</v>
      </c>
      <c r="AE661">
        <v>8.6068110000000004</v>
      </c>
      <c r="AF661">
        <v>9.1</v>
      </c>
      <c r="AG661">
        <v>11.9</v>
      </c>
      <c r="AH661">
        <v>14.2</v>
      </c>
      <c r="AI661">
        <v>6.4</v>
      </c>
      <c r="AJ661">
        <v>9.1999999999999993</v>
      </c>
      <c r="AK661">
        <v>12</v>
      </c>
      <c r="AL661">
        <v>9.9</v>
      </c>
    </row>
    <row r="662" spans="1:38" x14ac:dyDescent="0.2">
      <c r="A662" s="61">
        <v>40179</v>
      </c>
      <c r="B662">
        <v>5.2653910000000002</v>
      </c>
      <c r="C662">
        <v>5.2</v>
      </c>
      <c r="D662">
        <v>8.6999999999999993</v>
      </c>
      <c r="E662">
        <v>8.3000000000000007</v>
      </c>
      <c r="G662">
        <v>9.0442339999999994</v>
      </c>
      <c r="H662">
        <v>7.8</v>
      </c>
      <c r="I662">
        <v>7</v>
      </c>
      <c r="J662">
        <v>7.5</v>
      </c>
      <c r="K662">
        <v>10.199999999999999</v>
      </c>
      <c r="L662">
        <v>19.100000000000001</v>
      </c>
      <c r="M662">
        <v>18.100000000000001</v>
      </c>
      <c r="N662">
        <v>9.5</v>
      </c>
      <c r="O662">
        <v>9.5</v>
      </c>
      <c r="P662">
        <v>8.2739659999999997</v>
      </c>
      <c r="Q662">
        <v>7.9</v>
      </c>
      <c r="R662">
        <v>11.1</v>
      </c>
      <c r="S662">
        <v>10.8</v>
      </c>
      <c r="T662">
        <v>13.8</v>
      </c>
      <c r="U662">
        <v>8.1999999999999993</v>
      </c>
      <c r="W662">
        <v>8.6</v>
      </c>
      <c r="X662">
        <v>5</v>
      </c>
      <c r="Y662">
        <v>4.7</v>
      </c>
      <c r="Z662">
        <v>4.5999999999999996</v>
      </c>
      <c r="AA662">
        <v>20.7</v>
      </c>
      <c r="AB662">
        <v>5.6076430000000004</v>
      </c>
      <c r="AC662">
        <v>6.2</v>
      </c>
      <c r="AD662">
        <v>3.8</v>
      </c>
      <c r="AE662">
        <v>8.7135549999999995</v>
      </c>
      <c r="AF662">
        <v>10.199999999999999</v>
      </c>
      <c r="AG662">
        <v>11.9</v>
      </c>
      <c r="AH662">
        <v>15</v>
      </c>
      <c r="AI662">
        <v>6.5</v>
      </c>
      <c r="AJ662">
        <v>9.3000000000000007</v>
      </c>
      <c r="AK662">
        <v>12.2</v>
      </c>
      <c r="AL662">
        <v>9.8000000000000007</v>
      </c>
    </row>
    <row r="663" spans="1:38" x14ac:dyDescent="0.2">
      <c r="A663" s="61">
        <v>40210</v>
      </c>
      <c r="B663">
        <v>5.3021659999999997</v>
      </c>
      <c r="C663">
        <v>5.3</v>
      </c>
      <c r="D663">
        <v>8.6999999999999993</v>
      </c>
      <c r="E663">
        <v>8.3000000000000007</v>
      </c>
      <c r="G663">
        <v>9.352449</v>
      </c>
      <c r="H663">
        <v>7.9</v>
      </c>
      <c r="I663">
        <v>7</v>
      </c>
      <c r="J663">
        <v>7.7</v>
      </c>
      <c r="K663">
        <v>10.3</v>
      </c>
      <c r="L663">
        <v>19.2</v>
      </c>
      <c r="M663">
        <v>19.100000000000001</v>
      </c>
      <c r="N663">
        <v>8.9</v>
      </c>
      <c r="O663">
        <v>9.4</v>
      </c>
      <c r="P663">
        <v>8.2911909999999995</v>
      </c>
      <c r="Q663">
        <v>8</v>
      </c>
      <c r="R663">
        <v>11.7</v>
      </c>
      <c r="S663">
        <v>11</v>
      </c>
      <c r="T663">
        <v>13.7</v>
      </c>
      <c r="U663">
        <v>8.3000000000000007</v>
      </c>
      <c r="W663">
        <v>8.6999999999999993</v>
      </c>
      <c r="X663">
        <v>5</v>
      </c>
      <c r="Y663">
        <v>4</v>
      </c>
      <c r="Z663">
        <v>4.7</v>
      </c>
      <c r="AA663">
        <v>20.5</v>
      </c>
      <c r="AB663">
        <v>5.38218</v>
      </c>
      <c r="AC663">
        <v>6.2</v>
      </c>
      <c r="AD663">
        <v>4</v>
      </c>
      <c r="AE663">
        <v>8.6708440000000007</v>
      </c>
      <c r="AF663">
        <v>10.3</v>
      </c>
      <c r="AG663">
        <v>12.1</v>
      </c>
      <c r="AH663">
        <v>15</v>
      </c>
      <c r="AI663">
        <v>6.7</v>
      </c>
      <c r="AJ663">
        <v>9.1</v>
      </c>
      <c r="AK663">
        <v>12</v>
      </c>
      <c r="AL663">
        <v>9.8000000000000007</v>
      </c>
    </row>
    <row r="664" spans="1:38" x14ac:dyDescent="0.2">
      <c r="A664" s="61">
        <v>40238</v>
      </c>
      <c r="B664">
        <v>5.4232250000000004</v>
      </c>
      <c r="C664">
        <v>5.6</v>
      </c>
      <c r="D664">
        <v>8.6</v>
      </c>
      <c r="E664">
        <v>8.3000000000000007</v>
      </c>
      <c r="G664">
        <v>8.8603590000000008</v>
      </c>
      <c r="H664">
        <v>7.7</v>
      </c>
      <c r="I664">
        <v>6.9</v>
      </c>
      <c r="J664">
        <v>7.8</v>
      </c>
      <c r="K664">
        <v>10.3</v>
      </c>
      <c r="L664">
        <v>19.399999999999999</v>
      </c>
      <c r="M664">
        <v>19.2</v>
      </c>
      <c r="N664">
        <v>8.6</v>
      </c>
      <c r="O664">
        <v>9.3000000000000007</v>
      </c>
      <c r="P664">
        <v>8.2831010000000003</v>
      </c>
      <c r="Q664">
        <v>8</v>
      </c>
      <c r="R664">
        <v>11.8</v>
      </c>
      <c r="S664">
        <v>11.1</v>
      </c>
      <c r="T664">
        <v>13.9</v>
      </c>
      <c r="U664">
        <v>8.4</v>
      </c>
      <c r="W664">
        <v>8.5</v>
      </c>
      <c r="X664">
        <v>5.0999999999999996</v>
      </c>
      <c r="Y664">
        <v>3.6</v>
      </c>
      <c r="Z664">
        <v>4.5999999999999996</v>
      </c>
      <c r="AA664">
        <v>20.399999999999999</v>
      </c>
      <c r="AB664">
        <v>5.1702469999999998</v>
      </c>
      <c r="AC664">
        <v>6.2</v>
      </c>
      <c r="AD664">
        <v>4.5999999999999996</v>
      </c>
      <c r="AE664">
        <v>8.64954</v>
      </c>
      <c r="AF664">
        <v>10.199999999999999</v>
      </c>
      <c r="AG664">
        <v>12.2</v>
      </c>
      <c r="AH664">
        <v>14.9</v>
      </c>
      <c r="AI664">
        <v>7</v>
      </c>
      <c r="AJ664">
        <v>9</v>
      </c>
      <c r="AK664">
        <v>12</v>
      </c>
      <c r="AL664">
        <v>9.9</v>
      </c>
    </row>
    <row r="665" spans="1:38" x14ac:dyDescent="0.2">
      <c r="A665" s="61">
        <v>40269</v>
      </c>
      <c r="B665">
        <v>5.4988530000000004</v>
      </c>
      <c r="C665">
        <v>5.5</v>
      </c>
      <c r="D665">
        <v>8.6</v>
      </c>
      <c r="E665">
        <v>8.1999999999999993</v>
      </c>
      <c r="G665">
        <v>8.8049920000000004</v>
      </c>
      <c r="H665">
        <v>7.4</v>
      </c>
      <c r="I665">
        <v>6.8</v>
      </c>
      <c r="J665">
        <v>7.7</v>
      </c>
      <c r="K665">
        <v>10.3</v>
      </c>
      <c r="L665">
        <v>19.8</v>
      </c>
      <c r="M665">
        <v>18.899999999999999</v>
      </c>
      <c r="N665">
        <v>8.6</v>
      </c>
      <c r="O665">
        <v>9.3000000000000007</v>
      </c>
      <c r="P665">
        <v>8.3068419999999996</v>
      </c>
      <c r="Q665">
        <v>7.9</v>
      </c>
      <c r="R665">
        <v>12.1</v>
      </c>
      <c r="S665">
        <v>11</v>
      </c>
      <c r="T665">
        <v>14.2</v>
      </c>
      <c r="U665">
        <v>8.6</v>
      </c>
      <c r="W665">
        <v>8.8000000000000007</v>
      </c>
      <c r="X665">
        <v>5.0999999999999996</v>
      </c>
      <c r="Y665">
        <v>3.6</v>
      </c>
      <c r="Z665">
        <v>4.5</v>
      </c>
      <c r="AA665">
        <v>20.399999999999999</v>
      </c>
      <c r="AB665">
        <v>5.5307529999999998</v>
      </c>
      <c r="AC665">
        <v>6.1</v>
      </c>
      <c r="AD665">
        <v>3.9</v>
      </c>
      <c r="AE665">
        <v>8.6981979999999997</v>
      </c>
      <c r="AF665">
        <v>10.1</v>
      </c>
      <c r="AG665">
        <v>12.5</v>
      </c>
      <c r="AH665">
        <v>14.7</v>
      </c>
      <c r="AI665">
        <v>7.2</v>
      </c>
      <c r="AJ665">
        <v>9.5</v>
      </c>
      <c r="AK665">
        <v>11.5</v>
      </c>
      <c r="AL665">
        <v>9.9</v>
      </c>
    </row>
    <row r="666" spans="1:38" x14ac:dyDescent="0.2">
      <c r="A666" s="61">
        <v>40299</v>
      </c>
      <c r="B666">
        <v>5.2290749999999999</v>
      </c>
      <c r="C666">
        <v>5.3</v>
      </c>
      <c r="D666">
        <v>8.5</v>
      </c>
      <c r="E666">
        <v>8.1</v>
      </c>
      <c r="G666">
        <v>8.2875209999999999</v>
      </c>
      <c r="H666">
        <v>7.3</v>
      </c>
      <c r="I666">
        <v>6.7</v>
      </c>
      <c r="J666">
        <v>7.6</v>
      </c>
      <c r="K666">
        <v>10.3</v>
      </c>
      <c r="L666">
        <v>20</v>
      </c>
      <c r="M666">
        <v>18</v>
      </c>
      <c r="N666">
        <v>8.3000000000000007</v>
      </c>
      <c r="O666">
        <v>9.3000000000000007</v>
      </c>
      <c r="P666">
        <v>8.1607640000000004</v>
      </c>
      <c r="Q666">
        <v>7.9</v>
      </c>
      <c r="R666">
        <v>12.5</v>
      </c>
      <c r="S666">
        <v>11.1</v>
      </c>
      <c r="T666">
        <v>14.5</v>
      </c>
      <c r="U666">
        <v>8.6</v>
      </c>
      <c r="W666">
        <v>8.6</v>
      </c>
      <c r="X666">
        <v>5.0999999999999996</v>
      </c>
      <c r="Y666">
        <v>3.2</v>
      </c>
      <c r="Z666">
        <v>4.4000000000000004</v>
      </c>
      <c r="AA666">
        <v>20.2</v>
      </c>
      <c r="AB666">
        <v>5.4303619999999997</v>
      </c>
      <c r="AC666">
        <v>6.1</v>
      </c>
      <c r="AD666">
        <v>4</v>
      </c>
      <c r="AE666">
        <v>8.5555590000000006</v>
      </c>
      <c r="AF666">
        <v>10</v>
      </c>
      <c r="AG666">
        <v>12.6</v>
      </c>
      <c r="AH666">
        <v>14.6</v>
      </c>
      <c r="AI666">
        <v>7.3</v>
      </c>
      <c r="AJ666">
        <v>9</v>
      </c>
      <c r="AK666">
        <v>11.2</v>
      </c>
      <c r="AL666">
        <v>9.6</v>
      </c>
    </row>
    <row r="667" spans="1:38" x14ac:dyDescent="0.2">
      <c r="A667" s="61">
        <v>40330</v>
      </c>
      <c r="B667">
        <v>5.1443240000000001</v>
      </c>
      <c r="C667">
        <v>5.3</v>
      </c>
      <c r="D667">
        <v>8.5</v>
      </c>
      <c r="E667">
        <v>8</v>
      </c>
      <c r="G667">
        <v>8.0792280000000005</v>
      </c>
      <c r="H667">
        <v>7.2</v>
      </c>
      <c r="I667">
        <v>6.5</v>
      </c>
      <c r="J667">
        <v>8</v>
      </c>
      <c r="K667">
        <v>10.3</v>
      </c>
      <c r="L667">
        <v>20</v>
      </c>
      <c r="M667">
        <v>17</v>
      </c>
      <c r="N667">
        <v>8.6999999999999993</v>
      </c>
      <c r="O667">
        <v>9.1999999999999993</v>
      </c>
      <c r="P667">
        <v>8.0293989999999997</v>
      </c>
      <c r="Q667">
        <v>7.8</v>
      </c>
      <c r="R667">
        <v>12.7</v>
      </c>
      <c r="S667">
        <v>10.6</v>
      </c>
      <c r="T667">
        <v>14.4</v>
      </c>
      <c r="U667">
        <v>8.5</v>
      </c>
      <c r="W667">
        <v>8.5</v>
      </c>
      <c r="X667">
        <v>5.2</v>
      </c>
      <c r="Y667">
        <v>3.5</v>
      </c>
      <c r="Z667">
        <v>4.5</v>
      </c>
      <c r="AA667">
        <v>19.7</v>
      </c>
      <c r="AB667">
        <v>5.2198149999999996</v>
      </c>
      <c r="AC667">
        <v>6.2</v>
      </c>
      <c r="AD667">
        <v>4.3</v>
      </c>
      <c r="AE667">
        <v>8.4577720000000003</v>
      </c>
      <c r="AF667">
        <v>9.9</v>
      </c>
      <c r="AG667">
        <v>12.9</v>
      </c>
      <c r="AH667">
        <v>14.5</v>
      </c>
      <c r="AI667">
        <v>7.3</v>
      </c>
      <c r="AJ667">
        <v>8.4</v>
      </c>
      <c r="AK667">
        <v>10.9</v>
      </c>
      <c r="AL667">
        <v>9.4</v>
      </c>
    </row>
    <row r="668" spans="1:38" x14ac:dyDescent="0.2">
      <c r="A668" s="61">
        <v>40360</v>
      </c>
      <c r="B668">
        <v>5.2892409999999996</v>
      </c>
      <c r="C668">
        <v>5.4</v>
      </c>
      <c r="D668">
        <v>8.6</v>
      </c>
      <c r="E668">
        <v>8</v>
      </c>
      <c r="G668">
        <v>7.9836809999999998</v>
      </c>
      <c r="H668">
        <v>7.2</v>
      </c>
      <c r="I668">
        <v>6.4</v>
      </c>
      <c r="J668">
        <v>7.7</v>
      </c>
      <c r="K668">
        <v>10.199999999999999</v>
      </c>
      <c r="L668">
        <v>19.899999999999999</v>
      </c>
      <c r="M668">
        <v>15.7</v>
      </c>
      <c r="N668">
        <v>8.6</v>
      </c>
      <c r="O668">
        <v>9.1999999999999993</v>
      </c>
      <c r="P668">
        <v>7.992464</v>
      </c>
      <c r="Q668">
        <v>7.8</v>
      </c>
      <c r="R668">
        <v>13.1</v>
      </c>
      <c r="S668">
        <v>10.6</v>
      </c>
      <c r="T668">
        <v>14.3</v>
      </c>
      <c r="U668">
        <v>8.5</v>
      </c>
      <c r="W668">
        <v>8.4</v>
      </c>
      <c r="X668">
        <v>5</v>
      </c>
      <c r="Y668">
        <v>3.8</v>
      </c>
      <c r="Z668">
        <v>4.4000000000000004</v>
      </c>
      <c r="AA668">
        <v>19.2</v>
      </c>
      <c r="AB668">
        <v>5.3420610000000002</v>
      </c>
      <c r="AC668">
        <v>6.2</v>
      </c>
      <c r="AD668">
        <v>3.6</v>
      </c>
      <c r="AE668">
        <v>8.4418930000000003</v>
      </c>
      <c r="AF668">
        <v>9.9</v>
      </c>
      <c r="AG668">
        <v>12.9</v>
      </c>
      <c r="AH668">
        <v>14.3</v>
      </c>
      <c r="AI668">
        <v>7.2</v>
      </c>
      <c r="AJ668">
        <v>8.9</v>
      </c>
      <c r="AK668">
        <v>10.7</v>
      </c>
      <c r="AL668">
        <v>9.4</v>
      </c>
    </row>
    <row r="669" spans="1:38" x14ac:dyDescent="0.2">
      <c r="A669" s="61">
        <v>40391</v>
      </c>
      <c r="B669">
        <v>5.0338329999999996</v>
      </c>
      <c r="C669">
        <v>5</v>
      </c>
      <c r="D669">
        <v>8.4</v>
      </c>
      <c r="E669">
        <v>8.1</v>
      </c>
      <c r="G669">
        <v>7.7840290000000003</v>
      </c>
      <c r="H669">
        <v>7.1</v>
      </c>
      <c r="I669">
        <v>6.4</v>
      </c>
      <c r="J669">
        <v>7.6</v>
      </c>
      <c r="K669">
        <v>10.199999999999999</v>
      </c>
      <c r="L669">
        <v>20.100000000000001</v>
      </c>
      <c r="M669">
        <v>15.5</v>
      </c>
      <c r="N669">
        <v>8.5</v>
      </c>
      <c r="O669">
        <v>9.1999999999999993</v>
      </c>
      <c r="P669">
        <v>8.0168700000000008</v>
      </c>
      <c r="Q669">
        <v>7.8</v>
      </c>
      <c r="R669">
        <v>13</v>
      </c>
      <c r="S669">
        <v>10.9</v>
      </c>
      <c r="T669">
        <v>14.4</v>
      </c>
      <c r="U669">
        <v>8.4</v>
      </c>
      <c r="W669">
        <v>8.1999999999999993</v>
      </c>
      <c r="X669">
        <v>5.0999999999999996</v>
      </c>
      <c r="Y669">
        <v>3.5</v>
      </c>
      <c r="Z669">
        <v>4.4000000000000004</v>
      </c>
      <c r="AA669">
        <v>19.100000000000001</v>
      </c>
      <c r="AB669">
        <v>5.0905290000000001</v>
      </c>
      <c r="AC669">
        <v>6.1</v>
      </c>
      <c r="AD669">
        <v>3.8</v>
      </c>
      <c r="AE669">
        <v>8.4037319999999998</v>
      </c>
      <c r="AF669">
        <v>9.8000000000000007</v>
      </c>
      <c r="AG669">
        <v>12.9</v>
      </c>
      <c r="AH669">
        <v>14.2</v>
      </c>
      <c r="AI669">
        <v>7.3</v>
      </c>
      <c r="AJ669">
        <v>8.6</v>
      </c>
      <c r="AK669">
        <v>11</v>
      </c>
      <c r="AL669">
        <v>9.5</v>
      </c>
    </row>
    <row r="670" spans="1:38" x14ac:dyDescent="0.2">
      <c r="A670" s="61">
        <v>40422</v>
      </c>
      <c r="B670">
        <v>5.0539909999999999</v>
      </c>
      <c r="C670">
        <v>5.0999999999999996</v>
      </c>
      <c r="D670">
        <v>8.3000000000000007</v>
      </c>
      <c r="E670">
        <v>8.1999999999999993</v>
      </c>
      <c r="G670">
        <v>7.6867340000000004</v>
      </c>
      <c r="H670">
        <v>6.9</v>
      </c>
      <c r="I670">
        <v>6.3</v>
      </c>
      <c r="J670">
        <v>7.6</v>
      </c>
      <c r="K670">
        <v>10.199999999999999</v>
      </c>
      <c r="L670">
        <v>20.100000000000001</v>
      </c>
      <c r="M670">
        <v>15.1</v>
      </c>
      <c r="N670">
        <v>8.1</v>
      </c>
      <c r="O670">
        <v>9.1999999999999993</v>
      </c>
      <c r="P670">
        <v>8.0235529999999997</v>
      </c>
      <c r="Q670">
        <v>7.9</v>
      </c>
      <c r="R670">
        <v>13.6</v>
      </c>
      <c r="S670">
        <v>10.5</v>
      </c>
      <c r="T670">
        <v>15</v>
      </c>
      <c r="U670">
        <v>8.4</v>
      </c>
      <c r="W670">
        <v>8.4</v>
      </c>
      <c r="X670">
        <v>5.0999999999999996</v>
      </c>
      <c r="Y670">
        <v>3.8</v>
      </c>
      <c r="Z670">
        <v>4.5</v>
      </c>
      <c r="AA670">
        <v>18.899999999999999</v>
      </c>
      <c r="AB670">
        <v>5.2991679999999999</v>
      </c>
      <c r="AC670">
        <v>6</v>
      </c>
      <c r="AD670">
        <v>3.9</v>
      </c>
      <c r="AE670">
        <v>8.4177680000000006</v>
      </c>
      <c r="AF670">
        <v>9.8000000000000007</v>
      </c>
      <c r="AG670">
        <v>12.8</v>
      </c>
      <c r="AH670">
        <v>14.2</v>
      </c>
      <c r="AI670">
        <v>7.3</v>
      </c>
      <c r="AJ670">
        <v>8.6</v>
      </c>
      <c r="AK670">
        <v>10.9</v>
      </c>
      <c r="AL670">
        <v>9.5</v>
      </c>
    </row>
    <row r="671" spans="1:38" x14ac:dyDescent="0.2">
      <c r="A671" s="61">
        <v>40452</v>
      </c>
      <c r="B671">
        <v>5.2855689999999997</v>
      </c>
      <c r="C671">
        <v>5.3</v>
      </c>
      <c r="D671">
        <v>8.1</v>
      </c>
      <c r="E671">
        <v>8</v>
      </c>
      <c r="G671">
        <v>7.480111</v>
      </c>
      <c r="H671">
        <v>7.1</v>
      </c>
      <c r="I671">
        <v>6.3</v>
      </c>
      <c r="J671">
        <v>8.1</v>
      </c>
      <c r="K671">
        <v>10.199999999999999</v>
      </c>
      <c r="L671">
        <v>20.100000000000001</v>
      </c>
      <c r="M671">
        <v>14.6</v>
      </c>
      <c r="N671">
        <v>8.3000000000000007</v>
      </c>
      <c r="O671">
        <v>9.1999999999999993</v>
      </c>
      <c r="P671">
        <v>8.0102220000000006</v>
      </c>
      <c r="Q671">
        <v>7.9</v>
      </c>
      <c r="R671">
        <v>14.3</v>
      </c>
      <c r="S671">
        <v>10.4</v>
      </c>
      <c r="T671">
        <v>15.6</v>
      </c>
      <c r="U671">
        <v>8.5</v>
      </c>
      <c r="W671">
        <v>8.6</v>
      </c>
      <c r="X671">
        <v>5.0999999999999996</v>
      </c>
      <c r="Y671">
        <v>3.7</v>
      </c>
      <c r="Z671">
        <v>4.5999999999999996</v>
      </c>
      <c r="AA671">
        <v>18.600000000000001</v>
      </c>
      <c r="AB671">
        <v>5.531371</v>
      </c>
      <c r="AC671">
        <v>6</v>
      </c>
      <c r="AD671">
        <v>3.8</v>
      </c>
      <c r="AE671">
        <v>8.4387690000000006</v>
      </c>
      <c r="AF671">
        <v>9.9</v>
      </c>
      <c r="AG671">
        <v>12.6</v>
      </c>
      <c r="AH671">
        <v>14</v>
      </c>
      <c r="AI671">
        <v>7.6</v>
      </c>
      <c r="AJ671">
        <v>8.5</v>
      </c>
      <c r="AK671">
        <v>10.7</v>
      </c>
      <c r="AL671">
        <v>9.4</v>
      </c>
    </row>
    <row r="672" spans="1:38" x14ac:dyDescent="0.2">
      <c r="A672" s="61">
        <v>40483</v>
      </c>
      <c r="B672">
        <v>5.1092219999999999</v>
      </c>
      <c r="C672">
        <v>4.5999999999999996</v>
      </c>
      <c r="D672">
        <v>7.9</v>
      </c>
      <c r="E672">
        <v>7.7</v>
      </c>
      <c r="G672">
        <v>7.8055640000000004</v>
      </c>
      <c r="H672">
        <v>7</v>
      </c>
      <c r="I672">
        <v>6.2</v>
      </c>
      <c r="J672">
        <v>7.5</v>
      </c>
      <c r="K672">
        <v>10.199999999999999</v>
      </c>
      <c r="L672">
        <v>20.2</v>
      </c>
      <c r="M672">
        <v>13.6</v>
      </c>
      <c r="N672">
        <v>8.1</v>
      </c>
      <c r="O672">
        <v>9.1999999999999993</v>
      </c>
      <c r="P672">
        <v>8.1029459999999993</v>
      </c>
      <c r="Q672">
        <v>7.9</v>
      </c>
      <c r="R672">
        <v>14.2</v>
      </c>
      <c r="S672">
        <v>10.8</v>
      </c>
      <c r="T672">
        <v>15.7</v>
      </c>
      <c r="U672">
        <v>8.5</v>
      </c>
      <c r="W672">
        <v>8.3000000000000007</v>
      </c>
      <c r="X672">
        <v>5</v>
      </c>
      <c r="Y672">
        <v>3.3</v>
      </c>
      <c r="Z672">
        <v>4.8</v>
      </c>
      <c r="AA672">
        <v>18.2</v>
      </c>
      <c r="AB672">
        <v>5.487285</v>
      </c>
      <c r="AC672">
        <v>5.9</v>
      </c>
      <c r="AD672">
        <v>3.4</v>
      </c>
      <c r="AE672">
        <v>8.4652989999999999</v>
      </c>
      <c r="AF672">
        <v>9.8000000000000007</v>
      </c>
      <c r="AG672">
        <v>12.8</v>
      </c>
      <c r="AH672">
        <v>13.8</v>
      </c>
      <c r="AI672">
        <v>7.7</v>
      </c>
      <c r="AJ672">
        <v>8.1999999999999993</v>
      </c>
      <c r="AK672">
        <v>10.199999999999999</v>
      </c>
      <c r="AL672">
        <v>9.8000000000000007</v>
      </c>
    </row>
    <row r="673" spans="1:38" x14ac:dyDescent="0.2">
      <c r="A673" s="61">
        <v>40513</v>
      </c>
      <c r="B673">
        <v>4.877974</v>
      </c>
      <c r="C673">
        <v>4.7</v>
      </c>
      <c r="D673">
        <v>7.7</v>
      </c>
      <c r="E673">
        <v>7.7</v>
      </c>
      <c r="G673">
        <v>7.9460790000000001</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8.5</v>
      </c>
      <c r="W673">
        <v>8.1999999999999993</v>
      </c>
      <c r="X673">
        <v>4.9000000000000004</v>
      </c>
      <c r="Y673">
        <v>3.7</v>
      </c>
      <c r="Z673">
        <v>4.8</v>
      </c>
      <c r="AA673">
        <v>17.7</v>
      </c>
      <c r="AB673">
        <v>5.481897</v>
      </c>
      <c r="AC673">
        <v>5.9</v>
      </c>
      <c r="AD673">
        <v>4.0999999999999996</v>
      </c>
      <c r="AE673">
        <v>8.3457369999999997</v>
      </c>
      <c r="AF673">
        <v>9.8000000000000007</v>
      </c>
      <c r="AG673">
        <v>12.8</v>
      </c>
      <c r="AH673">
        <v>13.8</v>
      </c>
      <c r="AI673">
        <v>8</v>
      </c>
      <c r="AJ673">
        <v>8.1999999999999993</v>
      </c>
      <c r="AK673">
        <v>10.1</v>
      </c>
      <c r="AL673">
        <v>9.3000000000000007</v>
      </c>
    </row>
    <row r="674" spans="1:38" x14ac:dyDescent="0.2">
      <c r="A674" s="61">
        <v>40544</v>
      </c>
      <c r="B674">
        <v>5.0032079999999999</v>
      </c>
      <c r="C674">
        <v>5</v>
      </c>
      <c r="D674">
        <v>7.3</v>
      </c>
      <c r="E674">
        <v>7.8</v>
      </c>
      <c r="G674">
        <v>7.8401860000000001</v>
      </c>
      <c r="H674">
        <v>7</v>
      </c>
      <c r="I674">
        <v>6</v>
      </c>
      <c r="J674">
        <v>8</v>
      </c>
      <c r="K674">
        <v>10.1</v>
      </c>
      <c r="L674">
        <v>20.399999999999999</v>
      </c>
      <c r="M674">
        <v>14.6</v>
      </c>
      <c r="N674">
        <v>8.3000000000000007</v>
      </c>
      <c r="O674">
        <v>9.1999999999999993</v>
      </c>
      <c r="P674">
        <v>7.7599119999999999</v>
      </c>
      <c r="Q674">
        <v>7.8</v>
      </c>
      <c r="R674">
        <v>15.4</v>
      </c>
      <c r="S674">
        <v>10.8</v>
      </c>
      <c r="T674">
        <v>15.4</v>
      </c>
      <c r="U674">
        <v>8.3000000000000007</v>
      </c>
      <c r="W674">
        <v>8.1999999999999993</v>
      </c>
      <c r="X674">
        <v>4.8</v>
      </c>
      <c r="Y674">
        <v>3.5</v>
      </c>
      <c r="Z674">
        <v>4.7</v>
      </c>
      <c r="AA674">
        <v>17.2</v>
      </c>
      <c r="AB674">
        <v>5.2046159999999997</v>
      </c>
      <c r="AC674">
        <v>5.8</v>
      </c>
      <c r="AD674">
        <v>3.2</v>
      </c>
      <c r="AE674">
        <v>8.2180009999999992</v>
      </c>
      <c r="AF674">
        <v>9.6999999999999993</v>
      </c>
      <c r="AG674">
        <v>12.8</v>
      </c>
      <c r="AH674">
        <v>13.8</v>
      </c>
      <c r="AI674">
        <v>8</v>
      </c>
      <c r="AJ674">
        <v>8.1999999999999993</v>
      </c>
      <c r="AK674">
        <v>9.9</v>
      </c>
      <c r="AL674">
        <v>9.1</v>
      </c>
    </row>
    <row r="675" spans="1:38" x14ac:dyDescent="0.2">
      <c r="A675" s="61">
        <v>40575</v>
      </c>
      <c r="B675">
        <v>4.9766640000000004</v>
      </c>
      <c r="C675">
        <v>5.6</v>
      </c>
      <c r="D675">
        <v>7.1</v>
      </c>
      <c r="E675">
        <v>7.7</v>
      </c>
      <c r="G675">
        <v>7.6121460000000001</v>
      </c>
      <c r="H675">
        <v>7.1</v>
      </c>
      <c r="I675">
        <v>5.9</v>
      </c>
      <c r="J675">
        <v>7.8</v>
      </c>
      <c r="K675">
        <v>10.1</v>
      </c>
      <c r="L675">
        <v>20.5</v>
      </c>
      <c r="M675">
        <v>14</v>
      </c>
      <c r="N675">
        <v>8.1</v>
      </c>
      <c r="O675">
        <v>9.1999999999999993</v>
      </c>
      <c r="P675">
        <v>7.6677879999999998</v>
      </c>
      <c r="Q675">
        <v>7.8</v>
      </c>
      <c r="R675">
        <v>15.6</v>
      </c>
      <c r="S675">
        <v>11.3</v>
      </c>
      <c r="T675">
        <v>15.1</v>
      </c>
      <c r="U675">
        <v>8.1999999999999993</v>
      </c>
      <c r="W675">
        <v>8.1999999999999993</v>
      </c>
      <c r="X675">
        <v>4.7</v>
      </c>
      <c r="Y675">
        <v>3.7</v>
      </c>
      <c r="Z675">
        <v>4.7</v>
      </c>
      <c r="AA675">
        <v>16.899999999999999</v>
      </c>
      <c r="AB675">
        <v>5.3415439999999998</v>
      </c>
      <c r="AC675">
        <v>5.9</v>
      </c>
      <c r="AD675">
        <v>3.4</v>
      </c>
      <c r="AE675">
        <v>8.1777739999999994</v>
      </c>
      <c r="AF675">
        <v>9.6999999999999993</v>
      </c>
      <c r="AG675">
        <v>12.9</v>
      </c>
      <c r="AH675">
        <v>13.8</v>
      </c>
      <c r="AI675">
        <v>8</v>
      </c>
      <c r="AJ675">
        <v>7.9</v>
      </c>
      <c r="AK675">
        <v>9.6</v>
      </c>
      <c r="AL675">
        <v>9</v>
      </c>
    </row>
    <row r="676" spans="1:38" x14ac:dyDescent="0.2">
      <c r="A676" s="61">
        <v>40603</v>
      </c>
      <c r="B676">
        <v>4.9266120000000004</v>
      </c>
      <c r="C676">
        <v>4.9000000000000004</v>
      </c>
      <c r="D676">
        <v>7</v>
      </c>
      <c r="E676">
        <v>7.7</v>
      </c>
      <c r="G676">
        <v>7.2147940000000004</v>
      </c>
      <c r="H676">
        <v>6.8</v>
      </c>
      <c r="I676">
        <v>5.7</v>
      </c>
      <c r="J676">
        <v>7.9</v>
      </c>
      <c r="K676">
        <v>10.1</v>
      </c>
      <c r="L676">
        <v>20.6</v>
      </c>
      <c r="M676">
        <v>13.8</v>
      </c>
      <c r="N676">
        <v>8.9</v>
      </c>
      <c r="O676">
        <v>9.1</v>
      </c>
      <c r="P676">
        <v>7.6087939999999996</v>
      </c>
      <c r="Q676">
        <v>7.7</v>
      </c>
      <c r="R676">
        <v>16.399999999999999</v>
      </c>
      <c r="S676">
        <v>10.8</v>
      </c>
      <c r="T676">
        <v>14.9</v>
      </c>
      <c r="U676">
        <v>8.1</v>
      </c>
      <c r="W676">
        <v>8.1999999999999993</v>
      </c>
      <c r="X676">
        <v>4.7</v>
      </c>
      <c r="Y676">
        <v>3.8</v>
      </c>
      <c r="Z676">
        <v>4.7</v>
      </c>
      <c r="AA676">
        <v>16.899999999999999</v>
      </c>
      <c r="AB676">
        <v>4.9720839999999997</v>
      </c>
      <c r="AC676">
        <v>5.7</v>
      </c>
      <c r="AD676">
        <v>3.8</v>
      </c>
      <c r="AE676">
        <v>8.0758089999999996</v>
      </c>
      <c r="AF676">
        <v>9.6999999999999993</v>
      </c>
      <c r="AG676">
        <v>13.1</v>
      </c>
      <c r="AH676">
        <v>13.7</v>
      </c>
      <c r="AI676">
        <v>8.1</v>
      </c>
      <c r="AJ676">
        <v>8.1</v>
      </c>
      <c r="AK676">
        <v>9.5</v>
      </c>
      <c r="AL676">
        <v>9</v>
      </c>
    </row>
    <row r="677" spans="1:38" x14ac:dyDescent="0.2">
      <c r="A677" s="61">
        <v>40634</v>
      </c>
      <c r="B677">
        <v>4.959384</v>
      </c>
      <c r="C677">
        <v>4.9000000000000004</v>
      </c>
      <c r="D677">
        <v>6.9</v>
      </c>
      <c r="E677">
        <v>7.7</v>
      </c>
      <c r="G677">
        <v>7.0555479999999999</v>
      </c>
      <c r="H677">
        <v>6.9</v>
      </c>
      <c r="I677">
        <v>5.6</v>
      </c>
      <c r="J677">
        <v>7.3</v>
      </c>
      <c r="K677">
        <v>10</v>
      </c>
      <c r="L677">
        <v>20.5</v>
      </c>
      <c r="M677">
        <v>13</v>
      </c>
      <c r="N677">
        <v>7.6</v>
      </c>
      <c r="O677">
        <v>9.1</v>
      </c>
      <c r="P677">
        <v>7.6447529999999997</v>
      </c>
      <c r="Q677">
        <v>7.8</v>
      </c>
      <c r="R677">
        <v>16.7</v>
      </c>
      <c r="S677">
        <v>10.5</v>
      </c>
      <c r="T677">
        <v>14.9</v>
      </c>
      <c r="U677">
        <v>8.1</v>
      </c>
      <c r="W677">
        <v>8</v>
      </c>
      <c r="X677">
        <v>4.7</v>
      </c>
      <c r="Y677">
        <v>3.5</v>
      </c>
      <c r="Z677">
        <v>4.7</v>
      </c>
      <c r="AA677">
        <v>17.100000000000001</v>
      </c>
      <c r="AB677">
        <v>5.2435729999999996</v>
      </c>
      <c r="AC677">
        <v>5.8</v>
      </c>
      <c r="AD677">
        <v>3.8</v>
      </c>
      <c r="AE677">
        <v>8.0957670000000004</v>
      </c>
      <c r="AF677">
        <v>9.9</v>
      </c>
      <c r="AG677">
        <v>13</v>
      </c>
      <c r="AH677">
        <v>13.7</v>
      </c>
      <c r="AI677">
        <v>8</v>
      </c>
      <c r="AJ677">
        <v>7.8</v>
      </c>
      <c r="AK677">
        <v>9.5</v>
      </c>
      <c r="AL677">
        <v>9.1</v>
      </c>
    </row>
    <row r="678" spans="1:38" x14ac:dyDescent="0.2">
      <c r="A678" s="61">
        <v>40664</v>
      </c>
      <c r="B678">
        <v>5.0125999999999999</v>
      </c>
      <c r="C678">
        <v>5</v>
      </c>
      <c r="D678">
        <v>7</v>
      </c>
      <c r="E678">
        <v>7.6</v>
      </c>
      <c r="G678">
        <v>6.9149520000000004</v>
      </c>
      <c r="H678">
        <v>6.9</v>
      </c>
      <c r="I678">
        <v>5.6</v>
      </c>
      <c r="J678">
        <v>7.8</v>
      </c>
      <c r="K678">
        <v>10.1</v>
      </c>
      <c r="L678">
        <v>20.6</v>
      </c>
      <c r="M678">
        <v>12.8</v>
      </c>
      <c r="N678">
        <v>7.7</v>
      </c>
      <c r="O678">
        <v>9.1</v>
      </c>
      <c r="P678">
        <v>7.6397170000000001</v>
      </c>
      <c r="Q678">
        <v>7.9</v>
      </c>
      <c r="R678">
        <v>16.899999999999999</v>
      </c>
      <c r="S678">
        <v>10.7</v>
      </c>
      <c r="T678">
        <v>15</v>
      </c>
      <c r="U678">
        <v>8</v>
      </c>
      <c r="W678">
        <v>8.3000000000000007</v>
      </c>
      <c r="X678">
        <v>4.5999999999999996</v>
      </c>
      <c r="Y678">
        <v>3.3</v>
      </c>
      <c r="Z678">
        <v>4.8</v>
      </c>
      <c r="AA678">
        <v>17</v>
      </c>
      <c r="AB678">
        <v>5.450812</v>
      </c>
      <c r="AC678">
        <v>5.8</v>
      </c>
      <c r="AD678">
        <v>3.5</v>
      </c>
      <c r="AE678">
        <v>8.1209769999999999</v>
      </c>
      <c r="AF678">
        <v>9.9</v>
      </c>
      <c r="AG678">
        <v>13.1</v>
      </c>
      <c r="AH678">
        <v>13.6</v>
      </c>
      <c r="AI678">
        <v>7.9</v>
      </c>
      <c r="AJ678">
        <v>8</v>
      </c>
      <c r="AK678">
        <v>9.6</v>
      </c>
      <c r="AL678">
        <v>9</v>
      </c>
    </row>
    <row r="679" spans="1:38" x14ac:dyDescent="0.2">
      <c r="A679" s="61">
        <v>40695</v>
      </c>
      <c r="B679">
        <v>4.9161619999999999</v>
      </c>
      <c r="C679">
        <v>4.5999999999999996</v>
      </c>
      <c r="D679">
        <v>7.1</v>
      </c>
      <c r="E679">
        <v>7.6</v>
      </c>
      <c r="G679">
        <v>7.1849379999999998</v>
      </c>
      <c r="H679">
        <v>6.7</v>
      </c>
      <c r="I679">
        <v>5.5</v>
      </c>
      <c r="J679">
        <v>7.3</v>
      </c>
      <c r="K679">
        <v>10.1</v>
      </c>
      <c r="L679">
        <v>21</v>
      </c>
      <c r="M679">
        <v>12.7</v>
      </c>
      <c r="N679">
        <v>8.3000000000000007</v>
      </c>
      <c r="O679">
        <v>9.1</v>
      </c>
      <c r="P679">
        <v>7.6784039999999996</v>
      </c>
      <c r="Q679">
        <v>8</v>
      </c>
      <c r="R679">
        <v>17.399999999999999</v>
      </c>
      <c r="S679">
        <v>10.8</v>
      </c>
      <c r="T679">
        <v>15.2</v>
      </c>
      <c r="U679">
        <v>7.8</v>
      </c>
      <c r="W679">
        <v>8.3000000000000007</v>
      </c>
      <c r="X679">
        <v>4.7</v>
      </c>
      <c r="Y679">
        <v>3.3</v>
      </c>
      <c r="Z679">
        <v>4.8</v>
      </c>
      <c r="AA679">
        <v>16.5</v>
      </c>
      <c r="AB679">
        <v>5.5612459999999997</v>
      </c>
      <c r="AC679">
        <v>5.7</v>
      </c>
      <c r="AD679">
        <v>3.6</v>
      </c>
      <c r="AE679">
        <v>8.1574439999999999</v>
      </c>
      <c r="AF679">
        <v>9.9</v>
      </c>
      <c r="AG679">
        <v>13</v>
      </c>
      <c r="AH679">
        <v>13.5</v>
      </c>
      <c r="AI679">
        <v>7.9</v>
      </c>
      <c r="AJ679">
        <v>8.1</v>
      </c>
      <c r="AK679">
        <v>9.5</v>
      </c>
      <c r="AL679">
        <v>9.1</v>
      </c>
    </row>
    <row r="680" spans="1:38" x14ac:dyDescent="0.2">
      <c r="A680" s="61">
        <v>40725</v>
      </c>
      <c r="B680">
        <v>5.0939839999999998</v>
      </c>
      <c r="C680">
        <v>4.3</v>
      </c>
      <c r="D680">
        <v>7.4</v>
      </c>
      <c r="E680">
        <v>7.3</v>
      </c>
      <c r="G680">
        <v>7.1350790000000002</v>
      </c>
      <c r="H680">
        <v>6.5</v>
      </c>
      <c r="I680">
        <v>5.5</v>
      </c>
      <c r="J680">
        <v>8.1999999999999993</v>
      </c>
      <c r="K680">
        <v>10.199999999999999</v>
      </c>
      <c r="L680">
        <v>21.4</v>
      </c>
      <c r="M680">
        <v>11.6</v>
      </c>
      <c r="N680">
        <v>8.1</v>
      </c>
      <c r="O680">
        <v>9.1999999999999993</v>
      </c>
      <c r="P680">
        <v>7.6433160000000004</v>
      </c>
      <c r="Q680">
        <v>8.1999999999999993</v>
      </c>
      <c r="R680">
        <v>18.100000000000001</v>
      </c>
      <c r="S680">
        <v>10.3</v>
      </c>
      <c r="T680">
        <v>15.5</v>
      </c>
      <c r="U680">
        <v>7.6</v>
      </c>
      <c r="W680">
        <v>8.4</v>
      </c>
      <c r="X680">
        <v>4.7</v>
      </c>
      <c r="Y680">
        <v>3.3</v>
      </c>
      <c r="Z680">
        <v>5</v>
      </c>
      <c r="AA680">
        <v>15.8</v>
      </c>
      <c r="AB680">
        <v>5.2614830000000001</v>
      </c>
      <c r="AC680">
        <v>6</v>
      </c>
      <c r="AD680">
        <v>3.4</v>
      </c>
      <c r="AE680">
        <v>8.1301959999999998</v>
      </c>
      <c r="AF680">
        <v>10</v>
      </c>
      <c r="AG680">
        <v>13</v>
      </c>
      <c r="AH680">
        <v>13.4</v>
      </c>
      <c r="AI680">
        <v>8</v>
      </c>
      <c r="AJ680">
        <v>7.9</v>
      </c>
      <c r="AK680">
        <v>9.1999999999999993</v>
      </c>
      <c r="AL680">
        <v>9</v>
      </c>
    </row>
    <row r="681" spans="1:38" x14ac:dyDescent="0.2">
      <c r="A681" s="61">
        <v>40756</v>
      </c>
      <c r="B681">
        <v>5.2716099999999999</v>
      </c>
      <c r="C681">
        <v>4.4000000000000004</v>
      </c>
      <c r="D681">
        <v>7.6</v>
      </c>
      <c r="E681">
        <v>7.3</v>
      </c>
      <c r="G681">
        <v>7.3270549999999997</v>
      </c>
      <c r="H681">
        <v>6.5</v>
      </c>
      <c r="I681">
        <v>5.4</v>
      </c>
      <c r="J681">
        <v>7.6</v>
      </c>
      <c r="K681">
        <v>10.3</v>
      </c>
      <c r="L681">
        <v>21.7</v>
      </c>
      <c r="M681">
        <v>10.9</v>
      </c>
      <c r="N681">
        <v>7.5</v>
      </c>
      <c r="O681">
        <v>9.1999999999999993</v>
      </c>
      <c r="P681">
        <v>7.6109299999999998</v>
      </c>
      <c r="Q681">
        <v>8.3000000000000007</v>
      </c>
      <c r="R681">
        <v>18.8</v>
      </c>
      <c r="S681">
        <v>10.5</v>
      </c>
      <c r="T681">
        <v>15.6</v>
      </c>
      <c r="U681">
        <v>7.5</v>
      </c>
      <c r="W681">
        <v>8.5</v>
      </c>
      <c r="X681">
        <v>4.5</v>
      </c>
      <c r="Y681">
        <v>3.2</v>
      </c>
      <c r="Z681">
        <v>5.0999999999999996</v>
      </c>
      <c r="AA681">
        <v>15.4</v>
      </c>
      <c r="AB681">
        <v>5.4140870000000003</v>
      </c>
      <c r="AC681">
        <v>6</v>
      </c>
      <c r="AD681">
        <v>3.7</v>
      </c>
      <c r="AE681">
        <v>8.1057129999999997</v>
      </c>
      <c r="AF681">
        <v>10</v>
      </c>
      <c r="AG681">
        <v>13.4</v>
      </c>
      <c r="AH681">
        <v>13.4</v>
      </c>
      <c r="AI681">
        <v>7.9</v>
      </c>
      <c r="AJ681">
        <v>7.9</v>
      </c>
      <c r="AK681">
        <v>8.8000000000000007</v>
      </c>
      <c r="AL681">
        <v>9</v>
      </c>
    </row>
    <row r="682" spans="1:38" x14ac:dyDescent="0.2">
      <c r="A682" s="61">
        <v>40787</v>
      </c>
      <c r="B682">
        <v>5.2201149999999998</v>
      </c>
      <c r="C682">
        <v>4.5</v>
      </c>
      <c r="D682">
        <v>7.5</v>
      </c>
      <c r="E682">
        <v>7.4</v>
      </c>
      <c r="G682">
        <v>7.3254650000000003</v>
      </c>
      <c r="H682">
        <v>6.6</v>
      </c>
      <c r="I682">
        <v>5.4</v>
      </c>
      <c r="J682">
        <v>7</v>
      </c>
      <c r="K682">
        <v>10.4</v>
      </c>
      <c r="L682">
        <v>22.1</v>
      </c>
      <c r="M682">
        <v>10.9</v>
      </c>
      <c r="N682">
        <v>7.9</v>
      </c>
      <c r="O682">
        <v>9.1999999999999993</v>
      </c>
      <c r="P682">
        <v>7.6430300000000004</v>
      </c>
      <c r="Q682">
        <v>8.4</v>
      </c>
      <c r="R682">
        <v>19.100000000000001</v>
      </c>
      <c r="S682">
        <v>10.8</v>
      </c>
      <c r="T682">
        <v>15.7</v>
      </c>
      <c r="U682">
        <v>7.4</v>
      </c>
      <c r="W682">
        <v>9</v>
      </c>
      <c r="X682">
        <v>4.2</v>
      </c>
      <c r="Y682">
        <v>3.3</v>
      </c>
      <c r="Z682">
        <v>5</v>
      </c>
      <c r="AA682">
        <v>15.3</v>
      </c>
      <c r="AB682">
        <v>5.302886</v>
      </c>
      <c r="AC682">
        <v>6.2</v>
      </c>
      <c r="AD682">
        <v>3.4</v>
      </c>
      <c r="AE682">
        <v>8.1211990000000007</v>
      </c>
      <c r="AF682">
        <v>10.1</v>
      </c>
      <c r="AG682">
        <v>13.9</v>
      </c>
      <c r="AH682">
        <v>13.5</v>
      </c>
      <c r="AI682">
        <v>8.3000000000000007</v>
      </c>
      <c r="AJ682">
        <v>7.7</v>
      </c>
      <c r="AK682">
        <v>8.4</v>
      </c>
      <c r="AL682">
        <v>9</v>
      </c>
    </row>
    <row r="683" spans="1:38" x14ac:dyDescent="0.2">
      <c r="A683" s="61">
        <v>40817</v>
      </c>
      <c r="B683">
        <v>5.188879</v>
      </c>
      <c r="C683">
        <v>5</v>
      </c>
      <c r="D683">
        <v>7.3</v>
      </c>
      <c r="E683">
        <v>7.4</v>
      </c>
      <c r="G683">
        <v>7.5866759999999998</v>
      </c>
      <c r="H683">
        <v>6.5</v>
      </c>
      <c r="I683">
        <v>5.3</v>
      </c>
      <c r="J683">
        <v>8.1999999999999993</v>
      </c>
      <c r="K683">
        <v>10.5</v>
      </c>
      <c r="L683">
        <v>22.4</v>
      </c>
      <c r="M683">
        <v>11.5</v>
      </c>
      <c r="N683">
        <v>7.8</v>
      </c>
      <c r="O683">
        <v>9.3000000000000007</v>
      </c>
      <c r="P683">
        <v>7.5809280000000001</v>
      </c>
      <c r="Q683">
        <v>8.5</v>
      </c>
      <c r="R683">
        <v>20.5</v>
      </c>
      <c r="S683">
        <v>10.6</v>
      </c>
      <c r="T683">
        <v>15.6</v>
      </c>
      <c r="U683">
        <v>7.3</v>
      </c>
      <c r="W683">
        <v>8.9</v>
      </c>
      <c r="X683">
        <v>4.4000000000000004</v>
      </c>
      <c r="Y683">
        <v>3.2</v>
      </c>
      <c r="Z683">
        <v>4.8</v>
      </c>
      <c r="AA683">
        <v>15.4</v>
      </c>
      <c r="AB683">
        <v>4.8752529999999998</v>
      </c>
      <c r="AC683">
        <v>6.4</v>
      </c>
      <c r="AD683">
        <v>3.8</v>
      </c>
      <c r="AE683">
        <v>8.0897670000000002</v>
      </c>
      <c r="AF683">
        <v>10.199999999999999</v>
      </c>
      <c r="AG683">
        <v>14.1</v>
      </c>
      <c r="AH683">
        <v>13.6</v>
      </c>
      <c r="AI683">
        <v>8.6</v>
      </c>
      <c r="AJ683">
        <v>8</v>
      </c>
      <c r="AK683">
        <v>8.5</v>
      </c>
      <c r="AL683">
        <v>8.8000000000000007</v>
      </c>
    </row>
    <row r="684" spans="1:38" x14ac:dyDescent="0.2">
      <c r="A684" s="61">
        <v>40848</v>
      </c>
      <c r="B684">
        <v>5.2309919999999996</v>
      </c>
      <c r="C684">
        <v>5.4</v>
      </c>
      <c r="D684">
        <v>7.2</v>
      </c>
      <c r="E684">
        <v>7.6</v>
      </c>
      <c r="G684">
        <v>7.3586689999999999</v>
      </c>
      <c r="H684">
        <v>6.7</v>
      </c>
      <c r="I684">
        <v>5.2</v>
      </c>
      <c r="J684">
        <v>8.1</v>
      </c>
      <c r="K684">
        <v>10.7</v>
      </c>
      <c r="L684">
        <v>22.7</v>
      </c>
      <c r="M684">
        <v>11.3</v>
      </c>
      <c r="N684">
        <v>7.2</v>
      </c>
      <c r="O684">
        <v>9.4</v>
      </c>
      <c r="P684">
        <v>7.5393090000000003</v>
      </c>
      <c r="Q684">
        <v>8.4</v>
      </c>
      <c r="R684">
        <v>20.7</v>
      </c>
      <c r="S684">
        <v>10.3</v>
      </c>
      <c r="T684">
        <v>15.8</v>
      </c>
      <c r="U684">
        <v>7.2</v>
      </c>
      <c r="W684">
        <v>9.5</v>
      </c>
      <c r="X684">
        <v>4.5</v>
      </c>
      <c r="Y684">
        <v>3.3</v>
      </c>
      <c r="Z684">
        <v>4.8</v>
      </c>
      <c r="AA684">
        <v>15.5</v>
      </c>
      <c r="AB684">
        <v>5.1541880000000004</v>
      </c>
      <c r="AC684">
        <v>6.6</v>
      </c>
      <c r="AD684">
        <v>3.4</v>
      </c>
      <c r="AE684">
        <v>8.1040510000000001</v>
      </c>
      <c r="AF684">
        <v>10.199999999999999</v>
      </c>
      <c r="AG684">
        <v>14.6</v>
      </c>
      <c r="AH684">
        <v>13.7</v>
      </c>
      <c r="AI684">
        <v>8.8000000000000007</v>
      </c>
      <c r="AJ684">
        <v>7.9</v>
      </c>
      <c r="AK684">
        <v>8.4</v>
      </c>
      <c r="AL684">
        <v>8.6</v>
      </c>
    </row>
    <row r="685" spans="1:38" x14ac:dyDescent="0.2">
      <c r="A685" s="61">
        <v>40878</v>
      </c>
      <c r="B685">
        <v>5.1987129999999997</v>
      </c>
      <c r="C685">
        <v>5.0999999999999996</v>
      </c>
      <c r="D685">
        <v>7.1</v>
      </c>
      <c r="E685">
        <v>7.5</v>
      </c>
      <c r="G685">
        <v>7.2958670000000003</v>
      </c>
      <c r="H685">
        <v>6.4</v>
      </c>
      <c r="I685">
        <v>5.2</v>
      </c>
      <c r="J685">
        <v>7.9</v>
      </c>
      <c r="K685">
        <v>10.8</v>
      </c>
      <c r="L685">
        <v>23</v>
      </c>
      <c r="M685">
        <v>10.9</v>
      </c>
      <c r="N685">
        <v>8</v>
      </c>
      <c r="O685">
        <v>9.4</v>
      </c>
      <c r="P685">
        <v>7.5023980000000003</v>
      </c>
      <c r="Q685">
        <v>8.4</v>
      </c>
      <c r="R685">
        <v>21.5</v>
      </c>
      <c r="S685">
        <v>10.9</v>
      </c>
      <c r="T685">
        <v>16.100000000000001</v>
      </c>
      <c r="U685">
        <v>7.2</v>
      </c>
      <c r="W685">
        <v>9.6999999999999993</v>
      </c>
      <c r="X685">
        <v>4.5</v>
      </c>
      <c r="Y685">
        <v>3.2</v>
      </c>
      <c r="Z685">
        <v>4.9000000000000004</v>
      </c>
      <c r="AA685">
        <v>15.4</v>
      </c>
      <c r="AB685">
        <v>5.0301790000000004</v>
      </c>
      <c r="AC685">
        <v>6.5</v>
      </c>
      <c r="AD685">
        <v>3.5</v>
      </c>
      <c r="AE685">
        <v>8.1004299999999994</v>
      </c>
      <c r="AF685">
        <v>10.199999999999999</v>
      </c>
      <c r="AG685">
        <v>15.1</v>
      </c>
      <c r="AH685">
        <v>13.8</v>
      </c>
      <c r="AI685">
        <v>8.6</v>
      </c>
      <c r="AJ685">
        <v>8</v>
      </c>
      <c r="AK685">
        <v>8.5</v>
      </c>
      <c r="AL685">
        <v>8.5</v>
      </c>
    </row>
    <row r="686" spans="1:38" x14ac:dyDescent="0.2">
      <c r="A686" s="61">
        <v>40909</v>
      </c>
      <c r="B686">
        <v>5.0471579999999996</v>
      </c>
      <c r="C686">
        <v>4.4000000000000004</v>
      </c>
      <c r="D686">
        <v>7.2</v>
      </c>
      <c r="E686">
        <v>7.7</v>
      </c>
      <c r="G686">
        <v>6.8564579999999999</v>
      </c>
      <c r="H686">
        <v>6.6</v>
      </c>
      <c r="I686">
        <v>5.0999999999999996</v>
      </c>
      <c r="J686">
        <v>7.5</v>
      </c>
      <c r="K686">
        <v>10.8</v>
      </c>
      <c r="L686">
        <v>23.3</v>
      </c>
      <c r="M686">
        <v>11</v>
      </c>
      <c r="N686">
        <v>7.9</v>
      </c>
      <c r="O686">
        <v>9.5</v>
      </c>
      <c r="P686">
        <v>7.4238379999999999</v>
      </c>
      <c r="Q686">
        <v>8.3000000000000007</v>
      </c>
      <c r="R686">
        <v>21.6</v>
      </c>
      <c r="S686">
        <v>11.2</v>
      </c>
      <c r="T686">
        <v>15.6</v>
      </c>
      <c r="U686">
        <v>7.3</v>
      </c>
      <c r="V686">
        <v>7.0067769999999996</v>
      </c>
      <c r="W686">
        <v>9.8000000000000007</v>
      </c>
      <c r="X686">
        <v>4.5</v>
      </c>
      <c r="Y686">
        <v>3.2</v>
      </c>
      <c r="Z686">
        <v>4.9000000000000004</v>
      </c>
      <c r="AA686">
        <v>15.5</v>
      </c>
      <c r="AB686">
        <v>4.729101</v>
      </c>
      <c r="AC686">
        <v>6.6</v>
      </c>
      <c r="AD686">
        <v>3.8</v>
      </c>
      <c r="AE686">
        <v>8.029731</v>
      </c>
      <c r="AF686">
        <v>10.1</v>
      </c>
      <c r="AG686">
        <v>15.1</v>
      </c>
      <c r="AH686">
        <v>13.8</v>
      </c>
      <c r="AI686">
        <v>8.1999999999999993</v>
      </c>
      <c r="AJ686">
        <v>8.1</v>
      </c>
      <c r="AK686">
        <v>8.4</v>
      </c>
      <c r="AL686">
        <v>8.3000000000000007</v>
      </c>
    </row>
    <row r="687" spans="1:38" x14ac:dyDescent="0.2">
      <c r="A687" s="61">
        <v>40940</v>
      </c>
      <c r="B687">
        <v>5.1993999999999998</v>
      </c>
      <c r="C687">
        <v>5.2</v>
      </c>
      <c r="D687">
        <v>7.3</v>
      </c>
      <c r="E687">
        <v>7.5</v>
      </c>
      <c r="G687">
        <v>6.8216739999999998</v>
      </c>
      <c r="H687">
        <v>7.1</v>
      </c>
      <c r="I687">
        <v>5.0999999999999996</v>
      </c>
      <c r="J687">
        <v>8.1</v>
      </c>
      <c r="K687">
        <v>11</v>
      </c>
      <c r="L687">
        <v>23.6</v>
      </c>
      <c r="M687">
        <v>11.1</v>
      </c>
      <c r="N687">
        <v>7.4</v>
      </c>
      <c r="O687">
        <v>9.5</v>
      </c>
      <c r="P687">
        <v>7.4204699999999999</v>
      </c>
      <c r="Q687">
        <v>8.1999999999999993</v>
      </c>
      <c r="R687">
        <v>22.4</v>
      </c>
      <c r="S687">
        <v>10.9</v>
      </c>
      <c r="T687">
        <v>16.100000000000001</v>
      </c>
      <c r="U687">
        <v>7.4</v>
      </c>
      <c r="V687">
        <v>6.9463720000000002</v>
      </c>
      <c r="W687">
        <v>10.1</v>
      </c>
      <c r="X687">
        <v>4.5</v>
      </c>
      <c r="Y687">
        <v>3.4</v>
      </c>
      <c r="Z687">
        <v>4.9000000000000004</v>
      </c>
      <c r="AA687">
        <v>15.8</v>
      </c>
      <c r="AB687">
        <v>5.2848360000000003</v>
      </c>
      <c r="AC687">
        <v>6.5</v>
      </c>
      <c r="AD687">
        <v>3.7</v>
      </c>
      <c r="AE687">
        <v>8.1240629999999996</v>
      </c>
      <c r="AF687">
        <v>10.1</v>
      </c>
      <c r="AG687">
        <v>15.5</v>
      </c>
      <c r="AH687">
        <v>13.7</v>
      </c>
      <c r="AI687">
        <v>8.1</v>
      </c>
      <c r="AJ687">
        <v>8</v>
      </c>
      <c r="AK687">
        <v>8.6</v>
      </c>
      <c r="AL687">
        <v>8.3000000000000007</v>
      </c>
    </row>
    <row r="688" spans="1:38" x14ac:dyDescent="0.2">
      <c r="A688" s="61">
        <v>40969</v>
      </c>
      <c r="B688">
        <v>5.1830080000000001</v>
      </c>
      <c r="C688">
        <v>4.8</v>
      </c>
      <c r="D688">
        <v>7.3</v>
      </c>
      <c r="E688">
        <v>7.3</v>
      </c>
      <c r="G688">
        <v>6.7539629999999997</v>
      </c>
      <c r="H688">
        <v>6.8</v>
      </c>
      <c r="I688">
        <v>5.0999999999999996</v>
      </c>
      <c r="J688">
        <v>7.6</v>
      </c>
      <c r="K688">
        <v>11.2</v>
      </c>
      <c r="L688">
        <v>23.9</v>
      </c>
      <c r="M688">
        <v>11</v>
      </c>
      <c r="N688">
        <v>7.9</v>
      </c>
      <c r="O688">
        <v>9.6</v>
      </c>
      <c r="P688">
        <v>7.4326939999999997</v>
      </c>
      <c r="Q688">
        <v>8.1999999999999993</v>
      </c>
      <c r="R688">
        <v>23</v>
      </c>
      <c r="S688">
        <v>11.2</v>
      </c>
      <c r="T688">
        <v>16.100000000000001</v>
      </c>
      <c r="U688">
        <v>7.4</v>
      </c>
      <c r="V688">
        <v>7.3010910000000004</v>
      </c>
      <c r="W688">
        <v>10.7</v>
      </c>
      <c r="X688">
        <v>4.5</v>
      </c>
      <c r="Y688">
        <v>3.3</v>
      </c>
      <c r="Z688">
        <v>5</v>
      </c>
      <c r="AA688">
        <v>16.100000000000001</v>
      </c>
      <c r="AB688">
        <v>5.018548</v>
      </c>
      <c r="AC688">
        <v>6.5</v>
      </c>
      <c r="AD688">
        <v>3</v>
      </c>
      <c r="AE688">
        <v>8.0959070000000004</v>
      </c>
      <c r="AF688">
        <v>10.1</v>
      </c>
      <c r="AG688">
        <v>15.9</v>
      </c>
      <c r="AH688">
        <v>13.7</v>
      </c>
      <c r="AI688">
        <v>7.9</v>
      </c>
      <c r="AJ688">
        <v>7.7</v>
      </c>
      <c r="AK688">
        <v>8.6</v>
      </c>
      <c r="AL688">
        <v>8.1999999999999993</v>
      </c>
    </row>
    <row r="689" spans="1:38" x14ac:dyDescent="0.2">
      <c r="A689" s="61">
        <v>41000</v>
      </c>
      <c r="B689">
        <v>4.9940069999999999</v>
      </c>
      <c r="C689">
        <v>5</v>
      </c>
      <c r="D689">
        <v>7.3</v>
      </c>
      <c r="E689">
        <v>7.3</v>
      </c>
      <c r="G689">
        <v>6.7041630000000003</v>
      </c>
      <c r="H689">
        <v>6.9</v>
      </c>
      <c r="I689">
        <v>5.0999999999999996</v>
      </c>
      <c r="J689">
        <v>8.4</v>
      </c>
      <c r="K689">
        <v>11.3</v>
      </c>
      <c r="L689">
        <v>24.2</v>
      </c>
      <c r="M689">
        <v>10</v>
      </c>
      <c r="N689">
        <v>7.6</v>
      </c>
      <c r="O689">
        <v>9.6999999999999993</v>
      </c>
      <c r="P689">
        <v>7.4154200000000001</v>
      </c>
      <c r="Q689">
        <v>8.1</v>
      </c>
      <c r="R689">
        <v>23.5</v>
      </c>
      <c r="S689">
        <v>11.2</v>
      </c>
      <c r="T689">
        <v>15.7</v>
      </c>
      <c r="U689">
        <v>7.3</v>
      </c>
      <c r="V689">
        <v>6.9768910000000002</v>
      </c>
      <c r="W689">
        <v>10.7</v>
      </c>
      <c r="X689">
        <v>4.5</v>
      </c>
      <c r="Y689">
        <v>3.3</v>
      </c>
      <c r="Z689">
        <v>5</v>
      </c>
      <c r="AA689">
        <v>16.399999999999999</v>
      </c>
      <c r="AB689">
        <v>4.9562629999999999</v>
      </c>
      <c r="AC689">
        <v>6.8</v>
      </c>
      <c r="AD689">
        <v>3.5</v>
      </c>
      <c r="AE689">
        <v>8.1207619999999991</v>
      </c>
      <c r="AF689">
        <v>10.199999999999999</v>
      </c>
      <c r="AG689">
        <v>16.2</v>
      </c>
      <c r="AH689">
        <v>14</v>
      </c>
      <c r="AI689">
        <v>8.1</v>
      </c>
      <c r="AJ689">
        <v>7.7</v>
      </c>
      <c r="AK689">
        <v>8.5</v>
      </c>
      <c r="AL689">
        <v>8.1999999999999993</v>
      </c>
    </row>
    <row r="690" spans="1:38" x14ac:dyDescent="0.2">
      <c r="A690" s="61">
        <v>41030</v>
      </c>
      <c r="B690">
        <v>5.1998990000000003</v>
      </c>
      <c r="C690">
        <v>5.2</v>
      </c>
      <c r="D690">
        <v>7.4</v>
      </c>
      <c r="E690">
        <v>7.4</v>
      </c>
      <c r="G690">
        <v>6.5096990000000003</v>
      </c>
      <c r="H690">
        <v>7</v>
      </c>
      <c r="I690">
        <v>5.0999999999999996</v>
      </c>
      <c r="J690">
        <v>8.5</v>
      </c>
      <c r="K690">
        <v>11.3</v>
      </c>
      <c r="L690">
        <v>24.5</v>
      </c>
      <c r="M690">
        <v>9.9</v>
      </c>
      <c r="N690">
        <v>7.7</v>
      </c>
      <c r="O690">
        <v>9.6999999999999993</v>
      </c>
      <c r="P690">
        <v>7.3944510000000001</v>
      </c>
      <c r="Q690">
        <v>8</v>
      </c>
      <c r="R690">
        <v>24.2</v>
      </c>
      <c r="S690">
        <v>10.5</v>
      </c>
      <c r="T690">
        <v>15.5</v>
      </c>
      <c r="U690">
        <v>7.1</v>
      </c>
      <c r="V690">
        <v>6.9904099999999998</v>
      </c>
      <c r="W690">
        <v>10.6</v>
      </c>
      <c r="X690">
        <v>4.4000000000000004</v>
      </c>
      <c r="Y690">
        <v>3.1</v>
      </c>
      <c r="Z690">
        <v>5.0999999999999996</v>
      </c>
      <c r="AA690">
        <v>16.3</v>
      </c>
      <c r="AB690">
        <v>5.0074439999999996</v>
      </c>
      <c r="AC690">
        <v>6.7</v>
      </c>
      <c r="AD690">
        <v>3.5</v>
      </c>
      <c r="AE690">
        <v>8.1134160000000008</v>
      </c>
      <c r="AF690">
        <v>10.3</v>
      </c>
      <c r="AG690">
        <v>16.2</v>
      </c>
      <c r="AH690">
        <v>13.8</v>
      </c>
      <c r="AI690">
        <v>8.4</v>
      </c>
      <c r="AJ690">
        <v>8.4</v>
      </c>
      <c r="AK690">
        <v>8.3000000000000007</v>
      </c>
      <c r="AL690">
        <v>8.1999999999999993</v>
      </c>
    </row>
    <row r="691" spans="1:38" x14ac:dyDescent="0.2">
      <c r="A691" s="61">
        <v>41061</v>
      </c>
      <c r="B691">
        <v>5.1618899999999996</v>
      </c>
      <c r="C691">
        <v>5.5</v>
      </c>
      <c r="D691">
        <v>7.4</v>
      </c>
      <c r="E691">
        <v>7.2</v>
      </c>
      <c r="G691">
        <v>6.3550519999999997</v>
      </c>
      <c r="H691">
        <v>6.7</v>
      </c>
      <c r="I691">
        <v>5.0999999999999996</v>
      </c>
      <c r="J691">
        <v>7.8</v>
      </c>
      <c r="K691">
        <v>11.4</v>
      </c>
      <c r="L691">
        <v>24.7</v>
      </c>
      <c r="M691">
        <v>9.9</v>
      </c>
      <c r="N691">
        <v>7.7</v>
      </c>
      <c r="O691">
        <v>9.6999999999999993</v>
      </c>
      <c r="P691">
        <v>7.3983679999999996</v>
      </c>
      <c r="Q691">
        <v>8</v>
      </c>
      <c r="R691">
        <v>25.2</v>
      </c>
      <c r="S691">
        <v>10.4</v>
      </c>
      <c r="T691">
        <v>15.4</v>
      </c>
      <c r="U691">
        <v>6.9</v>
      </c>
      <c r="V691">
        <v>6.5573629999999996</v>
      </c>
      <c r="W691">
        <v>10.9</v>
      </c>
      <c r="X691">
        <v>4.3</v>
      </c>
      <c r="Y691">
        <v>3.2</v>
      </c>
      <c r="Z691">
        <v>5.0999999999999996</v>
      </c>
      <c r="AA691">
        <v>15.6</v>
      </c>
      <c r="AB691">
        <v>4.9125860000000001</v>
      </c>
      <c r="AC691">
        <v>6.7</v>
      </c>
      <c r="AD691">
        <v>3.2</v>
      </c>
      <c r="AE691">
        <v>8.0840019999999999</v>
      </c>
      <c r="AF691">
        <v>10.4</v>
      </c>
      <c r="AG691">
        <v>16.2</v>
      </c>
      <c r="AH691">
        <v>13.6</v>
      </c>
      <c r="AI691">
        <v>8.8000000000000007</v>
      </c>
      <c r="AJ691">
        <v>8</v>
      </c>
      <c r="AK691">
        <v>8</v>
      </c>
      <c r="AL691">
        <v>8.1999999999999993</v>
      </c>
    </row>
    <row r="692" spans="1:38" x14ac:dyDescent="0.2">
      <c r="A692" s="61">
        <v>41091</v>
      </c>
      <c r="B692">
        <v>5.1830299999999996</v>
      </c>
      <c r="C692">
        <v>5.4</v>
      </c>
      <c r="D692">
        <v>7.4</v>
      </c>
      <c r="E692">
        <v>7.3</v>
      </c>
      <c r="G692">
        <v>6.2387059999999996</v>
      </c>
      <c r="H692">
        <v>6.9</v>
      </c>
      <c r="I692">
        <v>5.0999999999999996</v>
      </c>
      <c r="J692">
        <v>7.5</v>
      </c>
      <c r="K692">
        <v>11.5</v>
      </c>
      <c r="L692">
        <v>25</v>
      </c>
      <c r="M692">
        <v>9.6999999999999993</v>
      </c>
      <c r="N692">
        <v>7.8</v>
      </c>
      <c r="O692">
        <v>9.6</v>
      </c>
      <c r="P692">
        <v>7.382879</v>
      </c>
      <c r="Q692">
        <v>7.9</v>
      </c>
      <c r="R692">
        <v>25.4</v>
      </c>
      <c r="S692">
        <v>10.6</v>
      </c>
      <c r="T692">
        <v>15.6</v>
      </c>
      <c r="U692">
        <v>6.7</v>
      </c>
      <c r="V692">
        <v>6.4951920000000003</v>
      </c>
      <c r="W692">
        <v>11</v>
      </c>
      <c r="X692">
        <v>4.3</v>
      </c>
      <c r="Y692">
        <v>3.1</v>
      </c>
      <c r="Z692">
        <v>5</v>
      </c>
      <c r="AA692">
        <v>14.3</v>
      </c>
      <c r="AB692">
        <v>4.7104590000000002</v>
      </c>
      <c r="AC692">
        <v>6.8</v>
      </c>
      <c r="AD692">
        <v>3.4</v>
      </c>
      <c r="AE692">
        <v>8.0946400000000001</v>
      </c>
      <c r="AF692">
        <v>10.5</v>
      </c>
      <c r="AG692">
        <v>16.399999999999999</v>
      </c>
      <c r="AH692">
        <v>13.8</v>
      </c>
      <c r="AI692">
        <v>9.3000000000000007</v>
      </c>
      <c r="AJ692">
        <v>8.1999999999999993</v>
      </c>
      <c r="AK692">
        <v>8.1</v>
      </c>
      <c r="AL692">
        <v>8.1999999999999993</v>
      </c>
    </row>
    <row r="693" spans="1:38" x14ac:dyDescent="0.2">
      <c r="A693" s="61">
        <v>41122</v>
      </c>
      <c r="B693">
        <v>5.1569789999999998</v>
      </c>
      <c r="C693">
        <v>5.5</v>
      </c>
      <c r="D693">
        <v>7.6</v>
      </c>
      <c r="E693">
        <v>7.3</v>
      </c>
      <c r="G693">
        <v>6.3440240000000001</v>
      </c>
      <c r="H693">
        <v>7.1</v>
      </c>
      <c r="I693">
        <v>5</v>
      </c>
      <c r="J693">
        <v>8.1</v>
      </c>
      <c r="K693">
        <v>11.5</v>
      </c>
      <c r="L693">
        <v>25.2</v>
      </c>
      <c r="M693">
        <v>9.6</v>
      </c>
      <c r="N693">
        <v>8.4</v>
      </c>
      <c r="O693">
        <v>9.6</v>
      </c>
      <c r="P693">
        <v>7.2858989999999997</v>
      </c>
      <c r="Q693">
        <v>7.9</v>
      </c>
      <c r="R693">
        <v>26</v>
      </c>
      <c r="S693">
        <v>10.1</v>
      </c>
      <c r="T693">
        <v>15.5</v>
      </c>
      <c r="U693">
        <v>6.6</v>
      </c>
      <c r="V693">
        <v>6.790724</v>
      </c>
      <c r="W693">
        <v>10.9</v>
      </c>
      <c r="X693">
        <v>4.2</v>
      </c>
      <c r="Y693">
        <v>3.2</v>
      </c>
      <c r="Z693">
        <v>5</v>
      </c>
      <c r="AA693">
        <v>13.8</v>
      </c>
      <c r="AB693">
        <v>5.0087289999999998</v>
      </c>
      <c r="AC693">
        <v>6.8</v>
      </c>
      <c r="AD693">
        <v>3.3</v>
      </c>
      <c r="AE693">
        <v>8.0721799999999995</v>
      </c>
      <c r="AF693">
        <v>10.6</v>
      </c>
      <c r="AG693">
        <v>16.899999999999999</v>
      </c>
      <c r="AH693">
        <v>13.9</v>
      </c>
      <c r="AI693">
        <v>9.5</v>
      </c>
      <c r="AJ693">
        <v>8.3000000000000007</v>
      </c>
      <c r="AK693">
        <v>8.1999999999999993</v>
      </c>
      <c r="AL693">
        <v>8.1</v>
      </c>
    </row>
    <row r="694" spans="1:38" x14ac:dyDescent="0.2">
      <c r="A694" s="61">
        <v>41153</v>
      </c>
      <c r="B694">
        <v>5.4848359999999996</v>
      </c>
      <c r="C694">
        <v>5.6</v>
      </c>
      <c r="D694">
        <v>7.8</v>
      </c>
      <c r="E694">
        <v>7.3</v>
      </c>
      <c r="G694">
        <v>6.6066039999999999</v>
      </c>
      <c r="H694">
        <v>6.8</v>
      </c>
      <c r="I694">
        <v>5</v>
      </c>
      <c r="J694">
        <v>7.7</v>
      </c>
      <c r="K694">
        <v>11.7</v>
      </c>
      <c r="L694">
        <v>25.5</v>
      </c>
      <c r="M694">
        <v>8.9</v>
      </c>
      <c r="N694">
        <v>8</v>
      </c>
      <c r="O694">
        <v>9.8000000000000007</v>
      </c>
      <c r="P694">
        <v>7.2244339999999996</v>
      </c>
      <c r="Q694">
        <v>7.9</v>
      </c>
      <c r="R694">
        <v>26.5</v>
      </c>
      <c r="S694">
        <v>10.199999999999999</v>
      </c>
      <c r="T694">
        <v>15.4</v>
      </c>
      <c r="U694">
        <v>6.5</v>
      </c>
      <c r="V694">
        <v>6.8196050000000001</v>
      </c>
      <c r="W694">
        <v>11.2</v>
      </c>
      <c r="X694">
        <v>4.2</v>
      </c>
      <c r="Y694">
        <v>3.2</v>
      </c>
      <c r="Z694">
        <v>5.0999999999999996</v>
      </c>
      <c r="AA694">
        <v>13.8</v>
      </c>
      <c r="AB694">
        <v>4.6666420000000004</v>
      </c>
      <c r="AC694">
        <v>6.9</v>
      </c>
      <c r="AD694">
        <v>3.3</v>
      </c>
      <c r="AE694">
        <v>8.0512870000000003</v>
      </c>
      <c r="AF694">
        <v>10.6</v>
      </c>
      <c r="AG694">
        <v>17</v>
      </c>
      <c r="AH694">
        <v>13.9</v>
      </c>
      <c r="AI694">
        <v>9.5</v>
      </c>
      <c r="AJ694">
        <v>8.3000000000000007</v>
      </c>
      <c r="AK694">
        <v>8.4</v>
      </c>
      <c r="AL694">
        <v>7.8</v>
      </c>
    </row>
    <row r="695" spans="1:38" x14ac:dyDescent="0.2">
      <c r="A695" s="61">
        <v>41183</v>
      </c>
      <c r="B695">
        <v>5.4120049999999997</v>
      </c>
      <c r="C695">
        <v>5.3</v>
      </c>
      <c r="D695">
        <v>8.1999999999999993</v>
      </c>
      <c r="E695">
        <v>7.5</v>
      </c>
      <c r="G695">
        <v>6.5871050000000002</v>
      </c>
      <c r="H695">
        <v>7.1</v>
      </c>
      <c r="I695">
        <v>5</v>
      </c>
      <c r="J695">
        <v>7.6</v>
      </c>
      <c r="K695">
        <v>11.8</v>
      </c>
      <c r="L695">
        <v>25.7</v>
      </c>
      <c r="M695">
        <v>9</v>
      </c>
      <c r="N695">
        <v>7.7</v>
      </c>
      <c r="O695">
        <v>10.1</v>
      </c>
      <c r="P695">
        <v>7.2681899999999997</v>
      </c>
      <c r="Q695">
        <v>7.8</v>
      </c>
      <c r="R695">
        <v>26.2</v>
      </c>
      <c r="S695">
        <v>10.7</v>
      </c>
      <c r="T695">
        <v>15.2</v>
      </c>
      <c r="U695">
        <v>6.3</v>
      </c>
      <c r="V695">
        <v>6.9498360000000003</v>
      </c>
      <c r="W695">
        <v>11.7</v>
      </c>
      <c r="X695">
        <v>4.0999999999999996</v>
      </c>
      <c r="Y695">
        <v>3.1</v>
      </c>
      <c r="Z695">
        <v>5.2</v>
      </c>
      <c r="AA695">
        <v>14.4</v>
      </c>
      <c r="AB695">
        <v>4.9104809999999999</v>
      </c>
      <c r="AC695">
        <v>7</v>
      </c>
      <c r="AD695">
        <v>3.8</v>
      </c>
      <c r="AE695">
        <v>8.0976730000000003</v>
      </c>
      <c r="AF695">
        <v>10.5</v>
      </c>
      <c r="AG695">
        <v>17.5</v>
      </c>
      <c r="AH695">
        <v>14.1</v>
      </c>
      <c r="AI695">
        <v>9.5</v>
      </c>
      <c r="AJ695">
        <v>8.1999999999999993</v>
      </c>
      <c r="AK695">
        <v>8.4</v>
      </c>
      <c r="AL695">
        <v>7.8</v>
      </c>
    </row>
    <row r="696" spans="1:38" x14ac:dyDescent="0.2">
      <c r="A696" s="61">
        <v>41214</v>
      </c>
      <c r="B696">
        <v>5.2571219999999999</v>
      </c>
      <c r="C696">
        <v>5.4</v>
      </c>
      <c r="D696">
        <v>8.4</v>
      </c>
      <c r="E696">
        <v>7.4</v>
      </c>
      <c r="G696">
        <v>6.7143579999999998</v>
      </c>
      <c r="H696">
        <v>7.6</v>
      </c>
      <c r="I696">
        <v>5</v>
      </c>
      <c r="J696">
        <v>7.3</v>
      </c>
      <c r="K696">
        <v>11.9</v>
      </c>
      <c r="L696">
        <v>25.9</v>
      </c>
      <c r="M696">
        <v>9.1</v>
      </c>
      <c r="N696">
        <v>8.1999999999999993</v>
      </c>
      <c r="O696">
        <v>10.199999999999999</v>
      </c>
      <c r="P696">
        <v>7.2336999999999998</v>
      </c>
      <c r="Q696">
        <v>7.8</v>
      </c>
      <c r="R696">
        <v>27</v>
      </c>
      <c r="S696">
        <v>10.5</v>
      </c>
      <c r="T696">
        <v>15</v>
      </c>
      <c r="U696">
        <v>6.2</v>
      </c>
      <c r="V696">
        <v>6.8413760000000003</v>
      </c>
      <c r="W696">
        <v>11.6</v>
      </c>
      <c r="X696">
        <v>4.0999999999999996</v>
      </c>
      <c r="Y696">
        <v>3.2</v>
      </c>
      <c r="Z696">
        <v>5.3</v>
      </c>
      <c r="AA696">
        <v>14.4</v>
      </c>
      <c r="AB696">
        <v>5.2823820000000001</v>
      </c>
      <c r="AC696">
        <v>7.2</v>
      </c>
      <c r="AD696">
        <v>3.5</v>
      </c>
      <c r="AE696">
        <v>8.1616549999999997</v>
      </c>
      <c r="AF696">
        <v>10.6</v>
      </c>
      <c r="AG696">
        <v>17.8</v>
      </c>
      <c r="AH696">
        <v>14.3</v>
      </c>
      <c r="AI696">
        <v>9.4</v>
      </c>
      <c r="AJ696">
        <v>8.6</v>
      </c>
      <c r="AK696">
        <v>8.6</v>
      </c>
      <c r="AL696">
        <v>7.7</v>
      </c>
    </row>
    <row r="697" spans="1:38" x14ac:dyDescent="0.2">
      <c r="A697" s="61">
        <v>41244</v>
      </c>
      <c r="B697">
        <v>5.4352429999999998</v>
      </c>
      <c r="C697">
        <v>5.4</v>
      </c>
      <c r="D697">
        <v>8.5</v>
      </c>
      <c r="E697">
        <v>7.3</v>
      </c>
      <c r="G697">
        <v>6.4942549999999999</v>
      </c>
      <c r="H697">
        <v>7.1</v>
      </c>
      <c r="I697">
        <v>5</v>
      </c>
      <c r="J697">
        <v>7.4</v>
      </c>
      <c r="K697">
        <v>12</v>
      </c>
      <c r="L697">
        <v>26</v>
      </c>
      <c r="M697">
        <v>9.6</v>
      </c>
      <c r="N697">
        <v>7.7</v>
      </c>
      <c r="O697">
        <v>10.3</v>
      </c>
      <c r="P697">
        <v>7.3359269999999999</v>
      </c>
      <c r="Q697">
        <v>7.8</v>
      </c>
      <c r="R697">
        <v>26.9</v>
      </c>
      <c r="S697">
        <v>10.4</v>
      </c>
      <c r="T697">
        <v>14.8</v>
      </c>
      <c r="U697">
        <v>6.1</v>
      </c>
      <c r="V697">
        <v>6.803566</v>
      </c>
      <c r="W697">
        <v>11.6</v>
      </c>
      <c r="X697">
        <v>4.3</v>
      </c>
      <c r="Y697">
        <v>3.1</v>
      </c>
      <c r="Z697">
        <v>5.4</v>
      </c>
      <c r="AA697">
        <v>13.9</v>
      </c>
      <c r="AB697">
        <v>4.9582459999999999</v>
      </c>
      <c r="AC697">
        <v>7.4</v>
      </c>
      <c r="AD697">
        <v>3.7</v>
      </c>
      <c r="AE697">
        <v>8.2060929999999992</v>
      </c>
      <c r="AF697">
        <v>10.6</v>
      </c>
      <c r="AG697">
        <v>18.2</v>
      </c>
      <c r="AH697">
        <v>14.3</v>
      </c>
      <c r="AI697">
        <v>9.6999999999999993</v>
      </c>
      <c r="AJ697">
        <v>8.3000000000000007</v>
      </c>
      <c r="AK697">
        <v>8.8000000000000007</v>
      </c>
      <c r="AL697">
        <v>7.9</v>
      </c>
    </row>
    <row r="698" spans="1:38" x14ac:dyDescent="0.2">
      <c r="A698" s="61">
        <v>41275</v>
      </c>
      <c r="B698">
        <v>5.3886070000000004</v>
      </c>
      <c r="C698">
        <v>5.9</v>
      </c>
      <c r="D698">
        <v>8.6</v>
      </c>
      <c r="E698">
        <v>7.1</v>
      </c>
      <c r="G698">
        <v>6.6480670000000002</v>
      </c>
      <c r="H698">
        <v>6.8</v>
      </c>
      <c r="I698">
        <v>5.0999999999999996</v>
      </c>
      <c r="J698">
        <v>7.9</v>
      </c>
      <c r="K698">
        <v>12.2</v>
      </c>
      <c r="L698">
        <v>26.3</v>
      </c>
      <c r="M698">
        <v>10</v>
      </c>
      <c r="N698">
        <v>8.6</v>
      </c>
      <c r="O698">
        <v>10.4</v>
      </c>
      <c r="P698">
        <v>7.4362490000000001</v>
      </c>
      <c r="Q698">
        <v>8</v>
      </c>
      <c r="R698">
        <v>27.3</v>
      </c>
      <c r="S698">
        <v>11.2</v>
      </c>
      <c r="T698">
        <v>14.7</v>
      </c>
      <c r="U698">
        <v>6.1</v>
      </c>
      <c r="V698">
        <v>6.6930889999999996</v>
      </c>
      <c r="W698">
        <v>12.2</v>
      </c>
      <c r="X698">
        <v>4.2</v>
      </c>
      <c r="Y698">
        <v>3.2</v>
      </c>
      <c r="Z698">
        <v>5.5</v>
      </c>
      <c r="AA698">
        <v>13.1</v>
      </c>
      <c r="AB698">
        <v>5.207999</v>
      </c>
      <c r="AC698">
        <v>7.5</v>
      </c>
      <c r="AD698">
        <v>3.8</v>
      </c>
      <c r="AE698">
        <v>8.2979939999999992</v>
      </c>
      <c r="AF698">
        <v>10.8</v>
      </c>
      <c r="AG698">
        <v>18.3</v>
      </c>
      <c r="AH698">
        <v>14.2</v>
      </c>
      <c r="AI698">
        <v>10.199999999999999</v>
      </c>
      <c r="AJ698">
        <v>8.1</v>
      </c>
      <c r="AK698">
        <v>8.8000000000000007</v>
      </c>
      <c r="AL698">
        <v>8</v>
      </c>
    </row>
    <row r="699" spans="1:38" x14ac:dyDescent="0.2">
      <c r="A699" s="61">
        <v>41306</v>
      </c>
      <c r="B699">
        <v>5.4058270000000004</v>
      </c>
      <c r="C699">
        <v>5.5</v>
      </c>
      <c r="D699">
        <v>8.6</v>
      </c>
      <c r="E699">
        <v>7.1</v>
      </c>
      <c r="G699">
        <v>6.4458510000000002</v>
      </c>
      <c r="H699">
        <v>7.5</v>
      </c>
      <c r="I699">
        <v>5.0999999999999996</v>
      </c>
      <c r="J699">
        <v>7.2</v>
      </c>
      <c r="K699">
        <v>12.2</v>
      </c>
      <c r="L699">
        <v>26.4</v>
      </c>
      <c r="M699">
        <v>9.6999999999999993</v>
      </c>
      <c r="N699">
        <v>8.5</v>
      </c>
      <c r="O699">
        <v>10.4</v>
      </c>
      <c r="P699">
        <v>7.2952349999999999</v>
      </c>
      <c r="Q699">
        <v>7.8</v>
      </c>
      <c r="R699">
        <v>27.3</v>
      </c>
      <c r="S699">
        <v>10.8</v>
      </c>
      <c r="T699">
        <v>14.6</v>
      </c>
      <c r="U699">
        <v>6.1</v>
      </c>
      <c r="V699">
        <v>6.7803170000000001</v>
      </c>
      <c r="W699">
        <v>12.1</v>
      </c>
      <c r="X699">
        <v>4.3</v>
      </c>
      <c r="Y699">
        <v>3.2</v>
      </c>
      <c r="Z699">
        <v>5.6</v>
      </c>
      <c r="AA699">
        <v>12.6</v>
      </c>
      <c r="AB699">
        <v>4.8490260000000003</v>
      </c>
      <c r="AC699">
        <v>7.7</v>
      </c>
      <c r="AD699">
        <v>4</v>
      </c>
      <c r="AE699">
        <v>8.2038159999999998</v>
      </c>
      <c r="AF699">
        <v>10.9</v>
      </c>
      <c r="AG699">
        <v>18.2</v>
      </c>
      <c r="AH699">
        <v>14.2</v>
      </c>
      <c r="AI699">
        <v>10.5</v>
      </c>
      <c r="AJ699">
        <v>8.1999999999999993</v>
      </c>
      <c r="AK699">
        <v>8.8000000000000007</v>
      </c>
      <c r="AL699">
        <v>7.7</v>
      </c>
    </row>
    <row r="700" spans="1:38" x14ac:dyDescent="0.2">
      <c r="A700" s="61">
        <v>41334</v>
      </c>
      <c r="B700">
        <v>5.6400750000000004</v>
      </c>
      <c r="C700">
        <v>6</v>
      </c>
      <c r="D700">
        <v>8.6</v>
      </c>
      <c r="E700">
        <v>7.3</v>
      </c>
      <c r="G700">
        <v>6.5327739999999999</v>
      </c>
      <c r="H700">
        <v>7.3</v>
      </c>
      <c r="I700">
        <v>5</v>
      </c>
      <c r="J700">
        <v>7.5</v>
      </c>
      <c r="K700">
        <v>12.2</v>
      </c>
      <c r="L700">
        <v>26.4</v>
      </c>
      <c r="M700">
        <v>9.1</v>
      </c>
      <c r="N700">
        <v>8.3000000000000007</v>
      </c>
      <c r="O700">
        <v>10.4</v>
      </c>
      <c r="P700">
        <v>7.1946890000000003</v>
      </c>
      <c r="Q700">
        <v>7.8</v>
      </c>
      <c r="R700">
        <v>27.6</v>
      </c>
      <c r="S700">
        <v>10.199999999999999</v>
      </c>
      <c r="T700">
        <v>14.3</v>
      </c>
      <c r="U700">
        <v>6.2</v>
      </c>
      <c r="V700">
        <v>6.6715520000000001</v>
      </c>
      <c r="W700">
        <v>12.1</v>
      </c>
      <c r="X700">
        <v>4.0999999999999996</v>
      </c>
      <c r="Y700">
        <v>3</v>
      </c>
      <c r="Z700">
        <v>5.7</v>
      </c>
      <c r="AA700">
        <v>12</v>
      </c>
      <c r="AB700">
        <v>4.9082429999999997</v>
      </c>
      <c r="AC700">
        <v>7.9</v>
      </c>
      <c r="AD700">
        <v>4.0999999999999996</v>
      </c>
      <c r="AE700">
        <v>8.1400670000000002</v>
      </c>
      <c r="AF700">
        <v>10.9</v>
      </c>
      <c r="AG700">
        <v>18.100000000000001</v>
      </c>
      <c r="AH700">
        <v>14.2</v>
      </c>
      <c r="AI700">
        <v>10.8</v>
      </c>
      <c r="AJ700">
        <v>8.5</v>
      </c>
      <c r="AK700">
        <v>9</v>
      </c>
      <c r="AL700">
        <v>7.5</v>
      </c>
    </row>
    <row r="701" spans="1:38" x14ac:dyDescent="0.2">
      <c r="A701" s="61">
        <v>41365</v>
      </c>
      <c r="B701">
        <v>5.5871300000000002</v>
      </c>
      <c r="C701">
        <v>5.5</v>
      </c>
      <c r="D701">
        <v>8.6</v>
      </c>
      <c r="E701">
        <v>7.2</v>
      </c>
      <c r="G701">
        <v>6.3146139999999997</v>
      </c>
      <c r="H701">
        <v>7</v>
      </c>
      <c r="I701">
        <v>5</v>
      </c>
      <c r="J701">
        <v>8.3000000000000007</v>
      </c>
      <c r="K701">
        <v>12.2</v>
      </c>
      <c r="L701">
        <v>26.3</v>
      </c>
      <c r="M701">
        <v>8.1</v>
      </c>
      <c r="N701">
        <v>8.1999999999999993</v>
      </c>
      <c r="O701">
        <v>10.5</v>
      </c>
      <c r="P701">
        <v>7.2190180000000002</v>
      </c>
      <c r="Q701">
        <v>7.8</v>
      </c>
      <c r="R701">
        <v>28</v>
      </c>
      <c r="S701">
        <v>10</v>
      </c>
      <c r="T701">
        <v>14.5</v>
      </c>
      <c r="U701">
        <v>6.2</v>
      </c>
      <c r="V701">
        <v>6.6883609999999996</v>
      </c>
      <c r="W701">
        <v>12.3</v>
      </c>
      <c r="X701">
        <v>4.0999999999999996</v>
      </c>
      <c r="Y701">
        <v>3</v>
      </c>
      <c r="Z701">
        <v>5.7</v>
      </c>
      <c r="AA701">
        <v>11.5</v>
      </c>
      <c r="AB701">
        <v>5.1454139999999997</v>
      </c>
      <c r="AC701">
        <v>8</v>
      </c>
      <c r="AD701">
        <v>4.0999999999999996</v>
      </c>
      <c r="AE701">
        <v>8.1660190000000004</v>
      </c>
      <c r="AF701">
        <v>11</v>
      </c>
      <c r="AG701">
        <v>17.899999999999999</v>
      </c>
      <c r="AH701">
        <v>14.2</v>
      </c>
      <c r="AI701">
        <v>10.8</v>
      </c>
      <c r="AJ701">
        <v>8.4</v>
      </c>
      <c r="AK701">
        <v>9.1</v>
      </c>
      <c r="AL701">
        <v>7.6</v>
      </c>
    </row>
    <row r="702" spans="1:38" x14ac:dyDescent="0.2">
      <c r="A702" s="61">
        <v>41395</v>
      </c>
      <c r="B702">
        <v>5.6106769999999999</v>
      </c>
      <c r="C702">
        <v>5.4</v>
      </c>
      <c r="D702">
        <v>8.6</v>
      </c>
      <c r="E702">
        <v>7</v>
      </c>
      <c r="G702">
        <v>6.0068239999999999</v>
      </c>
      <c r="H702">
        <v>7.2</v>
      </c>
      <c r="I702">
        <v>5</v>
      </c>
      <c r="J702">
        <v>6.6</v>
      </c>
      <c r="K702">
        <v>12.2</v>
      </c>
      <c r="L702">
        <v>26.1</v>
      </c>
      <c r="M702">
        <v>7.9</v>
      </c>
      <c r="N702">
        <v>8.6</v>
      </c>
      <c r="O702">
        <v>10.4</v>
      </c>
      <c r="P702">
        <v>7.1794719999999996</v>
      </c>
      <c r="Q702">
        <v>7.7</v>
      </c>
      <c r="R702">
        <v>28</v>
      </c>
      <c r="S702">
        <v>10.1</v>
      </c>
      <c r="T702">
        <v>14.5</v>
      </c>
      <c r="U702">
        <v>6.1</v>
      </c>
      <c r="V702">
        <v>6.6531529999999997</v>
      </c>
      <c r="W702">
        <v>12.4</v>
      </c>
      <c r="X702">
        <v>4.0999999999999996</v>
      </c>
      <c r="Y702">
        <v>3</v>
      </c>
      <c r="Z702">
        <v>5.8</v>
      </c>
      <c r="AA702">
        <v>11.3</v>
      </c>
      <c r="AB702">
        <v>5.0862990000000003</v>
      </c>
      <c r="AC702">
        <v>8.1</v>
      </c>
      <c r="AD702">
        <v>3.9</v>
      </c>
      <c r="AE702">
        <v>8.0880639999999993</v>
      </c>
      <c r="AF702">
        <v>10.9</v>
      </c>
      <c r="AG702">
        <v>17.7</v>
      </c>
      <c r="AH702">
        <v>14.2</v>
      </c>
      <c r="AI702">
        <v>10.6</v>
      </c>
      <c r="AJ702">
        <v>8</v>
      </c>
      <c r="AK702">
        <v>9</v>
      </c>
      <c r="AL702">
        <v>7.5</v>
      </c>
    </row>
    <row r="703" spans="1:38" x14ac:dyDescent="0.2">
      <c r="A703" s="61">
        <v>41426</v>
      </c>
      <c r="B703">
        <v>5.6936270000000002</v>
      </c>
      <c r="C703">
        <v>5.4</v>
      </c>
      <c r="D703">
        <v>8.5</v>
      </c>
      <c r="E703">
        <v>7.2</v>
      </c>
      <c r="G703">
        <v>5.5938749999999997</v>
      </c>
      <c r="H703">
        <v>6.7</v>
      </c>
      <c r="I703">
        <v>4.9000000000000004</v>
      </c>
      <c r="J703">
        <v>7.5</v>
      </c>
      <c r="K703">
        <v>12.1</v>
      </c>
      <c r="L703">
        <v>26.1</v>
      </c>
      <c r="M703">
        <v>7.7</v>
      </c>
      <c r="N703">
        <v>7.4</v>
      </c>
      <c r="O703">
        <v>10.4</v>
      </c>
      <c r="P703">
        <v>7.1506480000000003</v>
      </c>
      <c r="Q703">
        <v>7.7</v>
      </c>
      <c r="R703">
        <v>27.9</v>
      </c>
      <c r="S703">
        <v>9.6999999999999993</v>
      </c>
      <c r="T703">
        <v>14.1</v>
      </c>
      <c r="U703">
        <v>6</v>
      </c>
      <c r="V703">
        <v>6.1662850000000002</v>
      </c>
      <c r="W703">
        <v>12.4</v>
      </c>
      <c r="X703">
        <v>3.9</v>
      </c>
      <c r="Y703">
        <v>3.1</v>
      </c>
      <c r="Z703">
        <v>5.9</v>
      </c>
      <c r="AA703">
        <v>11.3</v>
      </c>
      <c r="AB703">
        <v>5.0813750000000004</v>
      </c>
      <c r="AC703">
        <v>8.3000000000000007</v>
      </c>
      <c r="AD703">
        <v>3.7</v>
      </c>
      <c r="AE703">
        <v>8.0435599999999994</v>
      </c>
      <c r="AF703">
        <v>10.8</v>
      </c>
      <c r="AG703">
        <v>17.399999999999999</v>
      </c>
      <c r="AH703">
        <v>14.3</v>
      </c>
      <c r="AI703">
        <v>10.199999999999999</v>
      </c>
      <c r="AJ703">
        <v>8.1999999999999993</v>
      </c>
      <c r="AK703">
        <v>8.9</v>
      </c>
      <c r="AL703">
        <v>7.5</v>
      </c>
    </row>
    <row r="704" spans="1:38" x14ac:dyDescent="0.2">
      <c r="A704" s="61">
        <v>41456</v>
      </c>
      <c r="B704">
        <v>5.6354309999999996</v>
      </c>
      <c r="C704">
        <v>5.9</v>
      </c>
      <c r="D704">
        <v>8.5</v>
      </c>
      <c r="E704">
        <v>7.1</v>
      </c>
      <c r="G704">
        <v>5.5778600000000003</v>
      </c>
      <c r="H704">
        <v>6.7</v>
      </c>
      <c r="I704">
        <v>4.9000000000000004</v>
      </c>
      <c r="J704">
        <v>7.5</v>
      </c>
      <c r="K704">
        <v>12</v>
      </c>
      <c r="L704">
        <v>26.1</v>
      </c>
      <c r="M704">
        <v>7.6</v>
      </c>
      <c r="N704">
        <v>7.8</v>
      </c>
      <c r="O704">
        <v>10.3</v>
      </c>
      <c r="P704">
        <v>6.9986620000000004</v>
      </c>
      <c r="Q704">
        <v>7.7</v>
      </c>
      <c r="R704">
        <v>28.1</v>
      </c>
      <c r="S704">
        <v>9.6999999999999993</v>
      </c>
      <c r="T704">
        <v>13.6</v>
      </c>
      <c r="U704">
        <v>6</v>
      </c>
      <c r="V704">
        <v>6.0977420000000002</v>
      </c>
      <c r="W704">
        <v>12.1</v>
      </c>
      <c r="X704">
        <v>3.8</v>
      </c>
      <c r="Y704">
        <v>3.2</v>
      </c>
      <c r="Z704">
        <v>5.9</v>
      </c>
      <c r="AA704">
        <v>11.8</v>
      </c>
      <c r="AB704">
        <v>4.8224320000000001</v>
      </c>
      <c r="AC704">
        <v>8.5</v>
      </c>
      <c r="AD704">
        <v>3.7</v>
      </c>
      <c r="AE704">
        <v>7.9448540000000003</v>
      </c>
      <c r="AF704">
        <v>10.6</v>
      </c>
      <c r="AG704">
        <v>17.3</v>
      </c>
      <c r="AH704">
        <v>14.1</v>
      </c>
      <c r="AI704">
        <v>9.8000000000000007</v>
      </c>
      <c r="AJ704">
        <v>8.1</v>
      </c>
      <c r="AK704">
        <v>9.1</v>
      </c>
      <c r="AL704">
        <v>7.3</v>
      </c>
    </row>
    <row r="705" spans="1:38" x14ac:dyDescent="0.2">
      <c r="A705" s="61">
        <v>41487</v>
      </c>
      <c r="B705">
        <v>5.8430270000000002</v>
      </c>
      <c r="C705">
        <v>5.6</v>
      </c>
      <c r="D705">
        <v>8.4</v>
      </c>
      <c r="E705">
        <v>7.1</v>
      </c>
      <c r="G705">
        <v>5.6483999999999996</v>
      </c>
      <c r="H705">
        <v>7.1</v>
      </c>
      <c r="I705">
        <v>4.9000000000000004</v>
      </c>
      <c r="J705">
        <v>7.1</v>
      </c>
      <c r="K705">
        <v>12</v>
      </c>
      <c r="L705">
        <v>26.1</v>
      </c>
      <c r="M705">
        <v>7.9</v>
      </c>
      <c r="N705">
        <v>8.1999999999999993</v>
      </c>
      <c r="O705">
        <v>10.1</v>
      </c>
      <c r="P705">
        <v>7.0243180000000001</v>
      </c>
      <c r="Q705">
        <v>7.6</v>
      </c>
      <c r="R705">
        <v>27.9</v>
      </c>
      <c r="S705">
        <v>10</v>
      </c>
      <c r="T705">
        <v>13.3</v>
      </c>
      <c r="U705">
        <v>6</v>
      </c>
      <c r="V705">
        <v>5.825685</v>
      </c>
      <c r="W705">
        <v>12.4</v>
      </c>
      <c r="X705">
        <v>4.0999999999999996</v>
      </c>
      <c r="Y705">
        <v>3.2</v>
      </c>
      <c r="Z705">
        <v>5.9</v>
      </c>
      <c r="AA705">
        <v>12.1</v>
      </c>
      <c r="AB705">
        <v>4.832954</v>
      </c>
      <c r="AC705">
        <v>8.5</v>
      </c>
      <c r="AD705">
        <v>4.3</v>
      </c>
      <c r="AE705">
        <v>7.9671529999999997</v>
      </c>
      <c r="AF705">
        <v>10.5</v>
      </c>
      <c r="AG705">
        <v>16.600000000000001</v>
      </c>
      <c r="AH705">
        <v>14</v>
      </c>
      <c r="AI705">
        <v>9.6999999999999993</v>
      </c>
      <c r="AJ705">
        <v>8.1999999999999993</v>
      </c>
      <c r="AK705">
        <v>9.1999999999999993</v>
      </c>
      <c r="AL705">
        <v>7.2</v>
      </c>
    </row>
    <row r="706" spans="1:38" x14ac:dyDescent="0.2">
      <c r="A706" s="61">
        <v>41518</v>
      </c>
      <c r="B706">
        <v>5.6994379999999998</v>
      </c>
      <c r="C706">
        <v>6</v>
      </c>
      <c r="D706">
        <v>8.5</v>
      </c>
      <c r="E706">
        <v>7.1</v>
      </c>
      <c r="G706">
        <v>5.8766569999999998</v>
      </c>
      <c r="H706">
        <v>7</v>
      </c>
      <c r="I706">
        <v>4.9000000000000004</v>
      </c>
      <c r="J706">
        <v>7.5</v>
      </c>
      <c r="K706">
        <v>12.1</v>
      </c>
      <c r="L706">
        <v>26.1</v>
      </c>
      <c r="M706">
        <v>8.1</v>
      </c>
      <c r="N706">
        <v>8.5</v>
      </c>
      <c r="O706">
        <v>10.199999999999999</v>
      </c>
      <c r="P706">
        <v>6.9924090000000003</v>
      </c>
      <c r="Q706">
        <v>7.4</v>
      </c>
      <c r="R706">
        <v>28.1</v>
      </c>
      <c r="S706">
        <v>9.3000000000000007</v>
      </c>
      <c r="T706">
        <v>13.1</v>
      </c>
      <c r="U706">
        <v>6</v>
      </c>
      <c r="V706">
        <v>5.7526929999999998</v>
      </c>
      <c r="W706">
        <v>12.6</v>
      </c>
      <c r="X706">
        <v>3.9</v>
      </c>
      <c r="Y706">
        <v>3</v>
      </c>
      <c r="Z706">
        <v>6</v>
      </c>
      <c r="AA706">
        <v>12.1</v>
      </c>
      <c r="AB706">
        <v>4.9443049999999999</v>
      </c>
      <c r="AC706">
        <v>8.5</v>
      </c>
      <c r="AD706">
        <v>3.9</v>
      </c>
      <c r="AE706">
        <v>7.937621</v>
      </c>
      <c r="AF706">
        <v>10.4</v>
      </c>
      <c r="AG706">
        <v>16.399999999999999</v>
      </c>
      <c r="AH706">
        <v>14</v>
      </c>
      <c r="AI706">
        <v>9.6</v>
      </c>
      <c r="AJ706">
        <v>8.3000000000000007</v>
      </c>
      <c r="AK706">
        <v>9.3000000000000007</v>
      </c>
      <c r="AL706">
        <v>7.2</v>
      </c>
    </row>
    <row r="707" spans="1:38" x14ac:dyDescent="0.2">
      <c r="A707" s="61">
        <v>41548</v>
      </c>
      <c r="B707">
        <v>5.8248600000000001</v>
      </c>
      <c r="C707">
        <v>5.7</v>
      </c>
      <c r="D707">
        <v>8.6</v>
      </c>
      <c r="E707">
        <v>7.1</v>
      </c>
      <c r="G707">
        <v>6.0746209999999996</v>
      </c>
      <c r="H707">
        <v>6.6</v>
      </c>
      <c r="I707">
        <v>4.8</v>
      </c>
      <c r="J707">
        <v>6.8</v>
      </c>
      <c r="K707">
        <v>12</v>
      </c>
      <c r="L707">
        <v>26</v>
      </c>
      <c r="M707">
        <v>8.6</v>
      </c>
      <c r="N707">
        <v>8.1</v>
      </c>
      <c r="O707">
        <v>10.1</v>
      </c>
      <c r="P707">
        <v>6.9477070000000003</v>
      </c>
      <c r="Q707">
        <v>7.2</v>
      </c>
      <c r="R707">
        <v>27.7</v>
      </c>
      <c r="S707">
        <v>9.1999999999999993</v>
      </c>
      <c r="T707">
        <v>12.9</v>
      </c>
      <c r="U707">
        <v>5.9</v>
      </c>
      <c r="V707">
        <v>5.5979080000000003</v>
      </c>
      <c r="W707">
        <v>12.6</v>
      </c>
      <c r="X707">
        <v>4</v>
      </c>
      <c r="Y707">
        <v>3.1</v>
      </c>
      <c r="Z707">
        <v>6</v>
      </c>
      <c r="AA707">
        <v>11.7</v>
      </c>
      <c r="AB707">
        <v>4.8861939999999997</v>
      </c>
      <c r="AC707">
        <v>8.5</v>
      </c>
      <c r="AD707">
        <v>3.6</v>
      </c>
      <c r="AE707">
        <v>7.8623279999999998</v>
      </c>
      <c r="AF707">
        <v>10.3</v>
      </c>
      <c r="AG707">
        <v>16.2</v>
      </c>
      <c r="AH707">
        <v>14</v>
      </c>
      <c r="AI707">
        <v>9.6</v>
      </c>
      <c r="AJ707">
        <v>8</v>
      </c>
      <c r="AK707">
        <v>9.1</v>
      </c>
      <c r="AL707">
        <v>7.2</v>
      </c>
    </row>
    <row r="708" spans="1:38" x14ac:dyDescent="0.2">
      <c r="A708" s="61">
        <v>41579</v>
      </c>
      <c r="B708">
        <v>5.7978459999999998</v>
      </c>
      <c r="C708">
        <v>6.1</v>
      </c>
      <c r="D708">
        <v>8.6999999999999993</v>
      </c>
      <c r="E708">
        <v>7</v>
      </c>
      <c r="G708">
        <v>6.2301070000000003</v>
      </c>
      <c r="H708">
        <v>7</v>
      </c>
      <c r="I708">
        <v>4.8</v>
      </c>
      <c r="J708">
        <v>7.6</v>
      </c>
      <c r="K708">
        <v>12</v>
      </c>
      <c r="L708">
        <v>25.9</v>
      </c>
      <c r="M708">
        <v>8.8000000000000007</v>
      </c>
      <c r="N708">
        <v>8.9</v>
      </c>
      <c r="O708">
        <v>10.199999999999999</v>
      </c>
      <c r="P708">
        <v>6.82036</v>
      </c>
      <c r="Q708">
        <v>7.2</v>
      </c>
      <c r="R708">
        <v>27.9</v>
      </c>
      <c r="S708">
        <v>9</v>
      </c>
      <c r="T708">
        <v>12.8</v>
      </c>
      <c r="U708">
        <v>5.8</v>
      </c>
      <c r="V708">
        <v>5.6918420000000003</v>
      </c>
      <c r="W708">
        <v>12.5</v>
      </c>
      <c r="X708">
        <v>3.9</v>
      </c>
      <c r="Y708">
        <v>3.1</v>
      </c>
      <c r="Z708">
        <v>6</v>
      </c>
      <c r="AA708">
        <v>11.5</v>
      </c>
      <c r="AB708">
        <v>4.629264</v>
      </c>
      <c r="AC708">
        <v>8.4</v>
      </c>
      <c r="AD708">
        <v>3.8</v>
      </c>
      <c r="AE708">
        <v>7.7950900000000001</v>
      </c>
      <c r="AF708">
        <v>10.199999999999999</v>
      </c>
      <c r="AG708">
        <v>16.100000000000001</v>
      </c>
      <c r="AH708">
        <v>14</v>
      </c>
      <c r="AI708">
        <v>9.6999999999999993</v>
      </c>
      <c r="AJ708">
        <v>8.1999999999999993</v>
      </c>
      <c r="AK708">
        <v>9.1999999999999993</v>
      </c>
      <c r="AL708">
        <v>6.9</v>
      </c>
    </row>
    <row r="709" spans="1:38" x14ac:dyDescent="0.2">
      <c r="A709" s="61">
        <v>41609</v>
      </c>
      <c r="B709">
        <v>5.9046310000000002</v>
      </c>
      <c r="C709">
        <v>5.8</v>
      </c>
      <c r="D709">
        <v>8.6999999999999993</v>
      </c>
      <c r="E709">
        <v>7.3</v>
      </c>
      <c r="G709">
        <v>6.6003730000000003</v>
      </c>
      <c r="H709">
        <v>6.8</v>
      </c>
      <c r="I709">
        <v>4.9000000000000004</v>
      </c>
      <c r="J709">
        <v>6.9</v>
      </c>
      <c r="K709">
        <v>11.9</v>
      </c>
      <c r="L709">
        <v>25.6</v>
      </c>
      <c r="M709">
        <v>8.6</v>
      </c>
      <c r="N709">
        <v>8.5</v>
      </c>
      <c r="O709">
        <v>10.199999999999999</v>
      </c>
      <c r="P709">
        <v>6.7095669999999998</v>
      </c>
      <c r="Q709">
        <v>7.2</v>
      </c>
      <c r="R709">
        <v>27.8</v>
      </c>
      <c r="S709">
        <v>8.6</v>
      </c>
      <c r="T709">
        <v>12.8</v>
      </c>
      <c r="U709">
        <v>5.8</v>
      </c>
      <c r="V709">
        <v>5.8333510000000004</v>
      </c>
      <c r="W709">
        <v>12.6</v>
      </c>
      <c r="X709">
        <v>3.7</v>
      </c>
      <c r="Y709">
        <v>3.2</v>
      </c>
      <c r="Z709">
        <v>6</v>
      </c>
      <c r="AA709">
        <v>11.4</v>
      </c>
      <c r="AB709">
        <v>4.7575440000000002</v>
      </c>
      <c r="AC709">
        <v>8.5</v>
      </c>
      <c r="AD709">
        <v>4.4000000000000004</v>
      </c>
      <c r="AE709">
        <v>7.7104119999999998</v>
      </c>
      <c r="AF709">
        <v>10.199999999999999</v>
      </c>
      <c r="AG709">
        <v>15.8</v>
      </c>
      <c r="AH709">
        <v>13.9</v>
      </c>
      <c r="AI709">
        <v>9.9</v>
      </c>
      <c r="AJ709">
        <v>8.1999999999999993</v>
      </c>
      <c r="AK709">
        <v>9.1</v>
      </c>
      <c r="AL709">
        <v>6.7</v>
      </c>
    </row>
    <row r="710" spans="1:38" x14ac:dyDescent="0.2">
      <c r="A710" s="61">
        <v>41640</v>
      </c>
      <c r="B710">
        <v>5.9391860000000003</v>
      </c>
      <c r="C710">
        <v>6.2</v>
      </c>
      <c r="D710">
        <v>8.8000000000000007</v>
      </c>
      <c r="E710">
        <v>7.1</v>
      </c>
      <c r="G710">
        <v>6.4589340000000002</v>
      </c>
      <c r="H710">
        <v>6.5</v>
      </c>
      <c r="I710">
        <v>4.8</v>
      </c>
      <c r="J710">
        <v>7.5</v>
      </c>
      <c r="K710">
        <v>12</v>
      </c>
      <c r="L710">
        <v>25.5</v>
      </c>
      <c r="M710">
        <v>8.8000000000000007</v>
      </c>
      <c r="N710">
        <v>8.4</v>
      </c>
      <c r="O710">
        <v>10.199999999999999</v>
      </c>
      <c r="P710">
        <v>6.6315280000000003</v>
      </c>
      <c r="Q710">
        <v>6.9</v>
      </c>
      <c r="R710">
        <v>27.2</v>
      </c>
      <c r="S710">
        <v>7.8</v>
      </c>
      <c r="T710">
        <v>12.9</v>
      </c>
      <c r="U710">
        <v>5.8</v>
      </c>
      <c r="V710">
        <v>5.7332669999999997</v>
      </c>
      <c r="W710">
        <v>13</v>
      </c>
      <c r="X710">
        <v>3.7</v>
      </c>
      <c r="Y710">
        <v>3.2</v>
      </c>
      <c r="Z710">
        <v>6</v>
      </c>
      <c r="AA710">
        <v>11.5</v>
      </c>
      <c r="AB710">
        <v>4.8859870000000001</v>
      </c>
      <c r="AC710">
        <v>8.6</v>
      </c>
      <c r="AD710">
        <v>4.0999999999999996</v>
      </c>
      <c r="AE710">
        <v>7.685009</v>
      </c>
      <c r="AF710">
        <v>10.3</v>
      </c>
      <c r="AG710">
        <v>15.5</v>
      </c>
      <c r="AH710">
        <v>13.8</v>
      </c>
      <c r="AI710">
        <v>10.199999999999999</v>
      </c>
      <c r="AJ710">
        <v>8.3000000000000007</v>
      </c>
      <c r="AK710">
        <v>9.1999999999999993</v>
      </c>
      <c r="AL710">
        <v>6.6</v>
      </c>
    </row>
    <row r="711" spans="1:38" x14ac:dyDescent="0.2">
      <c r="A711" s="61">
        <v>41671</v>
      </c>
      <c r="B711">
        <v>5.8856330000000003</v>
      </c>
      <c r="C711">
        <v>5.8</v>
      </c>
      <c r="D711">
        <v>8.6999999999999993</v>
      </c>
      <c r="E711">
        <v>7.1</v>
      </c>
      <c r="G711">
        <v>6.5232770000000002</v>
      </c>
      <c r="H711">
        <v>6.5</v>
      </c>
      <c r="I711">
        <v>4.8</v>
      </c>
      <c r="J711">
        <v>6.9</v>
      </c>
      <c r="K711">
        <v>12</v>
      </c>
      <c r="L711">
        <v>25.3</v>
      </c>
      <c r="M711">
        <v>8.3000000000000007</v>
      </c>
      <c r="N711">
        <v>8.8000000000000007</v>
      </c>
      <c r="O711">
        <v>10.199999999999999</v>
      </c>
      <c r="P711">
        <v>6.6448640000000001</v>
      </c>
      <c r="Q711">
        <v>6.8</v>
      </c>
      <c r="R711">
        <v>27.6</v>
      </c>
      <c r="S711">
        <v>7.6</v>
      </c>
      <c r="T711">
        <v>12.9</v>
      </c>
      <c r="U711">
        <v>5.7</v>
      </c>
      <c r="V711">
        <v>5.869434</v>
      </c>
      <c r="W711">
        <v>13</v>
      </c>
      <c r="X711">
        <v>3.6</v>
      </c>
      <c r="Y711">
        <v>3.6</v>
      </c>
      <c r="Z711">
        <v>5.9</v>
      </c>
      <c r="AA711">
        <v>11.5</v>
      </c>
      <c r="AB711">
        <v>4.6783739999999998</v>
      </c>
      <c r="AC711">
        <v>8.6999999999999993</v>
      </c>
      <c r="AD711">
        <v>3.3</v>
      </c>
      <c r="AE711">
        <v>7.6975579999999999</v>
      </c>
      <c r="AF711">
        <v>10.199999999999999</v>
      </c>
      <c r="AG711">
        <v>15.5</v>
      </c>
      <c r="AH711">
        <v>13.8</v>
      </c>
      <c r="AI711">
        <v>10.3</v>
      </c>
      <c r="AJ711">
        <v>8.1999999999999993</v>
      </c>
      <c r="AK711">
        <v>9.5</v>
      </c>
      <c r="AL711">
        <v>6.7</v>
      </c>
    </row>
    <row r="712" spans="1:38" x14ac:dyDescent="0.2">
      <c r="A712" s="61">
        <v>41699</v>
      </c>
      <c r="B712">
        <v>5.8754099999999996</v>
      </c>
      <c r="C712">
        <v>6.3</v>
      </c>
      <c r="D712">
        <v>8.6999999999999993</v>
      </c>
      <c r="E712">
        <v>7</v>
      </c>
      <c r="G712">
        <v>6.1660029999999999</v>
      </c>
      <c r="H712">
        <v>6.7</v>
      </c>
      <c r="I712">
        <v>4.8</v>
      </c>
      <c r="J712">
        <v>6.7</v>
      </c>
      <c r="K712">
        <v>11.9</v>
      </c>
      <c r="L712">
        <v>25.1</v>
      </c>
      <c r="M712">
        <v>8</v>
      </c>
      <c r="N712">
        <v>8.9</v>
      </c>
      <c r="O712">
        <v>10.199999999999999</v>
      </c>
      <c r="P712">
        <v>6.6187829999999996</v>
      </c>
      <c r="Q712">
        <v>6.6</v>
      </c>
      <c r="R712">
        <v>27.2</v>
      </c>
      <c r="S712">
        <v>7.8</v>
      </c>
      <c r="T712">
        <v>12.7</v>
      </c>
      <c r="U712">
        <v>5.6</v>
      </c>
      <c r="V712">
        <v>5.7895659999999998</v>
      </c>
      <c r="W712">
        <v>12.7</v>
      </c>
      <c r="X712">
        <v>3.7</v>
      </c>
      <c r="Y712">
        <v>3.4</v>
      </c>
      <c r="Z712">
        <v>6</v>
      </c>
      <c r="AA712">
        <v>11.3</v>
      </c>
      <c r="AB712">
        <v>5.2233609999999997</v>
      </c>
      <c r="AC712">
        <v>8.6999999999999993</v>
      </c>
      <c r="AD712">
        <v>4.0999999999999996</v>
      </c>
      <c r="AE712">
        <v>7.6935560000000001</v>
      </c>
      <c r="AF712">
        <v>10</v>
      </c>
      <c r="AG712">
        <v>15.4</v>
      </c>
      <c r="AH712">
        <v>13.7</v>
      </c>
      <c r="AI712">
        <v>10.1</v>
      </c>
      <c r="AJ712">
        <v>8.3000000000000007</v>
      </c>
      <c r="AK712">
        <v>9.5</v>
      </c>
      <c r="AL712">
        <v>6.7</v>
      </c>
    </row>
    <row r="713" spans="1:38" x14ac:dyDescent="0.2">
      <c r="A713" s="61">
        <v>41730</v>
      </c>
      <c r="B713">
        <v>5.8033359999999998</v>
      </c>
      <c r="C713">
        <v>5.5</v>
      </c>
      <c r="D713">
        <v>8.6</v>
      </c>
      <c r="E713">
        <v>7.1</v>
      </c>
      <c r="G713">
        <v>6.1154539999999997</v>
      </c>
      <c r="H713">
        <v>6.3</v>
      </c>
      <c r="I713">
        <v>4.8</v>
      </c>
      <c r="J713">
        <v>6.7</v>
      </c>
      <c r="K713">
        <v>11.8</v>
      </c>
      <c r="L713">
        <v>24.8</v>
      </c>
      <c r="M713">
        <v>7.6</v>
      </c>
      <c r="N713">
        <v>8.3000000000000007</v>
      </c>
      <c r="O713">
        <v>10.199999999999999</v>
      </c>
      <c r="P713">
        <v>6.4330489999999996</v>
      </c>
      <c r="Q713">
        <v>6.4</v>
      </c>
      <c r="R713">
        <v>27.1</v>
      </c>
      <c r="S713">
        <v>7.7</v>
      </c>
      <c r="T713">
        <v>12.4</v>
      </c>
      <c r="U713">
        <v>5.6</v>
      </c>
      <c r="V713">
        <v>5.806578</v>
      </c>
      <c r="W713">
        <v>12.8</v>
      </c>
      <c r="X713">
        <v>3.6</v>
      </c>
      <c r="Y713">
        <v>3.5</v>
      </c>
      <c r="Z713">
        <v>5.9</v>
      </c>
      <c r="AA713">
        <v>10.9</v>
      </c>
      <c r="AB713">
        <v>4.9460249999999997</v>
      </c>
      <c r="AC713">
        <v>8.6</v>
      </c>
      <c r="AD713">
        <v>3.6</v>
      </c>
      <c r="AE713">
        <v>7.5159130000000003</v>
      </c>
      <c r="AF713">
        <v>9.6999999999999993</v>
      </c>
      <c r="AG713">
        <v>15.2</v>
      </c>
      <c r="AH713">
        <v>13.5</v>
      </c>
      <c r="AI713">
        <v>9.6999999999999993</v>
      </c>
      <c r="AJ713">
        <v>8.3000000000000007</v>
      </c>
      <c r="AK713">
        <v>9.6999999999999993</v>
      </c>
      <c r="AL713">
        <v>6.2</v>
      </c>
    </row>
    <row r="714" spans="1:38" x14ac:dyDescent="0.2">
      <c r="A714" s="61">
        <v>41760</v>
      </c>
      <c r="B714">
        <v>5.9326140000000001</v>
      </c>
      <c r="C714">
        <v>5.8</v>
      </c>
      <c r="D714">
        <v>8.6</v>
      </c>
      <c r="E714">
        <v>7.1</v>
      </c>
      <c r="G714">
        <v>6.2510180000000002</v>
      </c>
      <c r="H714">
        <v>6.1</v>
      </c>
      <c r="I714">
        <v>4.7</v>
      </c>
      <c r="J714">
        <v>6.8</v>
      </c>
      <c r="K714">
        <v>11.7</v>
      </c>
      <c r="L714">
        <v>24.6</v>
      </c>
      <c r="M714">
        <v>6.9</v>
      </c>
      <c r="N714">
        <v>8.6999999999999993</v>
      </c>
      <c r="O714">
        <v>10.199999999999999</v>
      </c>
      <c r="P714">
        <v>6.4335500000000003</v>
      </c>
      <c r="Q714">
        <v>6.3</v>
      </c>
      <c r="R714">
        <v>27.3</v>
      </c>
      <c r="S714">
        <v>8</v>
      </c>
      <c r="T714">
        <v>12.2</v>
      </c>
      <c r="U714">
        <v>5.5</v>
      </c>
      <c r="V714">
        <v>5.9831190000000003</v>
      </c>
      <c r="W714">
        <v>12.8</v>
      </c>
      <c r="X714">
        <v>3.6</v>
      </c>
      <c r="Y714">
        <v>3.5</v>
      </c>
      <c r="Z714">
        <v>6</v>
      </c>
      <c r="AA714">
        <v>10.5</v>
      </c>
      <c r="AB714">
        <v>5.0653069999999998</v>
      </c>
      <c r="AC714">
        <v>8.5</v>
      </c>
      <c r="AD714">
        <v>3.3</v>
      </c>
      <c r="AE714">
        <v>7.5038179999999999</v>
      </c>
      <c r="AF714">
        <v>9.5</v>
      </c>
      <c r="AG714">
        <v>14.9</v>
      </c>
      <c r="AH714">
        <v>13.4</v>
      </c>
      <c r="AI714">
        <v>9.5</v>
      </c>
      <c r="AJ714">
        <v>7.8</v>
      </c>
      <c r="AK714">
        <v>9.6999999999999993</v>
      </c>
      <c r="AL714">
        <v>6.3</v>
      </c>
    </row>
    <row r="715" spans="1:38" x14ac:dyDescent="0.2">
      <c r="A715" s="61">
        <v>41791</v>
      </c>
      <c r="B715">
        <v>6.0452659999999998</v>
      </c>
      <c r="C715">
        <v>6.5</v>
      </c>
      <c r="D715">
        <v>8.5</v>
      </c>
      <c r="E715">
        <v>7.1</v>
      </c>
      <c r="G715">
        <v>6.2649780000000002</v>
      </c>
      <c r="H715">
        <v>6</v>
      </c>
      <c r="I715">
        <v>4.7</v>
      </c>
      <c r="J715">
        <v>7</v>
      </c>
      <c r="K715">
        <v>11.6</v>
      </c>
      <c r="L715">
        <v>24.3</v>
      </c>
      <c r="M715">
        <v>6.8</v>
      </c>
      <c r="N715">
        <v>8.9</v>
      </c>
      <c r="O715">
        <v>10.199999999999999</v>
      </c>
      <c r="P715">
        <v>6.3020579999999997</v>
      </c>
      <c r="Q715">
        <v>6.1</v>
      </c>
      <c r="R715">
        <v>26.7</v>
      </c>
      <c r="S715">
        <v>8.1</v>
      </c>
      <c r="T715">
        <v>12</v>
      </c>
      <c r="U715">
        <v>5.5</v>
      </c>
      <c r="V715">
        <v>6.0735219999999996</v>
      </c>
      <c r="W715">
        <v>12.3</v>
      </c>
      <c r="X715">
        <v>3.7</v>
      </c>
      <c r="Y715">
        <v>3.5</v>
      </c>
      <c r="Z715">
        <v>6</v>
      </c>
      <c r="AA715">
        <v>10.4</v>
      </c>
      <c r="AB715">
        <v>4.8796080000000002</v>
      </c>
      <c r="AC715">
        <v>8.3000000000000007</v>
      </c>
      <c r="AD715">
        <v>3.3</v>
      </c>
      <c r="AE715">
        <v>7.423654</v>
      </c>
      <c r="AF715">
        <v>9.1999999999999993</v>
      </c>
      <c r="AG715">
        <v>14.8</v>
      </c>
      <c r="AH715">
        <v>13.2</v>
      </c>
      <c r="AI715">
        <v>9.4</v>
      </c>
      <c r="AJ715">
        <v>8.3000000000000007</v>
      </c>
      <c r="AK715">
        <v>9.6999999999999993</v>
      </c>
      <c r="AL715">
        <v>6.1</v>
      </c>
    </row>
    <row r="716" spans="1:38" x14ac:dyDescent="0.2">
      <c r="A716" s="61">
        <v>41821</v>
      </c>
      <c r="B716">
        <v>6.1617550000000003</v>
      </c>
      <c r="C716">
        <v>6</v>
      </c>
      <c r="D716">
        <v>8.6</v>
      </c>
      <c r="E716">
        <v>7.1</v>
      </c>
      <c r="G716">
        <v>6.5103790000000004</v>
      </c>
      <c r="H716">
        <v>5.8</v>
      </c>
      <c r="I716">
        <v>4.7</v>
      </c>
      <c r="J716">
        <v>6.5</v>
      </c>
      <c r="K716">
        <v>11.6</v>
      </c>
      <c r="L716">
        <v>24.3</v>
      </c>
      <c r="M716">
        <v>7.1</v>
      </c>
      <c r="N716">
        <v>8</v>
      </c>
      <c r="O716">
        <v>10.199999999999999</v>
      </c>
      <c r="P716">
        <v>6.3735710000000001</v>
      </c>
      <c r="Q716">
        <v>6</v>
      </c>
      <c r="R716">
        <v>26.3</v>
      </c>
      <c r="S716">
        <v>7.5</v>
      </c>
      <c r="T716">
        <v>11.9</v>
      </c>
      <c r="U716">
        <v>5.6</v>
      </c>
      <c r="V716">
        <v>6.1101590000000003</v>
      </c>
      <c r="W716">
        <v>12.9</v>
      </c>
      <c r="X716">
        <v>3.7</v>
      </c>
      <c r="Y716">
        <v>3.5</v>
      </c>
      <c r="Z716">
        <v>6</v>
      </c>
      <c r="AA716">
        <v>10.7</v>
      </c>
      <c r="AB716">
        <v>5.1610699999999996</v>
      </c>
      <c r="AC716">
        <v>8.1999999999999993</v>
      </c>
      <c r="AD716">
        <v>4.2</v>
      </c>
      <c r="AE716">
        <v>7.4542000000000002</v>
      </c>
      <c r="AF716">
        <v>8.9</v>
      </c>
      <c r="AG716">
        <v>14.6</v>
      </c>
      <c r="AH716">
        <v>13.1</v>
      </c>
      <c r="AI716">
        <v>9.4</v>
      </c>
      <c r="AJ716">
        <v>8</v>
      </c>
      <c r="AK716">
        <v>9.9</v>
      </c>
      <c r="AL716">
        <v>6.2</v>
      </c>
    </row>
    <row r="717" spans="1:38" x14ac:dyDescent="0.2">
      <c r="A717" s="61">
        <v>41852</v>
      </c>
      <c r="B717">
        <v>6.0927740000000004</v>
      </c>
      <c r="C717">
        <v>6</v>
      </c>
      <c r="D717">
        <v>8.6</v>
      </c>
      <c r="E717">
        <v>7</v>
      </c>
      <c r="G717">
        <v>6.5251869999999998</v>
      </c>
      <c r="H717">
        <v>6.2</v>
      </c>
      <c r="I717">
        <v>4.7</v>
      </c>
      <c r="J717">
        <v>7.1</v>
      </c>
      <c r="K717">
        <v>11.5</v>
      </c>
      <c r="L717">
        <v>24.1</v>
      </c>
      <c r="M717">
        <v>7.6</v>
      </c>
      <c r="N717">
        <v>8.5</v>
      </c>
      <c r="O717">
        <v>10.199999999999999</v>
      </c>
      <c r="P717">
        <v>6.2822760000000004</v>
      </c>
      <c r="Q717">
        <v>6</v>
      </c>
      <c r="R717">
        <v>26.3</v>
      </c>
      <c r="S717">
        <v>7</v>
      </c>
      <c r="T717">
        <v>11.7</v>
      </c>
      <c r="U717">
        <v>5.6</v>
      </c>
      <c r="V717">
        <v>6.1445109999999996</v>
      </c>
      <c r="W717">
        <v>12.5</v>
      </c>
      <c r="X717">
        <v>3.5</v>
      </c>
      <c r="Y717">
        <v>3.5</v>
      </c>
      <c r="Z717">
        <v>6</v>
      </c>
      <c r="AA717">
        <v>10.9</v>
      </c>
      <c r="AB717">
        <v>4.8387630000000001</v>
      </c>
      <c r="AC717">
        <v>8.1</v>
      </c>
      <c r="AD717">
        <v>3.6</v>
      </c>
      <c r="AE717">
        <v>7.3802029999999998</v>
      </c>
      <c r="AF717">
        <v>8.6999999999999993</v>
      </c>
      <c r="AG717">
        <v>14</v>
      </c>
      <c r="AH717">
        <v>12.9</v>
      </c>
      <c r="AI717">
        <v>9.5</v>
      </c>
      <c r="AJ717">
        <v>8.1999999999999993</v>
      </c>
      <c r="AK717">
        <v>10.199999999999999</v>
      </c>
      <c r="AL717">
        <v>6.1</v>
      </c>
    </row>
    <row r="718" spans="1:38" x14ac:dyDescent="0.2">
      <c r="A718" s="61">
        <v>41883</v>
      </c>
      <c r="B718">
        <v>6.2265790000000001</v>
      </c>
      <c r="C718">
        <v>6.2</v>
      </c>
      <c r="D718">
        <v>8.6999999999999993</v>
      </c>
      <c r="E718">
        <v>6.9</v>
      </c>
      <c r="G718">
        <v>6.4892529999999997</v>
      </c>
      <c r="H718">
        <v>5.7</v>
      </c>
      <c r="I718">
        <v>4.7</v>
      </c>
      <c r="J718">
        <v>7.2</v>
      </c>
      <c r="K718">
        <v>11.5</v>
      </c>
      <c r="L718">
        <v>24</v>
      </c>
      <c r="M718">
        <v>7.3</v>
      </c>
      <c r="N718">
        <v>9.1999999999999993</v>
      </c>
      <c r="O718">
        <v>10.3</v>
      </c>
      <c r="P718">
        <v>6.2316510000000003</v>
      </c>
      <c r="Q718">
        <v>6</v>
      </c>
      <c r="R718">
        <v>26.2</v>
      </c>
      <c r="S718">
        <v>7.3</v>
      </c>
      <c r="T718">
        <v>11.4</v>
      </c>
      <c r="U718">
        <v>5.4</v>
      </c>
      <c r="V718">
        <v>6.0259980000000004</v>
      </c>
      <c r="W718">
        <v>12.8</v>
      </c>
      <c r="X718">
        <v>3.5</v>
      </c>
      <c r="Y718">
        <v>3.5</v>
      </c>
      <c r="Z718">
        <v>6.1</v>
      </c>
      <c r="AA718">
        <v>10.9</v>
      </c>
      <c r="AB718">
        <v>4.7664210000000002</v>
      </c>
      <c r="AC718">
        <v>8</v>
      </c>
      <c r="AD718">
        <v>4.2</v>
      </c>
      <c r="AE718">
        <v>7.3152489999999997</v>
      </c>
      <c r="AF718">
        <v>8.6</v>
      </c>
      <c r="AG718">
        <v>13.8</v>
      </c>
      <c r="AH718">
        <v>12.6</v>
      </c>
      <c r="AI718">
        <v>9.6</v>
      </c>
      <c r="AJ718">
        <v>7.9</v>
      </c>
      <c r="AK718">
        <v>10.1</v>
      </c>
      <c r="AL718">
        <v>5.9</v>
      </c>
    </row>
    <row r="719" spans="1:38" x14ac:dyDescent="0.2">
      <c r="A719" s="61">
        <v>41913</v>
      </c>
      <c r="B719">
        <v>6.3592659999999999</v>
      </c>
      <c r="C719">
        <v>6</v>
      </c>
      <c r="D719">
        <v>8.6999999999999993</v>
      </c>
      <c r="E719">
        <v>6.7</v>
      </c>
      <c r="G719">
        <v>6.4489960000000002</v>
      </c>
      <c r="H719">
        <v>5.6</v>
      </c>
      <c r="I719">
        <v>4.7</v>
      </c>
      <c r="J719">
        <v>6.8</v>
      </c>
      <c r="K719">
        <v>11.6</v>
      </c>
      <c r="L719">
        <v>23.9</v>
      </c>
      <c r="M719">
        <v>6.8</v>
      </c>
      <c r="N719">
        <v>9.1999999999999993</v>
      </c>
      <c r="O719">
        <v>10.4</v>
      </c>
      <c r="P719">
        <v>6.1612710000000002</v>
      </c>
      <c r="Q719">
        <v>5.9</v>
      </c>
      <c r="R719">
        <v>26</v>
      </c>
      <c r="S719">
        <v>6.9</v>
      </c>
      <c r="T719">
        <v>11</v>
      </c>
      <c r="U719">
        <v>5.2</v>
      </c>
      <c r="V719">
        <v>5.5955250000000003</v>
      </c>
      <c r="W719">
        <v>12.9</v>
      </c>
      <c r="X719">
        <v>3.6</v>
      </c>
      <c r="Y719">
        <v>3.6</v>
      </c>
      <c r="Z719">
        <v>6.1</v>
      </c>
      <c r="AA719">
        <v>10.7</v>
      </c>
      <c r="AB719">
        <v>4.6333690000000001</v>
      </c>
      <c r="AC719">
        <v>8.1</v>
      </c>
      <c r="AD719">
        <v>4</v>
      </c>
      <c r="AE719">
        <v>7.2742310000000003</v>
      </c>
      <c r="AF719">
        <v>8.5</v>
      </c>
      <c r="AG719">
        <v>14</v>
      </c>
      <c r="AH719">
        <v>12.5</v>
      </c>
      <c r="AI719">
        <v>9.6</v>
      </c>
      <c r="AJ719">
        <v>8.1999999999999993</v>
      </c>
      <c r="AK719">
        <v>10.4</v>
      </c>
      <c r="AL719">
        <v>5.7</v>
      </c>
    </row>
    <row r="720" spans="1:38" x14ac:dyDescent="0.2">
      <c r="A720" s="61">
        <v>41944</v>
      </c>
      <c r="B720">
        <v>6.2999770000000002</v>
      </c>
      <c r="C720">
        <v>6.2</v>
      </c>
      <c r="D720">
        <v>8.6999999999999993</v>
      </c>
      <c r="E720">
        <v>6.7</v>
      </c>
      <c r="G720">
        <v>6.6919719999999998</v>
      </c>
      <c r="H720">
        <v>6.2</v>
      </c>
      <c r="I720">
        <v>4.5999999999999996</v>
      </c>
      <c r="J720">
        <v>6.7</v>
      </c>
      <c r="K720">
        <v>11.6</v>
      </c>
      <c r="L720">
        <v>23.8</v>
      </c>
      <c r="M720">
        <v>6.4</v>
      </c>
      <c r="N720">
        <v>9</v>
      </c>
      <c r="O720">
        <v>10.5</v>
      </c>
      <c r="P720">
        <v>6.1679500000000003</v>
      </c>
      <c r="Q720">
        <v>5.7</v>
      </c>
      <c r="R720">
        <v>25.7</v>
      </c>
      <c r="S720">
        <v>7.1</v>
      </c>
      <c r="T720">
        <v>10.9</v>
      </c>
      <c r="U720">
        <v>5</v>
      </c>
      <c r="V720">
        <v>5.6817820000000001</v>
      </c>
      <c r="W720">
        <v>13.3</v>
      </c>
      <c r="X720">
        <v>3.4</v>
      </c>
      <c r="Y720">
        <v>3.6</v>
      </c>
      <c r="Z720">
        <v>6.2</v>
      </c>
      <c r="AA720">
        <v>10.5</v>
      </c>
      <c r="AB720">
        <v>4.6833989999999996</v>
      </c>
      <c r="AC720">
        <v>8.1</v>
      </c>
      <c r="AD720">
        <v>3.8</v>
      </c>
      <c r="AE720">
        <v>7.2857260000000004</v>
      </c>
      <c r="AF720">
        <v>8.5</v>
      </c>
      <c r="AG720">
        <v>13.9</v>
      </c>
      <c r="AH720">
        <v>12.4</v>
      </c>
      <c r="AI720">
        <v>9.6</v>
      </c>
      <c r="AJ720">
        <v>8.1</v>
      </c>
      <c r="AK720">
        <v>10.5</v>
      </c>
      <c r="AL720">
        <v>5.8</v>
      </c>
    </row>
    <row r="721" spans="1:38" x14ac:dyDescent="0.2">
      <c r="A721" s="61">
        <v>41974</v>
      </c>
      <c r="B721">
        <v>6.1105689999999999</v>
      </c>
      <c r="C721">
        <v>6.1</v>
      </c>
      <c r="D721">
        <v>8.6999999999999993</v>
      </c>
      <c r="E721">
        <v>6.7</v>
      </c>
      <c r="G721">
        <v>6.5990250000000001</v>
      </c>
      <c r="H721">
        <v>5.8</v>
      </c>
      <c r="I721">
        <v>4.5999999999999996</v>
      </c>
      <c r="J721">
        <v>7.1</v>
      </c>
      <c r="K721">
        <v>11.4</v>
      </c>
      <c r="L721">
        <v>23.7</v>
      </c>
      <c r="M721">
        <v>6.5</v>
      </c>
      <c r="N721">
        <v>9.4</v>
      </c>
      <c r="O721">
        <v>10.5</v>
      </c>
      <c r="P721">
        <v>5.9893429999999999</v>
      </c>
      <c r="Q721">
        <v>5.7</v>
      </c>
      <c r="R721">
        <v>25.9</v>
      </c>
      <c r="S721">
        <v>7.3</v>
      </c>
      <c r="T721">
        <v>10.8</v>
      </c>
      <c r="U721">
        <v>5</v>
      </c>
      <c r="V721">
        <v>5.6858529999999998</v>
      </c>
      <c r="W721">
        <v>12.3</v>
      </c>
      <c r="X721">
        <v>3.4</v>
      </c>
      <c r="Y721">
        <v>3.6</v>
      </c>
      <c r="Z721">
        <v>6.2</v>
      </c>
      <c r="AA721">
        <v>10.1</v>
      </c>
      <c r="AB721">
        <v>4.1861670000000002</v>
      </c>
      <c r="AC721">
        <v>8.1999999999999993</v>
      </c>
      <c r="AD721">
        <v>3.9</v>
      </c>
      <c r="AE721">
        <v>7.1450839999999998</v>
      </c>
      <c r="AF721">
        <v>8.4</v>
      </c>
      <c r="AG721">
        <v>14</v>
      </c>
      <c r="AH721">
        <v>12.3</v>
      </c>
      <c r="AI721">
        <v>9.6</v>
      </c>
      <c r="AJ721">
        <v>7.7</v>
      </c>
      <c r="AK721">
        <v>10.3</v>
      </c>
      <c r="AL721">
        <v>5.6</v>
      </c>
    </row>
    <row r="722" spans="1:38" x14ac:dyDescent="0.2">
      <c r="A722" s="61">
        <v>42005</v>
      </c>
      <c r="B722">
        <v>6.342803</v>
      </c>
      <c r="C722">
        <v>5.9</v>
      </c>
      <c r="D722">
        <v>8.8000000000000007</v>
      </c>
      <c r="E722">
        <v>6.7</v>
      </c>
      <c r="G722">
        <v>6.487088</v>
      </c>
      <c r="H722">
        <v>5.8</v>
      </c>
      <c r="I722">
        <v>4.5</v>
      </c>
      <c r="J722">
        <v>6</v>
      </c>
      <c r="K722">
        <v>11.3</v>
      </c>
      <c r="L722">
        <v>23.5</v>
      </c>
      <c r="M722">
        <v>6.8</v>
      </c>
      <c r="N722">
        <v>8.6999999999999993</v>
      </c>
      <c r="O722">
        <v>10.4</v>
      </c>
      <c r="P722">
        <v>6.034554</v>
      </c>
      <c r="Q722">
        <v>5.6</v>
      </c>
      <c r="R722">
        <v>25.8</v>
      </c>
      <c r="S722">
        <v>7.3</v>
      </c>
      <c r="T722">
        <v>10.7</v>
      </c>
      <c r="U722">
        <v>5</v>
      </c>
      <c r="V722">
        <v>5.6253330000000004</v>
      </c>
      <c r="W722">
        <v>12.5</v>
      </c>
      <c r="X722">
        <v>3.6</v>
      </c>
      <c r="Y722">
        <v>3.5</v>
      </c>
      <c r="Z722">
        <v>6.3</v>
      </c>
      <c r="AA722">
        <v>9.8000000000000007</v>
      </c>
      <c r="AB722">
        <v>4.3373119999999998</v>
      </c>
      <c r="AC722">
        <v>8.3000000000000007</v>
      </c>
      <c r="AD722">
        <v>4.3</v>
      </c>
      <c r="AE722">
        <v>7.1528020000000003</v>
      </c>
      <c r="AF722">
        <v>8.4</v>
      </c>
      <c r="AG722">
        <v>14.1</v>
      </c>
      <c r="AH722">
        <v>12.3</v>
      </c>
      <c r="AI722">
        <v>9.3000000000000007</v>
      </c>
      <c r="AJ722">
        <v>8</v>
      </c>
      <c r="AK722">
        <v>10.5</v>
      </c>
      <c r="AL722">
        <v>5.7</v>
      </c>
    </row>
    <row r="723" spans="1:38" x14ac:dyDescent="0.2">
      <c r="A723" s="61">
        <v>42036</v>
      </c>
      <c r="B723">
        <v>6.1598649999999999</v>
      </c>
      <c r="C723">
        <v>5.9</v>
      </c>
      <c r="D723">
        <v>8.9</v>
      </c>
      <c r="E723">
        <v>6.8</v>
      </c>
      <c r="G723">
        <v>6.2404890000000002</v>
      </c>
      <c r="H723">
        <v>5.9</v>
      </c>
      <c r="I723">
        <v>4.5</v>
      </c>
      <c r="J723">
        <v>6.5</v>
      </c>
      <c r="K723">
        <v>11.3</v>
      </c>
      <c r="L723">
        <v>23.2</v>
      </c>
      <c r="M723">
        <v>6.6</v>
      </c>
      <c r="N723">
        <v>9.6999999999999993</v>
      </c>
      <c r="O723">
        <v>10.3</v>
      </c>
      <c r="P723">
        <v>5.9496330000000004</v>
      </c>
      <c r="Q723">
        <v>5.5</v>
      </c>
      <c r="R723">
        <v>25.9</v>
      </c>
      <c r="S723">
        <v>7.4</v>
      </c>
      <c r="T723">
        <v>10.7</v>
      </c>
      <c r="U723">
        <v>5.0999999999999996</v>
      </c>
      <c r="V723">
        <v>5.2816489999999998</v>
      </c>
      <c r="W723">
        <v>12.5</v>
      </c>
      <c r="X723">
        <v>3.5</v>
      </c>
      <c r="Y723">
        <v>3.6</v>
      </c>
      <c r="Z723">
        <v>6.4</v>
      </c>
      <c r="AA723">
        <v>9.8000000000000007</v>
      </c>
      <c r="AB723">
        <v>4.354838</v>
      </c>
      <c r="AC723">
        <v>8.1</v>
      </c>
      <c r="AD723">
        <v>4.7</v>
      </c>
      <c r="AE723">
        <v>7.0986799999999999</v>
      </c>
      <c r="AF723">
        <v>8.3000000000000007</v>
      </c>
      <c r="AG723">
        <v>14</v>
      </c>
      <c r="AH723">
        <v>12.1</v>
      </c>
      <c r="AI723">
        <v>9.1999999999999993</v>
      </c>
      <c r="AJ723">
        <v>8.1</v>
      </c>
      <c r="AK723">
        <v>10.7</v>
      </c>
      <c r="AL723">
        <v>5.5</v>
      </c>
    </row>
    <row r="724" spans="1:38" x14ac:dyDescent="0.2">
      <c r="A724" s="61">
        <v>42064</v>
      </c>
      <c r="B724">
        <v>6.1054539999999999</v>
      </c>
      <c r="C724">
        <v>5.9</v>
      </c>
      <c r="D724">
        <v>8.9</v>
      </c>
      <c r="E724">
        <v>6.9</v>
      </c>
      <c r="G724">
        <v>6.3642729999999998</v>
      </c>
      <c r="H724">
        <v>5.8</v>
      </c>
      <c r="I724">
        <v>4.5</v>
      </c>
      <c r="J724">
        <v>6.6</v>
      </c>
      <c r="K724">
        <v>11.3</v>
      </c>
      <c r="L724">
        <v>22.9</v>
      </c>
      <c r="M724">
        <v>6.8</v>
      </c>
      <c r="N724">
        <v>9.5</v>
      </c>
      <c r="O724">
        <v>10.4</v>
      </c>
      <c r="P724">
        <v>5.9314830000000001</v>
      </c>
      <c r="Q724">
        <v>5.5</v>
      </c>
      <c r="R724">
        <v>26.1</v>
      </c>
      <c r="S724">
        <v>7.2</v>
      </c>
      <c r="T724">
        <v>10.5</v>
      </c>
      <c r="U724">
        <v>5.0999999999999996</v>
      </c>
      <c r="V724">
        <v>5.3920519999999996</v>
      </c>
      <c r="W724">
        <v>12.6</v>
      </c>
      <c r="X724">
        <v>3.4</v>
      </c>
      <c r="Y724">
        <v>3.5</v>
      </c>
      <c r="Z724">
        <v>6.4</v>
      </c>
      <c r="AA724">
        <v>9.9</v>
      </c>
      <c r="AB724">
        <v>4.2327669999999999</v>
      </c>
      <c r="AC724">
        <v>8.1</v>
      </c>
      <c r="AD724">
        <v>4.7</v>
      </c>
      <c r="AE724">
        <v>7.0351509999999999</v>
      </c>
      <c r="AF724">
        <v>8.1</v>
      </c>
      <c r="AG724">
        <v>13.6</v>
      </c>
      <c r="AH724">
        <v>12</v>
      </c>
      <c r="AI724">
        <v>9.1999999999999993</v>
      </c>
      <c r="AJ724">
        <v>7.7</v>
      </c>
      <c r="AK724">
        <v>10.5</v>
      </c>
      <c r="AL724">
        <v>5.4</v>
      </c>
    </row>
    <row r="725" spans="1:38" x14ac:dyDescent="0.2">
      <c r="A725" s="61">
        <v>42095</v>
      </c>
      <c r="B725">
        <v>6.112088</v>
      </c>
      <c r="C725">
        <v>6.4</v>
      </c>
      <c r="D725">
        <v>8.8000000000000007</v>
      </c>
      <c r="E725">
        <v>6.9</v>
      </c>
      <c r="G725">
        <v>6.5162769999999997</v>
      </c>
      <c r="H725">
        <v>5.2</v>
      </c>
      <c r="I725">
        <v>4.4000000000000004</v>
      </c>
      <c r="J725">
        <v>6.5</v>
      </c>
      <c r="K725">
        <v>11.1</v>
      </c>
      <c r="L725">
        <v>22.7</v>
      </c>
      <c r="M725">
        <v>7</v>
      </c>
      <c r="N725">
        <v>9.5</v>
      </c>
      <c r="O725">
        <v>10.4</v>
      </c>
      <c r="P725">
        <v>5.8979410000000003</v>
      </c>
      <c r="Q725">
        <v>5.6</v>
      </c>
      <c r="R725">
        <v>25.4</v>
      </c>
      <c r="S725">
        <v>6.7</v>
      </c>
      <c r="T725">
        <v>10.3</v>
      </c>
      <c r="U725">
        <v>5</v>
      </c>
      <c r="V725">
        <v>4.9052170000000004</v>
      </c>
      <c r="W725">
        <v>12.2</v>
      </c>
      <c r="X725">
        <v>3.4</v>
      </c>
      <c r="Y725">
        <v>3.6</v>
      </c>
      <c r="Z725">
        <v>6.4</v>
      </c>
      <c r="AA725">
        <v>9.6</v>
      </c>
      <c r="AB725">
        <v>4.4176159999999998</v>
      </c>
      <c r="AC725">
        <v>8.1</v>
      </c>
      <c r="AD725">
        <v>4.5999999999999996</v>
      </c>
      <c r="AE725">
        <v>7.0304669999999998</v>
      </c>
      <c r="AF725">
        <v>7.9</v>
      </c>
      <c r="AG725">
        <v>13.2</v>
      </c>
      <c r="AH725">
        <v>11.7</v>
      </c>
      <c r="AI725">
        <v>9.4</v>
      </c>
      <c r="AJ725">
        <v>8</v>
      </c>
      <c r="AK725">
        <v>10.5</v>
      </c>
      <c r="AL725">
        <v>5.4</v>
      </c>
    </row>
    <row r="726" spans="1:38" x14ac:dyDescent="0.2">
      <c r="A726" s="61">
        <v>42125</v>
      </c>
      <c r="B726">
        <v>5.9364049999999997</v>
      </c>
      <c r="C726">
        <v>6.4</v>
      </c>
      <c r="D726">
        <v>8.6999999999999993</v>
      </c>
      <c r="E726">
        <v>6.9</v>
      </c>
      <c r="G726">
        <v>6.4095610000000001</v>
      </c>
      <c r="H726">
        <v>4.9000000000000004</v>
      </c>
      <c r="I726">
        <v>4.4000000000000004</v>
      </c>
      <c r="J726">
        <v>6.1</v>
      </c>
      <c r="K726">
        <v>11.1</v>
      </c>
      <c r="L726">
        <v>22.4</v>
      </c>
      <c r="M726">
        <v>6.6</v>
      </c>
      <c r="N726">
        <v>9.3000000000000007</v>
      </c>
      <c r="O726">
        <v>10.5</v>
      </c>
      <c r="P726">
        <v>5.9676900000000002</v>
      </c>
      <c r="Q726">
        <v>5.6</v>
      </c>
      <c r="R726">
        <v>24.7</v>
      </c>
      <c r="S726">
        <v>6.7</v>
      </c>
      <c r="T726">
        <v>10</v>
      </c>
      <c r="U726">
        <v>4.8</v>
      </c>
      <c r="V726">
        <v>5.017347</v>
      </c>
      <c r="W726">
        <v>12.3</v>
      </c>
      <c r="X726">
        <v>3.3</v>
      </c>
      <c r="Y726">
        <v>3.7</v>
      </c>
      <c r="Z726">
        <v>6.5</v>
      </c>
      <c r="AA726">
        <v>9.6999999999999993</v>
      </c>
      <c r="AB726">
        <v>4.5413129999999997</v>
      </c>
      <c r="AC726">
        <v>8</v>
      </c>
      <c r="AD726">
        <v>4.3</v>
      </c>
      <c r="AE726">
        <v>7.0140919999999998</v>
      </c>
      <c r="AF726">
        <v>7.7</v>
      </c>
      <c r="AG726">
        <v>12.7</v>
      </c>
      <c r="AH726">
        <v>11.6</v>
      </c>
      <c r="AI726">
        <v>9.5</v>
      </c>
      <c r="AJ726">
        <v>7.8</v>
      </c>
      <c r="AK726">
        <v>10.199999999999999</v>
      </c>
      <c r="AL726">
        <v>5.6</v>
      </c>
    </row>
    <row r="727" spans="1:38" x14ac:dyDescent="0.2">
      <c r="A727" s="61">
        <v>42156</v>
      </c>
      <c r="B727">
        <v>6.0015910000000003</v>
      </c>
      <c r="C727">
        <v>6.1</v>
      </c>
      <c r="D727">
        <v>8.5</v>
      </c>
      <c r="E727">
        <v>6.9</v>
      </c>
      <c r="G727">
        <v>6.3681270000000003</v>
      </c>
      <c r="H727">
        <v>5</v>
      </c>
      <c r="I727">
        <v>4.4000000000000004</v>
      </c>
      <c r="J727">
        <v>6.4</v>
      </c>
      <c r="K727">
        <v>11</v>
      </c>
      <c r="L727">
        <v>22.2</v>
      </c>
      <c r="M727">
        <v>6.1</v>
      </c>
      <c r="N727">
        <v>9.9</v>
      </c>
      <c r="O727">
        <v>10.4</v>
      </c>
      <c r="P727">
        <v>5.816478</v>
      </c>
      <c r="Q727">
        <v>5.5</v>
      </c>
      <c r="R727">
        <v>25</v>
      </c>
      <c r="S727">
        <v>6.9</v>
      </c>
      <c r="T727">
        <v>9.8000000000000007</v>
      </c>
      <c r="U727">
        <v>4.5999999999999996</v>
      </c>
      <c r="V727">
        <v>5.3565569999999996</v>
      </c>
      <c r="W727">
        <v>12.3</v>
      </c>
      <c r="X727">
        <v>3.4</v>
      </c>
      <c r="Y727">
        <v>3.7</v>
      </c>
      <c r="Z727">
        <v>6.5</v>
      </c>
      <c r="AA727">
        <v>9.8000000000000007</v>
      </c>
      <c r="AB727">
        <v>4.4433020000000001</v>
      </c>
      <c r="AC727">
        <v>7.9</v>
      </c>
      <c r="AD727">
        <v>4.7</v>
      </c>
      <c r="AE727">
        <v>6.9006660000000002</v>
      </c>
      <c r="AF727">
        <v>7.6</v>
      </c>
      <c r="AG727">
        <v>12.6</v>
      </c>
      <c r="AH727">
        <v>11.5</v>
      </c>
      <c r="AI727">
        <v>9.3000000000000007</v>
      </c>
      <c r="AJ727">
        <v>7.7</v>
      </c>
      <c r="AK727">
        <v>10.199999999999999</v>
      </c>
      <c r="AL727">
        <v>5.3</v>
      </c>
    </row>
    <row r="728" spans="1:38" x14ac:dyDescent="0.2">
      <c r="A728" s="61">
        <v>42186</v>
      </c>
      <c r="B728">
        <v>6.2610669999999997</v>
      </c>
      <c r="C728">
        <v>6.1</v>
      </c>
      <c r="D728">
        <v>8.1999999999999993</v>
      </c>
      <c r="E728">
        <v>6.9</v>
      </c>
      <c r="G728">
        <v>6.2688699999999997</v>
      </c>
      <c r="H728">
        <v>5</v>
      </c>
      <c r="I728">
        <v>4.3</v>
      </c>
      <c r="J728">
        <v>6.6</v>
      </c>
      <c r="K728">
        <v>10.8</v>
      </c>
      <c r="L728">
        <v>21.9</v>
      </c>
      <c r="M728">
        <v>5.5</v>
      </c>
      <c r="N728">
        <v>9.5</v>
      </c>
      <c r="O728">
        <v>10.3</v>
      </c>
      <c r="P728">
        <v>5.7143709999999999</v>
      </c>
      <c r="Q728">
        <v>5.4</v>
      </c>
      <c r="R728">
        <v>25</v>
      </c>
      <c r="S728">
        <v>6.3</v>
      </c>
      <c r="T728">
        <v>9.6</v>
      </c>
      <c r="U728">
        <v>4.5</v>
      </c>
      <c r="V728">
        <v>5.4821910000000003</v>
      </c>
      <c r="W728">
        <v>11.7</v>
      </c>
      <c r="X728">
        <v>3.3</v>
      </c>
      <c r="Y728">
        <v>3.7</v>
      </c>
      <c r="Z728">
        <v>6.5</v>
      </c>
      <c r="AA728">
        <v>9.9</v>
      </c>
      <c r="AB728">
        <v>4.4538830000000003</v>
      </c>
      <c r="AC728">
        <v>7.7</v>
      </c>
      <c r="AD728">
        <v>5.3</v>
      </c>
      <c r="AE728">
        <v>6.81839</v>
      </c>
      <c r="AF728">
        <v>7.6</v>
      </c>
      <c r="AG728">
        <v>12.6</v>
      </c>
      <c r="AH728">
        <v>11.4</v>
      </c>
      <c r="AI728">
        <v>9</v>
      </c>
      <c r="AJ728">
        <v>7.3</v>
      </c>
      <c r="AK728">
        <v>10.1</v>
      </c>
      <c r="AL728">
        <v>5.2</v>
      </c>
    </row>
    <row r="729" spans="1:38" x14ac:dyDescent="0.2">
      <c r="A729" s="61">
        <v>42217</v>
      </c>
      <c r="B729">
        <v>6.084066</v>
      </c>
      <c r="C729">
        <v>6</v>
      </c>
      <c r="D729">
        <v>8.1</v>
      </c>
      <c r="E729">
        <v>7</v>
      </c>
      <c r="G729">
        <v>6.3297749999999997</v>
      </c>
      <c r="H729">
        <v>4.7</v>
      </c>
      <c r="I729">
        <v>4.3</v>
      </c>
      <c r="J729">
        <v>6.1</v>
      </c>
      <c r="K729">
        <v>10.7</v>
      </c>
      <c r="L729">
        <v>21.6</v>
      </c>
      <c r="M729">
        <v>5.5</v>
      </c>
      <c r="N729">
        <v>9.5</v>
      </c>
      <c r="O729">
        <v>10.3</v>
      </c>
      <c r="P729">
        <v>5.6655179999999996</v>
      </c>
      <c r="Q729">
        <v>5.3</v>
      </c>
      <c r="R729">
        <v>24.2</v>
      </c>
      <c r="S729">
        <v>6.3</v>
      </c>
      <c r="T729">
        <v>9.5</v>
      </c>
      <c r="U729">
        <v>4.4000000000000004</v>
      </c>
      <c r="V729">
        <v>5.1069990000000001</v>
      </c>
      <c r="W729">
        <v>11.6</v>
      </c>
      <c r="X729">
        <v>3.4</v>
      </c>
      <c r="Y729">
        <v>3.7</v>
      </c>
      <c r="Z729">
        <v>6.5</v>
      </c>
      <c r="AA729">
        <v>10</v>
      </c>
      <c r="AB729">
        <v>4.378927</v>
      </c>
      <c r="AC729">
        <v>7.7</v>
      </c>
      <c r="AD729">
        <v>4.2</v>
      </c>
      <c r="AE729">
        <v>6.770187</v>
      </c>
      <c r="AF729">
        <v>7.5</v>
      </c>
      <c r="AG729">
        <v>12.6</v>
      </c>
      <c r="AH729">
        <v>11.3</v>
      </c>
      <c r="AI729">
        <v>8.8000000000000007</v>
      </c>
      <c r="AJ729">
        <v>7.1</v>
      </c>
      <c r="AK729">
        <v>10.1</v>
      </c>
      <c r="AL729">
        <v>5.0999999999999996</v>
      </c>
    </row>
    <row r="730" spans="1:38" x14ac:dyDescent="0.2">
      <c r="A730" s="61">
        <v>42248</v>
      </c>
      <c r="B730">
        <v>6.1591490000000002</v>
      </c>
      <c r="C730">
        <v>6.2</v>
      </c>
      <c r="D730">
        <v>8.3000000000000007</v>
      </c>
      <c r="E730">
        <v>7.1</v>
      </c>
      <c r="G730">
        <v>6.3843540000000001</v>
      </c>
      <c r="H730">
        <v>4.8</v>
      </c>
      <c r="I730">
        <v>4.3</v>
      </c>
      <c r="J730">
        <v>6</v>
      </c>
      <c r="K730">
        <v>10.7</v>
      </c>
      <c r="L730">
        <v>21.4</v>
      </c>
      <c r="M730">
        <v>6</v>
      </c>
      <c r="N730">
        <v>9.3000000000000007</v>
      </c>
      <c r="O730">
        <v>10.3</v>
      </c>
      <c r="P730">
        <v>5.6435870000000001</v>
      </c>
      <c r="Q730">
        <v>5.2</v>
      </c>
      <c r="R730">
        <v>24.9</v>
      </c>
      <c r="S730">
        <v>6.4</v>
      </c>
      <c r="T730">
        <v>9.6</v>
      </c>
      <c r="U730">
        <v>4.2</v>
      </c>
      <c r="V730">
        <v>5.0777580000000002</v>
      </c>
      <c r="W730">
        <v>11.6</v>
      </c>
      <c r="X730">
        <v>3.4</v>
      </c>
      <c r="Y730">
        <v>3.5</v>
      </c>
      <c r="Z730">
        <v>6.5</v>
      </c>
      <c r="AA730">
        <v>10</v>
      </c>
      <c r="AB730">
        <v>4.1823940000000004</v>
      </c>
      <c r="AC730">
        <v>7.8</v>
      </c>
      <c r="AD730">
        <v>4.8</v>
      </c>
      <c r="AE730">
        <v>6.7504629999999999</v>
      </c>
      <c r="AF730">
        <v>7.4</v>
      </c>
      <c r="AG730">
        <v>12.8</v>
      </c>
      <c r="AH730">
        <v>11.1</v>
      </c>
      <c r="AI730">
        <v>8.6</v>
      </c>
      <c r="AJ730">
        <v>7.5</v>
      </c>
      <c r="AK730">
        <v>10.199999999999999</v>
      </c>
      <c r="AL730">
        <v>5</v>
      </c>
    </row>
    <row r="731" spans="1:38" x14ac:dyDescent="0.2">
      <c r="A731" s="61">
        <v>42278</v>
      </c>
      <c r="B731">
        <v>5.9135489999999997</v>
      </c>
      <c r="C731">
        <v>5.9</v>
      </c>
      <c r="D731">
        <v>8.6999999999999993</v>
      </c>
      <c r="E731">
        <v>6.9</v>
      </c>
      <c r="G731">
        <v>6.4182379999999997</v>
      </c>
      <c r="H731">
        <v>4.5999999999999996</v>
      </c>
      <c r="I731">
        <v>4.3</v>
      </c>
      <c r="J731">
        <v>6.2</v>
      </c>
      <c r="K731">
        <v>10.7</v>
      </c>
      <c r="L731">
        <v>21.2</v>
      </c>
      <c r="M731">
        <v>6.3</v>
      </c>
      <c r="N731">
        <v>9.6</v>
      </c>
      <c r="O731">
        <v>10.3</v>
      </c>
      <c r="P731">
        <v>5.6040799999999997</v>
      </c>
      <c r="Q731">
        <v>5.0999999999999996</v>
      </c>
      <c r="R731">
        <v>24.8</v>
      </c>
      <c r="S731">
        <v>6.2</v>
      </c>
      <c r="T731">
        <v>9.6</v>
      </c>
      <c r="U731">
        <v>4</v>
      </c>
      <c r="V731">
        <v>5.1978359999999997</v>
      </c>
      <c r="W731">
        <v>11.8</v>
      </c>
      <c r="X731">
        <v>3.2</v>
      </c>
      <c r="Y731">
        <v>3.5</v>
      </c>
      <c r="Z731">
        <v>6.6</v>
      </c>
      <c r="AA731">
        <v>10.1</v>
      </c>
      <c r="AB731">
        <v>4.4415209999999998</v>
      </c>
      <c r="AC731">
        <v>7.9</v>
      </c>
      <c r="AD731">
        <v>5</v>
      </c>
      <c r="AE731">
        <v>6.7318389999999999</v>
      </c>
      <c r="AF731">
        <v>7.3</v>
      </c>
      <c r="AG731">
        <v>12.7</v>
      </c>
      <c r="AH731">
        <v>11</v>
      </c>
      <c r="AI731">
        <v>8.5</v>
      </c>
      <c r="AJ731">
        <v>7.4</v>
      </c>
      <c r="AK731">
        <v>10.199999999999999</v>
      </c>
      <c r="AL731">
        <v>5</v>
      </c>
    </row>
    <row r="732" spans="1:38" x14ac:dyDescent="0.2">
      <c r="A732" s="61">
        <v>42309</v>
      </c>
      <c r="B732">
        <v>5.856223</v>
      </c>
      <c r="C732">
        <v>6.8</v>
      </c>
      <c r="D732">
        <v>8.9</v>
      </c>
      <c r="E732">
        <v>7.1</v>
      </c>
      <c r="G732">
        <v>6.3407030000000004</v>
      </c>
      <c r="H732">
        <v>4.5</v>
      </c>
      <c r="I732">
        <v>4.2</v>
      </c>
      <c r="J732">
        <v>5.9</v>
      </c>
      <c r="K732">
        <v>10.6</v>
      </c>
      <c r="L732">
        <v>20.9</v>
      </c>
      <c r="M732">
        <v>6.7</v>
      </c>
      <c r="N732">
        <v>9.1999999999999993</v>
      </c>
      <c r="O732">
        <v>10.3</v>
      </c>
      <c r="P732">
        <v>5.6104339999999997</v>
      </c>
      <c r="Q732">
        <v>5.0999999999999996</v>
      </c>
      <c r="R732">
        <v>24.2</v>
      </c>
      <c r="S732">
        <v>6.1</v>
      </c>
      <c r="T732">
        <v>9.6</v>
      </c>
      <c r="U732">
        <v>3.8</v>
      </c>
      <c r="V732">
        <v>5.2170540000000001</v>
      </c>
      <c r="W732">
        <v>11.5</v>
      </c>
      <c r="X732">
        <v>3.3</v>
      </c>
      <c r="Y732">
        <v>3.6</v>
      </c>
      <c r="Z732">
        <v>6.5</v>
      </c>
      <c r="AA732">
        <v>10.1</v>
      </c>
      <c r="AB732">
        <v>4.0902070000000004</v>
      </c>
      <c r="AC732">
        <v>7.7</v>
      </c>
      <c r="AD732">
        <v>4.3</v>
      </c>
      <c r="AE732">
        <v>6.6500880000000002</v>
      </c>
      <c r="AF732">
        <v>7.2</v>
      </c>
      <c r="AG732">
        <v>12.6</v>
      </c>
      <c r="AH732">
        <v>10.8</v>
      </c>
      <c r="AI732">
        <v>8.4</v>
      </c>
      <c r="AJ732">
        <v>7.1</v>
      </c>
      <c r="AK732">
        <v>10.199999999999999</v>
      </c>
      <c r="AL732">
        <v>5.0999999999999996</v>
      </c>
    </row>
    <row r="733" spans="1:38" x14ac:dyDescent="0.2">
      <c r="A733" s="61">
        <v>42339</v>
      </c>
      <c r="B733">
        <v>5.7478850000000001</v>
      </c>
      <c r="C733">
        <v>6.3</v>
      </c>
      <c r="D733">
        <v>8.9</v>
      </c>
      <c r="E733">
        <v>7.2</v>
      </c>
      <c r="G733">
        <v>6.2812960000000002</v>
      </c>
      <c r="H733">
        <v>4.5999999999999996</v>
      </c>
      <c r="I733">
        <v>4.2</v>
      </c>
      <c r="J733">
        <v>6.3</v>
      </c>
      <c r="K733">
        <v>10.5</v>
      </c>
      <c r="L733">
        <v>20.8</v>
      </c>
      <c r="M733">
        <v>6.7</v>
      </c>
      <c r="N733">
        <v>9.6999999999999993</v>
      </c>
      <c r="O733">
        <v>10.3</v>
      </c>
      <c r="P733">
        <v>5.5897220000000001</v>
      </c>
      <c r="Q733">
        <v>5.0999999999999996</v>
      </c>
      <c r="R733">
        <v>24.2</v>
      </c>
      <c r="S733">
        <v>6.2</v>
      </c>
      <c r="T733">
        <v>9.1</v>
      </c>
      <c r="U733">
        <v>3.7</v>
      </c>
      <c r="V733">
        <v>5.1631260000000001</v>
      </c>
      <c r="W733">
        <v>11.7</v>
      </c>
      <c r="X733">
        <v>3.3</v>
      </c>
      <c r="Y733">
        <v>3.5</v>
      </c>
      <c r="Z733">
        <v>6.5</v>
      </c>
      <c r="AA733">
        <v>10</v>
      </c>
      <c r="AB733">
        <v>4.3670799999999996</v>
      </c>
      <c r="AC733">
        <v>7.6</v>
      </c>
      <c r="AD733">
        <v>5.2</v>
      </c>
      <c r="AE733">
        <v>6.6890099999999997</v>
      </c>
      <c r="AF733">
        <v>7</v>
      </c>
      <c r="AG733">
        <v>12.5</v>
      </c>
      <c r="AH733">
        <v>10.7</v>
      </c>
      <c r="AI733">
        <v>8.5</v>
      </c>
      <c r="AJ733">
        <v>7.4</v>
      </c>
      <c r="AK733">
        <v>10.4</v>
      </c>
      <c r="AL733">
        <v>5</v>
      </c>
    </row>
    <row r="734" spans="1:38" x14ac:dyDescent="0.2">
      <c r="A734" s="61">
        <v>42370</v>
      </c>
      <c r="B734">
        <v>6.0314019999999999</v>
      </c>
      <c r="C734">
        <v>6.5</v>
      </c>
      <c r="D734">
        <v>8.6</v>
      </c>
      <c r="E734">
        <v>7.2</v>
      </c>
      <c r="G734">
        <v>6.3069850000000001</v>
      </c>
      <c r="H734">
        <v>4.3</v>
      </c>
      <c r="I734">
        <v>4.2</v>
      </c>
      <c r="J734">
        <v>5.7</v>
      </c>
      <c r="K734">
        <v>10.4</v>
      </c>
      <c r="L734">
        <v>20.6</v>
      </c>
      <c r="M734">
        <v>6.7</v>
      </c>
      <c r="N734">
        <v>9.1</v>
      </c>
      <c r="O734">
        <v>10.3</v>
      </c>
      <c r="P734">
        <v>5.507225</v>
      </c>
      <c r="Q734">
        <v>5.0999999999999996</v>
      </c>
      <c r="R734">
        <v>24.7</v>
      </c>
      <c r="S734">
        <v>5.7</v>
      </c>
      <c r="T734">
        <v>9.1</v>
      </c>
      <c r="U734">
        <v>3.6</v>
      </c>
      <c r="V734">
        <v>5.084638</v>
      </c>
      <c r="W734">
        <v>11.6</v>
      </c>
      <c r="X734">
        <v>3.2</v>
      </c>
      <c r="Y734">
        <v>3.5</v>
      </c>
      <c r="Z734">
        <v>6.4</v>
      </c>
      <c r="AA734">
        <v>10</v>
      </c>
      <c r="AB734">
        <v>4.0850759999999999</v>
      </c>
      <c r="AC734">
        <v>7.4</v>
      </c>
      <c r="AD734">
        <v>5</v>
      </c>
      <c r="AE734">
        <v>6.6006369999999999</v>
      </c>
      <c r="AF734">
        <v>6.8</v>
      </c>
      <c r="AG734">
        <v>12.4</v>
      </c>
      <c r="AH734">
        <v>10.5</v>
      </c>
      <c r="AI734">
        <v>8.4</v>
      </c>
      <c r="AJ734">
        <v>7.2</v>
      </c>
      <c r="AK734">
        <v>10.199999999999999</v>
      </c>
      <c r="AL734">
        <v>4.8</v>
      </c>
    </row>
    <row r="735" spans="1:38" x14ac:dyDescent="0.2">
      <c r="A735" s="61">
        <v>42401</v>
      </c>
      <c r="B735">
        <v>5.7078670000000002</v>
      </c>
      <c r="C735">
        <v>6.5</v>
      </c>
      <c r="D735">
        <v>8.4</v>
      </c>
      <c r="E735">
        <v>7.3</v>
      </c>
      <c r="G735">
        <v>6.5025740000000001</v>
      </c>
      <c r="H735">
        <v>4.2</v>
      </c>
      <c r="I735">
        <v>4.0999999999999996</v>
      </c>
      <c r="J735">
        <v>6.1</v>
      </c>
      <c r="K735">
        <v>10.4</v>
      </c>
      <c r="L735">
        <v>20.399999999999999</v>
      </c>
      <c r="M735">
        <v>6.6</v>
      </c>
      <c r="N735">
        <v>9.1</v>
      </c>
      <c r="O735">
        <v>10.4</v>
      </c>
      <c r="P735">
        <v>5.5412059999999999</v>
      </c>
      <c r="Q735">
        <v>5.0999999999999996</v>
      </c>
      <c r="R735">
        <v>24.2</v>
      </c>
      <c r="S735">
        <v>5.5</v>
      </c>
      <c r="T735">
        <v>8.9</v>
      </c>
      <c r="U735">
        <v>3.6</v>
      </c>
      <c r="V735">
        <v>5.332325</v>
      </c>
      <c r="W735">
        <v>11.8</v>
      </c>
      <c r="X735">
        <v>3.3</v>
      </c>
      <c r="Y735">
        <v>3.9</v>
      </c>
      <c r="Z735">
        <v>6.4</v>
      </c>
      <c r="AA735">
        <v>9.9</v>
      </c>
      <c r="AB735">
        <v>4.1699539999999997</v>
      </c>
      <c r="AC735">
        <v>7.5</v>
      </c>
      <c r="AD735">
        <v>5.6</v>
      </c>
      <c r="AE735">
        <v>6.5972109999999997</v>
      </c>
      <c r="AF735">
        <v>6.7</v>
      </c>
      <c r="AG735">
        <v>12.5</v>
      </c>
      <c r="AH735">
        <v>10.3</v>
      </c>
      <c r="AI735">
        <v>8.3000000000000007</v>
      </c>
      <c r="AJ735">
        <v>7.3</v>
      </c>
      <c r="AK735">
        <v>10.1</v>
      </c>
      <c r="AL735">
        <v>4.9000000000000004</v>
      </c>
    </row>
    <row r="736" spans="1:38" x14ac:dyDescent="0.2">
      <c r="A736" s="61">
        <v>42430</v>
      </c>
      <c r="B736">
        <v>5.6570919999999996</v>
      </c>
      <c r="C736">
        <v>6.2</v>
      </c>
      <c r="D736">
        <v>8.3000000000000007</v>
      </c>
      <c r="E736">
        <v>7.1</v>
      </c>
      <c r="G736">
        <v>6.624949</v>
      </c>
      <c r="H736">
        <v>4.0999999999999996</v>
      </c>
      <c r="I736">
        <v>4.0999999999999996</v>
      </c>
      <c r="J736">
        <v>6.1</v>
      </c>
      <c r="K736">
        <v>10.3</v>
      </c>
      <c r="L736">
        <v>20.3</v>
      </c>
      <c r="M736">
        <v>6.9</v>
      </c>
      <c r="N736">
        <v>9.4</v>
      </c>
      <c r="O736">
        <v>10.199999999999999</v>
      </c>
      <c r="P736">
        <v>5.5511730000000004</v>
      </c>
      <c r="Q736">
        <v>5</v>
      </c>
      <c r="R736">
        <v>24.2</v>
      </c>
      <c r="S736">
        <v>5.6</v>
      </c>
      <c r="T736">
        <v>8.8000000000000007</v>
      </c>
      <c r="U736">
        <v>3.6</v>
      </c>
      <c r="V736">
        <v>5.3019550000000004</v>
      </c>
      <c r="W736">
        <v>11.6</v>
      </c>
      <c r="X736">
        <v>3.2</v>
      </c>
      <c r="Y736">
        <v>3.7</v>
      </c>
      <c r="Z736">
        <v>6.4</v>
      </c>
      <c r="AA736">
        <v>9.6999999999999993</v>
      </c>
      <c r="AB736">
        <v>4.0959019999999997</v>
      </c>
      <c r="AC736">
        <v>7.4</v>
      </c>
      <c r="AD736">
        <v>5.0999999999999996</v>
      </c>
      <c r="AE736">
        <v>6.6126800000000001</v>
      </c>
      <c r="AF736">
        <v>6.5</v>
      </c>
      <c r="AG736">
        <v>12.3</v>
      </c>
      <c r="AH736">
        <v>10.1</v>
      </c>
      <c r="AI736">
        <v>8.3000000000000007</v>
      </c>
      <c r="AJ736">
        <v>7.5</v>
      </c>
      <c r="AK736">
        <v>10.199999999999999</v>
      </c>
      <c r="AL736">
        <v>5</v>
      </c>
    </row>
    <row r="737" spans="1:38" x14ac:dyDescent="0.2">
      <c r="A737" s="61">
        <v>42461</v>
      </c>
      <c r="B737">
        <v>5.6467029999999996</v>
      </c>
      <c r="C737">
        <v>6.1</v>
      </c>
      <c r="D737">
        <v>8.3000000000000007</v>
      </c>
      <c r="E737">
        <v>7.2</v>
      </c>
      <c r="G737">
        <v>6.7966220000000002</v>
      </c>
      <c r="H737">
        <v>3.9</v>
      </c>
      <c r="I737">
        <v>4</v>
      </c>
      <c r="J737">
        <v>6</v>
      </c>
      <c r="K737">
        <v>10.3</v>
      </c>
      <c r="L737">
        <v>20.3</v>
      </c>
      <c r="M737">
        <v>6.6</v>
      </c>
      <c r="N737">
        <v>8.9</v>
      </c>
      <c r="O737">
        <v>10.1</v>
      </c>
      <c r="P737">
        <v>5.5654019999999997</v>
      </c>
      <c r="Q737">
        <v>4.9000000000000004</v>
      </c>
      <c r="R737">
        <v>23.9</v>
      </c>
      <c r="S737">
        <v>5.4</v>
      </c>
      <c r="T737">
        <v>8.9</v>
      </c>
      <c r="U737">
        <v>3.6</v>
      </c>
      <c r="V737">
        <v>5.0794139999999999</v>
      </c>
      <c r="W737">
        <v>11.8</v>
      </c>
      <c r="X737">
        <v>3.2</v>
      </c>
      <c r="Y737">
        <v>3.6</v>
      </c>
      <c r="Z737">
        <v>6.3</v>
      </c>
      <c r="AA737">
        <v>9.5</v>
      </c>
      <c r="AB737">
        <v>3.915578</v>
      </c>
      <c r="AC737">
        <v>7.4</v>
      </c>
      <c r="AD737">
        <v>5</v>
      </c>
      <c r="AE737">
        <v>6.5345190000000004</v>
      </c>
      <c r="AF737">
        <v>6.4</v>
      </c>
      <c r="AG737">
        <v>11.9</v>
      </c>
      <c r="AH737">
        <v>10</v>
      </c>
      <c r="AI737">
        <v>8.1</v>
      </c>
      <c r="AJ737">
        <v>6.9</v>
      </c>
      <c r="AK737">
        <v>10.1</v>
      </c>
      <c r="AL737">
        <v>5.0999999999999996</v>
      </c>
    </row>
    <row r="738" spans="1:38" x14ac:dyDescent="0.2">
      <c r="A738" s="61">
        <v>42491</v>
      </c>
      <c r="B738">
        <v>5.7277050000000003</v>
      </c>
      <c r="C738">
        <v>6.9</v>
      </c>
      <c r="D738">
        <v>8.1999999999999993</v>
      </c>
      <c r="E738">
        <v>7</v>
      </c>
      <c r="G738">
        <v>6.7391610000000002</v>
      </c>
      <c r="H738">
        <v>4</v>
      </c>
      <c r="I738">
        <v>4</v>
      </c>
      <c r="J738">
        <v>6.3</v>
      </c>
      <c r="K738">
        <v>10.199999999999999</v>
      </c>
      <c r="L738">
        <v>20.100000000000001</v>
      </c>
      <c r="M738">
        <v>6.4</v>
      </c>
      <c r="N738">
        <v>8.6</v>
      </c>
      <c r="O738">
        <v>10</v>
      </c>
      <c r="P738">
        <v>5.4280299999999997</v>
      </c>
      <c r="Q738">
        <v>4.9000000000000004</v>
      </c>
      <c r="R738">
        <v>23.9</v>
      </c>
      <c r="S738">
        <v>5</v>
      </c>
      <c r="T738">
        <v>8.8000000000000007</v>
      </c>
      <c r="U738">
        <v>3.5</v>
      </c>
      <c r="V738">
        <v>4.6984450000000004</v>
      </c>
      <c r="W738">
        <v>11.6</v>
      </c>
      <c r="X738">
        <v>3.2</v>
      </c>
      <c r="Y738">
        <v>3.5</v>
      </c>
      <c r="Z738">
        <v>6.2</v>
      </c>
      <c r="AA738">
        <v>9.4</v>
      </c>
      <c r="AB738">
        <v>4.1188370000000001</v>
      </c>
      <c r="AC738">
        <v>7.2</v>
      </c>
      <c r="AD738">
        <v>4.9000000000000004</v>
      </c>
      <c r="AE738">
        <v>6.4671690000000002</v>
      </c>
      <c r="AF738">
        <v>6.4</v>
      </c>
      <c r="AG738">
        <v>11.5</v>
      </c>
      <c r="AH738">
        <v>9.8000000000000007</v>
      </c>
      <c r="AI738">
        <v>8</v>
      </c>
      <c r="AJ738">
        <v>7.4</v>
      </c>
      <c r="AK738">
        <v>10.3</v>
      </c>
      <c r="AL738">
        <v>4.8</v>
      </c>
    </row>
    <row r="739" spans="1:38" x14ac:dyDescent="0.2">
      <c r="A739" s="61">
        <v>42522</v>
      </c>
      <c r="B739">
        <v>5.6847450000000004</v>
      </c>
      <c r="C739">
        <v>6.8</v>
      </c>
      <c r="D739">
        <v>8.1</v>
      </c>
      <c r="E739">
        <v>6.9</v>
      </c>
      <c r="G739">
        <v>6.9000469999999998</v>
      </c>
      <c r="H739">
        <v>4.2</v>
      </c>
      <c r="I739">
        <v>4</v>
      </c>
      <c r="J739">
        <v>5.9</v>
      </c>
      <c r="K739">
        <v>10.1</v>
      </c>
      <c r="L739">
        <v>19.899999999999999</v>
      </c>
      <c r="M739">
        <v>6.8</v>
      </c>
      <c r="N739">
        <v>9.3000000000000007</v>
      </c>
      <c r="O739">
        <v>10</v>
      </c>
      <c r="P739">
        <v>5.4311309999999997</v>
      </c>
      <c r="Q739">
        <v>4.9000000000000004</v>
      </c>
      <c r="R739">
        <v>23.6</v>
      </c>
      <c r="S739">
        <v>4.7</v>
      </c>
      <c r="T739">
        <v>8.6999999999999993</v>
      </c>
      <c r="U739">
        <v>3.4</v>
      </c>
      <c r="V739">
        <v>4.6475210000000002</v>
      </c>
      <c r="W739">
        <v>11.7</v>
      </c>
      <c r="X739">
        <v>3.1</v>
      </c>
      <c r="Y739">
        <v>3.5</v>
      </c>
      <c r="Z739">
        <v>6.2</v>
      </c>
      <c r="AA739">
        <v>9.5</v>
      </c>
      <c r="AB739">
        <v>3.9624600000000001</v>
      </c>
      <c r="AC739">
        <v>7.1</v>
      </c>
      <c r="AD739">
        <v>4.5999999999999996</v>
      </c>
      <c r="AE739">
        <v>6.466081</v>
      </c>
      <c r="AF739">
        <v>6.3</v>
      </c>
      <c r="AG739">
        <v>11.4</v>
      </c>
      <c r="AH739">
        <v>9.6999999999999993</v>
      </c>
      <c r="AI739">
        <v>7.8</v>
      </c>
      <c r="AJ739">
        <v>6.9</v>
      </c>
      <c r="AK739">
        <v>10.7</v>
      </c>
      <c r="AL739">
        <v>4.9000000000000004</v>
      </c>
    </row>
    <row r="740" spans="1:38" x14ac:dyDescent="0.2">
      <c r="A740" s="61">
        <v>42552</v>
      </c>
      <c r="B740">
        <v>5.6784829999999999</v>
      </c>
      <c r="C740">
        <v>6.4</v>
      </c>
      <c r="D740">
        <v>7.9</v>
      </c>
      <c r="E740">
        <v>7</v>
      </c>
      <c r="G740">
        <v>6.7646559999999996</v>
      </c>
      <c r="H740">
        <v>4.0999999999999996</v>
      </c>
      <c r="I740">
        <v>3.9</v>
      </c>
      <c r="J740">
        <v>6.5</v>
      </c>
      <c r="K740">
        <v>10</v>
      </c>
      <c r="L740">
        <v>19.5</v>
      </c>
      <c r="M740">
        <v>6.9</v>
      </c>
      <c r="N740">
        <v>9</v>
      </c>
      <c r="O740">
        <v>9.8000000000000007</v>
      </c>
      <c r="P740">
        <v>5.3558300000000001</v>
      </c>
      <c r="Q740">
        <v>5</v>
      </c>
      <c r="R740">
        <v>23.8</v>
      </c>
      <c r="S740">
        <v>5</v>
      </c>
      <c r="T740">
        <v>8.5</v>
      </c>
      <c r="U740">
        <v>3.3</v>
      </c>
      <c r="V740">
        <v>4.6957430000000002</v>
      </c>
      <c r="W740">
        <v>11.5</v>
      </c>
      <c r="X740">
        <v>3</v>
      </c>
      <c r="Y740">
        <v>3.6</v>
      </c>
      <c r="Z740">
        <v>6.2</v>
      </c>
      <c r="AA740">
        <v>9.6999999999999993</v>
      </c>
      <c r="AB740">
        <v>3.7965749999999998</v>
      </c>
      <c r="AC740">
        <v>7</v>
      </c>
      <c r="AD740">
        <v>5</v>
      </c>
      <c r="AE740">
        <v>6.4185699999999999</v>
      </c>
      <c r="AF740">
        <v>6.3</v>
      </c>
      <c r="AG740">
        <v>11.2</v>
      </c>
      <c r="AH740">
        <v>9.6</v>
      </c>
      <c r="AI740">
        <v>7.5</v>
      </c>
      <c r="AJ740">
        <v>7</v>
      </c>
      <c r="AK740">
        <v>11.1</v>
      </c>
      <c r="AL740">
        <v>4.8</v>
      </c>
    </row>
    <row r="741" spans="1:38" x14ac:dyDescent="0.2">
      <c r="A741" s="61">
        <v>42583</v>
      </c>
      <c r="B741">
        <v>5.606541</v>
      </c>
      <c r="C741">
        <v>7</v>
      </c>
      <c r="D741">
        <v>7.8</v>
      </c>
      <c r="E741">
        <v>7</v>
      </c>
      <c r="G741">
        <v>6.8111660000000001</v>
      </c>
      <c r="H741">
        <v>3.7</v>
      </c>
      <c r="I741">
        <v>3.9</v>
      </c>
      <c r="J741">
        <v>5.8</v>
      </c>
      <c r="K741">
        <v>9.9</v>
      </c>
      <c r="L741">
        <v>19.3</v>
      </c>
      <c r="M741">
        <v>7.6</v>
      </c>
      <c r="N741">
        <v>8.4</v>
      </c>
      <c r="O741">
        <v>9.9</v>
      </c>
      <c r="P741">
        <v>5.3988560000000003</v>
      </c>
      <c r="Q741">
        <v>4.8</v>
      </c>
      <c r="R741">
        <v>23.9</v>
      </c>
      <c r="S741">
        <v>4.7</v>
      </c>
      <c r="T741">
        <v>8.3000000000000007</v>
      </c>
      <c r="U741">
        <v>3.3</v>
      </c>
      <c r="V741">
        <v>4.6306789999999998</v>
      </c>
      <c r="W741">
        <v>11.5</v>
      </c>
      <c r="X741">
        <v>3.1</v>
      </c>
      <c r="Y741">
        <v>3.9</v>
      </c>
      <c r="Z741">
        <v>6.3</v>
      </c>
      <c r="AA741">
        <v>9.8000000000000007</v>
      </c>
      <c r="AB741">
        <v>3.7434129999999999</v>
      </c>
      <c r="AC741">
        <v>6.8</v>
      </c>
      <c r="AD741">
        <v>5.2</v>
      </c>
      <c r="AE741">
        <v>6.430097</v>
      </c>
      <c r="AF741">
        <v>6.2</v>
      </c>
      <c r="AG741">
        <v>11.2</v>
      </c>
      <c r="AH741">
        <v>9.5</v>
      </c>
      <c r="AI741">
        <v>7.4</v>
      </c>
      <c r="AJ741">
        <v>7.3</v>
      </c>
      <c r="AK741">
        <v>11.1</v>
      </c>
      <c r="AL741">
        <v>4.9000000000000004</v>
      </c>
    </row>
    <row r="742" spans="1:38" x14ac:dyDescent="0.2">
      <c r="A742" s="61">
        <v>42614</v>
      </c>
      <c r="B742">
        <v>5.6382370000000002</v>
      </c>
      <c r="C742">
        <v>6.5</v>
      </c>
      <c r="D742">
        <v>7.5</v>
      </c>
      <c r="E742">
        <v>7</v>
      </c>
      <c r="G742">
        <v>6.6322279999999996</v>
      </c>
      <c r="H742">
        <v>4</v>
      </c>
      <c r="I742">
        <v>3.8</v>
      </c>
      <c r="J742">
        <v>5.7</v>
      </c>
      <c r="K742">
        <v>9.9</v>
      </c>
      <c r="L742">
        <v>19.100000000000001</v>
      </c>
      <c r="M742">
        <v>7.2</v>
      </c>
      <c r="N742">
        <v>8.4</v>
      </c>
      <c r="O742">
        <v>9.9</v>
      </c>
      <c r="P742">
        <v>5.4422050000000004</v>
      </c>
      <c r="Q742">
        <v>4.8</v>
      </c>
      <c r="R742">
        <v>23.3</v>
      </c>
      <c r="S742">
        <v>4.5</v>
      </c>
      <c r="T742">
        <v>7.9</v>
      </c>
      <c r="U742">
        <v>3.4</v>
      </c>
      <c r="V742">
        <v>4.8285980000000004</v>
      </c>
      <c r="W742">
        <v>11.9</v>
      </c>
      <c r="X742">
        <v>3</v>
      </c>
      <c r="Y742">
        <v>4</v>
      </c>
      <c r="Z742">
        <v>6.4</v>
      </c>
      <c r="AA742">
        <v>9.8000000000000007</v>
      </c>
      <c r="AB742">
        <v>3.842921</v>
      </c>
      <c r="AC742">
        <v>6.7</v>
      </c>
      <c r="AD742">
        <v>4.8</v>
      </c>
      <c r="AE742">
        <v>6.4492760000000002</v>
      </c>
      <c r="AF742">
        <v>6.1</v>
      </c>
      <c r="AG742">
        <v>11.1</v>
      </c>
      <c r="AH742">
        <v>9.3000000000000007</v>
      </c>
      <c r="AI742">
        <v>7.6</v>
      </c>
      <c r="AJ742">
        <v>6.9</v>
      </c>
      <c r="AK742">
        <v>11.6</v>
      </c>
      <c r="AL742">
        <v>5</v>
      </c>
    </row>
    <row r="743" spans="1:38" x14ac:dyDescent="0.2">
      <c r="A743" s="61">
        <v>42644</v>
      </c>
      <c r="B743">
        <v>5.5739450000000001</v>
      </c>
      <c r="C743">
        <v>6.1</v>
      </c>
      <c r="D743">
        <v>7.3</v>
      </c>
      <c r="E743">
        <v>7</v>
      </c>
      <c r="G743">
        <v>6.663621</v>
      </c>
      <c r="H743">
        <v>3.8</v>
      </c>
      <c r="I743">
        <v>3.8</v>
      </c>
      <c r="J743">
        <v>6.3</v>
      </c>
      <c r="K743">
        <v>9.8000000000000007</v>
      </c>
      <c r="L743">
        <v>18.8</v>
      </c>
      <c r="M743">
        <v>7.3</v>
      </c>
      <c r="N743">
        <v>9</v>
      </c>
      <c r="O743">
        <v>10.1</v>
      </c>
      <c r="P743">
        <v>5.3964299999999996</v>
      </c>
      <c r="Q743">
        <v>4.8</v>
      </c>
      <c r="R743">
        <v>23.6</v>
      </c>
      <c r="S743">
        <v>4.8</v>
      </c>
      <c r="T743">
        <v>7.7</v>
      </c>
      <c r="U743">
        <v>3.4</v>
      </c>
      <c r="V743">
        <v>4.7606640000000002</v>
      </c>
      <c r="W743">
        <v>11.7</v>
      </c>
      <c r="X743">
        <v>3</v>
      </c>
      <c r="Y743">
        <v>3.8</v>
      </c>
      <c r="Z743">
        <v>6.3</v>
      </c>
      <c r="AA743">
        <v>9.6</v>
      </c>
      <c r="AB743">
        <v>3.568737</v>
      </c>
      <c r="AC743">
        <v>6.6</v>
      </c>
      <c r="AD743">
        <v>4.8</v>
      </c>
      <c r="AE743">
        <v>6.3895309999999998</v>
      </c>
      <c r="AF743">
        <v>5.9</v>
      </c>
      <c r="AG743">
        <v>10.9</v>
      </c>
      <c r="AH743">
        <v>9.1999999999999993</v>
      </c>
      <c r="AI743">
        <v>8</v>
      </c>
      <c r="AJ743">
        <v>7.1</v>
      </c>
      <c r="AK743">
        <v>11.5</v>
      </c>
      <c r="AL743">
        <v>4.9000000000000004</v>
      </c>
    </row>
    <row r="744" spans="1:38" x14ac:dyDescent="0.2">
      <c r="A744" s="61">
        <v>42675</v>
      </c>
      <c r="B744">
        <v>5.7631370000000004</v>
      </c>
      <c r="C744">
        <v>6.3</v>
      </c>
      <c r="D744">
        <v>7.3</v>
      </c>
      <c r="E744">
        <v>6.9</v>
      </c>
      <c r="G744">
        <v>6.6934670000000001</v>
      </c>
      <c r="H744">
        <v>3.6</v>
      </c>
      <c r="I744">
        <v>3.7</v>
      </c>
      <c r="J744">
        <v>5.8</v>
      </c>
      <c r="K744">
        <v>9.9</v>
      </c>
      <c r="L744">
        <v>18.8</v>
      </c>
      <c r="M744">
        <v>6.7</v>
      </c>
      <c r="N744">
        <v>9.3000000000000007</v>
      </c>
      <c r="O744">
        <v>10.1</v>
      </c>
      <c r="P744">
        <v>5.3426910000000003</v>
      </c>
      <c r="Q744">
        <v>4.7</v>
      </c>
      <c r="R744">
        <v>23.7</v>
      </c>
      <c r="S744">
        <v>4.0999999999999996</v>
      </c>
      <c r="T744">
        <v>7.5</v>
      </c>
      <c r="U744">
        <v>3.5</v>
      </c>
      <c r="V744">
        <v>4.469487</v>
      </c>
      <c r="W744">
        <v>12</v>
      </c>
      <c r="X744">
        <v>3</v>
      </c>
      <c r="Y744">
        <v>3.7</v>
      </c>
      <c r="Z744">
        <v>6.3</v>
      </c>
      <c r="AA744">
        <v>9.5</v>
      </c>
      <c r="AB744">
        <v>3.6235110000000001</v>
      </c>
      <c r="AC744">
        <v>6.6</v>
      </c>
      <c r="AD744">
        <v>4.7</v>
      </c>
      <c r="AE744">
        <v>6.3255720000000002</v>
      </c>
      <c r="AF744">
        <v>5.7</v>
      </c>
      <c r="AG744">
        <v>10.8</v>
      </c>
      <c r="AH744">
        <v>9.1</v>
      </c>
      <c r="AI744">
        <v>8.1999999999999993</v>
      </c>
      <c r="AJ744">
        <v>7</v>
      </c>
      <c r="AK744">
        <v>11.6</v>
      </c>
      <c r="AL744">
        <v>4.7</v>
      </c>
    </row>
    <row r="745" spans="1:38" x14ac:dyDescent="0.2">
      <c r="A745" s="61">
        <v>42705</v>
      </c>
      <c r="B745">
        <v>5.83683</v>
      </c>
      <c r="C745">
        <v>6.2</v>
      </c>
      <c r="D745">
        <v>7.4</v>
      </c>
      <c r="E745">
        <v>7</v>
      </c>
      <c r="G745">
        <v>6.7578959999999997</v>
      </c>
      <c r="H745">
        <v>3.6</v>
      </c>
      <c r="I745">
        <v>3.7</v>
      </c>
      <c r="J745">
        <v>5.6</v>
      </c>
      <c r="K745">
        <v>9.6999999999999993</v>
      </c>
      <c r="L745">
        <v>18.600000000000001</v>
      </c>
      <c r="M745">
        <v>6.4</v>
      </c>
      <c r="N745">
        <v>8.5</v>
      </c>
      <c r="O745">
        <v>10</v>
      </c>
      <c r="P745">
        <v>5.3093849999999998</v>
      </c>
      <c r="Q745">
        <v>4.7</v>
      </c>
      <c r="R745">
        <v>23.7</v>
      </c>
      <c r="S745">
        <v>4.3</v>
      </c>
      <c r="T745">
        <v>7.5</v>
      </c>
      <c r="U745">
        <v>3.5</v>
      </c>
      <c r="V745">
        <v>4.2754969999999997</v>
      </c>
      <c r="W745">
        <v>11.8</v>
      </c>
      <c r="X745">
        <v>3</v>
      </c>
      <c r="Y745">
        <v>3.5</v>
      </c>
      <c r="Z745">
        <v>6.3</v>
      </c>
      <c r="AA745">
        <v>9.4</v>
      </c>
      <c r="AB745">
        <v>3.7002079999999999</v>
      </c>
      <c r="AC745">
        <v>6.4</v>
      </c>
      <c r="AD745">
        <v>4.2</v>
      </c>
      <c r="AE745">
        <v>6.3350689999999998</v>
      </c>
      <c r="AF745">
        <v>5.5</v>
      </c>
      <c r="AG745">
        <v>10.4</v>
      </c>
      <c r="AH745">
        <v>8.9</v>
      </c>
      <c r="AI745">
        <v>8.1</v>
      </c>
      <c r="AJ745">
        <v>7.1</v>
      </c>
      <c r="AK745">
        <v>12.1</v>
      </c>
      <c r="AL745">
        <v>4.7</v>
      </c>
    </row>
    <row r="746" spans="1:38" x14ac:dyDescent="0.2">
      <c r="A746" s="61">
        <v>42736</v>
      </c>
      <c r="B746">
        <v>5.6939270000000004</v>
      </c>
      <c r="C746">
        <v>6</v>
      </c>
      <c r="D746">
        <v>7.8</v>
      </c>
      <c r="E746">
        <v>6.8</v>
      </c>
      <c r="G746">
        <v>7.0526590000000002</v>
      </c>
      <c r="H746">
        <v>3.4</v>
      </c>
      <c r="I746">
        <v>3.7</v>
      </c>
      <c r="J746">
        <v>6.1</v>
      </c>
      <c r="K746">
        <v>9.6</v>
      </c>
      <c r="L746">
        <v>18.399999999999999</v>
      </c>
      <c r="M746">
        <v>6.1</v>
      </c>
      <c r="N746">
        <v>8.9</v>
      </c>
      <c r="O746">
        <v>9.6999999999999993</v>
      </c>
      <c r="P746">
        <v>5.2478160000000003</v>
      </c>
      <c r="Q746">
        <v>4.5999999999999996</v>
      </c>
      <c r="R746">
        <v>23.5</v>
      </c>
      <c r="S746">
        <v>4.0999999999999996</v>
      </c>
      <c r="T746">
        <v>7.4</v>
      </c>
      <c r="U746">
        <v>3.4</v>
      </c>
      <c r="V746">
        <v>4.5099390000000001</v>
      </c>
      <c r="W746">
        <v>11.7</v>
      </c>
      <c r="X746">
        <v>3</v>
      </c>
      <c r="Y746">
        <v>3.5</v>
      </c>
      <c r="Z746">
        <v>6</v>
      </c>
      <c r="AA746">
        <v>9.1999999999999993</v>
      </c>
      <c r="AB746">
        <v>3.4564170000000001</v>
      </c>
      <c r="AC746">
        <v>6.4</v>
      </c>
      <c r="AD746">
        <v>4.2</v>
      </c>
      <c r="AE746">
        <v>6.2616180000000004</v>
      </c>
      <c r="AF746">
        <v>5.3</v>
      </c>
      <c r="AG746">
        <v>10.3</v>
      </c>
      <c r="AH746">
        <v>8.6999999999999993</v>
      </c>
      <c r="AI746">
        <v>7.7</v>
      </c>
      <c r="AJ746">
        <v>7</v>
      </c>
      <c r="AK746">
        <v>12</v>
      </c>
      <c r="AL746">
        <v>4.7</v>
      </c>
    </row>
    <row r="747" spans="1:38" x14ac:dyDescent="0.2">
      <c r="A747" s="61">
        <v>42767</v>
      </c>
      <c r="B747">
        <v>5.8716569999999999</v>
      </c>
      <c r="C747">
        <v>6.1</v>
      </c>
      <c r="D747">
        <v>7.9</v>
      </c>
      <c r="E747">
        <v>6.6</v>
      </c>
      <c r="G747">
        <v>7.0357960000000004</v>
      </c>
      <c r="H747">
        <v>3.3</v>
      </c>
      <c r="I747">
        <v>3.7</v>
      </c>
      <c r="J747">
        <v>6.3</v>
      </c>
      <c r="K747">
        <v>9.5</v>
      </c>
      <c r="L747">
        <v>18.2</v>
      </c>
      <c r="M747">
        <v>5.6</v>
      </c>
      <c r="N747">
        <v>9</v>
      </c>
      <c r="O747">
        <v>9.6</v>
      </c>
      <c r="P747">
        <v>5.1763919999999999</v>
      </c>
      <c r="Q747">
        <v>4.5999999999999996</v>
      </c>
      <c r="R747">
        <v>23.1</v>
      </c>
      <c r="S747">
        <v>4.2</v>
      </c>
      <c r="T747">
        <v>7.3</v>
      </c>
      <c r="U747">
        <v>3.3</v>
      </c>
      <c r="V747">
        <v>4.3185250000000002</v>
      </c>
      <c r="W747">
        <v>11.6</v>
      </c>
      <c r="X747">
        <v>2.9</v>
      </c>
      <c r="Y747">
        <v>3.9</v>
      </c>
      <c r="Z747">
        <v>5.9</v>
      </c>
      <c r="AA747">
        <v>9</v>
      </c>
      <c r="AB747">
        <v>3.3943110000000001</v>
      </c>
      <c r="AC747">
        <v>6.3</v>
      </c>
      <c r="AD747">
        <v>4.5</v>
      </c>
      <c r="AE747">
        <v>6.2150210000000001</v>
      </c>
      <c r="AF747">
        <v>5.2</v>
      </c>
      <c r="AG747">
        <v>10.1</v>
      </c>
      <c r="AH747">
        <v>8.6</v>
      </c>
      <c r="AI747">
        <v>7.3</v>
      </c>
      <c r="AJ747">
        <v>7.1</v>
      </c>
      <c r="AK747">
        <v>11.9</v>
      </c>
      <c r="AL747">
        <v>4.5999999999999996</v>
      </c>
    </row>
    <row r="748" spans="1:38" x14ac:dyDescent="0.2">
      <c r="A748" s="61">
        <v>42795</v>
      </c>
      <c r="B748">
        <v>5.863327</v>
      </c>
      <c r="C748">
        <v>6.2</v>
      </c>
      <c r="D748">
        <v>7.8</v>
      </c>
      <c r="E748">
        <v>6.7</v>
      </c>
      <c r="G748">
        <v>7.0839249999999998</v>
      </c>
      <c r="H748">
        <v>3.3</v>
      </c>
      <c r="I748">
        <v>3.7</v>
      </c>
      <c r="J748">
        <v>5.9</v>
      </c>
      <c r="K748">
        <v>9.5</v>
      </c>
      <c r="L748">
        <v>18</v>
      </c>
      <c r="M748">
        <v>5.7</v>
      </c>
      <c r="N748">
        <v>8.9</v>
      </c>
      <c r="O748">
        <v>9.6</v>
      </c>
      <c r="P748">
        <v>5.076149</v>
      </c>
      <c r="Q748">
        <v>4.5</v>
      </c>
      <c r="R748">
        <v>22.6</v>
      </c>
      <c r="S748">
        <v>4.4000000000000004</v>
      </c>
      <c r="T748">
        <v>7.1</v>
      </c>
      <c r="U748">
        <v>3.2</v>
      </c>
      <c r="V748">
        <v>4.4214390000000003</v>
      </c>
      <c r="W748">
        <v>11.7</v>
      </c>
      <c r="X748">
        <v>2.8</v>
      </c>
      <c r="Y748">
        <v>3.6</v>
      </c>
      <c r="Z748">
        <v>5.7</v>
      </c>
      <c r="AA748">
        <v>8.8000000000000007</v>
      </c>
      <c r="AB748">
        <v>3.5017529999999999</v>
      </c>
      <c r="AC748">
        <v>6.2</v>
      </c>
      <c r="AD748">
        <v>4.9000000000000004</v>
      </c>
      <c r="AE748">
        <v>6.1284660000000004</v>
      </c>
      <c r="AF748">
        <v>5.0999999999999996</v>
      </c>
      <c r="AG748">
        <v>10</v>
      </c>
      <c r="AH748">
        <v>8.5</v>
      </c>
      <c r="AI748">
        <v>7</v>
      </c>
      <c r="AJ748">
        <v>6.6</v>
      </c>
      <c r="AK748">
        <v>11.9</v>
      </c>
      <c r="AL748">
        <v>4.4000000000000004</v>
      </c>
    </row>
    <row r="749" spans="1:38" x14ac:dyDescent="0.2">
      <c r="A749" s="61">
        <v>42826</v>
      </c>
      <c r="B749">
        <v>5.6190660000000001</v>
      </c>
      <c r="C749">
        <v>5.7</v>
      </c>
      <c r="D749">
        <v>7.5</v>
      </c>
      <c r="E749">
        <v>6.5</v>
      </c>
      <c r="G749">
        <v>7.0711449999999996</v>
      </c>
      <c r="H749">
        <v>3.3</v>
      </c>
      <c r="I749">
        <v>3.6</v>
      </c>
      <c r="J749">
        <v>5.9</v>
      </c>
      <c r="K749">
        <v>9.3000000000000007</v>
      </c>
      <c r="L749">
        <v>17.600000000000001</v>
      </c>
      <c r="M749">
        <v>6.1</v>
      </c>
      <c r="N749">
        <v>9.4</v>
      </c>
      <c r="O749">
        <v>9.5</v>
      </c>
      <c r="P749">
        <v>5.0039600000000002</v>
      </c>
      <c r="Q749">
        <v>4.4000000000000004</v>
      </c>
      <c r="R749">
        <v>22.1</v>
      </c>
      <c r="S749">
        <v>4.4000000000000004</v>
      </c>
      <c r="T749">
        <v>6.8</v>
      </c>
      <c r="U749">
        <v>3.2</v>
      </c>
      <c r="V749">
        <v>4.3586260000000001</v>
      </c>
      <c r="W749">
        <v>11.2</v>
      </c>
      <c r="X749">
        <v>2.8</v>
      </c>
      <c r="Y749">
        <v>3.8</v>
      </c>
      <c r="Z749">
        <v>5.6</v>
      </c>
      <c r="AA749">
        <v>8.6999999999999993</v>
      </c>
      <c r="AB749">
        <v>3.5646529999999998</v>
      </c>
      <c r="AC749">
        <v>6.1</v>
      </c>
      <c r="AD749">
        <v>4.5999999999999996</v>
      </c>
      <c r="AE749">
        <v>6.0271800000000004</v>
      </c>
      <c r="AF749">
        <v>5.2</v>
      </c>
      <c r="AG749">
        <v>9.6999999999999993</v>
      </c>
      <c r="AH749">
        <v>8.4</v>
      </c>
      <c r="AI749">
        <v>6.7</v>
      </c>
      <c r="AJ749">
        <v>7</v>
      </c>
      <c r="AK749">
        <v>11.6</v>
      </c>
      <c r="AL749">
        <v>4.4000000000000004</v>
      </c>
    </row>
    <row r="750" spans="1:38" x14ac:dyDescent="0.2">
      <c r="A750" s="61">
        <v>42856</v>
      </c>
      <c r="B750">
        <v>5.553401</v>
      </c>
      <c r="C750">
        <v>6.1</v>
      </c>
      <c r="D750">
        <v>7.3</v>
      </c>
      <c r="E750">
        <v>6.6</v>
      </c>
      <c r="G750">
        <v>7.0231120000000002</v>
      </c>
      <c r="H750">
        <v>3</v>
      </c>
      <c r="I750">
        <v>3.6</v>
      </c>
      <c r="J750">
        <v>5.9</v>
      </c>
      <c r="K750">
        <v>9.1999999999999993</v>
      </c>
      <c r="L750">
        <v>17.3</v>
      </c>
      <c r="M750">
        <v>6.6</v>
      </c>
      <c r="N750">
        <v>8.8000000000000007</v>
      </c>
      <c r="O750">
        <v>9.6</v>
      </c>
      <c r="P750">
        <v>5.0567570000000002</v>
      </c>
      <c r="Q750">
        <v>4.4000000000000004</v>
      </c>
      <c r="R750">
        <v>22.1</v>
      </c>
      <c r="S750">
        <v>4.0999999999999996</v>
      </c>
      <c r="T750">
        <v>6.6</v>
      </c>
      <c r="U750">
        <v>3.3</v>
      </c>
      <c r="V750">
        <v>4.4812890000000003</v>
      </c>
      <c r="W750">
        <v>11.4</v>
      </c>
      <c r="X750">
        <v>3</v>
      </c>
      <c r="Y750">
        <v>3.4</v>
      </c>
      <c r="Z750">
        <v>5.5</v>
      </c>
      <c r="AA750">
        <v>8.8000000000000007</v>
      </c>
      <c r="AB750">
        <v>3.6253039999999999</v>
      </c>
      <c r="AC750">
        <v>6.1</v>
      </c>
      <c r="AD750">
        <v>4.5</v>
      </c>
      <c r="AE750">
        <v>6.025798</v>
      </c>
      <c r="AF750">
        <v>5.2</v>
      </c>
      <c r="AG750">
        <v>9.4</v>
      </c>
      <c r="AH750">
        <v>8.3000000000000007</v>
      </c>
      <c r="AI750">
        <v>6.6</v>
      </c>
      <c r="AJ750">
        <v>6.9</v>
      </c>
      <c r="AK750">
        <v>11.1</v>
      </c>
      <c r="AL750">
        <v>4.4000000000000004</v>
      </c>
    </row>
    <row r="751" spans="1:38" x14ac:dyDescent="0.2">
      <c r="A751" s="61">
        <v>42887</v>
      </c>
      <c r="B751">
        <v>5.5821759999999996</v>
      </c>
      <c r="C751">
        <v>5.7</v>
      </c>
      <c r="D751">
        <v>7.2</v>
      </c>
      <c r="E751">
        <v>6.5</v>
      </c>
      <c r="G751">
        <v>6.8460349999999996</v>
      </c>
      <c r="H751">
        <v>2.9</v>
      </c>
      <c r="I751">
        <v>3.6</v>
      </c>
      <c r="J751">
        <v>5.8</v>
      </c>
      <c r="K751">
        <v>9.1</v>
      </c>
      <c r="L751">
        <v>17</v>
      </c>
      <c r="M751">
        <v>6.2</v>
      </c>
      <c r="N751">
        <v>8.9</v>
      </c>
      <c r="O751">
        <v>9.5</v>
      </c>
      <c r="P751">
        <v>4.9457800000000001</v>
      </c>
      <c r="Q751">
        <v>4.3</v>
      </c>
      <c r="R751">
        <v>21.4</v>
      </c>
      <c r="S751">
        <v>4.3</v>
      </c>
      <c r="T751">
        <v>6.6</v>
      </c>
      <c r="U751">
        <v>3.3</v>
      </c>
      <c r="V751">
        <v>4.3695310000000003</v>
      </c>
      <c r="W751">
        <v>11.2</v>
      </c>
      <c r="X751">
        <v>2.8</v>
      </c>
      <c r="Y751">
        <v>3.7</v>
      </c>
      <c r="Z751">
        <v>5.5</v>
      </c>
      <c r="AA751">
        <v>8.9</v>
      </c>
      <c r="AB751">
        <v>3.283547</v>
      </c>
      <c r="AC751">
        <v>6</v>
      </c>
      <c r="AD751">
        <v>4.4000000000000004</v>
      </c>
      <c r="AE751">
        <v>5.8947070000000004</v>
      </c>
      <c r="AF751">
        <v>5.0999999999999996</v>
      </c>
      <c r="AG751">
        <v>9.4</v>
      </c>
      <c r="AH751">
        <v>8</v>
      </c>
      <c r="AI751">
        <v>6.6</v>
      </c>
      <c r="AJ751">
        <v>6.7</v>
      </c>
      <c r="AK751">
        <v>11</v>
      </c>
      <c r="AL751">
        <v>4.3</v>
      </c>
    </row>
    <row r="752" spans="1:38" x14ac:dyDescent="0.2">
      <c r="A752" s="61">
        <v>42917</v>
      </c>
      <c r="B752">
        <v>5.575685</v>
      </c>
      <c r="C752">
        <v>5.9</v>
      </c>
      <c r="D752">
        <v>7.2</v>
      </c>
      <c r="E752">
        <v>6.3</v>
      </c>
      <c r="G752">
        <v>6.6044609999999997</v>
      </c>
      <c r="H752">
        <v>2.8</v>
      </c>
      <c r="I752">
        <v>3.5</v>
      </c>
      <c r="J752">
        <v>5.8</v>
      </c>
      <c r="K752">
        <v>9.1</v>
      </c>
      <c r="L752">
        <v>16.8</v>
      </c>
      <c r="M752">
        <v>5.7</v>
      </c>
      <c r="N752">
        <v>8.5</v>
      </c>
      <c r="O752">
        <v>9.6</v>
      </c>
      <c r="P752">
        <v>4.9421220000000003</v>
      </c>
      <c r="Q752">
        <v>4.3</v>
      </c>
      <c r="R752">
        <v>21.2</v>
      </c>
      <c r="S752">
        <v>4.0999999999999996</v>
      </c>
      <c r="T752">
        <v>6.7</v>
      </c>
      <c r="U752">
        <v>3.3</v>
      </c>
      <c r="V752">
        <v>3.9414039999999999</v>
      </c>
      <c r="W752">
        <v>11.4</v>
      </c>
      <c r="X752">
        <v>2.8</v>
      </c>
      <c r="Y752">
        <v>3.5</v>
      </c>
      <c r="Z752">
        <v>5.5</v>
      </c>
      <c r="AA752">
        <v>8.8000000000000007</v>
      </c>
      <c r="AB752">
        <v>3.2445149999999998</v>
      </c>
      <c r="AC752">
        <v>5.9</v>
      </c>
      <c r="AD752">
        <v>4.2</v>
      </c>
      <c r="AE752">
        <v>5.8532700000000002</v>
      </c>
      <c r="AF752">
        <v>4.9000000000000004</v>
      </c>
      <c r="AG752">
        <v>9.1</v>
      </c>
      <c r="AH752">
        <v>7.9</v>
      </c>
      <c r="AI752">
        <v>6.5</v>
      </c>
      <c r="AJ752">
        <v>7.1</v>
      </c>
      <c r="AK752">
        <v>10.6</v>
      </c>
      <c r="AL752">
        <v>4.3</v>
      </c>
    </row>
    <row r="753" spans="1:38" x14ac:dyDescent="0.2">
      <c r="A753" s="61">
        <v>42948</v>
      </c>
      <c r="B753">
        <v>5.5128060000000003</v>
      </c>
      <c r="C753">
        <v>5.8</v>
      </c>
      <c r="D753">
        <v>7.1</v>
      </c>
      <c r="E753">
        <v>6.2</v>
      </c>
      <c r="G753">
        <v>6.7766310000000001</v>
      </c>
      <c r="H753">
        <v>2.7</v>
      </c>
      <c r="I753">
        <v>3.5</v>
      </c>
      <c r="J753">
        <v>6</v>
      </c>
      <c r="K753">
        <v>9</v>
      </c>
      <c r="L753">
        <v>16.7</v>
      </c>
      <c r="M753">
        <v>5.2</v>
      </c>
      <c r="N753">
        <v>8.3000000000000007</v>
      </c>
      <c r="O753">
        <v>9.5</v>
      </c>
      <c r="P753">
        <v>4.955228</v>
      </c>
      <c r="Q753">
        <v>4.3</v>
      </c>
      <c r="R753">
        <v>21.1</v>
      </c>
      <c r="S753">
        <v>3.9</v>
      </c>
      <c r="T753">
        <v>6.6</v>
      </c>
      <c r="U753">
        <v>3.3</v>
      </c>
      <c r="V753">
        <v>4.092784</v>
      </c>
      <c r="W753">
        <v>11.3</v>
      </c>
      <c r="X753">
        <v>2.8</v>
      </c>
      <c r="Y753">
        <v>4</v>
      </c>
      <c r="Z753">
        <v>5.5</v>
      </c>
      <c r="AA753">
        <v>8.6999999999999993</v>
      </c>
      <c r="AB753">
        <v>3.2885110000000002</v>
      </c>
      <c r="AC753">
        <v>5.7</v>
      </c>
      <c r="AD753">
        <v>4.4000000000000004</v>
      </c>
      <c r="AE753">
        <v>5.8716809999999997</v>
      </c>
      <c r="AF753">
        <v>4.9000000000000004</v>
      </c>
      <c r="AG753">
        <v>8.9</v>
      </c>
      <c r="AH753">
        <v>7.8</v>
      </c>
      <c r="AI753">
        <v>6.4</v>
      </c>
      <c r="AJ753">
        <v>6.6</v>
      </c>
      <c r="AK753">
        <v>10.5</v>
      </c>
      <c r="AL753">
        <v>4.4000000000000004</v>
      </c>
    </row>
    <row r="754" spans="1:38" x14ac:dyDescent="0.2">
      <c r="A754" s="61">
        <v>42979</v>
      </c>
      <c r="B754">
        <v>5.4365139999999998</v>
      </c>
      <c r="C754">
        <v>6.1</v>
      </c>
      <c r="D754">
        <v>6.9</v>
      </c>
      <c r="E754">
        <v>6.2</v>
      </c>
      <c r="G754">
        <v>6.9422329999999999</v>
      </c>
      <c r="H754">
        <v>2.7</v>
      </c>
      <c r="I754">
        <v>3.5</v>
      </c>
      <c r="J754">
        <v>6</v>
      </c>
      <c r="K754">
        <v>8.9</v>
      </c>
      <c r="L754">
        <v>16.7</v>
      </c>
      <c r="M754">
        <v>5.5</v>
      </c>
      <c r="N754">
        <v>9.1</v>
      </c>
      <c r="O754">
        <v>9.3000000000000007</v>
      </c>
      <c r="P754">
        <v>4.8662840000000003</v>
      </c>
      <c r="Q754">
        <v>4.2</v>
      </c>
      <c r="R754">
        <v>21.1</v>
      </c>
      <c r="S754">
        <v>3.9</v>
      </c>
      <c r="T754">
        <v>6.6</v>
      </c>
      <c r="U754">
        <v>3.3</v>
      </c>
      <c r="V754">
        <v>3.990183</v>
      </c>
      <c r="W754">
        <v>11.2</v>
      </c>
      <c r="X754">
        <v>2.8</v>
      </c>
      <c r="Y754">
        <v>3.8</v>
      </c>
      <c r="Z754">
        <v>5.6</v>
      </c>
      <c r="AA754">
        <v>8.6</v>
      </c>
      <c r="AB754">
        <v>3.334184</v>
      </c>
      <c r="AC754">
        <v>5.7</v>
      </c>
      <c r="AD754">
        <v>4.3</v>
      </c>
      <c r="AE754">
        <v>5.817812</v>
      </c>
      <c r="AF754">
        <v>4.8</v>
      </c>
      <c r="AG754">
        <v>8.6999999999999993</v>
      </c>
      <c r="AH754">
        <v>7.8</v>
      </c>
      <c r="AI754">
        <v>6.3</v>
      </c>
      <c r="AJ754">
        <v>7</v>
      </c>
      <c r="AK754">
        <v>10.3</v>
      </c>
      <c r="AL754">
        <v>4.3</v>
      </c>
    </row>
    <row r="755" spans="1:38" x14ac:dyDescent="0.2">
      <c r="A755" s="61">
        <v>43009</v>
      </c>
      <c r="B755">
        <v>5.3508630000000004</v>
      </c>
      <c r="C755">
        <v>5.6</v>
      </c>
      <c r="D755">
        <v>6.7</v>
      </c>
      <c r="E755">
        <v>6.3</v>
      </c>
      <c r="G755">
        <v>6.9762870000000001</v>
      </c>
      <c r="H755">
        <v>2.7</v>
      </c>
      <c r="I755">
        <v>3.5</v>
      </c>
      <c r="J755">
        <v>5.4</v>
      </c>
      <c r="K755">
        <v>8.8000000000000007</v>
      </c>
      <c r="L755">
        <v>16.7</v>
      </c>
      <c r="M755">
        <v>5.4</v>
      </c>
      <c r="N755">
        <v>8.1999999999999993</v>
      </c>
      <c r="O755">
        <v>9.1</v>
      </c>
      <c r="P755">
        <v>4.8176139999999998</v>
      </c>
      <c r="Q755">
        <v>4.3</v>
      </c>
      <c r="R755">
        <v>21.1</v>
      </c>
      <c r="S755">
        <v>3.9</v>
      </c>
      <c r="T755">
        <v>6.5</v>
      </c>
      <c r="U755">
        <v>3.2</v>
      </c>
      <c r="V755">
        <v>4.0850140000000001</v>
      </c>
      <c r="W755">
        <v>11.1</v>
      </c>
      <c r="X755">
        <v>2.7</v>
      </c>
      <c r="Y755">
        <v>3.7</v>
      </c>
      <c r="Z755">
        <v>5.4</v>
      </c>
      <c r="AA755">
        <v>8.5</v>
      </c>
      <c r="AB755">
        <v>3.4192629999999999</v>
      </c>
      <c r="AC755">
        <v>5.5</v>
      </c>
      <c r="AD755">
        <v>4</v>
      </c>
      <c r="AE755">
        <v>5.7612259999999997</v>
      </c>
      <c r="AF755">
        <v>4.7</v>
      </c>
      <c r="AG755">
        <v>8.6</v>
      </c>
      <c r="AH755">
        <v>7.7</v>
      </c>
      <c r="AI755">
        <v>6</v>
      </c>
      <c r="AJ755">
        <v>7</v>
      </c>
      <c r="AK755">
        <v>10.3</v>
      </c>
      <c r="AL755">
        <v>4.2</v>
      </c>
    </row>
    <row r="756" spans="1:38" x14ac:dyDescent="0.2">
      <c r="A756" s="61">
        <v>43040</v>
      </c>
      <c r="B756">
        <v>5.4190440000000004</v>
      </c>
      <c r="C756">
        <v>5.9</v>
      </c>
      <c r="D756">
        <v>6.4</v>
      </c>
      <c r="E756">
        <v>6</v>
      </c>
      <c r="G756">
        <v>7.0229540000000004</v>
      </c>
      <c r="H756">
        <v>2.4</v>
      </c>
      <c r="I756">
        <v>3.4</v>
      </c>
      <c r="J756">
        <v>5.5</v>
      </c>
      <c r="K756">
        <v>8.6999999999999993</v>
      </c>
      <c r="L756">
        <v>16.7</v>
      </c>
      <c r="M756">
        <v>5.6</v>
      </c>
      <c r="N756">
        <v>7.9</v>
      </c>
      <c r="O756">
        <v>9</v>
      </c>
      <c r="P756">
        <v>4.7975199999999996</v>
      </c>
      <c r="Q756">
        <v>4.4000000000000004</v>
      </c>
      <c r="R756">
        <v>21.4</v>
      </c>
      <c r="S756">
        <v>3.6</v>
      </c>
      <c r="T756">
        <v>6.4</v>
      </c>
      <c r="U756">
        <v>3.3</v>
      </c>
      <c r="V756">
        <v>4.0366249999999999</v>
      </c>
      <c r="W756">
        <v>11</v>
      </c>
      <c r="X756">
        <v>2.7</v>
      </c>
      <c r="Y756">
        <v>3.8</v>
      </c>
      <c r="Z756">
        <v>5.4</v>
      </c>
      <c r="AA756">
        <v>8.4</v>
      </c>
      <c r="AB756">
        <v>3.4997090000000002</v>
      </c>
      <c r="AC756">
        <v>5.4</v>
      </c>
      <c r="AD756">
        <v>3.9</v>
      </c>
      <c r="AE756">
        <v>5.7457079999999996</v>
      </c>
      <c r="AF756">
        <v>4.5999999999999996</v>
      </c>
      <c r="AG756">
        <v>8.1999999999999993</v>
      </c>
      <c r="AH756">
        <v>7.6</v>
      </c>
      <c r="AI756">
        <v>5.8</v>
      </c>
      <c r="AJ756">
        <v>6.6</v>
      </c>
      <c r="AK756">
        <v>10.1</v>
      </c>
      <c r="AL756">
        <v>4.2</v>
      </c>
    </row>
    <row r="757" spans="1:38" x14ac:dyDescent="0.2">
      <c r="A757" s="61">
        <v>43070</v>
      </c>
      <c r="B757">
        <v>5.6109249999999999</v>
      </c>
      <c r="C757">
        <v>5.9</v>
      </c>
      <c r="D757">
        <v>6.2</v>
      </c>
      <c r="E757">
        <v>5.9</v>
      </c>
      <c r="G757">
        <v>7.2276990000000003</v>
      </c>
      <c r="H757">
        <v>2.2999999999999998</v>
      </c>
      <c r="I757">
        <v>3.4</v>
      </c>
      <c r="J757">
        <v>5.3</v>
      </c>
      <c r="K757">
        <v>8.6999999999999993</v>
      </c>
      <c r="L757">
        <v>16.600000000000001</v>
      </c>
      <c r="M757">
        <v>6.1</v>
      </c>
      <c r="N757">
        <v>9</v>
      </c>
      <c r="O757">
        <v>9</v>
      </c>
      <c r="P757">
        <v>4.7420989999999996</v>
      </c>
      <c r="Q757">
        <v>4.3</v>
      </c>
      <c r="R757">
        <v>21.2</v>
      </c>
      <c r="S757">
        <v>3.8</v>
      </c>
      <c r="T757">
        <v>6.3</v>
      </c>
      <c r="U757">
        <v>3.3</v>
      </c>
      <c r="V757">
        <v>4.0525520000000004</v>
      </c>
      <c r="W757">
        <v>10.9</v>
      </c>
      <c r="X757">
        <v>2.7</v>
      </c>
      <c r="Y757">
        <v>3.6</v>
      </c>
      <c r="Z757">
        <v>5.6</v>
      </c>
      <c r="AA757">
        <v>8.1999999999999993</v>
      </c>
      <c r="AB757">
        <v>3.413246</v>
      </c>
      <c r="AC757">
        <v>5.4</v>
      </c>
      <c r="AD757">
        <v>4.5</v>
      </c>
      <c r="AE757">
        <v>5.6806150000000004</v>
      </c>
      <c r="AF757">
        <v>4.4000000000000004</v>
      </c>
      <c r="AG757">
        <v>8.1</v>
      </c>
      <c r="AH757">
        <v>7.5</v>
      </c>
      <c r="AI757">
        <v>5.7</v>
      </c>
      <c r="AJ757">
        <v>6.8</v>
      </c>
      <c r="AK757">
        <v>9.9</v>
      </c>
      <c r="AL757">
        <v>4.0999999999999996</v>
      </c>
    </row>
    <row r="758" spans="1:38" x14ac:dyDescent="0.2">
      <c r="A758" s="61">
        <v>43101</v>
      </c>
      <c r="B758">
        <v>5.5189969999999997</v>
      </c>
      <c r="C758">
        <v>5.7</v>
      </c>
      <c r="D758">
        <v>6.1</v>
      </c>
      <c r="E758">
        <v>6</v>
      </c>
      <c r="G758">
        <v>7.2767730000000004</v>
      </c>
      <c r="H758">
        <v>2.6</v>
      </c>
      <c r="I758">
        <v>3.3</v>
      </c>
      <c r="J758">
        <v>5.4</v>
      </c>
      <c r="K758">
        <v>8.6999999999999993</v>
      </c>
      <c r="L758">
        <v>16.5</v>
      </c>
      <c r="M758">
        <v>6.7</v>
      </c>
      <c r="N758">
        <v>8.5</v>
      </c>
      <c r="O758">
        <v>9.1999999999999993</v>
      </c>
      <c r="P758">
        <v>4.6617170000000003</v>
      </c>
      <c r="Q758">
        <v>4.2</v>
      </c>
      <c r="R758">
        <v>20.9</v>
      </c>
      <c r="S758">
        <v>3.6</v>
      </c>
      <c r="T758">
        <v>6</v>
      </c>
      <c r="U758">
        <v>3.3</v>
      </c>
      <c r="V758">
        <v>3.6701130000000002</v>
      </c>
      <c r="W758">
        <v>11.1</v>
      </c>
      <c r="X758">
        <v>2.4</v>
      </c>
      <c r="Y758">
        <v>3.5</v>
      </c>
      <c r="Z758">
        <v>5.5</v>
      </c>
      <c r="AA758">
        <v>8</v>
      </c>
      <c r="AB758">
        <v>3.1984149999999998</v>
      </c>
      <c r="AC758">
        <v>5.2</v>
      </c>
      <c r="AD758">
        <v>4</v>
      </c>
      <c r="AE758">
        <v>5.589175</v>
      </c>
      <c r="AF758">
        <v>4.2</v>
      </c>
      <c r="AG758">
        <v>8</v>
      </c>
      <c r="AH758">
        <v>7.3</v>
      </c>
      <c r="AI758">
        <v>5.6</v>
      </c>
      <c r="AJ758">
        <v>6.8</v>
      </c>
      <c r="AK758">
        <v>9.8000000000000007</v>
      </c>
      <c r="AL758">
        <v>4</v>
      </c>
    </row>
    <row r="759" spans="1:38" x14ac:dyDescent="0.2">
      <c r="A759" s="61">
        <v>43132</v>
      </c>
      <c r="B759">
        <v>5.5908519999999999</v>
      </c>
      <c r="C759">
        <v>5.2</v>
      </c>
      <c r="D759">
        <v>6.1</v>
      </c>
      <c r="E759">
        <v>5.9</v>
      </c>
      <c r="G759">
        <v>7.3462500000000004</v>
      </c>
      <c r="H759">
        <v>2.2999999999999998</v>
      </c>
      <c r="I759">
        <v>3.3</v>
      </c>
      <c r="J759">
        <v>4.5999999999999996</v>
      </c>
      <c r="K759">
        <v>8.6</v>
      </c>
      <c r="L759">
        <v>16.3</v>
      </c>
      <c r="M759">
        <v>6.6</v>
      </c>
      <c r="N759">
        <v>8.3000000000000007</v>
      </c>
      <c r="O759">
        <v>9.3000000000000007</v>
      </c>
      <c r="P759">
        <v>4.6741440000000001</v>
      </c>
      <c r="Q759">
        <v>4.2</v>
      </c>
      <c r="R759">
        <v>21.4</v>
      </c>
      <c r="S759">
        <v>3.5</v>
      </c>
      <c r="T759">
        <v>5.9</v>
      </c>
      <c r="U759">
        <v>3.1</v>
      </c>
      <c r="V759">
        <v>3.8580950000000001</v>
      </c>
      <c r="W759">
        <v>10.8</v>
      </c>
      <c r="X759">
        <v>2.5</v>
      </c>
      <c r="Y759">
        <v>3.7</v>
      </c>
      <c r="Z759">
        <v>5.6</v>
      </c>
      <c r="AA759">
        <v>7.8</v>
      </c>
      <c r="AB759">
        <v>3.1498249999999999</v>
      </c>
      <c r="AC759">
        <v>5.0999999999999996</v>
      </c>
      <c r="AD759">
        <v>4</v>
      </c>
      <c r="AE759">
        <v>5.5833180000000002</v>
      </c>
      <c r="AF759">
        <v>4</v>
      </c>
      <c r="AG759">
        <v>7.8</v>
      </c>
      <c r="AH759">
        <v>7.1</v>
      </c>
      <c r="AI759">
        <v>5.6</v>
      </c>
      <c r="AJ759">
        <v>5.9</v>
      </c>
      <c r="AK759">
        <v>10</v>
      </c>
      <c r="AL759">
        <v>4.0999999999999996</v>
      </c>
    </row>
    <row r="760" spans="1:38" x14ac:dyDescent="0.2">
      <c r="A760" s="61">
        <v>43160</v>
      </c>
      <c r="B760">
        <v>5.525684</v>
      </c>
      <c r="C760">
        <v>5.3</v>
      </c>
      <c r="D760">
        <v>6.3</v>
      </c>
      <c r="E760">
        <v>5.9</v>
      </c>
      <c r="G760">
        <v>6.9934349999999998</v>
      </c>
      <c r="H760">
        <v>2.1</v>
      </c>
      <c r="I760">
        <v>3.3</v>
      </c>
      <c r="J760">
        <v>5.6</v>
      </c>
      <c r="K760">
        <v>8.5</v>
      </c>
      <c r="L760">
        <v>16</v>
      </c>
      <c r="M760">
        <v>5.9</v>
      </c>
      <c r="N760">
        <v>8.3000000000000007</v>
      </c>
      <c r="O760">
        <v>9.3000000000000007</v>
      </c>
      <c r="P760">
        <v>4.6447989999999999</v>
      </c>
      <c r="Q760">
        <v>4.2</v>
      </c>
      <c r="R760">
        <v>20.6</v>
      </c>
      <c r="S760">
        <v>3.7</v>
      </c>
      <c r="T760">
        <v>5.8</v>
      </c>
      <c r="U760">
        <v>3</v>
      </c>
      <c r="V760">
        <v>3.7800699999999998</v>
      </c>
      <c r="W760">
        <v>10.9</v>
      </c>
      <c r="X760">
        <v>2.5</v>
      </c>
      <c r="Y760">
        <v>4</v>
      </c>
      <c r="Z760">
        <v>5.6</v>
      </c>
      <c r="AA760">
        <v>7.7</v>
      </c>
      <c r="AB760">
        <v>3.1965170000000001</v>
      </c>
      <c r="AC760">
        <v>5</v>
      </c>
      <c r="AD760">
        <v>4.3</v>
      </c>
      <c r="AE760">
        <v>5.5454239999999997</v>
      </c>
      <c r="AF760">
        <v>3.9</v>
      </c>
      <c r="AG760">
        <v>7.6</v>
      </c>
      <c r="AH760">
        <v>6.9</v>
      </c>
      <c r="AI760">
        <v>5.5</v>
      </c>
      <c r="AJ760">
        <v>6.3</v>
      </c>
      <c r="AK760">
        <v>10</v>
      </c>
      <c r="AL760">
        <v>4</v>
      </c>
    </row>
    <row r="761" spans="1:38" x14ac:dyDescent="0.2">
      <c r="A761" s="61">
        <v>43191</v>
      </c>
      <c r="B761">
        <v>5.5350840000000003</v>
      </c>
      <c r="C761">
        <v>5.2</v>
      </c>
      <c r="D761">
        <v>6.5</v>
      </c>
      <c r="E761">
        <v>5.9</v>
      </c>
      <c r="G761">
        <v>7.1322700000000001</v>
      </c>
      <c r="H761">
        <v>2.2999999999999998</v>
      </c>
      <c r="I761">
        <v>3.3</v>
      </c>
      <c r="J761">
        <v>5.0999999999999996</v>
      </c>
      <c r="K761">
        <v>8.4</v>
      </c>
      <c r="L761">
        <v>15.7</v>
      </c>
      <c r="M761">
        <v>5.2</v>
      </c>
      <c r="N761">
        <v>7.7</v>
      </c>
      <c r="O761">
        <v>9.1999999999999993</v>
      </c>
      <c r="P761">
        <v>4.6383939999999999</v>
      </c>
      <c r="Q761">
        <v>4.2</v>
      </c>
      <c r="R761">
        <v>20.100000000000001</v>
      </c>
      <c r="S761">
        <v>3.7</v>
      </c>
      <c r="T761">
        <v>5.9</v>
      </c>
      <c r="U761">
        <v>3</v>
      </c>
      <c r="V761">
        <v>3.965166</v>
      </c>
      <c r="W761">
        <v>11</v>
      </c>
      <c r="X761">
        <v>2.5</v>
      </c>
      <c r="Y761">
        <v>3.8</v>
      </c>
      <c r="Z761">
        <v>5.5</v>
      </c>
      <c r="AA761">
        <v>7.7</v>
      </c>
      <c r="AB761">
        <v>3.4571170000000002</v>
      </c>
      <c r="AC761">
        <v>4.9000000000000004</v>
      </c>
      <c r="AD761">
        <v>4.2</v>
      </c>
      <c r="AE761">
        <v>5.5420680000000004</v>
      </c>
      <c r="AF761">
        <v>3.8</v>
      </c>
      <c r="AG761">
        <v>7.3</v>
      </c>
      <c r="AH761">
        <v>6.8</v>
      </c>
      <c r="AI761">
        <v>5.4</v>
      </c>
      <c r="AJ761">
        <v>6.6</v>
      </c>
      <c r="AK761">
        <v>10.199999999999999</v>
      </c>
      <c r="AL761">
        <v>4</v>
      </c>
    </row>
    <row r="762" spans="1:38" x14ac:dyDescent="0.2">
      <c r="A762" s="61">
        <v>43221</v>
      </c>
      <c r="B762">
        <v>5.4064079999999999</v>
      </c>
      <c r="C762">
        <v>4.7</v>
      </c>
      <c r="D762">
        <v>6.5</v>
      </c>
      <c r="E762">
        <v>6</v>
      </c>
      <c r="G762">
        <v>7.2303649999999999</v>
      </c>
      <c r="H762">
        <v>2.2000000000000002</v>
      </c>
      <c r="I762">
        <v>3.2</v>
      </c>
      <c r="J762">
        <v>5</v>
      </c>
      <c r="K762">
        <v>8.3000000000000007</v>
      </c>
      <c r="L762">
        <v>15.4</v>
      </c>
      <c r="M762">
        <v>5</v>
      </c>
      <c r="N762">
        <v>7.3</v>
      </c>
      <c r="O762">
        <v>9.1999999999999993</v>
      </c>
      <c r="P762">
        <v>4.4776910000000001</v>
      </c>
      <c r="Q762">
        <v>4</v>
      </c>
      <c r="R762">
        <v>19.7</v>
      </c>
      <c r="S762">
        <v>3.3</v>
      </c>
      <c r="T762">
        <v>5.9</v>
      </c>
      <c r="U762">
        <v>3.1</v>
      </c>
      <c r="V762">
        <v>4.0474920000000001</v>
      </c>
      <c r="W762">
        <v>10.6</v>
      </c>
      <c r="X762">
        <v>2.2000000000000002</v>
      </c>
      <c r="Y762">
        <v>3.8</v>
      </c>
      <c r="Z762">
        <v>5.5</v>
      </c>
      <c r="AA762">
        <v>7.6</v>
      </c>
      <c r="AB762">
        <v>3.2680129999999998</v>
      </c>
      <c r="AC762">
        <v>4.9000000000000004</v>
      </c>
      <c r="AD762">
        <v>3.4</v>
      </c>
      <c r="AE762">
        <v>5.4284100000000004</v>
      </c>
      <c r="AF762">
        <v>3.8</v>
      </c>
      <c r="AG762">
        <v>7.2</v>
      </c>
      <c r="AH762">
        <v>6.7</v>
      </c>
      <c r="AI762">
        <v>5.4</v>
      </c>
      <c r="AJ762">
        <v>6.1</v>
      </c>
      <c r="AK762">
        <v>10.6</v>
      </c>
      <c r="AL762">
        <v>3.8</v>
      </c>
    </row>
    <row r="763" spans="1:38" x14ac:dyDescent="0.2">
      <c r="A763" s="61">
        <v>43252</v>
      </c>
      <c r="B763">
        <v>5.2980130000000001</v>
      </c>
      <c r="C763">
        <v>5.0999999999999996</v>
      </c>
      <c r="D763">
        <v>6.2</v>
      </c>
      <c r="E763">
        <v>6.1</v>
      </c>
      <c r="G763">
        <v>7.4602950000000003</v>
      </c>
      <c r="H763">
        <v>2.2999999999999998</v>
      </c>
      <c r="I763">
        <v>3.2</v>
      </c>
      <c r="J763">
        <v>5.3</v>
      </c>
      <c r="K763">
        <v>8.1999999999999993</v>
      </c>
      <c r="L763">
        <v>15.1</v>
      </c>
      <c r="M763">
        <v>5</v>
      </c>
      <c r="N763">
        <v>7</v>
      </c>
      <c r="O763">
        <v>9.1</v>
      </c>
      <c r="P763">
        <v>4.5824889999999998</v>
      </c>
      <c r="Q763">
        <v>4</v>
      </c>
      <c r="R763">
        <v>19.5</v>
      </c>
      <c r="S763">
        <v>3.4</v>
      </c>
      <c r="T763">
        <v>5.8</v>
      </c>
      <c r="U763">
        <v>3.2</v>
      </c>
      <c r="V763">
        <v>3.9464030000000001</v>
      </c>
      <c r="W763">
        <v>10.8</v>
      </c>
      <c r="X763">
        <v>2.4</v>
      </c>
      <c r="Y763">
        <v>3.5</v>
      </c>
      <c r="Z763">
        <v>5.5</v>
      </c>
      <c r="AA763">
        <v>7.5</v>
      </c>
      <c r="AB763">
        <v>3.3305039999999999</v>
      </c>
      <c r="AC763">
        <v>4.9000000000000004</v>
      </c>
      <c r="AD763">
        <v>4.2</v>
      </c>
      <c r="AE763">
        <v>5.478402</v>
      </c>
      <c r="AF763">
        <v>3.8</v>
      </c>
      <c r="AG763">
        <v>7.1</v>
      </c>
      <c r="AH763">
        <v>6.6</v>
      </c>
      <c r="AI763">
        <v>5.3</v>
      </c>
      <c r="AJ763">
        <v>6.6</v>
      </c>
      <c r="AK763">
        <v>10.7</v>
      </c>
      <c r="AL763">
        <v>4</v>
      </c>
    </row>
    <row r="764" spans="1:38" x14ac:dyDescent="0.2">
      <c r="A764" s="61">
        <v>43282</v>
      </c>
      <c r="B764">
        <v>5.273218</v>
      </c>
      <c r="C764">
        <v>5.3</v>
      </c>
      <c r="D764">
        <v>5.9</v>
      </c>
      <c r="E764">
        <v>5.8</v>
      </c>
      <c r="G764">
        <v>7.3977279999999999</v>
      </c>
      <c r="H764">
        <v>2.2999999999999998</v>
      </c>
      <c r="I764">
        <v>3.2</v>
      </c>
      <c r="J764">
        <v>5</v>
      </c>
      <c r="K764">
        <v>8.1</v>
      </c>
      <c r="L764">
        <v>14.9</v>
      </c>
      <c r="M764">
        <v>5.2</v>
      </c>
      <c r="N764">
        <v>7.3</v>
      </c>
      <c r="O764">
        <v>8.9</v>
      </c>
      <c r="P764">
        <v>4.4705810000000001</v>
      </c>
      <c r="Q764">
        <v>4</v>
      </c>
      <c r="R764">
        <v>19.3</v>
      </c>
      <c r="S764">
        <v>3.8</v>
      </c>
      <c r="T764">
        <v>5.7</v>
      </c>
      <c r="U764">
        <v>3.3</v>
      </c>
      <c r="V764">
        <v>4.1525160000000003</v>
      </c>
      <c r="W764">
        <v>10.4</v>
      </c>
      <c r="X764">
        <v>2.5</v>
      </c>
      <c r="Y764">
        <v>3.8</v>
      </c>
      <c r="Z764">
        <v>5.6</v>
      </c>
      <c r="AA764">
        <v>7.3</v>
      </c>
      <c r="AB764">
        <v>3.273895</v>
      </c>
      <c r="AC764">
        <v>4.9000000000000004</v>
      </c>
      <c r="AD764">
        <v>4.2</v>
      </c>
      <c r="AE764">
        <v>5.4215330000000002</v>
      </c>
      <c r="AF764">
        <v>3.9</v>
      </c>
      <c r="AG764">
        <v>7</v>
      </c>
      <c r="AH764">
        <v>6.4</v>
      </c>
      <c r="AI764">
        <v>5.2</v>
      </c>
      <c r="AJ764">
        <v>6.6</v>
      </c>
      <c r="AK764">
        <v>10.8</v>
      </c>
      <c r="AL764">
        <v>3.8</v>
      </c>
    </row>
    <row r="765" spans="1:38" x14ac:dyDescent="0.2">
      <c r="A765" s="61">
        <v>43313</v>
      </c>
      <c r="B765">
        <v>5.2653790000000003</v>
      </c>
      <c r="C765">
        <v>5.4</v>
      </c>
      <c r="D765">
        <v>5.6</v>
      </c>
      <c r="E765">
        <v>6</v>
      </c>
      <c r="G765">
        <v>7.252637</v>
      </c>
      <c r="H765">
        <v>2.4</v>
      </c>
      <c r="I765">
        <v>3.2</v>
      </c>
      <c r="J765">
        <v>5</v>
      </c>
      <c r="K765">
        <v>8</v>
      </c>
      <c r="L765">
        <v>14.8</v>
      </c>
      <c r="M765">
        <v>5.3</v>
      </c>
      <c r="N765">
        <v>7.4</v>
      </c>
      <c r="O765">
        <v>8.9</v>
      </c>
      <c r="P765">
        <v>4.4553690000000001</v>
      </c>
      <c r="Q765">
        <v>4.0999999999999996</v>
      </c>
      <c r="R765">
        <v>19.3</v>
      </c>
      <c r="S765">
        <v>3.6</v>
      </c>
      <c r="T765">
        <v>5.7</v>
      </c>
      <c r="U765">
        <v>3.3</v>
      </c>
      <c r="V765">
        <v>3.9188670000000001</v>
      </c>
      <c r="W765">
        <v>10.1</v>
      </c>
      <c r="X765">
        <v>2.5</v>
      </c>
      <c r="Y765">
        <v>4.5</v>
      </c>
      <c r="Z765">
        <v>5.7</v>
      </c>
      <c r="AA765">
        <v>7.1</v>
      </c>
      <c r="AB765">
        <v>3.2012489999999998</v>
      </c>
      <c r="AC765">
        <v>4.9000000000000004</v>
      </c>
      <c r="AD765">
        <v>4.0999999999999996</v>
      </c>
      <c r="AE765">
        <v>5.4466960000000002</v>
      </c>
      <c r="AF765">
        <v>3.9</v>
      </c>
      <c r="AG765">
        <v>7.1</v>
      </c>
      <c r="AH765">
        <v>6.3</v>
      </c>
      <c r="AI765">
        <v>5.0999999999999996</v>
      </c>
      <c r="AJ765">
        <v>6.5</v>
      </c>
      <c r="AK765">
        <v>11.2</v>
      </c>
      <c r="AL765">
        <v>3.8</v>
      </c>
    </row>
    <row r="766" spans="1:38" x14ac:dyDescent="0.2">
      <c r="A766" s="61">
        <v>43344</v>
      </c>
      <c r="B766">
        <v>5.0008999999999997</v>
      </c>
      <c r="C766">
        <v>5.4</v>
      </c>
      <c r="D766">
        <v>5.6</v>
      </c>
      <c r="E766">
        <v>5.9</v>
      </c>
      <c r="G766">
        <v>7.3709709999999999</v>
      </c>
      <c r="H766">
        <v>2.2000000000000002</v>
      </c>
      <c r="I766">
        <v>3.2</v>
      </c>
      <c r="J766">
        <v>4.7</v>
      </c>
      <c r="K766">
        <v>8</v>
      </c>
      <c r="L766">
        <v>14.7</v>
      </c>
      <c r="M766">
        <v>5.6</v>
      </c>
      <c r="N766">
        <v>7.1</v>
      </c>
      <c r="O766">
        <v>8.8000000000000007</v>
      </c>
      <c r="P766">
        <v>4.4038209999999998</v>
      </c>
      <c r="Q766">
        <v>4.0999999999999996</v>
      </c>
      <c r="R766">
        <v>19.100000000000001</v>
      </c>
      <c r="S766">
        <v>3.6</v>
      </c>
      <c r="T766">
        <v>5.7</v>
      </c>
      <c r="U766">
        <v>3.2</v>
      </c>
      <c r="V766">
        <v>4.1280580000000002</v>
      </c>
      <c r="W766">
        <v>10.3</v>
      </c>
      <c r="X766">
        <v>2.2999999999999998</v>
      </c>
      <c r="Y766">
        <v>4.0999999999999996</v>
      </c>
      <c r="Z766">
        <v>5.6</v>
      </c>
      <c r="AA766">
        <v>7.1</v>
      </c>
      <c r="AB766">
        <v>3.2746659999999999</v>
      </c>
      <c r="AC766">
        <v>4.8</v>
      </c>
      <c r="AD766">
        <v>4.4000000000000004</v>
      </c>
      <c r="AE766">
        <v>5.4281439999999996</v>
      </c>
      <c r="AF766">
        <v>3.9</v>
      </c>
      <c r="AG766">
        <v>6.7</v>
      </c>
      <c r="AH766">
        <v>6.2</v>
      </c>
      <c r="AI766">
        <v>4.9000000000000004</v>
      </c>
      <c r="AJ766">
        <v>6.7</v>
      </c>
      <c r="AK766">
        <v>11.5</v>
      </c>
      <c r="AL766">
        <v>3.7</v>
      </c>
    </row>
    <row r="767" spans="1:38" x14ac:dyDescent="0.2">
      <c r="A767" s="61">
        <v>43374</v>
      </c>
      <c r="B767">
        <v>4.9786359999999998</v>
      </c>
      <c r="C767">
        <v>5.3</v>
      </c>
      <c r="D767">
        <v>5.8</v>
      </c>
      <c r="E767">
        <v>5.9</v>
      </c>
      <c r="G767">
        <v>7.6101580000000002</v>
      </c>
      <c r="H767">
        <v>2.1</v>
      </c>
      <c r="I767">
        <v>3.1</v>
      </c>
      <c r="J767">
        <v>5</v>
      </c>
      <c r="K767">
        <v>8</v>
      </c>
      <c r="L767">
        <v>14.7</v>
      </c>
      <c r="M767">
        <v>5.2</v>
      </c>
      <c r="N767">
        <v>7.2</v>
      </c>
      <c r="O767">
        <v>8.8000000000000007</v>
      </c>
      <c r="P767">
        <v>4.4642670000000004</v>
      </c>
      <c r="Q767">
        <v>4</v>
      </c>
      <c r="R767">
        <v>18.899999999999999</v>
      </c>
      <c r="S767">
        <v>3.6</v>
      </c>
      <c r="T767">
        <v>5.8</v>
      </c>
      <c r="U767">
        <v>3.2</v>
      </c>
      <c r="V767">
        <v>3.9961090000000001</v>
      </c>
      <c r="W767">
        <v>10.7</v>
      </c>
      <c r="X767">
        <v>2.4</v>
      </c>
      <c r="Y767">
        <v>4</v>
      </c>
      <c r="Z767">
        <v>5.5</v>
      </c>
      <c r="AA767">
        <v>7.1</v>
      </c>
      <c r="AB767">
        <v>3.1447989999999999</v>
      </c>
      <c r="AC767">
        <v>4.7</v>
      </c>
      <c r="AD767">
        <v>4.0999999999999996</v>
      </c>
      <c r="AE767">
        <v>5.4673800000000004</v>
      </c>
      <c r="AF767">
        <v>3.9</v>
      </c>
      <c r="AG767">
        <v>6.7</v>
      </c>
      <c r="AH767">
        <v>6.1</v>
      </c>
      <c r="AI767">
        <v>4.5999999999999996</v>
      </c>
      <c r="AJ767">
        <v>6.6</v>
      </c>
      <c r="AK767">
        <v>11.6</v>
      </c>
      <c r="AL767">
        <v>3.8</v>
      </c>
    </row>
    <row r="768" spans="1:38" x14ac:dyDescent="0.2">
      <c r="A768" s="61">
        <v>43405</v>
      </c>
      <c r="B768">
        <v>5.1029429999999998</v>
      </c>
      <c r="C768">
        <v>4.9000000000000004</v>
      </c>
      <c r="D768">
        <v>5.9</v>
      </c>
      <c r="E768">
        <v>5.7</v>
      </c>
      <c r="G768">
        <v>7.6955989999999996</v>
      </c>
      <c r="H768">
        <v>2</v>
      </c>
      <c r="I768">
        <v>3.1</v>
      </c>
      <c r="J768">
        <v>5.0999999999999996</v>
      </c>
      <c r="K768">
        <v>8</v>
      </c>
      <c r="L768">
        <v>14.6</v>
      </c>
      <c r="M768">
        <v>4.5</v>
      </c>
      <c r="N768">
        <v>7.1</v>
      </c>
      <c r="O768">
        <v>8.8000000000000007</v>
      </c>
      <c r="P768">
        <v>4.4367070000000002</v>
      </c>
      <c r="Q768">
        <v>4</v>
      </c>
      <c r="R768">
        <v>19.2</v>
      </c>
      <c r="S768">
        <v>3.5</v>
      </c>
      <c r="T768">
        <v>5.7</v>
      </c>
      <c r="U768">
        <v>3.2</v>
      </c>
      <c r="V768">
        <v>4.0062239999999996</v>
      </c>
      <c r="W768">
        <v>10.6</v>
      </c>
      <c r="X768">
        <v>2.5</v>
      </c>
      <c r="Y768">
        <v>3.9</v>
      </c>
      <c r="Z768">
        <v>5.4</v>
      </c>
      <c r="AA768">
        <v>7</v>
      </c>
      <c r="AB768">
        <v>3.3111359999999999</v>
      </c>
      <c r="AC768">
        <v>4.5999999999999996</v>
      </c>
      <c r="AD768">
        <v>3.7</v>
      </c>
      <c r="AE768">
        <v>5.4828869999999998</v>
      </c>
      <c r="AF768">
        <v>3.9</v>
      </c>
      <c r="AG768">
        <v>6.8</v>
      </c>
      <c r="AH768">
        <v>6</v>
      </c>
      <c r="AI768">
        <v>4.4000000000000004</v>
      </c>
      <c r="AJ768">
        <v>6.7</v>
      </c>
      <c r="AK768">
        <v>12.2</v>
      </c>
      <c r="AL768">
        <v>3.8</v>
      </c>
    </row>
    <row r="769" spans="1:38" x14ac:dyDescent="0.2">
      <c r="A769" s="61">
        <v>43435</v>
      </c>
      <c r="B769">
        <v>5.0111140000000001</v>
      </c>
      <c r="C769">
        <v>5.2</v>
      </c>
      <c r="D769">
        <v>5.9</v>
      </c>
      <c r="E769">
        <v>5.8</v>
      </c>
      <c r="G769">
        <v>7.534192</v>
      </c>
      <c r="H769">
        <v>2.2000000000000002</v>
      </c>
      <c r="I769">
        <v>3.1</v>
      </c>
      <c r="J769">
        <v>5.7</v>
      </c>
      <c r="K769">
        <v>7.9</v>
      </c>
      <c r="L769">
        <v>14.5</v>
      </c>
      <c r="M769">
        <v>4.3</v>
      </c>
      <c r="N769">
        <v>5.9</v>
      </c>
      <c r="O769">
        <v>8.8000000000000007</v>
      </c>
      <c r="P769">
        <v>4.4580299999999999</v>
      </c>
      <c r="Q769">
        <v>3.9</v>
      </c>
      <c r="R769">
        <v>19</v>
      </c>
      <c r="S769">
        <v>3.6</v>
      </c>
      <c r="T769">
        <v>5.5</v>
      </c>
      <c r="U769">
        <v>3.2</v>
      </c>
      <c r="V769">
        <v>4.2577920000000002</v>
      </c>
      <c r="W769">
        <v>10.199999999999999</v>
      </c>
      <c r="X769">
        <v>2.5</v>
      </c>
      <c r="Y769">
        <v>3.8</v>
      </c>
      <c r="Z769">
        <v>5.3</v>
      </c>
      <c r="AA769">
        <v>6.9</v>
      </c>
      <c r="AB769">
        <v>3.6357849999999998</v>
      </c>
      <c r="AC769">
        <v>4.5999999999999996</v>
      </c>
      <c r="AD769">
        <v>3.7</v>
      </c>
      <c r="AE769">
        <v>5.5633499999999998</v>
      </c>
      <c r="AF769">
        <v>3.9</v>
      </c>
      <c r="AG769">
        <v>6.8</v>
      </c>
      <c r="AH769">
        <v>5.9</v>
      </c>
      <c r="AI769">
        <v>4.4000000000000004</v>
      </c>
      <c r="AJ769">
        <v>6.8</v>
      </c>
      <c r="AK769">
        <v>12.7</v>
      </c>
      <c r="AL769">
        <v>3.9</v>
      </c>
    </row>
    <row r="770" spans="1:38" x14ac:dyDescent="0.2">
      <c r="A770" s="61">
        <v>43466</v>
      </c>
      <c r="B770">
        <v>5.0613469999999996</v>
      </c>
      <c r="C770">
        <v>4.9000000000000004</v>
      </c>
      <c r="D770">
        <v>5.8</v>
      </c>
      <c r="E770">
        <v>5.9</v>
      </c>
      <c r="G770">
        <v>7.2847350000000004</v>
      </c>
      <c r="H770">
        <v>2.1</v>
      </c>
      <c r="I770">
        <v>3.1</v>
      </c>
      <c r="J770">
        <v>5.0999999999999996</v>
      </c>
      <c r="K770">
        <v>7.9</v>
      </c>
      <c r="L770">
        <v>14.3</v>
      </c>
      <c r="M770">
        <v>4.3</v>
      </c>
      <c r="N770">
        <v>6.7</v>
      </c>
      <c r="O770">
        <v>8.8000000000000007</v>
      </c>
      <c r="P770">
        <v>4.5117649999999996</v>
      </c>
      <c r="Q770">
        <v>3.9</v>
      </c>
      <c r="R770">
        <v>19.399999999999999</v>
      </c>
      <c r="S770">
        <v>3.4</v>
      </c>
      <c r="T770">
        <v>5</v>
      </c>
      <c r="U770">
        <v>3.2</v>
      </c>
      <c r="V770">
        <v>4.2190390000000004</v>
      </c>
      <c r="W770">
        <v>10.4</v>
      </c>
      <c r="X770">
        <v>2.5</v>
      </c>
      <c r="Y770">
        <v>4.0999999999999996</v>
      </c>
      <c r="Z770">
        <v>5.3</v>
      </c>
      <c r="AA770">
        <v>6.8</v>
      </c>
      <c r="AB770">
        <v>3.3747530000000001</v>
      </c>
      <c r="AC770">
        <v>4.5999999999999996</v>
      </c>
      <c r="AD770">
        <v>4</v>
      </c>
      <c r="AE770">
        <v>5.6011280000000001</v>
      </c>
      <c r="AF770">
        <v>3.9</v>
      </c>
      <c r="AG770">
        <v>6.7</v>
      </c>
      <c r="AH770">
        <v>5.8</v>
      </c>
      <c r="AI770">
        <v>4.5</v>
      </c>
      <c r="AJ770">
        <v>6.4</v>
      </c>
      <c r="AK770">
        <v>13.6</v>
      </c>
      <c r="AL770">
        <v>4</v>
      </c>
    </row>
    <row r="771" spans="1:38" x14ac:dyDescent="0.2">
      <c r="A771" s="61">
        <v>43497</v>
      </c>
      <c r="B771">
        <v>4.9896890000000003</v>
      </c>
      <c r="C771">
        <v>5.0999999999999996</v>
      </c>
      <c r="D771">
        <v>5.7</v>
      </c>
      <c r="E771">
        <v>5.9</v>
      </c>
      <c r="G771">
        <v>7.2089549999999996</v>
      </c>
      <c r="H771">
        <v>1.7</v>
      </c>
      <c r="I771">
        <v>3</v>
      </c>
      <c r="J771">
        <v>5.0999999999999996</v>
      </c>
      <c r="K771">
        <v>7.8</v>
      </c>
      <c r="L771">
        <v>14.2</v>
      </c>
      <c r="M771">
        <v>4.5999999999999996</v>
      </c>
      <c r="N771">
        <v>7</v>
      </c>
      <c r="O771">
        <v>8.6999999999999993</v>
      </c>
      <c r="P771">
        <v>4.3749520000000004</v>
      </c>
      <c r="Q771">
        <v>3.8</v>
      </c>
      <c r="R771">
        <v>19.3</v>
      </c>
      <c r="S771">
        <v>3.2</v>
      </c>
      <c r="T771">
        <v>4.9000000000000004</v>
      </c>
      <c r="U771">
        <v>3.2</v>
      </c>
      <c r="V771">
        <v>4.0471680000000001</v>
      </c>
      <c r="W771">
        <v>10.5</v>
      </c>
      <c r="X771">
        <v>2.4</v>
      </c>
      <c r="Y771">
        <v>3.8</v>
      </c>
      <c r="Z771">
        <v>5.5</v>
      </c>
      <c r="AA771">
        <v>6.6</v>
      </c>
      <c r="AB771">
        <v>3.277263</v>
      </c>
      <c r="AC771">
        <v>4.4000000000000004</v>
      </c>
      <c r="AD771">
        <v>4.3</v>
      </c>
      <c r="AE771">
        <v>5.5053700000000001</v>
      </c>
      <c r="AF771">
        <v>3.8</v>
      </c>
      <c r="AG771">
        <v>6.7</v>
      </c>
      <c r="AH771">
        <v>5.8</v>
      </c>
      <c r="AI771">
        <v>4.5999999999999996</v>
      </c>
      <c r="AJ771">
        <v>7</v>
      </c>
      <c r="AK771">
        <v>13.8</v>
      </c>
      <c r="AL771">
        <v>3.8</v>
      </c>
    </row>
    <row r="772" spans="1:38" x14ac:dyDescent="0.2">
      <c r="A772" s="61">
        <v>43525</v>
      </c>
      <c r="B772">
        <v>5.1074570000000001</v>
      </c>
      <c r="C772">
        <v>5</v>
      </c>
      <c r="D772">
        <v>5.6</v>
      </c>
      <c r="E772">
        <v>5.8</v>
      </c>
      <c r="G772">
        <v>7.0877829999999999</v>
      </c>
      <c r="H772">
        <v>2</v>
      </c>
      <c r="I772">
        <v>3</v>
      </c>
      <c r="J772">
        <v>5.3</v>
      </c>
      <c r="K772">
        <v>7.7</v>
      </c>
      <c r="L772">
        <v>14.2</v>
      </c>
      <c r="M772">
        <v>4.5999999999999996</v>
      </c>
      <c r="N772">
        <v>6.4</v>
      </c>
      <c r="O772">
        <v>8.6999999999999993</v>
      </c>
      <c r="P772">
        <v>4.3772890000000002</v>
      </c>
      <c r="Q772">
        <v>3.8</v>
      </c>
      <c r="R772">
        <v>18.899999999999999</v>
      </c>
      <c r="S772">
        <v>3.4</v>
      </c>
      <c r="T772">
        <v>5</v>
      </c>
      <c r="U772">
        <v>3.3</v>
      </c>
      <c r="V772">
        <v>3.8934929999999999</v>
      </c>
      <c r="W772">
        <v>10.1</v>
      </c>
      <c r="X772">
        <v>2.5</v>
      </c>
      <c r="Y772">
        <v>3.8</v>
      </c>
      <c r="Z772">
        <v>5.6</v>
      </c>
      <c r="AA772">
        <v>6.4</v>
      </c>
      <c r="AB772">
        <v>3.539263</v>
      </c>
      <c r="AC772">
        <v>4.4000000000000004</v>
      </c>
      <c r="AD772">
        <v>3.7</v>
      </c>
      <c r="AE772">
        <v>5.5318069999999997</v>
      </c>
      <c r="AF772">
        <v>3.7</v>
      </c>
      <c r="AG772">
        <v>6.6</v>
      </c>
      <c r="AH772">
        <v>5.7</v>
      </c>
      <c r="AI772">
        <v>4.5</v>
      </c>
      <c r="AJ772">
        <v>7.5</v>
      </c>
      <c r="AK772">
        <v>13.9</v>
      </c>
      <c r="AL772">
        <v>3.8</v>
      </c>
    </row>
    <row r="773" spans="1:38" x14ac:dyDescent="0.2">
      <c r="A773" s="61">
        <v>43556</v>
      </c>
      <c r="B773">
        <v>5.2176929999999997</v>
      </c>
      <c r="C773">
        <v>5</v>
      </c>
      <c r="D773">
        <v>5.6</v>
      </c>
      <c r="E773">
        <v>5.8</v>
      </c>
      <c r="G773">
        <v>6.9864300000000004</v>
      </c>
      <c r="H773">
        <v>2.1</v>
      </c>
      <c r="I773">
        <v>3</v>
      </c>
      <c r="J773">
        <v>5.3</v>
      </c>
      <c r="K773">
        <v>7.7</v>
      </c>
      <c r="L773">
        <v>14.2</v>
      </c>
      <c r="M773">
        <v>5</v>
      </c>
      <c r="N773">
        <v>7.2</v>
      </c>
      <c r="O773">
        <v>8.5</v>
      </c>
      <c r="P773">
        <v>4.2903120000000001</v>
      </c>
      <c r="Q773">
        <v>3.8</v>
      </c>
      <c r="R773">
        <v>18.2</v>
      </c>
      <c r="S773">
        <v>3.3</v>
      </c>
      <c r="T773">
        <v>5.0999999999999996</v>
      </c>
      <c r="U773">
        <v>3.5</v>
      </c>
      <c r="V773">
        <v>3.9331860000000001</v>
      </c>
      <c r="W773">
        <v>10.3</v>
      </c>
      <c r="X773">
        <v>2.4</v>
      </c>
      <c r="Y773">
        <v>4</v>
      </c>
      <c r="Z773">
        <v>5.6</v>
      </c>
      <c r="AA773">
        <v>6.3</v>
      </c>
      <c r="AB773">
        <v>3.582255</v>
      </c>
      <c r="AC773">
        <v>4.3</v>
      </c>
      <c r="AD773">
        <v>3.2</v>
      </c>
      <c r="AE773">
        <v>5.4347770000000004</v>
      </c>
      <c r="AF773">
        <v>3.4</v>
      </c>
      <c r="AG773">
        <v>6.7</v>
      </c>
      <c r="AH773">
        <v>5.7</v>
      </c>
      <c r="AI773">
        <v>4.3</v>
      </c>
      <c r="AJ773">
        <v>6.6</v>
      </c>
      <c r="AK773">
        <v>13.8</v>
      </c>
      <c r="AL773">
        <v>3.6</v>
      </c>
    </row>
    <row r="774" spans="1:38" x14ac:dyDescent="0.2">
      <c r="A774" s="61">
        <v>43586</v>
      </c>
      <c r="B774">
        <v>5.2217079999999996</v>
      </c>
      <c r="C774">
        <v>4.9000000000000004</v>
      </c>
      <c r="D774">
        <v>5.6</v>
      </c>
      <c r="E774">
        <v>5.4</v>
      </c>
      <c r="G774">
        <v>6.974926</v>
      </c>
      <c r="H774">
        <v>2.1</v>
      </c>
      <c r="I774">
        <v>2.9</v>
      </c>
      <c r="J774">
        <v>4.8</v>
      </c>
      <c r="K774">
        <v>7.7</v>
      </c>
      <c r="L774">
        <v>14.2</v>
      </c>
      <c r="M774">
        <v>5.0999999999999996</v>
      </c>
      <c r="N774">
        <v>6.8</v>
      </c>
      <c r="O774">
        <v>8.6</v>
      </c>
      <c r="P774">
        <v>4.2448839999999999</v>
      </c>
      <c r="Q774">
        <v>3.9</v>
      </c>
      <c r="R774">
        <v>17.600000000000001</v>
      </c>
      <c r="S774">
        <v>3.3</v>
      </c>
      <c r="T774">
        <v>5.2</v>
      </c>
      <c r="U774">
        <v>3.6</v>
      </c>
      <c r="V774">
        <v>3.6480139999999999</v>
      </c>
      <c r="W774">
        <v>10</v>
      </c>
      <c r="X774">
        <v>2.2999999999999998</v>
      </c>
      <c r="Y774">
        <v>3.8</v>
      </c>
      <c r="Z774">
        <v>5.6</v>
      </c>
      <c r="AA774">
        <v>6.3</v>
      </c>
      <c r="AB774">
        <v>3.5849950000000002</v>
      </c>
      <c r="AC774">
        <v>4.3</v>
      </c>
      <c r="AD774">
        <v>3.4</v>
      </c>
      <c r="AE774">
        <v>5.4025699999999999</v>
      </c>
      <c r="AF774">
        <v>3.3</v>
      </c>
      <c r="AG774">
        <v>6.7</v>
      </c>
      <c r="AH774">
        <v>5.7</v>
      </c>
      <c r="AI774">
        <v>4.3</v>
      </c>
      <c r="AJ774">
        <v>6.7</v>
      </c>
      <c r="AK774">
        <v>13.7</v>
      </c>
      <c r="AL774">
        <v>3.6</v>
      </c>
    </row>
    <row r="775" spans="1:38" x14ac:dyDescent="0.2">
      <c r="A775" s="61">
        <v>43617</v>
      </c>
      <c r="B775">
        <v>5.223109</v>
      </c>
      <c r="C775">
        <v>4.5999999999999996</v>
      </c>
      <c r="D775">
        <v>5.5</v>
      </c>
      <c r="E775">
        <v>5.5</v>
      </c>
      <c r="G775">
        <v>7.1555689999999998</v>
      </c>
      <c r="H775">
        <v>1.8</v>
      </c>
      <c r="I775">
        <v>2.9</v>
      </c>
      <c r="J775">
        <v>4.5</v>
      </c>
      <c r="K775">
        <v>7.6</v>
      </c>
      <c r="L775">
        <v>14.2</v>
      </c>
      <c r="M775">
        <v>4.5999999999999996</v>
      </c>
      <c r="N775">
        <v>6.2</v>
      </c>
      <c r="O775">
        <v>8.5</v>
      </c>
      <c r="P775">
        <v>4.2012520000000002</v>
      </c>
      <c r="Q775">
        <v>3.8</v>
      </c>
      <c r="R775">
        <v>17.399999999999999</v>
      </c>
      <c r="S775">
        <v>3.3</v>
      </c>
      <c r="T775">
        <v>5.2</v>
      </c>
      <c r="U775">
        <v>3.8</v>
      </c>
      <c r="V775">
        <v>4.016324</v>
      </c>
      <c r="W775">
        <v>9.6</v>
      </c>
      <c r="X775">
        <v>2.2999999999999998</v>
      </c>
      <c r="Y775">
        <v>3.8</v>
      </c>
      <c r="Z775">
        <v>5.7</v>
      </c>
      <c r="AA775">
        <v>6.3</v>
      </c>
      <c r="AB775">
        <v>3.5433319999999999</v>
      </c>
      <c r="AC775">
        <v>4.4000000000000004</v>
      </c>
      <c r="AD775">
        <v>3.8</v>
      </c>
      <c r="AE775">
        <v>5.3420100000000001</v>
      </c>
      <c r="AF775">
        <v>3.3</v>
      </c>
      <c r="AG775">
        <v>6.7</v>
      </c>
      <c r="AH775">
        <v>5.7</v>
      </c>
      <c r="AI775">
        <v>4.5</v>
      </c>
      <c r="AJ775">
        <v>6.5</v>
      </c>
      <c r="AK775">
        <v>13.7</v>
      </c>
      <c r="AL775">
        <v>3.6</v>
      </c>
    </row>
    <row r="776" spans="1:38" x14ac:dyDescent="0.2">
      <c r="A776" s="61">
        <v>43647</v>
      </c>
      <c r="B776">
        <v>5.2470929999999996</v>
      </c>
      <c r="C776">
        <v>4.8</v>
      </c>
      <c r="D776">
        <v>5.3</v>
      </c>
      <c r="E776">
        <v>5.8</v>
      </c>
      <c r="G776">
        <v>7.2453060000000002</v>
      </c>
      <c r="H776">
        <v>2.1</v>
      </c>
      <c r="I776">
        <v>2.9</v>
      </c>
      <c r="J776">
        <v>4.5999999999999996</v>
      </c>
      <c r="K776">
        <v>7.5</v>
      </c>
      <c r="L776">
        <v>14.2</v>
      </c>
      <c r="M776">
        <v>4.0999999999999996</v>
      </c>
      <c r="N776">
        <v>6.5</v>
      </c>
      <c r="O776">
        <v>8.3000000000000007</v>
      </c>
      <c r="P776">
        <v>4.2094620000000003</v>
      </c>
      <c r="Q776">
        <v>3.9</v>
      </c>
      <c r="R776">
        <v>17.600000000000001</v>
      </c>
      <c r="S776">
        <v>3.3</v>
      </c>
      <c r="T776">
        <v>5.0999999999999996</v>
      </c>
      <c r="U776">
        <v>4</v>
      </c>
      <c r="V776">
        <v>3.6198459999999999</v>
      </c>
      <c r="W776">
        <v>9.6</v>
      </c>
      <c r="X776">
        <v>2.2999999999999998</v>
      </c>
      <c r="Y776">
        <v>4</v>
      </c>
      <c r="Z776">
        <v>5.7</v>
      </c>
      <c r="AA776">
        <v>6.3</v>
      </c>
      <c r="AB776">
        <v>3.5231880000000002</v>
      </c>
      <c r="AC776">
        <v>4.4000000000000004</v>
      </c>
      <c r="AD776">
        <v>3.9</v>
      </c>
      <c r="AE776">
        <v>5.4005780000000003</v>
      </c>
      <c r="AF776">
        <v>3.2</v>
      </c>
      <c r="AG776">
        <v>6.6</v>
      </c>
      <c r="AH776">
        <v>5.7</v>
      </c>
      <c r="AI776">
        <v>4.8</v>
      </c>
      <c r="AJ776">
        <v>7.3</v>
      </c>
      <c r="AK776">
        <v>13.9</v>
      </c>
      <c r="AL776">
        <v>3.7</v>
      </c>
    </row>
    <row r="777" spans="1:38" x14ac:dyDescent="0.2">
      <c r="A777" s="61">
        <v>43678</v>
      </c>
      <c r="B777">
        <v>5.252167</v>
      </c>
      <c r="C777">
        <v>5</v>
      </c>
      <c r="D777">
        <v>5.0999999999999996</v>
      </c>
      <c r="E777">
        <v>5.8</v>
      </c>
      <c r="G777">
        <v>7.1272450000000003</v>
      </c>
      <c r="H777">
        <v>2.1</v>
      </c>
      <c r="I777">
        <v>2.9</v>
      </c>
      <c r="J777">
        <v>4.9000000000000004</v>
      </c>
      <c r="K777">
        <v>7.4</v>
      </c>
      <c r="L777">
        <v>14.1</v>
      </c>
      <c r="M777">
        <v>4</v>
      </c>
      <c r="N777">
        <v>7</v>
      </c>
      <c r="O777">
        <v>8.1999999999999993</v>
      </c>
      <c r="P777">
        <v>4.1794070000000003</v>
      </c>
      <c r="Q777">
        <v>3.8</v>
      </c>
      <c r="R777">
        <v>17.399999999999999</v>
      </c>
      <c r="S777">
        <v>3.4</v>
      </c>
      <c r="T777">
        <v>5</v>
      </c>
      <c r="U777">
        <v>4.2</v>
      </c>
      <c r="V777">
        <v>3.5905140000000002</v>
      </c>
      <c r="W777">
        <v>9.4</v>
      </c>
      <c r="X777">
        <v>2.2999999999999998</v>
      </c>
      <c r="Y777">
        <v>3.5</v>
      </c>
      <c r="Z777">
        <v>5.7</v>
      </c>
      <c r="AA777">
        <v>6.2</v>
      </c>
      <c r="AB777">
        <v>3.4499469999999999</v>
      </c>
      <c r="AC777">
        <v>4.5</v>
      </c>
      <c r="AD777">
        <v>4.4000000000000004</v>
      </c>
      <c r="AE777">
        <v>5.3826359999999998</v>
      </c>
      <c r="AF777">
        <v>3.2</v>
      </c>
      <c r="AG777">
        <v>6.5</v>
      </c>
      <c r="AH777">
        <v>5.7</v>
      </c>
      <c r="AI777">
        <v>4.9000000000000004</v>
      </c>
      <c r="AJ777">
        <v>7.3</v>
      </c>
      <c r="AK777">
        <v>14</v>
      </c>
      <c r="AL777">
        <v>3.7</v>
      </c>
    </row>
    <row r="778" spans="1:38" x14ac:dyDescent="0.2">
      <c r="A778" s="61">
        <v>43709</v>
      </c>
      <c r="B778">
        <v>5.1789589999999999</v>
      </c>
      <c r="C778">
        <v>4.5999999999999996</v>
      </c>
      <c r="D778">
        <v>5.2</v>
      </c>
      <c r="E778">
        <v>5.6</v>
      </c>
      <c r="G778">
        <v>7.1130829999999996</v>
      </c>
      <c r="H778">
        <v>2</v>
      </c>
      <c r="I778">
        <v>2.9</v>
      </c>
      <c r="J778">
        <v>5.0999999999999996</v>
      </c>
      <c r="K778">
        <v>7.5</v>
      </c>
      <c r="L778">
        <v>14</v>
      </c>
      <c r="M778">
        <v>4.4000000000000004</v>
      </c>
      <c r="N778">
        <v>6.7</v>
      </c>
      <c r="O778">
        <v>8.1</v>
      </c>
      <c r="P778">
        <v>4.141877</v>
      </c>
      <c r="Q778">
        <v>3.8</v>
      </c>
      <c r="R778">
        <v>17.399999999999999</v>
      </c>
      <c r="S778">
        <v>3.4</v>
      </c>
      <c r="T778">
        <v>4.9000000000000004</v>
      </c>
      <c r="U778">
        <v>4.3</v>
      </c>
      <c r="V778">
        <v>3.5536110000000001</v>
      </c>
      <c r="W778">
        <v>9.8000000000000007</v>
      </c>
      <c r="X778">
        <v>2.4</v>
      </c>
      <c r="Y778">
        <v>3.6</v>
      </c>
      <c r="Z778">
        <v>5.5</v>
      </c>
      <c r="AA778">
        <v>6</v>
      </c>
      <c r="AB778">
        <v>3.487536</v>
      </c>
      <c r="AC778">
        <v>4.5</v>
      </c>
      <c r="AD778">
        <v>3.6</v>
      </c>
      <c r="AE778">
        <v>5.3571200000000001</v>
      </c>
      <c r="AF778">
        <v>3.2</v>
      </c>
      <c r="AG778">
        <v>6.6</v>
      </c>
      <c r="AH778">
        <v>5.8</v>
      </c>
      <c r="AI778">
        <v>4.7</v>
      </c>
      <c r="AJ778">
        <v>6.8</v>
      </c>
      <c r="AK778">
        <v>14.1</v>
      </c>
      <c r="AL778">
        <v>3.5</v>
      </c>
    </row>
    <row r="779" spans="1:38" x14ac:dyDescent="0.2">
      <c r="A779" s="61">
        <v>43739</v>
      </c>
      <c r="B779">
        <v>5.2692589999999999</v>
      </c>
      <c r="C779">
        <v>4.9000000000000004</v>
      </c>
      <c r="D779">
        <v>5.3</v>
      </c>
      <c r="E779">
        <v>5.7</v>
      </c>
      <c r="G779">
        <v>7.2546169999999996</v>
      </c>
      <c r="H779">
        <v>2.2000000000000002</v>
      </c>
      <c r="I779">
        <v>3</v>
      </c>
      <c r="J779">
        <v>5</v>
      </c>
      <c r="K779">
        <v>7.5</v>
      </c>
      <c r="L779">
        <v>14</v>
      </c>
      <c r="M779">
        <v>4.2</v>
      </c>
      <c r="N779">
        <v>6.9</v>
      </c>
      <c r="O779">
        <v>8.1999999999999993</v>
      </c>
      <c r="P779">
        <v>4.2052569999999996</v>
      </c>
      <c r="Q779">
        <v>3.8</v>
      </c>
      <c r="R779">
        <v>17.100000000000001</v>
      </c>
      <c r="S779">
        <v>3.3</v>
      </c>
      <c r="T779">
        <v>4.7</v>
      </c>
      <c r="U779">
        <v>4.3</v>
      </c>
      <c r="V779">
        <v>3.5521859999999998</v>
      </c>
      <c r="W779">
        <v>9.5</v>
      </c>
      <c r="X779">
        <v>2.4</v>
      </c>
      <c r="Y779">
        <v>3.6</v>
      </c>
      <c r="Z779">
        <v>5.6</v>
      </c>
      <c r="AA779">
        <v>5.8</v>
      </c>
      <c r="AB779">
        <v>3.562799</v>
      </c>
      <c r="AC779">
        <v>4.5</v>
      </c>
      <c r="AD779">
        <v>4.4000000000000004</v>
      </c>
      <c r="AE779">
        <v>5.3738789999999996</v>
      </c>
      <c r="AF779">
        <v>3.1</v>
      </c>
      <c r="AG779">
        <v>6.6</v>
      </c>
      <c r="AH779">
        <v>5.7</v>
      </c>
      <c r="AI779">
        <v>4.3</v>
      </c>
      <c r="AJ779">
        <v>7</v>
      </c>
      <c r="AK779">
        <v>13.5</v>
      </c>
      <c r="AL779">
        <v>3.6</v>
      </c>
    </row>
    <row r="780" spans="1:38" x14ac:dyDescent="0.2">
      <c r="A780" s="61">
        <v>43770</v>
      </c>
      <c r="B780">
        <v>5.1498569999999999</v>
      </c>
      <c r="C780">
        <v>4.2</v>
      </c>
      <c r="D780">
        <v>5.4</v>
      </c>
      <c r="E780">
        <v>6</v>
      </c>
      <c r="G780">
        <v>7.6064369999999997</v>
      </c>
      <c r="H780">
        <v>2.2000000000000002</v>
      </c>
      <c r="I780">
        <v>3.1</v>
      </c>
      <c r="J780">
        <v>5.3</v>
      </c>
      <c r="K780">
        <v>7.5</v>
      </c>
      <c r="L780">
        <v>13.9</v>
      </c>
      <c r="M780">
        <v>4.2</v>
      </c>
      <c r="N780">
        <v>6.9</v>
      </c>
      <c r="O780">
        <v>8.1999999999999993</v>
      </c>
      <c r="P780">
        <v>4.2120410000000001</v>
      </c>
      <c r="Q780">
        <v>3.8</v>
      </c>
      <c r="R780">
        <v>17</v>
      </c>
      <c r="S780">
        <v>3.5</v>
      </c>
      <c r="T780">
        <v>4.7</v>
      </c>
      <c r="U780">
        <v>4.3</v>
      </c>
      <c r="V780">
        <v>3.980804</v>
      </c>
      <c r="W780">
        <v>9.8000000000000007</v>
      </c>
      <c r="X780">
        <v>2.2999999999999998</v>
      </c>
      <c r="Y780">
        <v>3.7</v>
      </c>
      <c r="Z780">
        <v>5.7</v>
      </c>
      <c r="AA780">
        <v>5.9</v>
      </c>
      <c r="AB780">
        <v>3.4951620000000001</v>
      </c>
      <c r="AC780">
        <v>4.5</v>
      </c>
      <c r="AD780">
        <v>3.8</v>
      </c>
      <c r="AE780">
        <v>5.3696820000000001</v>
      </c>
      <c r="AF780">
        <v>3</v>
      </c>
      <c r="AG780">
        <v>6.8</v>
      </c>
      <c r="AH780">
        <v>5.8</v>
      </c>
      <c r="AI780">
        <v>4</v>
      </c>
      <c r="AJ780">
        <v>7.7</v>
      </c>
      <c r="AK780">
        <v>13.3</v>
      </c>
      <c r="AL780">
        <v>3.6</v>
      </c>
    </row>
    <row r="781" spans="1:38" x14ac:dyDescent="0.2">
      <c r="A781" s="61">
        <v>43800</v>
      </c>
      <c r="B781">
        <v>5.0541900000000002</v>
      </c>
      <c r="C781">
        <v>4.7</v>
      </c>
      <c r="D781">
        <v>5.4</v>
      </c>
      <c r="E781">
        <v>5.8</v>
      </c>
      <c r="G781">
        <v>7.8652540000000002</v>
      </c>
      <c r="H781">
        <v>1.9</v>
      </c>
      <c r="I781">
        <v>3.2</v>
      </c>
      <c r="J781">
        <v>5.0999999999999996</v>
      </c>
      <c r="K781">
        <v>7.5</v>
      </c>
      <c r="L781">
        <v>13.9</v>
      </c>
      <c r="M781">
        <v>4.5999999999999996</v>
      </c>
      <c r="N781">
        <v>6.5</v>
      </c>
      <c r="O781">
        <v>8.1999999999999993</v>
      </c>
      <c r="P781">
        <v>4.1982359999999996</v>
      </c>
      <c r="Q781">
        <v>3.9</v>
      </c>
      <c r="R781">
        <v>17</v>
      </c>
      <c r="S781">
        <v>3</v>
      </c>
      <c r="T781">
        <v>4.8</v>
      </c>
      <c r="U781">
        <v>4.5</v>
      </c>
      <c r="V781">
        <v>3.636253</v>
      </c>
      <c r="W781">
        <v>9.6999999999999993</v>
      </c>
      <c r="X781">
        <v>2.2000000000000002</v>
      </c>
      <c r="Y781">
        <v>3.7</v>
      </c>
      <c r="Z781">
        <v>5.7</v>
      </c>
      <c r="AA781">
        <v>6.5</v>
      </c>
      <c r="AB781">
        <v>3.1828050000000001</v>
      </c>
      <c r="AC781">
        <v>4.3</v>
      </c>
      <c r="AD781">
        <v>4</v>
      </c>
      <c r="AE781">
        <v>5.3203060000000004</v>
      </c>
      <c r="AF781">
        <v>3</v>
      </c>
      <c r="AG781">
        <v>6.9</v>
      </c>
      <c r="AH781">
        <v>5.8</v>
      </c>
      <c r="AI781">
        <v>3.9</v>
      </c>
      <c r="AJ781">
        <v>6.9</v>
      </c>
      <c r="AK781">
        <v>13.4</v>
      </c>
      <c r="AL781">
        <v>3.6</v>
      </c>
    </row>
    <row r="782" spans="1:38" x14ac:dyDescent="0.2">
      <c r="A782" s="61">
        <v>43831</v>
      </c>
      <c r="B782">
        <v>5.2936199999999998</v>
      </c>
      <c r="C782">
        <v>4.3</v>
      </c>
      <c r="D782">
        <v>5.2</v>
      </c>
      <c r="E782">
        <v>5.6</v>
      </c>
      <c r="G782">
        <v>8.0902809999999992</v>
      </c>
      <c r="H782">
        <v>2</v>
      </c>
      <c r="I782">
        <v>3.2</v>
      </c>
      <c r="J782">
        <v>4.7</v>
      </c>
      <c r="K782">
        <v>7.5</v>
      </c>
      <c r="L782">
        <v>13.9</v>
      </c>
      <c r="M782">
        <v>5</v>
      </c>
      <c r="N782">
        <v>6.8</v>
      </c>
      <c r="O782">
        <v>8.1999999999999993</v>
      </c>
      <c r="P782">
        <v>4.2016669999999996</v>
      </c>
      <c r="Q782">
        <v>4</v>
      </c>
      <c r="R782">
        <v>16.5</v>
      </c>
      <c r="S782">
        <v>3.5</v>
      </c>
      <c r="T782">
        <v>4.8</v>
      </c>
      <c r="U782">
        <v>4.7</v>
      </c>
      <c r="V782">
        <v>3.728256</v>
      </c>
      <c r="W782">
        <v>9.6</v>
      </c>
      <c r="X782">
        <v>2.4</v>
      </c>
      <c r="Y782">
        <v>3.8</v>
      </c>
      <c r="Z782">
        <v>5.8</v>
      </c>
      <c r="AA782">
        <v>7.1</v>
      </c>
      <c r="AB782">
        <v>3.6240039999999998</v>
      </c>
      <c r="AC782">
        <v>4.0999999999999996</v>
      </c>
      <c r="AD782">
        <v>4.0999999999999996</v>
      </c>
      <c r="AE782">
        <v>5.3581909999999997</v>
      </c>
      <c r="AF782">
        <v>2.9</v>
      </c>
      <c r="AG782">
        <v>6.9</v>
      </c>
      <c r="AH782">
        <v>5.9</v>
      </c>
      <c r="AI782">
        <v>4.0999999999999996</v>
      </c>
      <c r="AJ782">
        <v>7.4</v>
      </c>
      <c r="AK782">
        <v>13.1</v>
      </c>
      <c r="AL782">
        <v>3.5</v>
      </c>
    </row>
    <row r="783" spans="1:38" x14ac:dyDescent="0.2">
      <c r="A783" s="61">
        <v>43862</v>
      </c>
      <c r="B783">
        <v>5.1119510000000004</v>
      </c>
      <c r="C783">
        <v>4.5999999999999996</v>
      </c>
      <c r="D783">
        <v>5.0999999999999996</v>
      </c>
      <c r="E783">
        <v>5.7</v>
      </c>
      <c r="G783">
        <v>8.191516</v>
      </c>
      <c r="H783">
        <v>1.8</v>
      </c>
      <c r="I783">
        <v>3.3</v>
      </c>
      <c r="J783">
        <v>5.2</v>
      </c>
      <c r="K783">
        <v>7.4</v>
      </c>
      <c r="L783">
        <v>13.7</v>
      </c>
      <c r="M783">
        <v>5</v>
      </c>
      <c r="N783">
        <v>6.7</v>
      </c>
      <c r="O783">
        <v>7.8</v>
      </c>
      <c r="P783">
        <v>4.1624939999999997</v>
      </c>
      <c r="Q783">
        <v>4</v>
      </c>
      <c r="R783">
        <v>16.399999999999999</v>
      </c>
      <c r="S783">
        <v>3.6</v>
      </c>
      <c r="T783">
        <v>4.8</v>
      </c>
      <c r="U783">
        <v>5</v>
      </c>
      <c r="V783">
        <v>3.3541629999999998</v>
      </c>
      <c r="W783">
        <v>9.6</v>
      </c>
      <c r="X783">
        <v>2.4</v>
      </c>
      <c r="Y783">
        <v>3.3</v>
      </c>
      <c r="Z783">
        <v>5.8</v>
      </c>
      <c r="AA783">
        <v>7.2</v>
      </c>
      <c r="AB783">
        <v>3.536235</v>
      </c>
      <c r="AC783">
        <v>4</v>
      </c>
      <c r="AD783">
        <v>3.6</v>
      </c>
      <c r="AE783">
        <v>5.2838919999999998</v>
      </c>
      <c r="AF783">
        <v>2.9</v>
      </c>
      <c r="AG783">
        <v>6.5</v>
      </c>
      <c r="AH783">
        <v>6</v>
      </c>
      <c r="AI783">
        <v>4.2</v>
      </c>
      <c r="AJ783">
        <v>7.9</v>
      </c>
      <c r="AK783">
        <v>12.6</v>
      </c>
      <c r="AL783">
        <v>3.5</v>
      </c>
    </row>
    <row r="784" spans="1:38" x14ac:dyDescent="0.2">
      <c r="A784" s="61">
        <v>43891</v>
      </c>
      <c r="B784">
        <v>5.2425759999999997</v>
      </c>
      <c r="C784">
        <v>4.9000000000000004</v>
      </c>
      <c r="D784">
        <v>5.0999999999999996</v>
      </c>
      <c r="E784">
        <v>7.9</v>
      </c>
      <c r="G784">
        <v>9.0232489999999999</v>
      </c>
      <c r="H784">
        <v>1.8</v>
      </c>
      <c r="I784">
        <v>3.4</v>
      </c>
      <c r="J784">
        <v>4.9000000000000004</v>
      </c>
      <c r="K784">
        <v>7.2</v>
      </c>
      <c r="L784">
        <v>14.5</v>
      </c>
      <c r="M784">
        <v>5.3</v>
      </c>
      <c r="N784">
        <v>6.7</v>
      </c>
      <c r="O784">
        <v>7.5</v>
      </c>
      <c r="P784">
        <v>4.5551060000000003</v>
      </c>
      <c r="Q784">
        <v>4.0999999999999996</v>
      </c>
      <c r="R784">
        <v>17</v>
      </c>
      <c r="S784">
        <v>3.3</v>
      </c>
      <c r="T784">
        <v>4.9000000000000004</v>
      </c>
      <c r="U784">
        <v>5.3</v>
      </c>
      <c r="V784">
        <v>3.4665520000000001</v>
      </c>
      <c r="W784">
        <v>7.8</v>
      </c>
      <c r="X784">
        <v>2.5</v>
      </c>
      <c r="Y784">
        <v>3.7</v>
      </c>
      <c r="Z784">
        <v>6.5</v>
      </c>
      <c r="AA784">
        <v>7.5</v>
      </c>
      <c r="AB784">
        <v>3.2524730000000002</v>
      </c>
      <c r="AC784">
        <v>4.0999999999999996</v>
      </c>
      <c r="AD784">
        <v>3.6</v>
      </c>
      <c r="AE784">
        <v>5.5878379999999996</v>
      </c>
      <c r="AF784">
        <v>2.9</v>
      </c>
      <c r="AG784">
        <v>6.3</v>
      </c>
      <c r="AH784">
        <v>6</v>
      </c>
      <c r="AI784">
        <v>4.5</v>
      </c>
      <c r="AJ784">
        <v>6.8</v>
      </c>
      <c r="AK784">
        <v>12.9</v>
      </c>
      <c r="AL784">
        <v>4.4000000000000004</v>
      </c>
    </row>
    <row r="785" spans="1:38" x14ac:dyDescent="0.2">
      <c r="A785" s="61">
        <v>43922</v>
      </c>
      <c r="B785">
        <v>6.3362679999999996</v>
      </c>
      <c r="C785">
        <v>6.1</v>
      </c>
      <c r="D785">
        <v>5.2</v>
      </c>
      <c r="E785">
        <v>13</v>
      </c>
      <c r="G785">
        <v>10.900589999999999</v>
      </c>
      <c r="H785">
        <v>2.2000000000000002</v>
      </c>
      <c r="I785">
        <v>3.5</v>
      </c>
      <c r="J785">
        <v>4.3</v>
      </c>
      <c r="K785">
        <v>7.4</v>
      </c>
      <c r="L785">
        <v>15.2</v>
      </c>
      <c r="M785">
        <v>6.3</v>
      </c>
      <c r="N785">
        <v>7.2</v>
      </c>
      <c r="O785">
        <v>7.6</v>
      </c>
      <c r="P785">
        <v>9.1404040000000002</v>
      </c>
      <c r="Q785">
        <v>4.0999999999999996</v>
      </c>
      <c r="R785">
        <v>18.399999999999999</v>
      </c>
      <c r="S785">
        <v>3.7</v>
      </c>
      <c r="T785">
        <v>4.7</v>
      </c>
      <c r="U785">
        <v>5.6</v>
      </c>
      <c r="V785">
        <v>3.6590099999999999</v>
      </c>
      <c r="W785">
        <v>7.5</v>
      </c>
      <c r="X785">
        <v>2.6</v>
      </c>
      <c r="Y785">
        <v>3.8</v>
      </c>
      <c r="Z785">
        <v>7.3</v>
      </c>
      <c r="AA785">
        <v>8.1999999999999993</v>
      </c>
      <c r="AB785">
        <v>4.8896790000000001</v>
      </c>
      <c r="AC785">
        <v>4.5</v>
      </c>
      <c r="AD785">
        <v>4.0999999999999996</v>
      </c>
      <c r="AE785">
        <v>8.7997169999999993</v>
      </c>
      <c r="AF785">
        <v>3.1</v>
      </c>
      <c r="AG785">
        <v>6.4</v>
      </c>
      <c r="AH785">
        <v>6.6</v>
      </c>
      <c r="AI785">
        <v>5.2</v>
      </c>
      <c r="AJ785">
        <v>8.1</v>
      </c>
      <c r="AK785">
        <v>13.4</v>
      </c>
      <c r="AL785">
        <v>14.7</v>
      </c>
    </row>
    <row r="786" spans="1:38" x14ac:dyDescent="0.2">
      <c r="A786" s="61">
        <v>43952</v>
      </c>
      <c r="B786">
        <v>7.0434869999999998</v>
      </c>
      <c r="C786">
        <v>7</v>
      </c>
      <c r="D786">
        <v>5.4</v>
      </c>
      <c r="E786">
        <v>13.4</v>
      </c>
      <c r="G786">
        <v>11.78265</v>
      </c>
      <c r="H786">
        <v>2.5</v>
      </c>
      <c r="I786">
        <v>3.6</v>
      </c>
      <c r="J786">
        <v>5.3</v>
      </c>
      <c r="K786">
        <v>7.6</v>
      </c>
      <c r="L786">
        <v>15.4</v>
      </c>
      <c r="M786">
        <v>7.2</v>
      </c>
      <c r="N786">
        <v>8.6</v>
      </c>
      <c r="O786">
        <v>7.1</v>
      </c>
      <c r="P786">
        <v>8.6422570000000007</v>
      </c>
      <c r="Q786">
        <v>4.0999999999999996</v>
      </c>
      <c r="R786">
        <v>19.600000000000001</v>
      </c>
      <c r="S786">
        <v>5.0999999999999996</v>
      </c>
      <c r="T786">
        <v>5</v>
      </c>
      <c r="U786">
        <v>5.9</v>
      </c>
      <c r="V786">
        <v>4.1093489999999999</v>
      </c>
      <c r="W786">
        <v>8.6999999999999993</v>
      </c>
      <c r="X786">
        <v>2.8</v>
      </c>
      <c r="Y786">
        <v>4.2</v>
      </c>
      <c r="Z786">
        <v>7.5</v>
      </c>
      <c r="AA786">
        <v>8.5</v>
      </c>
      <c r="AB786">
        <v>4.320665</v>
      </c>
      <c r="AC786">
        <v>4.5999999999999996</v>
      </c>
      <c r="AD786">
        <v>4.8</v>
      </c>
      <c r="AE786">
        <v>8.6442379999999996</v>
      </c>
      <c r="AF786">
        <v>3.2</v>
      </c>
      <c r="AG786">
        <v>6</v>
      </c>
      <c r="AH786">
        <v>6.6</v>
      </c>
      <c r="AI786">
        <v>5.4</v>
      </c>
      <c r="AJ786">
        <v>8.5</v>
      </c>
      <c r="AK786">
        <v>13.4</v>
      </c>
      <c r="AL786">
        <v>13.2</v>
      </c>
    </row>
    <row r="787" spans="1:38" x14ac:dyDescent="0.2">
      <c r="A787" s="61">
        <v>43983</v>
      </c>
      <c r="B787">
        <v>7.3860349999999997</v>
      </c>
      <c r="C787">
        <v>7.9</v>
      </c>
      <c r="D787">
        <v>5.7</v>
      </c>
      <c r="E787">
        <v>12.2</v>
      </c>
      <c r="G787">
        <v>12.44796</v>
      </c>
      <c r="H787">
        <v>2.6</v>
      </c>
      <c r="I787">
        <v>3.7</v>
      </c>
      <c r="J787">
        <v>6.8</v>
      </c>
      <c r="K787">
        <v>8.1</v>
      </c>
      <c r="L787">
        <v>15.9</v>
      </c>
      <c r="M787">
        <v>7.9</v>
      </c>
      <c r="N787">
        <v>7.6</v>
      </c>
      <c r="O787">
        <v>7.5</v>
      </c>
      <c r="P787">
        <v>7.7925420000000001</v>
      </c>
      <c r="Q787">
        <v>4.3</v>
      </c>
      <c r="R787">
        <v>20.3</v>
      </c>
      <c r="S787">
        <v>4.8</v>
      </c>
      <c r="T787">
        <v>5.7</v>
      </c>
      <c r="U787">
        <v>6.1</v>
      </c>
      <c r="V787">
        <v>4.7126669999999997</v>
      </c>
      <c r="W787">
        <v>9.6</v>
      </c>
      <c r="X787">
        <v>2.8</v>
      </c>
      <c r="Y787">
        <v>4.2</v>
      </c>
      <c r="Z787">
        <v>7.5</v>
      </c>
      <c r="AA787">
        <v>8.6999999999999993</v>
      </c>
      <c r="AB787">
        <v>5.5288370000000002</v>
      </c>
      <c r="AC787">
        <v>5.4</v>
      </c>
      <c r="AD787">
        <v>4.9000000000000004</v>
      </c>
      <c r="AE787">
        <v>8.2953189999999992</v>
      </c>
      <c r="AF787">
        <v>3.4</v>
      </c>
      <c r="AG787">
        <v>7.5</v>
      </c>
      <c r="AH787">
        <v>6.7</v>
      </c>
      <c r="AI787">
        <v>5.4</v>
      </c>
      <c r="AJ787">
        <v>9.1999999999999993</v>
      </c>
      <c r="AK787">
        <v>13.5</v>
      </c>
      <c r="AL787">
        <v>11</v>
      </c>
    </row>
    <row r="788" spans="1:38" x14ac:dyDescent="0.2">
      <c r="A788" s="61">
        <v>44013</v>
      </c>
      <c r="B788">
        <v>7.4758279999999999</v>
      </c>
      <c r="C788">
        <v>6.7</v>
      </c>
      <c r="D788">
        <v>6.2</v>
      </c>
      <c r="E788">
        <v>10.9</v>
      </c>
      <c r="G788">
        <v>12.35938</v>
      </c>
      <c r="H788">
        <v>3</v>
      </c>
      <c r="I788">
        <v>3.8</v>
      </c>
      <c r="J788">
        <v>6.5</v>
      </c>
      <c r="K788">
        <v>8.4</v>
      </c>
      <c r="L788">
        <v>16.2</v>
      </c>
      <c r="M788">
        <v>7.5</v>
      </c>
      <c r="N788">
        <v>8.1999999999999993</v>
      </c>
      <c r="O788">
        <v>8.5</v>
      </c>
      <c r="P788">
        <v>7.536397</v>
      </c>
      <c r="Q788">
        <v>4.5999999999999996</v>
      </c>
      <c r="R788">
        <v>17.399999999999999</v>
      </c>
      <c r="S788">
        <v>4.3</v>
      </c>
      <c r="T788">
        <v>6.8</v>
      </c>
      <c r="U788">
        <v>6.2</v>
      </c>
      <c r="V788">
        <v>4.7649520000000001</v>
      </c>
      <c r="W788">
        <v>10.1</v>
      </c>
      <c r="X788">
        <v>2.9</v>
      </c>
      <c r="Y788">
        <v>4.2</v>
      </c>
      <c r="Z788">
        <v>7.1</v>
      </c>
      <c r="AA788">
        <v>8.8000000000000007</v>
      </c>
      <c r="AB788">
        <v>5.1355069999999996</v>
      </c>
      <c r="AC788">
        <v>5.5</v>
      </c>
      <c r="AD788">
        <v>5.9</v>
      </c>
      <c r="AE788">
        <v>8.1506450000000008</v>
      </c>
      <c r="AF788">
        <v>3.5</v>
      </c>
      <c r="AG788">
        <v>8</v>
      </c>
      <c r="AH788">
        <v>6.9</v>
      </c>
      <c r="AI788">
        <v>5.2</v>
      </c>
      <c r="AJ788">
        <v>9.5</v>
      </c>
      <c r="AK788">
        <v>14.2</v>
      </c>
      <c r="AL788">
        <v>10.199999999999999</v>
      </c>
    </row>
    <row r="789" spans="1:38" x14ac:dyDescent="0.2">
      <c r="A789" s="61">
        <v>44044</v>
      </c>
      <c r="B789">
        <v>6.7996800000000004</v>
      </c>
      <c r="C789">
        <v>6.3</v>
      </c>
      <c r="D789">
        <v>6.5</v>
      </c>
      <c r="E789">
        <v>10.3</v>
      </c>
      <c r="G789">
        <v>11.995990000000001</v>
      </c>
      <c r="H789">
        <v>2.7</v>
      </c>
      <c r="I789">
        <v>3.9</v>
      </c>
      <c r="J789">
        <v>6.2</v>
      </c>
      <c r="K789">
        <v>8.6</v>
      </c>
      <c r="L789">
        <v>16.399999999999999</v>
      </c>
      <c r="M789">
        <v>7.7</v>
      </c>
      <c r="N789">
        <v>8.8000000000000007</v>
      </c>
      <c r="O789">
        <v>8.9</v>
      </c>
      <c r="P789">
        <v>6.846876</v>
      </c>
      <c r="Q789">
        <v>4.9000000000000004</v>
      </c>
      <c r="R789">
        <v>17</v>
      </c>
      <c r="S789">
        <v>4.2</v>
      </c>
      <c r="T789">
        <v>7.2</v>
      </c>
      <c r="U789">
        <v>6.4</v>
      </c>
      <c r="V789">
        <v>4.7959050000000003</v>
      </c>
      <c r="W789">
        <v>9.9</v>
      </c>
      <c r="X789">
        <v>3</v>
      </c>
      <c r="Y789">
        <v>3.6</v>
      </c>
      <c r="Z789">
        <v>6.7</v>
      </c>
      <c r="AA789">
        <v>8.6</v>
      </c>
      <c r="AB789">
        <v>4.9422959999999998</v>
      </c>
      <c r="AC789">
        <v>5.5</v>
      </c>
      <c r="AD789">
        <v>5.3</v>
      </c>
      <c r="AE789">
        <v>7.5611569999999997</v>
      </c>
      <c r="AF789">
        <v>3.5</v>
      </c>
      <c r="AG789">
        <v>8.1999999999999993</v>
      </c>
      <c r="AH789">
        <v>6.9</v>
      </c>
      <c r="AI789">
        <v>5.2</v>
      </c>
      <c r="AJ789">
        <v>9.3000000000000007</v>
      </c>
      <c r="AK789">
        <v>12.8</v>
      </c>
      <c r="AL789">
        <v>8.4</v>
      </c>
    </row>
    <row r="790" spans="1:38" x14ac:dyDescent="0.2">
      <c r="A790" s="61">
        <v>44075</v>
      </c>
      <c r="B790">
        <v>6.8820350000000001</v>
      </c>
      <c r="C790">
        <v>6.5</v>
      </c>
      <c r="D790">
        <v>6.4</v>
      </c>
      <c r="E790">
        <v>9.1999999999999993</v>
      </c>
      <c r="G790">
        <v>11.52976</v>
      </c>
      <c r="H790">
        <v>2.8</v>
      </c>
      <c r="I790">
        <v>3.9</v>
      </c>
      <c r="J790">
        <v>6</v>
      </c>
      <c r="K790">
        <v>8.6</v>
      </c>
      <c r="L790">
        <v>16.399999999999999</v>
      </c>
      <c r="M790">
        <v>7.9</v>
      </c>
      <c r="N790">
        <v>8.1999999999999993</v>
      </c>
      <c r="O790">
        <v>8.9</v>
      </c>
      <c r="P790">
        <v>6.5803830000000003</v>
      </c>
      <c r="Q790">
        <v>5.0999999999999996</v>
      </c>
      <c r="R790">
        <v>16.899999999999999</v>
      </c>
      <c r="S790">
        <v>4.3</v>
      </c>
      <c r="T790">
        <v>7.3</v>
      </c>
      <c r="U790">
        <v>6.5</v>
      </c>
      <c r="V790">
        <v>4.5231940000000002</v>
      </c>
      <c r="W790">
        <v>10</v>
      </c>
      <c r="X790">
        <v>3</v>
      </c>
      <c r="Y790">
        <v>4.0999999999999996</v>
      </c>
      <c r="Z790">
        <v>6.6</v>
      </c>
      <c r="AA790">
        <v>8.4</v>
      </c>
      <c r="AB790">
        <v>4.7685149999999998</v>
      </c>
      <c r="AC790">
        <v>5.4</v>
      </c>
      <c r="AD790">
        <v>5.3</v>
      </c>
      <c r="AE790">
        <v>7.3798149999999998</v>
      </c>
      <c r="AF790">
        <v>3.4</v>
      </c>
      <c r="AG790">
        <v>8</v>
      </c>
      <c r="AH790">
        <v>6.9</v>
      </c>
      <c r="AI790">
        <v>5</v>
      </c>
      <c r="AJ790">
        <v>9.1</v>
      </c>
      <c r="AK790">
        <v>12.7</v>
      </c>
      <c r="AL790">
        <v>7.9</v>
      </c>
    </row>
    <row r="791" spans="1:38" x14ac:dyDescent="0.2">
      <c r="A791" s="61">
        <v>44105</v>
      </c>
      <c r="B791">
        <v>6.9343209999999997</v>
      </c>
      <c r="C791">
        <v>6.1</v>
      </c>
      <c r="D791">
        <v>6</v>
      </c>
      <c r="E791">
        <v>9.1999999999999993</v>
      </c>
      <c r="G791">
        <v>11.2042</v>
      </c>
      <c r="H791">
        <v>3.2</v>
      </c>
      <c r="I791">
        <v>3.9</v>
      </c>
      <c r="J791">
        <v>5.9</v>
      </c>
      <c r="K791">
        <v>8.4</v>
      </c>
      <c r="L791">
        <v>16.3</v>
      </c>
      <c r="M791">
        <v>8.1</v>
      </c>
      <c r="N791">
        <v>8.1999999999999993</v>
      </c>
      <c r="O791">
        <v>8.3000000000000007</v>
      </c>
      <c r="P791">
        <v>6.1606399999999999</v>
      </c>
      <c r="Q791">
        <v>5.0999999999999996</v>
      </c>
      <c r="R791">
        <v>17.5</v>
      </c>
      <c r="S791">
        <v>4.0999999999999996</v>
      </c>
      <c r="T791">
        <v>6.3</v>
      </c>
      <c r="U791">
        <v>6.7</v>
      </c>
      <c r="V791">
        <v>4.5643229999999999</v>
      </c>
      <c r="W791">
        <v>10</v>
      </c>
      <c r="X791">
        <v>3.1</v>
      </c>
      <c r="Y791">
        <v>4.3</v>
      </c>
      <c r="Z791">
        <v>6.4</v>
      </c>
      <c r="AA791">
        <v>8.1999999999999993</v>
      </c>
      <c r="AB791">
        <v>4.5906089999999997</v>
      </c>
      <c r="AC791">
        <v>5.3</v>
      </c>
      <c r="AD791">
        <v>5.7</v>
      </c>
      <c r="AE791">
        <v>7.1251959999999999</v>
      </c>
      <c r="AF791">
        <v>3.3</v>
      </c>
      <c r="AG791">
        <v>7.6</v>
      </c>
      <c r="AH791">
        <v>6.9</v>
      </c>
      <c r="AI791">
        <v>5</v>
      </c>
      <c r="AJ791">
        <v>8.9</v>
      </c>
      <c r="AK791">
        <v>13.1</v>
      </c>
      <c r="AL791">
        <v>6.9</v>
      </c>
    </row>
    <row r="792" spans="1:38" x14ac:dyDescent="0.2">
      <c r="A792" s="61">
        <v>44136</v>
      </c>
      <c r="B792">
        <v>6.820163</v>
      </c>
      <c r="C792">
        <v>5.9</v>
      </c>
      <c r="D792">
        <v>6</v>
      </c>
      <c r="E792">
        <v>8.6999999999999993</v>
      </c>
      <c r="G792">
        <v>11.06353</v>
      </c>
      <c r="H792">
        <v>3</v>
      </c>
      <c r="I792">
        <v>3.9</v>
      </c>
      <c r="J792">
        <v>6</v>
      </c>
      <c r="K792">
        <v>8.1999999999999993</v>
      </c>
      <c r="L792">
        <v>16.3</v>
      </c>
      <c r="M792">
        <v>7.7</v>
      </c>
      <c r="N792">
        <v>7.9</v>
      </c>
      <c r="O792">
        <v>8.1</v>
      </c>
      <c r="P792">
        <v>5.9743490000000001</v>
      </c>
      <c r="Q792">
        <v>5.2</v>
      </c>
      <c r="R792">
        <v>17.3</v>
      </c>
      <c r="S792">
        <v>4.3</v>
      </c>
      <c r="T792">
        <v>6.2</v>
      </c>
      <c r="U792">
        <v>6.8</v>
      </c>
      <c r="V792">
        <v>4.791258</v>
      </c>
      <c r="W792">
        <v>9.5</v>
      </c>
      <c r="X792">
        <v>2.9</v>
      </c>
      <c r="Y792">
        <v>4.2</v>
      </c>
      <c r="Z792">
        <v>6.4</v>
      </c>
      <c r="AA792">
        <v>8</v>
      </c>
      <c r="AB792">
        <v>4.4827820000000003</v>
      </c>
      <c r="AC792">
        <v>5</v>
      </c>
      <c r="AD792">
        <v>5.0999999999999996</v>
      </c>
      <c r="AE792">
        <v>6.9479499999999996</v>
      </c>
      <c r="AF792">
        <v>3.3</v>
      </c>
      <c r="AG792">
        <v>7.2</v>
      </c>
      <c r="AH792">
        <v>7</v>
      </c>
      <c r="AI792">
        <v>5.2</v>
      </c>
      <c r="AJ792">
        <v>8.6</v>
      </c>
      <c r="AK792">
        <v>13.1</v>
      </c>
      <c r="AL792">
        <v>6.7</v>
      </c>
    </row>
    <row r="793" spans="1:38" x14ac:dyDescent="0.2">
      <c r="A793" s="61">
        <v>44166</v>
      </c>
      <c r="B793">
        <v>6.5870050000000004</v>
      </c>
      <c r="C793">
        <v>6.8</v>
      </c>
      <c r="D793">
        <v>6.2</v>
      </c>
      <c r="E793">
        <v>8.9</v>
      </c>
      <c r="G793">
        <v>10.81203</v>
      </c>
      <c r="H793">
        <v>3.1</v>
      </c>
      <c r="I793">
        <v>3.9</v>
      </c>
      <c r="J793">
        <v>5.9</v>
      </c>
      <c r="K793">
        <v>8.1999999999999993</v>
      </c>
      <c r="L793">
        <v>16.3</v>
      </c>
      <c r="M793">
        <v>7.2</v>
      </c>
      <c r="N793">
        <v>8.1999999999999993</v>
      </c>
      <c r="O793">
        <v>7.9</v>
      </c>
      <c r="P793">
        <v>6.000216</v>
      </c>
      <c r="Q793">
        <v>5.0999999999999996</v>
      </c>
      <c r="R793">
        <v>16.8</v>
      </c>
      <c r="S793">
        <v>4.3</v>
      </c>
      <c r="T793">
        <v>6.2</v>
      </c>
      <c r="U793">
        <v>6.9</v>
      </c>
      <c r="V793">
        <v>4.8447610000000001</v>
      </c>
      <c r="W793">
        <v>9.8000000000000007</v>
      </c>
      <c r="X793">
        <v>3</v>
      </c>
      <c r="Y793">
        <v>4.5</v>
      </c>
      <c r="Z793">
        <v>6.5</v>
      </c>
      <c r="AA793">
        <v>7.9</v>
      </c>
      <c r="AB793">
        <v>4.1740899999999996</v>
      </c>
      <c r="AC793">
        <v>4.9000000000000004</v>
      </c>
      <c r="AD793">
        <v>4.7</v>
      </c>
      <c r="AE793">
        <v>6.9084479999999999</v>
      </c>
      <c r="AF793">
        <v>3.4</v>
      </c>
      <c r="AG793">
        <v>6.9</v>
      </c>
      <c r="AH793">
        <v>7</v>
      </c>
      <c r="AI793">
        <v>5.3</v>
      </c>
      <c r="AJ793">
        <v>9.1999999999999993</v>
      </c>
      <c r="AK793">
        <v>12.8</v>
      </c>
      <c r="AL793">
        <v>6.7</v>
      </c>
    </row>
    <row r="794" spans="1:38" x14ac:dyDescent="0.2">
      <c r="A794" s="61">
        <v>44197</v>
      </c>
      <c r="B794">
        <v>6.3733209999999998</v>
      </c>
      <c r="C794">
        <v>7.6</v>
      </c>
      <c r="D794">
        <v>6.6</v>
      </c>
      <c r="E794">
        <v>9.4</v>
      </c>
      <c r="G794">
        <v>10.686199999999999</v>
      </c>
      <c r="H794">
        <v>3.3</v>
      </c>
      <c r="I794">
        <v>3.9</v>
      </c>
      <c r="J794">
        <v>6.1</v>
      </c>
      <c r="K794">
        <v>8.3000000000000007</v>
      </c>
      <c r="L794">
        <v>15.8</v>
      </c>
      <c r="M794">
        <v>7.4</v>
      </c>
      <c r="N794">
        <v>8.4</v>
      </c>
      <c r="O794">
        <v>8</v>
      </c>
      <c r="P794">
        <v>5.8869860000000003</v>
      </c>
      <c r="Q794">
        <v>5.0999999999999996</v>
      </c>
      <c r="R794">
        <v>16.399999999999999</v>
      </c>
      <c r="S794">
        <v>4.5</v>
      </c>
      <c r="T794">
        <v>6.9</v>
      </c>
      <c r="U794">
        <v>6.9</v>
      </c>
      <c r="V794">
        <v>4.6547590000000003</v>
      </c>
      <c r="W794">
        <v>10.199999999999999</v>
      </c>
      <c r="X794">
        <v>3</v>
      </c>
      <c r="Y794">
        <v>5.2</v>
      </c>
      <c r="Z794">
        <v>6.4</v>
      </c>
      <c r="AA794">
        <v>7.7</v>
      </c>
      <c r="AB794">
        <v>4.470758</v>
      </c>
      <c r="AC794">
        <v>4.7</v>
      </c>
      <c r="AD794">
        <v>5.2</v>
      </c>
      <c r="AE794">
        <v>6.8716160000000004</v>
      </c>
      <c r="AF794">
        <v>3.6</v>
      </c>
      <c r="AG794">
        <v>7</v>
      </c>
      <c r="AH794">
        <v>7.1</v>
      </c>
      <c r="AI794">
        <v>5.5</v>
      </c>
      <c r="AJ794">
        <v>8.9</v>
      </c>
      <c r="AK794">
        <v>12.6</v>
      </c>
      <c r="AL794">
        <v>6.4</v>
      </c>
    </row>
    <row r="795" spans="1:38" x14ac:dyDescent="0.2">
      <c r="A795" s="61">
        <v>44228</v>
      </c>
      <c r="B795">
        <v>5.8383770000000004</v>
      </c>
      <c r="C795">
        <v>7</v>
      </c>
      <c r="D795">
        <v>6.8</v>
      </c>
      <c r="E795">
        <v>8.3000000000000007</v>
      </c>
      <c r="G795">
        <v>10.362830000000001</v>
      </c>
      <c r="H795">
        <v>3.2</v>
      </c>
      <c r="I795">
        <v>3.9</v>
      </c>
      <c r="J795">
        <v>6</v>
      </c>
      <c r="K795">
        <v>8.1999999999999993</v>
      </c>
      <c r="L795">
        <v>15.6</v>
      </c>
      <c r="M795">
        <v>7</v>
      </c>
      <c r="N795">
        <v>8</v>
      </c>
      <c r="O795">
        <v>8.1999999999999993</v>
      </c>
      <c r="P795">
        <v>5.7778419999999997</v>
      </c>
      <c r="Q795">
        <v>4.9000000000000004</v>
      </c>
      <c r="R795">
        <v>15.9</v>
      </c>
      <c r="S795">
        <v>4.4000000000000004</v>
      </c>
      <c r="T795">
        <v>7.4</v>
      </c>
      <c r="U795">
        <v>6.8</v>
      </c>
      <c r="V795">
        <v>5.1457249999999997</v>
      </c>
      <c r="W795">
        <v>10.199999999999999</v>
      </c>
      <c r="X795">
        <v>2.9</v>
      </c>
      <c r="Y795">
        <v>3.9</v>
      </c>
      <c r="Z795">
        <v>6.3</v>
      </c>
      <c r="AA795">
        <v>7.7</v>
      </c>
      <c r="AB795">
        <v>4.3789550000000004</v>
      </c>
      <c r="AC795">
        <v>4.7</v>
      </c>
      <c r="AD795">
        <v>5.4</v>
      </c>
      <c r="AE795">
        <v>6.7439309999999999</v>
      </c>
      <c r="AF795">
        <v>3.7</v>
      </c>
      <c r="AG795">
        <v>6.9</v>
      </c>
      <c r="AH795">
        <v>7.1</v>
      </c>
      <c r="AI795">
        <v>5.4</v>
      </c>
      <c r="AJ795">
        <v>9.1999999999999993</v>
      </c>
      <c r="AK795">
        <v>13.2</v>
      </c>
      <c r="AL795">
        <v>6.2</v>
      </c>
    </row>
    <row r="796" spans="1:38" x14ac:dyDescent="0.2">
      <c r="A796" s="61">
        <v>44256</v>
      </c>
      <c r="B796">
        <v>5.6585570000000001</v>
      </c>
      <c r="C796">
        <v>6.6</v>
      </c>
      <c r="D796">
        <v>6.7</v>
      </c>
      <c r="E796">
        <v>7.5</v>
      </c>
      <c r="G796">
        <v>10.26863</v>
      </c>
      <c r="H796">
        <v>3.3</v>
      </c>
      <c r="I796">
        <v>3.8</v>
      </c>
      <c r="J796">
        <v>6.3</v>
      </c>
      <c r="K796">
        <v>8.1999999999999993</v>
      </c>
      <c r="L796">
        <v>15.3</v>
      </c>
      <c r="M796">
        <v>6.6</v>
      </c>
      <c r="N796">
        <v>7.6</v>
      </c>
      <c r="O796">
        <v>8.1999999999999993</v>
      </c>
      <c r="P796">
        <v>5.5854489999999997</v>
      </c>
      <c r="Q796">
        <v>4.9000000000000004</v>
      </c>
      <c r="R796">
        <v>17.2</v>
      </c>
      <c r="S796">
        <v>4.0999999999999996</v>
      </c>
      <c r="T796">
        <v>7.7</v>
      </c>
      <c r="U796">
        <v>6.8</v>
      </c>
      <c r="V796">
        <v>5.5045979999999997</v>
      </c>
      <c r="W796">
        <v>10.1</v>
      </c>
      <c r="X796">
        <v>2.7</v>
      </c>
      <c r="Y796">
        <v>3.8</v>
      </c>
      <c r="Z796">
        <v>6.1</v>
      </c>
      <c r="AA796">
        <v>7.7</v>
      </c>
      <c r="AB796">
        <v>4.3111059999999997</v>
      </c>
      <c r="AC796">
        <v>4.5999999999999996</v>
      </c>
      <c r="AD796">
        <v>4.4000000000000004</v>
      </c>
      <c r="AE796">
        <v>6.5952130000000002</v>
      </c>
      <c r="AF796">
        <v>3.8</v>
      </c>
      <c r="AG796">
        <v>6.7</v>
      </c>
      <c r="AH796">
        <v>7.1</v>
      </c>
      <c r="AI796">
        <v>5.0999999999999996</v>
      </c>
      <c r="AJ796">
        <v>9.5</v>
      </c>
      <c r="AK796">
        <v>12.8</v>
      </c>
      <c r="AL796">
        <v>6</v>
      </c>
    </row>
    <row r="797" spans="1:38" x14ac:dyDescent="0.2">
      <c r="A797" s="61">
        <v>44287</v>
      </c>
      <c r="B797">
        <v>5.4339490000000001</v>
      </c>
      <c r="C797">
        <v>7.3</v>
      </c>
      <c r="D797">
        <v>6.4</v>
      </c>
      <c r="E797">
        <v>8</v>
      </c>
      <c r="G797">
        <v>9.7458299999999998</v>
      </c>
      <c r="H797">
        <v>3.3</v>
      </c>
      <c r="I797">
        <v>3.8</v>
      </c>
      <c r="J797">
        <v>5</v>
      </c>
      <c r="K797">
        <v>8.1999999999999993</v>
      </c>
      <c r="L797">
        <v>15.5</v>
      </c>
      <c r="M797">
        <v>6.5</v>
      </c>
      <c r="N797">
        <v>8.6</v>
      </c>
      <c r="O797">
        <v>8.1999999999999993</v>
      </c>
      <c r="P797">
        <v>5.6524549999999998</v>
      </c>
      <c r="Q797">
        <v>4.9000000000000004</v>
      </c>
      <c r="R797">
        <v>17.2</v>
      </c>
      <c r="S797">
        <v>4.0999999999999996</v>
      </c>
      <c r="T797">
        <v>7.6</v>
      </c>
      <c r="U797">
        <v>6.6</v>
      </c>
      <c r="V797">
        <v>5.3611129999999996</v>
      </c>
      <c r="W797">
        <v>10.199999999999999</v>
      </c>
      <c r="X797">
        <v>2.8</v>
      </c>
      <c r="Y797">
        <v>3.7</v>
      </c>
      <c r="Z797">
        <v>5.8</v>
      </c>
      <c r="AA797">
        <v>7.7</v>
      </c>
      <c r="AB797">
        <v>4.8828950000000004</v>
      </c>
      <c r="AC797">
        <v>4.5</v>
      </c>
      <c r="AD797">
        <v>5.0999999999999996</v>
      </c>
      <c r="AE797">
        <v>6.698258</v>
      </c>
      <c r="AF797">
        <v>3.7</v>
      </c>
      <c r="AG797">
        <v>7</v>
      </c>
      <c r="AH797">
        <v>7</v>
      </c>
      <c r="AI797">
        <v>4.8</v>
      </c>
      <c r="AJ797">
        <v>9</v>
      </c>
      <c r="AK797">
        <v>13.5</v>
      </c>
      <c r="AL797">
        <v>6</v>
      </c>
    </row>
    <row r="798" spans="1:38" x14ac:dyDescent="0.2">
      <c r="A798" s="61">
        <v>44317</v>
      </c>
      <c r="B798">
        <v>5.0906359999999999</v>
      </c>
      <c r="C798">
        <v>6.8</v>
      </c>
      <c r="D798">
        <v>6.3</v>
      </c>
      <c r="E798">
        <v>8</v>
      </c>
      <c r="G798">
        <v>9.1453380000000006</v>
      </c>
      <c r="H798">
        <v>3.1</v>
      </c>
      <c r="I798">
        <v>3.7</v>
      </c>
      <c r="J798">
        <v>5</v>
      </c>
      <c r="K798">
        <v>8.1</v>
      </c>
      <c r="L798">
        <v>15.5</v>
      </c>
      <c r="M798">
        <v>6.8</v>
      </c>
      <c r="N798">
        <v>8.1999999999999993</v>
      </c>
      <c r="O798">
        <v>8.1</v>
      </c>
      <c r="P798">
        <v>5.4868240000000004</v>
      </c>
      <c r="Q798">
        <v>4.7</v>
      </c>
      <c r="R798">
        <v>15.6</v>
      </c>
      <c r="S798">
        <v>4.2</v>
      </c>
      <c r="T798">
        <v>7</v>
      </c>
      <c r="U798">
        <v>6.3</v>
      </c>
      <c r="V798">
        <v>5.3914369999999998</v>
      </c>
      <c r="W798">
        <v>9.8000000000000007</v>
      </c>
      <c r="X798">
        <v>2.9</v>
      </c>
      <c r="Y798">
        <v>3.7</v>
      </c>
      <c r="Z798">
        <v>5.6</v>
      </c>
      <c r="AA798">
        <v>7.8</v>
      </c>
      <c r="AB798">
        <v>4.1247199999999999</v>
      </c>
      <c r="AC798">
        <v>4.4000000000000004</v>
      </c>
      <c r="AD798">
        <v>5.4</v>
      </c>
      <c r="AE798">
        <v>6.4758209999999998</v>
      </c>
      <c r="AF798">
        <v>3.6</v>
      </c>
      <c r="AG798">
        <v>7</v>
      </c>
      <c r="AH798">
        <v>6.9</v>
      </c>
      <c r="AI798">
        <v>4.5</v>
      </c>
      <c r="AJ798">
        <v>9</v>
      </c>
      <c r="AK798">
        <v>13</v>
      </c>
      <c r="AL798">
        <v>5.8</v>
      </c>
    </row>
    <row r="799" spans="1:38" x14ac:dyDescent="0.2">
      <c r="A799" s="61">
        <v>44348</v>
      </c>
      <c r="B799">
        <v>4.929195</v>
      </c>
      <c r="C799">
        <v>6.2</v>
      </c>
      <c r="D799">
        <v>6.2</v>
      </c>
      <c r="E799">
        <v>7.6</v>
      </c>
      <c r="G799">
        <v>8.4824549999999999</v>
      </c>
      <c r="H799">
        <v>2.8</v>
      </c>
      <c r="I799">
        <v>3.6</v>
      </c>
      <c r="J799">
        <v>4.8</v>
      </c>
      <c r="K799">
        <v>7.9</v>
      </c>
      <c r="L799">
        <v>15.3</v>
      </c>
      <c r="M799">
        <v>6.6</v>
      </c>
      <c r="N799">
        <v>7.6</v>
      </c>
      <c r="O799">
        <v>8</v>
      </c>
      <c r="P799">
        <v>5.4659250000000004</v>
      </c>
      <c r="Q799">
        <v>4.5999999999999996</v>
      </c>
      <c r="R799">
        <v>15</v>
      </c>
      <c r="S799">
        <v>4.2</v>
      </c>
      <c r="T799">
        <v>6.4</v>
      </c>
      <c r="U799">
        <v>5.8</v>
      </c>
      <c r="V799">
        <v>5.2522609999999998</v>
      </c>
      <c r="W799">
        <v>9.4</v>
      </c>
      <c r="X799">
        <v>2.9</v>
      </c>
      <c r="Y799">
        <v>3.6</v>
      </c>
      <c r="Z799">
        <v>5.3</v>
      </c>
      <c r="AA799">
        <v>7.9</v>
      </c>
      <c r="AB799">
        <v>4.0163669999999998</v>
      </c>
      <c r="AC799">
        <v>4.2</v>
      </c>
      <c r="AD799">
        <v>4.4000000000000004</v>
      </c>
      <c r="AE799">
        <v>6.2934029999999996</v>
      </c>
      <c r="AF799">
        <v>3.4</v>
      </c>
      <c r="AG799">
        <v>6.8</v>
      </c>
      <c r="AH799">
        <v>6.9</v>
      </c>
      <c r="AI799">
        <v>4.4000000000000004</v>
      </c>
      <c r="AJ799">
        <v>9.4</v>
      </c>
      <c r="AK799">
        <v>10.9</v>
      </c>
      <c r="AL799">
        <v>5.9</v>
      </c>
    </row>
    <row r="800" spans="1:38" x14ac:dyDescent="0.2">
      <c r="A800" s="61">
        <v>44378</v>
      </c>
      <c r="B800">
        <v>4.6463279999999996</v>
      </c>
      <c r="C800">
        <v>6.1</v>
      </c>
      <c r="D800">
        <v>6.2</v>
      </c>
      <c r="E800">
        <v>7.4</v>
      </c>
      <c r="G800">
        <v>8.1796279999999992</v>
      </c>
      <c r="H800">
        <v>2.6</v>
      </c>
      <c r="I800">
        <v>3.5</v>
      </c>
      <c r="J800">
        <v>4.2</v>
      </c>
      <c r="K800">
        <v>7.7</v>
      </c>
      <c r="L800">
        <v>15</v>
      </c>
      <c r="M800">
        <v>6.3</v>
      </c>
      <c r="N800">
        <v>7.7</v>
      </c>
      <c r="O800">
        <v>7.9</v>
      </c>
      <c r="P800">
        <v>5.1662330000000001</v>
      </c>
      <c r="Q800">
        <v>4.4000000000000004</v>
      </c>
      <c r="R800">
        <v>14.4</v>
      </c>
      <c r="S800">
        <v>4</v>
      </c>
      <c r="T800">
        <v>5.9</v>
      </c>
      <c r="U800">
        <v>5.4</v>
      </c>
      <c r="V800">
        <v>4.9483800000000002</v>
      </c>
      <c r="W800">
        <v>9.1999999999999993</v>
      </c>
      <c r="X800">
        <v>2.8</v>
      </c>
      <c r="Y800">
        <v>3.3</v>
      </c>
      <c r="Z800">
        <v>5.2</v>
      </c>
      <c r="AA800">
        <v>7.7</v>
      </c>
      <c r="AB800">
        <v>4.1851779999999996</v>
      </c>
      <c r="AC800">
        <v>4.0999999999999996</v>
      </c>
      <c r="AD800">
        <v>5</v>
      </c>
      <c r="AE800">
        <v>6.0265409999999999</v>
      </c>
      <c r="AF800">
        <v>3.3</v>
      </c>
      <c r="AG800">
        <v>6.6</v>
      </c>
      <c r="AH800">
        <v>6.8</v>
      </c>
      <c r="AI800">
        <v>4.4000000000000004</v>
      </c>
      <c r="AJ800">
        <v>8.5</v>
      </c>
      <c r="AK800">
        <v>11.5</v>
      </c>
      <c r="AL800">
        <v>5.4</v>
      </c>
    </row>
    <row r="801" spans="1:38" x14ac:dyDescent="0.2">
      <c r="A801" s="61">
        <v>44409</v>
      </c>
      <c r="B801">
        <v>4.5464320000000003</v>
      </c>
      <c r="C801">
        <v>5.9</v>
      </c>
      <c r="D801">
        <v>6.3</v>
      </c>
      <c r="E801">
        <v>7.1</v>
      </c>
      <c r="G801">
        <v>8.1580639999999995</v>
      </c>
      <c r="H801">
        <v>2.8</v>
      </c>
      <c r="I801">
        <v>3.5</v>
      </c>
      <c r="J801">
        <v>5.0999999999999996</v>
      </c>
      <c r="K801">
        <v>7.5</v>
      </c>
      <c r="L801">
        <v>14.6</v>
      </c>
      <c r="M801">
        <v>5.8</v>
      </c>
      <c r="N801">
        <v>7.1</v>
      </c>
      <c r="O801">
        <v>7.8</v>
      </c>
      <c r="P801">
        <v>5.036816</v>
      </c>
      <c r="Q801">
        <v>4.3</v>
      </c>
      <c r="R801">
        <v>13.7</v>
      </c>
      <c r="S801">
        <v>4</v>
      </c>
      <c r="T801">
        <v>5.5</v>
      </c>
      <c r="U801">
        <v>5</v>
      </c>
      <c r="V801">
        <v>4.8811530000000003</v>
      </c>
      <c r="W801">
        <v>9.1</v>
      </c>
      <c r="X801">
        <v>2.8</v>
      </c>
      <c r="Y801">
        <v>3.1</v>
      </c>
      <c r="Z801">
        <v>5</v>
      </c>
      <c r="AA801">
        <v>7.4</v>
      </c>
      <c r="AB801">
        <v>4.0204829999999996</v>
      </c>
      <c r="AC801">
        <v>4.2</v>
      </c>
      <c r="AD801">
        <v>4</v>
      </c>
      <c r="AE801">
        <v>5.9315340000000001</v>
      </c>
      <c r="AF801">
        <v>3.2</v>
      </c>
      <c r="AG801">
        <v>6.3</v>
      </c>
      <c r="AH801">
        <v>6.7</v>
      </c>
      <c r="AI801">
        <v>4.5</v>
      </c>
      <c r="AJ801">
        <v>8.9</v>
      </c>
      <c r="AK801">
        <v>11.7</v>
      </c>
      <c r="AL801">
        <v>5.2</v>
      </c>
    </row>
    <row r="802" spans="1:38" x14ac:dyDescent="0.2">
      <c r="A802" s="61">
        <v>44440</v>
      </c>
      <c r="B802">
        <v>4.6530240000000003</v>
      </c>
      <c r="C802">
        <v>4.9000000000000004</v>
      </c>
      <c r="D802">
        <v>6.2</v>
      </c>
      <c r="E802">
        <v>7</v>
      </c>
      <c r="G802">
        <v>8.0374280000000002</v>
      </c>
      <c r="H802">
        <v>2.6</v>
      </c>
      <c r="I802">
        <v>3.4</v>
      </c>
      <c r="J802">
        <v>4.9000000000000004</v>
      </c>
      <c r="K802">
        <v>7.4</v>
      </c>
      <c r="L802">
        <v>14.2</v>
      </c>
      <c r="M802">
        <v>5.5</v>
      </c>
      <c r="N802">
        <v>7.6</v>
      </c>
      <c r="O802">
        <v>7.7</v>
      </c>
      <c r="P802">
        <v>4.8227529999999996</v>
      </c>
      <c r="Q802">
        <v>4.2</v>
      </c>
      <c r="R802">
        <v>13.1</v>
      </c>
      <c r="S802">
        <v>3.6</v>
      </c>
      <c r="T802">
        <v>5.2</v>
      </c>
      <c r="U802">
        <v>4.8</v>
      </c>
      <c r="V802">
        <v>4.9717260000000003</v>
      </c>
      <c r="W802">
        <v>9.1</v>
      </c>
      <c r="X802">
        <v>2.8</v>
      </c>
      <c r="Y802">
        <v>3.1</v>
      </c>
      <c r="Z802">
        <v>4.9000000000000004</v>
      </c>
      <c r="AA802">
        <v>7.2</v>
      </c>
      <c r="AB802">
        <v>3.8639670000000002</v>
      </c>
      <c r="AC802">
        <v>4.0999999999999996</v>
      </c>
      <c r="AD802">
        <v>3.7</v>
      </c>
      <c r="AE802">
        <v>5.7268840000000001</v>
      </c>
      <c r="AF802">
        <v>3.1</v>
      </c>
      <c r="AG802">
        <v>6.3</v>
      </c>
      <c r="AH802">
        <v>6.6</v>
      </c>
      <c r="AI802">
        <v>4.5999999999999996</v>
      </c>
      <c r="AJ802">
        <v>8.6999999999999993</v>
      </c>
      <c r="AK802">
        <v>11.4</v>
      </c>
      <c r="AL802">
        <v>4.7</v>
      </c>
    </row>
    <row r="803" spans="1:38" x14ac:dyDescent="0.2">
      <c r="A803" s="61">
        <v>44470</v>
      </c>
      <c r="B803">
        <v>5.2264699999999999</v>
      </c>
      <c r="C803">
        <v>5.8</v>
      </c>
      <c r="D803">
        <v>6</v>
      </c>
      <c r="E803">
        <v>6.8</v>
      </c>
      <c r="G803">
        <v>7.8406659999999997</v>
      </c>
      <c r="H803">
        <v>2.4</v>
      </c>
      <c r="I803">
        <v>3.3</v>
      </c>
      <c r="J803">
        <v>4.9000000000000004</v>
      </c>
      <c r="K803">
        <v>7.3</v>
      </c>
      <c r="L803">
        <v>13.8</v>
      </c>
      <c r="M803">
        <v>5.0999999999999996</v>
      </c>
      <c r="N803">
        <v>6.7</v>
      </c>
      <c r="O803">
        <v>7.5</v>
      </c>
      <c r="P803">
        <v>4.6922860000000002</v>
      </c>
      <c r="Q803">
        <v>4.0999999999999996</v>
      </c>
      <c r="R803">
        <v>13.3</v>
      </c>
      <c r="S803">
        <v>3.8</v>
      </c>
      <c r="T803">
        <v>5.2</v>
      </c>
      <c r="U803">
        <v>4.5999999999999996</v>
      </c>
      <c r="V803">
        <v>4.8012249999999996</v>
      </c>
      <c r="W803">
        <v>9.1999999999999993</v>
      </c>
      <c r="X803">
        <v>2.7</v>
      </c>
      <c r="Y803">
        <v>3.2</v>
      </c>
      <c r="Z803">
        <v>4.8</v>
      </c>
      <c r="AA803">
        <v>7.2</v>
      </c>
      <c r="AB803">
        <v>3.8102390000000002</v>
      </c>
      <c r="AC803">
        <v>3.9</v>
      </c>
      <c r="AD803">
        <v>3.8</v>
      </c>
      <c r="AE803">
        <v>5.6528470000000004</v>
      </c>
      <c r="AF803">
        <v>3.1</v>
      </c>
      <c r="AG803">
        <v>6.4</v>
      </c>
      <c r="AH803">
        <v>6.6</v>
      </c>
      <c r="AI803">
        <v>4.7</v>
      </c>
      <c r="AJ803">
        <v>8.5</v>
      </c>
      <c r="AK803">
        <v>11.2</v>
      </c>
      <c r="AL803">
        <v>4.5999999999999996</v>
      </c>
    </row>
    <row r="804" spans="1:38" x14ac:dyDescent="0.2">
      <c r="A804" s="61">
        <v>44501</v>
      </c>
      <c r="B804">
        <v>4.6041489999999996</v>
      </c>
      <c r="C804">
        <v>5.3</v>
      </c>
      <c r="D804">
        <v>5.8</v>
      </c>
      <c r="E804">
        <v>6.1</v>
      </c>
      <c r="G804">
        <v>7.7443379999999999</v>
      </c>
      <c r="H804">
        <v>2.2000000000000002</v>
      </c>
      <c r="I804">
        <v>3.3</v>
      </c>
      <c r="J804">
        <v>4.2</v>
      </c>
      <c r="K804">
        <v>7.1</v>
      </c>
      <c r="L804">
        <v>13.4</v>
      </c>
      <c r="M804">
        <v>5.3</v>
      </c>
      <c r="N804">
        <v>6.8</v>
      </c>
      <c r="O804">
        <v>7.4</v>
      </c>
      <c r="P804">
        <v>4.5030049999999999</v>
      </c>
      <c r="Q804">
        <v>4</v>
      </c>
      <c r="R804">
        <v>12.9</v>
      </c>
      <c r="S804">
        <v>3.8</v>
      </c>
      <c r="T804">
        <v>5.2</v>
      </c>
      <c r="U804">
        <v>4.5</v>
      </c>
      <c r="V804">
        <v>4.3282540000000003</v>
      </c>
      <c r="W804">
        <v>9</v>
      </c>
      <c r="X804">
        <v>2.8</v>
      </c>
      <c r="Y804">
        <v>3.2</v>
      </c>
      <c r="Z804">
        <v>4.7</v>
      </c>
      <c r="AA804">
        <v>7.4</v>
      </c>
      <c r="AB804">
        <v>3.7396479999999999</v>
      </c>
      <c r="AC804">
        <v>3.7</v>
      </c>
      <c r="AD804">
        <v>3.8</v>
      </c>
      <c r="AE804">
        <v>5.4907630000000003</v>
      </c>
      <c r="AF804">
        <v>3</v>
      </c>
      <c r="AG804">
        <v>6.3</v>
      </c>
      <c r="AH804">
        <v>6.5</v>
      </c>
      <c r="AI804">
        <v>4.7</v>
      </c>
      <c r="AJ804">
        <v>8.3000000000000007</v>
      </c>
      <c r="AK804">
        <v>11.2</v>
      </c>
      <c r="AL804">
        <v>4.2</v>
      </c>
    </row>
    <row r="805" spans="1:38" x14ac:dyDescent="0.2">
      <c r="A805" s="61">
        <v>44531</v>
      </c>
      <c r="B805">
        <v>4.1721940000000002</v>
      </c>
      <c r="C805">
        <v>4.8</v>
      </c>
      <c r="D805">
        <v>5.6</v>
      </c>
      <c r="E805">
        <v>6</v>
      </c>
      <c r="G805">
        <v>7.6916640000000003</v>
      </c>
      <c r="H805">
        <v>2.1</v>
      </c>
      <c r="I805">
        <v>3.2</v>
      </c>
      <c r="J805">
        <v>4.5999999999999996</v>
      </c>
      <c r="K805">
        <v>7</v>
      </c>
      <c r="L805">
        <v>13.3</v>
      </c>
      <c r="M805">
        <v>5.5</v>
      </c>
      <c r="N805">
        <v>7.2</v>
      </c>
      <c r="O805">
        <v>7.4</v>
      </c>
      <c r="P805">
        <v>4.3195379999999997</v>
      </c>
      <c r="Q805">
        <v>4</v>
      </c>
      <c r="R805">
        <v>12.9</v>
      </c>
      <c r="S805">
        <v>3.7</v>
      </c>
      <c r="T805">
        <v>5.0999999999999996</v>
      </c>
      <c r="U805">
        <v>4.4000000000000004</v>
      </c>
      <c r="V805">
        <v>4.0887950000000002</v>
      </c>
      <c r="W805">
        <v>8.8000000000000007</v>
      </c>
      <c r="X805">
        <v>2.7</v>
      </c>
      <c r="Y805">
        <v>3.8</v>
      </c>
      <c r="Z805">
        <v>4.7</v>
      </c>
      <c r="AA805">
        <v>7.3</v>
      </c>
      <c r="AB805">
        <v>3.8492169999999999</v>
      </c>
      <c r="AC805">
        <v>3.8</v>
      </c>
      <c r="AD805">
        <v>3.2</v>
      </c>
      <c r="AE805">
        <v>5.3553949999999997</v>
      </c>
      <c r="AF805">
        <v>3</v>
      </c>
      <c r="AG805">
        <v>5.8</v>
      </c>
      <c r="AH805">
        <v>6.5</v>
      </c>
      <c r="AI805">
        <v>4.4000000000000004</v>
      </c>
      <c r="AJ805">
        <v>8</v>
      </c>
      <c r="AK805">
        <v>11.2</v>
      </c>
      <c r="AL805">
        <v>3.9</v>
      </c>
    </row>
    <row r="806" spans="1:38" x14ac:dyDescent="0.2">
      <c r="A806" s="61">
        <v>44562</v>
      </c>
      <c r="B806">
        <v>4.1875330000000002</v>
      </c>
      <c r="C806">
        <v>4.7</v>
      </c>
      <c r="D806">
        <v>5.4</v>
      </c>
      <c r="E806">
        <v>6.5</v>
      </c>
      <c r="G806">
        <v>7.7618780000000003</v>
      </c>
      <c r="H806">
        <v>2.2999999999999998</v>
      </c>
      <c r="I806">
        <v>3.1</v>
      </c>
      <c r="J806">
        <v>4.9000000000000004</v>
      </c>
      <c r="K806">
        <v>6.9</v>
      </c>
      <c r="L806">
        <v>13.3</v>
      </c>
      <c r="M806">
        <v>5.9</v>
      </c>
      <c r="N806">
        <v>7.1</v>
      </c>
      <c r="O806">
        <v>7.3</v>
      </c>
      <c r="P806">
        <v>4.3517679999999999</v>
      </c>
      <c r="Q806">
        <v>3.8</v>
      </c>
      <c r="R806">
        <v>13.6</v>
      </c>
      <c r="S806">
        <v>3.7</v>
      </c>
      <c r="T806">
        <v>5</v>
      </c>
      <c r="U806">
        <v>4.3</v>
      </c>
      <c r="V806">
        <v>3.8522210000000001</v>
      </c>
      <c r="W806">
        <v>8.6999999999999993</v>
      </c>
      <c r="X806">
        <v>2.8</v>
      </c>
      <c r="Y806">
        <v>3.6</v>
      </c>
      <c r="Z806">
        <v>4.5</v>
      </c>
      <c r="AA806">
        <v>7.1</v>
      </c>
      <c r="AB806">
        <v>3.5038640000000001</v>
      </c>
      <c r="AC806">
        <v>3.6</v>
      </c>
      <c r="AD806">
        <v>3.3</v>
      </c>
      <c r="AE806">
        <v>5.3334580000000003</v>
      </c>
      <c r="AF806">
        <v>2.8</v>
      </c>
      <c r="AG806">
        <v>5.8</v>
      </c>
      <c r="AH806">
        <v>6.5</v>
      </c>
      <c r="AI806">
        <v>4.0999999999999996</v>
      </c>
      <c r="AJ806">
        <v>8</v>
      </c>
      <c r="AK806">
        <v>11.2</v>
      </c>
      <c r="AL806">
        <v>4</v>
      </c>
    </row>
    <row r="807" spans="1:38" x14ac:dyDescent="0.2">
      <c r="A807" s="61">
        <v>44593</v>
      </c>
      <c r="B807">
        <v>4.0378720000000001</v>
      </c>
      <c r="C807">
        <v>4.8</v>
      </c>
      <c r="D807">
        <v>5.3</v>
      </c>
      <c r="E807">
        <v>5.5</v>
      </c>
      <c r="G807">
        <v>7.7718189999999998</v>
      </c>
      <c r="H807">
        <v>2.5</v>
      </c>
      <c r="I807">
        <v>3.1</v>
      </c>
      <c r="J807">
        <v>4.4000000000000004</v>
      </c>
      <c r="K807">
        <v>6.8</v>
      </c>
      <c r="L807">
        <v>13.3</v>
      </c>
      <c r="M807">
        <v>5.5</v>
      </c>
      <c r="N807">
        <v>6.5</v>
      </c>
      <c r="O807">
        <v>7.3</v>
      </c>
      <c r="P807">
        <v>4.2053630000000002</v>
      </c>
      <c r="Q807">
        <v>3.7</v>
      </c>
      <c r="R807">
        <v>13.1</v>
      </c>
      <c r="S807">
        <v>3.7</v>
      </c>
      <c r="T807">
        <v>4.7</v>
      </c>
      <c r="U807">
        <v>4.2</v>
      </c>
      <c r="V807">
        <v>3.8653680000000001</v>
      </c>
      <c r="W807">
        <v>8.5</v>
      </c>
      <c r="X807">
        <v>2.7</v>
      </c>
      <c r="Y807">
        <v>2.7</v>
      </c>
      <c r="Z807">
        <v>4.5</v>
      </c>
      <c r="AA807">
        <v>6.9</v>
      </c>
      <c r="AB807">
        <v>3.6918299999999999</v>
      </c>
      <c r="AC807">
        <v>3.4</v>
      </c>
      <c r="AD807">
        <v>3.5</v>
      </c>
      <c r="AE807">
        <v>5.16655</v>
      </c>
      <c r="AF807">
        <v>2.7</v>
      </c>
      <c r="AG807">
        <v>5.7</v>
      </c>
      <c r="AH807">
        <v>6.4</v>
      </c>
      <c r="AI807">
        <v>4</v>
      </c>
      <c r="AJ807">
        <v>7.4</v>
      </c>
      <c r="AK807">
        <v>10.7</v>
      </c>
      <c r="AL807">
        <v>3.8</v>
      </c>
    </row>
    <row r="808" spans="1:38" x14ac:dyDescent="0.2">
      <c r="A808" s="61">
        <v>44621</v>
      </c>
      <c r="B808">
        <v>3.948569</v>
      </c>
      <c r="C808">
        <v>4.3</v>
      </c>
      <c r="D808">
        <v>5.4</v>
      </c>
      <c r="E808">
        <v>5.3</v>
      </c>
      <c r="G808">
        <v>7.7424860000000004</v>
      </c>
      <c r="H808">
        <v>2.2999999999999998</v>
      </c>
      <c r="I808">
        <v>3</v>
      </c>
      <c r="J808">
        <v>3.9</v>
      </c>
      <c r="K808">
        <v>6.8</v>
      </c>
      <c r="L808">
        <v>13.2</v>
      </c>
      <c r="M808">
        <v>5.5</v>
      </c>
      <c r="N808">
        <v>6.5</v>
      </c>
      <c r="O808">
        <v>7.4</v>
      </c>
      <c r="P808">
        <v>4.0770790000000003</v>
      </c>
      <c r="Q808">
        <v>3.8</v>
      </c>
      <c r="R808">
        <v>12.8</v>
      </c>
      <c r="S808">
        <v>3.3</v>
      </c>
      <c r="T808">
        <v>5</v>
      </c>
      <c r="U808">
        <v>4.0999999999999996</v>
      </c>
      <c r="V808">
        <v>3.8050489999999999</v>
      </c>
      <c r="W808">
        <v>8.3000000000000007</v>
      </c>
      <c r="X808">
        <v>2.6</v>
      </c>
      <c r="Y808">
        <v>2.7</v>
      </c>
      <c r="Z808">
        <v>4.4000000000000004</v>
      </c>
      <c r="AA808">
        <v>6.7</v>
      </c>
      <c r="AB808">
        <v>3.312983</v>
      </c>
      <c r="AC808">
        <v>3.3</v>
      </c>
      <c r="AD808">
        <v>3.1</v>
      </c>
      <c r="AE808">
        <v>5.0619139999999998</v>
      </c>
      <c r="AF808">
        <v>2.7</v>
      </c>
      <c r="AG808">
        <v>5.8</v>
      </c>
      <c r="AH808">
        <v>6.3</v>
      </c>
      <c r="AI808">
        <v>4.0999999999999996</v>
      </c>
      <c r="AJ808">
        <v>7.6</v>
      </c>
      <c r="AK808">
        <v>11</v>
      </c>
      <c r="AL808">
        <v>3.6</v>
      </c>
    </row>
    <row r="809" spans="1:38" x14ac:dyDescent="0.2">
      <c r="A809" s="61">
        <v>44652</v>
      </c>
      <c r="B809">
        <v>3.86965</v>
      </c>
      <c r="C809">
        <v>4.4000000000000004</v>
      </c>
      <c r="D809">
        <v>5.6</v>
      </c>
      <c r="E809">
        <v>5.2</v>
      </c>
      <c r="G809">
        <v>7.5555099999999999</v>
      </c>
      <c r="H809">
        <v>2.5</v>
      </c>
      <c r="I809">
        <v>3</v>
      </c>
      <c r="J809">
        <v>4.0999999999999996</v>
      </c>
      <c r="K809">
        <v>6.7</v>
      </c>
      <c r="L809">
        <v>12.9</v>
      </c>
      <c r="M809">
        <v>5.5</v>
      </c>
      <c r="N809">
        <v>6.2</v>
      </c>
      <c r="O809">
        <v>7.5</v>
      </c>
      <c r="P809">
        <v>4.0617789999999996</v>
      </c>
      <c r="Q809">
        <v>3.8</v>
      </c>
      <c r="R809">
        <v>12.8</v>
      </c>
      <c r="S809">
        <v>3.3</v>
      </c>
      <c r="T809">
        <v>4.5</v>
      </c>
      <c r="U809">
        <v>4</v>
      </c>
      <c r="V809">
        <v>3.511069</v>
      </c>
      <c r="W809">
        <v>8.1999999999999993</v>
      </c>
      <c r="X809">
        <v>2.5</v>
      </c>
      <c r="Y809">
        <v>2.7</v>
      </c>
      <c r="Z809">
        <v>4.3</v>
      </c>
      <c r="AA809">
        <v>6.6</v>
      </c>
      <c r="AB809">
        <v>3.1737139999999999</v>
      </c>
      <c r="AC809">
        <v>3.2</v>
      </c>
      <c r="AD809">
        <v>2.7</v>
      </c>
      <c r="AE809">
        <v>4.9716649999999998</v>
      </c>
      <c r="AF809">
        <v>2.7</v>
      </c>
      <c r="AG809">
        <v>5.9</v>
      </c>
      <c r="AH809">
        <v>6.3</v>
      </c>
      <c r="AI809">
        <v>4.4000000000000004</v>
      </c>
      <c r="AJ809">
        <v>7.7</v>
      </c>
      <c r="AK809">
        <v>11</v>
      </c>
      <c r="AL809">
        <v>3.6</v>
      </c>
    </row>
    <row r="810" spans="1:38" x14ac:dyDescent="0.2">
      <c r="A810" s="61">
        <v>44682</v>
      </c>
      <c r="B810">
        <v>3.9025780000000001</v>
      </c>
      <c r="C810">
        <v>4.7</v>
      </c>
      <c r="D810">
        <v>5.8</v>
      </c>
      <c r="E810">
        <v>5.0999999999999996</v>
      </c>
      <c r="G810">
        <v>7.5219690000000003</v>
      </c>
      <c r="H810">
        <v>2.5</v>
      </c>
      <c r="I810">
        <v>3</v>
      </c>
      <c r="J810">
        <v>4.0999999999999996</v>
      </c>
      <c r="K810">
        <v>6.7</v>
      </c>
      <c r="L810">
        <v>12.6</v>
      </c>
      <c r="M810">
        <v>5.8</v>
      </c>
      <c r="N810">
        <v>6.1</v>
      </c>
      <c r="O810">
        <v>7.6</v>
      </c>
      <c r="P810">
        <v>4.0642430000000003</v>
      </c>
      <c r="Q810">
        <v>3.8</v>
      </c>
      <c r="R810">
        <v>12.7</v>
      </c>
      <c r="S810">
        <v>3.5</v>
      </c>
      <c r="T810">
        <v>4.2</v>
      </c>
      <c r="U810">
        <v>4</v>
      </c>
      <c r="V810">
        <v>3.7012740000000002</v>
      </c>
      <c r="W810">
        <v>8</v>
      </c>
      <c r="X810">
        <v>2.6</v>
      </c>
      <c r="Y810">
        <v>2.8</v>
      </c>
      <c r="Z810">
        <v>4.2</v>
      </c>
      <c r="AA810">
        <v>6.5</v>
      </c>
      <c r="AB810">
        <v>3.3712780000000002</v>
      </c>
      <c r="AC810">
        <v>3.3</v>
      </c>
      <c r="AD810">
        <v>3.8</v>
      </c>
      <c r="AE810">
        <v>4.9662750000000004</v>
      </c>
      <c r="AF810">
        <v>2.7</v>
      </c>
      <c r="AG810">
        <v>6</v>
      </c>
      <c r="AH810">
        <v>6.2</v>
      </c>
      <c r="AI810">
        <v>4.5</v>
      </c>
      <c r="AJ810">
        <v>7.7</v>
      </c>
      <c r="AK810">
        <v>10.7</v>
      </c>
      <c r="AL810">
        <v>3.6</v>
      </c>
    </row>
    <row r="811" spans="1:38" x14ac:dyDescent="0.2">
      <c r="A811" s="61">
        <v>44713</v>
      </c>
      <c r="B811">
        <v>3.503959</v>
      </c>
      <c r="C811">
        <v>4.2</v>
      </c>
      <c r="D811">
        <v>5.9</v>
      </c>
      <c r="E811">
        <v>4.9000000000000004</v>
      </c>
      <c r="G811">
        <v>7.5195910000000001</v>
      </c>
      <c r="H811">
        <v>2.4</v>
      </c>
      <c r="I811">
        <v>3</v>
      </c>
      <c r="J811">
        <v>4.3</v>
      </c>
      <c r="K811">
        <v>6.7</v>
      </c>
      <c r="L811">
        <v>12.5</v>
      </c>
      <c r="M811">
        <v>5.8</v>
      </c>
      <c r="N811">
        <v>6.8</v>
      </c>
      <c r="O811">
        <v>7.6</v>
      </c>
      <c r="P811">
        <v>4.0255900000000002</v>
      </c>
      <c r="Q811">
        <v>3.6</v>
      </c>
      <c r="R811">
        <v>12.4</v>
      </c>
      <c r="S811">
        <v>3.1</v>
      </c>
      <c r="T811">
        <v>4.3</v>
      </c>
      <c r="U811">
        <v>4.0999999999999996</v>
      </c>
      <c r="V811">
        <v>3.3327230000000001</v>
      </c>
      <c r="W811">
        <v>8</v>
      </c>
      <c r="X811">
        <v>2.6</v>
      </c>
      <c r="Y811">
        <v>2.9</v>
      </c>
      <c r="Z811">
        <v>4.2</v>
      </c>
      <c r="AA811">
        <v>6.4</v>
      </c>
      <c r="AB811">
        <v>3.3372449999999998</v>
      </c>
      <c r="AC811">
        <v>3.4</v>
      </c>
      <c r="AD811">
        <v>3</v>
      </c>
      <c r="AE811">
        <v>4.9407639999999997</v>
      </c>
      <c r="AF811">
        <v>2.7</v>
      </c>
      <c r="AG811">
        <v>6</v>
      </c>
      <c r="AH811">
        <v>6.1</v>
      </c>
      <c r="AI811">
        <v>4.4000000000000004</v>
      </c>
      <c r="AJ811">
        <v>7.6</v>
      </c>
      <c r="AK811">
        <v>10.4</v>
      </c>
      <c r="AL811">
        <v>3.6</v>
      </c>
    </row>
    <row r="812" spans="1:38" x14ac:dyDescent="0.2">
      <c r="A812" s="61">
        <v>44743</v>
      </c>
      <c r="B812">
        <v>3.3753350000000002</v>
      </c>
      <c r="C812">
        <v>4.5999999999999996</v>
      </c>
      <c r="D812">
        <v>5.9</v>
      </c>
      <c r="E812">
        <v>4.9000000000000004</v>
      </c>
      <c r="G812">
        <v>7.5955700000000004</v>
      </c>
      <c r="H812">
        <v>2.4</v>
      </c>
      <c r="I812">
        <v>3</v>
      </c>
      <c r="J812">
        <v>4.5999999999999996</v>
      </c>
      <c r="K812">
        <v>6.6</v>
      </c>
      <c r="L812">
        <v>12.4</v>
      </c>
      <c r="M812">
        <v>5.8</v>
      </c>
      <c r="N812">
        <v>7.2</v>
      </c>
      <c r="O812">
        <v>7.4</v>
      </c>
      <c r="P812">
        <v>3.9336470000000001</v>
      </c>
      <c r="R812">
        <v>12.3</v>
      </c>
      <c r="S812">
        <v>3.5</v>
      </c>
      <c r="T812">
        <v>4.2</v>
      </c>
      <c r="U812">
        <v>4.2</v>
      </c>
      <c r="V812">
        <v>3.412836</v>
      </c>
      <c r="W812">
        <v>7.9</v>
      </c>
      <c r="X812">
        <v>2.6</v>
      </c>
      <c r="Y812">
        <v>2.9</v>
      </c>
      <c r="Z812">
        <v>4.3</v>
      </c>
      <c r="AA812">
        <v>6.5</v>
      </c>
      <c r="AB812">
        <v>3.2695989999999999</v>
      </c>
      <c r="AC812">
        <v>3.6</v>
      </c>
      <c r="AD812">
        <v>2.8</v>
      </c>
      <c r="AE812">
        <v>4.8463459999999996</v>
      </c>
      <c r="AF812">
        <v>2.6</v>
      </c>
      <c r="AG812">
        <v>6</v>
      </c>
      <c r="AH812">
        <v>6.1</v>
      </c>
      <c r="AI812">
        <v>4.2</v>
      </c>
      <c r="AJ812">
        <v>7</v>
      </c>
      <c r="AK812">
        <v>10.1</v>
      </c>
      <c r="AL812">
        <v>3.5</v>
      </c>
    </row>
    <row r="813" spans="1:38" x14ac:dyDescent="0.2">
      <c r="A813" s="61">
        <v>44774</v>
      </c>
      <c r="B813">
        <v>3.463708</v>
      </c>
      <c r="C813">
        <v>5.2</v>
      </c>
      <c r="D813">
        <v>5.8</v>
      </c>
      <c r="E813">
        <v>5.4</v>
      </c>
      <c r="H813">
        <v>2.4</v>
      </c>
      <c r="I813">
        <v>3</v>
      </c>
      <c r="J813">
        <v>4.4000000000000004</v>
      </c>
      <c r="K813">
        <v>6.6</v>
      </c>
      <c r="L813">
        <v>12.4</v>
      </c>
      <c r="M813">
        <v>5.8</v>
      </c>
      <c r="N813">
        <v>7.3</v>
      </c>
      <c r="O813">
        <v>7.3</v>
      </c>
      <c r="P813">
        <v>4.0222150000000001</v>
      </c>
      <c r="R813">
        <v>12.2</v>
      </c>
      <c r="S813">
        <v>3.5</v>
      </c>
      <c r="T813">
        <v>4.3</v>
      </c>
      <c r="U813">
        <v>4.3</v>
      </c>
      <c r="V813">
        <v>3.4086210000000001</v>
      </c>
      <c r="W813">
        <v>7.8</v>
      </c>
      <c r="X813">
        <v>2.5</v>
      </c>
      <c r="Y813">
        <v>2.5</v>
      </c>
      <c r="Z813">
        <v>4.4000000000000004</v>
      </c>
      <c r="AA813">
        <v>6.5</v>
      </c>
      <c r="AB813">
        <v>3.2727719999999998</v>
      </c>
      <c r="AC813">
        <v>3.8</v>
      </c>
      <c r="AD813">
        <v>3.5</v>
      </c>
      <c r="AE813">
        <v>4.8934810000000004</v>
      </c>
      <c r="AF813">
        <v>2.6</v>
      </c>
      <c r="AG813">
        <v>6</v>
      </c>
      <c r="AH813">
        <v>6</v>
      </c>
      <c r="AI813">
        <v>4.0999999999999996</v>
      </c>
      <c r="AJ813">
        <v>6.9</v>
      </c>
      <c r="AL813">
        <v>3.7</v>
      </c>
    </row>
    <row r="814" spans="1:38" x14ac:dyDescent="0.2">
      <c r="A814" s="61">
        <v>44805</v>
      </c>
      <c r="E814">
        <v>5.2</v>
      </c>
      <c r="AL814">
        <v>3.5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6"/>
  <sheetViews>
    <sheetView zoomScale="120" zoomScaleNormal="120" workbookViewId="0">
      <pane ySplit="11" topLeftCell="A967" activePane="bottomLeft" state="frozen"/>
      <selection activeCell="F8" sqref="F8"/>
      <selection pane="bottomLeft" activeCell="AC1041" sqref="AC1041"/>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75</v>
      </c>
      <c r="C1" s="15"/>
      <c r="D1" s="15"/>
      <c r="E1" s="15"/>
      <c r="F1" s="15"/>
    </row>
    <row r="2" spans="1:36" s="59" customFormat="1" ht="16" customHeight="1" thickBot="1" x14ac:dyDescent="0.25">
      <c r="B2" s="15"/>
      <c r="C2" s="15"/>
      <c r="D2" s="15"/>
      <c r="E2" s="15"/>
      <c r="F2" s="15"/>
    </row>
    <row r="3" spans="1:36" s="59" customFormat="1" x14ac:dyDescent="0.2">
      <c r="B3" s="15"/>
      <c r="C3" s="22" t="s">
        <v>76</v>
      </c>
      <c r="D3" s="18">
        <f>MAX(C13:C1039)</f>
        <v>4505</v>
      </c>
      <c r="E3" s="15"/>
      <c r="F3" s="16"/>
    </row>
    <row r="4" spans="1:36" s="59" customFormat="1" x14ac:dyDescent="0.2">
      <c r="A4" s="17"/>
      <c r="B4" s="15"/>
      <c r="C4" s="23" t="s">
        <v>77</v>
      </c>
      <c r="D4" s="19">
        <f>MIN(C13:C1039)</f>
        <v>-20493</v>
      </c>
      <c r="E4" s="15"/>
      <c r="F4" s="15"/>
    </row>
    <row r="5" spans="1:36" s="59" customFormat="1" x14ac:dyDescent="0.2">
      <c r="B5" s="15"/>
      <c r="C5" s="23" t="s">
        <v>78</v>
      </c>
      <c r="D5" s="20">
        <f>AVERAGE(C13:C1539)</f>
        <v>122.60458167330677</v>
      </c>
      <c r="E5" s="15"/>
      <c r="F5" s="15"/>
    </row>
    <row r="6" spans="1:36" s="59" customFormat="1" ht="16" customHeight="1" thickBot="1" x14ac:dyDescent="0.25">
      <c r="B6" s="15"/>
      <c r="C6" s="24" t="s">
        <v>79</v>
      </c>
      <c r="D6" s="21">
        <f>AVERAGE(C864:C1039)</f>
        <v>151.83006535947712</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80</v>
      </c>
      <c r="B10" s="15"/>
      <c r="C10" s="15"/>
      <c r="D10" s="15"/>
      <c r="E10" s="15"/>
      <c r="F10" s="15"/>
    </row>
    <row r="11" spans="1:36" s="48" customFormat="1" ht="32" customHeight="1" x14ac:dyDescent="0.2">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145628</v>
      </c>
      <c r="C948" s="26">
        <f t="shared" si="28"/>
        <v>213</v>
      </c>
      <c r="D948" s="26">
        <f t="shared" si="29"/>
        <v>185.66666666666666</v>
      </c>
      <c r="E948" s="58">
        <f>VLOOKUP(Table1[[#This Row],[Date]],Database!A:D,4,)</f>
        <v>4.7</v>
      </c>
      <c r="F948" s="58">
        <f>VLOOKUP(Table1[[#This Row],[Date]],Database!A:D,2,)</f>
        <v>62.8</v>
      </c>
      <c r="G948" s="55"/>
      <c r="H948" s="59">
        <v>10</v>
      </c>
    </row>
    <row r="949" spans="1:8" x14ac:dyDescent="0.2">
      <c r="A949" s="54">
        <v>42767</v>
      </c>
      <c r="B949" s="25">
        <f>VLOOKUP(Table1[[#This Row],[Date]],Database!A:D,3,)</f>
        <v>145818</v>
      </c>
      <c r="C949" s="26">
        <f t="shared" si="28"/>
        <v>190</v>
      </c>
      <c r="D949" s="26">
        <f t="shared" si="29"/>
        <v>205.66666666666666</v>
      </c>
      <c r="E949" s="58">
        <f>VLOOKUP(Table1[[#This Row],[Date]],Database!A:D,4,)</f>
        <v>4.5999999999999996</v>
      </c>
      <c r="F949" s="58">
        <f>VLOOKUP(Table1[[#This Row],[Date]],Database!A:D,2,)</f>
        <v>62.9</v>
      </c>
      <c r="G949" s="55"/>
      <c r="H949" s="59">
        <v>11</v>
      </c>
    </row>
    <row r="950" spans="1:8" x14ac:dyDescent="0.2">
      <c r="A950" s="54">
        <v>42795</v>
      </c>
      <c r="B950" s="25">
        <f>VLOOKUP(Table1[[#This Row],[Date]],Database!A:D,3,)</f>
        <v>145960</v>
      </c>
      <c r="C950" s="26">
        <f t="shared" si="28"/>
        <v>142</v>
      </c>
      <c r="D950" s="26">
        <f t="shared" si="29"/>
        <v>181.66666666666666</v>
      </c>
      <c r="E950" s="58">
        <f>VLOOKUP(Table1[[#This Row],[Date]],Database!A:D,4,)</f>
        <v>4.4000000000000004</v>
      </c>
      <c r="F950" s="58">
        <f>VLOOKUP(Table1[[#This Row],[Date]],Database!A:D,2,)</f>
        <v>62.9</v>
      </c>
      <c r="G950" s="55"/>
      <c r="H950" s="59">
        <v>12</v>
      </c>
    </row>
    <row r="951" spans="1:8" x14ac:dyDescent="0.2">
      <c r="A951" s="54">
        <v>42826</v>
      </c>
      <c r="B951" s="25">
        <f>VLOOKUP(Table1[[#This Row],[Date]],Database!A:D,3,)</f>
        <v>146165</v>
      </c>
      <c r="C951" s="26">
        <f t="shared" si="28"/>
        <v>205</v>
      </c>
      <c r="D951" s="26">
        <f t="shared" si="29"/>
        <v>179</v>
      </c>
      <c r="E951" s="58">
        <f>VLOOKUP(Table1[[#This Row],[Date]],Database!A:D,4,)</f>
        <v>4.4000000000000004</v>
      </c>
      <c r="F951" s="58">
        <f>VLOOKUP(Table1[[#This Row],[Date]],Database!A:D,2,)</f>
        <v>63</v>
      </c>
      <c r="G951" s="55"/>
      <c r="H951" s="59">
        <v>13</v>
      </c>
    </row>
    <row r="952" spans="1:8" x14ac:dyDescent="0.2">
      <c r="A952" s="54">
        <v>42856</v>
      </c>
      <c r="B952" s="25">
        <f>VLOOKUP(Table1[[#This Row],[Date]],Database!A:D,3,)</f>
        <v>146388</v>
      </c>
      <c r="C952" s="26">
        <f t="shared" si="28"/>
        <v>223</v>
      </c>
      <c r="D952" s="26">
        <f t="shared" si="29"/>
        <v>190</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146585</v>
      </c>
      <c r="C953" s="26">
        <f t="shared" si="28"/>
        <v>197</v>
      </c>
      <c r="D953" s="26">
        <f t="shared" si="29"/>
        <v>208.33333333333334</v>
      </c>
      <c r="E953" s="58">
        <f>VLOOKUP(Table1[[#This Row],[Date]],Database!A:D,4,)</f>
        <v>4.3</v>
      </c>
      <c r="F953" s="58">
        <f>VLOOKUP(Table1[[#This Row],[Date]],Database!A:D,2,)</f>
        <v>62.8</v>
      </c>
      <c r="G953" s="55"/>
      <c r="H953" s="59">
        <v>15</v>
      </c>
    </row>
    <row r="954" spans="1:8" x14ac:dyDescent="0.2">
      <c r="A954" s="54">
        <v>42917</v>
      </c>
      <c r="B954" s="25">
        <f>VLOOKUP(Table1[[#This Row],[Date]],Database!A:D,3,)</f>
        <v>146768</v>
      </c>
      <c r="C954" s="26">
        <f t="shared" si="28"/>
        <v>183</v>
      </c>
      <c r="D954" s="26">
        <f t="shared" si="29"/>
        <v>201</v>
      </c>
      <c r="E954" s="58">
        <f>VLOOKUP(Table1[[#This Row],[Date]],Database!A:D,4,)</f>
        <v>4.3</v>
      </c>
      <c r="F954" s="58">
        <f>VLOOKUP(Table1[[#This Row],[Date]],Database!A:D,2,)</f>
        <v>62.9</v>
      </c>
      <c r="G954" s="55"/>
      <c r="H954" s="59">
        <v>16</v>
      </c>
    </row>
    <row r="955" spans="1:8" x14ac:dyDescent="0.2">
      <c r="A955" s="54">
        <v>42948</v>
      </c>
      <c r="B955" s="25">
        <f>VLOOKUP(Table1[[#This Row],[Date]],Database!A:D,3,)</f>
        <v>146913</v>
      </c>
      <c r="C955" s="26">
        <f t="shared" si="28"/>
        <v>145</v>
      </c>
      <c r="D955" s="26">
        <f t="shared" si="29"/>
        <v>175</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147012</v>
      </c>
      <c r="C956" s="26">
        <f t="shared" si="28"/>
        <v>99</v>
      </c>
      <c r="D956" s="26">
        <f t="shared" si="29"/>
        <v>142.33333333333334</v>
      </c>
      <c r="E956" s="58">
        <f>VLOOKUP(Table1[[#This Row],[Date]],Database!A:D,4,)</f>
        <v>4.3</v>
      </c>
      <c r="F956" s="58">
        <f>VLOOKUP(Table1[[#This Row],[Date]],Database!A:D,2,)</f>
        <v>63.1</v>
      </c>
      <c r="G956" s="55"/>
      <c r="H956" s="59">
        <v>18</v>
      </c>
    </row>
    <row r="957" spans="1:8" x14ac:dyDescent="0.2">
      <c r="A957" s="54">
        <v>43009</v>
      </c>
      <c r="B957" s="25">
        <f>VLOOKUP(Table1[[#This Row],[Date]],Database!A:D,3,)</f>
        <v>147153</v>
      </c>
      <c r="C957" s="26">
        <f t="shared" si="28"/>
        <v>141</v>
      </c>
      <c r="D957" s="26">
        <f t="shared" si="29"/>
        <v>128.33333333333334</v>
      </c>
      <c r="E957" s="58">
        <f>VLOOKUP(Table1[[#This Row],[Date]],Database!A:D,4,)</f>
        <v>4.2</v>
      </c>
      <c r="F957" s="58">
        <f>VLOOKUP(Table1[[#This Row],[Date]],Database!A:D,2,)</f>
        <v>62.7</v>
      </c>
      <c r="G957" s="55"/>
      <c r="H957" s="59">
        <v>19</v>
      </c>
    </row>
    <row r="958" spans="1:8" x14ac:dyDescent="0.2">
      <c r="A958" s="54">
        <v>43040</v>
      </c>
      <c r="B958" s="25">
        <f>VLOOKUP(Table1[[#This Row],[Date]],Database!A:D,3,)</f>
        <v>147353</v>
      </c>
      <c r="C958" s="26">
        <f t="shared" si="28"/>
        <v>200</v>
      </c>
      <c r="D958" s="26">
        <f t="shared" si="29"/>
        <v>146.66666666666666</v>
      </c>
      <c r="E958" s="58">
        <f>VLOOKUP(Table1[[#This Row],[Date]],Database!A:D,4,)</f>
        <v>4.2</v>
      </c>
      <c r="F958" s="58">
        <f>VLOOKUP(Table1[[#This Row],[Date]],Database!A:D,2,)</f>
        <v>62.7</v>
      </c>
      <c r="G958" s="55"/>
      <c r="H958" s="59">
        <v>20</v>
      </c>
    </row>
    <row r="959" spans="1:8" x14ac:dyDescent="0.2">
      <c r="A959" s="54">
        <v>43070</v>
      </c>
      <c r="B959" s="25">
        <f>VLOOKUP(Table1[[#This Row],[Date]],Database!A:D,3,)</f>
        <v>147529</v>
      </c>
      <c r="C959" s="26">
        <f t="shared" si="28"/>
        <v>176</v>
      </c>
      <c r="D959" s="26">
        <f t="shared" si="29"/>
        <v>172.33333333333334</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147662</v>
      </c>
      <c r="C960" s="26">
        <f t="shared" si="28"/>
        <v>133</v>
      </c>
      <c r="D960" s="26">
        <f t="shared" si="29"/>
        <v>169.66666666666666</v>
      </c>
      <c r="E960" s="58">
        <f>VLOOKUP(Table1[[#This Row],[Date]],Database!A:D,4,)</f>
        <v>4</v>
      </c>
      <c r="F960" s="58">
        <f>VLOOKUP(Table1[[#This Row],[Date]],Database!A:D,2,)</f>
        <v>62.7</v>
      </c>
      <c r="G960" s="55"/>
    </row>
    <row r="961" spans="1:7" x14ac:dyDescent="0.2">
      <c r="A961" s="54">
        <v>43132</v>
      </c>
      <c r="B961" s="25">
        <f>VLOOKUP(Table1[[#This Row],[Date]],Database!A:D,3,)</f>
        <v>148064</v>
      </c>
      <c r="C961" s="26">
        <f t="shared" si="28"/>
        <v>402</v>
      </c>
      <c r="D961" s="26">
        <f t="shared" si="29"/>
        <v>237</v>
      </c>
      <c r="E961" s="58">
        <f>VLOOKUP(Table1[[#This Row],[Date]],Database!A:D,4,)</f>
        <v>4.0999999999999996</v>
      </c>
      <c r="F961" s="58">
        <f>VLOOKUP(Table1[[#This Row],[Date]],Database!A:D,2,)</f>
        <v>63</v>
      </c>
      <c r="G961" s="55"/>
    </row>
    <row r="962" spans="1:7" x14ac:dyDescent="0.2">
      <c r="A962" s="54">
        <v>43160</v>
      </c>
      <c r="B962" s="25">
        <f>VLOOKUP(Table1[[#This Row],[Date]],Database!A:D,3,)</f>
        <v>148289</v>
      </c>
      <c r="C962" s="26">
        <f t="shared" si="28"/>
        <v>225</v>
      </c>
      <c r="D962" s="26">
        <f t="shared" si="29"/>
        <v>253.33333333333334</v>
      </c>
      <c r="E962" s="58">
        <f>VLOOKUP(Table1[[#This Row],[Date]],Database!A:D,4,)</f>
        <v>4</v>
      </c>
      <c r="F962" s="58">
        <f>VLOOKUP(Table1[[#This Row],[Date]],Database!A:D,2,)</f>
        <v>62.9</v>
      </c>
      <c r="G962" s="55"/>
    </row>
    <row r="963" spans="1:7" x14ac:dyDescent="0.2">
      <c r="A963" s="54">
        <v>43191</v>
      </c>
      <c r="B963" s="25">
        <f>VLOOKUP(Table1[[#This Row],[Date]],Database!A:D,3,)</f>
        <v>148468</v>
      </c>
      <c r="C963" s="26">
        <f t="shared" si="28"/>
        <v>179</v>
      </c>
      <c r="D963" s="26">
        <f t="shared" si="29"/>
        <v>268.66666666666669</v>
      </c>
      <c r="E963" s="58">
        <f>VLOOKUP(Table1[[#This Row],[Date]],Database!A:D,4,)</f>
        <v>4</v>
      </c>
      <c r="F963" s="58">
        <f>VLOOKUP(Table1[[#This Row],[Date]],Database!A:D,2,)</f>
        <v>62.9</v>
      </c>
    </row>
    <row r="964" spans="1:7" x14ac:dyDescent="0.2">
      <c r="A964" s="54">
        <v>43221</v>
      </c>
      <c r="B964" s="25">
        <f>VLOOKUP(Table1[[#This Row],[Date]],Database!A:D,3,)</f>
        <v>148801</v>
      </c>
      <c r="C964" s="26">
        <f t="shared" si="28"/>
        <v>333</v>
      </c>
      <c r="D964" s="26">
        <f t="shared" si="29"/>
        <v>245.66666666666666</v>
      </c>
      <c r="E964" s="58">
        <f>VLOOKUP(Table1[[#This Row],[Date]],Database!A:D,4,)</f>
        <v>3.8</v>
      </c>
      <c r="F964" s="58">
        <f>VLOOKUP(Table1[[#This Row],[Date]],Database!A:D,2,)</f>
        <v>62.9</v>
      </c>
    </row>
    <row r="965" spans="1:7" x14ac:dyDescent="0.2">
      <c r="A965" s="54">
        <v>43252</v>
      </c>
      <c r="B965" s="25">
        <f>VLOOKUP(Table1[[#This Row],[Date]],Database!A:D,3,)</f>
        <v>148984</v>
      </c>
      <c r="C965" s="26">
        <f t="shared" si="28"/>
        <v>183</v>
      </c>
      <c r="D965" s="26">
        <f t="shared" si="29"/>
        <v>231.66666666666666</v>
      </c>
      <c r="E965" s="58">
        <f>VLOOKUP(Table1[[#This Row],[Date]],Database!A:D,4,)</f>
        <v>4</v>
      </c>
      <c r="F965" s="58">
        <f>VLOOKUP(Table1[[#This Row],[Date]],Database!A:D,2,)</f>
        <v>62.9</v>
      </c>
    </row>
    <row r="966" spans="1:7" x14ac:dyDescent="0.2">
      <c r="A966" s="54">
        <v>43282</v>
      </c>
      <c r="B966" s="27">
        <f>VLOOKUP(Table1[[#This Row],[Date]],Database!A:D,3,)</f>
        <v>149050</v>
      </c>
      <c r="C966" s="26">
        <f t="shared" si="28"/>
        <v>66</v>
      </c>
      <c r="D966" s="26">
        <f t="shared" si="29"/>
        <v>194</v>
      </c>
      <c r="E966" s="58">
        <f>VLOOKUP(Table1[[#This Row],[Date]],Database!A:D,4,)</f>
        <v>3.8</v>
      </c>
      <c r="F966" s="58">
        <f>VLOOKUP(Table1[[#This Row],[Date]],Database!A:D,2,)</f>
        <v>62.9</v>
      </c>
    </row>
    <row r="967" spans="1:7" x14ac:dyDescent="0.2">
      <c r="A967" s="54">
        <v>43313</v>
      </c>
      <c r="B967" s="25">
        <f>VLOOKUP(Table1[[#This Row],[Date]],Database!A:D,3,)</f>
        <v>149269</v>
      </c>
      <c r="C967" s="26">
        <f t="shared" si="28"/>
        <v>219</v>
      </c>
      <c r="D967" s="26">
        <f t="shared" si="29"/>
        <v>156</v>
      </c>
      <c r="E967" s="58">
        <f>VLOOKUP(Table1[[#This Row],[Date]],Database!A:D,4,)</f>
        <v>3.8</v>
      </c>
      <c r="F967" s="58">
        <f>VLOOKUP(Table1[[#This Row],[Date]],Database!A:D,2,)</f>
        <v>62.7</v>
      </c>
    </row>
    <row r="968" spans="1:7" x14ac:dyDescent="0.2">
      <c r="A968" s="54">
        <v>43344</v>
      </c>
      <c r="B968" s="27">
        <f>VLOOKUP(Table1[[#This Row],[Date]],Database!A:D,3,)</f>
        <v>149326</v>
      </c>
      <c r="C968" s="26">
        <f t="shared" si="28"/>
        <v>57</v>
      </c>
      <c r="D968" s="26">
        <f t="shared" si="29"/>
        <v>114</v>
      </c>
      <c r="E968" s="58">
        <f>VLOOKUP(Table1[[#This Row],[Date]],Database!A:D,4,)</f>
        <v>3.7</v>
      </c>
      <c r="F968" s="58">
        <f>VLOOKUP(Table1[[#This Row],[Date]],Database!A:D,2,)</f>
        <v>62.7</v>
      </c>
    </row>
    <row r="969" spans="1:7" x14ac:dyDescent="0.2">
      <c r="A969" s="54">
        <v>43374</v>
      </c>
      <c r="B969" s="25">
        <f>VLOOKUP(Table1[[#This Row],[Date]],Database!A:D,3,)</f>
        <v>149471</v>
      </c>
      <c r="C969" s="26">
        <f t="shared" si="28"/>
        <v>145</v>
      </c>
      <c r="D969" s="26">
        <f t="shared" si="29"/>
        <v>140.33333333333334</v>
      </c>
      <c r="E969" s="58">
        <f>VLOOKUP(Table1[[#This Row],[Date]],Database!A:D,4,)</f>
        <v>3.8</v>
      </c>
      <c r="F969" s="58">
        <f>VLOOKUP(Table1[[#This Row],[Date]],Database!A:D,2,)</f>
        <v>62.9</v>
      </c>
    </row>
    <row r="970" spans="1:7" x14ac:dyDescent="0.2">
      <c r="A970" s="54">
        <v>43405</v>
      </c>
      <c r="B970" s="27">
        <f>VLOOKUP(Table1[[#This Row],[Date]],Database!A:D,3,)</f>
        <v>149573</v>
      </c>
      <c r="C970" s="26">
        <f t="shared" si="28"/>
        <v>102</v>
      </c>
      <c r="D970" s="26">
        <f t="shared" si="29"/>
        <v>101.33333333333333</v>
      </c>
      <c r="E970" s="58">
        <f>VLOOKUP(Table1[[#This Row],[Date]],Database!A:D,4,)</f>
        <v>3.8</v>
      </c>
      <c r="F970" s="58">
        <f>VLOOKUP(Table1[[#This Row],[Date]],Database!A:D,2,)</f>
        <v>62.9</v>
      </c>
    </row>
    <row r="971" spans="1:7" x14ac:dyDescent="0.2">
      <c r="A971" s="54">
        <v>43435</v>
      </c>
      <c r="B971" s="25">
        <f>VLOOKUP(Table1[[#This Row],[Date]],Database!A:D,3,)</f>
        <v>149821</v>
      </c>
      <c r="C971" s="26">
        <f t="shared" si="28"/>
        <v>248</v>
      </c>
      <c r="D971" s="26">
        <f t="shared" si="29"/>
        <v>165</v>
      </c>
      <c r="E971" s="58">
        <f>VLOOKUP(Table1[[#This Row],[Date]],Database!A:D,4,)</f>
        <v>3.9</v>
      </c>
      <c r="F971" s="58">
        <f>VLOOKUP(Table1[[#This Row],[Date]],Database!A:D,2,)</f>
        <v>63</v>
      </c>
    </row>
    <row r="972" spans="1:7" x14ac:dyDescent="0.2">
      <c r="A972" s="54">
        <v>43466</v>
      </c>
      <c r="B972" s="27">
        <f>VLOOKUP(Table1[[#This Row],[Date]],Database!A:D,3,)</f>
        <v>150100</v>
      </c>
      <c r="C972" s="26">
        <f t="shared" si="28"/>
        <v>279</v>
      </c>
      <c r="D972" s="26">
        <f t="shared" si="29"/>
        <v>209.66666666666666</v>
      </c>
      <c r="E972" s="58">
        <f>VLOOKUP(Table1[[#This Row],[Date]],Database!A:D,4,)</f>
        <v>4</v>
      </c>
      <c r="F972" s="58">
        <f>VLOOKUP(Table1[[#This Row],[Date]],Database!A:D,2,)</f>
        <v>63.1</v>
      </c>
    </row>
    <row r="973" spans="1:7" x14ac:dyDescent="0.2">
      <c r="A973" s="54">
        <v>43497</v>
      </c>
      <c r="B973" s="25">
        <f>VLOOKUP(Table1[[#This Row],[Date]],Database!A:D,3,)</f>
        <v>150124</v>
      </c>
      <c r="C973" s="26">
        <f t="shared" ref="C973:C1016" si="30">B973-B972</f>
        <v>24</v>
      </c>
      <c r="D973" s="26">
        <f t="shared" si="29"/>
        <v>183.66666666666666</v>
      </c>
      <c r="E973" s="58">
        <f>VLOOKUP(Table1[[#This Row],[Date]],Database!A:D,4,)</f>
        <v>3.8</v>
      </c>
      <c r="F973" s="58">
        <f>VLOOKUP(Table1[[#This Row],[Date]],Database!A:D,2,)</f>
        <v>63.1</v>
      </c>
    </row>
    <row r="974" spans="1:7" x14ac:dyDescent="0.2">
      <c r="A974" s="54">
        <v>43525</v>
      </c>
      <c r="B974" s="27">
        <f>VLOOKUP(Table1[[#This Row],[Date]],Database!A:D,3,)</f>
        <v>150348</v>
      </c>
      <c r="C974" s="26">
        <f t="shared" si="30"/>
        <v>224</v>
      </c>
      <c r="D974" s="26">
        <f t="shared" si="29"/>
        <v>175.66666666666666</v>
      </c>
      <c r="E974" s="58">
        <f>VLOOKUP(Table1[[#This Row],[Date]],Database!A:D,4,)</f>
        <v>3.8</v>
      </c>
      <c r="F974" s="58">
        <f>VLOOKUP(Table1[[#This Row],[Date]],Database!A:D,2,)</f>
        <v>63.1</v>
      </c>
    </row>
    <row r="975" spans="1:7" x14ac:dyDescent="0.2">
      <c r="A975" s="54">
        <v>43556</v>
      </c>
      <c r="B975" s="25">
        <f>VLOOKUP(Table1[[#This Row],[Date]],Database!A:D,3,)</f>
        <v>150636</v>
      </c>
      <c r="C975" s="26">
        <f t="shared" si="30"/>
        <v>288</v>
      </c>
      <c r="D975" s="26">
        <f t="shared" ref="D975:D1016" si="31">AVERAGE(C973:C975)</f>
        <v>178.66666666666666</v>
      </c>
      <c r="E975" s="58">
        <f>VLOOKUP(Table1[[#This Row],[Date]],Database!A:D,4,)</f>
        <v>3.6</v>
      </c>
      <c r="F975" s="58">
        <f>VLOOKUP(Table1[[#This Row],[Date]],Database!A:D,2,)</f>
        <v>62.9</v>
      </c>
    </row>
    <row r="976" spans="1:7" x14ac:dyDescent="0.2">
      <c r="A976" s="54">
        <v>43586</v>
      </c>
      <c r="B976" s="27">
        <f>VLOOKUP(Table1[[#This Row],[Date]],Database!A:D,3,)</f>
        <v>150713</v>
      </c>
      <c r="C976" s="26">
        <f t="shared" si="30"/>
        <v>77</v>
      </c>
      <c r="D976" s="26">
        <f t="shared" si="31"/>
        <v>196.33333333333334</v>
      </c>
      <c r="E976" s="58">
        <f>VLOOKUP(Table1[[#This Row],[Date]],Database!A:D,4,)</f>
        <v>3.6</v>
      </c>
      <c r="F976" s="58">
        <f>VLOOKUP(Table1[[#This Row],[Date]],Database!A:D,2,)</f>
        <v>62.9</v>
      </c>
    </row>
    <row r="977" spans="1:6" x14ac:dyDescent="0.2">
      <c r="A977" s="54">
        <v>43617</v>
      </c>
      <c r="B977" s="25">
        <f>VLOOKUP(Table1[[#This Row],[Date]],Database!A:D,3,)</f>
        <v>150843</v>
      </c>
      <c r="C977" s="26">
        <f t="shared" si="30"/>
        <v>130</v>
      </c>
      <c r="D977" s="26">
        <f t="shared" si="31"/>
        <v>165</v>
      </c>
      <c r="E977" s="58">
        <f>VLOOKUP(Table1[[#This Row],[Date]],Database!A:D,4,)</f>
        <v>3.6</v>
      </c>
      <c r="F977" s="58">
        <f>VLOOKUP(Table1[[#This Row],[Date]],Database!A:D,2,)</f>
        <v>62.9</v>
      </c>
    </row>
    <row r="978" spans="1:6" x14ac:dyDescent="0.2">
      <c r="A978" s="54">
        <v>43647</v>
      </c>
      <c r="B978" s="27">
        <f>VLOOKUP(Table1[[#This Row],[Date]],Database!A:D,3,)</f>
        <v>150921</v>
      </c>
      <c r="C978" s="26">
        <f t="shared" si="30"/>
        <v>78</v>
      </c>
      <c r="D978" s="26">
        <f t="shared" si="31"/>
        <v>95</v>
      </c>
      <c r="E978" s="58">
        <f>VLOOKUP(Table1[[#This Row],[Date]],Database!A:D,4,)</f>
        <v>3.7</v>
      </c>
      <c r="F978" s="58">
        <f>VLOOKUP(Table1[[#This Row],[Date]],Database!A:D,2,)</f>
        <v>63.1</v>
      </c>
    </row>
    <row r="979" spans="1:6" x14ac:dyDescent="0.2">
      <c r="A979" s="54">
        <v>43678</v>
      </c>
      <c r="B979" s="25">
        <f>VLOOKUP(Table1[[#This Row],[Date]],Database!A:D,3,)</f>
        <v>151081</v>
      </c>
      <c r="C979" s="26">
        <f t="shared" si="30"/>
        <v>160</v>
      </c>
      <c r="D979" s="26">
        <f t="shared" si="31"/>
        <v>122.66666666666667</v>
      </c>
      <c r="E979" s="58">
        <f>VLOOKUP(Table1[[#This Row],[Date]],Database!A:D,4,)</f>
        <v>3.7</v>
      </c>
      <c r="F979" s="58">
        <f>VLOOKUP(Table1[[#This Row],[Date]],Database!A:D,2,)</f>
        <v>63.1</v>
      </c>
    </row>
    <row r="980" spans="1:6" x14ac:dyDescent="0.2">
      <c r="A980" s="54">
        <v>43709</v>
      </c>
      <c r="B980" s="27">
        <f>VLOOKUP(Table1[[#This Row],[Date]],Database!A:D,3,)</f>
        <v>151244</v>
      </c>
      <c r="C980" s="26">
        <f t="shared" si="30"/>
        <v>163</v>
      </c>
      <c r="D980" s="26">
        <f t="shared" si="31"/>
        <v>133.66666666666666</v>
      </c>
      <c r="E980" s="58">
        <f>VLOOKUP(Table1[[#This Row],[Date]],Database!A:D,4,)</f>
        <v>3.5</v>
      </c>
      <c r="F980" s="58">
        <f>VLOOKUP(Table1[[#This Row],[Date]],Database!A:D,2,)</f>
        <v>63.2</v>
      </c>
    </row>
    <row r="981" spans="1:6" x14ac:dyDescent="0.2">
      <c r="A981" s="54">
        <v>43739</v>
      </c>
      <c r="B981" s="25">
        <f>VLOOKUP(Table1[[#This Row],[Date]],Database!A:D,3,)</f>
        <v>151337</v>
      </c>
      <c r="C981" s="26">
        <f t="shared" si="30"/>
        <v>93</v>
      </c>
      <c r="D981" s="26">
        <f t="shared" si="31"/>
        <v>138.66666666666666</v>
      </c>
      <c r="E981" s="58">
        <f>VLOOKUP(Table1[[#This Row],[Date]],Database!A:D,4,)</f>
        <v>3.6</v>
      </c>
      <c r="F981" s="58">
        <f>VLOOKUP(Table1[[#This Row],[Date]],Database!A:D,2,)</f>
        <v>63.2</v>
      </c>
    </row>
    <row r="982" spans="1:6" x14ac:dyDescent="0.2">
      <c r="A982" s="54">
        <v>43770</v>
      </c>
      <c r="B982" s="27">
        <f>VLOOKUP(Table1[[#This Row],[Date]],Database!A:D,3,)</f>
        <v>151589</v>
      </c>
      <c r="C982" s="26">
        <f t="shared" si="30"/>
        <v>252</v>
      </c>
      <c r="D982" s="26">
        <f t="shared" si="31"/>
        <v>169.33333333333334</v>
      </c>
      <c r="E982" s="58">
        <f>VLOOKUP(Table1[[#This Row],[Date]],Database!A:D,4,)</f>
        <v>3.6</v>
      </c>
      <c r="F982" s="58">
        <f>VLOOKUP(Table1[[#This Row],[Date]],Database!A:D,2,)</f>
        <v>63.2</v>
      </c>
    </row>
    <row r="983" spans="1:6" x14ac:dyDescent="0.2">
      <c r="A983" s="54">
        <v>43800</v>
      </c>
      <c r="B983" s="25">
        <f>VLOOKUP(Table1[[#This Row],[Date]],Database!A:D,3,)</f>
        <v>151789</v>
      </c>
      <c r="C983" s="26">
        <f t="shared" si="30"/>
        <v>200</v>
      </c>
      <c r="D983" s="26">
        <f t="shared" si="31"/>
        <v>181.66666666666666</v>
      </c>
      <c r="E983" s="58">
        <f>VLOOKUP(Table1[[#This Row],[Date]],Database!A:D,4,)</f>
        <v>3.6</v>
      </c>
      <c r="F983" s="58">
        <f>VLOOKUP(Table1[[#This Row],[Date]],Database!A:D,2,)</f>
        <v>63.3</v>
      </c>
    </row>
    <row r="984" spans="1:6" x14ac:dyDescent="0.2">
      <c r="A984" s="54">
        <v>43831</v>
      </c>
      <c r="B984" s="27">
        <f>VLOOKUP(Table1[[#This Row],[Date]],Database!A:D,3,)</f>
        <v>152128</v>
      </c>
      <c r="C984" s="26">
        <f t="shared" si="30"/>
        <v>339</v>
      </c>
      <c r="D984" s="26">
        <f t="shared" si="31"/>
        <v>263.66666666666669</v>
      </c>
      <c r="E984" s="58">
        <f>VLOOKUP(Table1[[#This Row],[Date]],Database!A:D,4,)</f>
        <v>3.5</v>
      </c>
      <c r="F984" s="58">
        <f>VLOOKUP(Table1[[#This Row],[Date]],Database!A:D,2,)</f>
        <v>63.4</v>
      </c>
    </row>
    <row r="985" spans="1:6" x14ac:dyDescent="0.2">
      <c r="A985" s="54">
        <v>43862</v>
      </c>
      <c r="B985" s="25">
        <f>VLOOKUP(Table1[[#This Row],[Date]],Database!A:D,3,)</f>
        <v>152504</v>
      </c>
      <c r="C985" s="26">
        <f t="shared" si="30"/>
        <v>376</v>
      </c>
      <c r="D985" s="26">
        <f t="shared" si="31"/>
        <v>305</v>
      </c>
      <c r="E985" s="58">
        <f>VLOOKUP(Table1[[#This Row],[Date]],Database!A:D,4,)</f>
        <v>3.5</v>
      </c>
      <c r="F985" s="58">
        <f>VLOOKUP(Table1[[#This Row],[Date]],Database!A:D,2,)</f>
        <v>63.4</v>
      </c>
    </row>
    <row r="986" spans="1:6" x14ac:dyDescent="0.2">
      <c r="A986" s="54">
        <v>43891</v>
      </c>
      <c r="B986" s="27">
        <f>VLOOKUP(Table1[[#This Row],[Date]],Database!A:D,3,)</f>
        <v>151006</v>
      </c>
      <c r="C986" s="26">
        <f t="shared" si="30"/>
        <v>-1498</v>
      </c>
      <c r="D986" s="26">
        <f t="shared" si="31"/>
        <v>-261</v>
      </c>
      <c r="E986" s="58">
        <f>VLOOKUP(Table1[[#This Row],[Date]],Database!A:D,4,)</f>
        <v>4.4000000000000004</v>
      </c>
      <c r="F986" s="58">
        <f>VLOOKUP(Table1[[#This Row],[Date]],Database!A:D,2,)</f>
        <v>62.7</v>
      </c>
    </row>
    <row r="987" spans="1:6" x14ac:dyDescent="0.2">
      <c r="A987" s="54">
        <v>43922</v>
      </c>
      <c r="B987" s="25">
        <f>VLOOKUP(Table1[[#This Row],[Date]],Database!A:D,3,)</f>
        <v>130513</v>
      </c>
      <c r="C987" s="26">
        <f t="shared" si="30"/>
        <v>-20493</v>
      </c>
      <c r="D987" s="26">
        <f t="shared" si="31"/>
        <v>-7205</v>
      </c>
      <c r="E987" s="58">
        <f>VLOOKUP(Table1[[#This Row],[Date]],Database!A:D,4,)</f>
        <v>14.7</v>
      </c>
      <c r="F987" s="58">
        <f>VLOOKUP(Table1[[#This Row],[Date]],Database!A:D,2,)</f>
        <v>60.2</v>
      </c>
    </row>
    <row r="988" spans="1:6" x14ac:dyDescent="0.2">
      <c r="A988" s="54">
        <v>43952</v>
      </c>
      <c r="B988" s="27">
        <f>VLOOKUP(Table1[[#This Row],[Date]],Database!A:D,3,)</f>
        <v>133155</v>
      </c>
      <c r="C988" s="26">
        <f t="shared" si="30"/>
        <v>2642</v>
      </c>
      <c r="D988" s="26">
        <f t="shared" si="31"/>
        <v>-6449.666666666667</v>
      </c>
      <c r="E988" s="58">
        <f>VLOOKUP(Table1[[#This Row],[Date]],Database!A:D,4,)</f>
        <v>13.2</v>
      </c>
      <c r="F988" s="58">
        <f>VLOOKUP(Table1[[#This Row],[Date]],Database!A:D,2,)</f>
        <v>60.8</v>
      </c>
    </row>
    <row r="989" spans="1:6" x14ac:dyDescent="0.2">
      <c r="A989" s="54">
        <v>43983</v>
      </c>
      <c r="B989" s="25">
        <f>VLOOKUP(Table1[[#This Row],[Date]],Database!A:D,3,)</f>
        <v>137660</v>
      </c>
      <c r="C989" s="26">
        <f t="shared" si="30"/>
        <v>4505</v>
      </c>
      <c r="D989" s="26">
        <f t="shared" si="31"/>
        <v>-4448.666666666667</v>
      </c>
      <c r="E989" s="58">
        <f>VLOOKUP(Table1[[#This Row],[Date]],Database!A:D,4,)</f>
        <v>11</v>
      </c>
      <c r="F989" s="58">
        <f>VLOOKUP(Table1[[#This Row],[Date]],Database!A:D,2,)</f>
        <v>61.4</v>
      </c>
    </row>
    <row r="990" spans="1:6" x14ac:dyDescent="0.2">
      <c r="A990" s="54">
        <v>44013</v>
      </c>
      <c r="B990" s="27">
        <f>VLOOKUP(Table1[[#This Row],[Date]],Database!A:D,3,)</f>
        <v>139048</v>
      </c>
      <c r="C990" s="26">
        <f t="shared" si="30"/>
        <v>1388</v>
      </c>
      <c r="D990" s="26">
        <f t="shared" si="31"/>
        <v>2845</v>
      </c>
      <c r="E990" s="58">
        <f>VLOOKUP(Table1[[#This Row],[Date]],Database!A:D,4,)</f>
        <v>10.199999999999999</v>
      </c>
      <c r="F990" s="58">
        <f>VLOOKUP(Table1[[#This Row],[Date]],Database!A:D,2,)</f>
        <v>61.5</v>
      </c>
    </row>
    <row r="991" spans="1:6" x14ac:dyDescent="0.2">
      <c r="A991" s="54">
        <v>44044</v>
      </c>
      <c r="B991" s="25">
        <f>VLOOKUP(Table1[[#This Row],[Date]],Database!A:D,3,)</f>
        <v>140713</v>
      </c>
      <c r="C991" s="26">
        <f t="shared" si="30"/>
        <v>1665</v>
      </c>
      <c r="D991" s="26">
        <f t="shared" si="31"/>
        <v>2519.3333333333335</v>
      </c>
      <c r="E991" s="58">
        <f>VLOOKUP(Table1[[#This Row],[Date]],Database!A:D,4,)</f>
        <v>8.4</v>
      </c>
      <c r="F991" s="58">
        <f>VLOOKUP(Table1[[#This Row],[Date]],Database!A:D,2,)</f>
        <v>61.7</v>
      </c>
    </row>
    <row r="992" spans="1:6" x14ac:dyDescent="0.2">
      <c r="A992" s="54">
        <v>44075</v>
      </c>
      <c r="B992" s="27">
        <f>VLOOKUP(Table1[[#This Row],[Date]],Database!A:D,3,)</f>
        <v>141632</v>
      </c>
      <c r="C992" s="26">
        <f t="shared" si="30"/>
        <v>919</v>
      </c>
      <c r="D992" s="26">
        <f t="shared" si="31"/>
        <v>1324</v>
      </c>
      <c r="E992" s="58">
        <f>VLOOKUP(Table1[[#This Row],[Date]],Database!A:D,4,)</f>
        <v>7.9</v>
      </c>
      <c r="F992" s="58">
        <f>VLOOKUP(Table1[[#This Row],[Date]],Database!A:D,2,)</f>
        <v>61.4</v>
      </c>
    </row>
    <row r="993" spans="1:11" x14ac:dyDescent="0.2">
      <c r="A993" s="54">
        <v>44105</v>
      </c>
      <c r="B993" s="25">
        <f>VLOOKUP(Table1[[#This Row],[Date]],Database!A:D,3,)</f>
        <v>142279</v>
      </c>
      <c r="C993" s="26">
        <f t="shared" si="30"/>
        <v>647</v>
      </c>
      <c r="D993" s="26">
        <f t="shared" si="31"/>
        <v>1077</v>
      </c>
      <c r="E993" s="58">
        <f>VLOOKUP(Table1[[#This Row],[Date]],Database!A:D,4,)</f>
        <v>6.9</v>
      </c>
      <c r="F993" s="58">
        <f>VLOOKUP(Table1[[#This Row],[Date]],Database!A:D,2,)</f>
        <v>61.6</v>
      </c>
    </row>
    <row r="994" spans="1:11" x14ac:dyDescent="0.2">
      <c r="A994" s="54">
        <v>44136</v>
      </c>
      <c r="B994" s="27">
        <f>VLOOKUP(Table1[[#This Row],[Date]],Database!A:D,3,)</f>
        <v>142612</v>
      </c>
      <c r="C994" s="26">
        <f t="shared" si="30"/>
        <v>333</v>
      </c>
      <c r="D994" s="26">
        <f t="shared" si="31"/>
        <v>633</v>
      </c>
      <c r="E994" s="58">
        <f>VLOOKUP(Table1[[#This Row],[Date]],Database!A:D,4,)</f>
        <v>6.7</v>
      </c>
      <c r="F994" s="58">
        <f>VLOOKUP(Table1[[#This Row],[Date]],Database!A:D,2,)</f>
        <v>61.5</v>
      </c>
    </row>
    <row r="995" spans="1:11" x14ac:dyDescent="0.2">
      <c r="A995" s="54">
        <v>44166</v>
      </c>
      <c r="B995" s="25">
        <f>VLOOKUP(Table1[[#This Row],[Date]],Database!A:D,3,)</f>
        <v>142497</v>
      </c>
      <c r="C995" s="26">
        <f t="shared" si="30"/>
        <v>-115</v>
      </c>
      <c r="D995" s="26">
        <f t="shared" si="31"/>
        <v>288.33333333333331</v>
      </c>
      <c r="E995" s="58">
        <f>VLOOKUP(Table1[[#This Row],[Date]],Database!A:D,4,)</f>
        <v>6.7</v>
      </c>
      <c r="F995" s="58">
        <f>VLOOKUP(Table1[[#This Row],[Date]],Database!A:D,2,)</f>
        <v>61.5</v>
      </c>
    </row>
    <row r="996" spans="1:11" x14ac:dyDescent="0.2">
      <c r="A996" s="54">
        <v>44197</v>
      </c>
      <c r="B996" s="27">
        <f>VLOOKUP(Table1[[#This Row],[Date]],Database!A:D,3,)</f>
        <v>143017</v>
      </c>
      <c r="C996" s="26">
        <f t="shared" si="30"/>
        <v>520</v>
      </c>
      <c r="D996" s="26">
        <f t="shared" si="31"/>
        <v>246</v>
      </c>
      <c r="E996" s="58">
        <f>VLOOKUP(Table1[[#This Row],[Date]],Database!A:D,4,)</f>
        <v>6.4</v>
      </c>
      <c r="F996" s="58">
        <f>VLOOKUP(Table1[[#This Row],[Date]],Database!A:D,2,)</f>
        <v>61.4</v>
      </c>
    </row>
    <row r="997" spans="1:11" x14ac:dyDescent="0.2">
      <c r="A997" s="54">
        <v>44228</v>
      </c>
      <c r="B997" s="25">
        <f>VLOOKUP(Table1[[#This Row],[Date]],Database!A:D,3,)</f>
        <v>143727</v>
      </c>
      <c r="C997" s="26">
        <f t="shared" si="30"/>
        <v>710</v>
      </c>
      <c r="D997" s="26">
        <f t="shared" si="31"/>
        <v>371.66666666666669</v>
      </c>
      <c r="E997" s="58">
        <f>VLOOKUP(Table1[[#This Row],[Date]],Database!A:D,4,)</f>
        <v>6.2</v>
      </c>
      <c r="F997" s="58">
        <f>VLOOKUP(Table1[[#This Row],[Date]],Database!A:D,2,)</f>
        <v>61.5</v>
      </c>
    </row>
    <row r="998" spans="1:11" x14ac:dyDescent="0.2">
      <c r="A998" s="54">
        <v>44256</v>
      </c>
      <c r="B998" s="27">
        <f>VLOOKUP(Table1[[#This Row],[Date]],Database!A:D,3,)</f>
        <v>144431</v>
      </c>
      <c r="C998" s="26">
        <f t="shared" si="30"/>
        <v>704</v>
      </c>
      <c r="D998" s="26">
        <f t="shared" si="31"/>
        <v>644.66666666666663</v>
      </c>
      <c r="E998" s="58">
        <f>VLOOKUP(Table1[[#This Row],[Date]],Database!A:D,4,)</f>
        <v>6</v>
      </c>
      <c r="F998" s="58">
        <f>VLOOKUP(Table1[[#This Row],[Date]],Database!A:D,2,)</f>
        <v>61.5</v>
      </c>
    </row>
    <row r="999" spans="1:11" x14ac:dyDescent="0.2">
      <c r="A999" s="54">
        <v>44287</v>
      </c>
      <c r="B999" s="25">
        <f>VLOOKUP(Table1[[#This Row],[Date]],Database!A:D,3,)</f>
        <v>144694</v>
      </c>
      <c r="C999" s="26">
        <f t="shared" si="30"/>
        <v>263</v>
      </c>
      <c r="D999" s="26">
        <f t="shared" si="31"/>
        <v>559</v>
      </c>
      <c r="E999" s="58">
        <f>VLOOKUP(Table1[[#This Row],[Date]],Database!A:D,4,)</f>
        <v>6</v>
      </c>
      <c r="F999" s="58">
        <f>VLOOKUP(Table1[[#This Row],[Date]],Database!A:D,2,)</f>
        <v>61.7</v>
      </c>
    </row>
    <row r="1000" spans="1:11" x14ac:dyDescent="0.2">
      <c r="A1000" s="54">
        <v>44317</v>
      </c>
      <c r="B1000" s="27">
        <f>VLOOKUP(Table1[[#This Row],[Date]],Database!A:D,3,)</f>
        <v>145141</v>
      </c>
      <c r="C1000" s="26">
        <f t="shared" si="30"/>
        <v>447</v>
      </c>
      <c r="D1000" s="26">
        <f t="shared" si="31"/>
        <v>471.33333333333331</v>
      </c>
      <c r="E1000" s="58">
        <f>VLOOKUP(Table1[[#This Row],[Date]],Database!A:D,4,)</f>
        <v>5.8</v>
      </c>
      <c r="F1000" s="58">
        <f>VLOOKUP(Table1[[#This Row],[Date]],Database!A:D,2,)</f>
        <v>61.6</v>
      </c>
    </row>
    <row r="1001" spans="1:11" x14ac:dyDescent="0.2">
      <c r="A1001" s="54">
        <v>44348</v>
      </c>
      <c r="B1001" s="25">
        <f>VLOOKUP(Table1[[#This Row],[Date]],Database!A:D,3,)</f>
        <v>145698</v>
      </c>
      <c r="C1001" s="26">
        <f t="shared" si="30"/>
        <v>557</v>
      </c>
      <c r="D1001" s="26">
        <f t="shared" si="31"/>
        <v>422.33333333333331</v>
      </c>
      <c r="E1001" s="58">
        <f>VLOOKUP(Table1[[#This Row],[Date]],Database!A:D,4,)</f>
        <v>5.9</v>
      </c>
      <c r="F1001" s="58">
        <f>VLOOKUP(Table1[[#This Row],[Date]],Database!A:D,2,)</f>
        <v>61.6</v>
      </c>
    </row>
    <row r="1002" spans="1:11" x14ac:dyDescent="0.2">
      <c r="A1002" s="54">
        <v>44378</v>
      </c>
      <c r="B1002" s="27">
        <f>VLOOKUP(Table1[[#This Row],[Date]],Database!A:D,3,)</f>
        <v>146387</v>
      </c>
      <c r="C1002" s="26">
        <f t="shared" si="30"/>
        <v>689</v>
      </c>
      <c r="D1002" s="26">
        <f t="shared" si="31"/>
        <v>564.33333333333337</v>
      </c>
      <c r="E1002" s="58">
        <f>VLOOKUP(Table1[[#This Row],[Date]],Database!A:D,4,)</f>
        <v>5.4</v>
      </c>
      <c r="F1002" s="58">
        <f>VLOOKUP(Table1[[#This Row],[Date]],Database!A:D,2,)</f>
        <v>61.7</v>
      </c>
    </row>
    <row r="1003" spans="1:11" x14ac:dyDescent="0.2">
      <c r="A1003" s="54">
        <v>44409</v>
      </c>
      <c r="B1003" s="25">
        <f>VLOOKUP(Table1[[#This Row],[Date]],Database!A:D,3,)</f>
        <v>146904</v>
      </c>
      <c r="C1003" s="26">
        <f t="shared" si="30"/>
        <v>517</v>
      </c>
      <c r="D1003" s="26">
        <f t="shared" si="31"/>
        <v>587.66666666666663</v>
      </c>
      <c r="E1003" s="58">
        <f>VLOOKUP(Table1[[#This Row],[Date]],Database!A:D,4,)</f>
        <v>5.2</v>
      </c>
      <c r="F1003" s="58">
        <f>VLOOKUP(Table1[[#This Row],[Date]],Database!A:D,2,)</f>
        <v>61.7</v>
      </c>
      <c r="J1003" s="46"/>
      <c r="K1003" s="47"/>
    </row>
    <row r="1004" spans="1:11" x14ac:dyDescent="0.2">
      <c r="A1004" s="54">
        <v>44440</v>
      </c>
      <c r="B1004" s="25">
        <f>VLOOKUP(Table1[[#This Row],[Date]],Database!A:D,3,)</f>
        <v>147328</v>
      </c>
      <c r="C1004" s="26">
        <f t="shared" si="30"/>
        <v>424</v>
      </c>
      <c r="D1004" s="26">
        <f t="shared" si="31"/>
        <v>543.33333333333337</v>
      </c>
      <c r="E1004" s="58">
        <f>VLOOKUP(Table1[[#This Row],[Date]],Database!A:D,4,)</f>
        <v>4.7</v>
      </c>
      <c r="F1004" s="58">
        <f>VLOOKUP(Table1[[#This Row],[Date]],Database!A:D,2,)</f>
        <v>61.7</v>
      </c>
    </row>
    <row r="1005" spans="1:11" x14ac:dyDescent="0.2">
      <c r="A1005" s="54">
        <v>44470</v>
      </c>
      <c r="B1005" s="27">
        <f>VLOOKUP(Table1[[#This Row],[Date]],Database!A:D,3,)</f>
        <v>148005</v>
      </c>
      <c r="C1005" s="26">
        <f t="shared" si="30"/>
        <v>677</v>
      </c>
      <c r="D1005" s="26">
        <f t="shared" si="31"/>
        <v>539.33333333333337</v>
      </c>
      <c r="E1005" s="58">
        <f>VLOOKUP(Table1[[#This Row],[Date]],Database!A:D,4,)</f>
        <v>4.5999999999999996</v>
      </c>
      <c r="F1005" s="58">
        <f>VLOOKUP(Table1[[#This Row],[Date]],Database!A:D,2,)</f>
        <v>61.7</v>
      </c>
    </row>
    <row r="1006" spans="1:11" x14ac:dyDescent="0.2">
      <c r="A1006" s="54">
        <v>44501</v>
      </c>
      <c r="B1006" s="25">
        <f>VLOOKUP(Table1[[#This Row],[Date]],Database!A:D,3,)</f>
        <v>148652</v>
      </c>
      <c r="C1006" s="26">
        <f t="shared" si="30"/>
        <v>647</v>
      </c>
      <c r="D1006" s="26">
        <f t="shared" si="31"/>
        <v>582.66666666666663</v>
      </c>
      <c r="E1006" s="58">
        <f>VLOOKUP(Table1[[#This Row],[Date]],Database!A:D,4,)</f>
        <v>4.2</v>
      </c>
      <c r="F1006" s="58">
        <f>VLOOKUP(Table1[[#This Row],[Date]],Database!A:D,2,)</f>
        <v>61.9</v>
      </c>
    </row>
    <row r="1007" spans="1:11" x14ac:dyDescent="0.2">
      <c r="A1007" s="54">
        <v>44531</v>
      </c>
      <c r="B1007" s="27">
        <f>VLOOKUP(Table1[[#This Row],[Date]],Database!A:D,3,)</f>
        <v>149240</v>
      </c>
      <c r="C1007" s="26">
        <f t="shared" si="30"/>
        <v>588</v>
      </c>
      <c r="D1007" s="26">
        <f t="shared" si="31"/>
        <v>637.33333333333337</v>
      </c>
      <c r="E1007" s="58">
        <f>VLOOKUP(Table1[[#This Row],[Date]],Database!A:D,4,)</f>
        <v>3.9</v>
      </c>
      <c r="F1007" s="58">
        <f>VLOOKUP(Table1[[#This Row],[Date]],Database!A:D,2,)</f>
        <v>61.9</v>
      </c>
    </row>
    <row r="1008" spans="1:11" x14ac:dyDescent="0.2">
      <c r="A1008" s="54">
        <v>44562</v>
      </c>
      <c r="B1008" s="25">
        <f>VLOOKUP(Table1[[#This Row],[Date]],Database!A:D,3,)</f>
        <v>149744</v>
      </c>
      <c r="C1008" s="26">
        <f t="shared" si="30"/>
        <v>504</v>
      </c>
      <c r="D1008" s="26">
        <f t="shared" si="31"/>
        <v>579.66666666666663</v>
      </c>
      <c r="E1008" s="58">
        <f>VLOOKUP(Table1[[#This Row],[Date]],Database!A:D,4,)</f>
        <v>4</v>
      </c>
      <c r="F1008" s="58">
        <f>VLOOKUP(Table1[[#This Row],[Date]],Database!A:D,2,)</f>
        <v>62.2</v>
      </c>
    </row>
    <row r="1009" spans="1:6" x14ac:dyDescent="0.2">
      <c r="A1009" s="54">
        <v>44593</v>
      </c>
      <c r="B1009" s="27">
        <f>VLOOKUP(Table1[[#This Row],[Date]],Database!A:D,3,)</f>
        <v>150458</v>
      </c>
      <c r="C1009" s="26">
        <f t="shared" si="30"/>
        <v>714</v>
      </c>
      <c r="D1009" s="26">
        <f t="shared" si="31"/>
        <v>602</v>
      </c>
      <c r="E1009" s="58">
        <f>VLOOKUP(Table1[[#This Row],[Date]],Database!A:D,4,)</f>
        <v>3.8</v>
      </c>
      <c r="F1009" s="58">
        <f>VLOOKUP(Table1[[#This Row],[Date]],Database!A:D,2,)</f>
        <v>62.3</v>
      </c>
    </row>
    <row r="1010" spans="1:6" x14ac:dyDescent="0.2">
      <c r="A1010" s="54">
        <v>44621</v>
      </c>
      <c r="B1010" s="27">
        <f>VLOOKUP(Table1[[#This Row],[Date]],Database!A:D,3,)</f>
        <v>150856</v>
      </c>
      <c r="C1010" s="26">
        <f t="shared" si="30"/>
        <v>398</v>
      </c>
      <c r="D1010" s="26">
        <f t="shared" si="31"/>
        <v>538.66666666666663</v>
      </c>
      <c r="E1010" s="58">
        <f>VLOOKUP(Table1[[#This Row],[Date]],Database!A:D,4,)</f>
        <v>3.6</v>
      </c>
      <c r="F1010" s="58">
        <f>VLOOKUP(Table1[[#This Row],[Date]],Database!A:D,2,)</f>
        <v>62.4</v>
      </c>
    </row>
    <row r="1011" spans="1:6" x14ac:dyDescent="0.2">
      <c r="A1011" s="54">
        <v>44652</v>
      </c>
      <c r="B1011" s="27">
        <f>VLOOKUP(Table1[[#This Row],[Date]],Database!A:D,3,)</f>
        <v>151224</v>
      </c>
      <c r="C1011" s="26">
        <f t="shared" si="30"/>
        <v>368</v>
      </c>
      <c r="D1011" s="26">
        <f t="shared" si="31"/>
        <v>493.33333333333331</v>
      </c>
      <c r="E1011" s="58">
        <f>VLOOKUP(Table1[[#This Row],[Date]],Database!A:D,4,)</f>
        <v>3.6</v>
      </c>
      <c r="F1011" s="58">
        <f>VLOOKUP(Table1[[#This Row],[Date]],Database!A:D,2,)</f>
        <v>62.2</v>
      </c>
    </row>
    <row r="1012" spans="1:6" x14ac:dyDescent="0.2">
      <c r="A1012" s="54">
        <v>44682</v>
      </c>
      <c r="B1012" s="27">
        <f>VLOOKUP(Table1[[#This Row],[Date]],Database!A:D,3,)</f>
        <v>151610</v>
      </c>
      <c r="C1012" s="26">
        <f t="shared" si="30"/>
        <v>386</v>
      </c>
      <c r="D1012" s="26">
        <f t="shared" si="31"/>
        <v>384</v>
      </c>
      <c r="E1012" s="58">
        <f>VLOOKUP(Table1[[#This Row],[Date]],Database!A:D,4,)</f>
        <v>3.6</v>
      </c>
      <c r="F1012" s="58">
        <f>VLOOKUP(Table1[[#This Row],[Date]],Database!A:D,2,)</f>
        <v>62.3</v>
      </c>
    </row>
    <row r="1013" spans="1:6" x14ac:dyDescent="0.2">
      <c r="A1013" s="54">
        <v>44713</v>
      </c>
      <c r="B1013" s="25">
        <f>VLOOKUP(Table1[[#This Row],[Date]],Database!A:D,3,)</f>
        <v>151903</v>
      </c>
      <c r="C1013" s="26">
        <f t="shared" si="30"/>
        <v>293</v>
      </c>
      <c r="D1013" s="26">
        <f t="shared" si="31"/>
        <v>349</v>
      </c>
      <c r="E1013" s="58">
        <f>VLOOKUP(Table1[[#This Row],[Date]],Database!A:D,4,)</f>
        <v>3.6</v>
      </c>
      <c r="F1013" s="58">
        <f>VLOOKUP(Table1[[#This Row],[Date]],Database!A:D,2,)</f>
        <v>62.2</v>
      </c>
    </row>
    <row r="1014" spans="1:6" x14ac:dyDescent="0.2">
      <c r="A1014" s="54">
        <v>44743</v>
      </c>
      <c r="B1014" s="25">
        <f>VLOOKUP(Table1[[#This Row],[Date]],Database!A:D,3,)</f>
        <v>152440</v>
      </c>
      <c r="C1014" s="26">
        <f t="shared" si="30"/>
        <v>537</v>
      </c>
      <c r="D1014" s="26">
        <f t="shared" si="31"/>
        <v>405.33333333333331</v>
      </c>
      <c r="E1014" s="58">
        <f>VLOOKUP(Table1[[#This Row],[Date]],Database!A:D,4,)</f>
        <v>3.5</v>
      </c>
      <c r="F1014" s="58">
        <f>VLOOKUP(Table1[[#This Row],[Date]],Database!A:D,2,)</f>
        <v>62.1</v>
      </c>
    </row>
    <row r="1015" spans="1:6" x14ac:dyDescent="0.2">
      <c r="A1015" s="54">
        <v>44774</v>
      </c>
      <c r="B1015" s="25">
        <f>VLOOKUP(Table1[[#This Row],[Date]],Database!A:D,3,)</f>
        <v>152755</v>
      </c>
      <c r="C1015" s="26">
        <f t="shared" si="30"/>
        <v>315</v>
      </c>
      <c r="D1015" s="26">
        <f t="shared" si="31"/>
        <v>381.66666666666669</v>
      </c>
      <c r="E1015" s="58">
        <f>VLOOKUP(Table1[[#This Row],[Date]],Database!A:D,4,)</f>
        <v>3.7</v>
      </c>
      <c r="F1015" s="58">
        <f>VLOOKUP(Table1[[#This Row],[Date]],Database!A:D,2,)</f>
        <v>62.4</v>
      </c>
    </row>
    <row r="1016" spans="1:6" x14ac:dyDescent="0.2">
      <c r="A1016" s="54">
        <v>44805</v>
      </c>
      <c r="B1016" s="25">
        <f>VLOOKUP(Table1[[#This Row],[Date]],Database!A:D,3,)</f>
        <v>153018</v>
      </c>
      <c r="C1016" s="26">
        <f t="shared" si="30"/>
        <v>263</v>
      </c>
      <c r="D1016" s="26">
        <f t="shared" si="31"/>
        <v>371.66666666666669</v>
      </c>
      <c r="E1016" s="58">
        <f>VLOOKUP(Table1[[#This Row],[Date]],Database!A:D,4,)</f>
        <v>3.5</v>
      </c>
      <c r="F1016" s="58">
        <f>VLOOKUP(Table1[[#This Row],[Date]],Database!A:D,2,)</f>
        <v>62.3</v>
      </c>
    </row>
  </sheetData>
  <conditionalFormatting sqref="C864:C1016">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70" activePane="bottomLeft" state="frozen"/>
      <selection activeCell="L243" sqref="L243"/>
      <selection pane="bottomLeft" activeCell="Z2899" sqref="Z2899"/>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245000</v>
      </c>
      <c r="C2614" s="29">
        <f t="shared" si="80"/>
        <v>1000</v>
      </c>
      <c r="D2614" s="29">
        <f>VLOOKUP(A2614,'Database Claims'!$A:$C,2,)</f>
        <v>2080000</v>
      </c>
      <c r="E2614" s="29">
        <f t="shared" si="81"/>
        <v>52000</v>
      </c>
    </row>
    <row r="2615" spans="1:5" x14ac:dyDescent="0.2">
      <c r="A2615" s="28">
        <v>42749</v>
      </c>
      <c r="B2615" s="25">
        <f>VLOOKUP(A2615,'Database Claims'!$A:$C,3,)</f>
        <v>240000</v>
      </c>
      <c r="C2615" s="29">
        <f t="shared" si="80"/>
        <v>-5000</v>
      </c>
      <c r="D2615" s="25">
        <f>VLOOKUP(A2615,'Database Claims'!$A:$C,2,)</f>
        <v>2099000</v>
      </c>
      <c r="E2615" s="29">
        <f t="shared" si="81"/>
        <v>19000</v>
      </c>
    </row>
    <row r="2616" spans="1:5" x14ac:dyDescent="0.2">
      <c r="A2616" s="28">
        <v>42756</v>
      </c>
      <c r="B2616" s="29">
        <f>VLOOKUP(A2616,'Database Claims'!$A:$C,3,)</f>
        <v>250000</v>
      </c>
      <c r="C2616" s="29">
        <f t="shared" si="80"/>
        <v>10000</v>
      </c>
      <c r="D2616" s="29">
        <f>VLOOKUP(A2616,'Database Claims'!$A:$C,2,)</f>
        <v>2067000</v>
      </c>
      <c r="E2616" s="29">
        <f t="shared" si="81"/>
        <v>-32000</v>
      </c>
    </row>
    <row r="2617" spans="1:5" x14ac:dyDescent="0.2">
      <c r="A2617" s="28">
        <v>42763</v>
      </c>
      <c r="B2617" s="25">
        <f>VLOOKUP(A2617,'Database Claims'!$A:$C,3,)</f>
        <v>241000</v>
      </c>
      <c r="C2617" s="29">
        <f t="shared" si="80"/>
        <v>-9000</v>
      </c>
      <c r="D2617" s="25">
        <f>VLOOKUP(A2617,'Database Claims'!$A:$C,2,)</f>
        <v>2078000</v>
      </c>
      <c r="E2617" s="29">
        <f t="shared" si="81"/>
        <v>11000</v>
      </c>
    </row>
    <row r="2618" spans="1:5" x14ac:dyDescent="0.2">
      <c r="A2618" s="28">
        <v>42770</v>
      </c>
      <c r="B2618" s="29">
        <f>VLOOKUP(A2618,'Database Claims'!$A:$C,3,)</f>
        <v>230000</v>
      </c>
      <c r="C2618" s="29">
        <f t="shared" si="80"/>
        <v>-11000</v>
      </c>
      <c r="D2618" s="29">
        <f>VLOOKUP(A2618,'Database Claims'!$A:$C,2,)</f>
        <v>2064000</v>
      </c>
      <c r="E2618" s="29">
        <f t="shared" si="81"/>
        <v>-14000</v>
      </c>
    </row>
    <row r="2619" spans="1:5" x14ac:dyDescent="0.2">
      <c r="A2619" s="28">
        <v>42777</v>
      </c>
      <c r="B2619" s="25">
        <f>VLOOKUP(A2619,'Database Claims'!$A:$C,3,)</f>
        <v>233000</v>
      </c>
      <c r="C2619" s="29">
        <f t="shared" si="80"/>
        <v>3000</v>
      </c>
      <c r="D2619" s="25">
        <f>VLOOKUP(A2619,'Database Claims'!$A:$C,2,)</f>
        <v>2076000</v>
      </c>
      <c r="E2619" s="29">
        <f t="shared" si="81"/>
        <v>12000</v>
      </c>
    </row>
    <row r="2620" spans="1:5" x14ac:dyDescent="0.2">
      <c r="A2620" s="28">
        <v>42784</v>
      </c>
      <c r="B2620" s="29">
        <f>VLOOKUP(A2620,'Database Claims'!$A:$C,3,)</f>
        <v>237000</v>
      </c>
      <c r="C2620" s="29">
        <f t="shared" si="80"/>
        <v>4000</v>
      </c>
      <c r="D2620" s="29">
        <f>VLOOKUP(A2620,'Database Claims'!$A:$C,2,)</f>
        <v>2034000</v>
      </c>
      <c r="E2620" s="29">
        <f t="shared" si="81"/>
        <v>-42000</v>
      </c>
    </row>
    <row r="2621" spans="1:5" x14ac:dyDescent="0.2">
      <c r="A2621" s="28">
        <v>42791</v>
      </c>
      <c r="B2621" s="25">
        <f>VLOOKUP(A2621,'Database Claims'!$A:$C,3,)</f>
        <v>221000</v>
      </c>
      <c r="C2621" s="29">
        <f t="shared" si="80"/>
        <v>-16000</v>
      </c>
      <c r="D2621" s="25">
        <f>VLOOKUP(A2621,'Database Claims'!$A:$C,2,)</f>
        <v>2065000</v>
      </c>
      <c r="E2621" s="29">
        <f t="shared" si="81"/>
        <v>31000</v>
      </c>
    </row>
    <row r="2622" spans="1:5" x14ac:dyDescent="0.2">
      <c r="A2622" s="28">
        <v>42798</v>
      </c>
      <c r="B2622" s="29">
        <f>VLOOKUP(A2622,'Database Claims'!$A:$C,3,)</f>
        <v>236000</v>
      </c>
      <c r="C2622" s="29">
        <f t="shared" si="80"/>
        <v>15000</v>
      </c>
      <c r="D2622" s="29">
        <f>VLOOKUP(A2622,'Database Claims'!$A:$C,2,)</f>
        <v>2020000</v>
      </c>
      <c r="E2622" s="29">
        <f t="shared" si="81"/>
        <v>-45000</v>
      </c>
    </row>
    <row r="2623" spans="1:5" x14ac:dyDescent="0.2">
      <c r="A2623" s="28">
        <v>42805</v>
      </c>
      <c r="B2623" s="25">
        <f>VLOOKUP(A2623,'Database Claims'!$A:$C,3,)</f>
        <v>228000</v>
      </c>
      <c r="C2623" s="29">
        <f t="shared" si="80"/>
        <v>-8000</v>
      </c>
      <c r="D2623" s="25">
        <f>VLOOKUP(A2623,'Database Claims'!$A:$C,2,)</f>
        <v>2002000</v>
      </c>
      <c r="E2623" s="29">
        <f t="shared" si="81"/>
        <v>-18000</v>
      </c>
    </row>
    <row r="2624" spans="1:5" x14ac:dyDescent="0.2">
      <c r="A2624" s="28">
        <v>42812</v>
      </c>
      <c r="B2624" s="29">
        <f>VLOOKUP(A2624,'Database Claims'!$A:$C,3,)</f>
        <v>235000</v>
      </c>
      <c r="C2624" s="29">
        <f t="shared" si="80"/>
        <v>7000</v>
      </c>
      <c r="D2624" s="29">
        <f>VLOOKUP(A2624,'Database Claims'!$A:$C,2,)</f>
        <v>2021000</v>
      </c>
      <c r="E2624" s="29">
        <f t="shared" si="81"/>
        <v>19000</v>
      </c>
    </row>
    <row r="2625" spans="1:5" x14ac:dyDescent="0.2">
      <c r="A2625" s="28">
        <v>42819</v>
      </c>
      <c r="B2625" s="25">
        <f>VLOOKUP(A2625,'Database Claims'!$A:$C,3,)</f>
        <v>236000</v>
      </c>
      <c r="C2625" s="29">
        <f t="shared" si="80"/>
        <v>1000</v>
      </c>
      <c r="D2625" s="25">
        <f>VLOOKUP(A2625,'Database Claims'!$A:$C,2,)</f>
        <v>2027000</v>
      </c>
      <c r="E2625" s="29">
        <f t="shared" si="81"/>
        <v>6000</v>
      </c>
    </row>
    <row r="2626" spans="1:5" x14ac:dyDescent="0.2">
      <c r="A2626" s="28">
        <v>42826</v>
      </c>
      <c r="B2626" s="29">
        <f>VLOOKUP(A2626,'Database Claims'!$A:$C,3,)</f>
        <v>216000</v>
      </c>
      <c r="C2626" s="29">
        <f t="shared" si="80"/>
        <v>-20000</v>
      </c>
      <c r="D2626" s="29">
        <f>VLOOKUP(A2626,'Database Claims'!$A:$C,2,)</f>
        <v>1990000</v>
      </c>
      <c r="E2626" s="29">
        <f t="shared" si="81"/>
        <v>-37000</v>
      </c>
    </row>
    <row r="2627" spans="1:5" x14ac:dyDescent="0.2">
      <c r="A2627" s="28">
        <v>42833</v>
      </c>
      <c r="B2627" s="25">
        <f>VLOOKUP(A2627,'Database Claims'!$A:$C,3,)</f>
        <v>222000</v>
      </c>
      <c r="C2627" s="29">
        <f t="shared" si="80"/>
        <v>6000</v>
      </c>
      <c r="D2627" s="25">
        <f>VLOOKUP(A2627,'Database Claims'!$A:$C,2,)</f>
        <v>1968000</v>
      </c>
      <c r="E2627" s="29">
        <f t="shared" si="81"/>
        <v>-22000</v>
      </c>
    </row>
    <row r="2628" spans="1:5" x14ac:dyDescent="0.2">
      <c r="A2628" s="28">
        <v>42840</v>
      </c>
      <c r="B2628" s="29">
        <f>VLOOKUP(A2628,'Database Claims'!$A:$C,3,)</f>
        <v>231000</v>
      </c>
      <c r="C2628" s="29">
        <f t="shared" si="80"/>
        <v>9000</v>
      </c>
      <c r="D2628" s="29">
        <f>VLOOKUP(A2628,'Database Claims'!$A:$C,2,)</f>
        <v>1961000</v>
      </c>
      <c r="E2628" s="29">
        <f t="shared" si="81"/>
        <v>-7000</v>
      </c>
    </row>
    <row r="2629" spans="1:5" x14ac:dyDescent="0.2">
      <c r="A2629" s="28">
        <v>42847</v>
      </c>
      <c r="B2629" s="25">
        <f>VLOOKUP(A2629,'Database Claims'!$A:$C,3,)</f>
        <v>238000</v>
      </c>
      <c r="C2629" s="29">
        <f t="shared" si="80"/>
        <v>7000</v>
      </c>
      <c r="D2629" s="25">
        <f>VLOOKUP(A2629,'Database Claims'!$A:$C,2,)</f>
        <v>1962000</v>
      </c>
      <c r="E2629" s="29">
        <f t="shared" si="81"/>
        <v>1000</v>
      </c>
    </row>
    <row r="2630" spans="1:5" x14ac:dyDescent="0.2">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2">
      <c r="A2631" s="28">
        <v>42861</v>
      </c>
      <c r="B2631" s="25">
        <f>VLOOKUP(A2631,'Database Claims'!$A:$C,3,)</f>
        <v>233000</v>
      </c>
      <c r="C2631" s="29">
        <f t="shared" si="82"/>
        <v>1000</v>
      </c>
      <c r="D2631" s="25">
        <f>VLOOKUP(A2631,'Database Claims'!$A:$C,2,)</f>
        <v>1892000</v>
      </c>
      <c r="E2631" s="29">
        <f t="shared" si="83"/>
        <v>-4000</v>
      </c>
    </row>
    <row r="2632" spans="1:5" x14ac:dyDescent="0.2">
      <c r="A2632" s="28">
        <v>42868</v>
      </c>
      <c r="B2632" s="29">
        <f>VLOOKUP(A2632,'Database Claims'!$A:$C,3,)</f>
        <v>234000</v>
      </c>
      <c r="C2632" s="29">
        <f t="shared" si="82"/>
        <v>1000</v>
      </c>
      <c r="D2632" s="29">
        <f>VLOOKUP(A2632,'Database Claims'!$A:$C,2,)</f>
        <v>1902000</v>
      </c>
      <c r="E2632" s="29">
        <f t="shared" si="83"/>
        <v>10000</v>
      </c>
    </row>
    <row r="2633" spans="1:5" x14ac:dyDescent="0.2">
      <c r="A2633" s="28">
        <v>42875</v>
      </c>
      <c r="B2633" s="25">
        <f>VLOOKUP(A2633,'Database Claims'!$A:$C,3,)</f>
        <v>236000</v>
      </c>
      <c r="C2633" s="29">
        <f t="shared" si="82"/>
        <v>2000</v>
      </c>
      <c r="D2633" s="25">
        <f>VLOOKUP(A2633,'Database Claims'!$A:$C,2,)</f>
        <v>1900000</v>
      </c>
      <c r="E2633" s="29">
        <f t="shared" si="83"/>
        <v>-2000</v>
      </c>
    </row>
    <row r="2634" spans="1:5" x14ac:dyDescent="0.2">
      <c r="A2634" s="28">
        <v>42882</v>
      </c>
      <c r="B2634" s="29">
        <f>VLOOKUP(A2634,'Database Claims'!$A:$C,3,)</f>
        <v>253000</v>
      </c>
      <c r="C2634" s="29">
        <f t="shared" si="82"/>
        <v>17000</v>
      </c>
      <c r="D2634" s="29">
        <f>VLOOKUP(A2634,'Database Claims'!$A:$C,2,)</f>
        <v>1891000</v>
      </c>
      <c r="E2634" s="29">
        <f t="shared" si="83"/>
        <v>-9000</v>
      </c>
    </row>
    <row r="2635" spans="1:5" x14ac:dyDescent="0.2">
      <c r="A2635" s="28">
        <v>42889</v>
      </c>
      <c r="B2635" s="25">
        <f>VLOOKUP(A2635,'Database Claims'!$A:$C,3,)</f>
        <v>251000</v>
      </c>
      <c r="C2635" s="29">
        <f t="shared" si="82"/>
        <v>-2000</v>
      </c>
      <c r="D2635" s="25">
        <f>VLOOKUP(A2635,'Database Claims'!$A:$C,2,)</f>
        <v>1909000</v>
      </c>
      <c r="E2635" s="29">
        <f t="shared" si="83"/>
        <v>18000</v>
      </c>
    </row>
    <row r="2636" spans="1:5" x14ac:dyDescent="0.2">
      <c r="A2636" s="28">
        <v>42896</v>
      </c>
      <c r="B2636" s="29">
        <f>VLOOKUP(A2636,'Database Claims'!$A:$C,3,)</f>
        <v>245000</v>
      </c>
      <c r="C2636" s="29">
        <f t="shared" si="82"/>
        <v>-6000</v>
      </c>
      <c r="D2636" s="29">
        <f>VLOOKUP(A2636,'Database Claims'!$A:$C,2,)</f>
        <v>1914000</v>
      </c>
      <c r="E2636" s="29">
        <f t="shared" si="83"/>
        <v>5000</v>
      </c>
    </row>
    <row r="2637" spans="1:5" x14ac:dyDescent="0.2">
      <c r="A2637" s="28">
        <v>42903</v>
      </c>
      <c r="B2637" s="25">
        <f>VLOOKUP(A2637,'Database Claims'!$A:$C,3,)</f>
        <v>249000</v>
      </c>
      <c r="C2637" s="29">
        <f t="shared" si="82"/>
        <v>4000</v>
      </c>
      <c r="D2637" s="25">
        <f>VLOOKUP(A2637,'Database Claims'!$A:$C,2,)</f>
        <v>1915000</v>
      </c>
      <c r="E2637" s="29">
        <f t="shared" si="83"/>
        <v>1000</v>
      </c>
    </row>
    <row r="2638" spans="1:5" x14ac:dyDescent="0.2">
      <c r="A2638" s="28">
        <v>42910</v>
      </c>
      <c r="B2638" s="29">
        <f>VLOOKUP(A2638,'Database Claims'!$A:$C,3,)</f>
        <v>247000</v>
      </c>
      <c r="C2638" s="29">
        <f t="shared" si="82"/>
        <v>-2000</v>
      </c>
      <c r="D2638" s="29">
        <f>VLOOKUP(A2638,'Database Claims'!$A:$C,2,)</f>
        <v>1929000</v>
      </c>
      <c r="E2638" s="29">
        <f t="shared" si="83"/>
        <v>14000</v>
      </c>
    </row>
    <row r="2639" spans="1:5" x14ac:dyDescent="0.2">
      <c r="A2639" s="28">
        <v>42917</v>
      </c>
      <c r="B2639" s="25">
        <f>VLOOKUP(A2639,'Database Claims'!$A:$C,3,)</f>
        <v>256000</v>
      </c>
      <c r="C2639" s="29">
        <f t="shared" si="82"/>
        <v>9000</v>
      </c>
      <c r="D2639" s="25">
        <f>VLOOKUP(A2639,'Database Claims'!$A:$C,2,)</f>
        <v>1911000</v>
      </c>
      <c r="E2639" s="29">
        <f t="shared" si="83"/>
        <v>-18000</v>
      </c>
    </row>
    <row r="2640" spans="1:5" x14ac:dyDescent="0.2">
      <c r="A2640" s="28">
        <v>42924</v>
      </c>
      <c r="B2640" s="29">
        <f>VLOOKUP(A2640,'Database Claims'!$A:$C,3,)</f>
        <v>259000</v>
      </c>
      <c r="C2640" s="29">
        <f t="shared" si="82"/>
        <v>3000</v>
      </c>
      <c r="D2640" s="29">
        <f>VLOOKUP(A2640,'Database Claims'!$A:$C,2,)</f>
        <v>1942000</v>
      </c>
      <c r="E2640" s="29">
        <f t="shared" si="83"/>
        <v>31000</v>
      </c>
    </row>
    <row r="2641" spans="1:5" x14ac:dyDescent="0.2">
      <c r="A2641" s="28">
        <v>42931</v>
      </c>
      <c r="B2641" s="25">
        <f>VLOOKUP(A2641,'Database Claims'!$A:$C,3,)</f>
        <v>245000</v>
      </c>
      <c r="C2641" s="29">
        <f t="shared" si="82"/>
        <v>-14000</v>
      </c>
      <c r="D2641" s="25">
        <f>VLOOKUP(A2641,'Database Claims'!$A:$C,2,)</f>
        <v>1929000</v>
      </c>
      <c r="E2641" s="29">
        <f t="shared" si="83"/>
        <v>-13000</v>
      </c>
    </row>
    <row r="2642" spans="1:5" x14ac:dyDescent="0.2">
      <c r="A2642" s="28">
        <v>42938</v>
      </c>
      <c r="B2642" s="29">
        <f>VLOOKUP(A2642,'Database Claims'!$A:$C,3,)</f>
        <v>249000</v>
      </c>
      <c r="C2642" s="29">
        <f t="shared" si="82"/>
        <v>4000</v>
      </c>
      <c r="D2642" s="29">
        <f>VLOOKUP(A2642,'Database Claims'!$A:$C,2,)</f>
        <v>1928000</v>
      </c>
      <c r="E2642" s="29">
        <f t="shared" si="83"/>
        <v>-1000</v>
      </c>
    </row>
    <row r="2643" spans="1:5" x14ac:dyDescent="0.2">
      <c r="A2643" s="28">
        <v>42945</v>
      </c>
      <c r="B2643" s="25">
        <f>VLOOKUP(A2643,'Database Claims'!$A:$C,3,)</f>
        <v>245000</v>
      </c>
      <c r="C2643" s="29">
        <f t="shared" si="82"/>
        <v>-4000</v>
      </c>
      <c r="D2643" s="25">
        <f>VLOOKUP(A2643,'Database Claims'!$A:$C,2,)</f>
        <v>1926000</v>
      </c>
      <c r="E2643" s="29">
        <f t="shared" si="83"/>
        <v>-2000</v>
      </c>
    </row>
    <row r="2644" spans="1:5" x14ac:dyDescent="0.2">
      <c r="A2644" s="28">
        <v>42952</v>
      </c>
      <c r="B2644" s="29">
        <f>VLOOKUP(A2644,'Database Claims'!$A:$C,3,)</f>
        <v>254000</v>
      </c>
      <c r="C2644" s="29">
        <f t="shared" si="82"/>
        <v>9000</v>
      </c>
      <c r="D2644" s="29">
        <f>VLOOKUP(A2644,'Database Claims'!$A:$C,2,)</f>
        <v>1928000</v>
      </c>
      <c r="E2644" s="29">
        <f t="shared" si="83"/>
        <v>2000</v>
      </c>
    </row>
    <row r="2645" spans="1:5" x14ac:dyDescent="0.2">
      <c r="A2645" s="28">
        <v>42959</v>
      </c>
      <c r="B2645" s="25">
        <f>VLOOKUP(A2645,'Database Claims'!$A:$C,3,)</f>
        <v>245000</v>
      </c>
      <c r="C2645" s="29">
        <f t="shared" si="82"/>
        <v>-9000</v>
      </c>
      <c r="D2645" s="25">
        <f>VLOOKUP(A2645,'Database Claims'!$A:$C,2,)</f>
        <v>1926000</v>
      </c>
      <c r="E2645" s="29">
        <f t="shared" si="83"/>
        <v>-2000</v>
      </c>
    </row>
    <row r="2646" spans="1:5" x14ac:dyDescent="0.2">
      <c r="A2646" s="28">
        <v>42966</v>
      </c>
      <c r="B2646" s="29">
        <f>VLOOKUP(A2646,'Database Claims'!$A:$C,3,)</f>
        <v>245000</v>
      </c>
      <c r="C2646" s="29">
        <f t="shared" si="82"/>
        <v>0</v>
      </c>
      <c r="D2646" s="29">
        <f>VLOOKUP(A2646,'Database Claims'!$A:$C,2,)</f>
        <v>1928000</v>
      </c>
      <c r="E2646" s="29">
        <f t="shared" si="83"/>
        <v>2000</v>
      </c>
    </row>
    <row r="2647" spans="1:5" x14ac:dyDescent="0.2">
      <c r="A2647" s="28">
        <v>42973</v>
      </c>
      <c r="B2647" s="25">
        <f>VLOOKUP(A2647,'Database Claims'!$A:$C,3,)</f>
        <v>247000</v>
      </c>
      <c r="C2647" s="29">
        <f t="shared" si="82"/>
        <v>2000</v>
      </c>
      <c r="D2647" s="25">
        <f>VLOOKUP(A2647,'Database Claims'!$A:$C,2,)</f>
        <v>1912000</v>
      </c>
      <c r="E2647" s="29">
        <f t="shared" si="83"/>
        <v>-16000</v>
      </c>
    </row>
    <row r="2648" spans="1:5" x14ac:dyDescent="0.2">
      <c r="A2648" s="28">
        <v>42980</v>
      </c>
      <c r="B2648" s="29">
        <f>VLOOKUP(A2648,'Database Claims'!$A:$C,3,)</f>
        <v>297000</v>
      </c>
      <c r="C2648" s="29">
        <f t="shared" si="82"/>
        <v>50000</v>
      </c>
      <c r="D2648" s="29">
        <f>VLOOKUP(A2648,'Database Claims'!$A:$C,2,)</f>
        <v>1911000</v>
      </c>
      <c r="E2648" s="29">
        <f t="shared" si="83"/>
        <v>-1000</v>
      </c>
    </row>
    <row r="2649" spans="1:5" x14ac:dyDescent="0.2">
      <c r="A2649" s="28">
        <v>42987</v>
      </c>
      <c r="B2649" s="25">
        <f>VLOOKUP(A2649,'Database Claims'!$A:$C,3,)</f>
        <v>280000</v>
      </c>
      <c r="C2649" s="29">
        <f t="shared" si="82"/>
        <v>-17000</v>
      </c>
      <c r="D2649" s="25">
        <f>VLOOKUP(A2649,'Database Claims'!$A:$C,2,)</f>
        <v>1939000</v>
      </c>
      <c r="E2649" s="29">
        <f t="shared" si="83"/>
        <v>28000</v>
      </c>
    </row>
    <row r="2650" spans="1:5" x14ac:dyDescent="0.2">
      <c r="A2650" s="28">
        <v>42994</v>
      </c>
      <c r="B2650" s="29">
        <f>VLOOKUP(A2650,'Database Claims'!$A:$C,3,)</f>
        <v>261000</v>
      </c>
      <c r="C2650" s="29">
        <f t="shared" si="82"/>
        <v>-19000</v>
      </c>
      <c r="D2650" s="29">
        <f>VLOOKUP(A2650,'Database Claims'!$A:$C,2,)</f>
        <v>1872000</v>
      </c>
      <c r="E2650" s="29">
        <f t="shared" si="83"/>
        <v>-67000</v>
      </c>
    </row>
    <row r="2651" spans="1:5" x14ac:dyDescent="0.2">
      <c r="A2651" s="28">
        <v>43001</v>
      </c>
      <c r="B2651" s="25">
        <f>VLOOKUP(A2651,'Database Claims'!$A:$C,3,)</f>
        <v>264000</v>
      </c>
      <c r="C2651" s="29">
        <f t="shared" si="82"/>
        <v>3000</v>
      </c>
      <c r="D2651" s="25">
        <f>VLOOKUP(A2651,'Database Claims'!$A:$C,2,)</f>
        <v>1871000</v>
      </c>
      <c r="E2651" s="29">
        <f t="shared" si="83"/>
        <v>-1000</v>
      </c>
    </row>
    <row r="2652" spans="1:5" x14ac:dyDescent="0.2">
      <c r="A2652" s="28">
        <v>43008</v>
      </c>
      <c r="B2652" s="29">
        <f>VLOOKUP(A2652,'Database Claims'!$A:$C,3,)</f>
        <v>260000</v>
      </c>
      <c r="C2652" s="29">
        <f t="shared" si="82"/>
        <v>-4000</v>
      </c>
      <c r="D2652" s="29">
        <f>VLOOKUP(A2652,'Database Claims'!$A:$C,2,)</f>
        <v>1871000</v>
      </c>
      <c r="E2652" s="29">
        <f t="shared" si="83"/>
        <v>0</v>
      </c>
    </row>
    <row r="2653" spans="1:5" x14ac:dyDescent="0.2">
      <c r="A2653" s="28">
        <v>43015</v>
      </c>
      <c r="B2653" s="25">
        <f>VLOOKUP(A2653,'Database Claims'!$A:$C,3,)</f>
        <v>252000</v>
      </c>
      <c r="C2653" s="29">
        <f t="shared" si="82"/>
        <v>-8000</v>
      </c>
      <c r="D2653" s="25">
        <f>VLOOKUP(A2653,'Database Claims'!$A:$C,2,)</f>
        <v>1869000</v>
      </c>
      <c r="E2653" s="29">
        <f t="shared" si="83"/>
        <v>-2000</v>
      </c>
    </row>
    <row r="2654" spans="1:5" x14ac:dyDescent="0.2">
      <c r="A2654" s="28">
        <v>43022</v>
      </c>
      <c r="B2654" s="29">
        <f>VLOOKUP(A2654,'Database Claims'!$A:$C,3,)</f>
        <v>235000</v>
      </c>
      <c r="C2654" s="29">
        <f t="shared" si="82"/>
        <v>-17000</v>
      </c>
      <c r="D2654" s="29">
        <f>VLOOKUP(A2654,'Database Claims'!$A:$C,2,)</f>
        <v>1902000</v>
      </c>
      <c r="E2654" s="29">
        <f t="shared" si="83"/>
        <v>33000</v>
      </c>
    </row>
    <row r="2655" spans="1:5" x14ac:dyDescent="0.2">
      <c r="A2655" s="28">
        <v>43029</v>
      </c>
      <c r="B2655" s="25">
        <f>VLOOKUP(A2655,'Database Claims'!$A:$C,3,)</f>
        <v>241000</v>
      </c>
      <c r="C2655" s="29">
        <f t="shared" si="82"/>
        <v>6000</v>
      </c>
      <c r="D2655" s="25">
        <f>VLOOKUP(A2655,'Database Claims'!$A:$C,2,)</f>
        <v>1913000</v>
      </c>
      <c r="E2655" s="29">
        <f t="shared" si="83"/>
        <v>11000</v>
      </c>
    </row>
    <row r="2656" spans="1:5" x14ac:dyDescent="0.2">
      <c r="A2656" s="28">
        <v>43036</v>
      </c>
      <c r="B2656" s="29">
        <f>VLOOKUP(A2656,'Database Claims'!$A:$C,3,)</f>
        <v>241000</v>
      </c>
      <c r="C2656" s="29">
        <f t="shared" si="82"/>
        <v>0</v>
      </c>
      <c r="D2656" s="29">
        <f>VLOOKUP(A2656,'Database Claims'!$A:$C,2,)</f>
        <v>1927000</v>
      </c>
      <c r="E2656" s="29">
        <f t="shared" si="83"/>
        <v>14000</v>
      </c>
    </row>
    <row r="2657" spans="1:5" x14ac:dyDescent="0.2">
      <c r="A2657" s="28">
        <v>43043</v>
      </c>
      <c r="B2657" s="25">
        <f>VLOOKUP(A2657,'Database Claims'!$A:$C,3,)</f>
        <v>248000</v>
      </c>
      <c r="C2657" s="29">
        <f t="shared" si="82"/>
        <v>7000</v>
      </c>
      <c r="D2657" s="25">
        <f>VLOOKUP(A2657,'Database Claims'!$A:$C,2,)</f>
        <v>1939000</v>
      </c>
      <c r="E2657" s="29">
        <f t="shared" si="83"/>
        <v>12000</v>
      </c>
    </row>
    <row r="2658" spans="1:5" x14ac:dyDescent="0.2">
      <c r="A2658" s="28">
        <v>43050</v>
      </c>
      <c r="B2658" s="29">
        <f>VLOOKUP(A2658,'Database Claims'!$A:$C,3,)</f>
        <v>254000</v>
      </c>
      <c r="C2658" s="29">
        <f t="shared" si="82"/>
        <v>6000</v>
      </c>
      <c r="D2658" s="29">
        <f>VLOOKUP(A2658,'Database Claims'!$A:$C,2,)</f>
        <v>1944000</v>
      </c>
      <c r="E2658" s="29">
        <f t="shared" si="83"/>
        <v>5000</v>
      </c>
    </row>
    <row r="2659" spans="1:5" x14ac:dyDescent="0.2">
      <c r="A2659" s="28">
        <v>43057</v>
      </c>
      <c r="B2659" s="25">
        <f>VLOOKUP(A2659,'Database Claims'!$A:$C,3,)</f>
        <v>246000</v>
      </c>
      <c r="C2659" s="29">
        <f t="shared" si="82"/>
        <v>-8000</v>
      </c>
      <c r="D2659" s="25">
        <f>VLOOKUP(A2659,'Database Claims'!$A:$C,2,)</f>
        <v>1974000</v>
      </c>
      <c r="E2659" s="29">
        <f t="shared" si="83"/>
        <v>30000</v>
      </c>
    </row>
    <row r="2660" spans="1:5" x14ac:dyDescent="0.2">
      <c r="A2660" s="28">
        <v>43064</v>
      </c>
      <c r="B2660" s="29">
        <f>VLOOKUP(A2660,'Database Claims'!$A:$C,3,)</f>
        <v>243000</v>
      </c>
      <c r="C2660" s="29">
        <f t="shared" si="82"/>
        <v>-3000</v>
      </c>
      <c r="D2660" s="29">
        <f>VLOOKUP(A2660,'Database Claims'!$A:$C,2,)</f>
        <v>1997000</v>
      </c>
      <c r="E2660" s="29">
        <f t="shared" si="83"/>
        <v>23000</v>
      </c>
    </row>
    <row r="2661" spans="1:5" x14ac:dyDescent="0.2">
      <c r="A2661" s="28">
        <v>43071</v>
      </c>
      <c r="B2661" s="25">
        <f>VLOOKUP(A2661,'Database Claims'!$A:$C,3,)</f>
        <v>241000</v>
      </c>
      <c r="C2661" s="29">
        <f t="shared" si="82"/>
        <v>-2000</v>
      </c>
      <c r="D2661" s="25">
        <f>VLOOKUP(A2661,'Database Claims'!$A:$C,2,)</f>
        <v>1953000</v>
      </c>
      <c r="E2661" s="29">
        <f t="shared" si="83"/>
        <v>-44000</v>
      </c>
    </row>
    <row r="2662" spans="1:5" x14ac:dyDescent="0.2">
      <c r="A2662" s="28">
        <v>43078</v>
      </c>
      <c r="B2662" s="29">
        <f>VLOOKUP(A2662,'Database Claims'!$A:$C,3,)</f>
        <v>229000</v>
      </c>
      <c r="C2662" s="29">
        <f t="shared" si="82"/>
        <v>-12000</v>
      </c>
      <c r="D2662" s="29">
        <f>VLOOKUP(A2662,'Database Claims'!$A:$C,2,)</f>
        <v>1984000</v>
      </c>
      <c r="E2662" s="29">
        <f t="shared" si="83"/>
        <v>31000</v>
      </c>
    </row>
    <row r="2663" spans="1:5" x14ac:dyDescent="0.2">
      <c r="A2663" s="28">
        <v>43085</v>
      </c>
      <c r="B2663" s="25">
        <f>VLOOKUP(A2663,'Database Claims'!$A:$C,3,)</f>
        <v>244000</v>
      </c>
      <c r="C2663" s="29">
        <f t="shared" si="82"/>
        <v>15000</v>
      </c>
      <c r="D2663" s="25">
        <f>VLOOKUP(A2663,'Database Claims'!$A:$C,2,)</f>
        <v>2006000</v>
      </c>
      <c r="E2663" s="29">
        <f t="shared" si="83"/>
        <v>22000</v>
      </c>
    </row>
    <row r="2664" spans="1:5" x14ac:dyDescent="0.2">
      <c r="A2664" s="28">
        <v>43092</v>
      </c>
      <c r="B2664" s="29">
        <f>VLOOKUP(A2664,'Database Claims'!$A:$C,3,)</f>
        <v>251000</v>
      </c>
      <c r="C2664" s="29">
        <f t="shared" si="82"/>
        <v>7000</v>
      </c>
      <c r="D2664" s="29">
        <f>VLOOKUP(A2664,'Database Claims'!$A:$C,2,)</f>
        <v>1979000</v>
      </c>
      <c r="E2664" s="29">
        <f t="shared" si="83"/>
        <v>-27000</v>
      </c>
    </row>
    <row r="2665" spans="1:5" x14ac:dyDescent="0.2">
      <c r="A2665" s="28">
        <v>43099</v>
      </c>
      <c r="B2665" s="25">
        <f>VLOOKUP(A2665,'Database Claims'!$A:$C,3,)</f>
        <v>248000</v>
      </c>
      <c r="C2665" s="29">
        <f t="shared" si="82"/>
        <v>-3000</v>
      </c>
      <c r="D2665" s="25">
        <f>VLOOKUP(A2665,'Database Claims'!$A:$C,2,)</f>
        <v>1933000</v>
      </c>
      <c r="E2665" s="29">
        <f t="shared" si="83"/>
        <v>-46000</v>
      </c>
    </row>
    <row r="2666" spans="1:5" x14ac:dyDescent="0.2">
      <c r="A2666" s="28">
        <v>43106</v>
      </c>
      <c r="B2666" s="29">
        <f>VLOOKUP(A2666,'Database Claims'!$A:$C,3,)</f>
        <v>252000</v>
      </c>
      <c r="C2666" s="29">
        <f t="shared" si="82"/>
        <v>4000</v>
      </c>
      <c r="D2666" s="29">
        <f>VLOOKUP(A2666,'Database Claims'!$A:$C,2,)</f>
        <v>1971000</v>
      </c>
      <c r="E2666" s="29">
        <f t="shared" si="83"/>
        <v>38000</v>
      </c>
    </row>
    <row r="2667" spans="1:5" x14ac:dyDescent="0.2">
      <c r="A2667" s="28">
        <v>43113</v>
      </c>
      <c r="B2667" s="25">
        <f>VLOOKUP(A2667,'Database Claims'!$A:$C,3,)</f>
        <v>224000</v>
      </c>
      <c r="C2667" s="29">
        <f t="shared" si="82"/>
        <v>-28000</v>
      </c>
      <c r="D2667" s="25">
        <f>VLOOKUP(A2667,'Database Claims'!$A:$C,2,)</f>
        <v>1957000</v>
      </c>
      <c r="E2667" s="29">
        <f t="shared" si="83"/>
        <v>-14000</v>
      </c>
    </row>
    <row r="2668" spans="1:5" x14ac:dyDescent="0.2">
      <c r="A2668" s="28">
        <v>43120</v>
      </c>
      <c r="B2668" s="29">
        <f>VLOOKUP(A2668,'Database Claims'!$A:$C,3,)</f>
        <v>227000</v>
      </c>
      <c r="C2668" s="29">
        <f t="shared" si="82"/>
        <v>3000</v>
      </c>
      <c r="D2668" s="29">
        <f>VLOOKUP(A2668,'Database Claims'!$A:$C,2,)</f>
        <v>1975000</v>
      </c>
      <c r="E2668" s="29">
        <f t="shared" si="83"/>
        <v>18000</v>
      </c>
    </row>
    <row r="2669" spans="1:5" x14ac:dyDescent="0.2">
      <c r="A2669" s="28">
        <v>43127</v>
      </c>
      <c r="B2669" s="25">
        <f>VLOOKUP(A2669,'Database Claims'!$A:$C,3,)</f>
        <v>223000</v>
      </c>
      <c r="C2669" s="29">
        <f t="shared" si="82"/>
        <v>-4000</v>
      </c>
      <c r="D2669" s="25">
        <f>VLOOKUP(A2669,'Database Claims'!$A:$C,2,)</f>
        <v>1943000</v>
      </c>
      <c r="E2669" s="29">
        <f t="shared" si="83"/>
        <v>-32000</v>
      </c>
    </row>
    <row r="2670" spans="1:5" x14ac:dyDescent="0.2">
      <c r="A2670" s="28">
        <v>43134</v>
      </c>
      <c r="B2670" s="29">
        <f>VLOOKUP(A2670,'Database Claims'!$A:$C,3,)</f>
        <v>213000</v>
      </c>
      <c r="C2670" s="29">
        <f t="shared" si="82"/>
        <v>-10000</v>
      </c>
      <c r="D2670" s="29">
        <f>VLOOKUP(A2670,'Database Claims'!$A:$C,2,)</f>
        <v>1954000</v>
      </c>
      <c r="E2670" s="29">
        <f t="shared" si="83"/>
        <v>11000</v>
      </c>
    </row>
    <row r="2671" spans="1:5" x14ac:dyDescent="0.2">
      <c r="A2671" s="28">
        <v>43141</v>
      </c>
      <c r="B2671" s="25">
        <f>VLOOKUP(A2671,'Database Claims'!$A:$C,3,)</f>
        <v>213000</v>
      </c>
      <c r="C2671" s="29">
        <f t="shared" si="82"/>
        <v>0</v>
      </c>
      <c r="D2671" s="25">
        <f>VLOOKUP(A2671,'Database Claims'!$A:$C,2,)</f>
        <v>1909000</v>
      </c>
      <c r="E2671" s="29">
        <f t="shared" si="83"/>
        <v>-45000</v>
      </c>
    </row>
    <row r="2672" spans="1:5" x14ac:dyDescent="0.2">
      <c r="A2672" s="28">
        <v>43148</v>
      </c>
      <c r="B2672" s="29">
        <f>VLOOKUP(A2672,'Database Claims'!$A:$C,3,)</f>
        <v>206000</v>
      </c>
      <c r="C2672" s="29">
        <f t="shared" si="82"/>
        <v>-7000</v>
      </c>
      <c r="D2672" s="29">
        <f>VLOOKUP(A2672,'Database Claims'!$A:$C,2,)</f>
        <v>1921000</v>
      </c>
      <c r="E2672" s="29">
        <f t="shared" si="83"/>
        <v>12000</v>
      </c>
    </row>
    <row r="2673" spans="1:5" x14ac:dyDescent="0.2">
      <c r="A2673" s="28">
        <v>43155</v>
      </c>
      <c r="B2673" s="25">
        <f>VLOOKUP(A2673,'Database Claims'!$A:$C,3,)</f>
        <v>202000</v>
      </c>
      <c r="C2673" s="29">
        <f t="shared" si="82"/>
        <v>-4000</v>
      </c>
      <c r="D2673" s="25">
        <f>VLOOKUP(A2673,'Database Claims'!$A:$C,2,)</f>
        <v>1892000</v>
      </c>
      <c r="E2673" s="29">
        <f t="shared" si="83"/>
        <v>-29000</v>
      </c>
    </row>
    <row r="2674" spans="1:5" x14ac:dyDescent="0.2">
      <c r="A2674" s="28">
        <v>43162</v>
      </c>
      <c r="B2674" s="29">
        <f>VLOOKUP(A2674,'Database Claims'!$A:$C,3,)</f>
        <v>212000</v>
      </c>
      <c r="C2674" s="29">
        <f t="shared" si="82"/>
        <v>10000</v>
      </c>
      <c r="D2674" s="29">
        <f>VLOOKUP(A2674,'Database Claims'!$A:$C,2,)</f>
        <v>1883000</v>
      </c>
      <c r="E2674" s="29">
        <f t="shared" si="83"/>
        <v>-9000</v>
      </c>
    </row>
    <row r="2675" spans="1:5" x14ac:dyDescent="0.2">
      <c r="A2675" s="28">
        <v>43169</v>
      </c>
      <c r="B2675" s="25">
        <f>VLOOKUP(A2675,'Database Claims'!$A:$C,3,)</f>
        <v>204000</v>
      </c>
      <c r="C2675" s="29">
        <f t="shared" si="82"/>
        <v>-8000</v>
      </c>
      <c r="D2675" s="25">
        <f>VLOOKUP(A2675,'Database Claims'!$A:$C,2,)</f>
        <v>1859000</v>
      </c>
      <c r="E2675" s="29">
        <f t="shared" si="83"/>
        <v>-24000</v>
      </c>
    </row>
    <row r="2676" spans="1:5" x14ac:dyDescent="0.2">
      <c r="A2676" s="28">
        <v>43176</v>
      </c>
      <c r="B2676" s="29">
        <f>VLOOKUP(A2676,'Database Claims'!$A:$C,3,)</f>
        <v>198000</v>
      </c>
      <c r="C2676" s="29">
        <f t="shared" si="82"/>
        <v>-6000</v>
      </c>
      <c r="D2676" s="29">
        <f>VLOOKUP(A2676,'Database Claims'!$A:$C,2,)</f>
        <v>1861000</v>
      </c>
      <c r="E2676" s="29">
        <f t="shared" si="83"/>
        <v>2000</v>
      </c>
    </row>
    <row r="2677" spans="1:5" x14ac:dyDescent="0.2">
      <c r="A2677" s="28">
        <v>43183</v>
      </c>
      <c r="B2677" s="25">
        <f>VLOOKUP(A2677,'Database Claims'!$A:$C,3,)</f>
        <v>197000</v>
      </c>
      <c r="C2677" s="29">
        <f t="shared" si="82"/>
        <v>-1000</v>
      </c>
      <c r="D2677" s="25">
        <f>VLOOKUP(A2677,'Database Claims'!$A:$C,2,)</f>
        <v>1828000</v>
      </c>
      <c r="E2677" s="29">
        <f t="shared" si="83"/>
        <v>-33000</v>
      </c>
    </row>
    <row r="2678" spans="1:5" x14ac:dyDescent="0.2">
      <c r="A2678" s="28">
        <v>43190</v>
      </c>
      <c r="B2678" s="29">
        <f>VLOOKUP(A2678,'Database Claims'!$A:$C,3,)</f>
        <v>205000</v>
      </c>
      <c r="C2678" s="29">
        <f t="shared" si="82"/>
        <v>8000</v>
      </c>
      <c r="D2678" s="29">
        <f>VLOOKUP(A2678,'Database Claims'!$A:$C,2,)</f>
        <v>1848000</v>
      </c>
      <c r="E2678" s="29">
        <f t="shared" si="83"/>
        <v>20000</v>
      </c>
    </row>
    <row r="2679" spans="1:5" x14ac:dyDescent="0.2">
      <c r="A2679" s="28">
        <v>43197</v>
      </c>
      <c r="B2679" s="25">
        <f>VLOOKUP(A2679,'Database Claims'!$A:$C,3,)</f>
        <v>210000</v>
      </c>
      <c r="C2679" s="29">
        <f t="shared" si="82"/>
        <v>5000</v>
      </c>
      <c r="D2679" s="25">
        <f>VLOOKUP(A2679,'Database Claims'!$A:$C,2,)</f>
        <v>1856000</v>
      </c>
      <c r="E2679" s="29">
        <f t="shared" si="83"/>
        <v>8000</v>
      </c>
    </row>
    <row r="2680" spans="1:5" x14ac:dyDescent="0.2">
      <c r="A2680" s="28">
        <v>43204</v>
      </c>
      <c r="B2680" s="29">
        <f>VLOOKUP(A2680,'Database Claims'!$A:$C,3,)</f>
        <v>218000</v>
      </c>
      <c r="C2680" s="29">
        <f t="shared" si="82"/>
        <v>8000</v>
      </c>
      <c r="D2680" s="29">
        <f>VLOOKUP(A2680,'Database Claims'!$A:$C,2,)</f>
        <v>1804000</v>
      </c>
      <c r="E2680" s="29">
        <f t="shared" si="83"/>
        <v>-52000</v>
      </c>
    </row>
    <row r="2681" spans="1:5" x14ac:dyDescent="0.2">
      <c r="A2681" s="28">
        <v>43211</v>
      </c>
      <c r="B2681" s="25">
        <f>VLOOKUP(A2681,'Database Claims'!$A:$C,3,)</f>
        <v>191000</v>
      </c>
      <c r="C2681" s="29">
        <f t="shared" si="82"/>
        <v>-27000</v>
      </c>
      <c r="D2681" s="25">
        <f>VLOOKUP(A2681,'Database Claims'!$A:$C,2,)</f>
        <v>1744000</v>
      </c>
      <c r="E2681" s="29">
        <f t="shared" si="83"/>
        <v>-60000</v>
      </c>
    </row>
    <row r="2682" spans="1:5" x14ac:dyDescent="0.2">
      <c r="A2682" s="28">
        <v>43218</v>
      </c>
      <c r="B2682" s="29">
        <f>VLOOKUP(A2682,'Database Claims'!$A:$C,3,)</f>
        <v>200000</v>
      </c>
      <c r="C2682" s="29">
        <f t="shared" si="82"/>
        <v>9000</v>
      </c>
      <c r="D2682" s="29">
        <f>VLOOKUP(A2682,'Database Claims'!$A:$C,2,)</f>
        <v>1745000</v>
      </c>
      <c r="E2682" s="29">
        <f t="shared" si="83"/>
        <v>1000</v>
      </c>
    </row>
    <row r="2683" spans="1:5" x14ac:dyDescent="0.2">
      <c r="A2683" s="28">
        <v>43225</v>
      </c>
      <c r="B2683" s="25">
        <f>VLOOKUP(A2683,'Database Claims'!$A:$C,3,)</f>
        <v>204000</v>
      </c>
      <c r="C2683" s="29">
        <f t="shared" si="82"/>
        <v>4000</v>
      </c>
      <c r="D2683" s="25">
        <f>VLOOKUP(A2683,'Database Claims'!$A:$C,2,)</f>
        <v>1683000</v>
      </c>
      <c r="E2683" s="29">
        <f t="shared" si="83"/>
        <v>-62000</v>
      </c>
    </row>
    <row r="2684" spans="1:5" x14ac:dyDescent="0.2">
      <c r="A2684" s="28">
        <v>43232</v>
      </c>
      <c r="B2684" s="29">
        <f>VLOOKUP(A2684,'Database Claims'!$A:$C,3,)</f>
        <v>220000</v>
      </c>
      <c r="C2684" s="29">
        <f t="shared" si="82"/>
        <v>16000</v>
      </c>
      <c r="D2684" s="29">
        <f>VLOOKUP(A2684,'Database Claims'!$A:$C,2,)</f>
        <v>1697000</v>
      </c>
      <c r="E2684" s="29">
        <f t="shared" si="83"/>
        <v>14000</v>
      </c>
    </row>
    <row r="2685" spans="1:5" x14ac:dyDescent="0.2">
      <c r="A2685" s="28">
        <v>43239</v>
      </c>
      <c r="B2685" s="25">
        <f>VLOOKUP(A2685,'Database Claims'!$A:$C,3,)</f>
        <v>231000</v>
      </c>
      <c r="C2685" s="29">
        <f t="shared" si="82"/>
        <v>11000</v>
      </c>
      <c r="D2685" s="25">
        <f>VLOOKUP(A2685,'Database Claims'!$A:$C,2,)</f>
        <v>1689000</v>
      </c>
      <c r="E2685" s="29">
        <f t="shared" si="83"/>
        <v>-8000</v>
      </c>
    </row>
    <row r="2686" spans="1:5" x14ac:dyDescent="0.2">
      <c r="A2686" s="28">
        <v>43246</v>
      </c>
      <c r="B2686" s="29">
        <f>VLOOKUP(A2686,'Database Claims'!$A:$C,3,)</f>
        <v>224000</v>
      </c>
      <c r="C2686" s="29">
        <f t="shared" si="82"/>
        <v>-7000</v>
      </c>
      <c r="D2686" s="29">
        <f>VLOOKUP(A2686,'Database Claims'!$A:$C,2,)</f>
        <v>1686000</v>
      </c>
      <c r="E2686" s="29">
        <f t="shared" si="83"/>
        <v>-3000</v>
      </c>
    </row>
    <row r="2687" spans="1:5" x14ac:dyDescent="0.2">
      <c r="A2687" s="28">
        <v>43253</v>
      </c>
      <c r="B2687" s="25">
        <f>VLOOKUP(A2687,'Database Claims'!$A:$C,3,)</f>
        <v>229000</v>
      </c>
      <c r="C2687" s="29">
        <f t="shared" si="82"/>
        <v>5000</v>
      </c>
      <c r="D2687" s="25">
        <f>VLOOKUP(A2687,'Database Claims'!$A:$C,2,)</f>
        <v>1659000</v>
      </c>
      <c r="E2687" s="29">
        <f t="shared" si="83"/>
        <v>-27000</v>
      </c>
    </row>
    <row r="2688" spans="1:5" x14ac:dyDescent="0.2">
      <c r="A2688" s="28">
        <v>43260</v>
      </c>
      <c r="B2688" s="29">
        <f>VLOOKUP(A2688,'Database Claims'!$A:$C,3,)</f>
        <v>230000</v>
      </c>
      <c r="C2688" s="29">
        <f t="shared" si="82"/>
        <v>1000</v>
      </c>
      <c r="D2688" s="29">
        <f>VLOOKUP(A2688,'Database Claims'!$A:$C,2,)</f>
        <v>1684000</v>
      </c>
      <c r="E2688" s="29">
        <f t="shared" si="83"/>
        <v>25000</v>
      </c>
    </row>
    <row r="2689" spans="1:5" x14ac:dyDescent="0.2">
      <c r="A2689" s="28">
        <v>43267</v>
      </c>
      <c r="B2689" s="25">
        <f>VLOOKUP(A2689,'Database Claims'!$A:$C,3,)</f>
        <v>228000</v>
      </c>
      <c r="C2689" s="29">
        <f t="shared" si="82"/>
        <v>-2000</v>
      </c>
      <c r="D2689" s="25">
        <f>VLOOKUP(A2689,'Database Claims'!$A:$C,2,)</f>
        <v>1668000</v>
      </c>
      <c r="E2689" s="29">
        <f t="shared" si="83"/>
        <v>-16000</v>
      </c>
    </row>
    <row r="2690" spans="1:5" x14ac:dyDescent="0.2">
      <c r="A2690" s="28">
        <v>43274</v>
      </c>
      <c r="B2690" s="29">
        <f>VLOOKUP(A2690,'Database Claims'!$A:$C,3,)</f>
        <v>233000</v>
      </c>
      <c r="C2690" s="29">
        <f t="shared" si="82"/>
        <v>5000</v>
      </c>
      <c r="D2690" s="29">
        <f>VLOOKUP(A2690,'Database Claims'!$A:$C,2,)</f>
        <v>1695000</v>
      </c>
      <c r="E2690" s="29">
        <f t="shared" si="83"/>
        <v>27000</v>
      </c>
    </row>
    <row r="2691" spans="1:5" x14ac:dyDescent="0.2">
      <c r="A2691" s="28">
        <v>43281</v>
      </c>
      <c r="B2691" s="25">
        <f>VLOOKUP(A2691,'Database Claims'!$A:$C,3,)</f>
        <v>241000</v>
      </c>
      <c r="C2691" s="29">
        <f t="shared" si="82"/>
        <v>8000</v>
      </c>
      <c r="D2691" s="25">
        <f>VLOOKUP(A2691,'Database Claims'!$A:$C,2,)</f>
        <v>1698000</v>
      </c>
      <c r="E2691" s="29">
        <f t="shared" si="83"/>
        <v>3000</v>
      </c>
    </row>
    <row r="2692" spans="1:5" x14ac:dyDescent="0.2">
      <c r="A2692" s="28">
        <v>43288</v>
      </c>
      <c r="B2692" s="29">
        <f>VLOOKUP(A2692,'Database Claims'!$A:$C,3,)</f>
        <v>232000</v>
      </c>
      <c r="C2692" s="29">
        <f t="shared" si="82"/>
        <v>-9000</v>
      </c>
      <c r="D2692" s="29">
        <f>VLOOKUP(A2692,'Database Claims'!$A:$C,2,)</f>
        <v>1718000</v>
      </c>
      <c r="E2692" s="29">
        <f t="shared" si="83"/>
        <v>20000</v>
      </c>
    </row>
    <row r="2693" spans="1:5" x14ac:dyDescent="0.2">
      <c r="A2693" s="28">
        <v>43295</v>
      </c>
      <c r="B2693" s="25">
        <f>VLOOKUP(A2693,'Database Claims'!$A:$C,3,)</f>
        <v>219000</v>
      </c>
      <c r="C2693" s="29">
        <f t="shared" si="82"/>
        <v>-13000</v>
      </c>
      <c r="D2693" s="25">
        <f>VLOOKUP(A2693,'Database Claims'!$A:$C,2,)</f>
        <v>1711000</v>
      </c>
      <c r="E2693" s="29">
        <f t="shared" si="83"/>
        <v>-7000</v>
      </c>
    </row>
    <row r="2694" spans="1:5" x14ac:dyDescent="0.2">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2">
      <c r="A2695" s="28">
        <v>43309</v>
      </c>
      <c r="B2695" s="25">
        <f>VLOOKUP(A2695,'Database Claims'!$A:$C,3,)</f>
        <v>222000</v>
      </c>
      <c r="C2695" s="29">
        <f t="shared" si="84"/>
        <v>-2000</v>
      </c>
      <c r="D2695" s="25">
        <f>VLOOKUP(A2695,'Database Claims'!$A:$C,2,)</f>
        <v>1728000</v>
      </c>
      <c r="E2695" s="29">
        <f t="shared" si="85"/>
        <v>48000</v>
      </c>
    </row>
    <row r="2696" spans="1:5" x14ac:dyDescent="0.2">
      <c r="A2696" s="28">
        <v>43316</v>
      </c>
      <c r="B2696" s="29">
        <f>VLOOKUP(A2696,'Database Claims'!$A:$C,3,)</f>
        <v>228000</v>
      </c>
      <c r="C2696" s="29">
        <f t="shared" si="84"/>
        <v>6000</v>
      </c>
      <c r="D2696" s="29">
        <f>VLOOKUP(A2696,'Database Claims'!$A:$C,2,)</f>
        <v>1694000</v>
      </c>
      <c r="E2696" s="29">
        <f t="shared" si="85"/>
        <v>-34000</v>
      </c>
    </row>
    <row r="2697" spans="1:5" x14ac:dyDescent="0.2">
      <c r="A2697" s="28">
        <v>43323</v>
      </c>
      <c r="B2697" s="25">
        <f>VLOOKUP(A2697,'Database Claims'!$A:$C,3,)</f>
        <v>224000</v>
      </c>
      <c r="C2697" s="29">
        <f t="shared" si="84"/>
        <v>-4000</v>
      </c>
      <c r="D2697" s="25">
        <f>VLOOKUP(A2697,'Database Claims'!$A:$C,2,)</f>
        <v>1701000</v>
      </c>
      <c r="E2697" s="29">
        <f t="shared" si="85"/>
        <v>7000</v>
      </c>
    </row>
    <row r="2698" spans="1:5" x14ac:dyDescent="0.2">
      <c r="A2698" s="28">
        <v>43330</v>
      </c>
      <c r="B2698" s="29">
        <f>VLOOKUP(A2698,'Database Claims'!$A:$C,3,)</f>
        <v>221000</v>
      </c>
      <c r="C2698" s="29">
        <f t="shared" si="84"/>
        <v>-3000</v>
      </c>
      <c r="D2698" s="29">
        <f>VLOOKUP(A2698,'Database Claims'!$A:$C,2,)</f>
        <v>1685000</v>
      </c>
      <c r="E2698" s="29">
        <f t="shared" si="85"/>
        <v>-16000</v>
      </c>
    </row>
    <row r="2699" spans="1:5" x14ac:dyDescent="0.2">
      <c r="A2699" s="28">
        <v>43337</v>
      </c>
      <c r="B2699" s="25">
        <f>VLOOKUP(A2699,'Database Claims'!$A:$C,3,)</f>
        <v>225000</v>
      </c>
      <c r="C2699" s="29">
        <f t="shared" si="84"/>
        <v>4000</v>
      </c>
      <c r="D2699" s="25">
        <f>VLOOKUP(A2699,'Database Claims'!$A:$C,2,)</f>
        <v>1677000</v>
      </c>
      <c r="E2699" s="29">
        <f t="shared" si="85"/>
        <v>-8000</v>
      </c>
    </row>
    <row r="2700" spans="1:5" x14ac:dyDescent="0.2">
      <c r="A2700" s="28">
        <v>43344</v>
      </c>
      <c r="B2700" s="29">
        <f>VLOOKUP(A2700,'Database Claims'!$A:$C,3,)</f>
        <v>211000</v>
      </c>
      <c r="C2700" s="29">
        <f t="shared" si="84"/>
        <v>-14000</v>
      </c>
      <c r="D2700" s="29">
        <f>VLOOKUP(A2700,'Database Claims'!$A:$C,2,)</f>
        <v>1659000</v>
      </c>
      <c r="E2700" s="29">
        <f t="shared" si="85"/>
        <v>-18000</v>
      </c>
    </row>
    <row r="2701" spans="1:5" x14ac:dyDescent="0.2">
      <c r="A2701" s="28">
        <v>43351</v>
      </c>
      <c r="B2701" s="25">
        <f>VLOOKUP(A2701,'Database Claims'!$A:$C,3,)</f>
        <v>217000</v>
      </c>
      <c r="C2701" s="29">
        <f t="shared" si="84"/>
        <v>6000</v>
      </c>
      <c r="D2701" s="25">
        <f>VLOOKUP(A2701,'Database Claims'!$A:$C,2,)</f>
        <v>1615000</v>
      </c>
      <c r="E2701" s="29">
        <f t="shared" si="85"/>
        <v>-44000</v>
      </c>
    </row>
    <row r="2702" spans="1:5" x14ac:dyDescent="0.2">
      <c r="A2702" s="28">
        <v>43358</v>
      </c>
      <c r="B2702" s="29">
        <f>VLOOKUP(A2702,'Database Claims'!$A:$C,3,)</f>
        <v>214000</v>
      </c>
      <c r="C2702" s="29">
        <f t="shared" si="84"/>
        <v>-3000</v>
      </c>
      <c r="D2702" s="29">
        <f>VLOOKUP(A2702,'Database Claims'!$A:$C,2,)</f>
        <v>1609000</v>
      </c>
      <c r="E2702" s="29">
        <f t="shared" si="85"/>
        <v>-6000</v>
      </c>
    </row>
    <row r="2703" spans="1:5" x14ac:dyDescent="0.2">
      <c r="A2703" s="28">
        <v>43365</v>
      </c>
      <c r="B2703" s="25">
        <f>VLOOKUP(A2703,'Database Claims'!$A:$C,3,)</f>
        <v>214000</v>
      </c>
      <c r="C2703" s="29">
        <f t="shared" si="84"/>
        <v>0</v>
      </c>
      <c r="D2703" s="25">
        <f>VLOOKUP(A2703,'Database Claims'!$A:$C,2,)</f>
        <v>1598000</v>
      </c>
      <c r="E2703" s="29">
        <f t="shared" si="85"/>
        <v>-11000</v>
      </c>
    </row>
    <row r="2704" spans="1:5" x14ac:dyDescent="0.2">
      <c r="A2704" s="28">
        <v>43372</v>
      </c>
      <c r="B2704" s="29">
        <f>VLOOKUP(A2704,'Database Claims'!$A:$C,3,)</f>
        <v>221000</v>
      </c>
      <c r="C2704" s="29">
        <f t="shared" si="84"/>
        <v>7000</v>
      </c>
      <c r="D2704" s="29">
        <f>VLOOKUP(A2704,'Database Claims'!$A:$C,2,)</f>
        <v>1602000</v>
      </c>
      <c r="E2704" s="29">
        <f t="shared" si="85"/>
        <v>4000</v>
      </c>
    </row>
    <row r="2705" spans="1:5" x14ac:dyDescent="0.2">
      <c r="A2705" s="28">
        <v>43379</v>
      </c>
      <c r="B2705" s="25">
        <f>VLOOKUP(A2705,'Database Claims'!$A:$C,3,)</f>
        <v>221000</v>
      </c>
      <c r="C2705" s="29">
        <f t="shared" si="84"/>
        <v>0</v>
      </c>
      <c r="D2705" s="25">
        <f>VLOOKUP(A2705,'Database Claims'!$A:$C,2,)</f>
        <v>1599000</v>
      </c>
      <c r="E2705" s="29">
        <f t="shared" si="85"/>
        <v>-3000</v>
      </c>
    </row>
    <row r="2706" spans="1:5" x14ac:dyDescent="0.2">
      <c r="A2706" s="28">
        <v>43386</v>
      </c>
      <c r="B2706" s="29">
        <f>VLOOKUP(A2706,'Database Claims'!$A:$C,3,)</f>
        <v>218000</v>
      </c>
      <c r="C2706" s="29">
        <f t="shared" si="84"/>
        <v>-3000</v>
      </c>
      <c r="D2706" s="29">
        <f>VLOOKUP(A2706,'Database Claims'!$A:$C,2,)</f>
        <v>1626000</v>
      </c>
      <c r="E2706" s="29">
        <f t="shared" si="85"/>
        <v>27000</v>
      </c>
    </row>
    <row r="2707" spans="1:5" x14ac:dyDescent="0.2">
      <c r="A2707" s="28">
        <v>43393</v>
      </c>
      <c r="B2707" s="25">
        <f>VLOOKUP(A2707,'Database Claims'!$A:$C,3,)</f>
        <v>226000</v>
      </c>
      <c r="C2707" s="29">
        <f t="shared" si="84"/>
        <v>8000</v>
      </c>
      <c r="D2707" s="25">
        <f>VLOOKUP(A2707,'Database Claims'!$A:$C,2,)</f>
        <v>1647000</v>
      </c>
      <c r="E2707" s="29">
        <f t="shared" si="85"/>
        <v>21000</v>
      </c>
    </row>
    <row r="2708" spans="1:5" x14ac:dyDescent="0.2">
      <c r="A2708" s="28">
        <v>43400</v>
      </c>
      <c r="B2708" s="29">
        <f>VLOOKUP(A2708,'Database Claims'!$A:$C,3,)</f>
        <v>225000</v>
      </c>
      <c r="C2708" s="29">
        <f t="shared" si="84"/>
        <v>-1000</v>
      </c>
      <c r="D2708" s="29">
        <f>VLOOKUP(A2708,'Database Claims'!$A:$C,2,)</f>
        <v>1653000</v>
      </c>
      <c r="E2708" s="29">
        <f t="shared" si="85"/>
        <v>6000</v>
      </c>
    </row>
    <row r="2709" spans="1:5" x14ac:dyDescent="0.2">
      <c r="A2709" s="28">
        <v>43407</v>
      </c>
      <c r="B2709" s="25">
        <f>VLOOKUP(A2709,'Database Claims'!$A:$C,3,)</f>
        <v>227000</v>
      </c>
      <c r="C2709" s="29">
        <f t="shared" si="84"/>
        <v>2000</v>
      </c>
      <c r="D2709" s="25">
        <f>VLOOKUP(A2709,'Database Claims'!$A:$C,2,)</f>
        <v>1676000</v>
      </c>
      <c r="E2709" s="29">
        <f t="shared" si="85"/>
        <v>23000</v>
      </c>
    </row>
    <row r="2710" spans="1:5" x14ac:dyDescent="0.2">
      <c r="A2710" s="28">
        <v>43414</v>
      </c>
      <c r="B2710" s="29">
        <f>VLOOKUP(A2710,'Database Claims'!$A:$C,3,)</f>
        <v>228000</v>
      </c>
      <c r="C2710" s="29">
        <f t="shared" si="84"/>
        <v>1000</v>
      </c>
      <c r="D2710" s="29">
        <f>VLOOKUP(A2710,'Database Claims'!$A:$C,2,)</f>
        <v>1704000</v>
      </c>
      <c r="E2710" s="29">
        <f t="shared" si="85"/>
        <v>28000</v>
      </c>
    </row>
    <row r="2711" spans="1:5" x14ac:dyDescent="0.2">
      <c r="A2711" s="28">
        <v>43421</v>
      </c>
      <c r="B2711" s="25">
        <f>VLOOKUP(A2711,'Database Claims'!$A:$C,3,)</f>
        <v>234000</v>
      </c>
      <c r="C2711" s="29">
        <f t="shared" si="84"/>
        <v>6000</v>
      </c>
      <c r="D2711" s="25">
        <f>VLOOKUP(A2711,'Database Claims'!$A:$C,2,)</f>
        <v>1786000</v>
      </c>
      <c r="E2711" s="29">
        <f t="shared" si="85"/>
        <v>82000</v>
      </c>
    </row>
    <row r="2712" spans="1:5" x14ac:dyDescent="0.2">
      <c r="A2712" s="28">
        <v>43428</v>
      </c>
      <c r="B2712" s="29">
        <f>VLOOKUP(A2712,'Database Claims'!$A:$C,3,)</f>
        <v>244000</v>
      </c>
      <c r="C2712" s="29">
        <f t="shared" si="84"/>
        <v>10000</v>
      </c>
      <c r="D2712" s="29">
        <f>VLOOKUP(A2712,'Database Claims'!$A:$C,2,)</f>
        <v>1737000</v>
      </c>
      <c r="E2712" s="29">
        <f t="shared" si="85"/>
        <v>-49000</v>
      </c>
    </row>
    <row r="2713" spans="1:5" x14ac:dyDescent="0.2">
      <c r="A2713" s="28">
        <v>43435</v>
      </c>
      <c r="B2713" s="25">
        <f>VLOOKUP(A2713,'Database Claims'!$A:$C,3,)</f>
        <v>240000</v>
      </c>
      <c r="C2713" s="29">
        <f t="shared" si="84"/>
        <v>-4000</v>
      </c>
      <c r="D2713" s="25">
        <f>VLOOKUP(A2713,'Database Claims'!$A:$C,2,)</f>
        <v>1735000</v>
      </c>
      <c r="E2713" s="29">
        <f t="shared" si="85"/>
        <v>-2000</v>
      </c>
    </row>
    <row r="2714" spans="1:5" x14ac:dyDescent="0.2">
      <c r="A2714" s="28">
        <v>43442</v>
      </c>
      <c r="B2714" s="29">
        <f>VLOOKUP(A2714,'Database Claims'!$A:$C,3,)</f>
        <v>209000</v>
      </c>
      <c r="C2714" s="29">
        <f t="shared" si="84"/>
        <v>-31000</v>
      </c>
      <c r="D2714" s="29">
        <f>VLOOKUP(A2714,'Database Claims'!$A:$C,2,)</f>
        <v>1777000</v>
      </c>
      <c r="E2714" s="29">
        <f t="shared" si="85"/>
        <v>42000</v>
      </c>
    </row>
    <row r="2715" spans="1:5" x14ac:dyDescent="0.2">
      <c r="A2715" s="28">
        <v>43449</v>
      </c>
      <c r="B2715" s="25">
        <f>VLOOKUP(A2715,'Database Claims'!$A:$C,3,)</f>
        <v>219000</v>
      </c>
      <c r="C2715" s="29">
        <f t="shared" si="84"/>
        <v>10000</v>
      </c>
      <c r="D2715" s="25">
        <f>VLOOKUP(A2715,'Database Claims'!$A:$C,2,)</f>
        <v>1790000</v>
      </c>
      <c r="E2715" s="29">
        <f t="shared" si="85"/>
        <v>13000</v>
      </c>
    </row>
    <row r="2716" spans="1:5" x14ac:dyDescent="0.2">
      <c r="A2716" s="28">
        <v>43456</v>
      </c>
      <c r="B2716" s="29">
        <f>VLOOKUP(A2716,'Database Claims'!$A:$C,3,)</f>
        <v>230000</v>
      </c>
      <c r="C2716" s="29">
        <f t="shared" si="84"/>
        <v>11000</v>
      </c>
      <c r="D2716" s="29">
        <f>VLOOKUP(A2716,'Database Claims'!$A:$C,2,)</f>
        <v>1798000</v>
      </c>
      <c r="E2716" s="29">
        <f t="shared" si="85"/>
        <v>8000</v>
      </c>
    </row>
    <row r="2717" spans="1:5" x14ac:dyDescent="0.2">
      <c r="A2717" s="28">
        <v>43463</v>
      </c>
      <c r="B2717" s="25">
        <f>VLOOKUP(A2717,'Database Claims'!$A:$C,3,)</f>
        <v>237000</v>
      </c>
      <c r="C2717" s="29">
        <f t="shared" si="84"/>
        <v>7000</v>
      </c>
      <c r="D2717" s="25">
        <f>VLOOKUP(A2717,'Database Claims'!$A:$C,2,)</f>
        <v>1779000</v>
      </c>
      <c r="E2717" s="29">
        <f t="shared" si="85"/>
        <v>-19000</v>
      </c>
    </row>
    <row r="2718" spans="1:5" x14ac:dyDescent="0.2">
      <c r="A2718" s="28">
        <v>43470</v>
      </c>
      <c r="B2718" s="29">
        <f>VLOOKUP(A2718,'Database Claims'!$A:$C,3,)</f>
        <v>222000</v>
      </c>
      <c r="C2718" s="29">
        <f t="shared" si="84"/>
        <v>-15000</v>
      </c>
      <c r="D2718" s="29">
        <f>VLOOKUP(A2718,'Database Claims'!$A:$C,2,)</f>
        <v>1785000</v>
      </c>
      <c r="E2718" s="29">
        <f t="shared" si="85"/>
        <v>6000</v>
      </c>
    </row>
    <row r="2719" spans="1:5" x14ac:dyDescent="0.2">
      <c r="A2719" s="28">
        <v>43477</v>
      </c>
      <c r="B2719" s="25">
        <f>VLOOKUP(A2719,'Database Claims'!$A:$C,3,)</f>
        <v>211000</v>
      </c>
      <c r="C2719" s="29">
        <f t="shared" si="84"/>
        <v>-11000</v>
      </c>
      <c r="D2719" s="25">
        <f>VLOOKUP(A2719,'Database Claims'!$A:$C,2,)</f>
        <v>1779000</v>
      </c>
      <c r="E2719" s="29">
        <f t="shared" si="85"/>
        <v>-6000</v>
      </c>
    </row>
    <row r="2720" spans="1:5" x14ac:dyDescent="0.2">
      <c r="A2720" s="28">
        <v>43484</v>
      </c>
      <c r="B2720" s="29">
        <f>VLOOKUP(A2720,'Database Claims'!$A:$C,3,)</f>
        <v>205000</v>
      </c>
      <c r="C2720" s="29">
        <f t="shared" si="84"/>
        <v>-6000</v>
      </c>
      <c r="D2720" s="29">
        <f>VLOOKUP(A2720,'Database Claims'!$A:$C,2,)</f>
        <v>1802000</v>
      </c>
      <c r="E2720" s="29">
        <f t="shared" si="85"/>
        <v>23000</v>
      </c>
    </row>
    <row r="2721" spans="1:5" x14ac:dyDescent="0.2">
      <c r="A2721" s="28">
        <v>43491</v>
      </c>
      <c r="B2721" s="25">
        <f>VLOOKUP(A2721,'Database Claims'!$A:$C,3,)</f>
        <v>227000</v>
      </c>
      <c r="C2721" s="29">
        <f t="shared" si="84"/>
        <v>22000</v>
      </c>
      <c r="D2721" s="25">
        <f>VLOOKUP(A2721,'Database Claims'!$A:$C,2,)</f>
        <v>1775000</v>
      </c>
      <c r="E2721" s="29">
        <f t="shared" si="85"/>
        <v>-27000</v>
      </c>
    </row>
    <row r="2722" spans="1:5" x14ac:dyDescent="0.2">
      <c r="A2722" s="28">
        <v>43498</v>
      </c>
      <c r="B2722" s="29">
        <f>VLOOKUP(A2722,'Database Claims'!$A:$C,3,)</f>
        <v>220000</v>
      </c>
      <c r="C2722" s="29">
        <f t="shared" si="84"/>
        <v>-7000</v>
      </c>
      <c r="D2722" s="29">
        <f>VLOOKUP(A2722,'Database Claims'!$A:$C,2,)</f>
        <v>1820000</v>
      </c>
      <c r="E2722" s="29">
        <f t="shared" si="85"/>
        <v>45000</v>
      </c>
    </row>
    <row r="2723" spans="1:5" x14ac:dyDescent="0.2">
      <c r="A2723" s="28">
        <v>43505</v>
      </c>
      <c r="B2723" s="25">
        <f>VLOOKUP(A2723,'Database Claims'!$A:$C,3,)</f>
        <v>213000</v>
      </c>
      <c r="C2723" s="29">
        <f t="shared" si="84"/>
        <v>-7000</v>
      </c>
      <c r="D2723" s="25">
        <f>VLOOKUP(A2723,'Database Claims'!$A:$C,2,)</f>
        <v>1785000</v>
      </c>
      <c r="E2723" s="29">
        <f t="shared" si="85"/>
        <v>-35000</v>
      </c>
    </row>
    <row r="2724" spans="1:5" x14ac:dyDescent="0.2">
      <c r="A2724" s="28">
        <v>43512</v>
      </c>
      <c r="B2724" s="29">
        <f>VLOOKUP(A2724,'Database Claims'!$A:$C,3,)</f>
        <v>199000</v>
      </c>
      <c r="C2724" s="29">
        <f t="shared" si="84"/>
        <v>-14000</v>
      </c>
      <c r="D2724" s="29">
        <f>VLOOKUP(A2724,'Database Claims'!$A:$C,2,)</f>
        <v>1819000</v>
      </c>
      <c r="E2724" s="29">
        <f t="shared" si="85"/>
        <v>34000</v>
      </c>
    </row>
    <row r="2725" spans="1:5" x14ac:dyDescent="0.2">
      <c r="A2725" s="28">
        <v>43519</v>
      </c>
      <c r="B2725" s="25">
        <f>VLOOKUP(A2725,'Database Claims'!$A:$C,3,)</f>
        <v>204000</v>
      </c>
      <c r="C2725" s="29">
        <f t="shared" si="84"/>
        <v>5000</v>
      </c>
      <c r="D2725" s="25">
        <f>VLOOKUP(A2725,'Database Claims'!$A:$C,2,)</f>
        <v>1801000</v>
      </c>
      <c r="E2725" s="29">
        <f t="shared" si="85"/>
        <v>-18000</v>
      </c>
    </row>
    <row r="2726" spans="1:5" x14ac:dyDescent="0.2">
      <c r="A2726" s="28">
        <v>43526</v>
      </c>
      <c r="B2726" s="29">
        <f>VLOOKUP(A2726,'Database Claims'!$A:$C,3,)</f>
        <v>200000</v>
      </c>
      <c r="C2726" s="29">
        <f t="shared" si="84"/>
        <v>-4000</v>
      </c>
      <c r="D2726" s="29">
        <f>VLOOKUP(A2726,'Database Claims'!$A:$C,2,)</f>
        <v>1797000</v>
      </c>
      <c r="E2726" s="29">
        <f t="shared" si="85"/>
        <v>-4000</v>
      </c>
    </row>
    <row r="2727" spans="1:5" x14ac:dyDescent="0.2">
      <c r="A2727" s="28">
        <v>43533</v>
      </c>
      <c r="B2727" s="25">
        <f>VLOOKUP(A2727,'Database Claims'!$A:$C,3,)</f>
        <v>201000</v>
      </c>
      <c r="C2727" s="29">
        <f t="shared" si="84"/>
        <v>1000</v>
      </c>
      <c r="D2727" s="25">
        <f>VLOOKUP(A2727,'Database Claims'!$A:$C,2,)</f>
        <v>1782000</v>
      </c>
      <c r="E2727" s="29">
        <f t="shared" si="85"/>
        <v>-15000</v>
      </c>
    </row>
    <row r="2728" spans="1:5" x14ac:dyDescent="0.2">
      <c r="A2728" s="28">
        <v>43540</v>
      </c>
      <c r="B2728" s="29">
        <f>VLOOKUP(A2728,'Database Claims'!$A:$C,3,)</f>
        <v>182000</v>
      </c>
      <c r="C2728" s="29">
        <f t="shared" si="84"/>
        <v>-19000</v>
      </c>
      <c r="D2728" s="29">
        <f>VLOOKUP(A2728,'Database Claims'!$A:$C,2,)</f>
        <v>1770000</v>
      </c>
      <c r="E2728" s="29">
        <f t="shared" si="85"/>
        <v>-12000</v>
      </c>
    </row>
    <row r="2729" spans="1:5" x14ac:dyDescent="0.2">
      <c r="A2729" s="28">
        <v>43547</v>
      </c>
      <c r="B2729" s="25">
        <f>VLOOKUP(A2729,'Database Claims'!$A:$C,3,)</f>
        <v>184000</v>
      </c>
      <c r="C2729" s="29">
        <f t="shared" si="84"/>
        <v>2000</v>
      </c>
      <c r="D2729" s="25">
        <f>VLOOKUP(A2729,'Database Claims'!$A:$C,2,)</f>
        <v>1741000</v>
      </c>
      <c r="E2729" s="29">
        <f t="shared" si="85"/>
        <v>-29000</v>
      </c>
    </row>
    <row r="2730" spans="1:5" x14ac:dyDescent="0.2">
      <c r="A2730" s="28">
        <v>43554</v>
      </c>
      <c r="B2730" s="29">
        <f>VLOOKUP(A2730,'Database Claims'!$A:$C,3,)</f>
        <v>173000</v>
      </c>
      <c r="C2730" s="29">
        <f t="shared" si="84"/>
        <v>-11000</v>
      </c>
      <c r="D2730" s="29">
        <f>VLOOKUP(A2730,'Database Claims'!$A:$C,2,)</f>
        <v>1711000</v>
      </c>
      <c r="E2730" s="29">
        <f t="shared" si="85"/>
        <v>-30000</v>
      </c>
    </row>
    <row r="2731" spans="1:5" x14ac:dyDescent="0.2">
      <c r="A2731" s="28">
        <v>43561</v>
      </c>
      <c r="B2731" s="25">
        <f>VLOOKUP(A2731,'Database Claims'!$A:$C,3,)</f>
        <v>173000</v>
      </c>
      <c r="C2731" s="29">
        <f t="shared" si="84"/>
        <v>0</v>
      </c>
      <c r="D2731" s="25">
        <f>VLOOKUP(A2731,'Database Claims'!$A:$C,2,)</f>
        <v>1660000</v>
      </c>
      <c r="E2731" s="29">
        <f t="shared" si="85"/>
        <v>-51000</v>
      </c>
    </row>
    <row r="2732" spans="1:5" x14ac:dyDescent="0.2">
      <c r="A2732" s="28">
        <v>43568</v>
      </c>
      <c r="B2732" s="29">
        <f>VLOOKUP(A2732,'Database Claims'!$A:$C,3,)</f>
        <v>183000</v>
      </c>
      <c r="C2732" s="29">
        <f t="shared" si="84"/>
        <v>10000</v>
      </c>
      <c r="D2732" s="29">
        <f>VLOOKUP(A2732,'Database Claims'!$A:$C,2,)</f>
        <v>1636000</v>
      </c>
      <c r="E2732" s="29">
        <f t="shared" si="85"/>
        <v>-24000</v>
      </c>
    </row>
    <row r="2733" spans="1:5" x14ac:dyDescent="0.2">
      <c r="A2733" s="28">
        <v>43575</v>
      </c>
      <c r="B2733" s="25">
        <f>VLOOKUP(A2733,'Database Claims'!$A:$C,3,)</f>
        <v>200000</v>
      </c>
      <c r="C2733" s="29">
        <f t="shared" si="84"/>
        <v>17000</v>
      </c>
      <c r="D2733" s="25">
        <f>VLOOKUP(A2733,'Database Claims'!$A:$C,2,)</f>
        <v>1643000</v>
      </c>
      <c r="E2733" s="29">
        <f t="shared" si="85"/>
        <v>7000</v>
      </c>
    </row>
    <row r="2734" spans="1:5" x14ac:dyDescent="0.2">
      <c r="A2734" s="28">
        <v>43582</v>
      </c>
      <c r="B2734" s="29">
        <f>VLOOKUP(A2734,'Database Claims'!$A:$C,3,)</f>
        <v>210000</v>
      </c>
      <c r="C2734" s="29">
        <f t="shared" si="84"/>
        <v>10000</v>
      </c>
      <c r="D2734" s="29">
        <f>VLOOKUP(A2734,'Database Claims'!$A:$C,2,)</f>
        <v>1634000</v>
      </c>
      <c r="E2734" s="29">
        <f t="shared" si="85"/>
        <v>-9000</v>
      </c>
    </row>
    <row r="2735" spans="1:5" x14ac:dyDescent="0.2">
      <c r="A2735" s="28">
        <v>43589</v>
      </c>
      <c r="B2735" s="25">
        <f>VLOOKUP(A2735,'Database Claims'!$A:$C,3,)</f>
        <v>214000</v>
      </c>
      <c r="C2735" s="29">
        <f t="shared" si="84"/>
        <v>4000</v>
      </c>
      <c r="D2735" s="25">
        <f>VLOOKUP(A2735,'Database Claims'!$A:$C,2,)</f>
        <v>1605000</v>
      </c>
      <c r="E2735" s="29">
        <f t="shared" si="85"/>
        <v>-29000</v>
      </c>
    </row>
    <row r="2736" spans="1:5" x14ac:dyDescent="0.2">
      <c r="A2736" s="28">
        <v>43596</v>
      </c>
      <c r="B2736" s="29">
        <f>VLOOKUP(A2736,'Database Claims'!$A:$C,3,)</f>
        <v>210000</v>
      </c>
      <c r="C2736" s="29">
        <f t="shared" si="84"/>
        <v>-4000</v>
      </c>
      <c r="D2736" s="29">
        <f>VLOOKUP(A2736,'Database Claims'!$A:$C,2,)</f>
        <v>1616000</v>
      </c>
      <c r="E2736" s="29">
        <f t="shared" si="85"/>
        <v>11000</v>
      </c>
    </row>
    <row r="2737" spans="1:5" x14ac:dyDescent="0.2">
      <c r="A2737" s="28">
        <v>43603</v>
      </c>
      <c r="B2737" s="25">
        <f>VLOOKUP(A2737,'Database Claims'!$A:$C,3,)</f>
        <v>213000</v>
      </c>
      <c r="C2737" s="29">
        <f t="shared" si="84"/>
        <v>3000</v>
      </c>
      <c r="D2737" s="25">
        <f>VLOOKUP(A2737,'Database Claims'!$A:$C,2,)</f>
        <v>1604000</v>
      </c>
      <c r="E2737" s="29">
        <f t="shared" si="85"/>
        <v>-12000</v>
      </c>
    </row>
    <row r="2738" spans="1:5" x14ac:dyDescent="0.2">
      <c r="A2738" s="28">
        <v>43610</v>
      </c>
      <c r="B2738" s="29">
        <f>VLOOKUP(A2738,'Database Claims'!$A:$C,3,)</f>
        <v>222000</v>
      </c>
      <c r="C2738" s="29">
        <f t="shared" si="84"/>
        <v>9000</v>
      </c>
      <c r="D2738" s="29">
        <f>VLOOKUP(A2738,'Database Claims'!$A:$C,2,)</f>
        <v>1614000</v>
      </c>
      <c r="E2738" s="29">
        <f t="shared" si="85"/>
        <v>10000</v>
      </c>
    </row>
    <row r="2739" spans="1:5" x14ac:dyDescent="0.2">
      <c r="A2739" s="28">
        <v>43617</v>
      </c>
      <c r="B2739" s="25">
        <f>VLOOKUP(A2739,'Database Claims'!$A:$C,3,)</f>
        <v>229000</v>
      </c>
      <c r="C2739" s="29">
        <f t="shared" si="84"/>
        <v>7000</v>
      </c>
      <c r="D2739" s="25">
        <f>VLOOKUP(A2739,'Database Claims'!$A:$C,2,)</f>
        <v>1621000</v>
      </c>
      <c r="E2739" s="29">
        <f t="shared" si="85"/>
        <v>7000</v>
      </c>
    </row>
    <row r="2740" spans="1:5" x14ac:dyDescent="0.2">
      <c r="A2740" s="28">
        <v>43624</v>
      </c>
      <c r="B2740" s="29">
        <f>VLOOKUP(A2740,'Database Claims'!$A:$C,3,)</f>
        <v>237000</v>
      </c>
      <c r="C2740" s="29">
        <f t="shared" si="84"/>
        <v>8000</v>
      </c>
      <c r="D2740" s="29">
        <f>VLOOKUP(A2740,'Database Claims'!$A:$C,2,)</f>
        <v>1599000</v>
      </c>
      <c r="E2740" s="29">
        <f t="shared" si="85"/>
        <v>-22000</v>
      </c>
    </row>
    <row r="2741" spans="1:5" x14ac:dyDescent="0.2">
      <c r="A2741" s="28">
        <v>43631</v>
      </c>
      <c r="B2741" s="25">
        <f>VLOOKUP(A2741,'Database Claims'!$A:$C,3,)</f>
        <v>231000</v>
      </c>
      <c r="C2741" s="29">
        <f t="shared" si="84"/>
        <v>-6000</v>
      </c>
      <c r="D2741" s="25">
        <f>VLOOKUP(A2741,'Database Claims'!$A:$C,2,)</f>
        <v>1627000</v>
      </c>
      <c r="E2741" s="29">
        <f t="shared" si="85"/>
        <v>28000</v>
      </c>
    </row>
    <row r="2742" spans="1:5" x14ac:dyDescent="0.2">
      <c r="A2742" s="28">
        <v>43638</v>
      </c>
      <c r="B2742" s="29">
        <f>VLOOKUP(A2742,'Database Claims'!$A:$C,3,)</f>
        <v>242000</v>
      </c>
      <c r="C2742" s="29">
        <f t="shared" si="84"/>
        <v>11000</v>
      </c>
      <c r="D2742" s="29">
        <f>VLOOKUP(A2742,'Database Claims'!$A:$C,2,)</f>
        <v>1626000</v>
      </c>
      <c r="E2742" s="29">
        <f t="shared" si="85"/>
        <v>-1000</v>
      </c>
    </row>
    <row r="2743" spans="1:5" x14ac:dyDescent="0.2">
      <c r="A2743" s="28">
        <v>43645</v>
      </c>
      <c r="B2743" s="25">
        <f>VLOOKUP(A2743,'Database Claims'!$A:$C,3,)</f>
        <v>240000</v>
      </c>
      <c r="C2743" s="29">
        <f t="shared" si="84"/>
        <v>-2000</v>
      </c>
      <c r="D2743" s="25">
        <f>VLOOKUP(A2743,'Database Claims'!$A:$C,2,)</f>
        <v>1666000</v>
      </c>
      <c r="E2743" s="29">
        <f t="shared" si="85"/>
        <v>40000</v>
      </c>
    </row>
    <row r="2744" spans="1:5" x14ac:dyDescent="0.2">
      <c r="A2744" s="28">
        <v>43652</v>
      </c>
      <c r="B2744" s="29">
        <f>VLOOKUP(A2744,'Database Claims'!$A:$C,3,)</f>
        <v>230000</v>
      </c>
      <c r="C2744" s="29">
        <f t="shared" si="84"/>
        <v>-10000</v>
      </c>
      <c r="D2744" s="29">
        <f>VLOOKUP(A2744,'Database Claims'!$A:$C,2,)</f>
        <v>1642000</v>
      </c>
      <c r="E2744" s="29">
        <f t="shared" si="85"/>
        <v>-24000</v>
      </c>
    </row>
    <row r="2745" spans="1:5" s="59" customFormat="1" x14ac:dyDescent="0.2">
      <c r="A2745" s="28">
        <v>43659</v>
      </c>
      <c r="B2745" s="25">
        <f>VLOOKUP(A2745,'Database Claims'!$A:$C,3,)</f>
        <v>231000</v>
      </c>
      <c r="C2745" s="29">
        <f t="shared" si="84"/>
        <v>1000</v>
      </c>
      <c r="D2745" s="25">
        <f>VLOOKUP(A2745,'Database Claims'!$A:$C,2,)</f>
        <v>1639000</v>
      </c>
      <c r="E2745" s="29">
        <f t="shared" si="85"/>
        <v>-3000</v>
      </c>
    </row>
    <row r="2746" spans="1:5" s="59" customFormat="1" x14ac:dyDescent="0.2">
      <c r="A2746" s="28">
        <v>43666</v>
      </c>
      <c r="B2746" s="29">
        <f>VLOOKUP(A2746,'Database Claims'!$A:$C,3,)</f>
        <v>216000</v>
      </c>
      <c r="C2746" s="29">
        <f t="shared" si="84"/>
        <v>-15000</v>
      </c>
      <c r="D2746" s="29">
        <f>VLOOKUP(A2746,'Database Claims'!$A:$C,2,)</f>
        <v>1626000</v>
      </c>
      <c r="E2746" s="29">
        <f t="shared" si="85"/>
        <v>-13000</v>
      </c>
    </row>
    <row r="2747" spans="1:5" s="59" customFormat="1" x14ac:dyDescent="0.2">
      <c r="A2747" s="28">
        <v>43673</v>
      </c>
      <c r="B2747" s="25">
        <f>VLOOKUP(A2747,'Database Claims'!$A:$C,3,)</f>
        <v>220000</v>
      </c>
      <c r="C2747" s="29">
        <f t="shared" si="84"/>
        <v>4000</v>
      </c>
      <c r="D2747" s="25">
        <f>VLOOKUP(A2747,'Database Claims'!$A:$C,2,)</f>
        <v>1659000</v>
      </c>
      <c r="E2747" s="29">
        <f t="shared" si="85"/>
        <v>33000</v>
      </c>
    </row>
    <row r="2748" spans="1:5" s="59" customFormat="1" x14ac:dyDescent="0.2">
      <c r="A2748" s="28">
        <v>43680</v>
      </c>
      <c r="B2748" s="29">
        <f>VLOOKUP(A2748,'Database Claims'!$A:$C,3,)</f>
        <v>227000</v>
      </c>
      <c r="C2748" s="29">
        <f t="shared" si="84"/>
        <v>7000</v>
      </c>
      <c r="D2748" s="29">
        <f>VLOOKUP(A2748,'Database Claims'!$A:$C,2,)</f>
        <v>1674000</v>
      </c>
      <c r="E2748" s="29">
        <f t="shared" si="85"/>
        <v>15000</v>
      </c>
    </row>
    <row r="2749" spans="1:5" s="59" customFormat="1" x14ac:dyDescent="0.2">
      <c r="A2749" s="28">
        <v>43687</v>
      </c>
      <c r="B2749" s="25">
        <f>VLOOKUP(A2749,'Database Claims'!$A:$C,3,)</f>
        <v>236000</v>
      </c>
      <c r="C2749" s="29">
        <f t="shared" si="84"/>
        <v>9000</v>
      </c>
      <c r="D2749" s="25">
        <f>VLOOKUP(A2749,'Database Claims'!$A:$C,2,)</f>
        <v>1647000</v>
      </c>
      <c r="E2749" s="29">
        <f t="shared" si="85"/>
        <v>-27000</v>
      </c>
    </row>
    <row r="2750" spans="1:5" s="59" customFormat="1" x14ac:dyDescent="0.2">
      <c r="A2750" s="28">
        <v>43694</v>
      </c>
      <c r="B2750" s="29">
        <f>VLOOKUP(A2750,'Database Claims'!$A:$C,3,)</f>
        <v>222000</v>
      </c>
      <c r="C2750" s="29">
        <f t="shared" si="84"/>
        <v>-14000</v>
      </c>
      <c r="D2750" s="29">
        <f>VLOOKUP(A2750,'Database Claims'!$A:$C,2,)</f>
        <v>1654000</v>
      </c>
      <c r="E2750" s="29">
        <f t="shared" si="85"/>
        <v>7000</v>
      </c>
    </row>
    <row r="2751" spans="1:5" s="59" customFormat="1" x14ac:dyDescent="0.2">
      <c r="A2751" s="28">
        <v>43701</v>
      </c>
      <c r="B2751" s="25">
        <f>VLOOKUP(A2751,'Database Claims'!$A:$C,3,)</f>
        <v>231000</v>
      </c>
      <c r="C2751" s="29">
        <f t="shared" si="84"/>
        <v>9000</v>
      </c>
      <c r="D2751" s="25">
        <f>VLOOKUP(A2751,'Database Claims'!$A:$C,2,)</f>
        <v>1634000</v>
      </c>
      <c r="E2751" s="29">
        <f t="shared" si="85"/>
        <v>-20000</v>
      </c>
    </row>
    <row r="2752" spans="1:5" s="59" customFormat="1" x14ac:dyDescent="0.2">
      <c r="A2752" s="28">
        <v>43708</v>
      </c>
      <c r="B2752" s="29">
        <f>VLOOKUP(A2752,'Database Claims'!$A:$C,3,)</f>
        <v>224000</v>
      </c>
      <c r="C2752" s="29">
        <f t="shared" si="84"/>
        <v>-7000</v>
      </c>
      <c r="D2752" s="29">
        <f>VLOOKUP(A2752,'Database Claims'!$A:$C,2,)</f>
        <v>1610000</v>
      </c>
      <c r="E2752" s="29">
        <f t="shared" si="85"/>
        <v>-24000</v>
      </c>
    </row>
    <row r="2753" spans="1:5" s="59" customFormat="1" x14ac:dyDescent="0.2">
      <c r="A2753" s="28">
        <v>43715</v>
      </c>
      <c r="B2753" s="25">
        <f>VLOOKUP(A2753,'Database Claims'!$A:$C,3,)</f>
        <v>217000</v>
      </c>
      <c r="C2753" s="29">
        <f t="shared" si="84"/>
        <v>-7000</v>
      </c>
      <c r="D2753" s="25">
        <f>VLOOKUP(A2753,'Database Claims'!$A:$C,2,)</f>
        <v>1605000</v>
      </c>
      <c r="E2753" s="29">
        <f t="shared" si="85"/>
        <v>-5000</v>
      </c>
    </row>
    <row r="2754" spans="1:5" s="59" customFormat="1" x14ac:dyDescent="0.2">
      <c r="A2754" s="28">
        <v>43722</v>
      </c>
      <c r="B2754" s="29">
        <f>VLOOKUP(A2754,'Database Claims'!$A:$C,3,)</f>
        <v>215000</v>
      </c>
      <c r="C2754" s="29">
        <f t="shared" si="84"/>
        <v>-2000</v>
      </c>
      <c r="D2754" s="29">
        <f>VLOOKUP(A2754,'Database Claims'!$A:$C,2,)</f>
        <v>1566000</v>
      </c>
      <c r="E2754" s="29">
        <f t="shared" si="85"/>
        <v>-39000</v>
      </c>
    </row>
    <row r="2755" spans="1:5" s="59" customFormat="1" x14ac:dyDescent="0.2">
      <c r="A2755" s="28">
        <v>43729</v>
      </c>
      <c r="B2755" s="25">
        <f>VLOOKUP(A2755,'Database Claims'!$A:$C,3,)</f>
        <v>218000</v>
      </c>
      <c r="C2755" s="29">
        <f t="shared" si="84"/>
        <v>3000</v>
      </c>
      <c r="D2755" s="25">
        <f>VLOOKUP(A2755,'Database Claims'!$A:$C,2,)</f>
        <v>1561000</v>
      </c>
      <c r="E2755" s="29">
        <f t="shared" si="85"/>
        <v>-5000</v>
      </c>
    </row>
    <row r="2756" spans="1:5" s="59" customFormat="1" x14ac:dyDescent="0.2">
      <c r="A2756" s="28">
        <v>43736</v>
      </c>
      <c r="B2756" s="29">
        <f>VLOOKUP(A2756,'Database Claims'!$A:$C,3,)</f>
        <v>224000</v>
      </c>
      <c r="C2756" s="29">
        <f t="shared" si="84"/>
        <v>6000</v>
      </c>
      <c r="D2756" s="29">
        <f>VLOOKUP(A2756,'Database Claims'!$A:$C,2,)</f>
        <v>1606000</v>
      </c>
      <c r="E2756" s="29">
        <f t="shared" si="85"/>
        <v>45000</v>
      </c>
    </row>
    <row r="2757" spans="1:5" s="59" customFormat="1" x14ac:dyDescent="0.2">
      <c r="A2757" s="28">
        <v>43743</v>
      </c>
      <c r="B2757" s="25">
        <f>VLOOKUP(A2757,'Database Claims'!$A:$C,3,)</f>
        <v>224000</v>
      </c>
      <c r="C2757" s="29">
        <f t="shared" si="84"/>
        <v>0</v>
      </c>
      <c r="D2757" s="25">
        <f>VLOOKUP(A2757,'Database Claims'!$A:$C,2,)</f>
        <v>1597000</v>
      </c>
      <c r="E2757" s="29">
        <f t="shared" si="85"/>
        <v>-9000</v>
      </c>
    </row>
    <row r="2758" spans="1:5" s="59" customFormat="1" x14ac:dyDescent="0.2">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9" customFormat="1" x14ac:dyDescent="0.2">
      <c r="A2759" s="28">
        <v>43757</v>
      </c>
      <c r="B2759" s="25">
        <f>VLOOKUP(A2759,'Database Claims'!$A:$C,3,)</f>
        <v>222000</v>
      </c>
      <c r="C2759" s="29">
        <f t="shared" si="86"/>
        <v>-4000</v>
      </c>
      <c r="D2759" s="25">
        <f>VLOOKUP(A2759,'Database Claims'!$A:$C,2,)</f>
        <v>1684000</v>
      </c>
      <c r="E2759" s="29">
        <f t="shared" si="87"/>
        <v>45000</v>
      </c>
    </row>
    <row r="2760" spans="1:5" s="59" customFormat="1" x14ac:dyDescent="0.2">
      <c r="A2760" s="28">
        <v>43764</v>
      </c>
      <c r="B2760" s="29">
        <f>VLOOKUP(A2760,'Database Claims'!$A:$C,3,)</f>
        <v>230000</v>
      </c>
      <c r="C2760" s="29">
        <f t="shared" si="86"/>
        <v>8000</v>
      </c>
      <c r="D2760" s="29">
        <f>VLOOKUP(A2760,'Database Claims'!$A:$C,2,)</f>
        <v>1699000</v>
      </c>
      <c r="E2760" s="29">
        <f t="shared" si="87"/>
        <v>15000</v>
      </c>
    </row>
    <row r="2761" spans="1:5" s="59" customFormat="1" x14ac:dyDescent="0.2">
      <c r="A2761" s="28">
        <v>43771</v>
      </c>
      <c r="B2761" s="25">
        <f>VLOOKUP(A2761,'Database Claims'!$A:$C,3,)</f>
        <v>224000</v>
      </c>
      <c r="C2761" s="29">
        <f t="shared" si="86"/>
        <v>-6000</v>
      </c>
      <c r="D2761" s="25">
        <f>VLOOKUP(A2761,'Database Claims'!$A:$C,2,)</f>
        <v>1702000</v>
      </c>
      <c r="E2761" s="29">
        <f t="shared" si="87"/>
        <v>3000</v>
      </c>
    </row>
    <row r="2762" spans="1:5" s="59" customFormat="1" x14ac:dyDescent="0.2">
      <c r="A2762" s="28">
        <v>43778</v>
      </c>
      <c r="B2762" s="29">
        <f>VLOOKUP(A2762,'Database Claims'!$A:$C,3,)</f>
        <v>239000</v>
      </c>
      <c r="C2762" s="29">
        <f t="shared" si="86"/>
        <v>15000</v>
      </c>
      <c r="D2762" s="29">
        <f>VLOOKUP(A2762,'Database Claims'!$A:$C,2,)</f>
        <v>1741000</v>
      </c>
      <c r="E2762" s="29">
        <f t="shared" si="87"/>
        <v>39000</v>
      </c>
    </row>
    <row r="2763" spans="1:5" s="59" customFormat="1" x14ac:dyDescent="0.2">
      <c r="A2763" s="28">
        <v>43785</v>
      </c>
      <c r="B2763" s="25">
        <f>VLOOKUP(A2763,'Database Claims'!$A:$C,3,)</f>
        <v>240000</v>
      </c>
      <c r="C2763" s="29">
        <f t="shared" si="86"/>
        <v>1000</v>
      </c>
      <c r="D2763" s="25">
        <f>VLOOKUP(A2763,'Database Claims'!$A:$C,2,)</f>
        <v>1746000</v>
      </c>
      <c r="E2763" s="29">
        <f t="shared" si="87"/>
        <v>5000</v>
      </c>
    </row>
    <row r="2764" spans="1:5" s="59" customFormat="1" x14ac:dyDescent="0.2">
      <c r="A2764" s="28">
        <v>43792</v>
      </c>
      <c r="B2764" s="29">
        <f>VLOOKUP(A2764,'Database Claims'!$A:$C,3,)</f>
        <v>224000</v>
      </c>
      <c r="C2764" s="29">
        <f t="shared" si="86"/>
        <v>-16000</v>
      </c>
      <c r="D2764" s="29">
        <f>VLOOKUP(A2764,'Database Claims'!$A:$C,2,)</f>
        <v>1802000</v>
      </c>
      <c r="E2764" s="29">
        <f t="shared" si="87"/>
        <v>56000</v>
      </c>
    </row>
    <row r="2765" spans="1:5" s="59" customFormat="1" x14ac:dyDescent="0.2">
      <c r="A2765" s="28">
        <v>43799</v>
      </c>
      <c r="B2765" s="25">
        <f>VLOOKUP(A2765,'Database Claims'!$A:$C,3,)</f>
        <v>221000</v>
      </c>
      <c r="C2765" s="29">
        <f t="shared" si="86"/>
        <v>-3000</v>
      </c>
      <c r="D2765" s="25">
        <f>VLOOKUP(A2765,'Database Claims'!$A:$C,2,)</f>
        <v>1800000</v>
      </c>
      <c r="E2765" s="29">
        <f t="shared" si="87"/>
        <v>-2000</v>
      </c>
    </row>
    <row r="2766" spans="1:5" s="59" customFormat="1" x14ac:dyDescent="0.2">
      <c r="A2766" s="28">
        <v>43806</v>
      </c>
      <c r="B2766" s="29">
        <f>VLOOKUP(A2766,'Database Claims'!$A:$C,3,)</f>
        <v>251000</v>
      </c>
      <c r="C2766" s="29">
        <f t="shared" si="86"/>
        <v>30000</v>
      </c>
      <c r="D2766" s="29">
        <f>VLOOKUP(A2766,'Database Claims'!$A:$C,2,)</f>
        <v>1831000</v>
      </c>
      <c r="E2766" s="29">
        <f t="shared" si="87"/>
        <v>31000</v>
      </c>
    </row>
    <row r="2767" spans="1:5" s="59" customFormat="1" x14ac:dyDescent="0.2">
      <c r="A2767" s="28">
        <v>43813</v>
      </c>
      <c r="B2767" s="25">
        <f>VLOOKUP(A2767,'Database Claims'!$A:$C,3,)</f>
        <v>233000</v>
      </c>
      <c r="C2767" s="29">
        <f t="shared" si="86"/>
        <v>-18000</v>
      </c>
      <c r="D2767" s="25">
        <f>VLOOKUP(A2767,'Database Claims'!$A:$C,2,)</f>
        <v>1841000</v>
      </c>
      <c r="E2767" s="29">
        <f t="shared" si="87"/>
        <v>10000</v>
      </c>
    </row>
    <row r="2768" spans="1:5" s="59" customFormat="1" x14ac:dyDescent="0.2">
      <c r="A2768" s="28">
        <v>43820</v>
      </c>
      <c r="B2768" s="29">
        <f>VLOOKUP(A2768,'Database Claims'!$A:$C,3,)</f>
        <v>233000</v>
      </c>
      <c r="C2768" s="29">
        <f t="shared" si="86"/>
        <v>0</v>
      </c>
      <c r="D2768" s="29">
        <f>VLOOKUP(A2768,'Database Claims'!$A:$C,2,)</f>
        <v>1841000</v>
      </c>
      <c r="E2768" s="29">
        <f t="shared" si="87"/>
        <v>0</v>
      </c>
    </row>
    <row r="2769" spans="1:5" s="59" customFormat="1" x14ac:dyDescent="0.2">
      <c r="A2769" s="28">
        <v>43827</v>
      </c>
      <c r="B2769" s="25">
        <f>VLOOKUP(A2769,'Database Claims'!$A:$C,3,)</f>
        <v>235000</v>
      </c>
      <c r="C2769" s="29">
        <f t="shared" si="86"/>
        <v>2000</v>
      </c>
      <c r="D2769" s="25">
        <f>VLOOKUP(A2769,'Database Claims'!$A:$C,2,)</f>
        <v>1891000</v>
      </c>
      <c r="E2769" s="29">
        <f t="shared" si="87"/>
        <v>50000</v>
      </c>
    </row>
    <row r="2770" spans="1:5" s="59" customFormat="1" x14ac:dyDescent="0.2">
      <c r="A2770" s="28">
        <v>43834</v>
      </c>
      <c r="B2770" s="29">
        <f>VLOOKUP(A2770,'Database Claims'!$A:$C,3,)</f>
        <v>217000</v>
      </c>
      <c r="C2770" s="29">
        <f t="shared" si="86"/>
        <v>-18000</v>
      </c>
      <c r="D2770" s="29">
        <f>VLOOKUP(A2770,'Database Claims'!$A:$C,2,)</f>
        <v>1876000</v>
      </c>
      <c r="E2770" s="29">
        <f t="shared" si="87"/>
        <v>-15000</v>
      </c>
    </row>
    <row r="2771" spans="1:5" s="59" customFormat="1" x14ac:dyDescent="0.2">
      <c r="A2771" s="28">
        <v>43841</v>
      </c>
      <c r="B2771" s="25">
        <f>VLOOKUP(A2771,'Database Claims'!$A:$C,3,)</f>
        <v>203000</v>
      </c>
      <c r="C2771" s="29">
        <f t="shared" si="86"/>
        <v>-14000</v>
      </c>
      <c r="D2771" s="25">
        <f>VLOOKUP(A2771,'Database Claims'!$A:$C,2,)</f>
        <v>1835000</v>
      </c>
      <c r="E2771" s="29">
        <f t="shared" si="87"/>
        <v>-41000</v>
      </c>
    </row>
    <row r="2772" spans="1:5" s="59" customFormat="1" x14ac:dyDescent="0.2">
      <c r="A2772" s="28">
        <v>43848</v>
      </c>
      <c r="B2772" s="29">
        <f>VLOOKUP(A2772,'Database Claims'!$A:$C,3,)</f>
        <v>211000</v>
      </c>
      <c r="C2772" s="29">
        <f t="shared" si="86"/>
        <v>8000</v>
      </c>
      <c r="D2772" s="29">
        <f>VLOOKUP(A2772,'Database Claims'!$A:$C,2,)</f>
        <v>1797000</v>
      </c>
      <c r="E2772" s="29">
        <f t="shared" si="87"/>
        <v>-38000</v>
      </c>
    </row>
    <row r="2773" spans="1:5" s="59" customFormat="1" x14ac:dyDescent="0.2">
      <c r="A2773" s="28">
        <v>43855</v>
      </c>
      <c r="B2773" s="25">
        <f>VLOOKUP(A2773,'Database Claims'!$A:$C,3,)</f>
        <v>200000</v>
      </c>
      <c r="C2773" s="29">
        <f t="shared" si="86"/>
        <v>-11000</v>
      </c>
      <c r="D2773" s="25">
        <f>VLOOKUP(A2773,'Database Claims'!$A:$C,2,)</f>
        <v>1839000</v>
      </c>
      <c r="E2773" s="29">
        <f t="shared" si="87"/>
        <v>42000</v>
      </c>
    </row>
    <row r="2774" spans="1:5" s="59" customFormat="1" x14ac:dyDescent="0.2">
      <c r="A2774" s="28">
        <v>43862</v>
      </c>
      <c r="B2774" s="29">
        <f>VLOOKUP(A2774,'Database Claims'!$A:$C,3,)</f>
        <v>191000</v>
      </c>
      <c r="C2774" s="29">
        <f t="shared" si="86"/>
        <v>-9000</v>
      </c>
      <c r="D2774" s="29">
        <f>VLOOKUP(A2774,'Database Claims'!$A:$C,2,)</f>
        <v>1799000</v>
      </c>
      <c r="E2774" s="29">
        <f t="shared" si="87"/>
        <v>-40000</v>
      </c>
    </row>
    <row r="2775" spans="1:5" s="59" customFormat="1" x14ac:dyDescent="0.2">
      <c r="A2775" s="28">
        <v>43869</v>
      </c>
      <c r="B2775" s="25">
        <f>VLOOKUP(A2775,'Database Claims'!$A:$C,3,)</f>
        <v>186000</v>
      </c>
      <c r="C2775" s="29">
        <f t="shared" si="86"/>
        <v>-5000</v>
      </c>
      <c r="D2775" s="25">
        <f>VLOOKUP(A2775,'Database Claims'!$A:$C,2,)</f>
        <v>1822000</v>
      </c>
      <c r="E2775" s="29">
        <f t="shared" si="87"/>
        <v>23000</v>
      </c>
    </row>
    <row r="2776" spans="1:5" s="59" customFormat="1" x14ac:dyDescent="0.2">
      <c r="A2776" s="28">
        <v>43876</v>
      </c>
      <c r="B2776" s="29">
        <f>VLOOKUP(A2776,'Database Claims'!$A:$C,3,)</f>
        <v>190000</v>
      </c>
      <c r="C2776" s="29">
        <f t="shared" si="86"/>
        <v>4000</v>
      </c>
      <c r="D2776" s="29">
        <f>VLOOKUP(A2776,'Database Claims'!$A:$C,2,)</f>
        <v>1787000</v>
      </c>
      <c r="E2776" s="29">
        <f t="shared" si="87"/>
        <v>-35000</v>
      </c>
    </row>
    <row r="2777" spans="1:5" s="59" customFormat="1" x14ac:dyDescent="0.2">
      <c r="A2777" s="28">
        <v>43883</v>
      </c>
      <c r="B2777" s="25">
        <f>VLOOKUP(A2777,'Database Claims'!$A:$C,3,)</f>
        <v>196000</v>
      </c>
      <c r="C2777" s="29">
        <f t="shared" si="86"/>
        <v>6000</v>
      </c>
      <c r="D2777" s="25">
        <f>VLOOKUP(A2777,'Database Claims'!$A:$C,2,)</f>
        <v>1801000</v>
      </c>
      <c r="E2777" s="29">
        <f t="shared" si="87"/>
        <v>14000</v>
      </c>
    </row>
    <row r="2778" spans="1:5" s="59" customFormat="1" x14ac:dyDescent="0.2">
      <c r="A2778" s="28">
        <v>43890</v>
      </c>
      <c r="B2778" s="29">
        <f>VLOOKUP(A2778,'Database Claims'!$A:$C,3,)</f>
        <v>190000</v>
      </c>
      <c r="C2778" s="29">
        <f t="shared" si="86"/>
        <v>-6000</v>
      </c>
      <c r="D2778" s="29">
        <f>VLOOKUP(A2778,'Database Claims'!$A:$C,2,)</f>
        <v>1780000</v>
      </c>
      <c r="E2778" s="29">
        <f t="shared" si="87"/>
        <v>-21000</v>
      </c>
    </row>
    <row r="2779" spans="1:5" s="59" customFormat="1" x14ac:dyDescent="0.2">
      <c r="A2779" s="28">
        <v>43897</v>
      </c>
      <c r="B2779" s="25">
        <f>VLOOKUP(A2779,'Database Claims'!$A:$C,3,)</f>
        <v>186000</v>
      </c>
      <c r="C2779" s="29">
        <f t="shared" si="86"/>
        <v>-4000</v>
      </c>
      <c r="D2779" s="25">
        <f>VLOOKUP(A2779,'Database Claims'!$A:$C,2,)</f>
        <v>1763000</v>
      </c>
      <c r="E2779" s="29">
        <f t="shared" si="87"/>
        <v>-17000</v>
      </c>
    </row>
    <row r="2780" spans="1:5" s="59" customFormat="1" x14ac:dyDescent="0.2">
      <c r="A2780" s="28">
        <v>43904</v>
      </c>
      <c r="B2780" s="29">
        <f>VLOOKUP(A2780,'Database Claims'!$A:$C,3,)</f>
        <v>221000</v>
      </c>
      <c r="C2780" s="29">
        <f t="shared" si="86"/>
        <v>35000</v>
      </c>
      <c r="D2780" s="29">
        <f>VLOOKUP(A2780,'Database Claims'!$A:$C,2,)</f>
        <v>1834000</v>
      </c>
      <c r="E2780" s="29">
        <f t="shared" si="87"/>
        <v>71000</v>
      </c>
    </row>
    <row r="2781" spans="1:5" s="59" customFormat="1" x14ac:dyDescent="0.2">
      <c r="A2781" s="28">
        <v>43911</v>
      </c>
      <c r="B2781" s="25">
        <f>VLOOKUP(A2781,'Database Claims'!$A:$C,3,)</f>
        <v>2914000</v>
      </c>
      <c r="C2781" s="29">
        <f t="shared" si="86"/>
        <v>2693000</v>
      </c>
      <c r="D2781" s="25">
        <f>VLOOKUP(A2781,'Database Claims'!$A:$C,2,)</f>
        <v>3238000</v>
      </c>
      <c r="E2781" s="29">
        <f t="shared" si="87"/>
        <v>1404000</v>
      </c>
    </row>
    <row r="2782" spans="1:5" s="59" customFormat="1" x14ac:dyDescent="0.2">
      <c r="A2782" s="28">
        <v>43918</v>
      </c>
      <c r="B2782" s="29">
        <f>VLOOKUP(A2782,'Database Claims'!$A:$C,3,)</f>
        <v>5946000</v>
      </c>
      <c r="C2782" s="29">
        <f t="shared" si="86"/>
        <v>3032000</v>
      </c>
      <c r="D2782" s="29">
        <f>VLOOKUP(A2782,'Database Claims'!$A:$C,2,)</f>
        <v>8004000</v>
      </c>
      <c r="E2782" s="29">
        <f t="shared" si="87"/>
        <v>4766000</v>
      </c>
    </row>
    <row r="2783" spans="1:5" s="59" customFormat="1" x14ac:dyDescent="0.2">
      <c r="A2783" s="28">
        <v>43925</v>
      </c>
      <c r="B2783" s="25">
        <f>VLOOKUP(A2783,'Database Claims'!$A:$C,3,)</f>
        <v>6137000</v>
      </c>
      <c r="C2783" s="29">
        <f t="shared" si="86"/>
        <v>191000</v>
      </c>
      <c r="D2783" s="25">
        <f>VLOOKUP(A2783,'Database Claims'!$A:$C,2,)</f>
        <v>12396000</v>
      </c>
      <c r="E2783" s="29">
        <f t="shared" si="87"/>
        <v>4392000</v>
      </c>
    </row>
    <row r="2784" spans="1:5" s="59" customFormat="1" x14ac:dyDescent="0.2">
      <c r="A2784" s="28">
        <v>43932</v>
      </c>
      <c r="B2784" s="29">
        <f>VLOOKUP(A2784,'Database Claims'!$A:$C,3,)</f>
        <v>4869000</v>
      </c>
      <c r="C2784" s="29">
        <f t="shared" si="86"/>
        <v>-1268000</v>
      </c>
      <c r="D2784" s="29">
        <f>VLOOKUP(A2784,'Database Claims'!$A:$C,2,)</f>
        <v>16193000</v>
      </c>
      <c r="E2784" s="29">
        <f t="shared" si="87"/>
        <v>3797000</v>
      </c>
    </row>
    <row r="2785" spans="1:5" s="59" customFormat="1" x14ac:dyDescent="0.2">
      <c r="A2785" s="28">
        <v>43939</v>
      </c>
      <c r="B2785" s="25">
        <f>VLOOKUP(A2785,'Database Claims'!$A:$C,3,)</f>
        <v>4201000</v>
      </c>
      <c r="C2785" s="29">
        <f t="shared" si="86"/>
        <v>-668000</v>
      </c>
      <c r="D2785" s="25">
        <f>VLOOKUP(A2785,'Database Claims'!$A:$C,2,)</f>
        <v>17789000</v>
      </c>
      <c r="E2785" s="29">
        <f t="shared" si="87"/>
        <v>1596000</v>
      </c>
    </row>
    <row r="2786" spans="1:5" s="59" customFormat="1" x14ac:dyDescent="0.2">
      <c r="A2786" s="28">
        <v>43946</v>
      </c>
      <c r="B2786" s="29">
        <f>VLOOKUP(A2786,'Database Claims'!$A:$C,3,)</f>
        <v>3446000</v>
      </c>
      <c r="C2786" s="29">
        <f t="shared" si="86"/>
        <v>-755000</v>
      </c>
      <c r="D2786" s="29">
        <f>VLOOKUP(A2786,'Database Claims'!$A:$C,2,)</f>
        <v>21750000</v>
      </c>
      <c r="E2786" s="29">
        <f t="shared" si="87"/>
        <v>3961000</v>
      </c>
    </row>
    <row r="2787" spans="1:5" s="59" customFormat="1" x14ac:dyDescent="0.2">
      <c r="A2787" s="28">
        <v>43953</v>
      </c>
      <c r="B2787" s="25">
        <f>VLOOKUP(A2787,'Database Claims'!$A:$C,3,)</f>
        <v>2796000</v>
      </c>
      <c r="C2787" s="29">
        <f t="shared" si="86"/>
        <v>-650000</v>
      </c>
      <c r="D2787" s="25">
        <f>VLOOKUP(A2787,'Database Claims'!$A:$C,2,)</f>
        <v>20939000</v>
      </c>
      <c r="E2787" s="29">
        <f t="shared" si="87"/>
        <v>-811000</v>
      </c>
    </row>
    <row r="2788" spans="1:5" s="59" customFormat="1" x14ac:dyDescent="0.2">
      <c r="A2788" s="28">
        <v>43960</v>
      </c>
      <c r="B2788" s="29">
        <f>VLOOKUP(A2788,'Database Claims'!$A:$C,3,)</f>
        <v>2335000</v>
      </c>
      <c r="C2788" s="29">
        <f t="shared" si="86"/>
        <v>-461000</v>
      </c>
      <c r="D2788" s="29">
        <f>VLOOKUP(A2788,'Database Claims'!$A:$C,2,)</f>
        <v>23130000</v>
      </c>
      <c r="E2788" s="29">
        <f t="shared" si="87"/>
        <v>2191000</v>
      </c>
    </row>
    <row r="2789" spans="1:5" s="59" customFormat="1" x14ac:dyDescent="0.2">
      <c r="A2789" s="28">
        <v>43967</v>
      </c>
      <c r="B2789" s="25">
        <f>VLOOKUP(A2789,'Database Claims'!$A:$C,3,)</f>
        <v>2176000</v>
      </c>
      <c r="C2789" s="29">
        <f t="shared" si="86"/>
        <v>-159000</v>
      </c>
      <c r="D2789" s="25">
        <f>VLOOKUP(A2789,'Database Claims'!$A:$C,2,)</f>
        <v>19153000</v>
      </c>
      <c r="E2789" s="29">
        <f t="shared" si="87"/>
        <v>-3977000</v>
      </c>
    </row>
    <row r="2790" spans="1:5" s="59" customFormat="1" x14ac:dyDescent="0.2">
      <c r="A2790" s="28">
        <v>43974</v>
      </c>
      <c r="B2790" s="29">
        <f>VLOOKUP(A2790,'Database Claims'!$A:$C,3,)</f>
        <v>1921000</v>
      </c>
      <c r="C2790" s="29">
        <f t="shared" si="86"/>
        <v>-255000</v>
      </c>
      <c r="D2790" s="29">
        <f>VLOOKUP(A2790,'Database Claims'!$A:$C,2,)</f>
        <v>19194000</v>
      </c>
      <c r="E2790" s="29">
        <f t="shared" si="87"/>
        <v>41000</v>
      </c>
    </row>
    <row r="2791" spans="1:5" s="59" customFormat="1" x14ac:dyDescent="0.2">
      <c r="A2791" s="28">
        <v>43981</v>
      </c>
      <c r="B2791" s="25">
        <f>VLOOKUP(A2791,'Database Claims'!$A:$C,3,)</f>
        <v>1639000</v>
      </c>
      <c r="C2791" s="29">
        <f t="shared" si="86"/>
        <v>-282000</v>
      </c>
      <c r="D2791" s="25">
        <f>VLOOKUP(A2791,'Database Claims'!$A:$C,2,)</f>
        <v>19216000</v>
      </c>
      <c r="E2791" s="29">
        <f t="shared" si="87"/>
        <v>22000</v>
      </c>
    </row>
    <row r="2792" spans="1:5" s="59" customFormat="1" x14ac:dyDescent="0.2">
      <c r="A2792" s="28">
        <v>43988</v>
      </c>
      <c r="B2792" s="29">
        <f>VLOOKUP(A2792,'Database Claims'!$A:$C,3,)</f>
        <v>1575000</v>
      </c>
      <c r="C2792" s="29">
        <f t="shared" si="86"/>
        <v>-64000</v>
      </c>
      <c r="D2792" s="29">
        <f>VLOOKUP(A2792,'Database Claims'!$A:$C,2,)</f>
        <v>18743000</v>
      </c>
      <c r="E2792" s="29">
        <f t="shared" si="87"/>
        <v>-473000</v>
      </c>
    </row>
    <row r="2793" spans="1:5" s="59" customFormat="1" x14ac:dyDescent="0.2">
      <c r="A2793" s="28">
        <v>43995</v>
      </c>
      <c r="B2793" s="25">
        <f>VLOOKUP(A2793,'Database Claims'!$A:$C,3,)</f>
        <v>1473000</v>
      </c>
      <c r="C2793" s="29">
        <f t="shared" si="86"/>
        <v>-102000</v>
      </c>
      <c r="D2793" s="25">
        <f>VLOOKUP(A2793,'Database Claims'!$A:$C,2,)</f>
        <v>17860000</v>
      </c>
      <c r="E2793" s="29">
        <f t="shared" si="87"/>
        <v>-883000</v>
      </c>
    </row>
    <row r="2794" spans="1:5" s="59" customFormat="1" x14ac:dyDescent="0.2">
      <c r="A2794" s="28">
        <v>44002</v>
      </c>
      <c r="B2794" s="29">
        <f>VLOOKUP(A2794,'Database Claims'!$A:$C,3,)</f>
        <v>1467000</v>
      </c>
      <c r="C2794" s="29">
        <f t="shared" si="86"/>
        <v>-6000</v>
      </c>
      <c r="D2794" s="29">
        <f>VLOOKUP(A2794,'Database Claims'!$A:$C,2,)</f>
        <v>17501000</v>
      </c>
      <c r="E2794" s="29">
        <f t="shared" si="87"/>
        <v>-359000</v>
      </c>
    </row>
    <row r="2795" spans="1:5" s="59" customFormat="1" x14ac:dyDescent="0.2">
      <c r="A2795" s="28">
        <v>44009</v>
      </c>
      <c r="B2795" s="25">
        <f>VLOOKUP(A2795,'Database Claims'!$A:$C,3,)</f>
        <v>1446000</v>
      </c>
      <c r="C2795" s="29">
        <f t="shared" si="86"/>
        <v>-21000</v>
      </c>
      <c r="D2795" s="25">
        <f>VLOOKUP(A2795,'Database Claims'!$A:$C,2,)</f>
        <v>16610000</v>
      </c>
      <c r="E2795" s="29">
        <f t="shared" si="87"/>
        <v>-891000</v>
      </c>
    </row>
    <row r="2796" spans="1:5" s="59" customFormat="1" x14ac:dyDescent="0.2">
      <c r="A2796" s="28">
        <v>44016</v>
      </c>
      <c r="B2796" s="29">
        <f>VLOOKUP(A2796,'Database Claims'!$A:$C,3,)</f>
        <v>1413000</v>
      </c>
      <c r="C2796" s="29">
        <f t="shared" si="86"/>
        <v>-33000</v>
      </c>
      <c r="D2796" s="29">
        <f>VLOOKUP(A2796,'Database Claims'!$A:$C,2,)</f>
        <v>17273000</v>
      </c>
      <c r="E2796" s="29">
        <f t="shared" si="87"/>
        <v>663000</v>
      </c>
    </row>
    <row r="2797" spans="1:5" s="59" customFormat="1" x14ac:dyDescent="0.2">
      <c r="A2797" s="28">
        <v>44023</v>
      </c>
      <c r="B2797" s="25">
        <f>VLOOKUP(A2797,'Database Claims'!$A:$C,3,)</f>
        <v>1468000</v>
      </c>
      <c r="C2797" s="29">
        <f t="shared" si="86"/>
        <v>55000</v>
      </c>
      <c r="D2797" s="25">
        <f>VLOOKUP(A2797,'Database Claims'!$A:$C,2,)</f>
        <v>16251000</v>
      </c>
      <c r="E2797" s="29">
        <f t="shared" si="87"/>
        <v>-1022000</v>
      </c>
    </row>
    <row r="2798" spans="1:5" s="59" customFormat="1" x14ac:dyDescent="0.2">
      <c r="A2798" s="28">
        <v>44030</v>
      </c>
      <c r="B2798" s="29">
        <f>VLOOKUP(A2798,'Database Claims'!$A:$C,3,)</f>
        <v>1393000</v>
      </c>
      <c r="C2798" s="29">
        <f t="shared" si="86"/>
        <v>-75000</v>
      </c>
      <c r="D2798" s="29">
        <f>VLOOKUP(A2798,'Database Claims'!$A:$C,2,)</f>
        <v>16799000</v>
      </c>
      <c r="E2798" s="29">
        <f t="shared" si="87"/>
        <v>548000</v>
      </c>
    </row>
    <row r="2799" spans="1:5" s="59" customFormat="1" x14ac:dyDescent="0.2">
      <c r="A2799" s="28">
        <v>44037</v>
      </c>
      <c r="B2799" s="25">
        <f>VLOOKUP(A2799,'Database Claims'!$A:$C,3,)</f>
        <v>1260000</v>
      </c>
      <c r="C2799" s="29">
        <f t="shared" si="86"/>
        <v>-133000</v>
      </c>
      <c r="D2799" s="25">
        <f>VLOOKUP(A2799,'Database Claims'!$A:$C,2,)</f>
        <v>15929000</v>
      </c>
      <c r="E2799" s="29">
        <f t="shared" si="87"/>
        <v>-870000</v>
      </c>
    </row>
    <row r="2800" spans="1:5" s="59" customFormat="1" x14ac:dyDescent="0.2">
      <c r="A2800" s="28">
        <v>44044</v>
      </c>
      <c r="B2800" s="29">
        <f>VLOOKUP(A2800,'Database Claims'!$A:$C,3,)</f>
        <v>1044000</v>
      </c>
      <c r="C2800" s="29">
        <f t="shared" si="86"/>
        <v>-216000</v>
      </c>
      <c r="D2800" s="29">
        <f>VLOOKUP(A2800,'Database Claims'!$A:$C,2,)</f>
        <v>15255000</v>
      </c>
      <c r="E2800" s="29">
        <f t="shared" si="87"/>
        <v>-674000</v>
      </c>
    </row>
    <row r="2801" spans="1:5" s="59" customFormat="1" x14ac:dyDescent="0.2">
      <c r="A2801" s="28">
        <v>44051</v>
      </c>
      <c r="B2801" s="25">
        <f>VLOOKUP(A2801,'Database Claims'!$A:$C,3,)</f>
        <v>884000</v>
      </c>
      <c r="C2801" s="29">
        <f t="shared" si="86"/>
        <v>-160000</v>
      </c>
      <c r="D2801" s="25">
        <f>VLOOKUP(A2801,'Database Claims'!$A:$C,2,)</f>
        <v>14184000</v>
      </c>
      <c r="E2801" s="29">
        <f t="shared" si="87"/>
        <v>-1071000</v>
      </c>
    </row>
    <row r="2802" spans="1:5" s="59" customFormat="1" x14ac:dyDescent="0.2">
      <c r="A2802" s="28">
        <v>44058</v>
      </c>
      <c r="B2802" s="29">
        <f>VLOOKUP(A2802,'Database Claims'!$A:$C,3,)</f>
        <v>927000</v>
      </c>
      <c r="C2802" s="29">
        <f t="shared" si="86"/>
        <v>43000</v>
      </c>
      <c r="D2802" s="29">
        <f>VLOOKUP(A2802,'Database Claims'!$A:$C,2,)</f>
        <v>13910000</v>
      </c>
      <c r="E2802" s="29">
        <f t="shared" si="87"/>
        <v>-274000</v>
      </c>
    </row>
    <row r="2803" spans="1:5" s="59" customFormat="1" x14ac:dyDescent="0.2">
      <c r="A2803" s="28">
        <v>44065</v>
      </c>
      <c r="B2803" s="25">
        <f>VLOOKUP(A2803,'Database Claims'!$A:$C,3,)</f>
        <v>876000</v>
      </c>
      <c r="C2803" s="29">
        <f t="shared" si="86"/>
        <v>-51000</v>
      </c>
      <c r="D2803" s="25">
        <f>VLOOKUP(A2803,'Database Claims'!$A:$C,2,)</f>
        <v>13217000</v>
      </c>
      <c r="E2803" s="29">
        <f t="shared" si="87"/>
        <v>-693000</v>
      </c>
    </row>
    <row r="2804" spans="1:5" s="59" customFormat="1" x14ac:dyDescent="0.2">
      <c r="A2804" s="28">
        <v>44072</v>
      </c>
      <c r="B2804" s="29">
        <f>VLOOKUP(A2804,'Database Claims'!$A:$C,3,)</f>
        <v>881000</v>
      </c>
      <c r="C2804" s="29">
        <f t="shared" si="86"/>
        <v>5000</v>
      </c>
      <c r="D2804" s="29">
        <f>VLOOKUP(A2804,'Database Claims'!$A:$C,2,)</f>
        <v>13501000</v>
      </c>
      <c r="E2804" s="29">
        <f t="shared" si="87"/>
        <v>284000</v>
      </c>
    </row>
    <row r="2805" spans="1:5" s="59" customFormat="1" x14ac:dyDescent="0.2">
      <c r="A2805" s="28">
        <v>44079</v>
      </c>
      <c r="B2805" s="25">
        <f>VLOOKUP(A2805,'Database Claims'!$A:$C,3,)</f>
        <v>892000</v>
      </c>
      <c r="C2805" s="29">
        <f t="shared" si="86"/>
        <v>11000</v>
      </c>
      <c r="D2805" s="25">
        <f>VLOOKUP(A2805,'Database Claims'!$A:$C,2,)</f>
        <v>12765000</v>
      </c>
      <c r="E2805" s="29">
        <f t="shared" si="87"/>
        <v>-736000</v>
      </c>
    </row>
    <row r="2806" spans="1:5" s="59" customFormat="1" x14ac:dyDescent="0.2">
      <c r="A2806" s="28">
        <v>44086</v>
      </c>
      <c r="B2806" s="29">
        <f>VLOOKUP(A2806,'Database Claims'!$A:$C,3,)</f>
        <v>861000</v>
      </c>
      <c r="C2806" s="29">
        <f t="shared" si="86"/>
        <v>-31000</v>
      </c>
      <c r="D2806" s="29">
        <f>VLOOKUP(A2806,'Database Claims'!$A:$C,2,)</f>
        <v>12684000</v>
      </c>
      <c r="E2806" s="29">
        <f t="shared" si="87"/>
        <v>-81000</v>
      </c>
    </row>
    <row r="2807" spans="1:5" s="59" customFormat="1" x14ac:dyDescent="0.2">
      <c r="A2807" s="28">
        <v>44093</v>
      </c>
      <c r="B2807" s="25">
        <f>VLOOKUP(A2807,'Database Claims'!$A:$C,3,)</f>
        <v>859000</v>
      </c>
      <c r="C2807" s="29">
        <f t="shared" si="86"/>
        <v>-2000</v>
      </c>
      <c r="D2807" s="25">
        <f>VLOOKUP(A2807,'Database Claims'!$A:$C,2,)</f>
        <v>11367000</v>
      </c>
      <c r="E2807" s="29">
        <f t="shared" si="87"/>
        <v>-1317000</v>
      </c>
    </row>
    <row r="2808" spans="1:5" s="59" customFormat="1" x14ac:dyDescent="0.2">
      <c r="A2808" s="28">
        <v>44100</v>
      </c>
      <c r="B2808" s="29">
        <f>VLOOKUP(A2808,'Database Claims'!$A:$C,3,)</f>
        <v>795000</v>
      </c>
      <c r="C2808" s="29">
        <f t="shared" si="86"/>
        <v>-64000</v>
      </c>
      <c r="D2808" s="29">
        <f>VLOOKUP(A2808,'Database Claims'!$A:$C,2,)</f>
        <v>10481000</v>
      </c>
      <c r="E2808" s="29">
        <f t="shared" si="87"/>
        <v>-886000</v>
      </c>
    </row>
    <row r="2809" spans="1:5" s="59" customFormat="1" x14ac:dyDescent="0.2">
      <c r="A2809" s="28">
        <v>44107</v>
      </c>
      <c r="B2809" s="25">
        <f>VLOOKUP(A2809,'Database Claims'!$A:$C,3,)</f>
        <v>785000</v>
      </c>
      <c r="C2809" s="29">
        <f t="shared" si="86"/>
        <v>-10000</v>
      </c>
      <c r="D2809" s="25">
        <f>VLOOKUP(A2809,'Database Claims'!$A:$C,2,)</f>
        <v>9270000</v>
      </c>
      <c r="E2809" s="29">
        <f t="shared" si="87"/>
        <v>-1211000</v>
      </c>
    </row>
    <row r="2810" spans="1:5" s="59" customFormat="1" x14ac:dyDescent="0.2">
      <c r="A2810" s="28">
        <v>44114</v>
      </c>
      <c r="B2810" s="29">
        <f>VLOOKUP(A2810,'Database Claims'!$A:$C,3,)</f>
        <v>839000</v>
      </c>
      <c r="C2810" s="29">
        <f t="shared" si="86"/>
        <v>54000</v>
      </c>
      <c r="D2810" s="29">
        <f>VLOOKUP(A2810,'Database Claims'!$A:$C,2,)</f>
        <v>8425000</v>
      </c>
      <c r="E2810" s="29">
        <f t="shared" si="87"/>
        <v>-845000</v>
      </c>
    </row>
    <row r="2811" spans="1:5" s="59" customFormat="1" x14ac:dyDescent="0.2">
      <c r="A2811" s="28">
        <v>44121</v>
      </c>
      <c r="B2811" s="25">
        <f>VLOOKUP(A2811,'Database Claims'!$A:$C,3,)</f>
        <v>804000</v>
      </c>
      <c r="C2811" s="29">
        <f t="shared" si="86"/>
        <v>-35000</v>
      </c>
      <c r="D2811" s="25">
        <f>VLOOKUP(A2811,'Database Claims'!$A:$C,2,)</f>
        <v>7777000</v>
      </c>
      <c r="E2811" s="29">
        <f t="shared" si="87"/>
        <v>-648000</v>
      </c>
    </row>
    <row r="2812" spans="1:5" s="59" customFormat="1" x14ac:dyDescent="0.2">
      <c r="A2812" s="28">
        <v>44128</v>
      </c>
      <c r="B2812" s="29">
        <f>VLOOKUP(A2812,'Database Claims'!$A:$C,3,)</f>
        <v>776000</v>
      </c>
      <c r="C2812" s="29">
        <f t="shared" si="86"/>
        <v>-28000</v>
      </c>
      <c r="D2812" s="29">
        <f>VLOOKUP(A2812,'Database Claims'!$A:$C,2,)</f>
        <v>7180000</v>
      </c>
      <c r="E2812" s="29">
        <f t="shared" si="87"/>
        <v>-597000</v>
      </c>
    </row>
    <row r="2813" spans="1:5" s="59" customFormat="1" x14ac:dyDescent="0.2">
      <c r="A2813" s="28">
        <v>44135</v>
      </c>
      <c r="B2813" s="25">
        <f>VLOOKUP(A2813,'Database Claims'!$A:$C,3,)</f>
        <v>773000</v>
      </c>
      <c r="C2813" s="29">
        <f t="shared" si="86"/>
        <v>-3000</v>
      </c>
      <c r="D2813" s="25">
        <f>VLOOKUP(A2813,'Database Claims'!$A:$C,2,)</f>
        <v>6705000</v>
      </c>
      <c r="E2813" s="29">
        <f t="shared" si="87"/>
        <v>-475000</v>
      </c>
    </row>
    <row r="2814" spans="1:5" s="59" customFormat="1" x14ac:dyDescent="0.2">
      <c r="A2814" s="28">
        <v>44142</v>
      </c>
      <c r="B2814" s="29">
        <f>VLOOKUP(A2814,'Database Claims'!$A:$C,3,)</f>
        <v>737000</v>
      </c>
      <c r="C2814" s="29">
        <f t="shared" si="86"/>
        <v>-36000</v>
      </c>
      <c r="D2814" s="29">
        <f>VLOOKUP(A2814,'Database Claims'!$A:$C,2,)</f>
        <v>6341000</v>
      </c>
      <c r="E2814" s="29">
        <f t="shared" si="87"/>
        <v>-364000</v>
      </c>
    </row>
    <row r="2815" spans="1:5" s="59" customFormat="1" x14ac:dyDescent="0.2">
      <c r="A2815" s="28">
        <v>44149</v>
      </c>
      <c r="B2815" s="25">
        <f>VLOOKUP(A2815,'Database Claims'!$A:$C,3,)</f>
        <v>738000</v>
      </c>
      <c r="C2815" s="29">
        <f t="shared" si="86"/>
        <v>1000</v>
      </c>
      <c r="D2815" s="25">
        <f>VLOOKUP(A2815,'Database Claims'!$A:$C,2,)</f>
        <v>6088000</v>
      </c>
      <c r="E2815" s="29">
        <f t="shared" si="87"/>
        <v>-253000</v>
      </c>
    </row>
    <row r="2816" spans="1:5" s="59" customFormat="1" x14ac:dyDescent="0.2">
      <c r="A2816" s="28">
        <v>44156</v>
      </c>
      <c r="B2816" s="29">
        <f>VLOOKUP(A2816,'Database Claims'!$A:$C,3,)</f>
        <v>793000</v>
      </c>
      <c r="C2816" s="29">
        <f t="shared" si="86"/>
        <v>55000</v>
      </c>
      <c r="D2816" s="29">
        <f>VLOOKUP(A2816,'Database Claims'!$A:$C,2,)</f>
        <v>5580000</v>
      </c>
      <c r="E2816" s="29">
        <f t="shared" si="87"/>
        <v>-508000</v>
      </c>
    </row>
    <row r="2817" spans="1:5" s="59" customFormat="1" x14ac:dyDescent="0.2">
      <c r="A2817" s="28">
        <v>44163</v>
      </c>
      <c r="B2817" s="25">
        <f>VLOOKUP(A2817,'Database Claims'!$A:$C,3,)</f>
        <v>737000</v>
      </c>
      <c r="C2817" s="29">
        <f t="shared" si="86"/>
        <v>-56000</v>
      </c>
      <c r="D2817" s="25">
        <f>VLOOKUP(A2817,'Database Claims'!$A:$C,2,)</f>
        <v>5784000</v>
      </c>
      <c r="E2817" s="29">
        <f t="shared" si="87"/>
        <v>204000</v>
      </c>
    </row>
    <row r="2818" spans="1:5" s="59" customFormat="1" x14ac:dyDescent="0.2">
      <c r="A2818" s="28">
        <v>44170</v>
      </c>
      <c r="B2818" s="29">
        <f>VLOOKUP(A2818,'Database Claims'!$A:$C,3,)</f>
        <v>873000</v>
      </c>
      <c r="C2818" s="29">
        <f t="shared" si="86"/>
        <v>136000</v>
      </c>
      <c r="D2818" s="29">
        <f>VLOOKUP(A2818,'Database Claims'!$A:$C,2,)</f>
        <v>5609000</v>
      </c>
      <c r="E2818" s="29">
        <f t="shared" si="87"/>
        <v>-175000</v>
      </c>
    </row>
    <row r="2819" spans="1:5" s="59" customFormat="1" x14ac:dyDescent="0.2">
      <c r="A2819" s="28">
        <v>44177</v>
      </c>
      <c r="B2819" s="25">
        <f>VLOOKUP(A2819,'Database Claims'!$A:$C,3,)</f>
        <v>886000</v>
      </c>
      <c r="C2819" s="29">
        <f t="shared" si="86"/>
        <v>13000</v>
      </c>
      <c r="D2819" s="25">
        <f>VLOOKUP(A2819,'Database Claims'!$A:$C,2,)</f>
        <v>5416000</v>
      </c>
      <c r="E2819" s="29">
        <f t="shared" si="87"/>
        <v>-193000</v>
      </c>
    </row>
    <row r="2820" spans="1:5" s="59" customFormat="1" x14ac:dyDescent="0.2">
      <c r="A2820" s="28">
        <v>44184</v>
      </c>
      <c r="B2820" s="29">
        <f>VLOOKUP(A2820,'Database Claims'!$A:$C,3,)</f>
        <v>815000</v>
      </c>
      <c r="C2820" s="29">
        <f t="shared" si="86"/>
        <v>-71000</v>
      </c>
      <c r="D2820" s="29">
        <f>VLOOKUP(A2820,'Database Claims'!$A:$C,2,)</f>
        <v>5332000</v>
      </c>
      <c r="E2820" s="29">
        <f t="shared" si="87"/>
        <v>-84000</v>
      </c>
    </row>
    <row r="2821" spans="1:5" s="59" customFormat="1" x14ac:dyDescent="0.2">
      <c r="A2821" s="28">
        <v>44191</v>
      </c>
      <c r="B2821" s="25">
        <f>VLOOKUP(A2821,'Database Claims'!$A:$C,3,)</f>
        <v>773000</v>
      </c>
      <c r="C2821" s="29">
        <f t="shared" si="86"/>
        <v>-42000</v>
      </c>
      <c r="D2821" s="25">
        <f>VLOOKUP(A2821,'Database Claims'!$A:$C,2,)</f>
        <v>5181000</v>
      </c>
      <c r="E2821" s="29">
        <f t="shared" si="87"/>
        <v>-151000</v>
      </c>
    </row>
    <row r="2822" spans="1:5" s="59" customFormat="1" x14ac:dyDescent="0.2">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9" customFormat="1" x14ac:dyDescent="0.2">
      <c r="A2823" s="28">
        <v>44205</v>
      </c>
      <c r="B2823" s="25">
        <f>VLOOKUP(A2823,'Database Claims'!$A:$C,3,)</f>
        <v>890000</v>
      </c>
      <c r="C2823" s="29">
        <f t="shared" si="88"/>
        <v>87000</v>
      </c>
      <c r="D2823" s="25">
        <f>VLOOKUP(A2823,'Database Claims'!$A:$C,2,)</f>
        <v>5069000</v>
      </c>
      <c r="E2823" s="29">
        <f t="shared" si="89"/>
        <v>-261000</v>
      </c>
    </row>
    <row r="2824" spans="1:5" s="59" customFormat="1" x14ac:dyDescent="0.2">
      <c r="A2824" s="28">
        <v>44212</v>
      </c>
      <c r="B2824" s="29">
        <f>VLOOKUP(A2824,'Database Claims'!$A:$C,3,)</f>
        <v>844000</v>
      </c>
      <c r="C2824" s="29">
        <f t="shared" si="88"/>
        <v>-46000</v>
      </c>
      <c r="D2824" s="29">
        <f>VLOOKUP(A2824,'Database Claims'!$A:$C,2,)</f>
        <v>4877000</v>
      </c>
      <c r="E2824" s="29">
        <f t="shared" si="89"/>
        <v>-192000</v>
      </c>
    </row>
    <row r="2825" spans="1:5" s="59" customFormat="1" x14ac:dyDescent="0.2">
      <c r="A2825" s="28">
        <v>44219</v>
      </c>
      <c r="B2825" s="25">
        <f>VLOOKUP(A2825,'Database Claims'!$A:$C,3,)</f>
        <v>799000</v>
      </c>
      <c r="C2825" s="29">
        <f t="shared" si="88"/>
        <v>-45000</v>
      </c>
      <c r="D2825" s="25">
        <f>VLOOKUP(A2825,'Database Claims'!$A:$C,2,)</f>
        <v>4789000</v>
      </c>
      <c r="E2825" s="29">
        <f t="shared" si="89"/>
        <v>-88000</v>
      </c>
    </row>
    <row r="2826" spans="1:5" s="59" customFormat="1" x14ac:dyDescent="0.2">
      <c r="A2826" s="28">
        <v>44226</v>
      </c>
      <c r="B2826" s="29">
        <f>VLOOKUP(A2826,'Database Claims'!$A:$C,3,)</f>
        <v>803000</v>
      </c>
      <c r="C2826" s="29">
        <f t="shared" si="88"/>
        <v>4000</v>
      </c>
      <c r="D2826" s="29">
        <f>VLOOKUP(A2826,'Database Claims'!$A:$C,2,)</f>
        <v>4658000</v>
      </c>
      <c r="E2826" s="29">
        <f t="shared" si="89"/>
        <v>-131000</v>
      </c>
    </row>
    <row r="2827" spans="1:5" s="59" customFormat="1" x14ac:dyDescent="0.2">
      <c r="A2827" s="28">
        <v>44233</v>
      </c>
      <c r="B2827" s="25">
        <f>VLOOKUP(A2827,'Database Claims'!$A:$C,3,)</f>
        <v>812000</v>
      </c>
      <c r="C2827" s="29">
        <f t="shared" si="88"/>
        <v>9000</v>
      </c>
      <c r="D2827" s="25">
        <f>VLOOKUP(A2827,'Database Claims'!$A:$C,2,)</f>
        <v>4599000</v>
      </c>
      <c r="E2827" s="29">
        <f t="shared" si="89"/>
        <v>-59000</v>
      </c>
    </row>
    <row r="2828" spans="1:5" s="59" customFormat="1" x14ac:dyDescent="0.2">
      <c r="A2828" s="28">
        <v>44240</v>
      </c>
      <c r="B2828" s="29">
        <f>VLOOKUP(A2828,'Database Claims'!$A:$C,3,)</f>
        <v>802000</v>
      </c>
      <c r="C2828" s="29">
        <f t="shared" si="88"/>
        <v>-10000</v>
      </c>
      <c r="D2828" s="29">
        <f>VLOOKUP(A2828,'Database Claims'!$A:$C,2,)</f>
        <v>4495000</v>
      </c>
      <c r="E2828" s="29">
        <f t="shared" si="89"/>
        <v>-104000</v>
      </c>
    </row>
    <row r="2829" spans="1:5" s="59" customFormat="1" x14ac:dyDescent="0.2">
      <c r="A2829" s="28">
        <v>44247</v>
      </c>
      <c r="B2829" s="25">
        <f>VLOOKUP(A2829,'Database Claims'!$A:$C,3,)</f>
        <v>702000</v>
      </c>
      <c r="C2829" s="29">
        <f t="shared" si="88"/>
        <v>-100000</v>
      </c>
      <c r="D2829" s="25">
        <f>VLOOKUP(A2829,'Database Claims'!$A:$C,2,)</f>
        <v>4406000</v>
      </c>
      <c r="E2829" s="29">
        <f t="shared" si="89"/>
        <v>-89000</v>
      </c>
    </row>
    <row r="2830" spans="1:5" s="59" customFormat="1" x14ac:dyDescent="0.2">
      <c r="A2830" s="28">
        <v>44254</v>
      </c>
      <c r="B2830" s="29">
        <f>VLOOKUP(A2830,'Database Claims'!$A:$C,3,)</f>
        <v>704000</v>
      </c>
      <c r="C2830" s="29">
        <f t="shared" si="88"/>
        <v>2000</v>
      </c>
      <c r="D2830" s="29">
        <f>VLOOKUP(A2830,'Database Claims'!$A:$C,2,)</f>
        <v>4227000</v>
      </c>
      <c r="E2830" s="29">
        <f t="shared" si="89"/>
        <v>-179000</v>
      </c>
    </row>
    <row r="2831" spans="1:5" s="59" customFormat="1" x14ac:dyDescent="0.2">
      <c r="A2831" s="28">
        <v>44261</v>
      </c>
      <c r="B2831" s="25">
        <f>VLOOKUP(A2831,'Database Claims'!$A:$C,3,)</f>
        <v>693000</v>
      </c>
      <c r="C2831" s="29">
        <f t="shared" si="88"/>
        <v>-11000</v>
      </c>
      <c r="D2831" s="25">
        <f>VLOOKUP(A2831,'Database Claims'!$A:$C,2,)</f>
        <v>4185000</v>
      </c>
      <c r="E2831" s="29">
        <f t="shared" si="89"/>
        <v>-42000</v>
      </c>
    </row>
    <row r="2832" spans="1:5" s="59" customFormat="1" x14ac:dyDescent="0.2">
      <c r="A2832" s="28">
        <v>44268</v>
      </c>
      <c r="B2832" s="29">
        <f>VLOOKUP(A2832,'Database Claims'!$A:$C,3,)</f>
        <v>699000</v>
      </c>
      <c r="C2832" s="29">
        <f t="shared" si="88"/>
        <v>6000</v>
      </c>
      <c r="D2832" s="29">
        <f>VLOOKUP(A2832,'Database Claims'!$A:$C,2,)</f>
        <v>3970000</v>
      </c>
      <c r="E2832" s="29">
        <f t="shared" si="89"/>
        <v>-215000</v>
      </c>
    </row>
    <row r="2833" spans="1:5" s="59" customFormat="1" x14ac:dyDescent="0.2">
      <c r="A2833" s="28">
        <v>44275</v>
      </c>
      <c r="B2833" s="25">
        <f>VLOOKUP(A2833,'Database Claims'!$A:$C,3,)</f>
        <v>627000</v>
      </c>
      <c r="C2833" s="29">
        <f t="shared" si="88"/>
        <v>-72000</v>
      </c>
      <c r="D2833" s="25">
        <f>VLOOKUP(A2833,'Database Claims'!$A:$C,2,)</f>
        <v>3887000</v>
      </c>
      <c r="E2833" s="29">
        <f t="shared" si="89"/>
        <v>-83000</v>
      </c>
    </row>
    <row r="2834" spans="1:5" s="59" customFormat="1" x14ac:dyDescent="0.2">
      <c r="A2834" s="28">
        <v>44282</v>
      </c>
      <c r="B2834" s="29">
        <f>VLOOKUP(A2834,'Database Claims'!$A:$C,3,)</f>
        <v>658000</v>
      </c>
      <c r="C2834" s="29">
        <f t="shared" si="88"/>
        <v>31000</v>
      </c>
      <c r="D2834" s="29">
        <f>VLOOKUP(A2834,'Database Claims'!$A:$C,2,)</f>
        <v>3859000</v>
      </c>
      <c r="E2834" s="29">
        <f t="shared" si="89"/>
        <v>-28000</v>
      </c>
    </row>
    <row r="2835" spans="1:5" s="59" customFormat="1" x14ac:dyDescent="0.2">
      <c r="A2835" s="28">
        <v>44289</v>
      </c>
      <c r="B2835" s="25">
        <f>VLOOKUP(A2835,'Database Claims'!$A:$C,3,)</f>
        <v>645000</v>
      </c>
      <c r="C2835" s="29">
        <f t="shared" si="88"/>
        <v>-13000</v>
      </c>
      <c r="D2835" s="25">
        <f>VLOOKUP(A2835,'Database Claims'!$A:$C,2,)</f>
        <v>3830000</v>
      </c>
      <c r="E2835" s="29">
        <f t="shared" si="89"/>
        <v>-29000</v>
      </c>
    </row>
    <row r="2836" spans="1:5" s="59" customFormat="1" x14ac:dyDescent="0.2">
      <c r="A2836" s="28">
        <v>44296</v>
      </c>
      <c r="B2836" s="29">
        <f>VLOOKUP(A2836,'Database Claims'!$A:$C,3,)</f>
        <v>571000</v>
      </c>
      <c r="C2836" s="29">
        <f t="shared" si="88"/>
        <v>-74000</v>
      </c>
      <c r="D2836" s="29">
        <f>VLOOKUP(A2836,'Database Claims'!$A:$C,2,)</f>
        <v>3779000</v>
      </c>
      <c r="E2836" s="29">
        <f t="shared" si="89"/>
        <v>-51000</v>
      </c>
    </row>
    <row r="2837" spans="1:5" s="59" customFormat="1" x14ac:dyDescent="0.2">
      <c r="A2837" s="28">
        <v>44303</v>
      </c>
      <c r="B2837" s="25">
        <f>VLOOKUP(A2837,'Database Claims'!$A:$C,3,)</f>
        <v>566000</v>
      </c>
      <c r="C2837" s="29">
        <f t="shared" si="88"/>
        <v>-5000</v>
      </c>
      <c r="D2837" s="25">
        <f>VLOOKUP(A2837,'Database Claims'!$A:$C,2,)</f>
        <v>3776000</v>
      </c>
      <c r="E2837" s="29">
        <f t="shared" si="89"/>
        <v>-3000</v>
      </c>
    </row>
    <row r="2838" spans="1:5" s="59" customFormat="1" x14ac:dyDescent="0.2">
      <c r="A2838" s="28">
        <v>44310</v>
      </c>
      <c r="B2838" s="29">
        <f>VLOOKUP(A2838,'Database Claims'!$A:$C,3,)</f>
        <v>574000</v>
      </c>
      <c r="C2838" s="29">
        <f t="shared" si="88"/>
        <v>8000</v>
      </c>
      <c r="D2838" s="29">
        <f>VLOOKUP(A2838,'Database Claims'!$A:$C,2,)</f>
        <v>3767000</v>
      </c>
      <c r="E2838" s="29">
        <f t="shared" si="89"/>
        <v>-9000</v>
      </c>
    </row>
    <row r="2839" spans="1:5" s="59" customFormat="1" x14ac:dyDescent="0.2">
      <c r="A2839" s="28">
        <v>44317</v>
      </c>
      <c r="B2839" s="25">
        <f>VLOOKUP(A2839,'Database Claims'!$A:$C,3,)</f>
        <v>517000</v>
      </c>
      <c r="C2839" s="29">
        <f t="shared" si="88"/>
        <v>-57000</v>
      </c>
      <c r="D2839" s="25">
        <f>VLOOKUP(A2839,'Database Claims'!$A:$C,2,)</f>
        <v>3756000</v>
      </c>
      <c r="E2839" s="29">
        <f t="shared" si="89"/>
        <v>-11000</v>
      </c>
    </row>
    <row r="2840" spans="1:5" s="59" customFormat="1" x14ac:dyDescent="0.2">
      <c r="A2840" s="28">
        <v>44324</v>
      </c>
      <c r="B2840" s="29">
        <f>VLOOKUP(A2840,'Database Claims'!$A:$C,3,)</f>
        <v>494000</v>
      </c>
      <c r="C2840" s="29">
        <f t="shared" si="88"/>
        <v>-23000</v>
      </c>
      <c r="D2840" s="29">
        <f>VLOOKUP(A2840,'Database Claims'!$A:$C,2,)</f>
        <v>3737000</v>
      </c>
      <c r="E2840" s="29">
        <f t="shared" si="89"/>
        <v>-19000</v>
      </c>
    </row>
    <row r="2841" spans="1:5" s="59" customFormat="1" x14ac:dyDescent="0.2">
      <c r="A2841" s="28">
        <v>44331</v>
      </c>
      <c r="B2841" s="25">
        <f>VLOOKUP(A2841,'Database Claims'!$A:$C,3,)</f>
        <v>467000</v>
      </c>
      <c r="C2841" s="29">
        <f t="shared" si="88"/>
        <v>-27000</v>
      </c>
      <c r="D2841" s="25">
        <f>VLOOKUP(A2841,'Database Claims'!$A:$C,2,)</f>
        <v>3618000</v>
      </c>
      <c r="E2841" s="29">
        <f t="shared" si="89"/>
        <v>-119000</v>
      </c>
    </row>
    <row r="2842" spans="1:5" s="59" customFormat="1" x14ac:dyDescent="0.2">
      <c r="A2842" s="28">
        <v>44338</v>
      </c>
      <c r="B2842" s="29">
        <f>VLOOKUP(A2842,'Database Claims'!$A:$C,3,)</f>
        <v>441000</v>
      </c>
      <c r="C2842" s="29">
        <f t="shared" si="88"/>
        <v>-26000</v>
      </c>
      <c r="D2842" s="29">
        <f>VLOOKUP(A2842,'Database Claims'!$A:$C,2,)</f>
        <v>3575000</v>
      </c>
      <c r="E2842" s="29">
        <f t="shared" si="89"/>
        <v>-43000</v>
      </c>
    </row>
    <row r="2843" spans="1:5" s="59" customFormat="1" x14ac:dyDescent="0.2">
      <c r="A2843" s="28">
        <v>44345</v>
      </c>
      <c r="B2843" s="25">
        <f>VLOOKUP(A2843,'Database Claims'!$A:$C,3,)</f>
        <v>427000</v>
      </c>
      <c r="C2843" s="29">
        <f t="shared" si="88"/>
        <v>-14000</v>
      </c>
      <c r="D2843" s="25">
        <f>VLOOKUP(A2843,'Database Claims'!$A:$C,2,)</f>
        <v>3422000</v>
      </c>
      <c r="E2843" s="29">
        <f t="shared" si="89"/>
        <v>-153000</v>
      </c>
    </row>
    <row r="2844" spans="1:5" s="59" customFormat="1" x14ac:dyDescent="0.2">
      <c r="A2844" s="28">
        <v>44352</v>
      </c>
      <c r="B2844" s="29">
        <f>VLOOKUP(A2844,'Database Claims'!$A:$C,3,)</f>
        <v>420000</v>
      </c>
      <c r="C2844" s="29">
        <f t="shared" si="88"/>
        <v>-7000</v>
      </c>
      <c r="D2844" s="29">
        <f>VLOOKUP(A2844,'Database Claims'!$A:$C,2,)</f>
        <v>3352000</v>
      </c>
      <c r="E2844" s="29">
        <f t="shared" si="89"/>
        <v>-70000</v>
      </c>
    </row>
    <row r="2845" spans="1:5" s="59" customFormat="1" x14ac:dyDescent="0.2">
      <c r="A2845" s="28">
        <v>44359</v>
      </c>
      <c r="B2845" s="25">
        <f>VLOOKUP(A2845,'Database Claims'!$A:$C,3,)</f>
        <v>429000</v>
      </c>
      <c r="C2845" s="29">
        <f t="shared" si="88"/>
        <v>9000</v>
      </c>
      <c r="D2845" s="25">
        <f>VLOOKUP(A2845,'Database Claims'!$A:$C,2,)</f>
        <v>3271000</v>
      </c>
      <c r="E2845" s="29">
        <f t="shared" si="89"/>
        <v>-81000</v>
      </c>
    </row>
    <row r="2846" spans="1:5" s="59" customFormat="1" x14ac:dyDescent="0.2">
      <c r="A2846" s="28">
        <v>44366</v>
      </c>
      <c r="B2846" s="29">
        <f>VLOOKUP(A2846,'Database Claims'!$A:$C,3,)</f>
        <v>424000</v>
      </c>
      <c r="C2846" s="29">
        <f t="shared" si="88"/>
        <v>-5000</v>
      </c>
      <c r="D2846" s="29">
        <f>VLOOKUP(A2846,'Database Claims'!$A:$C,2,)</f>
        <v>3266000</v>
      </c>
      <c r="E2846" s="29">
        <f t="shared" si="89"/>
        <v>-5000</v>
      </c>
    </row>
    <row r="2847" spans="1:5" s="59" customFormat="1" x14ac:dyDescent="0.2">
      <c r="A2847" s="28">
        <v>44373</v>
      </c>
      <c r="B2847" s="25">
        <f>VLOOKUP(A2847,'Database Claims'!$A:$C,3,)</f>
        <v>405000</v>
      </c>
      <c r="C2847" s="29">
        <f t="shared" si="88"/>
        <v>-19000</v>
      </c>
      <c r="D2847" s="25">
        <f>VLOOKUP(A2847,'Database Claims'!$A:$C,2,)</f>
        <v>3230000</v>
      </c>
      <c r="E2847" s="29">
        <f t="shared" si="89"/>
        <v>-36000</v>
      </c>
    </row>
    <row r="2848" spans="1:5" s="59" customFormat="1" x14ac:dyDescent="0.2">
      <c r="A2848" s="28">
        <v>44380</v>
      </c>
      <c r="B2848" s="29">
        <f>VLOOKUP(A2848,'Database Claims'!$A:$C,3,)</f>
        <v>403000</v>
      </c>
      <c r="C2848" s="29">
        <f t="shared" si="88"/>
        <v>-2000</v>
      </c>
      <c r="D2848" s="29">
        <f>VLOOKUP(A2848,'Database Claims'!$A:$C,2,)</f>
        <v>3116000</v>
      </c>
      <c r="E2848" s="29">
        <f t="shared" si="89"/>
        <v>-114000</v>
      </c>
    </row>
    <row r="2849" spans="1:5" s="59" customFormat="1" x14ac:dyDescent="0.2">
      <c r="A2849" s="28">
        <v>44387</v>
      </c>
      <c r="B2849" s="25">
        <f>VLOOKUP(A2849,'Database Claims'!$A:$C,3,)</f>
        <v>391000</v>
      </c>
      <c r="C2849" s="29">
        <f t="shared" si="88"/>
        <v>-12000</v>
      </c>
      <c r="D2849" s="25">
        <f>VLOOKUP(A2849,'Database Claims'!$A:$C,2,)</f>
        <v>3116000</v>
      </c>
      <c r="E2849" s="29">
        <f t="shared" si="89"/>
        <v>0</v>
      </c>
    </row>
    <row r="2850" spans="1:5" s="59" customFormat="1" x14ac:dyDescent="0.2">
      <c r="A2850" s="28">
        <v>44394</v>
      </c>
      <c r="B2850" s="29">
        <f>VLOOKUP(A2850,'Database Claims'!$A:$C,3,)</f>
        <v>424000</v>
      </c>
      <c r="C2850" s="29">
        <f t="shared" si="88"/>
        <v>33000</v>
      </c>
      <c r="D2850" s="29">
        <f>VLOOKUP(A2850,'Database Claims'!$A:$C,2,)</f>
        <v>3082000</v>
      </c>
      <c r="E2850" s="29">
        <f t="shared" si="89"/>
        <v>-34000</v>
      </c>
    </row>
    <row r="2851" spans="1:5" s="59" customFormat="1" x14ac:dyDescent="0.2">
      <c r="A2851" s="28">
        <v>44401</v>
      </c>
      <c r="B2851" s="25">
        <f>VLOOKUP(A2851,'Database Claims'!$A:$C,3,)</f>
        <v>411000</v>
      </c>
      <c r="C2851" s="29">
        <f t="shared" si="88"/>
        <v>-13000</v>
      </c>
      <c r="D2851" s="25">
        <f>VLOOKUP(A2851,'Database Claims'!$A:$C,2,)</f>
        <v>2881000</v>
      </c>
      <c r="E2851" s="29">
        <f t="shared" si="89"/>
        <v>-201000</v>
      </c>
    </row>
    <row r="2852" spans="1:5" s="59" customFormat="1" x14ac:dyDescent="0.2">
      <c r="A2852" s="28">
        <v>44408</v>
      </c>
      <c r="B2852" s="29">
        <f>VLOOKUP(A2852,'Database Claims'!$A:$C,3,)</f>
        <v>414000</v>
      </c>
      <c r="C2852" s="29">
        <f t="shared" si="88"/>
        <v>3000</v>
      </c>
      <c r="D2852" s="29">
        <f>VLOOKUP(A2852,'Database Claims'!$A:$C,2,)</f>
        <v>2794000</v>
      </c>
      <c r="E2852" s="29">
        <f t="shared" si="89"/>
        <v>-87000</v>
      </c>
    </row>
    <row r="2853" spans="1:5" s="59" customFormat="1" x14ac:dyDescent="0.2">
      <c r="A2853" s="28">
        <v>44415</v>
      </c>
      <c r="B2853" s="25">
        <f>VLOOKUP(A2853,'Database Claims'!$A:$C,3,)</f>
        <v>416000</v>
      </c>
      <c r="C2853" s="29">
        <f t="shared" si="88"/>
        <v>2000</v>
      </c>
      <c r="D2853" s="25">
        <f>VLOOKUP(A2853,'Database Claims'!$A:$C,2,)</f>
        <v>2839000</v>
      </c>
      <c r="E2853" s="29">
        <f t="shared" si="89"/>
        <v>45000</v>
      </c>
    </row>
    <row r="2854" spans="1:5" s="59" customFormat="1" x14ac:dyDescent="0.2">
      <c r="A2854" s="28">
        <v>44422</v>
      </c>
      <c r="B2854" s="29">
        <f>VLOOKUP(A2854,'Database Claims'!$A:$C,3,)</f>
        <v>405000</v>
      </c>
      <c r="C2854" s="29">
        <f t="shared" si="88"/>
        <v>-11000</v>
      </c>
      <c r="D2854" s="29">
        <f>VLOOKUP(A2854,'Database Claims'!$A:$C,2,)</f>
        <v>2804000</v>
      </c>
      <c r="E2854" s="29">
        <f t="shared" si="89"/>
        <v>-35000</v>
      </c>
    </row>
    <row r="2855" spans="1:5" s="59" customFormat="1" x14ac:dyDescent="0.2">
      <c r="A2855" s="28">
        <v>44429</v>
      </c>
      <c r="B2855" s="25">
        <f>VLOOKUP(A2855,'Database Claims'!$A:$C,3,)</f>
        <v>395000</v>
      </c>
      <c r="C2855" s="29">
        <f t="shared" si="88"/>
        <v>-10000</v>
      </c>
      <c r="D2855" s="25">
        <f>VLOOKUP(A2855,'Database Claims'!$A:$C,2,)</f>
        <v>2772000</v>
      </c>
      <c r="E2855" s="29">
        <f t="shared" si="89"/>
        <v>-32000</v>
      </c>
    </row>
    <row r="2856" spans="1:5" s="59" customFormat="1" x14ac:dyDescent="0.2">
      <c r="A2856" s="28">
        <v>44436</v>
      </c>
      <c r="B2856" s="29">
        <f>VLOOKUP(A2856,'Database Claims'!$A:$C,3,)</f>
        <v>381000</v>
      </c>
      <c r="C2856" s="29">
        <f t="shared" si="88"/>
        <v>-14000</v>
      </c>
      <c r="D2856" s="29">
        <f>VLOOKUP(A2856,'Database Claims'!$A:$C,2,)</f>
        <v>2740000</v>
      </c>
      <c r="E2856" s="29">
        <f t="shared" si="89"/>
        <v>-32000</v>
      </c>
    </row>
    <row r="2857" spans="1:5" s="59" customFormat="1" x14ac:dyDescent="0.2">
      <c r="A2857" s="28">
        <v>44443</v>
      </c>
      <c r="B2857" s="25">
        <f>VLOOKUP(A2857,'Database Claims'!$A:$C,3,)</f>
        <v>361000</v>
      </c>
      <c r="C2857" s="29">
        <f t="shared" si="88"/>
        <v>-20000</v>
      </c>
      <c r="D2857" s="25">
        <f>VLOOKUP(A2857,'Database Claims'!$A:$C,2,)</f>
        <v>2628000</v>
      </c>
      <c r="E2857" s="29">
        <f t="shared" si="89"/>
        <v>-112000</v>
      </c>
    </row>
    <row r="2858" spans="1:5" s="59" customFormat="1" x14ac:dyDescent="0.2">
      <c r="A2858" s="28">
        <v>44450</v>
      </c>
      <c r="B2858" s="29">
        <f>VLOOKUP(A2858,'Database Claims'!$A:$C,3,)</f>
        <v>363000</v>
      </c>
      <c r="C2858" s="29">
        <f t="shared" si="88"/>
        <v>2000</v>
      </c>
      <c r="D2858" s="29">
        <f>VLOOKUP(A2858,'Database Claims'!$A:$C,2,)</f>
        <v>2705000</v>
      </c>
      <c r="E2858" s="29">
        <f t="shared" si="89"/>
        <v>77000</v>
      </c>
    </row>
    <row r="2859" spans="1:5" s="59" customFormat="1" x14ac:dyDescent="0.2">
      <c r="A2859" s="28">
        <v>44457</v>
      </c>
      <c r="B2859" s="29">
        <f>VLOOKUP(A2859,'Database Claims'!$A:$C,3,)</f>
        <v>380000</v>
      </c>
      <c r="C2859" s="29">
        <f t="shared" si="88"/>
        <v>17000</v>
      </c>
      <c r="D2859" s="29">
        <f>VLOOKUP(A2859,'Database Claims'!$A:$C,2,)</f>
        <v>2720000</v>
      </c>
      <c r="E2859" s="29">
        <f t="shared" si="89"/>
        <v>15000</v>
      </c>
    </row>
    <row r="2860" spans="1:5" s="59" customFormat="1" x14ac:dyDescent="0.2">
      <c r="A2860" s="28">
        <v>44464</v>
      </c>
      <c r="B2860" s="29">
        <f>VLOOKUP(A2860,'Database Claims'!$A:$C,3,)</f>
        <v>376000</v>
      </c>
      <c r="C2860" s="29">
        <f t="shared" si="88"/>
        <v>-4000</v>
      </c>
      <c r="D2860" s="29">
        <f>VLOOKUP(A2860,'Database Claims'!$A:$C,2,)</f>
        <v>2674000</v>
      </c>
      <c r="E2860" s="29">
        <f t="shared" si="89"/>
        <v>-46000</v>
      </c>
    </row>
    <row r="2861" spans="1:5" s="59" customFormat="1" x14ac:dyDescent="0.2">
      <c r="A2861" s="28">
        <v>44471</v>
      </c>
      <c r="B2861" s="25">
        <f>VLOOKUP(A2861,'Database Claims'!$A:$C,3,)</f>
        <v>340000</v>
      </c>
      <c r="C2861" s="29">
        <f t="shared" si="88"/>
        <v>-36000</v>
      </c>
      <c r="D2861" s="25">
        <f>VLOOKUP(A2861,'Database Claims'!$A:$C,2,)</f>
        <v>2571000</v>
      </c>
      <c r="E2861" s="29">
        <f t="shared" si="89"/>
        <v>-103000</v>
      </c>
    </row>
    <row r="2862" spans="1:5" s="59" customFormat="1" x14ac:dyDescent="0.2">
      <c r="A2862" s="28">
        <v>44478</v>
      </c>
      <c r="B2862" s="29">
        <f>VLOOKUP(A2862,'Database Claims'!$A:$C,3,)</f>
        <v>317000</v>
      </c>
      <c r="C2862" s="29">
        <f t="shared" si="88"/>
        <v>-23000</v>
      </c>
      <c r="D2862" s="29">
        <f>VLOOKUP(A2862,'Database Claims'!$A:$C,2,)</f>
        <v>2512000</v>
      </c>
      <c r="E2862" s="29">
        <f t="shared" si="89"/>
        <v>-59000</v>
      </c>
    </row>
    <row r="2863" spans="1:5" s="59" customFormat="1" x14ac:dyDescent="0.2">
      <c r="A2863" s="28">
        <v>44485</v>
      </c>
      <c r="B2863" s="25">
        <f>VLOOKUP(A2863,'Database Claims'!$A:$C,3,)</f>
        <v>310000</v>
      </c>
      <c r="C2863" s="29">
        <f t="shared" si="88"/>
        <v>-7000</v>
      </c>
      <c r="D2863" s="25">
        <f>VLOOKUP(A2863,'Database Claims'!$A:$C,2,)</f>
        <v>2334000</v>
      </c>
      <c r="E2863" s="29">
        <f t="shared" si="89"/>
        <v>-178000</v>
      </c>
    </row>
    <row r="2864" spans="1:5" s="59" customFormat="1" x14ac:dyDescent="0.2">
      <c r="A2864" s="28">
        <v>44492</v>
      </c>
      <c r="B2864" s="29">
        <f>VLOOKUP(A2864,'Database Claims'!$A:$C,3,)</f>
        <v>294000</v>
      </c>
      <c r="C2864" s="29">
        <f t="shared" si="88"/>
        <v>-16000</v>
      </c>
      <c r="D2864" s="29">
        <f>VLOOKUP(A2864,'Database Claims'!$A:$C,2,)</f>
        <v>2263000</v>
      </c>
      <c r="E2864" s="29">
        <f t="shared" si="89"/>
        <v>-71000</v>
      </c>
    </row>
    <row r="2865" spans="1:5" s="59" customFormat="1" x14ac:dyDescent="0.2">
      <c r="A2865" s="28">
        <v>44499</v>
      </c>
      <c r="B2865" s="25">
        <f>VLOOKUP(A2865,'Database Claims'!$A:$C,3,)</f>
        <v>280000</v>
      </c>
      <c r="C2865" s="29">
        <f t="shared" si="88"/>
        <v>-14000</v>
      </c>
      <c r="D2865" s="25">
        <f>VLOOKUP(A2865,'Database Claims'!$A:$C,2,)</f>
        <v>2303000</v>
      </c>
      <c r="E2865" s="29">
        <f t="shared" si="89"/>
        <v>40000</v>
      </c>
    </row>
    <row r="2866" spans="1:5" s="59" customFormat="1" x14ac:dyDescent="0.2">
      <c r="A2866" s="28">
        <v>44506</v>
      </c>
      <c r="B2866" s="29">
        <f>VLOOKUP(A2866,'Database Claims'!$A:$C,3,)</f>
        <v>279000</v>
      </c>
      <c r="C2866" s="29">
        <f t="shared" si="88"/>
        <v>-1000</v>
      </c>
      <c r="D2866" s="29">
        <f>VLOOKUP(A2866,'Database Claims'!$A:$C,2,)</f>
        <v>2172000</v>
      </c>
      <c r="E2866" s="29">
        <f t="shared" si="89"/>
        <v>-131000</v>
      </c>
    </row>
    <row r="2867" spans="1:5" s="59" customFormat="1" x14ac:dyDescent="0.2">
      <c r="A2867" s="28">
        <v>44513</v>
      </c>
      <c r="B2867" s="25">
        <f>VLOOKUP(A2867,'Database Claims'!$A:$C,3,)</f>
        <v>265000</v>
      </c>
      <c r="C2867" s="29">
        <f t="shared" si="88"/>
        <v>-14000</v>
      </c>
      <c r="D2867" s="25">
        <f>VLOOKUP(A2867,'Database Claims'!$A:$C,2,)</f>
        <v>2100000</v>
      </c>
      <c r="E2867" s="29">
        <f t="shared" si="89"/>
        <v>-72000</v>
      </c>
    </row>
    <row r="2868" spans="1:5" s="59" customFormat="1" x14ac:dyDescent="0.2">
      <c r="A2868" s="28">
        <v>44520</v>
      </c>
      <c r="B2868" s="29">
        <f>VLOOKUP(A2868,'Database Claims'!$A:$C,3,)</f>
        <v>244000</v>
      </c>
      <c r="C2868" s="29">
        <f t="shared" si="88"/>
        <v>-21000</v>
      </c>
      <c r="D2868" s="29">
        <f>VLOOKUP(A2868,'Database Claims'!$A:$C,2,)</f>
        <v>1976000</v>
      </c>
      <c r="E2868" s="29">
        <f t="shared" si="89"/>
        <v>-124000</v>
      </c>
    </row>
    <row r="2869" spans="1:5" s="59" customFormat="1" x14ac:dyDescent="0.2">
      <c r="A2869" s="28">
        <v>44527</v>
      </c>
      <c r="B2869" s="29">
        <f>VLOOKUP(A2869,'Database Claims'!$A:$C,3,)</f>
        <v>240000</v>
      </c>
      <c r="C2869" s="29">
        <f t="shared" si="88"/>
        <v>-4000</v>
      </c>
      <c r="D2869" s="29">
        <f>VLOOKUP(A2869,'Database Claims'!$A:$C,2,)</f>
        <v>2098000</v>
      </c>
      <c r="E2869" s="29">
        <f t="shared" si="89"/>
        <v>122000</v>
      </c>
    </row>
    <row r="2870" spans="1:5" s="59" customFormat="1" x14ac:dyDescent="0.2">
      <c r="A2870" s="28">
        <v>44534</v>
      </c>
      <c r="B2870" s="25">
        <f>VLOOKUP(A2870,'Database Claims'!$A:$C,3,)</f>
        <v>228000</v>
      </c>
      <c r="C2870" s="29">
        <f t="shared" si="88"/>
        <v>-12000</v>
      </c>
      <c r="D2870" s="25">
        <f>VLOOKUP(A2870,'Database Claims'!$A:$C,2,)</f>
        <v>1927000</v>
      </c>
      <c r="E2870" s="29">
        <f t="shared" si="89"/>
        <v>-171000</v>
      </c>
    </row>
    <row r="2871" spans="1:5" s="59" customFormat="1" x14ac:dyDescent="0.2">
      <c r="A2871" s="28">
        <v>44541</v>
      </c>
      <c r="B2871" s="29">
        <f>VLOOKUP(A2871,'Database Claims'!$A:$C,3,)</f>
        <v>228000</v>
      </c>
      <c r="C2871" s="29">
        <f t="shared" si="88"/>
        <v>0</v>
      </c>
      <c r="D2871" s="29">
        <f>VLOOKUP(A2871,'Database Claims'!$A:$C,2,)</f>
        <v>1904000</v>
      </c>
      <c r="E2871" s="29">
        <f t="shared" si="89"/>
        <v>-23000</v>
      </c>
    </row>
    <row r="2872" spans="1:5" s="59" customFormat="1" x14ac:dyDescent="0.2">
      <c r="A2872" s="28">
        <v>44548</v>
      </c>
      <c r="B2872" s="29">
        <f>VLOOKUP(A2872,'Database Claims'!$A:$C,3,)</f>
        <v>220000</v>
      </c>
      <c r="C2872" s="29">
        <f t="shared" si="88"/>
        <v>-8000</v>
      </c>
      <c r="D2872" s="29">
        <f>VLOOKUP(A2872,'Database Claims'!$A:$C,2,)</f>
        <v>1793000</v>
      </c>
      <c r="E2872" s="29">
        <f t="shared" si="89"/>
        <v>-111000</v>
      </c>
    </row>
    <row r="2873" spans="1:5" s="59" customFormat="1" x14ac:dyDescent="0.2">
      <c r="A2873" s="28">
        <v>44555</v>
      </c>
      <c r="B2873" s="29">
        <f>VLOOKUP(A2873,'Database Claims'!$A:$C,3,)</f>
        <v>211000</v>
      </c>
      <c r="C2873" s="29">
        <f t="shared" si="88"/>
        <v>-9000</v>
      </c>
      <c r="D2873" s="29">
        <f>VLOOKUP(A2873,'Database Claims'!$A:$C,2,)</f>
        <v>1805000</v>
      </c>
      <c r="E2873" s="29">
        <f t="shared" si="89"/>
        <v>12000</v>
      </c>
    </row>
    <row r="2874" spans="1:5" s="59" customFormat="1" x14ac:dyDescent="0.2">
      <c r="A2874" s="28">
        <v>44562</v>
      </c>
      <c r="B2874" s="29">
        <f>VLOOKUP(A2874,'Database Claims'!$A:$C,3,)</f>
        <v>224000</v>
      </c>
      <c r="C2874" s="29">
        <f t="shared" si="88"/>
        <v>13000</v>
      </c>
      <c r="D2874" s="29">
        <f>VLOOKUP(A2874,'Database Claims'!$A:$C,2,)</f>
        <v>1778000</v>
      </c>
      <c r="E2874" s="29">
        <f t="shared" si="89"/>
        <v>-27000</v>
      </c>
    </row>
    <row r="2875" spans="1:5" s="59" customFormat="1" x14ac:dyDescent="0.2">
      <c r="A2875" s="28">
        <v>44569</v>
      </c>
      <c r="B2875" s="29">
        <f>VLOOKUP(A2875,'Database Claims'!$A:$C,3,)</f>
        <v>238000</v>
      </c>
      <c r="C2875" s="29">
        <f t="shared" si="88"/>
        <v>14000</v>
      </c>
      <c r="D2875" s="29">
        <f>VLOOKUP(A2875,'Database Claims'!$A:$C,2,)</f>
        <v>1776000</v>
      </c>
      <c r="E2875" s="29">
        <f t="shared" si="89"/>
        <v>-2000</v>
      </c>
    </row>
    <row r="2876" spans="1:5" s="59" customFormat="1" x14ac:dyDescent="0.2">
      <c r="A2876" s="28">
        <v>44576</v>
      </c>
      <c r="B2876" s="29">
        <f>VLOOKUP(A2876,'Database Claims'!$A:$C,3,)</f>
        <v>240000</v>
      </c>
      <c r="C2876" s="29">
        <f t="shared" si="88"/>
        <v>2000</v>
      </c>
      <c r="D2876" s="29">
        <f>VLOOKUP(A2876,'Database Claims'!$A:$C,2,)</f>
        <v>1787000</v>
      </c>
      <c r="E2876" s="29">
        <f t="shared" si="89"/>
        <v>11000</v>
      </c>
    </row>
    <row r="2877" spans="1:5" s="59" customFormat="1" x14ac:dyDescent="0.2">
      <c r="A2877" s="28">
        <v>44583</v>
      </c>
      <c r="B2877" s="29">
        <f>VLOOKUP(A2877,'Database Claims'!$A:$C,3,)</f>
        <v>222000</v>
      </c>
      <c r="C2877" s="29">
        <f t="shared" si="88"/>
        <v>-18000</v>
      </c>
      <c r="D2877" s="29">
        <f>VLOOKUP(A2877,'Database Claims'!$A:$C,2,)</f>
        <v>1757000</v>
      </c>
      <c r="E2877" s="29">
        <f t="shared" si="89"/>
        <v>-30000</v>
      </c>
    </row>
    <row r="2878" spans="1:5" s="59" customFormat="1" x14ac:dyDescent="0.2">
      <c r="A2878" s="28">
        <v>44590</v>
      </c>
      <c r="B2878" s="29">
        <f>VLOOKUP(A2878,'Database Claims'!$A:$C,3,)</f>
        <v>214000</v>
      </c>
      <c r="C2878" s="29">
        <f t="shared" si="88"/>
        <v>-8000</v>
      </c>
      <c r="D2878" s="29">
        <f>VLOOKUP(A2878,'Database Claims'!$A:$C,2,)</f>
        <v>1743000</v>
      </c>
      <c r="E2878" s="29">
        <f t="shared" si="89"/>
        <v>-14000</v>
      </c>
    </row>
    <row r="2879" spans="1:5" s="59" customFormat="1" x14ac:dyDescent="0.2">
      <c r="A2879" s="28">
        <v>44597</v>
      </c>
      <c r="B2879" s="25">
        <f>VLOOKUP(A2879,'Database Claims'!$A:$C,3,)</f>
        <v>191000</v>
      </c>
      <c r="C2879" s="29">
        <f t="shared" si="88"/>
        <v>-23000</v>
      </c>
      <c r="D2879" s="25">
        <f>VLOOKUP(A2879,'Database Claims'!$A:$C,2,)</f>
        <v>1714000</v>
      </c>
      <c r="E2879" s="29">
        <f t="shared" si="89"/>
        <v>-29000</v>
      </c>
    </row>
    <row r="2880" spans="1:5" s="59" customFormat="1" x14ac:dyDescent="0.2">
      <c r="A2880" s="28">
        <v>44604</v>
      </c>
      <c r="B2880" s="29">
        <f>VLOOKUP(A2880,'Database Claims'!$A:$C,3,)</f>
        <v>209000</v>
      </c>
      <c r="C2880" s="29">
        <f t="shared" si="88"/>
        <v>18000</v>
      </c>
      <c r="D2880" s="29">
        <f>VLOOKUP(A2880,'Database Claims'!$A:$C,2,)</f>
        <v>1633000</v>
      </c>
      <c r="E2880" s="29">
        <f t="shared" si="89"/>
        <v>-81000</v>
      </c>
    </row>
    <row r="2881" spans="1:5" s="59" customFormat="1" x14ac:dyDescent="0.2">
      <c r="A2881" s="28">
        <v>44611</v>
      </c>
      <c r="B2881" s="29">
        <f>VLOOKUP(A2881,'Database Claims'!$A:$C,3,)</f>
        <v>198000</v>
      </c>
      <c r="C2881" s="29">
        <f t="shared" si="88"/>
        <v>-11000</v>
      </c>
      <c r="D2881" s="29">
        <f>VLOOKUP(A2881,'Database Claims'!$A:$C,2,)</f>
        <v>1623000</v>
      </c>
      <c r="E2881" s="29">
        <f t="shared" si="89"/>
        <v>-10000</v>
      </c>
    </row>
    <row r="2882" spans="1:5" s="59" customFormat="1" x14ac:dyDescent="0.2">
      <c r="A2882" s="28">
        <v>44618</v>
      </c>
      <c r="B2882" s="29">
        <f>VLOOKUP(A2882,'Database Claims'!$A:$C,3,)</f>
        <v>182000</v>
      </c>
      <c r="C2882" s="29">
        <f t="shared" si="88"/>
        <v>-16000</v>
      </c>
      <c r="D2882" s="29">
        <f>VLOOKUP(A2882,'Database Claims'!$A:$C,2,)</f>
        <v>1664000</v>
      </c>
      <c r="E2882" s="29">
        <f t="shared" si="89"/>
        <v>41000</v>
      </c>
    </row>
    <row r="2883" spans="1:5" s="59" customFormat="1" x14ac:dyDescent="0.2">
      <c r="A2883" s="28">
        <v>44625</v>
      </c>
      <c r="B2883" s="29">
        <f>VLOOKUP(A2883,'Database Claims'!$A:$C,3,)</f>
        <v>198000</v>
      </c>
      <c r="C2883" s="29">
        <f t="shared" si="88"/>
        <v>16000</v>
      </c>
      <c r="D2883" s="29">
        <f>VLOOKUP(A2883,'Database Claims'!$A:$C,2,)</f>
        <v>1594000</v>
      </c>
      <c r="E2883" s="29">
        <f t="shared" si="89"/>
        <v>-70000</v>
      </c>
    </row>
    <row r="2884" spans="1:5" s="59" customFormat="1" x14ac:dyDescent="0.2">
      <c r="A2884" s="28">
        <v>44632</v>
      </c>
      <c r="B2884" s="29">
        <f>VLOOKUP(A2884,'Database Claims'!$A:$C,3,)</f>
        <v>177000</v>
      </c>
      <c r="C2884" s="29">
        <f t="shared" si="88"/>
        <v>-21000</v>
      </c>
      <c r="D2884" s="29">
        <f>VLOOKUP(A2884,'Database Claims'!$A:$C,2,)</f>
        <v>1542000</v>
      </c>
      <c r="E2884" s="29">
        <f t="shared" si="89"/>
        <v>-52000</v>
      </c>
    </row>
    <row r="2885" spans="1:5" s="59" customFormat="1" x14ac:dyDescent="0.2">
      <c r="A2885" s="28">
        <v>44639</v>
      </c>
      <c r="B2885" s="29">
        <f>VLOOKUP(A2885,'Database Claims'!$A:$C,3,)</f>
        <v>166000</v>
      </c>
      <c r="C2885" s="29">
        <f t="shared" si="88"/>
        <v>-11000</v>
      </c>
      <c r="D2885" s="29">
        <f>VLOOKUP(A2885,'Database Claims'!$A:$C,2,)</f>
        <v>1506000</v>
      </c>
      <c r="E2885" s="29">
        <f t="shared" si="89"/>
        <v>-36000</v>
      </c>
    </row>
    <row r="2886" spans="1:5" s="59" customFormat="1" x14ac:dyDescent="0.2">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9" customFormat="1" x14ac:dyDescent="0.2">
      <c r="A2887" s="28">
        <v>44653</v>
      </c>
      <c r="B2887" s="29">
        <f>VLOOKUP(A2887,'Database Claims'!$A:$C,3,)</f>
        <v>168000</v>
      </c>
      <c r="C2887" s="29">
        <f t="shared" si="90"/>
        <v>-3000</v>
      </c>
      <c r="D2887" s="29">
        <f>VLOOKUP(A2887,'Database Claims'!$A:$C,2,)</f>
        <v>1474000</v>
      </c>
      <c r="E2887" s="29">
        <f t="shared" si="91"/>
        <v>-55000</v>
      </c>
    </row>
    <row r="2888" spans="1:5" s="59" customFormat="1" x14ac:dyDescent="0.2">
      <c r="A2888" s="28">
        <v>44660</v>
      </c>
      <c r="B2888" s="29">
        <f>VLOOKUP(A2888,'Database Claims'!$A:$C,3,)</f>
        <v>186000</v>
      </c>
      <c r="C2888" s="29">
        <f t="shared" si="90"/>
        <v>18000</v>
      </c>
      <c r="D2888" s="29">
        <f>VLOOKUP(A2888,'Database Claims'!$A:$C,2,)</f>
        <v>1407000</v>
      </c>
      <c r="E2888" s="29">
        <f t="shared" si="91"/>
        <v>-67000</v>
      </c>
    </row>
    <row r="2889" spans="1:5" s="59" customFormat="1" x14ac:dyDescent="0.2">
      <c r="A2889" s="28">
        <v>44667</v>
      </c>
      <c r="B2889" s="29">
        <f>VLOOKUP(A2889,'Database Claims'!$A:$C,3,)</f>
        <v>185000</v>
      </c>
      <c r="C2889" s="29">
        <f t="shared" si="90"/>
        <v>-1000</v>
      </c>
      <c r="D2889" s="29">
        <f>VLOOKUP(A2889,'Database Claims'!$A:$C,2,)</f>
        <v>1403000</v>
      </c>
      <c r="E2889" s="29">
        <f t="shared" si="91"/>
        <v>-4000</v>
      </c>
    </row>
    <row r="2890" spans="1:5" s="59" customFormat="1" x14ac:dyDescent="0.2">
      <c r="A2890" s="28">
        <v>44674</v>
      </c>
      <c r="B2890" s="29">
        <f>VLOOKUP(A2890,'Database Claims'!$A:$C,3,)</f>
        <v>181000</v>
      </c>
      <c r="C2890" s="29">
        <f t="shared" si="90"/>
        <v>-4000</v>
      </c>
      <c r="D2890" s="29">
        <f>VLOOKUP(A2890,'Database Claims'!$A:$C,2,)</f>
        <v>1387000</v>
      </c>
      <c r="E2890" s="29">
        <f t="shared" si="91"/>
        <v>-16000</v>
      </c>
    </row>
    <row r="2891" spans="1:5" s="59" customFormat="1" x14ac:dyDescent="0.2">
      <c r="A2891" s="28">
        <v>44681</v>
      </c>
      <c r="B2891" s="29">
        <f>VLOOKUP(A2891,'Database Claims'!$A:$C,3,)</f>
        <v>202000</v>
      </c>
      <c r="C2891" s="29">
        <f t="shared" si="90"/>
        <v>21000</v>
      </c>
      <c r="D2891" s="29">
        <f>VLOOKUP(A2891,'Database Claims'!$A:$C,2,)</f>
        <v>1342000</v>
      </c>
      <c r="E2891" s="29">
        <f t="shared" si="91"/>
        <v>-45000</v>
      </c>
    </row>
    <row r="2892" spans="1:5" s="59" customFormat="1" x14ac:dyDescent="0.2">
      <c r="A2892" s="28">
        <v>44688</v>
      </c>
      <c r="B2892" s="25">
        <f>VLOOKUP(A2892,'Database Claims'!$A:$C,3,)</f>
        <v>197000</v>
      </c>
      <c r="C2892" s="29">
        <f t="shared" si="90"/>
        <v>-5000</v>
      </c>
      <c r="D2892" s="25">
        <f>VLOOKUP(A2892,'Database Claims'!$A:$C,2,)</f>
        <v>1315000</v>
      </c>
      <c r="E2892" s="29">
        <f t="shared" si="91"/>
        <v>-27000</v>
      </c>
    </row>
    <row r="2893" spans="1:5" s="59" customFormat="1" x14ac:dyDescent="0.2">
      <c r="A2893" s="28">
        <v>44695</v>
      </c>
      <c r="B2893" s="29">
        <f>VLOOKUP(A2893,'Database Claims'!$A:$C,3,)</f>
        <v>218000</v>
      </c>
      <c r="C2893" s="29">
        <f t="shared" si="90"/>
        <v>21000</v>
      </c>
      <c r="D2893" s="29">
        <f>VLOOKUP(A2893,'Database Claims'!$A:$C,2,)</f>
        <v>1343000</v>
      </c>
      <c r="E2893" s="29">
        <f t="shared" si="91"/>
        <v>28000</v>
      </c>
    </row>
    <row r="2894" spans="1:5" s="59" customFormat="1" x14ac:dyDescent="0.2">
      <c r="A2894" s="28">
        <v>44702</v>
      </c>
      <c r="B2894" s="29">
        <f>VLOOKUP(A2894,'Database Claims'!$A:$C,3,)</f>
        <v>211000</v>
      </c>
      <c r="C2894" s="29">
        <f t="shared" si="90"/>
        <v>-7000</v>
      </c>
      <c r="D2894" s="29">
        <f>VLOOKUP(A2894,'Database Claims'!$A:$C,2,)</f>
        <v>1306000</v>
      </c>
      <c r="E2894" s="29">
        <f t="shared" si="91"/>
        <v>-37000</v>
      </c>
    </row>
    <row r="2895" spans="1:5" s="59" customFormat="1" x14ac:dyDescent="0.2">
      <c r="A2895" s="28">
        <v>44709</v>
      </c>
      <c r="B2895" s="25">
        <f>VLOOKUP(A2895,'Database Claims'!$A:$C,3,)</f>
        <v>202000</v>
      </c>
      <c r="C2895" s="29">
        <f t="shared" si="90"/>
        <v>-9000</v>
      </c>
      <c r="D2895" s="25">
        <f>VLOOKUP(A2895,'Database Claims'!$A:$C,2,)</f>
        <v>1309000</v>
      </c>
      <c r="E2895" s="29">
        <f t="shared" si="91"/>
        <v>3000</v>
      </c>
    </row>
    <row r="2896" spans="1:5" s="59" customFormat="1" x14ac:dyDescent="0.2">
      <c r="A2896" s="28">
        <v>44716</v>
      </c>
      <c r="B2896" s="29">
        <f>VLOOKUP(A2896,'Database Claims'!$A:$C,3,)</f>
        <v>232000</v>
      </c>
      <c r="C2896" s="29">
        <f t="shared" si="90"/>
        <v>30000</v>
      </c>
      <c r="D2896" s="29">
        <f>VLOOKUP(A2896,'Database Claims'!$A:$C,2,)</f>
        <v>1310000</v>
      </c>
      <c r="E2896" s="29">
        <f t="shared" si="91"/>
        <v>1000</v>
      </c>
    </row>
    <row r="2897" spans="1:5" s="59" customFormat="1" x14ac:dyDescent="0.2">
      <c r="A2897" s="28">
        <v>44723</v>
      </c>
      <c r="B2897" s="29">
        <f>VLOOKUP(A2897,'Database Claims'!$A:$C,3,)</f>
        <v>231000</v>
      </c>
      <c r="C2897" s="29">
        <f t="shared" si="90"/>
        <v>-1000</v>
      </c>
      <c r="D2897" s="29">
        <f>VLOOKUP(A2897,'Database Claims'!$A:$C,2,)</f>
        <v>1331000</v>
      </c>
      <c r="E2897" s="29">
        <f t="shared" si="91"/>
        <v>21000</v>
      </c>
    </row>
    <row r="2898" spans="1:5" s="59" customFormat="1" x14ac:dyDescent="0.2">
      <c r="A2898" s="28">
        <v>44730</v>
      </c>
      <c r="B2898" s="29">
        <f>VLOOKUP(A2898,'Database Claims'!$A:$C,3,)</f>
        <v>233000</v>
      </c>
      <c r="C2898" s="29">
        <f t="shared" si="90"/>
        <v>2000</v>
      </c>
      <c r="D2898" s="29">
        <f>VLOOKUP(A2898,'Database Claims'!$A:$C,2,)</f>
        <v>1324000</v>
      </c>
      <c r="E2898" s="29">
        <f t="shared" si="91"/>
        <v>-7000</v>
      </c>
    </row>
    <row r="2899" spans="1:5" s="59" customFormat="1" x14ac:dyDescent="0.2">
      <c r="A2899" s="28">
        <v>44737</v>
      </c>
      <c r="B2899" s="29">
        <f>VLOOKUP(A2899,'Database Claims'!$A:$C,3,)</f>
        <v>231000</v>
      </c>
      <c r="C2899" s="29">
        <f t="shared" si="90"/>
        <v>-2000</v>
      </c>
      <c r="D2899" s="29">
        <f>VLOOKUP(A2899,'Database Claims'!$A:$C,2,)</f>
        <v>1372000</v>
      </c>
      <c r="E2899" s="29">
        <f t="shared" si="91"/>
        <v>48000</v>
      </c>
    </row>
    <row r="2900" spans="1:5" s="59" customFormat="1" x14ac:dyDescent="0.2">
      <c r="A2900" s="28">
        <v>44744</v>
      </c>
      <c r="B2900" s="25">
        <f>VLOOKUP(A2900,'Database Claims'!$A:$C,3,)</f>
        <v>236000</v>
      </c>
      <c r="C2900" s="29">
        <f t="shared" si="90"/>
        <v>5000</v>
      </c>
      <c r="D2900" s="25">
        <f>VLOOKUP(A2900,'Database Claims'!$A:$C,2,)</f>
        <v>1333000</v>
      </c>
      <c r="E2900" s="29">
        <f t="shared" si="91"/>
        <v>-39000</v>
      </c>
    </row>
    <row r="2901" spans="1:5" s="59" customFormat="1" x14ac:dyDescent="0.2">
      <c r="A2901" s="28">
        <v>44751</v>
      </c>
      <c r="B2901" s="29">
        <f>VLOOKUP(A2901,'Database Claims'!$A:$C,3,)</f>
        <v>244000</v>
      </c>
      <c r="C2901" s="29">
        <f t="shared" si="90"/>
        <v>8000</v>
      </c>
      <c r="D2901" s="29">
        <f>VLOOKUP(A2901,'Database Claims'!$A:$C,2,)</f>
        <v>1384000</v>
      </c>
      <c r="E2901" s="29">
        <f t="shared" si="91"/>
        <v>51000</v>
      </c>
    </row>
    <row r="2902" spans="1:5" s="59" customFormat="1" x14ac:dyDescent="0.2">
      <c r="A2902" s="28">
        <v>44758</v>
      </c>
      <c r="B2902" s="29">
        <f>VLOOKUP(A2902,'Database Claims'!$A:$C,3,)</f>
        <v>261000</v>
      </c>
      <c r="C2902" s="29">
        <f t="shared" si="90"/>
        <v>17000</v>
      </c>
      <c r="D2902" s="29">
        <f>VLOOKUP(A2902,'Database Claims'!$A:$C,2,)</f>
        <v>1365000</v>
      </c>
      <c r="E2902" s="29">
        <f t="shared" si="91"/>
        <v>-19000</v>
      </c>
    </row>
    <row r="2903" spans="1:5" s="59" customFormat="1" x14ac:dyDescent="0.2">
      <c r="A2903" s="28">
        <v>44765</v>
      </c>
      <c r="B2903" s="29">
        <f>VLOOKUP(A2903,'Database Claims'!$A:$C,3,)</f>
        <v>237000</v>
      </c>
      <c r="C2903" s="29">
        <f t="shared" si="90"/>
        <v>-24000</v>
      </c>
      <c r="D2903" s="29">
        <f>VLOOKUP(A2903,'Database Claims'!$A:$C,2,)</f>
        <v>1420000</v>
      </c>
      <c r="E2903" s="29">
        <f t="shared" si="91"/>
        <v>55000</v>
      </c>
    </row>
    <row r="2904" spans="1:5" s="59" customFormat="1" x14ac:dyDescent="0.2">
      <c r="A2904" s="28">
        <v>44772</v>
      </c>
      <c r="B2904" s="29">
        <f>VLOOKUP(A2904,'Database Claims'!$A:$C,3,)</f>
        <v>248000</v>
      </c>
      <c r="C2904" s="29">
        <f t="shared" si="90"/>
        <v>11000</v>
      </c>
      <c r="D2904" s="29">
        <f>VLOOKUP(A2904,'Database Claims'!$A:$C,2,)</f>
        <v>1430000</v>
      </c>
      <c r="E2904" s="29">
        <f t="shared" si="91"/>
        <v>10000</v>
      </c>
    </row>
    <row r="2905" spans="1:5" s="59" customFormat="1" x14ac:dyDescent="0.2">
      <c r="A2905" s="28">
        <v>44779</v>
      </c>
      <c r="B2905" s="29">
        <f>VLOOKUP(A2905,'Database Claims'!$A:$C,3,)</f>
        <v>252000</v>
      </c>
      <c r="C2905" s="29">
        <f t="shared" si="90"/>
        <v>4000</v>
      </c>
      <c r="D2905" s="29">
        <f>VLOOKUP(A2905,'Database Claims'!$A:$C,2,)</f>
        <v>1434000</v>
      </c>
      <c r="E2905" s="29">
        <f t="shared" si="91"/>
        <v>4000</v>
      </c>
    </row>
    <row r="2906" spans="1:5" s="59" customFormat="1" x14ac:dyDescent="0.2">
      <c r="A2906" s="28">
        <v>44786</v>
      </c>
      <c r="B2906" s="29">
        <f>VLOOKUP(A2906,'Database Claims'!$A:$C,3,)</f>
        <v>245000</v>
      </c>
      <c r="C2906" s="29">
        <f t="shared" si="90"/>
        <v>-7000</v>
      </c>
      <c r="D2906" s="29">
        <f>VLOOKUP(A2906,'Database Claims'!$A:$C,2,)</f>
        <v>1412000</v>
      </c>
      <c r="E2906" s="29">
        <f t="shared" si="91"/>
        <v>-22000</v>
      </c>
    </row>
    <row r="2907" spans="1:5" s="59" customFormat="1" x14ac:dyDescent="0.2">
      <c r="A2907" s="28">
        <v>44793</v>
      </c>
      <c r="B2907" s="29">
        <f>VLOOKUP(A2907,'Database Claims'!$A:$C,3,)</f>
        <v>237000</v>
      </c>
      <c r="C2907" s="29">
        <f t="shared" si="90"/>
        <v>-8000</v>
      </c>
      <c r="D2907" s="29">
        <f>VLOOKUP(A2907,'Database Claims'!$A:$C,2,)</f>
        <v>1437000</v>
      </c>
      <c r="E2907" s="29">
        <f t="shared" si="91"/>
        <v>25000</v>
      </c>
    </row>
    <row r="2908" spans="1:5" s="59" customFormat="1" x14ac:dyDescent="0.2">
      <c r="A2908" s="28">
        <v>44800</v>
      </c>
      <c r="B2908" s="29">
        <f>VLOOKUP(A2908,'Database Claims'!$A:$C,3,)</f>
        <v>228000</v>
      </c>
      <c r="C2908" s="29">
        <f t="shared" si="90"/>
        <v>-9000</v>
      </c>
      <c r="D2908" s="29">
        <f>VLOOKUP(A2908,'Database Claims'!$A:$C,2,)</f>
        <v>1402000</v>
      </c>
      <c r="E2908" s="29">
        <f t="shared" si="91"/>
        <v>-35000</v>
      </c>
    </row>
    <row r="2909" spans="1:5" s="59" customFormat="1" x14ac:dyDescent="0.2">
      <c r="A2909" s="28">
        <v>44807</v>
      </c>
      <c r="B2909" s="29">
        <f>VLOOKUP(A2909,'Database Claims'!$A:$C,3,)</f>
        <v>218000</v>
      </c>
      <c r="C2909" s="29">
        <f t="shared" si="90"/>
        <v>-10000</v>
      </c>
      <c r="D2909" s="29">
        <f>VLOOKUP(A2909,'Database Claims'!$A:$C,2,)</f>
        <v>1400000</v>
      </c>
      <c r="E2909" s="29">
        <f t="shared" si="91"/>
        <v>-2000</v>
      </c>
    </row>
    <row r="2910" spans="1:5" s="59" customFormat="1" x14ac:dyDescent="0.2">
      <c r="A2910" s="28">
        <v>44814</v>
      </c>
      <c r="B2910" s="29">
        <f>VLOOKUP(A2910,'Database Claims'!$A:$C,3,)</f>
        <v>208000</v>
      </c>
      <c r="C2910" s="29">
        <f t="shared" si="90"/>
        <v>-10000</v>
      </c>
      <c r="D2910" s="29">
        <f>VLOOKUP(A2910,'Database Claims'!$A:$C,2,)</f>
        <v>1376000</v>
      </c>
      <c r="E2910" s="29">
        <f t="shared" si="91"/>
        <v>-24000</v>
      </c>
    </row>
    <row r="2911" spans="1:5" s="59" customFormat="1" x14ac:dyDescent="0.2">
      <c r="A2911" s="28">
        <v>44821</v>
      </c>
      <c r="B2911" s="29">
        <f>VLOOKUP(A2911,'Database Claims'!$A:$C,3,)</f>
        <v>209000</v>
      </c>
      <c r="C2911" s="29">
        <f t="shared" si="90"/>
        <v>1000</v>
      </c>
      <c r="D2911" s="29">
        <f>VLOOKUP(A2911,'Database Claims'!$A:$C,2,)</f>
        <v>1346000</v>
      </c>
      <c r="E2911" s="29">
        <f t="shared" si="91"/>
        <v>-30000</v>
      </c>
    </row>
    <row r="2912" spans="1:5" s="59" customFormat="1" x14ac:dyDescent="0.2">
      <c r="A2912" s="28">
        <v>44828</v>
      </c>
      <c r="B2912" s="29">
        <f>VLOOKUP(A2912,'Database Claims'!$A:$C,3,)</f>
        <v>190000</v>
      </c>
      <c r="C2912" s="29">
        <f t="shared" si="90"/>
        <v>-19000</v>
      </c>
      <c r="D2912" s="29">
        <f>VLOOKUP(A2912,'Database Claims'!$A:$C,2,)</f>
        <v>1361000</v>
      </c>
      <c r="E2912" s="29">
        <f t="shared" si="91"/>
        <v>15000</v>
      </c>
    </row>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9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24" zoomScale="110" zoomScaleNormal="110" workbookViewId="0">
      <selection activeCell="X67" sqref="X67"/>
    </sheetView>
  </sheetViews>
  <sheetFormatPr baseColWidth="10" defaultColWidth="9.1640625" defaultRowHeight="15" x14ac:dyDescent="0.2"/>
  <cols>
    <col min="1" max="26" width="9.1640625" style="59" customWidth="1"/>
    <col min="27"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38" activePane="bottomLeft" state="frozen"/>
      <selection activeCell="L243" sqref="L243"/>
      <selection pane="bottomLeft" activeCell="G277" sqref="G277"/>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86</v>
      </c>
      <c r="B1" s="15"/>
      <c r="C1" s="15"/>
      <c r="I1" s="17"/>
    </row>
    <row r="2" spans="1:9" s="59" customFormat="1" x14ac:dyDescent="0.2">
      <c r="A2" s="1" t="s">
        <v>87</v>
      </c>
      <c r="B2" s="15"/>
      <c r="C2" s="15"/>
    </row>
    <row r="3" spans="1:9" s="59" customFormat="1" x14ac:dyDescent="0.2">
      <c r="A3" s="1" t="s">
        <v>88</v>
      </c>
      <c r="B3" s="15"/>
      <c r="C3" s="15"/>
    </row>
    <row r="4" spans="1:9" s="59"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213</v>
      </c>
    </row>
    <row r="194" spans="1:3" x14ac:dyDescent="0.2">
      <c r="A194" s="56">
        <v>42767</v>
      </c>
      <c r="B194" s="57">
        <f>VLOOKUP(A194,'Database ADP'!A:B,2)</f>
        <v>224</v>
      </c>
      <c r="C194" s="57">
        <f>VLOOKUP(A194,NFP!A:C,3)</f>
        <v>190</v>
      </c>
    </row>
    <row r="195" spans="1:3" x14ac:dyDescent="0.2">
      <c r="A195" s="56">
        <v>42795</v>
      </c>
      <c r="B195" s="57">
        <f>VLOOKUP(A195,'Database ADP'!A:B,2)</f>
        <v>237</v>
      </c>
      <c r="C195" s="57">
        <f>VLOOKUP(A195,NFP!A:C,3)</f>
        <v>142</v>
      </c>
    </row>
    <row r="196" spans="1:3" x14ac:dyDescent="0.2">
      <c r="A196" s="56">
        <v>42826</v>
      </c>
      <c r="B196" s="57">
        <f>VLOOKUP(A196,'Database ADP'!A:B,2)</f>
        <v>209</v>
      </c>
      <c r="C196" s="57">
        <f>VLOOKUP(A196,NFP!A:C,3)</f>
        <v>205</v>
      </c>
    </row>
    <row r="197" spans="1:3" x14ac:dyDescent="0.2">
      <c r="A197" s="56">
        <v>42856</v>
      </c>
      <c r="B197" s="57">
        <f>VLOOKUP(A197,'Database ADP'!A:B,2)</f>
        <v>173</v>
      </c>
      <c r="C197" s="57">
        <f>VLOOKUP(A197,NFP!A:C,3)</f>
        <v>223</v>
      </c>
    </row>
    <row r="198" spans="1:3" x14ac:dyDescent="0.2">
      <c r="A198" s="56">
        <v>42887</v>
      </c>
      <c r="B198" s="57">
        <f>VLOOKUP(A198,'Database ADP'!A:B,2)</f>
        <v>170</v>
      </c>
      <c r="C198" s="57">
        <f>VLOOKUP(A198,NFP!A:C,3)</f>
        <v>197</v>
      </c>
    </row>
    <row r="199" spans="1:3" x14ac:dyDescent="0.2">
      <c r="A199" s="56">
        <v>42917</v>
      </c>
      <c r="B199" s="57">
        <f>VLOOKUP(A199,'Database ADP'!A:B,2)</f>
        <v>135</v>
      </c>
      <c r="C199" s="57">
        <f>VLOOKUP(A199,NFP!A:C,3)</f>
        <v>183</v>
      </c>
    </row>
    <row r="200" spans="1:3" x14ac:dyDescent="0.2">
      <c r="A200" s="56">
        <v>42948</v>
      </c>
      <c r="B200" s="57">
        <f>VLOOKUP(A200,'Database ADP'!A:B,2)</f>
        <v>183</v>
      </c>
      <c r="C200" s="57">
        <f>VLOOKUP(A200,NFP!A:C,3)</f>
        <v>145</v>
      </c>
    </row>
    <row r="201" spans="1:3" x14ac:dyDescent="0.2">
      <c r="A201" s="56">
        <v>42979</v>
      </c>
      <c r="B201" s="57">
        <f>VLOOKUP(A201,'Database ADP'!A:B,2)</f>
        <v>174</v>
      </c>
      <c r="C201" s="57">
        <f>VLOOKUP(A201,NFP!A:C,3)</f>
        <v>99</v>
      </c>
    </row>
    <row r="202" spans="1:3" x14ac:dyDescent="0.2">
      <c r="A202" s="56">
        <v>43009</v>
      </c>
      <c r="B202" s="57">
        <f>VLOOKUP(A202,'Database ADP'!A:B,2)</f>
        <v>111</v>
      </c>
      <c r="C202" s="57">
        <f>VLOOKUP(A202,NFP!A:C,3)</f>
        <v>141</v>
      </c>
    </row>
    <row r="203" spans="1:3" x14ac:dyDescent="0.2">
      <c r="A203" s="56">
        <v>43040</v>
      </c>
      <c r="B203" s="57">
        <f>VLOOKUP(A203,'Database ADP'!A:B,2)</f>
        <v>158</v>
      </c>
      <c r="C203" s="57">
        <f>VLOOKUP(A203,NFP!A:C,3)</f>
        <v>200</v>
      </c>
    </row>
    <row r="204" spans="1:3" x14ac:dyDescent="0.2">
      <c r="A204" s="56">
        <v>43070</v>
      </c>
      <c r="B204" s="57">
        <f>VLOOKUP(A204,'Database ADP'!A:B,2)</f>
        <v>207</v>
      </c>
      <c r="C204" s="57">
        <f>VLOOKUP(A204,NFP!A:C,3)</f>
        <v>176</v>
      </c>
    </row>
    <row r="205" spans="1:3" x14ac:dyDescent="0.2">
      <c r="A205" s="56">
        <v>43101</v>
      </c>
      <c r="B205" s="57">
        <f>VLOOKUP(A205,'Database ADP'!A:B,2)</f>
        <v>241</v>
      </c>
      <c r="C205" s="57">
        <f>VLOOKUP(A205,NFP!A:C,3)</f>
        <v>133</v>
      </c>
    </row>
    <row r="206" spans="1:3" x14ac:dyDescent="0.2">
      <c r="A206" s="56">
        <v>43132</v>
      </c>
      <c r="B206" s="57">
        <f>VLOOKUP(A206,'Database ADP'!A:B,2)</f>
        <v>252</v>
      </c>
      <c r="C206" s="57">
        <f>VLOOKUP(A206,NFP!A:C,3)</f>
        <v>402</v>
      </c>
    </row>
    <row r="207" spans="1:3" x14ac:dyDescent="0.2">
      <c r="A207" s="56">
        <v>43160</v>
      </c>
      <c r="B207" s="57">
        <f>VLOOKUP(A207,'Database ADP'!A:B,2)</f>
        <v>219</v>
      </c>
      <c r="C207" s="57">
        <f>VLOOKUP(A207,NFP!A:C,3)</f>
        <v>225</v>
      </c>
    </row>
    <row r="208" spans="1:3" x14ac:dyDescent="0.2">
      <c r="A208" s="56">
        <v>43191</v>
      </c>
      <c r="B208" s="57">
        <f>VLOOKUP(A208,'Database ADP'!A:B,2)</f>
        <v>213</v>
      </c>
      <c r="C208" s="57">
        <f>VLOOKUP(A208,NFP!A:C,3)</f>
        <v>179</v>
      </c>
    </row>
    <row r="209" spans="1:3" x14ac:dyDescent="0.2">
      <c r="A209" s="56">
        <v>43221</v>
      </c>
      <c r="B209" s="57">
        <f>VLOOKUP(A209,'Database ADP'!A:B,2)</f>
        <v>178</v>
      </c>
      <c r="C209" s="57">
        <f>VLOOKUP(A209,NFP!A:C,3)</f>
        <v>333</v>
      </c>
    </row>
    <row r="210" spans="1:3" x14ac:dyDescent="0.2">
      <c r="A210" s="56">
        <v>43252</v>
      </c>
      <c r="B210" s="57">
        <f>VLOOKUP(A210,'Database ADP'!A:B,2)</f>
        <v>276</v>
      </c>
      <c r="C210" s="57">
        <f>VLOOKUP(A210,NFP!A:C,3)</f>
        <v>183</v>
      </c>
    </row>
    <row r="211" spans="1:3" x14ac:dyDescent="0.2">
      <c r="A211" s="56">
        <v>43282</v>
      </c>
      <c r="B211" s="57">
        <f>VLOOKUP(A211,'Database ADP'!A:B,2)</f>
        <v>221</v>
      </c>
      <c r="C211" s="57">
        <f>VLOOKUP(A211,NFP!A:C,3)</f>
        <v>66</v>
      </c>
    </row>
    <row r="212" spans="1:3" x14ac:dyDescent="0.2">
      <c r="A212" s="56">
        <v>43313</v>
      </c>
      <c r="B212" s="57">
        <f>VLOOKUP(A212,'Database ADP'!A:B,2)</f>
        <v>284</v>
      </c>
      <c r="C212" s="57">
        <f>VLOOKUP(A212,NFP!A:C,3)</f>
        <v>219</v>
      </c>
    </row>
    <row r="213" spans="1:3" x14ac:dyDescent="0.2">
      <c r="A213" s="56">
        <v>43344</v>
      </c>
      <c r="B213" s="57">
        <f>VLOOKUP(A213,'Database ADP'!A:B,2)</f>
        <v>159</v>
      </c>
      <c r="C213" s="57">
        <f>VLOOKUP(A213,NFP!A:C,3)</f>
        <v>57</v>
      </c>
    </row>
    <row r="214" spans="1:3" x14ac:dyDescent="0.2">
      <c r="A214" s="56">
        <v>43374</v>
      </c>
      <c r="B214" s="57">
        <f>VLOOKUP(A214,'Database ADP'!A:B,2)</f>
        <v>199</v>
      </c>
      <c r="C214" s="57">
        <f>VLOOKUP(A214,NFP!A:C,3)</f>
        <v>145</v>
      </c>
    </row>
    <row r="215" spans="1:3" x14ac:dyDescent="0.2">
      <c r="A215" s="56">
        <v>43405</v>
      </c>
      <c r="B215" s="57">
        <f>VLOOKUP(A215,'Database ADP'!A:B,2)</f>
        <v>238</v>
      </c>
      <c r="C215" s="57">
        <f>VLOOKUP(A215,NFP!A:C,3)</f>
        <v>102</v>
      </c>
    </row>
    <row r="216" spans="1:3" x14ac:dyDescent="0.2">
      <c r="A216" s="56">
        <v>43435</v>
      </c>
      <c r="B216" s="57">
        <f>VLOOKUP(A216,'Database ADP'!A:B,2)</f>
        <v>136</v>
      </c>
      <c r="C216" s="57">
        <f>VLOOKUP(A216,NFP!A:C,3)</f>
        <v>248</v>
      </c>
    </row>
    <row r="217" spans="1:3" x14ac:dyDescent="0.2">
      <c r="A217" s="56">
        <v>43466</v>
      </c>
      <c r="B217" s="57">
        <f>VLOOKUP(A217,'Database ADP'!A:B,2)</f>
        <v>249</v>
      </c>
      <c r="C217" s="57">
        <f>VLOOKUP(A217,NFP!A:C,3)</f>
        <v>279</v>
      </c>
    </row>
    <row r="218" spans="1:3" x14ac:dyDescent="0.2">
      <c r="A218" s="56">
        <v>43497</v>
      </c>
      <c r="B218" s="57">
        <f>VLOOKUP(A218,'Database ADP'!A:B,2)</f>
        <v>264</v>
      </c>
      <c r="C218" s="57">
        <f>VLOOKUP(A218,NFP!A:C,3)</f>
        <v>24</v>
      </c>
    </row>
    <row r="219" spans="1:3" x14ac:dyDescent="0.2">
      <c r="A219" s="56">
        <v>43525</v>
      </c>
      <c r="B219" s="57">
        <f>VLOOKUP(A219,'Database ADP'!A:B,2)</f>
        <v>220</v>
      </c>
      <c r="C219" s="57">
        <f>VLOOKUP(A219,NFP!A:C,3)</f>
        <v>224</v>
      </c>
    </row>
    <row r="220" spans="1:3" x14ac:dyDescent="0.2">
      <c r="A220" s="56">
        <v>43556</v>
      </c>
      <c r="B220" s="57">
        <f>VLOOKUP(A220,'Database ADP'!A:B,2)</f>
        <v>158</v>
      </c>
      <c r="C220" s="57">
        <f>VLOOKUP(A220,NFP!A:C,3)</f>
        <v>288</v>
      </c>
    </row>
    <row r="221" spans="1:3" x14ac:dyDescent="0.2">
      <c r="A221" s="56">
        <v>43586</v>
      </c>
      <c r="B221" s="57">
        <f>VLOOKUP(A221,'Database ADP'!A:B,2)</f>
        <v>255</v>
      </c>
      <c r="C221" s="57">
        <f>VLOOKUP(A221,NFP!A:C,3)</f>
        <v>77</v>
      </c>
    </row>
    <row r="222" spans="1:3" s="59" customFormat="1" x14ac:dyDescent="0.2">
      <c r="A222" s="56">
        <v>43617</v>
      </c>
      <c r="B222" s="57">
        <f>VLOOKUP(A222,'Database ADP'!A:B,2)</f>
        <v>46</v>
      </c>
      <c r="C222" s="57">
        <f>VLOOKUP(A222,NFP!A:C,3)</f>
        <v>130</v>
      </c>
    </row>
    <row r="223" spans="1:3" s="59" customFormat="1" x14ac:dyDescent="0.2">
      <c r="A223" s="56">
        <v>43647</v>
      </c>
      <c r="B223" s="57">
        <f>VLOOKUP(A223,'Database ADP'!A:B,2)</f>
        <v>107</v>
      </c>
      <c r="C223" s="57">
        <f>VLOOKUP(A223,NFP!A:C,3)</f>
        <v>78</v>
      </c>
    </row>
    <row r="224" spans="1:3" s="59" customFormat="1" x14ac:dyDescent="0.2">
      <c r="A224" s="56">
        <v>43678</v>
      </c>
      <c r="B224" s="57">
        <f>VLOOKUP(A224,'Database ADP'!A:B,2)</f>
        <v>143</v>
      </c>
      <c r="C224" s="57">
        <f>VLOOKUP(A224,NFP!A:C,3)</f>
        <v>160</v>
      </c>
    </row>
    <row r="225" spans="1:3" s="59" customFormat="1" x14ac:dyDescent="0.2">
      <c r="A225" s="56">
        <v>43709</v>
      </c>
      <c r="B225" s="57">
        <f>VLOOKUP(A225,'Database ADP'!A:B,2)</f>
        <v>159</v>
      </c>
      <c r="C225" s="57">
        <f>VLOOKUP(A225,NFP!A:C,3)</f>
        <v>163</v>
      </c>
    </row>
    <row r="226" spans="1:3" s="59" customFormat="1" x14ac:dyDescent="0.2">
      <c r="A226" s="56">
        <v>43739</v>
      </c>
      <c r="B226" s="57">
        <f>VLOOKUP(A226,'Database ADP'!A:B,2)</f>
        <v>124</v>
      </c>
      <c r="C226" s="57">
        <f>VLOOKUP(A226,NFP!A:C,3)</f>
        <v>93</v>
      </c>
    </row>
    <row r="227" spans="1:3" s="59" customFormat="1" x14ac:dyDescent="0.2">
      <c r="A227" s="56">
        <v>43770</v>
      </c>
      <c r="B227" s="57">
        <f>VLOOKUP(A227,'Database ADP'!A:B,2)</f>
        <v>151</v>
      </c>
      <c r="C227" s="57">
        <f>VLOOKUP(A227,NFP!A:C,3)</f>
        <v>252</v>
      </c>
    </row>
    <row r="228" spans="1:3" s="59" customFormat="1" x14ac:dyDescent="0.2">
      <c r="A228" s="56">
        <v>43800</v>
      </c>
      <c r="B228" s="57">
        <f>VLOOKUP(A228,'Database ADP'!A:B,2)</f>
        <v>124</v>
      </c>
      <c r="C228" s="57">
        <f>VLOOKUP(A228,NFP!A:C,3)</f>
        <v>200</v>
      </c>
    </row>
    <row r="229" spans="1:3" s="59" customFormat="1" x14ac:dyDescent="0.2">
      <c r="A229" s="56">
        <v>43831</v>
      </c>
      <c r="B229" s="57">
        <f>VLOOKUP(A229,'Database ADP'!A:B,2)</f>
        <v>199</v>
      </c>
      <c r="C229" s="57">
        <f>VLOOKUP(A229,NFP!A:C,3)</f>
        <v>339</v>
      </c>
    </row>
    <row r="230" spans="1:3" s="59" customFormat="1" x14ac:dyDescent="0.2">
      <c r="A230" s="56">
        <v>43862</v>
      </c>
      <c r="B230" s="57">
        <f>VLOOKUP(A230,'Database ADP'!A:B,2)</f>
        <v>209</v>
      </c>
      <c r="C230" s="57">
        <f>VLOOKUP(A230,NFP!A:C,3)</f>
        <v>376</v>
      </c>
    </row>
    <row r="231" spans="1:3" s="59" customFormat="1" x14ac:dyDescent="0.2">
      <c r="A231" s="56">
        <v>43891</v>
      </c>
      <c r="B231" s="57">
        <f>VLOOKUP(A231,'Database ADP'!A:B,2)</f>
        <v>183</v>
      </c>
      <c r="C231" s="57">
        <f>VLOOKUP(A231,NFP!A:C,3)</f>
        <v>-1498</v>
      </c>
    </row>
    <row r="232" spans="1:3" s="59" customFormat="1" x14ac:dyDescent="0.2">
      <c r="A232" s="56">
        <v>43922</v>
      </c>
      <c r="B232" s="57">
        <f>VLOOKUP(A232,'Database ADP'!A:B,2)</f>
        <v>-149</v>
      </c>
      <c r="C232" s="57">
        <f>VLOOKUP(A232,NFP!A:C,3)</f>
        <v>-20493</v>
      </c>
    </row>
    <row r="233" spans="1:3" s="59" customFormat="1" x14ac:dyDescent="0.2">
      <c r="A233" s="56">
        <v>43952</v>
      </c>
      <c r="B233" s="57">
        <f>VLOOKUP(A233,'Database ADP'!A:B,2)</f>
        <v>-19557</v>
      </c>
      <c r="C233" s="57">
        <f>VLOOKUP(A233,NFP!A:C,3)</f>
        <v>2642</v>
      </c>
    </row>
    <row r="234" spans="1:3" s="59" customFormat="1" x14ac:dyDescent="0.2">
      <c r="A234" s="56">
        <v>43983</v>
      </c>
      <c r="B234" s="57">
        <f>VLOOKUP(A234,'Database ADP'!A:B,2)</f>
        <v>3065</v>
      </c>
      <c r="C234" s="57">
        <f>VLOOKUP(A234,NFP!A:C,3)</f>
        <v>4505</v>
      </c>
    </row>
    <row r="235" spans="1:3" s="59" customFormat="1" x14ac:dyDescent="0.2">
      <c r="A235" s="56">
        <v>44013</v>
      </c>
      <c r="B235" s="57">
        <f>VLOOKUP(A235,'Database ADP'!A:B,2)</f>
        <v>2369</v>
      </c>
      <c r="C235" s="57">
        <f>VLOOKUP(A235,NFP!A:C,3)</f>
        <v>1388</v>
      </c>
    </row>
    <row r="236" spans="1:3" s="59" customFormat="1" x14ac:dyDescent="0.2">
      <c r="A236" s="56">
        <v>44044</v>
      </c>
      <c r="B236" s="57">
        <f>VLOOKUP(A236,'Database ADP'!A:B,2)</f>
        <v>167</v>
      </c>
      <c r="C236" s="57">
        <f>VLOOKUP(A236,NFP!A:C,3)</f>
        <v>1665</v>
      </c>
    </row>
    <row r="237" spans="1:3" s="59" customFormat="1" x14ac:dyDescent="0.2">
      <c r="A237" s="56">
        <v>44075</v>
      </c>
      <c r="B237" s="57">
        <f>VLOOKUP(A237,'Database ADP'!A:B,2)</f>
        <v>428</v>
      </c>
      <c r="C237" s="57">
        <f>VLOOKUP(A237,NFP!A:C,3)</f>
        <v>919</v>
      </c>
    </row>
    <row r="238" spans="1:3" s="59" customFormat="1" x14ac:dyDescent="0.2">
      <c r="A238" s="56">
        <v>44105</v>
      </c>
      <c r="B238" s="57">
        <f>VLOOKUP(A238,'Database ADP'!A:B,2)</f>
        <v>749</v>
      </c>
      <c r="C238" s="57">
        <f>VLOOKUP(A238,NFP!A:C,3)</f>
        <v>647</v>
      </c>
    </row>
    <row r="239" spans="1:3" s="59" customFormat="1" x14ac:dyDescent="0.2">
      <c r="A239" s="56">
        <v>44136</v>
      </c>
      <c r="B239" s="57">
        <f>VLOOKUP(A239,'Database ADP'!A:B,2)</f>
        <v>365</v>
      </c>
      <c r="C239" s="57">
        <f>VLOOKUP(A239,NFP!A:C,3)</f>
        <v>333</v>
      </c>
    </row>
    <row r="240" spans="1:3" s="59" customFormat="1" x14ac:dyDescent="0.2">
      <c r="A240" s="56">
        <v>44166</v>
      </c>
      <c r="B240" s="57">
        <f>VLOOKUP(A240,'Database ADP'!A:B,2)</f>
        <v>307</v>
      </c>
      <c r="C240" s="57">
        <f>VLOOKUP(A240,NFP!A:C,3)</f>
        <v>-115</v>
      </c>
    </row>
    <row r="241" spans="1:3" s="59" customFormat="1" x14ac:dyDescent="0.2">
      <c r="A241" s="56">
        <v>44197</v>
      </c>
      <c r="B241" s="57">
        <f>VLOOKUP(A241,'Database ADP'!A:B,2)</f>
        <v>-123</v>
      </c>
      <c r="C241" s="57">
        <f>VLOOKUP(A241,NFP!A:C,3)</f>
        <v>520</v>
      </c>
    </row>
    <row r="242" spans="1:3" s="59" customFormat="1" x14ac:dyDescent="0.2">
      <c r="A242" s="56">
        <v>44228</v>
      </c>
      <c r="B242" s="57">
        <f>VLOOKUP(A242,'Database ADP'!A:B,2)</f>
        <v>174</v>
      </c>
      <c r="C242" s="57">
        <f>VLOOKUP(A242,NFP!A:C,3)</f>
        <v>710</v>
      </c>
    </row>
    <row r="243" spans="1:3" s="59" customFormat="1" x14ac:dyDescent="0.2">
      <c r="A243" s="56">
        <v>44256</v>
      </c>
      <c r="B243" s="57">
        <f>VLOOKUP(A243,'Database ADP'!A:B,2)</f>
        <v>117</v>
      </c>
      <c r="C243" s="57">
        <f>VLOOKUP(A243,NFP!A:C,3)</f>
        <v>704</v>
      </c>
    </row>
    <row r="244" spans="1:3" s="59" customFormat="1" x14ac:dyDescent="0.2">
      <c r="A244" s="56">
        <v>44287</v>
      </c>
      <c r="B244" s="57">
        <f>VLOOKUP(A244,'Database ADP'!A:B,2)</f>
        <v>517</v>
      </c>
      <c r="C244" s="57">
        <f>VLOOKUP(A244,NFP!A:C,3)</f>
        <v>263</v>
      </c>
    </row>
    <row r="245" spans="1:3" s="59" customFormat="1" x14ac:dyDescent="0.2">
      <c r="A245" s="56">
        <v>44317</v>
      </c>
      <c r="B245" s="57">
        <f>VLOOKUP(A245,'Database ADP'!A:B,2)</f>
        <v>742</v>
      </c>
      <c r="C245" s="57">
        <f>VLOOKUP(A245,NFP!A:C,3)</f>
        <v>447</v>
      </c>
    </row>
    <row r="246" spans="1:3" s="59" customFormat="1" x14ac:dyDescent="0.2">
      <c r="A246" s="56">
        <v>44348</v>
      </c>
      <c r="B246" s="57">
        <f>VLOOKUP(A246,'Database ADP'!A:B,2)</f>
        <v>978</v>
      </c>
      <c r="C246" s="57">
        <f>VLOOKUP(A246,NFP!A:C,3)</f>
        <v>557</v>
      </c>
    </row>
    <row r="247" spans="1:3" s="59" customFormat="1" x14ac:dyDescent="0.2">
      <c r="A247" s="56">
        <v>44378</v>
      </c>
      <c r="B247" s="57">
        <f>VLOOKUP(A247,'Database ADP'!A:B,2)</f>
        <v>692</v>
      </c>
      <c r="C247" s="57">
        <f>VLOOKUP(A247,NFP!A:C,3)</f>
        <v>689</v>
      </c>
    </row>
    <row r="248" spans="1:3" s="59" customFormat="1" x14ac:dyDescent="0.2">
      <c r="A248" s="56">
        <v>44409</v>
      </c>
      <c r="B248" s="57">
        <f>VLOOKUP(A248,'Database ADP'!A:B,2)</f>
        <v>330</v>
      </c>
      <c r="C248" s="57">
        <f>VLOOKUP(A248,NFP!A:C,3)</f>
        <v>517</v>
      </c>
    </row>
    <row r="249" spans="1:3" s="59" customFormat="1" x14ac:dyDescent="0.2">
      <c r="A249" s="56">
        <v>44440</v>
      </c>
      <c r="B249" s="57">
        <f>VLOOKUP(A249,'Database ADP'!A:B,2)</f>
        <v>374</v>
      </c>
      <c r="C249" s="57">
        <f>VLOOKUP(A249,NFP!A:C,3)</f>
        <v>424</v>
      </c>
    </row>
    <row r="250" spans="1:3" s="59" customFormat="1" x14ac:dyDescent="0.2">
      <c r="A250" s="56">
        <v>44470</v>
      </c>
      <c r="B250" s="57">
        <f>VLOOKUP(A250,'Database ADP'!A:B,2)</f>
        <v>568</v>
      </c>
      <c r="C250" s="57">
        <f>VLOOKUP(A250,NFP!A:C,3)</f>
        <v>677</v>
      </c>
    </row>
    <row r="251" spans="1:3" s="59" customFormat="1" x14ac:dyDescent="0.2">
      <c r="A251" s="56">
        <v>44501</v>
      </c>
      <c r="B251" s="57">
        <f>VLOOKUP(A251,'Database ADP'!A:B,2)</f>
        <v>568</v>
      </c>
      <c r="C251" s="57">
        <f>VLOOKUP(A251,NFP!A:C,3)</f>
        <v>647</v>
      </c>
    </row>
    <row r="252" spans="1:3" s="59" customFormat="1" x14ac:dyDescent="0.2">
      <c r="A252" s="56">
        <v>44531</v>
      </c>
      <c r="B252" s="57">
        <f>VLOOKUP(A252,'Database ADP'!A:B,2)</f>
        <v>534</v>
      </c>
      <c r="C252" s="57">
        <f>VLOOKUP(A252,NFP!A:C,3)</f>
        <v>588</v>
      </c>
    </row>
    <row r="253" spans="1:3" s="59" customFormat="1" x14ac:dyDescent="0.2">
      <c r="A253" s="56">
        <v>44562</v>
      </c>
      <c r="B253" s="57">
        <f>VLOOKUP(A253,'Database ADP'!A:B,2)</f>
        <v>534</v>
      </c>
      <c r="C253" s="57">
        <f>VLOOKUP(A253,NFP!A:C,3)</f>
        <v>504</v>
      </c>
    </row>
    <row r="254" spans="1:3" s="59" customFormat="1" x14ac:dyDescent="0.2">
      <c r="A254" s="56">
        <v>44593</v>
      </c>
      <c r="B254" s="57">
        <f>VLOOKUP(A254,'Database ADP'!A:B,2)</f>
        <v>807</v>
      </c>
      <c r="C254" s="57">
        <f>VLOOKUP(A254,NFP!A:C,3)</f>
        <v>714</v>
      </c>
    </row>
    <row r="255" spans="1:3" s="59" customFormat="1" x14ac:dyDescent="0.2">
      <c r="A255" s="56">
        <v>44621</v>
      </c>
      <c r="B255" s="57">
        <f>VLOOKUP(A255,'Database ADP'!A:B,2)</f>
        <v>-30</v>
      </c>
      <c r="C255" s="57">
        <f>VLOOKUP(A255,NFP!A:C,3)</f>
        <v>398</v>
      </c>
    </row>
    <row r="256" spans="1:3" s="59" customFormat="1" x14ac:dyDescent="0.2">
      <c r="A256" s="56">
        <v>44652</v>
      </c>
      <c r="B256" s="57">
        <f>VLOOKUP(A256,'Database ADP'!A:B,2)</f>
        <v>455</v>
      </c>
      <c r="C256" s="57">
        <f>VLOOKUP(A256,NFP!A:C,3)</f>
        <v>368</v>
      </c>
    </row>
    <row r="257" spans="1:3" s="59" customFormat="1" x14ac:dyDescent="0.2">
      <c r="A257" s="56">
        <v>44682</v>
      </c>
      <c r="B257" s="57">
        <f>VLOOKUP(A257,'Database ADP'!A:B,2)</f>
        <v>455</v>
      </c>
      <c r="C257" s="57">
        <f>VLOOKUP(A257,NFP!A:C,3)</f>
        <v>386</v>
      </c>
    </row>
    <row r="258" spans="1:3" s="59" customFormat="1" x14ac:dyDescent="0.2">
      <c r="A258" s="56">
        <v>44713</v>
      </c>
      <c r="B258" s="57">
        <f>VLOOKUP(A258,'Database ADP'!A:B,2)</f>
        <v>247</v>
      </c>
      <c r="C258" s="57">
        <f>VLOOKUP(A258,NFP!A:C,3)</f>
        <v>293</v>
      </c>
    </row>
    <row r="259" spans="1:3" s="59" customFormat="1" x14ac:dyDescent="0.2">
      <c r="A259" s="56">
        <v>44743</v>
      </c>
      <c r="B259" s="57">
        <f>VLOOKUP(A259,'Database ADP'!A:B,2)</f>
        <v>128</v>
      </c>
      <c r="C259" s="57">
        <f>VLOOKUP(A259,NFP!A:C,3)</f>
        <v>537</v>
      </c>
    </row>
    <row r="260" spans="1:3" s="59" customFormat="1" x14ac:dyDescent="0.2">
      <c r="A260" s="56">
        <v>44774</v>
      </c>
      <c r="B260" s="57">
        <f>VLOOKUP(A260,'Database ADP'!A:B,2)</f>
        <v>128</v>
      </c>
      <c r="C260" s="57">
        <f>VLOOKUP(A260,NFP!A:C,3)</f>
        <v>315</v>
      </c>
    </row>
    <row r="261" spans="1:3" s="59" customFormat="1" x14ac:dyDescent="0.2">
      <c r="A261" s="56">
        <v>44805</v>
      </c>
      <c r="B261" s="57">
        <f>VLOOKUP(A261,'Database ADP'!A:B,2)</f>
        <v>380</v>
      </c>
      <c r="C261" s="57">
        <f>VLOOKUP(A261,NFP!A:C,3)</f>
        <v>263</v>
      </c>
    </row>
    <row r="262" spans="1:3" s="59" customFormat="1" x14ac:dyDescent="0.2">
      <c r="A262" s="56">
        <v>44835</v>
      </c>
      <c r="B262" s="57">
        <f>VLOOKUP(A262,'Database ADP'!A:B,2)</f>
        <v>380</v>
      </c>
      <c r="C262" s="57">
        <f>VLOOKUP(A262,NFP!A:C,3)</f>
        <v>263</v>
      </c>
    </row>
    <row r="263" spans="1:3" s="59" customFormat="1" x14ac:dyDescent="0.2">
      <c r="A263" s="56">
        <v>44866</v>
      </c>
      <c r="B263" s="57">
        <f>VLOOKUP(A263,'Database ADP'!A:B,2)</f>
        <v>208</v>
      </c>
      <c r="C263" s="57">
        <f>VLOOKUP(A263,NFP!A:C,3)</f>
        <v>263</v>
      </c>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K109" sqref="K109"/>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4.2327669999999999</v>
      </c>
      <c r="M5" s="13">
        <f>IF(VLOOKUP(B5,'Data World'!$A:$AL,MATCH(World!$M$1,'Data World'!$A$1:$AL$1,))=0,#N/A,VLOOKUP(B5,'Data World'!$A:$AL,MATCH(World!$M$1,'Data World'!$A$1:$AL$1,)))</f>
        <v>6.9</v>
      </c>
      <c r="N5" s="13">
        <f>IF(VLOOKUP(B5,'Data World'!$A:$AL,MATCH(World!$N$1,'Data World'!$A$1:$AL$1,))=0,#N/A,VLOOKUP(B5,'Data World'!$A:$AL,MATCH(World!$N$1,'Data World'!$A$1:$AL$1,)))</f>
        <v>6.1054539999999999</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4.4176159999999998</v>
      </c>
      <c r="M6" s="13">
        <f>IF(VLOOKUP(B6,'Data World'!$A:$AL,MATCH(World!$M$1,'Data World'!$A$1:$AL$1,))=0,#N/A,VLOOKUP(B6,'Data World'!$A:$AL,MATCH(World!$M$1,'Data World'!$A$1:$AL$1,)))</f>
        <v>6.9</v>
      </c>
      <c r="N6" s="13">
        <f>IF(VLOOKUP(B6,'Data World'!$A:$AL,MATCH(World!$N$1,'Data World'!$A$1:$AL$1,))=0,#N/A,VLOOKUP(B6,'Data World'!$A:$AL,MATCH(World!$N$1,'Data World'!$A$1:$AL$1,)))</f>
        <v>6.112088</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4.5413129999999997</v>
      </c>
      <c r="M7" s="13">
        <f>IF(VLOOKUP(B7,'Data World'!$A:$AL,MATCH(World!$M$1,'Data World'!$A$1:$AL$1,))=0,#N/A,VLOOKUP(B7,'Data World'!$A:$AL,MATCH(World!$M$1,'Data World'!$A$1:$AL$1,)))</f>
        <v>6.9</v>
      </c>
      <c r="N7" s="13">
        <f>IF(VLOOKUP(B7,'Data World'!$A:$AL,MATCH(World!$N$1,'Data World'!$A$1:$AL$1,))=0,#N/A,VLOOKUP(B7,'Data World'!$A:$AL,MATCH(World!$N$1,'Data World'!$A$1:$AL$1,)))</f>
        <v>5.9364049999999997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4.4433020000000001</v>
      </c>
      <c r="M8" s="13">
        <f>IF(VLOOKUP(B8,'Data World'!$A:$AL,MATCH(World!$M$1,'Data World'!$A$1:$AL$1,))=0,#N/A,VLOOKUP(B8,'Data World'!$A:$AL,MATCH(World!$M$1,'Data World'!$A$1:$AL$1,)))</f>
        <v>6.9</v>
      </c>
      <c r="N8" s="13">
        <f>IF(VLOOKUP(B8,'Data World'!$A:$AL,MATCH(World!$N$1,'Data World'!$A$1:$AL$1,))=0,#N/A,VLOOKUP(B8,'Data World'!$A:$AL,MATCH(World!$N$1,'Data World'!$A$1:$AL$1,)))</f>
        <v>6.0015910000000003</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4.4538830000000003</v>
      </c>
      <c r="M9" s="13">
        <f>IF(VLOOKUP(B9,'Data World'!$A:$AL,MATCH(World!$M$1,'Data World'!$A$1:$AL$1,))=0,#N/A,VLOOKUP(B9,'Data World'!$A:$AL,MATCH(World!$M$1,'Data World'!$A$1:$AL$1,)))</f>
        <v>6.9</v>
      </c>
      <c r="N9" s="13">
        <f>IF(VLOOKUP(B9,'Data World'!$A:$AL,MATCH(World!$N$1,'Data World'!$A$1:$AL$1,))=0,#N/A,VLOOKUP(B9,'Data World'!$A:$AL,MATCH(World!$N$1,'Data World'!$A$1:$AL$1,)))</f>
        <v>6.2610669999999997</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4.378927</v>
      </c>
      <c r="M10" s="13">
        <f>IF(VLOOKUP(B10,'Data World'!$A:$AL,MATCH(World!$M$1,'Data World'!$A$1:$AL$1,))=0,#N/A,VLOOKUP(B10,'Data World'!$A:$AL,MATCH(World!$M$1,'Data World'!$A$1:$AL$1,)))</f>
        <v>7</v>
      </c>
      <c r="N10" s="13">
        <f>IF(VLOOKUP(B10,'Data World'!$A:$AL,MATCH(World!$N$1,'Data World'!$A$1:$AL$1,))=0,#N/A,VLOOKUP(B10,'Data World'!$A:$AL,MATCH(World!$N$1,'Data World'!$A$1:$AL$1,)))</f>
        <v>6.084066</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4.1823940000000004</v>
      </c>
      <c r="M11" s="13">
        <f>IF(VLOOKUP(B11,'Data World'!$A:$AL,MATCH(World!$M$1,'Data World'!$A$1:$AL$1,))=0,#N/A,VLOOKUP(B11,'Data World'!$A:$AL,MATCH(World!$M$1,'Data World'!$A$1:$AL$1,)))</f>
        <v>7.1</v>
      </c>
      <c r="N11" s="13">
        <f>IF(VLOOKUP(B11,'Data World'!$A:$AL,MATCH(World!$N$1,'Data World'!$A$1:$AL$1,))=0,#N/A,VLOOKUP(B11,'Data World'!$A:$AL,MATCH(World!$N$1,'Data World'!$A$1:$AL$1,)))</f>
        <v>6.1591490000000002</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4.4415209999999998</v>
      </c>
      <c r="M12" s="13">
        <f>IF(VLOOKUP(B12,'Data World'!$A:$AL,MATCH(World!$M$1,'Data World'!$A$1:$AL$1,))=0,#N/A,VLOOKUP(B12,'Data World'!$A:$AL,MATCH(World!$M$1,'Data World'!$A$1:$AL$1,)))</f>
        <v>6.9</v>
      </c>
      <c r="N12" s="13">
        <f>IF(VLOOKUP(B12,'Data World'!$A:$AL,MATCH(World!$N$1,'Data World'!$A$1:$AL$1,))=0,#N/A,VLOOKUP(B12,'Data World'!$A:$AL,MATCH(World!$N$1,'Data World'!$A$1:$AL$1,)))</f>
        <v>5.9135489999999997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4.0902070000000004</v>
      </c>
      <c r="M13" s="13">
        <f>IF(VLOOKUP(B13,'Data World'!$A:$AL,MATCH(World!$M$1,'Data World'!$A$1:$AL$1,))=0,#N/A,VLOOKUP(B13,'Data World'!$A:$AL,MATCH(World!$M$1,'Data World'!$A$1:$AL$1,)))</f>
        <v>7.1</v>
      </c>
      <c r="N13" s="13">
        <f>IF(VLOOKUP(B13,'Data World'!$A:$AL,MATCH(World!$N$1,'Data World'!$A$1:$AL$1,))=0,#N/A,VLOOKUP(B13,'Data World'!$A:$AL,MATCH(World!$N$1,'Data World'!$A$1:$AL$1,)))</f>
        <v>5.856223</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4.3670799999999996</v>
      </c>
      <c r="M14" s="13">
        <f>IF(VLOOKUP(B14,'Data World'!$A:$AL,MATCH(World!$M$1,'Data World'!$A$1:$AL$1,))=0,#N/A,VLOOKUP(B14,'Data World'!$A:$AL,MATCH(World!$M$1,'Data World'!$A$1:$AL$1,)))</f>
        <v>7.2</v>
      </c>
      <c r="N14" s="13">
        <f>IF(VLOOKUP(B14,'Data World'!$A:$AL,MATCH(World!$N$1,'Data World'!$A$1:$AL$1,))=0,#N/A,VLOOKUP(B14,'Data World'!$A:$AL,MATCH(World!$N$1,'Data World'!$A$1:$AL$1,)))</f>
        <v>5.7478850000000001</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4.0850759999999999</v>
      </c>
      <c r="M15" s="13">
        <f>IF(VLOOKUP(B15,'Data World'!$A:$AL,MATCH(World!$M$1,'Data World'!$A$1:$AL$1,))=0,#N/A,VLOOKUP(B15,'Data World'!$A:$AL,MATCH(World!$M$1,'Data World'!$A$1:$AL$1,)))</f>
        <v>7.2</v>
      </c>
      <c r="N15" s="13">
        <f>IF(VLOOKUP(B15,'Data World'!$A:$AL,MATCH(World!$N$1,'Data World'!$A$1:$AL$1,))=0,#N/A,VLOOKUP(B15,'Data World'!$A:$AL,MATCH(World!$N$1,'Data World'!$A$1:$AL$1,)))</f>
        <v>6.0314019999999999</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4.1699539999999997</v>
      </c>
      <c r="M16" s="13">
        <f>IF(VLOOKUP(B16,'Data World'!$A:$AL,MATCH(World!$M$1,'Data World'!$A$1:$AL$1,))=0,#N/A,VLOOKUP(B16,'Data World'!$A:$AL,MATCH(World!$M$1,'Data World'!$A$1:$AL$1,)))</f>
        <v>7.3</v>
      </c>
      <c r="N16" s="13">
        <f>IF(VLOOKUP(B16,'Data World'!$A:$AL,MATCH(World!$N$1,'Data World'!$A$1:$AL$1,))=0,#N/A,VLOOKUP(B16,'Data World'!$A:$AL,MATCH(World!$N$1,'Data World'!$A$1:$AL$1,)))</f>
        <v>5.7078670000000002</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4.0959019999999997</v>
      </c>
      <c r="M17" s="13">
        <f>IF(VLOOKUP(B17,'Data World'!$A:$AL,MATCH(World!$M$1,'Data World'!$A$1:$AL$1,))=0,#N/A,VLOOKUP(B17,'Data World'!$A:$AL,MATCH(World!$M$1,'Data World'!$A$1:$AL$1,)))</f>
        <v>7.1</v>
      </c>
      <c r="N17" s="13">
        <f>IF(VLOOKUP(B17,'Data World'!$A:$AL,MATCH(World!$N$1,'Data World'!$A$1:$AL$1,))=0,#N/A,VLOOKUP(B17,'Data World'!$A:$AL,MATCH(World!$N$1,'Data World'!$A$1:$AL$1,)))</f>
        <v>5.6570919999999996</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6.5</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3.915578</v>
      </c>
      <c r="M18" s="13">
        <f>IF(VLOOKUP(B18,'Data World'!$A:$AL,MATCH(World!$M$1,'Data World'!$A$1:$AL$1,))=0,#N/A,VLOOKUP(B18,'Data World'!$A:$AL,MATCH(World!$M$1,'Data World'!$A$1:$AL$1,)))</f>
        <v>7.2</v>
      </c>
      <c r="N18" s="13">
        <f>IF(VLOOKUP(B18,'Data World'!$A:$AL,MATCH(World!$N$1,'Data World'!$A$1:$AL$1,))=0,#N/A,VLOOKUP(B18,'Data World'!$A:$AL,MATCH(World!$N$1,'Data World'!$A$1:$AL$1,)))</f>
        <v>5.6467029999999996</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3.9</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4.1188370000000001</v>
      </c>
      <c r="M19" s="13">
        <f>IF(VLOOKUP(B19,'Data World'!$A:$AL,MATCH(World!$M$1,'Data World'!$A$1:$AL$1,))=0,#N/A,VLOOKUP(B19,'Data World'!$A:$AL,MATCH(World!$M$1,'Data World'!$A$1:$AL$1,)))</f>
        <v>7</v>
      </c>
      <c r="N19" s="13">
        <f>IF(VLOOKUP(B19,'Data World'!$A:$AL,MATCH(World!$N$1,'Data World'!$A$1:$AL$1,))=0,#N/A,VLOOKUP(B19,'Data World'!$A:$AL,MATCH(World!$N$1,'Data World'!$A$1:$AL$1,)))</f>
        <v>5.7277050000000003</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4</v>
      </c>
      <c r="T19" s="13">
        <f>IF(VLOOKUP(B19,'Data World'!$A:$AL,MATCH(World!$T$1,'Data World'!$A$1:$AL$1,))=0,#N/A,VLOOKUP(B19,'Data World'!$A:$AL,MATCH(World!$T$1,'Data World'!$A$1:$AL$1,)))</f>
        <v>6.4</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3.9624600000000001</v>
      </c>
      <c r="M20" s="13">
        <f>IF(VLOOKUP(B20,'Data World'!$A:$AL,MATCH(World!$M$1,'Data World'!$A$1:$AL$1,))=0,#N/A,VLOOKUP(B20,'Data World'!$A:$AL,MATCH(World!$M$1,'Data World'!$A$1:$AL$1,)))</f>
        <v>6.9</v>
      </c>
      <c r="N20" s="13">
        <f>IF(VLOOKUP(B20,'Data World'!$A:$AL,MATCH(World!$N$1,'Data World'!$A$1:$AL$1,))=0,#N/A,VLOOKUP(B20,'Data World'!$A:$AL,MATCH(World!$N$1,'Data World'!$A$1:$AL$1,)))</f>
        <v>5.6847450000000004</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6.3</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3.7965749999999998</v>
      </c>
      <c r="M21" s="13">
        <f>IF(VLOOKUP(B21,'Data World'!$A:$AL,MATCH(World!$M$1,'Data World'!$A$1:$AL$1,))=0,#N/A,VLOOKUP(B21,'Data World'!$A:$AL,MATCH(World!$M$1,'Data World'!$A$1:$AL$1,)))</f>
        <v>7</v>
      </c>
      <c r="N21" s="13">
        <f>IF(VLOOKUP(B21,'Data World'!$A:$AL,MATCH(World!$N$1,'Data World'!$A$1:$AL$1,))=0,#N/A,VLOOKUP(B21,'Data World'!$A:$AL,MATCH(World!$N$1,'Data World'!$A$1:$AL$1,)))</f>
        <v>5.6784829999999999</v>
      </c>
      <c r="O21" s="13">
        <f>IF(VLOOKUP(B21,'Data World'!$A:$AL,MATCH(World!$O$1,'Data World'!$A$1:$AL$1,))=0,#N/A,VLOOKUP(B21,'Data World'!$A:$AL,MATCH(World!$O$1,'Data World'!$A$1:$AL$1,)))</f>
        <v>3.6</v>
      </c>
      <c r="P21" s="13">
        <f>IF(VLOOKUP(B21,'Data World'!$A:$AL,MATCH(World!$P$1,'Data World'!$A$1:$AL$1,))=0,#N/A,VLOOKUP(B21,'Data World'!$A:$AL,MATCH(World!$P$1,'Data World'!$A$1:$AL$1,)))</f>
        <v>23.8</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4.0999999999999996</v>
      </c>
      <c r="T21" s="13">
        <f>IF(VLOOKUP(B21,'Data World'!$A:$AL,MATCH(World!$T$1,'Data World'!$A$1:$AL$1,))=0,#N/A,VLOOKUP(B21,'Data World'!$A:$AL,MATCH(World!$T$1,'Data World'!$A$1:$AL$1,)))</f>
        <v>6.3</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3.7434129999999999</v>
      </c>
      <c r="M22" s="13">
        <f>IF(VLOOKUP(B22,'Data World'!$A:$AL,MATCH(World!$M$1,'Data World'!$A$1:$AL$1,))=0,#N/A,VLOOKUP(B22,'Data World'!$A:$AL,MATCH(World!$M$1,'Data World'!$A$1:$AL$1,)))</f>
        <v>7</v>
      </c>
      <c r="N22" s="13">
        <f>IF(VLOOKUP(B22,'Data World'!$A:$AL,MATCH(World!$N$1,'Data World'!$A$1:$AL$1,))=0,#N/A,VLOOKUP(B22,'Data World'!$A:$AL,MATCH(World!$N$1,'Data World'!$A$1:$AL$1,)))</f>
        <v>5.606541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6.2</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3.842921</v>
      </c>
      <c r="M23" s="13">
        <f>IF(VLOOKUP(B23,'Data World'!$A:$AL,MATCH(World!$M$1,'Data World'!$A$1:$AL$1,))=0,#N/A,VLOOKUP(B23,'Data World'!$A:$AL,MATCH(World!$M$1,'Data World'!$A$1:$AL$1,)))</f>
        <v>7</v>
      </c>
      <c r="N23" s="13">
        <f>IF(VLOOKUP(B23,'Data World'!$A:$AL,MATCH(World!$N$1,'Data World'!$A$1:$AL$1,))=0,#N/A,VLOOKUP(B23,'Data World'!$A:$AL,MATCH(World!$N$1,'Data World'!$A$1:$AL$1,)))</f>
        <v>5.6382370000000002</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3.568737</v>
      </c>
      <c r="M24" s="13">
        <f>IF(VLOOKUP(B24,'Data World'!$A:$AL,MATCH(World!$M$1,'Data World'!$A$1:$AL$1,))=0,#N/A,VLOOKUP(B24,'Data World'!$A:$AL,MATCH(World!$M$1,'Data World'!$A$1:$AL$1,)))</f>
        <v>7</v>
      </c>
      <c r="N24" s="13">
        <f>IF(VLOOKUP(B24,'Data World'!$A:$AL,MATCH(World!$N$1,'Data World'!$A$1:$AL$1,))=0,#N/A,VLOOKUP(B24,'Data World'!$A:$AL,MATCH(World!$N$1,'Data World'!$A$1:$AL$1,)))</f>
        <v>5.5739450000000001</v>
      </c>
      <c r="O24" s="13">
        <f>IF(VLOOKUP(B24,'Data World'!$A:$AL,MATCH(World!$O$1,'Data World'!$A$1:$AL$1,))=0,#N/A,VLOOKUP(B24,'Data World'!$A:$AL,MATCH(World!$O$1,'Data World'!$A$1:$AL$1,)))</f>
        <v>3.8</v>
      </c>
      <c r="P24" s="13">
        <f>IF(VLOOKUP(B24,'Data World'!$A:$AL,MATCH(World!$P$1,'Data World'!$A$1:$AL$1,))=0,#N/A,VLOOKUP(B24,'Data World'!$A:$AL,MATCH(World!$P$1,'Data World'!$A$1:$AL$1,)))</f>
        <v>23.6</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3.6235110000000001</v>
      </c>
      <c r="M25" s="13">
        <f>IF(VLOOKUP(B25,'Data World'!$A:$AL,MATCH(World!$M$1,'Data World'!$A$1:$AL$1,))=0,#N/A,VLOOKUP(B25,'Data World'!$A:$AL,MATCH(World!$M$1,'Data World'!$A$1:$AL$1,)))</f>
        <v>6.9</v>
      </c>
      <c r="N25" s="13">
        <f>IF(VLOOKUP(B25,'Data World'!$A:$AL,MATCH(World!$N$1,'Data World'!$A$1:$AL$1,))=0,#N/A,VLOOKUP(B25,'Data World'!$A:$AL,MATCH(World!$N$1,'Data World'!$A$1:$AL$1,)))</f>
        <v>5.7631370000000004</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3.7002079999999999</v>
      </c>
      <c r="M26" s="13">
        <f>IF(VLOOKUP(B26,'Data World'!$A:$AL,MATCH(World!$M$1,'Data World'!$A$1:$AL$1,))=0,#N/A,VLOOKUP(B26,'Data World'!$A:$AL,MATCH(World!$M$1,'Data World'!$A$1:$AL$1,)))</f>
        <v>7</v>
      </c>
      <c r="N26" s="13">
        <f>IF(VLOOKUP(B26,'Data World'!$A:$AL,MATCH(World!$N$1,'Data World'!$A$1:$AL$1,))=0,#N/A,VLOOKUP(B26,'Data World'!$A:$AL,MATCH(World!$N$1,'Data World'!$A$1:$AL$1,)))</f>
        <v>5.83683</v>
      </c>
      <c r="O26" s="13">
        <f>IF(VLOOKUP(B26,'Data World'!$A:$AL,MATCH(World!$O$1,'Data World'!$A$1:$AL$1,))=0,#N/A,VLOOKUP(B26,'Data World'!$A:$AL,MATCH(World!$O$1,'Data World'!$A$1:$AL$1,)))</f>
        <v>3.5</v>
      </c>
      <c r="P26" s="13">
        <f>IF(VLOOKUP(B26,'Data World'!$A:$AL,MATCH(World!$P$1,'Data World'!$A$1:$AL$1,))=0,#N/A,VLOOKUP(B26,'Data World'!$A:$AL,MATCH(World!$P$1,'Data World'!$A$1:$AL$1,)))</f>
        <v>23.7</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3.4564170000000001</v>
      </c>
      <c r="M27" s="13">
        <f>IF(VLOOKUP(B27,'Data World'!$A:$AL,MATCH(World!$M$1,'Data World'!$A$1:$AL$1,))=0,#N/A,VLOOKUP(B27,'Data World'!$A:$AL,MATCH(World!$M$1,'Data World'!$A$1:$AL$1,)))</f>
        <v>6.8</v>
      </c>
      <c r="N27" s="13">
        <f>IF(VLOOKUP(B27,'Data World'!$A:$AL,MATCH(World!$N$1,'Data World'!$A$1:$AL$1,))=0,#N/A,VLOOKUP(B27,'Data World'!$A:$AL,MATCH(World!$N$1,'Data World'!$A$1:$AL$1,)))</f>
        <v>5.6939270000000004</v>
      </c>
      <c r="O27" s="13">
        <f>IF(VLOOKUP(B27,'Data World'!$A:$AL,MATCH(World!$O$1,'Data World'!$A$1:$AL$1,))=0,#N/A,VLOOKUP(B27,'Data World'!$A:$AL,MATCH(World!$O$1,'Data World'!$A$1:$AL$1,)))</f>
        <v>3.5</v>
      </c>
      <c r="P27" s="13">
        <f>IF(VLOOKUP(B27,'Data World'!$A:$AL,MATCH(World!$P$1,'Data World'!$A$1:$AL$1,))=0,#N/A,VLOOKUP(B27,'Data World'!$A:$AL,MATCH(World!$P$1,'Data World'!$A$1:$AL$1,)))</f>
        <v>23.5</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3.3943110000000001</v>
      </c>
      <c r="M28" s="13">
        <f>IF(VLOOKUP(B28,'Data World'!$A:$AL,MATCH(World!$M$1,'Data World'!$A$1:$AL$1,))=0,#N/A,VLOOKUP(B28,'Data World'!$A:$AL,MATCH(World!$M$1,'Data World'!$A$1:$AL$1,)))</f>
        <v>6.6</v>
      </c>
      <c r="N28" s="13">
        <f>IF(VLOOKUP(B28,'Data World'!$A:$AL,MATCH(World!$N$1,'Data World'!$A$1:$AL$1,))=0,#N/A,VLOOKUP(B28,'Data World'!$A:$AL,MATCH(World!$N$1,'Data World'!$A$1:$AL$1,)))</f>
        <v>5.8716569999999999</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3.5017529999999999</v>
      </c>
      <c r="M29" s="13">
        <f>IF(VLOOKUP(B29,'Data World'!$A:$AL,MATCH(World!$M$1,'Data World'!$A$1:$AL$1,))=0,#N/A,VLOOKUP(B29,'Data World'!$A:$AL,MATCH(World!$M$1,'Data World'!$A$1:$AL$1,)))</f>
        <v>6.7</v>
      </c>
      <c r="N29" s="13">
        <f>IF(VLOOKUP(B29,'Data World'!$A:$AL,MATCH(World!$N$1,'Data World'!$A$1:$AL$1,))=0,#N/A,VLOOKUP(B29,'Data World'!$A:$AL,MATCH(World!$N$1,'Data World'!$A$1:$AL$1,)))</f>
        <v>5.863327</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2">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3.5646529999999998</v>
      </c>
      <c r="M30" s="13">
        <f>IF(VLOOKUP(B30,'Data World'!$A:$AL,MATCH(World!$M$1,'Data World'!$A$1:$AL$1,))=0,#N/A,VLOOKUP(B30,'Data World'!$A:$AL,MATCH(World!$M$1,'Data World'!$A$1:$AL$1,)))</f>
        <v>6.5</v>
      </c>
      <c r="N30" s="13">
        <f>IF(VLOOKUP(B30,'Data World'!$A:$AL,MATCH(World!$N$1,'Data World'!$A$1:$AL$1,))=0,#N/A,VLOOKUP(B30,'Data World'!$A:$AL,MATCH(World!$N$1,'Data World'!$A$1:$AL$1,)))</f>
        <v>5.6190660000000001</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3.6253039999999999</v>
      </c>
      <c r="M31" s="13">
        <f>IF(VLOOKUP(B31,'Data World'!$A:$AL,MATCH(World!$M$1,'Data World'!$A$1:$AL$1,))=0,#N/A,VLOOKUP(B31,'Data World'!$A:$AL,MATCH(World!$M$1,'Data World'!$A$1:$AL$1,)))</f>
        <v>6.6</v>
      </c>
      <c r="N31" s="13">
        <f>IF(VLOOKUP(B31,'Data World'!$A:$AL,MATCH(World!$N$1,'Data World'!$A$1:$AL$1,))=0,#N/A,VLOOKUP(B31,'Data World'!$A:$AL,MATCH(World!$N$1,'Data World'!$A$1:$AL$1,)))</f>
        <v>5.553401</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3.283547</v>
      </c>
      <c r="M32" s="13">
        <f>IF(VLOOKUP(B32,'Data World'!$A:$AL,MATCH(World!$M$1,'Data World'!$A$1:$AL$1,))=0,#N/A,VLOOKUP(B32,'Data World'!$A:$AL,MATCH(World!$M$1,'Data World'!$A$1:$AL$1,)))</f>
        <v>6.5</v>
      </c>
      <c r="N32" s="13">
        <f>IF(VLOOKUP(B32,'Data World'!$A:$AL,MATCH(World!$N$1,'Data World'!$A$1:$AL$1,))=0,#N/A,VLOOKUP(B32,'Data World'!$A:$AL,MATCH(World!$N$1,'Data World'!$A$1:$AL$1,)))</f>
        <v>5.5821759999999996</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3.2445149999999998</v>
      </c>
      <c r="M33" s="13">
        <f>IF(VLOOKUP(B33,'Data World'!$A:$AL,MATCH(World!$M$1,'Data World'!$A$1:$AL$1,))=0,#N/A,VLOOKUP(B33,'Data World'!$A:$AL,MATCH(World!$M$1,'Data World'!$A$1:$AL$1,)))</f>
        <v>6.3</v>
      </c>
      <c r="N33" s="13">
        <f>IF(VLOOKUP(B33,'Data World'!$A:$AL,MATCH(World!$N$1,'Data World'!$A$1:$AL$1,))=0,#N/A,VLOOKUP(B33,'Data World'!$A:$AL,MATCH(World!$N$1,'Data World'!$A$1:$AL$1,)))</f>
        <v>5.575685</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3.2885110000000002</v>
      </c>
      <c r="M34" s="13">
        <f>IF(VLOOKUP(B34,'Data World'!$A:$AL,MATCH(World!$M$1,'Data World'!$A$1:$AL$1,))=0,#N/A,VLOOKUP(B34,'Data World'!$A:$AL,MATCH(World!$M$1,'Data World'!$A$1:$AL$1,)))</f>
        <v>6.2</v>
      </c>
      <c r="N34" s="13">
        <f>IF(VLOOKUP(B34,'Data World'!$A:$AL,MATCH(World!$N$1,'Data World'!$A$1:$AL$1,))=0,#N/A,VLOOKUP(B34,'Data World'!$A:$AL,MATCH(World!$N$1,'Data World'!$A$1:$AL$1,)))</f>
        <v>5.5128060000000003</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3.334184</v>
      </c>
      <c r="M35" s="13">
        <f>IF(VLOOKUP(B35,'Data World'!$A:$AL,MATCH(World!$M$1,'Data World'!$A$1:$AL$1,))=0,#N/A,VLOOKUP(B35,'Data World'!$A:$AL,MATCH(World!$M$1,'Data World'!$A$1:$AL$1,)))</f>
        <v>6.2</v>
      </c>
      <c r="N35" s="13">
        <f>IF(VLOOKUP(B35,'Data World'!$A:$AL,MATCH(World!$N$1,'Data World'!$A$1:$AL$1,))=0,#N/A,VLOOKUP(B35,'Data World'!$A:$AL,MATCH(World!$N$1,'Data World'!$A$1:$AL$1,)))</f>
        <v>5.4365139999999998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3.4192629999999999</v>
      </c>
      <c r="M36" s="13">
        <f>IF(VLOOKUP(B36,'Data World'!$A:$AL,MATCH(World!$M$1,'Data World'!$A$1:$AL$1,))=0,#N/A,VLOOKUP(B36,'Data World'!$A:$AL,MATCH(World!$M$1,'Data World'!$A$1:$AL$1,)))</f>
        <v>6.3</v>
      </c>
      <c r="N36" s="13">
        <f>IF(VLOOKUP(B36,'Data World'!$A:$AL,MATCH(World!$N$1,'Data World'!$A$1:$AL$1,))=0,#N/A,VLOOKUP(B36,'Data World'!$A:$AL,MATCH(World!$N$1,'Data World'!$A$1:$AL$1,)))</f>
        <v>5.3508630000000004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3.4997090000000002</v>
      </c>
      <c r="M37" s="13">
        <f>IF(VLOOKUP(B37,'Data World'!$A:$AL,MATCH(World!$M$1,'Data World'!$A$1:$AL$1,))=0,#N/A,VLOOKUP(B37,'Data World'!$A:$AL,MATCH(World!$M$1,'Data World'!$A$1:$AL$1,)))</f>
        <v>6</v>
      </c>
      <c r="N37" s="13">
        <f>IF(VLOOKUP(B37,'Data World'!$A:$AL,MATCH(World!$N$1,'Data World'!$A$1:$AL$1,))=0,#N/A,VLOOKUP(B37,'Data World'!$A:$AL,MATCH(World!$N$1,'Data World'!$A$1:$AL$1,)))</f>
        <v>5.4190440000000004</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3.413246</v>
      </c>
      <c r="M38" s="13">
        <f>IF(VLOOKUP(B38,'Data World'!$A:$AL,MATCH(World!$M$1,'Data World'!$A$1:$AL$1,))=0,#N/A,VLOOKUP(B38,'Data World'!$A:$AL,MATCH(World!$M$1,'Data World'!$A$1:$AL$1,)))</f>
        <v>5.9</v>
      </c>
      <c r="N38" s="13">
        <f>IF(VLOOKUP(B38,'Data World'!$A:$AL,MATCH(World!$N$1,'Data World'!$A$1:$AL$1,))=0,#N/A,VLOOKUP(B38,'Data World'!$A:$AL,MATCH(World!$N$1,'Data World'!$A$1:$AL$1,)))</f>
        <v>5.6109249999999999</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3.1984149999999998</v>
      </c>
      <c r="M39" s="13">
        <f>IF(VLOOKUP(B39,'Data World'!$A:$AL,MATCH(World!$M$1,'Data World'!$A$1:$AL$1,))=0,#N/A,VLOOKUP(B39,'Data World'!$A:$AL,MATCH(World!$M$1,'Data World'!$A$1:$AL$1,)))</f>
        <v>6</v>
      </c>
      <c r="N39" s="13">
        <f>IF(VLOOKUP(B39,'Data World'!$A:$AL,MATCH(World!$N$1,'Data World'!$A$1:$AL$1,))=0,#N/A,VLOOKUP(B39,'Data World'!$A:$AL,MATCH(World!$N$1,'Data World'!$A$1:$AL$1,)))</f>
        <v>5.5189969999999997</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3.1498249999999999</v>
      </c>
      <c r="M40" s="13">
        <f>IF(VLOOKUP(B40,'Data World'!$A:$AL,MATCH(World!$M$1,'Data World'!$A$1:$AL$1,))=0,#N/A,VLOOKUP(B40,'Data World'!$A:$AL,MATCH(World!$M$1,'Data World'!$A$1:$AL$1,)))</f>
        <v>5.9</v>
      </c>
      <c r="N40" s="13">
        <f>IF(VLOOKUP(B40,'Data World'!$A:$AL,MATCH(World!$N$1,'Data World'!$A$1:$AL$1,))=0,#N/A,VLOOKUP(B40,'Data World'!$A:$AL,MATCH(World!$N$1,'Data World'!$A$1:$AL$1,)))</f>
        <v>5.5908519999999999</v>
      </c>
      <c r="O40" s="13">
        <f>IF(VLOOKUP(B40,'Data World'!$A:$AL,MATCH(World!$O$1,'Data World'!$A$1:$AL$1,))=0,#N/A,VLOOKUP(B40,'Data World'!$A:$AL,MATCH(World!$O$1,'Data World'!$A$1:$AL$1,)))</f>
        <v>3.7</v>
      </c>
      <c r="P40" s="13">
        <f>IF(VLOOKUP(B40,'Data World'!$A:$AL,MATCH(World!$P$1,'Data World'!$A$1:$AL$1,))=0,#N/A,VLOOKUP(B40,'Data World'!$A:$AL,MATCH(World!$P$1,'Data World'!$A$1:$AL$1,)))</f>
        <v>21.4</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3.1965170000000001</v>
      </c>
      <c r="M41" s="13">
        <f>IF(VLOOKUP(B41,'Data World'!$A:$AL,MATCH(World!$M$1,'Data World'!$A$1:$AL$1,))=0,#N/A,VLOOKUP(B41,'Data World'!$A:$AL,MATCH(World!$M$1,'Data World'!$A$1:$AL$1,)))</f>
        <v>5.9</v>
      </c>
      <c r="N41" s="13">
        <f>IF(VLOOKUP(B41,'Data World'!$A:$AL,MATCH(World!$N$1,'Data World'!$A$1:$AL$1,))=0,#N/A,VLOOKUP(B41,'Data World'!$A:$AL,MATCH(World!$N$1,'Data World'!$A$1:$AL$1,)))</f>
        <v>5.525684</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3.4571170000000002</v>
      </c>
      <c r="M42" s="13">
        <f>IF(VLOOKUP(B42,'Data World'!$A:$AL,MATCH(World!$M$1,'Data World'!$A$1:$AL$1,))=0,#N/A,VLOOKUP(B42,'Data World'!$A:$AL,MATCH(World!$M$1,'Data World'!$A$1:$AL$1,)))</f>
        <v>5.9</v>
      </c>
      <c r="N42" s="13">
        <f>IF(VLOOKUP(B42,'Data World'!$A:$AL,MATCH(World!$N$1,'Data World'!$A$1:$AL$1,))=0,#N/A,VLOOKUP(B42,'Data World'!$A:$AL,MATCH(World!$N$1,'Data World'!$A$1:$AL$1,)))</f>
        <v>5.5350840000000003</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9"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3.2680129999999998</v>
      </c>
      <c r="M43" s="13">
        <f>IF(VLOOKUP(B43,'Data World'!$A:$AL,MATCH(World!$M$1,'Data World'!$A$1:$AL$1,))=0,#N/A,VLOOKUP(B43,'Data World'!$A:$AL,MATCH(World!$M$1,'Data World'!$A$1:$AL$1,)))</f>
        <v>6</v>
      </c>
      <c r="N43" s="13">
        <f>IF(VLOOKUP(B43,'Data World'!$A:$AL,MATCH(World!$N$1,'Data World'!$A$1:$AL$1,))=0,#N/A,VLOOKUP(B43,'Data World'!$A:$AL,MATCH(World!$N$1,'Data World'!$A$1:$AL$1,)))</f>
        <v>5.4064079999999999</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3.8</v>
      </c>
    </row>
    <row r="44" spans="2:20" s="59"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3.3305039999999999</v>
      </c>
      <c r="M44" s="13">
        <f>IF(VLOOKUP(B44,'Data World'!$A:$AL,MATCH(World!$M$1,'Data World'!$A$1:$AL$1,))=0,#N/A,VLOOKUP(B44,'Data World'!$A:$AL,MATCH(World!$M$1,'Data World'!$A$1:$AL$1,)))</f>
        <v>6.1</v>
      </c>
      <c r="N44" s="13">
        <f>IF(VLOOKUP(B44,'Data World'!$A:$AL,MATCH(World!$N$1,'Data World'!$A$1:$AL$1,))=0,#N/A,VLOOKUP(B44,'Data World'!$A:$AL,MATCH(World!$N$1,'Data World'!$A$1:$AL$1,)))</f>
        <v>5.2980130000000001</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9"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3.273895</v>
      </c>
      <c r="M45" s="13">
        <f>IF(VLOOKUP(B45,'Data World'!$A:$AL,MATCH(World!$M$1,'Data World'!$A$1:$AL$1,))=0,#N/A,VLOOKUP(B45,'Data World'!$A:$AL,MATCH(World!$M$1,'Data World'!$A$1:$AL$1,)))</f>
        <v>5.8</v>
      </c>
      <c r="N45" s="13">
        <f>IF(VLOOKUP(B45,'Data World'!$A:$AL,MATCH(World!$N$1,'Data World'!$A$1:$AL$1,))=0,#N/A,VLOOKUP(B45,'Data World'!$A:$AL,MATCH(World!$N$1,'Data World'!$A$1:$AL$1,)))</f>
        <v>5.273218</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3.2012489999999998</v>
      </c>
      <c r="M46" s="13">
        <f>IF(VLOOKUP(B46,'Data World'!$A:$AL,MATCH(World!$M$1,'Data World'!$A$1:$AL$1,))=0,#N/A,VLOOKUP(B46,'Data World'!$A:$AL,MATCH(World!$M$1,'Data World'!$A$1:$AL$1,)))</f>
        <v>6</v>
      </c>
      <c r="N46" s="13">
        <f>IF(VLOOKUP(B46,'Data World'!$A:$AL,MATCH(World!$N$1,'Data World'!$A$1:$AL$1,))=0,#N/A,VLOOKUP(B46,'Data World'!$A:$AL,MATCH(World!$N$1,'Data World'!$A$1:$AL$1,)))</f>
        <v>5.2653790000000003</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9"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3.2746659999999999</v>
      </c>
      <c r="M47" s="13">
        <f>IF(VLOOKUP(B47,'Data World'!$A:$AL,MATCH(World!$M$1,'Data World'!$A$1:$AL$1,))=0,#N/A,VLOOKUP(B47,'Data World'!$A:$AL,MATCH(World!$M$1,'Data World'!$A$1:$AL$1,)))</f>
        <v>5.9</v>
      </c>
      <c r="N47" s="13">
        <f>IF(VLOOKUP(B47,'Data World'!$A:$AL,MATCH(World!$N$1,'Data World'!$A$1:$AL$1,))=0,#N/A,VLOOKUP(B47,'Data World'!$A:$AL,MATCH(World!$N$1,'Data World'!$A$1:$AL$1,)))</f>
        <v>5.0008999999999997</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9"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3.1447989999999999</v>
      </c>
      <c r="M48" s="13">
        <f>IF(VLOOKUP(B48,'Data World'!$A:$AL,MATCH(World!$M$1,'Data World'!$A$1:$AL$1,))=0,#N/A,VLOOKUP(B48,'Data World'!$A:$AL,MATCH(World!$M$1,'Data World'!$A$1:$AL$1,)))</f>
        <v>5.9</v>
      </c>
      <c r="N48" s="13">
        <f>IF(VLOOKUP(B48,'Data World'!$A:$AL,MATCH(World!$N$1,'Data World'!$A$1:$AL$1,))=0,#N/A,VLOOKUP(B48,'Data World'!$A:$AL,MATCH(World!$N$1,'Data World'!$A$1:$AL$1,)))</f>
        <v>4.9786359999999998</v>
      </c>
      <c r="O48" s="13">
        <f>IF(VLOOKUP(B48,'Data World'!$A:$AL,MATCH(World!$O$1,'Data World'!$A$1:$AL$1,))=0,#N/A,VLOOKUP(B48,'Data World'!$A:$AL,MATCH(World!$O$1,'Data World'!$A$1:$AL$1,)))</f>
        <v>4</v>
      </c>
      <c r="P48" s="13">
        <f>IF(VLOOKUP(B48,'Data World'!$A:$AL,MATCH(World!$P$1,'Data World'!$A$1:$AL$1,))=0,#N/A,VLOOKUP(B48,'Data World'!$A:$AL,MATCH(World!$P$1,'Data World'!$A$1:$AL$1,)))</f>
        <v>18.899999999999999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3.3111359999999999</v>
      </c>
      <c r="M49" s="13">
        <f>IF(VLOOKUP(B49,'Data World'!$A:$AL,MATCH(World!$M$1,'Data World'!$A$1:$AL$1,))=0,#N/A,VLOOKUP(B49,'Data World'!$A:$AL,MATCH(World!$M$1,'Data World'!$A$1:$AL$1,)))</f>
        <v>5.7</v>
      </c>
      <c r="N49" s="13">
        <f>IF(VLOOKUP(B49,'Data World'!$A:$AL,MATCH(World!$N$1,'Data World'!$A$1:$AL$1,))=0,#N/A,VLOOKUP(B49,'Data World'!$A:$AL,MATCH(World!$N$1,'Data World'!$A$1:$AL$1,)))</f>
        <v>5.1029429999999998</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9"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3.6357849999999998</v>
      </c>
      <c r="M50" s="13">
        <f>IF(VLOOKUP(B50,'Data World'!$A:$AL,MATCH(World!$M$1,'Data World'!$A$1:$AL$1,))=0,#N/A,VLOOKUP(B50,'Data World'!$A:$AL,MATCH(World!$M$1,'Data World'!$A$1:$AL$1,)))</f>
        <v>5.8</v>
      </c>
      <c r="N50" s="13">
        <f>IF(VLOOKUP(B50,'Data World'!$A:$AL,MATCH(World!$N$1,'Data World'!$A$1:$AL$1,))=0,#N/A,VLOOKUP(B50,'Data World'!$A:$AL,MATCH(World!$N$1,'Data World'!$A$1:$AL$1,)))</f>
        <v>5.0111140000000001</v>
      </c>
      <c r="O50" s="13">
        <f>IF(VLOOKUP(B50,'Data World'!$A:$AL,MATCH(World!$O$1,'Data World'!$A$1:$AL$1,))=0,#N/A,VLOOKUP(B50,'Data World'!$A:$AL,MATCH(World!$O$1,'Data World'!$A$1:$AL$1,)))</f>
        <v>3.8</v>
      </c>
      <c r="P50" s="13">
        <f>IF(VLOOKUP(B50,'Data World'!$A:$AL,MATCH(World!$P$1,'Data World'!$A$1:$AL$1,))=0,#N/A,VLOOKUP(B50,'Data World'!$A:$AL,MATCH(World!$P$1,'Data World'!$A$1:$AL$1,)))</f>
        <v>19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9"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3.3747530000000001</v>
      </c>
      <c r="M51" s="13">
        <f>IF(VLOOKUP(B51,'Data World'!$A:$AL,MATCH(World!$M$1,'Data World'!$A$1:$AL$1,))=0,#N/A,VLOOKUP(B51,'Data World'!$A:$AL,MATCH(World!$M$1,'Data World'!$A$1:$AL$1,)))</f>
        <v>5.9</v>
      </c>
      <c r="N51" s="13">
        <f>IF(VLOOKUP(B51,'Data World'!$A:$AL,MATCH(World!$N$1,'Data World'!$A$1:$AL$1,))=0,#N/A,VLOOKUP(B51,'Data World'!$A:$AL,MATCH(World!$N$1,'Data World'!$A$1:$AL$1,)))</f>
        <v>5.0613469999999996</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9"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3.277263</v>
      </c>
      <c r="M52" s="13">
        <f>IF(VLOOKUP(B52,'Data World'!$A:$AL,MATCH(World!$M$1,'Data World'!$A$1:$AL$1,))=0,#N/A,VLOOKUP(B52,'Data World'!$A:$AL,MATCH(World!$M$1,'Data World'!$A$1:$AL$1,)))</f>
        <v>5.9</v>
      </c>
      <c r="N52" s="13">
        <f>IF(VLOOKUP(B52,'Data World'!$A:$AL,MATCH(World!$N$1,'Data World'!$A$1:$AL$1,))=0,#N/A,VLOOKUP(B52,'Data World'!$A:$AL,MATCH(World!$N$1,'Data World'!$A$1:$AL$1,)))</f>
        <v>4.9896890000000003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9"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3.539263</v>
      </c>
      <c r="M53" s="13">
        <f>IF(VLOOKUP(B53,'Data World'!$A:$AL,MATCH(World!$M$1,'Data World'!$A$1:$AL$1,))=0,#N/A,VLOOKUP(B53,'Data World'!$A:$AL,MATCH(World!$M$1,'Data World'!$A$1:$AL$1,)))</f>
        <v>5.8</v>
      </c>
      <c r="N53" s="13">
        <f>IF(VLOOKUP(B53,'Data World'!$A:$AL,MATCH(World!$N$1,'Data World'!$A$1:$AL$1,))=0,#N/A,VLOOKUP(B53,'Data World'!$A:$AL,MATCH(World!$N$1,'Data World'!$A$1:$AL$1,)))</f>
        <v>5.1074570000000001</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3.7</v>
      </c>
    </row>
    <row r="54" spans="2:20" s="59" customFormat="1" x14ac:dyDescent="0.2">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3.582255</v>
      </c>
      <c r="M54" s="13">
        <f>IF(VLOOKUP(B54,'Data World'!$A:$AL,MATCH(World!$M$1,'Data World'!$A$1:$AL$1,))=0,#N/A,VLOOKUP(B54,'Data World'!$A:$AL,MATCH(World!$M$1,'Data World'!$A$1:$AL$1,)))</f>
        <v>5.8</v>
      </c>
      <c r="N54" s="13">
        <f>IF(VLOOKUP(B54,'Data World'!$A:$AL,MATCH(World!$N$1,'Data World'!$A$1:$AL$1,))=0,#N/A,VLOOKUP(B54,'Data World'!$A:$AL,MATCH(World!$N$1,'Data World'!$A$1:$AL$1,)))</f>
        <v>5.2176929999999997</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2">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3.5849950000000002</v>
      </c>
      <c r="M55" s="13">
        <f>IF(VLOOKUP(B55,'Data World'!$A:$AL,MATCH(World!$M$1,'Data World'!$A$1:$AL$1,))=0,#N/A,VLOOKUP(B55,'Data World'!$A:$AL,MATCH(World!$M$1,'Data World'!$A$1:$AL$1,)))</f>
        <v>5.4</v>
      </c>
      <c r="N55" s="13">
        <f>IF(VLOOKUP(B55,'Data World'!$A:$AL,MATCH(World!$N$1,'Data World'!$A$1:$AL$1,))=0,#N/A,VLOOKUP(B55,'Data World'!$A:$AL,MATCH(World!$N$1,'Data World'!$A$1:$AL$1,)))</f>
        <v>5.2217079999999996</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3.5433319999999999</v>
      </c>
      <c r="M56" s="13">
        <f>IF(VLOOKUP(B56,'Data World'!$A:$AL,MATCH(World!$M$1,'Data World'!$A$1:$AL$1,))=0,#N/A,VLOOKUP(B56,'Data World'!$A:$AL,MATCH(World!$M$1,'Data World'!$A$1:$AL$1,)))</f>
        <v>5.5</v>
      </c>
      <c r="N56" s="13">
        <f>IF(VLOOKUP(B56,'Data World'!$A:$AL,MATCH(World!$N$1,'Data World'!$A$1:$AL$1,))=0,#N/A,VLOOKUP(B56,'Data World'!$A:$AL,MATCH(World!$N$1,'Data World'!$A$1:$AL$1,)))</f>
        <v>5.223109</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9" customFormat="1" x14ac:dyDescent="0.2">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3.5231880000000002</v>
      </c>
      <c r="M57" s="13">
        <f>IF(VLOOKUP(B57,'Data World'!$A:$AL,MATCH(World!$M$1,'Data World'!$A$1:$AL$1,))=0,#N/A,VLOOKUP(B57,'Data World'!$A:$AL,MATCH(World!$M$1,'Data World'!$A$1:$AL$1,)))</f>
        <v>5.8</v>
      </c>
      <c r="N57" s="13">
        <f>IF(VLOOKUP(B57,'Data World'!$A:$AL,MATCH(World!$N$1,'Data World'!$A$1:$AL$1,))=0,#N/A,VLOOKUP(B57,'Data World'!$A:$AL,MATCH(World!$N$1,'Data World'!$A$1:$AL$1,)))</f>
        <v>5.2470929999999996</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3.4499469999999999</v>
      </c>
      <c r="M58" s="13">
        <f>IF(VLOOKUP(B58,'Data World'!$A:$AL,MATCH(World!$M$1,'Data World'!$A$1:$AL$1,))=0,#N/A,VLOOKUP(B58,'Data World'!$A:$AL,MATCH(World!$M$1,'Data World'!$A$1:$AL$1,)))</f>
        <v>5.8</v>
      </c>
      <c r="N58" s="13">
        <f>IF(VLOOKUP(B58,'Data World'!$A:$AL,MATCH(World!$N$1,'Data World'!$A$1:$AL$1,))=0,#N/A,VLOOKUP(B58,'Data World'!$A:$AL,MATCH(World!$N$1,'Data World'!$A$1:$AL$1,)))</f>
        <v>5.252167</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9"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6.8</v>
      </c>
      <c r="L59" s="13">
        <f>IF(VLOOKUP(B59,'Data World'!$A:$AL,MATCH(World!$L$1,'Data World'!$A$1:$AL$1,))=0,#N/A,VLOOKUP(B59,'Data World'!$A:$AL,MATCH(World!$L$1,'Data World'!$A$1:$AL$1,)))</f>
        <v>3.487536</v>
      </c>
      <c r="M59" s="13">
        <f>IF(VLOOKUP(B59,'Data World'!$A:$AL,MATCH(World!$M$1,'Data World'!$A$1:$AL$1,))=0,#N/A,VLOOKUP(B59,'Data World'!$A:$AL,MATCH(World!$M$1,'Data World'!$A$1:$AL$1,)))</f>
        <v>5.6</v>
      </c>
      <c r="N59" s="13">
        <f>IF(VLOOKUP(B59,'Data World'!$A:$AL,MATCH(World!$N$1,'Data World'!$A$1:$AL$1,))=0,#N/A,VLOOKUP(B59,'Data World'!$A:$AL,MATCH(World!$N$1,'Data World'!$A$1:$AL$1,)))</f>
        <v>5.1789589999999999</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3.2</v>
      </c>
    </row>
    <row r="60" spans="2:20" s="59"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3.562799</v>
      </c>
      <c r="M60" s="13">
        <f>IF(VLOOKUP(B60,'Data World'!$A:$AL,MATCH(World!$M$1,'Data World'!$A$1:$AL$1,))=0,#N/A,VLOOKUP(B60,'Data World'!$A:$AL,MATCH(World!$M$1,'Data World'!$A$1:$AL$1,)))</f>
        <v>5.7</v>
      </c>
      <c r="N60" s="13">
        <f>IF(VLOOKUP(B60,'Data World'!$A:$AL,MATCH(World!$N$1,'Data World'!$A$1:$AL$1,))=0,#N/A,VLOOKUP(B60,'Data World'!$A:$AL,MATCH(World!$N$1,'Data World'!$A$1:$AL$1,)))</f>
        <v>5.2692589999999999</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9"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3.4951620000000001</v>
      </c>
      <c r="M61" s="13">
        <f>IF(VLOOKUP(B61,'Data World'!$A:$AL,MATCH(World!$M$1,'Data World'!$A$1:$AL$1,))=0,#N/A,VLOOKUP(B61,'Data World'!$A:$AL,MATCH(World!$M$1,'Data World'!$A$1:$AL$1,)))</f>
        <v>6</v>
      </c>
      <c r="N61" s="13">
        <f>IF(VLOOKUP(B61,'Data World'!$A:$AL,MATCH(World!$N$1,'Data World'!$A$1:$AL$1,))=0,#N/A,VLOOKUP(B61,'Data World'!$A:$AL,MATCH(World!$N$1,'Data World'!$A$1:$AL$1,)))</f>
        <v>5.1498569999999999</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4.7</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9"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3.2</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3.1828050000000001</v>
      </c>
      <c r="M62" s="13">
        <f>IF(VLOOKUP(B62,'Data World'!$A:$AL,MATCH(World!$M$1,'Data World'!$A$1:$AL$1,))=0,#N/A,VLOOKUP(B62,'Data World'!$A:$AL,MATCH(World!$M$1,'Data World'!$A$1:$AL$1,)))</f>
        <v>5.8</v>
      </c>
      <c r="N62" s="13">
        <f>IF(VLOOKUP(B62,'Data World'!$A:$AL,MATCH(World!$N$1,'Data World'!$A$1:$AL$1,))=0,#N/A,VLOOKUP(B62,'Data World'!$A:$AL,MATCH(World!$N$1,'Data World'!$A$1:$AL$1,)))</f>
        <v>5.0541900000000002</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9"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3.6240039999999998</v>
      </c>
      <c r="M63" s="13">
        <f>IF(VLOOKUP(B63,'Data World'!$A:$AL,MATCH(World!$M$1,'Data World'!$A$1:$AL$1,))=0,#N/A,VLOOKUP(B63,'Data World'!$A:$AL,MATCH(World!$M$1,'Data World'!$A$1:$AL$1,)))</f>
        <v>5.6</v>
      </c>
      <c r="N63" s="13">
        <f>IF(VLOOKUP(B63,'Data World'!$A:$AL,MATCH(World!$N$1,'Data World'!$A$1:$AL$1,))=0,#N/A,VLOOKUP(B63,'Data World'!$A:$AL,MATCH(World!$N$1,'Data World'!$A$1:$AL$1,)))</f>
        <v>5.2936199999999998</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9"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3.536235</v>
      </c>
      <c r="M64" s="13">
        <f>IF(VLOOKUP(B64,'Data World'!$A:$AL,MATCH(World!$M$1,'Data World'!$A$1:$AL$1,))=0,#N/A,VLOOKUP(B64,'Data World'!$A:$AL,MATCH(World!$M$1,'Data World'!$A$1:$AL$1,)))</f>
        <v>5.7</v>
      </c>
      <c r="N64" s="13">
        <f>IF(VLOOKUP(B64,'Data World'!$A:$AL,MATCH(World!$N$1,'Data World'!$A$1:$AL$1,))=0,#N/A,VLOOKUP(B64,'Data World'!$A:$AL,MATCH(World!$N$1,'Data World'!$A$1:$AL$1,)))</f>
        <v>5.1119510000000004</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9"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3.2524730000000002</v>
      </c>
      <c r="M65" s="13">
        <f>IF(VLOOKUP(B65,'Data World'!$A:$AL,MATCH(World!$M$1,'Data World'!$A$1:$AL$1,))=0,#N/A,VLOOKUP(B65,'Data World'!$A:$AL,MATCH(World!$M$1,'Data World'!$A$1:$AL$1,)))</f>
        <v>7.9</v>
      </c>
      <c r="N65" s="13">
        <f>IF(VLOOKUP(B65,'Data World'!$A:$AL,MATCH(World!$N$1,'Data World'!$A$1:$AL$1,))=0,#N/A,VLOOKUP(B65,'Data World'!$A:$AL,MATCH(World!$N$1,'Data World'!$A$1:$AL$1,)))</f>
        <v>5.2425759999999997</v>
      </c>
      <c r="O65" s="13">
        <f>IF(VLOOKUP(B65,'Data World'!$A:$AL,MATCH(World!$O$1,'Data World'!$A$1:$AL$1,))=0,#N/A,VLOOKUP(B65,'Data World'!$A:$AL,MATCH(World!$O$1,'Data World'!$A$1:$AL$1,)))</f>
        <v>3.7</v>
      </c>
      <c r="P65" s="13">
        <f>IF(VLOOKUP(B65,'Data World'!$A:$AL,MATCH(World!$P$1,'Data World'!$A$1:$AL$1,))=0,#N/A,VLOOKUP(B65,'Data World'!$A:$AL,MATCH(World!$P$1,'Data World'!$A$1:$AL$1,)))</f>
        <v>17</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9" customFormat="1" x14ac:dyDescent="0.2">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7.6</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4.8896790000000001</v>
      </c>
      <c r="M66" s="13">
        <f>IF(VLOOKUP(B66,'Data World'!$A:$AL,MATCH(World!$M$1,'Data World'!$A$1:$AL$1,))=0,#N/A,VLOOKUP(B66,'Data World'!$A:$AL,MATCH(World!$M$1,'Data World'!$A$1:$AL$1,)))</f>
        <v>13</v>
      </c>
      <c r="N66" s="13">
        <f>IF(VLOOKUP(B66,'Data World'!$A:$AL,MATCH(World!$N$1,'Data World'!$A$1:$AL$1,))=0,#N/A,VLOOKUP(B66,'Data World'!$A:$AL,MATCH(World!$N$1,'Data World'!$A$1:$AL$1,)))</f>
        <v>6.3362679999999996</v>
      </c>
      <c r="O66" s="13">
        <f>IF(VLOOKUP(B66,'Data World'!$A:$AL,MATCH(World!$O$1,'Data World'!$A$1:$AL$1,))=0,#N/A,VLOOKUP(B66,'Data World'!$A:$AL,MATCH(World!$O$1,'Data World'!$A$1:$AL$1,)))</f>
        <v>3.8</v>
      </c>
      <c r="P66" s="13">
        <f>IF(VLOOKUP(B66,'Data World'!$A:$AL,MATCH(World!$P$1,'Data World'!$A$1:$AL$1,))=0,#N/A,VLOOKUP(B66,'Data World'!$A:$AL,MATCH(World!$P$1,'Data World'!$A$1:$AL$1,)))</f>
        <v>18.399999999999999</v>
      </c>
      <c r="Q66" s="13">
        <f>IF(VLOOKUP(B66,'Data World'!$A:$AL,MATCH(World!$Q$1,'Data World'!$A$1:$AL$1,))=0,#N/A,VLOOKUP(B66,'Data World'!$A:$AL,MATCH(World!$Q$1,'Data World'!$A$1:$AL$1,)))</f>
        <v>4.7</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2">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4.320665</v>
      </c>
      <c r="M67" s="13">
        <f>IF(VLOOKUP(B67,'Data World'!$A:$AL,MATCH(World!$M$1,'Data World'!$A$1:$AL$1,))=0,#N/A,VLOOKUP(B67,'Data World'!$A:$AL,MATCH(World!$M$1,'Data World'!$A$1:$AL$1,)))</f>
        <v>13.4</v>
      </c>
      <c r="N67" s="13">
        <f>IF(VLOOKUP(B67,'Data World'!$A:$AL,MATCH(World!$N$1,'Data World'!$A$1:$AL$1,))=0,#N/A,VLOOKUP(B67,'Data World'!$A:$AL,MATCH(World!$N$1,'Data World'!$A$1:$AL$1,)))</f>
        <v>7.0434869999999998</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9" customFormat="1" x14ac:dyDescent="0.2">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5.5288370000000002</v>
      </c>
      <c r="M68" s="13">
        <f>IF(VLOOKUP(B68,'Data World'!$A:$AL,MATCH(World!$M$1,'Data World'!$A$1:$AL$1,))=0,#N/A,VLOOKUP(B68,'Data World'!$A:$AL,MATCH(World!$M$1,'Data World'!$A$1:$AL$1,)))</f>
        <v>12.2</v>
      </c>
      <c r="N68" s="13">
        <f>IF(VLOOKUP(B68,'Data World'!$A:$AL,MATCH(World!$N$1,'Data World'!$A$1:$AL$1,))=0,#N/A,VLOOKUP(B68,'Data World'!$A:$AL,MATCH(World!$N$1,'Data World'!$A$1:$AL$1,)))</f>
        <v>7.3860349999999997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9"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5.1355069999999996</v>
      </c>
      <c r="M69" s="13">
        <f>IF(VLOOKUP(B69,'Data World'!$A:$AL,MATCH(World!$M$1,'Data World'!$A$1:$AL$1,))=0,#N/A,VLOOKUP(B69,'Data World'!$A:$AL,MATCH(World!$M$1,'Data World'!$A$1:$AL$1,)))</f>
        <v>10.9</v>
      </c>
      <c r="N69" s="13">
        <f>IF(VLOOKUP(B69,'Data World'!$A:$AL,MATCH(World!$N$1,'Data World'!$A$1:$AL$1,))=0,#N/A,VLOOKUP(B69,'Data World'!$A:$AL,MATCH(World!$N$1,'Data World'!$A$1:$AL$1,)))</f>
        <v>7.4758279999999999</v>
      </c>
      <c r="O69" s="13">
        <f>IF(VLOOKUP(B69,'Data World'!$A:$AL,MATCH(World!$O$1,'Data World'!$A$1:$AL$1,))=0,#N/A,VLOOKUP(B69,'Data World'!$A:$AL,MATCH(World!$O$1,'Data World'!$A$1:$AL$1,)))</f>
        <v>4.2</v>
      </c>
      <c r="P69" s="13">
        <f>IF(VLOOKUP(B69,'Data World'!$A:$AL,MATCH(World!$P$1,'Data World'!$A$1:$AL$1,))=0,#N/A,VLOOKUP(B69,'Data World'!$A:$AL,MATCH(World!$P$1,'Data World'!$A$1:$AL$1,)))</f>
        <v>17.399999999999999</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9"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4.9422959999999998</v>
      </c>
      <c r="M70" s="13">
        <f>IF(VLOOKUP(B70,'Data World'!$A:$AL,MATCH(World!$M$1,'Data World'!$A$1:$AL$1,))=0,#N/A,VLOOKUP(B70,'Data World'!$A:$AL,MATCH(World!$M$1,'Data World'!$A$1:$AL$1,)))</f>
        <v>10.3</v>
      </c>
      <c r="N70" s="13">
        <f>IF(VLOOKUP(B70,'Data World'!$A:$AL,MATCH(World!$N$1,'Data World'!$A$1:$AL$1,))=0,#N/A,VLOOKUP(B70,'Data World'!$A:$AL,MATCH(World!$N$1,'Data World'!$A$1:$AL$1,)))</f>
        <v>6.7996800000000004</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7.2</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3.5</v>
      </c>
    </row>
    <row r="71" spans="2:20" s="59" customFormat="1" x14ac:dyDescent="0.2">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4.7685149999999998</v>
      </c>
      <c r="M71" s="13">
        <f>IF(VLOOKUP(B71,'Data World'!$A:$AL,MATCH(World!$M$1,'Data World'!$A$1:$AL$1,))=0,#N/A,VLOOKUP(B71,'Data World'!$A:$AL,MATCH(World!$M$1,'Data World'!$A$1:$AL$1,)))</f>
        <v>9.1999999999999993</v>
      </c>
      <c r="N71" s="13">
        <f>IF(VLOOKUP(B71,'Data World'!$A:$AL,MATCH(World!$N$1,'Data World'!$A$1:$AL$1,))=0,#N/A,VLOOKUP(B71,'Data World'!$A:$AL,MATCH(World!$N$1,'Data World'!$A$1:$AL$1,)))</f>
        <v>6.8820350000000001</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7.3</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9"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8.9</v>
      </c>
      <c r="L72" s="13">
        <f>IF(VLOOKUP(B72,'Data World'!$A:$AL,MATCH(World!$L$1,'Data World'!$A$1:$AL$1,))=0,#N/A,VLOOKUP(B72,'Data World'!$A:$AL,MATCH(World!$L$1,'Data World'!$A$1:$AL$1,)))</f>
        <v>4.5906089999999997</v>
      </c>
      <c r="M72" s="13">
        <f>IF(VLOOKUP(B72,'Data World'!$A:$AL,MATCH(World!$M$1,'Data World'!$A$1:$AL$1,))=0,#N/A,VLOOKUP(B72,'Data World'!$A:$AL,MATCH(World!$M$1,'Data World'!$A$1:$AL$1,)))</f>
        <v>9.1999999999999993</v>
      </c>
      <c r="N72" s="13">
        <f>IF(VLOOKUP(B72,'Data World'!$A:$AL,MATCH(World!$N$1,'Data World'!$A$1:$AL$1,))=0,#N/A,VLOOKUP(B72,'Data World'!$A:$AL,MATCH(World!$N$1,'Data World'!$A$1:$AL$1,)))</f>
        <v>6.9343209999999997</v>
      </c>
      <c r="O72" s="13">
        <f>IF(VLOOKUP(B72,'Data World'!$A:$AL,MATCH(World!$O$1,'Data World'!$A$1:$AL$1,))=0,#N/A,VLOOKUP(B72,'Data World'!$A:$AL,MATCH(World!$O$1,'Data World'!$A$1:$AL$1,)))</f>
        <v>4.3</v>
      </c>
      <c r="P72" s="13">
        <f>IF(VLOOKUP(B72,'Data World'!$A:$AL,MATCH(World!$P$1,'Data World'!$A$1:$AL$1,))=0,#N/A,VLOOKUP(B72,'Data World'!$A:$AL,MATCH(World!$P$1,'Data World'!$A$1:$AL$1,)))</f>
        <v>17.5</v>
      </c>
      <c r="Q72" s="13">
        <f>IF(VLOOKUP(B72,'Data World'!$A:$AL,MATCH(World!$Q$1,'Data World'!$A$1:$AL$1,))=0,#N/A,VLOOKUP(B72,'Data World'!$A:$AL,MATCH(World!$Q$1,'Data World'!$A$1:$AL$1,)))</f>
        <v>6.3</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9"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4.4827820000000003</v>
      </c>
      <c r="M73" s="13">
        <f>IF(VLOOKUP(B73,'Data World'!$A:$AL,MATCH(World!$M$1,'Data World'!$A$1:$AL$1,))=0,#N/A,VLOOKUP(B73,'Data World'!$A:$AL,MATCH(World!$M$1,'Data World'!$A$1:$AL$1,)))</f>
        <v>8.6999999999999993</v>
      </c>
      <c r="N73" s="13">
        <f>IF(VLOOKUP(B73,'Data World'!$A:$AL,MATCH(World!$N$1,'Data World'!$A$1:$AL$1,))=0,#N/A,VLOOKUP(B73,'Data World'!$A:$AL,MATCH(World!$N$1,'Data World'!$A$1:$AL$1,)))</f>
        <v>6.820163</v>
      </c>
      <c r="O73" s="13">
        <f>IF(VLOOKUP(B73,'Data World'!$A:$AL,MATCH(World!$O$1,'Data World'!$A$1:$AL$1,))=0,#N/A,VLOOKUP(B73,'Data World'!$A:$AL,MATCH(World!$O$1,'Data World'!$A$1:$AL$1,)))</f>
        <v>4.2</v>
      </c>
      <c r="P73" s="13">
        <f>IF(VLOOKUP(B73,'Data World'!$A:$AL,MATCH(World!$P$1,'Data World'!$A$1:$AL$1,))=0,#N/A,VLOOKUP(B73,'Data World'!$A:$AL,MATCH(World!$P$1,'Data World'!$A$1:$AL$1,)))</f>
        <v>17.3</v>
      </c>
      <c r="Q73" s="13">
        <f>IF(VLOOKUP(B73,'Data World'!$A:$AL,MATCH(World!$Q$1,'Data World'!$A$1:$AL$1,))=0,#N/A,VLOOKUP(B73,'Data World'!$A:$AL,MATCH(World!$Q$1,'Data World'!$A$1:$AL$1,)))</f>
        <v>6.2</v>
      </c>
      <c r="R73" s="13">
        <f>IF(VLOOKUP(B73,'Data World'!$A:$AL,MATCH(World!$R$1,'Data World'!$A$1:$AL$1,))=0,#N/A,VLOOKUP(B73,'Data World'!$A:$AL,MATCH(World!$R$1,'Data World'!$A$1:$AL$1,)))</f>
        <v>13.1</v>
      </c>
      <c r="S73" s="13">
        <f>IF(VLOOKUP(B73,'Data World'!$A:$AL,MATCH(World!$S$1,'Data World'!$A$1:$AL$1,))=0,#N/A,VLOOKUP(B73,'Data World'!$A:$AL,MATCH(World!$S$1,'Data World'!$A$1:$AL$1,)))</f>
        <v>3</v>
      </c>
      <c r="T73" s="13">
        <f>IF(VLOOKUP(B73,'Data World'!$A:$AL,MATCH(World!$T$1,'Data World'!$A$1:$AL$1,))=0,#N/A,VLOOKUP(B73,'Data World'!$A:$AL,MATCH(World!$T$1,'Data World'!$A$1:$AL$1,)))</f>
        <v>3.3</v>
      </c>
    </row>
    <row r="74" spans="2:20" s="59"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4.1740899999999996</v>
      </c>
      <c r="M74" s="13">
        <f>IF(VLOOKUP(B74,'Data World'!$A:$AL,MATCH(World!$M$1,'Data World'!$A$1:$AL$1,))=0,#N/A,VLOOKUP(B74,'Data World'!$A:$AL,MATCH(World!$M$1,'Data World'!$A$1:$AL$1,)))</f>
        <v>8.9</v>
      </c>
      <c r="N74" s="13">
        <f>IF(VLOOKUP(B74,'Data World'!$A:$AL,MATCH(World!$N$1,'Data World'!$A$1:$AL$1,))=0,#N/A,VLOOKUP(B74,'Data World'!$A:$AL,MATCH(World!$N$1,'Data World'!$A$1:$AL$1,)))</f>
        <v>6.5870050000000004</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3.1</v>
      </c>
      <c r="T74" s="13">
        <f>IF(VLOOKUP(B74,'Data World'!$A:$AL,MATCH(World!$T$1,'Data World'!$A$1:$AL$1,))=0,#N/A,VLOOKUP(B74,'Data World'!$A:$AL,MATCH(World!$T$1,'Data World'!$A$1:$AL$1,)))</f>
        <v>3.4</v>
      </c>
    </row>
    <row r="75" spans="2:20" s="59" customFormat="1" x14ac:dyDescent="0.2">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4.470758</v>
      </c>
      <c r="M75" s="13">
        <f>IF(VLOOKUP(B75,'Data World'!$A:$AL,MATCH(World!$M$1,'Data World'!$A$1:$AL$1,))=0,#N/A,VLOOKUP(B75,'Data World'!$A:$AL,MATCH(World!$M$1,'Data World'!$A$1:$AL$1,)))</f>
        <v>9.4</v>
      </c>
      <c r="N75" s="13">
        <f>IF(VLOOKUP(B75,'Data World'!$A:$AL,MATCH(World!$N$1,'Data World'!$A$1:$AL$1,))=0,#N/A,VLOOKUP(B75,'Data World'!$A:$AL,MATCH(World!$N$1,'Data World'!$A$1:$AL$1,)))</f>
        <v>6.3733209999999998</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6.9</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3.6</v>
      </c>
    </row>
    <row r="76" spans="2:20" s="59"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4.3789550000000004</v>
      </c>
      <c r="M76" s="13">
        <f>IF(VLOOKUP(B76,'Data World'!$A:$AL,MATCH(World!$M$1,'Data World'!$A$1:$AL$1,))=0,#N/A,VLOOKUP(B76,'Data World'!$A:$AL,MATCH(World!$M$1,'Data World'!$A$1:$AL$1,)))</f>
        <v>8.3000000000000007</v>
      </c>
      <c r="N76" s="13">
        <f>IF(VLOOKUP(B76,'Data World'!$A:$AL,MATCH(World!$N$1,'Data World'!$A$1:$AL$1,))=0,#N/A,VLOOKUP(B76,'Data World'!$A:$AL,MATCH(World!$N$1,'Data World'!$A$1:$AL$1,)))</f>
        <v>5.8383770000000004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7.4</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9"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15.3</v>
      </c>
      <c r="K77" s="13">
        <f>IF(VLOOKUP(B77,'Data World'!$A:$AL,MATCH(World!$K$1,'Data World'!$A$1:$AL$1,))=0,#N/A,VLOOKUP(B77,'Data World'!$A:$AL,MATCH(World!$K$1,'Data World'!$A$1:$AL$1,)))</f>
        <v>9.5</v>
      </c>
      <c r="L77" s="13">
        <f>IF(VLOOKUP(B77,'Data World'!$A:$AL,MATCH(World!$L$1,'Data World'!$A$1:$AL$1,))=0,#N/A,VLOOKUP(B77,'Data World'!$A:$AL,MATCH(World!$L$1,'Data World'!$A$1:$AL$1,)))</f>
        <v>4.3111059999999997</v>
      </c>
      <c r="M77" s="13">
        <f>IF(VLOOKUP(B77,'Data World'!$A:$AL,MATCH(World!$M$1,'Data World'!$A$1:$AL$1,))=0,#N/A,VLOOKUP(B77,'Data World'!$A:$AL,MATCH(World!$M$1,'Data World'!$A$1:$AL$1,)))</f>
        <v>7.5</v>
      </c>
      <c r="N77" s="13">
        <f>IF(VLOOKUP(B77,'Data World'!$A:$AL,MATCH(World!$N$1,'Data World'!$A$1:$AL$1,))=0,#N/A,VLOOKUP(B77,'Data World'!$A:$AL,MATCH(World!$N$1,'Data World'!$A$1:$AL$1,)))</f>
        <v>5.6585570000000001</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7.7</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9" customFormat="1" x14ac:dyDescent="0.2">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4.8828950000000004</v>
      </c>
      <c r="M78" s="13">
        <f>IF(VLOOKUP(B78,'Data World'!$A:$AL,MATCH(World!$M$1,'Data World'!$A$1:$AL$1,))=0,#N/A,VLOOKUP(B78,'Data World'!$A:$AL,MATCH(World!$M$1,'Data World'!$A$1:$AL$1,)))</f>
        <v>8</v>
      </c>
      <c r="N78" s="13">
        <f>IF(VLOOKUP(B78,'Data World'!$A:$AL,MATCH(World!$N$1,'Data World'!$A$1:$AL$1,))=0,#N/A,VLOOKUP(B78,'Data World'!$A:$AL,MATCH(World!$N$1,'Data World'!$A$1:$AL$1,)))</f>
        <v>5.4339490000000001</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4.1247199999999999</v>
      </c>
      <c r="M79" s="13">
        <f>IF(VLOOKUP(B79,'Data World'!$A:$AL,MATCH(World!$M$1,'Data World'!$A$1:$AL$1,))=0,#N/A,VLOOKUP(B79,'Data World'!$A:$AL,MATCH(World!$M$1,'Data World'!$A$1:$AL$1,)))</f>
        <v>8</v>
      </c>
      <c r="N79" s="13">
        <f>IF(VLOOKUP(B79,'Data World'!$A:$AL,MATCH(World!$N$1,'Data World'!$A$1:$AL$1,))=0,#N/A,VLOOKUP(B79,'Data World'!$A:$AL,MATCH(World!$N$1,'Data World'!$A$1:$AL$1,)))</f>
        <v>5.0906359999999999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4.0163669999999998</v>
      </c>
      <c r="M80" s="13">
        <f>IF(VLOOKUP(B80,'Data World'!$A:$AL,MATCH(World!$M$1,'Data World'!$A$1:$AL$1,))=0,#N/A,VLOOKUP(B80,'Data World'!$A:$AL,MATCH(World!$M$1,'Data World'!$A$1:$AL$1,)))</f>
        <v>7.6</v>
      </c>
      <c r="N80" s="13">
        <f>IF(VLOOKUP(B80,'Data World'!$A:$AL,MATCH(World!$N$1,'Data World'!$A$1:$AL$1,))=0,#N/A,VLOOKUP(B80,'Data World'!$A:$AL,MATCH(World!$N$1,'Data World'!$A$1:$AL$1,)))</f>
        <v>4.929195</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3.4</v>
      </c>
    </row>
    <row r="81" spans="2:20" s="59"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4.1851779999999996</v>
      </c>
      <c r="M81" s="13">
        <f>IF(VLOOKUP(B81,'Data World'!$A:$AL,MATCH(World!$M$1,'Data World'!$A$1:$AL$1,))=0,#N/A,VLOOKUP(B81,'Data World'!$A:$AL,MATCH(World!$M$1,'Data World'!$A$1:$AL$1,)))</f>
        <v>7.4</v>
      </c>
      <c r="N81" s="13">
        <f>IF(VLOOKUP(B81,'Data World'!$A:$AL,MATCH(World!$N$1,'Data World'!$A$1:$AL$1,))=0,#N/A,VLOOKUP(B81,'Data World'!$A:$AL,MATCH(World!$N$1,'Data World'!$A$1:$AL$1,)))</f>
        <v>4.6463279999999996</v>
      </c>
      <c r="O81" s="13">
        <f>IF(VLOOKUP(B81,'Data World'!$A:$AL,MATCH(World!$O$1,'Data World'!$A$1:$AL$1,))=0,#N/A,VLOOKUP(B81,'Data World'!$A:$AL,MATCH(World!$O$1,'Data World'!$A$1:$AL$1,)))</f>
        <v>3.3</v>
      </c>
      <c r="P81" s="13">
        <f>IF(VLOOKUP(B81,'Data World'!$A:$AL,MATCH(World!$P$1,'Data World'!$A$1:$AL$1,))=0,#N/A,VLOOKUP(B81,'Data World'!$A:$AL,MATCH(World!$P$1,'Data World'!$A$1:$AL$1,)))</f>
        <v>14.4</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59"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4.0204829999999996</v>
      </c>
      <c r="M82" s="13">
        <f>IF(VLOOKUP(B82,'Data World'!$A:$AL,MATCH(World!$M$1,'Data World'!$A$1:$AL$1,))=0,#N/A,VLOOKUP(B82,'Data World'!$A:$AL,MATCH(World!$M$1,'Data World'!$A$1:$AL$1,)))</f>
        <v>7.1</v>
      </c>
      <c r="N82" s="13">
        <f>IF(VLOOKUP(B82,'Data World'!$A:$AL,MATCH(World!$N$1,'Data World'!$A$1:$AL$1,))=0,#N/A,VLOOKUP(B82,'Data World'!$A:$AL,MATCH(World!$N$1,'Data World'!$A$1:$AL$1,)))</f>
        <v>4.5464320000000003</v>
      </c>
      <c r="O82" s="13">
        <f>IF(VLOOKUP(B82,'Data World'!$A:$AL,MATCH(World!$O$1,'Data World'!$A$1:$AL$1,))=0,#N/A,VLOOKUP(B82,'Data World'!$A:$AL,MATCH(World!$O$1,'Data World'!$A$1:$AL$1,)))</f>
        <v>3.1</v>
      </c>
      <c r="P82" s="13">
        <f>IF(VLOOKUP(B82,'Data World'!$A:$AL,MATCH(World!$P$1,'Data World'!$A$1:$AL$1,))=0,#N/A,VLOOKUP(B82,'Data World'!$A:$AL,MATCH(World!$P$1,'Data World'!$A$1:$AL$1,)))</f>
        <v>13.7</v>
      </c>
      <c r="Q82" s="13">
        <f>IF(VLOOKUP(B82,'Data World'!$A:$AL,MATCH(World!$Q$1,'Data World'!$A$1:$AL$1,))=0,#N/A,VLOOKUP(B82,'Data World'!$A:$AL,MATCH(World!$Q$1,'Data World'!$A$1:$AL$1,)))</f>
        <v>5.5</v>
      </c>
      <c r="R82" s="13">
        <f>IF(VLOOKUP(B82,'Data World'!$A:$AL,MATCH(World!$R$1,'Data World'!$A$1:$AL$1,))=0,#N/A,VLOOKUP(B82,'Data World'!$A:$AL,MATCH(World!$R$1,'Data World'!$A$1:$AL$1,)))</f>
        <v>11.7</v>
      </c>
      <c r="S82" s="13">
        <f>IF(VLOOKUP(B82,'Data World'!$A:$AL,MATCH(World!$S$1,'Data World'!$A$1:$AL$1,))=0,#N/A,VLOOKUP(B82,'Data World'!$A:$AL,MATCH(World!$S$1,'Data World'!$A$1:$AL$1,)))</f>
        <v>2.8</v>
      </c>
      <c r="T82" s="13">
        <f>IF(VLOOKUP(B82,'Data World'!$A:$AL,MATCH(World!$T$1,'Data World'!$A$1:$AL$1,))=0,#N/A,VLOOKUP(B82,'Data World'!$A:$AL,MATCH(World!$T$1,'Data World'!$A$1:$AL$1,)))</f>
        <v>3.2</v>
      </c>
    </row>
    <row r="83" spans="2:20" s="59" customFormat="1" x14ac:dyDescent="0.2">
      <c r="B83" s="12">
        <v>44469</v>
      </c>
      <c r="C83" s="13">
        <f>IF(VLOOKUP(B83,'Data World'!$A:$AL,MATCH(World!$C$1,'Data World'!$A$1:$AL$1,))=0,#N/A,VLOOKUP(B83,'Data World'!$A:$AL,MATCH(World!$C$1,'Data World'!$A$1:$AL$1,)))</f>
        <v>4.7</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9.1</v>
      </c>
      <c r="J83" s="13">
        <f>IF(VLOOKUP(B83,'Data World'!$A:$AL,MATCH(World!$J$1,'Data World'!$A$1:$AL$1,))=0,#N/A,VLOOKUP(B83,'Data World'!$A:$AL,MATCH(World!$J$1,'Data World'!$A$1:$AL$1,)))</f>
        <v>14.2</v>
      </c>
      <c r="K83" s="13">
        <f>IF(VLOOKUP(B83,'Data World'!$A:$AL,MATCH(World!$K$1,'Data World'!$A$1:$AL$1,))=0,#N/A,VLOOKUP(B83,'Data World'!$A:$AL,MATCH(World!$K$1,'Data World'!$A$1:$AL$1,)))</f>
        <v>8.6999999999999993</v>
      </c>
      <c r="L83" s="13">
        <f>IF(VLOOKUP(B83,'Data World'!$A:$AL,MATCH(World!$L$1,'Data World'!$A$1:$AL$1,))=0,#N/A,VLOOKUP(B83,'Data World'!$A:$AL,MATCH(World!$L$1,'Data World'!$A$1:$AL$1,)))</f>
        <v>3.8639670000000002</v>
      </c>
      <c r="M83" s="13">
        <f>IF(VLOOKUP(B83,'Data World'!$A:$AL,MATCH(World!$M$1,'Data World'!$A$1:$AL$1,))=0,#N/A,VLOOKUP(B83,'Data World'!$A:$AL,MATCH(World!$M$1,'Data World'!$A$1:$AL$1,)))</f>
        <v>7</v>
      </c>
      <c r="N83" s="13">
        <f>IF(VLOOKUP(B83,'Data World'!$A:$AL,MATCH(World!$N$1,'Data World'!$A$1:$AL$1,))=0,#N/A,VLOOKUP(B83,'Data World'!$A:$AL,MATCH(World!$N$1,'Data World'!$A$1:$AL$1,)))</f>
        <v>4.6530240000000003</v>
      </c>
      <c r="O83" s="13">
        <f>IF(VLOOKUP(B83,'Data World'!$A:$AL,MATCH(World!$O$1,'Data World'!$A$1:$AL$1,))=0,#N/A,VLOOKUP(B83,'Data World'!$A:$AL,MATCH(World!$O$1,'Data World'!$A$1:$AL$1,)))</f>
        <v>3.1</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59"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8.5</v>
      </c>
      <c r="L84" s="13">
        <f>IF(VLOOKUP(B84,'Data World'!$A:$AL,MATCH(World!$L$1,'Data World'!$A$1:$AL$1,))=0,#N/A,VLOOKUP(B84,'Data World'!$A:$AL,MATCH(World!$L$1,'Data World'!$A$1:$AL$1,)))</f>
        <v>3.8102390000000002</v>
      </c>
      <c r="M84" s="13">
        <f>IF(VLOOKUP(B84,'Data World'!$A:$AL,MATCH(World!$M$1,'Data World'!$A$1:$AL$1,))=0,#N/A,VLOOKUP(B84,'Data World'!$A:$AL,MATCH(World!$M$1,'Data World'!$A$1:$AL$1,)))</f>
        <v>6.8</v>
      </c>
      <c r="N84" s="13">
        <f>IF(VLOOKUP(B84,'Data World'!$A:$AL,MATCH(World!$N$1,'Data World'!$A$1:$AL$1,))=0,#N/A,VLOOKUP(B84,'Data World'!$A:$AL,MATCH(World!$N$1,'Data World'!$A$1:$AL$1,)))</f>
        <v>5.2264699999999999</v>
      </c>
      <c r="O84" s="13">
        <f>IF(VLOOKUP(B84,'Data World'!$A:$AL,MATCH(World!$O$1,'Data World'!$A$1:$AL$1,))=0,#N/A,VLOOKUP(B84,'Data World'!$A:$AL,MATCH(World!$O$1,'Data World'!$A$1:$AL$1,)))</f>
        <v>3.2</v>
      </c>
      <c r="P84" s="13">
        <f>IF(VLOOKUP(B84,'Data World'!$A:$AL,MATCH(World!$P$1,'Data World'!$A$1:$AL$1,))=0,#N/A,VLOOKUP(B84,'Data World'!$A:$AL,MATCH(World!$P$1,'Data World'!$A$1:$AL$1,)))</f>
        <v>13.3</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2.4</v>
      </c>
      <c r="T84" s="13">
        <f>IF(VLOOKUP(B84,'Data World'!$A:$AL,MATCH(World!$T$1,'Data World'!$A$1:$AL$1,))=0,#N/A,VLOOKUP(B84,'Data World'!$A:$AL,MATCH(World!$T$1,'Data World'!$A$1:$AL$1,)))</f>
        <v>3.1</v>
      </c>
    </row>
    <row r="85" spans="2:20" s="59"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3.7396479999999999</v>
      </c>
      <c r="M85" s="13">
        <f>IF(VLOOKUP(B85,'Data World'!$A:$AL,MATCH(World!$M$1,'Data World'!$A$1:$AL$1,))=0,#N/A,VLOOKUP(B85,'Data World'!$A:$AL,MATCH(World!$M$1,'Data World'!$A$1:$AL$1,)))</f>
        <v>6.1</v>
      </c>
      <c r="N85" s="13">
        <f>IF(VLOOKUP(B85,'Data World'!$A:$AL,MATCH(World!$N$1,'Data World'!$A$1:$AL$1,))=0,#N/A,VLOOKUP(B85,'Data World'!$A:$AL,MATCH(World!$N$1,'Data World'!$A$1:$AL$1,)))</f>
        <v>4.6041489999999996</v>
      </c>
      <c r="O85" s="13">
        <f>IF(VLOOKUP(B85,'Data World'!$A:$AL,MATCH(World!$O$1,'Data World'!$A$1:$AL$1,))=0,#N/A,VLOOKUP(B85,'Data World'!$A:$AL,MATCH(World!$O$1,'Data World'!$A$1:$AL$1,)))</f>
        <v>3.2</v>
      </c>
      <c r="P85" s="13">
        <f>IF(VLOOKUP(B85,'Data World'!$A:$AL,MATCH(World!$P$1,'Data World'!$A$1:$AL$1,))=0,#N/A,VLOOKUP(B85,'Data World'!$A:$AL,MATCH(World!$P$1,'Data World'!$A$1:$AL$1,)))</f>
        <v>12.9</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9"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3.8492169999999999</v>
      </c>
      <c r="M86" s="13">
        <f>IF(VLOOKUP(B86,'Data World'!$A:$AL,MATCH(World!$M$1,'Data World'!$A$1:$AL$1,))=0,#N/A,VLOOKUP(B86,'Data World'!$A:$AL,MATCH(World!$M$1,'Data World'!$A$1:$AL$1,)))</f>
        <v>6</v>
      </c>
      <c r="N86" s="13">
        <f>IF(VLOOKUP(B86,'Data World'!$A:$AL,MATCH(World!$N$1,'Data World'!$A$1:$AL$1,))=0,#N/A,VLOOKUP(B86,'Data World'!$A:$AL,MATCH(World!$N$1,'Data World'!$A$1:$AL$1,)))</f>
        <v>4.1721940000000002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5.0999999999999996</v>
      </c>
      <c r="R86" s="13">
        <f>IF(VLOOKUP(B86,'Data World'!$A:$AL,MATCH(World!$R$1,'Data World'!$A$1:$AL$1,))=0,#N/A,VLOOKUP(B86,'Data World'!$A:$AL,MATCH(World!$R$1,'Data World'!$A$1:$AL$1,)))</f>
        <v>11.2</v>
      </c>
      <c r="S86" s="13">
        <f>IF(VLOOKUP(B86,'Data World'!$A:$AL,MATCH(World!$S$1,'Data World'!$A$1:$AL$1,))=0,#N/A,VLOOKUP(B86,'Data World'!$A:$AL,MATCH(World!$S$1,'Data World'!$A$1:$AL$1,)))</f>
        <v>2.1</v>
      </c>
      <c r="T86" s="13">
        <f>IF(VLOOKUP(B86,'Data World'!$A:$AL,MATCH(World!$T$1,'Data World'!$A$1:$AL$1,))=0,#N/A,VLOOKUP(B86,'Data World'!$A:$AL,MATCH(World!$T$1,'Data World'!$A$1:$AL$1,)))</f>
        <v>3</v>
      </c>
    </row>
    <row r="87" spans="2:20" s="59"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3.5038640000000001</v>
      </c>
      <c r="M87" s="13">
        <f>IF(VLOOKUP(B87,'Data World'!$A:$AL,MATCH(World!$M$1,'Data World'!$A$1:$AL$1,))=0,#N/A,VLOOKUP(B87,'Data World'!$A:$AL,MATCH(World!$M$1,'Data World'!$A$1:$AL$1,)))</f>
        <v>6.5</v>
      </c>
      <c r="N87" s="13">
        <f>IF(VLOOKUP(B87,'Data World'!$A:$AL,MATCH(World!$N$1,'Data World'!$A$1:$AL$1,))=0,#N/A,VLOOKUP(B87,'Data World'!$A:$AL,MATCH(World!$N$1,'Data World'!$A$1:$AL$1,)))</f>
        <v>4.1875330000000002</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5</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9"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3.6918299999999999</v>
      </c>
      <c r="M88" s="13">
        <f>IF(VLOOKUP(B88,'Data World'!$A:$AL,MATCH(World!$M$1,'Data World'!$A$1:$AL$1,))=0,#N/A,VLOOKUP(B88,'Data World'!$A:$AL,MATCH(World!$M$1,'Data World'!$A$1:$AL$1,)))</f>
        <v>5.5</v>
      </c>
      <c r="N88" s="13">
        <f>IF(VLOOKUP(B88,'Data World'!$A:$AL,MATCH(World!$N$1,'Data World'!$A$1:$AL$1,))=0,#N/A,VLOOKUP(B88,'Data World'!$A:$AL,MATCH(World!$N$1,'Data World'!$A$1:$AL$1,)))</f>
        <v>4.0378720000000001</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2.7</v>
      </c>
    </row>
    <row r="89" spans="2:20" s="59"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3.312983</v>
      </c>
      <c r="M89" s="13">
        <f>IF(VLOOKUP(B89,'Data World'!$A:$AL,MATCH(World!$M$1,'Data World'!$A$1:$AL$1,))=0,#N/A,VLOOKUP(B89,'Data World'!$A:$AL,MATCH(World!$M$1,'Data World'!$A$1:$AL$1,)))</f>
        <v>5.3</v>
      </c>
      <c r="N89" s="13">
        <f>IF(VLOOKUP(B89,'Data World'!$A:$AL,MATCH(World!$N$1,'Data World'!$A$1:$AL$1,))=0,#N/A,VLOOKUP(B89,'Data World'!$A:$AL,MATCH(World!$N$1,'Data World'!$A$1:$AL$1,)))</f>
        <v>3.948569</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2.7</v>
      </c>
    </row>
    <row r="90" spans="2:20" s="59"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3.1737139999999999</v>
      </c>
      <c r="M90" s="13">
        <f>IF(VLOOKUP(B90,'Data World'!$A:$AL,MATCH(World!$M$1,'Data World'!$A$1:$AL$1,))=0,#N/A,VLOOKUP(B90,'Data World'!$A:$AL,MATCH(World!$M$1,'Data World'!$A$1:$AL$1,)))</f>
        <v>5.2</v>
      </c>
      <c r="N90" s="13">
        <f>IF(VLOOKUP(B90,'Data World'!$A:$AL,MATCH(World!$N$1,'Data World'!$A$1:$AL$1,))=0,#N/A,VLOOKUP(B90,'Data World'!$A:$AL,MATCH(World!$N$1,'Data World'!$A$1:$AL$1,)))</f>
        <v>3.86965</v>
      </c>
      <c r="O90" s="13">
        <f>IF(VLOOKUP(B90,'Data World'!$A:$AL,MATCH(World!$O$1,'Data World'!$A$1:$AL$1,))=0,#N/A,VLOOKUP(B90,'Data World'!$A:$AL,MATCH(World!$O$1,'Data World'!$A$1:$AL$1,)))</f>
        <v>2.7</v>
      </c>
      <c r="P90" s="13">
        <f>IF(VLOOKUP(B90,'Data World'!$A:$AL,MATCH(World!$P$1,'Data World'!$A$1:$AL$1,))=0,#N/A,VLOOKUP(B90,'Data World'!$A:$AL,MATCH(World!$P$1,'Data World'!$A$1:$AL$1,)))</f>
        <v>12.8</v>
      </c>
      <c r="Q90" s="13">
        <f>IF(VLOOKUP(B90,'Data World'!$A:$AL,MATCH(World!$Q$1,'Data World'!$A$1:$AL$1,))=0,#N/A,VLOOKUP(B90,'Data World'!$A:$AL,MATCH(World!$Q$1,'Data World'!$A$1:$AL$1,)))</f>
        <v>4.5</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2.7</v>
      </c>
    </row>
    <row r="91" spans="2:20" s="59"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3.3712780000000002</v>
      </c>
      <c r="M91" s="13">
        <f>IF(VLOOKUP(B91,'Data World'!$A:$AL,MATCH(World!$M$1,'Data World'!$A$1:$AL$1,))=0,#N/A,VLOOKUP(B91,'Data World'!$A:$AL,MATCH(World!$M$1,'Data World'!$A$1:$AL$1,)))</f>
        <v>5.0999999999999996</v>
      </c>
      <c r="N91" s="13">
        <f>IF(VLOOKUP(B91,'Data World'!$A:$AL,MATCH(World!$N$1,'Data World'!$A$1:$AL$1,))=0,#N/A,VLOOKUP(B91,'Data World'!$A:$AL,MATCH(World!$N$1,'Data World'!$A$1:$AL$1,)))</f>
        <v>3.9025780000000001</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2.5</v>
      </c>
      <c r="T91" s="13">
        <f>IF(VLOOKUP(B91,'Data World'!$A:$AL,MATCH(World!$T$1,'Data World'!$A$1:$AL$1,))=0,#N/A,VLOOKUP(B91,'Data World'!$A:$AL,MATCH(World!$T$1,'Data World'!$A$1:$AL$1,)))</f>
        <v>2.7</v>
      </c>
    </row>
    <row r="92" spans="2:20" s="59" customFormat="1" x14ac:dyDescent="0.2">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12.5</v>
      </c>
      <c r="K92" s="13">
        <f>IF(VLOOKUP(B92,'Data World'!$A:$AL,MATCH(World!$K$1,'Data World'!$A$1:$AL$1,))=0,#N/A,VLOOKUP(B92,'Data World'!$A:$AL,MATCH(World!$K$1,'Data World'!$A$1:$AL$1,)))</f>
        <v>7.6</v>
      </c>
      <c r="L92" s="13">
        <f>IF(VLOOKUP(B92,'Data World'!$A:$AL,MATCH(World!$L$1,'Data World'!$A$1:$AL$1,))=0,#N/A,VLOOKUP(B92,'Data World'!$A:$AL,MATCH(World!$L$1,'Data World'!$A$1:$AL$1,)))</f>
        <v>3.3372449999999998</v>
      </c>
      <c r="M92" s="13">
        <f>IF(VLOOKUP(B92,'Data World'!$A:$AL,MATCH(World!$M$1,'Data World'!$A$1:$AL$1,))=0,#N/A,VLOOKUP(B92,'Data World'!$A:$AL,MATCH(World!$M$1,'Data World'!$A$1:$AL$1,)))</f>
        <v>4.9000000000000004</v>
      </c>
      <c r="N92" s="13">
        <f>IF(VLOOKUP(B92,'Data World'!$A:$AL,MATCH(World!$N$1,'Data World'!$A$1:$AL$1,))=0,#N/A,VLOOKUP(B92,'Data World'!$A:$AL,MATCH(World!$N$1,'Data World'!$A$1:$AL$1,)))</f>
        <v>3.503959</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4.3</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2.7</v>
      </c>
    </row>
    <row r="93" spans="2:20" s="59" customFormat="1" x14ac:dyDescent="0.2">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7.4</v>
      </c>
      <c r="H93" s="13" t="e">
        <f>IF(VLOOKUP(B93,'Data World'!$A:$AL,MATCH(World!$H$1,'Data World'!$A$1:$AL$1,))=0,#N/A,VLOOKUP(B93,'Data World'!$A:$AL,MATCH(World!$H$1,'Data World'!$A$1:$AL$1,)))</f>
        <v>#N/A</v>
      </c>
      <c r="I93" s="13">
        <f>IF(VLOOKUP(B93,'Data World'!$A:$AL,MATCH(World!$I$1,'Data World'!$A$1:$AL$1,))=0,#N/A,VLOOKUP(B93,'Data World'!$A:$AL,MATCH(World!$I$1,'Data World'!$A$1:$AL$1,)))</f>
        <v>7.9</v>
      </c>
      <c r="J93" s="13">
        <f>IF(VLOOKUP(B93,'Data World'!$A:$AL,MATCH(World!$J$1,'Data World'!$A$1:$AL$1,))=0,#N/A,VLOOKUP(B93,'Data World'!$A:$AL,MATCH(World!$J$1,'Data World'!$A$1:$AL$1,)))</f>
        <v>12.4</v>
      </c>
      <c r="K93" s="13">
        <f>IF(VLOOKUP(B93,'Data World'!$A:$AL,MATCH(World!$K$1,'Data World'!$A$1:$AL$1,))=0,#N/A,VLOOKUP(B93,'Data World'!$A:$AL,MATCH(World!$K$1,'Data World'!$A$1:$AL$1,)))</f>
        <v>7</v>
      </c>
      <c r="L93" s="13">
        <f>IF(VLOOKUP(B93,'Data World'!$A:$AL,MATCH(World!$L$1,'Data World'!$A$1:$AL$1,))=0,#N/A,VLOOKUP(B93,'Data World'!$A:$AL,MATCH(World!$L$1,'Data World'!$A$1:$AL$1,)))</f>
        <v>3.2695989999999999</v>
      </c>
      <c r="M93" s="13">
        <f>IF(VLOOKUP(B93,'Data World'!$A:$AL,MATCH(World!$M$1,'Data World'!$A$1:$AL$1,))=0,#N/A,VLOOKUP(B93,'Data World'!$A:$AL,MATCH(World!$M$1,'Data World'!$A$1:$AL$1,)))</f>
        <v>4.9000000000000004</v>
      </c>
      <c r="N93" s="13">
        <f>IF(VLOOKUP(B93,'Data World'!$A:$AL,MATCH(World!$N$1,'Data World'!$A$1:$AL$1,))=0,#N/A,VLOOKUP(B93,'Data World'!$A:$AL,MATCH(World!$N$1,'Data World'!$A$1:$AL$1,)))</f>
        <v>3.3753350000000002</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4.2</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2.6</v>
      </c>
    </row>
    <row r="94" spans="2:20" s="59" customFormat="1" x14ac:dyDescent="0.2">
      <c r="B94" s="12">
        <v>44804</v>
      </c>
      <c r="C94" s="13">
        <f>IF(VLOOKUP(B94,'Data World'!$A:$AL,MATCH(World!$C$1,'Data World'!$A$1:$AL$1,))=0,#N/A,VLOOKUP(B94,'Data World'!$A:$AL,MATCH(World!$C$1,'Data World'!$A$1:$AL$1,)))</f>
        <v>3.7</v>
      </c>
      <c r="D94" s="13">
        <f>IF(VLOOKUP(B94,'Data World'!$A:$AL,MATCH(World!$D$1,'Data World'!$A$1:$AL$1,))=0,#N/A,VLOOKUP(B94,'Data World'!$A:$AL,MATCH(World!$D$1,'Data World'!$A$1:$AL$1,)))</f>
        <v>6.6</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7.3</v>
      </c>
      <c r="H94" s="13" t="e">
        <f>IF(VLOOKUP(B94,'Data World'!$A:$AL,MATCH(World!$H$1,'Data World'!$A$1:$AL$1,))=0,#N/A,VLOOKUP(B94,'Data World'!$A:$AL,MATCH(World!$H$1,'Data World'!$A$1:$AL$1,)))</f>
        <v>#N/A</v>
      </c>
      <c r="I94" s="13">
        <f>IF(VLOOKUP(B94,'Data World'!$A:$AL,MATCH(World!$I$1,'Data World'!$A$1:$AL$1,))=0,#N/A,VLOOKUP(B94,'Data World'!$A:$AL,MATCH(World!$I$1,'Data World'!$A$1:$AL$1,)))</f>
        <v>7.8</v>
      </c>
      <c r="J94" s="13">
        <f>IF(VLOOKUP(B94,'Data World'!$A:$AL,MATCH(World!$J$1,'Data World'!$A$1:$AL$1,))=0,#N/A,VLOOKUP(B94,'Data World'!$A:$AL,MATCH(World!$J$1,'Data World'!$A$1:$AL$1,)))</f>
        <v>12.4</v>
      </c>
      <c r="K94" s="13">
        <f>IF(VLOOKUP(B94,'Data World'!$A:$AL,MATCH(World!$K$1,'Data World'!$A$1:$AL$1,))=0,#N/A,VLOOKUP(B94,'Data World'!$A:$AL,MATCH(World!$K$1,'Data World'!$A$1:$AL$1,)))</f>
        <v>6.9</v>
      </c>
      <c r="L94" s="13">
        <f>IF(VLOOKUP(B94,'Data World'!$A:$AL,MATCH(World!$L$1,'Data World'!$A$1:$AL$1,))=0,#N/A,VLOOKUP(B94,'Data World'!$A:$AL,MATCH(World!$L$1,'Data World'!$A$1:$AL$1,)))</f>
        <v>3.2727719999999998</v>
      </c>
      <c r="M94" s="13">
        <f>IF(VLOOKUP(B94,'Data World'!$A:$AL,MATCH(World!$M$1,'Data World'!$A$1:$AL$1,))=0,#N/A,VLOOKUP(B94,'Data World'!$A:$AL,MATCH(World!$M$1,'Data World'!$A$1:$AL$1,)))</f>
        <v>5.4</v>
      </c>
      <c r="N94" s="13">
        <f>IF(VLOOKUP(B94,'Data World'!$A:$AL,MATCH(World!$N$1,'Data World'!$A$1:$AL$1,))=0,#N/A,VLOOKUP(B94,'Data World'!$A:$AL,MATCH(World!$N$1,'Data World'!$A$1:$AL$1,)))</f>
        <v>3.463708</v>
      </c>
      <c r="O94" s="13">
        <f>IF(VLOOKUP(B94,'Data World'!$A:$AL,MATCH(World!$O$1,'Data World'!$A$1:$AL$1,))=0,#N/A,VLOOKUP(B94,'Data World'!$A:$AL,MATCH(World!$O$1,'Data World'!$A$1:$AL$1,)))</f>
        <v>2.5</v>
      </c>
      <c r="P94" s="13">
        <f>IF(VLOOKUP(B94,'Data World'!$A:$AL,MATCH(World!$P$1,'Data World'!$A$1:$AL$1,))=0,#N/A,VLOOKUP(B94,'Data World'!$A:$AL,MATCH(World!$P$1,'Data World'!$A$1:$AL$1,)))</f>
        <v>12.2</v>
      </c>
      <c r="Q94" s="13">
        <f>IF(VLOOKUP(B94,'Data World'!$A:$AL,MATCH(World!$Q$1,'Data World'!$A$1:$AL$1,))=0,#N/A,VLOOKUP(B94,'Data World'!$A:$AL,MATCH(World!$Q$1,'Data World'!$A$1:$AL$1,)))</f>
        <v>4.3</v>
      </c>
      <c r="R94" s="13" t="e">
        <f>IF(VLOOKUP(B94,'Data World'!$A:$AL,MATCH(World!$R$1,'Data World'!$A$1:$AL$1,))=0,#N/A,VLOOKUP(B94,'Data World'!$A:$AL,MATCH(World!$R$1,'Data World'!$A$1:$AL$1,)))</f>
        <v>#N/A</v>
      </c>
      <c r="S94" s="13">
        <f>IF(VLOOKUP(B94,'Data World'!$A:$AL,MATCH(World!$S$1,'Data World'!$A$1:$AL$1,))=0,#N/A,VLOOKUP(B94,'Data World'!$A:$AL,MATCH(World!$S$1,'Data World'!$A$1:$AL$1,)))</f>
        <v>2.4</v>
      </c>
      <c r="T94" s="13">
        <f>IF(VLOOKUP(B94,'Data World'!$A:$AL,MATCH(World!$T$1,'Data World'!$A$1:$AL$1,))=0,#N/A,VLOOKUP(B94,'Data World'!$A:$AL,MATCH(World!$T$1,'Data World'!$A$1:$AL$1,)))</f>
        <v>2.6</v>
      </c>
    </row>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94">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4">
    <cfRule type="colorScale" priority="115">
      <colorScale>
        <cfvo type="min"/>
        <cfvo type="percentile" val="50"/>
        <cfvo type="max"/>
        <color rgb="FF63BE7B"/>
        <color rgb="FFFFEB84"/>
        <color rgb="FFF8696B"/>
      </colorScale>
    </cfRule>
  </conditionalFormatting>
  <conditionalFormatting sqref="D5:D94">
    <cfRule type="colorScale" priority="116">
      <colorScale>
        <cfvo type="min"/>
        <cfvo type="percentile" val="50"/>
        <cfvo type="max"/>
        <color rgb="FF63BE7B"/>
        <color rgb="FFFFEB84"/>
        <color rgb="FFF8696B"/>
      </colorScale>
    </cfRule>
  </conditionalFormatting>
  <conditionalFormatting sqref="E5:E94">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4">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4">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4">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4">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4">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4">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4">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4">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4">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4">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4">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4">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4">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4">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4">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2022-10-08T02:32:07Z</dcterms:modified>
</cp:coreProperties>
</file>