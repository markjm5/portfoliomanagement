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NFP" sheetId="5" state="visible" r:id="rId5"/>
    <sheet xmlns:r="http://schemas.openxmlformats.org/officeDocument/2006/relationships" name="Claims" sheetId="6" state="visible" r:id="rId6"/>
    <sheet xmlns:r="http://schemas.openxmlformats.org/officeDocument/2006/relationships" name="Graphs" sheetId="7" state="visible" r:id="rId7"/>
    <sheet xmlns:r="http://schemas.openxmlformats.org/officeDocument/2006/relationships" name="ADP" sheetId="8" state="visible" r:id="rId8"/>
    <sheet xmlns:r="http://schemas.openxmlformats.org/officeDocument/2006/relationships" name="Data World"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80">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2" fontId="0" fillId="2" borderId="0" pivotButton="0" quotePrefix="0" xfId="0"/>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NFP!$A$120:$A$1006</f>
              <numCache>
                <formatCode>yyyy\-mm\-dd</formatCode>
                <ptCount val="88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NFP!$E$120:$E$1006</f>
              <numCache>
                <formatCode>General</formatCode>
                <ptCount val="887"/>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NFP!$E$120:$E$1012</f>
              <numCache>
                <formatCode>General</formatCode>
                <ptCount val="893"/>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NFP!$A$120:$A$969</f>
              <numCache>
                <formatCode>yyyy\-mm\-dd</formatCode>
                <ptCount val="85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numCache>
            </numRef>
          </cat>
          <val>
            <numRef>
              <f>NFP!$F$120:$F$969</f>
              <numCache>
                <formatCode>General</formatCode>
                <ptCount val="85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numCache>
            </numRef>
          </val>
          <smooth val="0"/>
        </ser>
        <dLbls>
          <showLegendKey val="0"/>
          <showVal val="0"/>
          <showCatName val="0"/>
          <showSerName val="0"/>
          <showPercent val="0"/>
          <showBubbleSize val="0"/>
        </dLbls>
        <smooth val="0"/>
        <axId val="1096970312"/>
        <axId val="1096973592"/>
      </lineChart>
      <dateAx>
        <axId val="1096970312"/>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3592"/>
        <crosses val="autoZero"/>
        <lblOffset val="100"/>
        <baseTimeUnit val="months"/>
      </dateAx>
      <valAx>
        <axId val="1096973592"/>
        <scaling>
          <orientation val="minMax"/>
          <min val="5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970312"/>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NFP!$A$120:$A$1012</f>
              <numCache>
                <formatCode>yyyy\-mm\-dd</formatCode>
                <ptCount val="893"/>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numCache>
            </numRef>
          </cat>
          <val>
            <numRef>
              <f>NFP!$F$120:$F$1012</f>
              <numCache>
                <formatCode>General</formatCode>
                <ptCount val="893"/>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Claims!$A$5:$A$2795</f>
              <numCache>
                <formatCode>m/d/yy</formatCode>
                <ptCount val="279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numCache>
            </numRef>
          </cat>
          <val>
            <numRef>
              <f>Claims!$B$5:$B$2795</f>
              <numCache>
                <formatCode>#,##0</formatCode>
                <ptCount val="279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397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NFP!$A$300:$A$1021</f>
              <numCache>
                <formatCode>yyyy\-mm\-dd</formatCode>
                <ptCount val="722"/>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numCache>
            </numRef>
          </cat>
          <val>
            <numRef>
              <f>NFP!$C$300:$C$1021</f>
              <numCache>
                <formatCode>0</formatCode>
                <ptCount val="722"/>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NFP!$A$800:$A$1021</f>
              <numCache>
                <formatCode>yyyy\-mm\-dd</formatCode>
                <ptCount val="222"/>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numCache>
            </numRef>
          </cat>
          <val>
            <numRef>
              <f>NFP!$C$800:$C$1021</f>
              <numCache>
                <formatCode>0</formatCode>
                <ptCount val="222"/>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NFP!$A$13:$A$1021</f>
              <numCache>
                <formatCode>yyyy\-mm\-dd</formatCode>
                <ptCount val="1009"/>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numCache>
            </numRef>
          </cat>
          <val>
            <numRef>
              <f>NFP!$C$13:$C$1021</f>
              <numCache>
                <formatCode>0</formatCode>
                <ptCount val="1009"/>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ADP!$B$6:$B$249</f>
              <numCache>
                <formatCode>0.00</formatCode>
                <ptCount val="244"/>
                <pt idx="0">
                  <v>-175</v>
                </pt>
                <pt idx="1">
                  <v>-230</v>
                </pt>
                <pt idx="2">
                  <v>-203</v>
                </pt>
                <pt idx="3">
                  <formatCode>General</formatCode>
                  <v>-246</v>
                </pt>
                <pt idx="4">
                  <formatCode>General</formatCode>
                  <v>-261</v>
                </pt>
                <pt idx="5">
                  <formatCode>General</formatCode>
                  <v>-380</v>
                </pt>
                <pt idx="6">
                  <formatCode>General</formatCode>
                  <v>-361</v>
                </pt>
                <pt idx="7">
                  <formatCode>General</formatCode>
                  <v>-223</v>
                </pt>
                <pt idx="8">
                  <formatCode>General</formatCode>
                  <v>-69</v>
                </pt>
                <pt idx="9">
                  <formatCode>General</formatCode>
                  <v>-91</v>
                </pt>
                <pt idx="10">
                  <formatCode>General</formatCode>
                  <v>-70</v>
                </pt>
                <pt idx="11">
                  <formatCode>General</formatCode>
                  <v>-70</v>
                </pt>
                <pt idx="12">
                  <formatCode>General</formatCode>
                  <v>-138</v>
                </pt>
                <pt idx="13">
                  <formatCode>General</formatCode>
                  <v>-41</v>
                </pt>
                <pt idx="14">
                  <formatCode>General</formatCode>
                  <v>-21</v>
                </pt>
                <pt idx="15">
                  <formatCode>General</formatCode>
                  <v>12</v>
                </pt>
                <pt idx="16">
                  <formatCode>General</formatCode>
                  <v>-150</v>
                </pt>
                <pt idx="17">
                  <formatCode>General</formatCode>
                  <v>47</v>
                </pt>
                <pt idx="18">
                  <formatCode>General</formatCode>
                  <v>-11</v>
                </pt>
                <pt idx="19">
                  <formatCode>General</formatCode>
                  <v>-79</v>
                </pt>
                <pt idx="20">
                  <formatCode>General</formatCode>
                  <v>-113</v>
                </pt>
                <pt idx="21">
                  <formatCode>General</formatCode>
                  <v>26</v>
                </pt>
                <pt idx="22">
                  <formatCode>General</formatCode>
                  <v>-42</v>
                </pt>
                <pt idx="23">
                  <formatCode>General</formatCode>
                  <v>-8</v>
                </pt>
                <pt idx="24">
                  <formatCode>General</formatCode>
                  <v>-75</v>
                </pt>
                <pt idx="25">
                  <formatCode>General</formatCode>
                  <v>-25</v>
                </pt>
                <pt idx="26">
                  <formatCode>General</formatCode>
                  <v>28</v>
                </pt>
                <pt idx="27">
                  <formatCode>General</formatCode>
                  <v>-66</v>
                </pt>
                <pt idx="28">
                  <formatCode>General</formatCode>
                  <v>69</v>
                </pt>
                <pt idx="29">
                  <formatCode>General</formatCode>
                  <v>174</v>
                </pt>
                <pt idx="30">
                  <formatCode>General</formatCode>
                  <v>247</v>
                </pt>
                <pt idx="31">
                  <formatCode>General</formatCode>
                  <v>167</v>
                </pt>
                <pt idx="32">
                  <formatCode>General</formatCode>
                  <v>68</v>
                </pt>
                <pt idx="33">
                  <formatCode>General</formatCode>
                  <v>166</v>
                </pt>
                <pt idx="34">
                  <formatCode>General</formatCode>
                  <v>188</v>
                </pt>
                <pt idx="35">
                  <formatCode>General</formatCode>
                  <v>170</v>
                </pt>
                <pt idx="36">
                  <formatCode>General</formatCode>
                  <v>54</v>
                </pt>
                <pt idx="37">
                  <formatCode>General</formatCode>
                  <v>169</v>
                </pt>
                <pt idx="38">
                  <formatCode>General</formatCode>
                  <v>80</v>
                </pt>
                <pt idx="39">
                  <formatCode>General</formatCode>
                  <v>187</v>
                </pt>
                <pt idx="40">
                  <formatCode>General</formatCode>
                  <v>170</v>
                </pt>
                <pt idx="41">
                  <formatCode>General</formatCode>
                  <v>136</v>
                </pt>
                <pt idx="42">
                  <formatCode>General</formatCode>
                  <v>178</v>
                </pt>
                <pt idx="43">
                  <formatCode>General</formatCode>
                  <v>254</v>
                </pt>
                <pt idx="44">
                  <formatCode>General</formatCode>
                  <v>158</v>
                </pt>
                <pt idx="45">
                  <formatCode>General</formatCode>
                  <v>145</v>
                </pt>
                <pt idx="46">
                  <formatCode>General</formatCode>
                  <v>164</v>
                </pt>
                <pt idx="47">
                  <formatCode>General</formatCode>
                  <v>300</v>
                </pt>
                <pt idx="48">
                  <formatCode>General</formatCode>
                  <v>243</v>
                </pt>
                <pt idx="49">
                  <formatCode>General</formatCode>
                  <v>273</v>
                </pt>
                <pt idx="50">
                  <formatCode>General</formatCode>
                  <v>281</v>
                </pt>
                <pt idx="51">
                  <formatCode>General</formatCode>
                  <v>190</v>
                </pt>
                <pt idx="52">
                  <formatCode>General</formatCode>
                  <v>-35</v>
                </pt>
                <pt idx="53">
                  <formatCode>General</formatCode>
                  <v>134</v>
                </pt>
                <pt idx="54">
                  <formatCode>General</formatCode>
                  <v>253</v>
                </pt>
                <pt idx="55">
                  <formatCode>General</formatCode>
                  <v>225</v>
                </pt>
                <pt idx="56">
                  <formatCode>General</formatCode>
                  <v>296</v>
                </pt>
                <pt idx="57">
                  <formatCode>General</formatCode>
                  <v>360</v>
                </pt>
                <pt idx="58">
                  <formatCode>General</formatCode>
                  <v>208</v>
                </pt>
                <pt idx="59">
                  <formatCode>General</formatCode>
                  <v>80</v>
                </pt>
                <pt idx="60">
                  <formatCode>General</formatCode>
                  <v>175</v>
                </pt>
                <pt idx="61">
                  <formatCode>General</formatCode>
                  <v>106</v>
                </pt>
                <pt idx="62">
                  <formatCode>General</formatCode>
                  <v>123</v>
                </pt>
                <pt idx="63">
                  <formatCode>General</formatCode>
                  <v>185</v>
                </pt>
                <pt idx="64">
                  <formatCode>General</formatCode>
                  <v>58</v>
                </pt>
                <pt idx="65">
                  <formatCode>General</formatCode>
                  <v>109</v>
                </pt>
                <pt idx="66">
                  <formatCode>General</formatCode>
                  <v>-13</v>
                </pt>
                <pt idx="67">
                  <formatCode>General</formatCode>
                  <v>171</v>
                </pt>
                <pt idx="68">
                  <formatCode>General</formatCode>
                  <v>241</v>
                </pt>
                <pt idx="69">
                  <formatCode>General</formatCode>
                  <v>111</v>
                </pt>
                <pt idx="70">
                  <formatCode>General</formatCode>
                  <v>154</v>
                </pt>
                <pt idx="71">
                  <formatCode>General</formatCode>
                  <v>39</v>
                </pt>
                <pt idx="72">
                  <formatCode>General</formatCode>
                  <v>82</v>
                </pt>
                <pt idx="73">
                  <formatCode>General</formatCode>
                  <v>15</v>
                </pt>
                <pt idx="74">
                  <formatCode>General</formatCode>
                  <v>47</v>
                </pt>
                <pt idx="75">
                  <formatCode>General</formatCode>
                  <v>-27</v>
                </pt>
                <pt idx="76">
                  <formatCode>General</formatCode>
                  <v>23</v>
                </pt>
                <pt idx="77">
                  <formatCode>General</formatCode>
                  <v>44</v>
                </pt>
                <pt idx="78">
                  <formatCode>General</formatCode>
                  <v>58</v>
                </pt>
                <pt idx="79">
                  <formatCode>General</formatCode>
                  <v>47</v>
                </pt>
                <pt idx="80">
                  <formatCode>General</formatCode>
                  <v>118</v>
                </pt>
                <pt idx="81">
                  <formatCode>General</formatCode>
                  <v>-78</v>
                </pt>
                <pt idx="82">
                  <formatCode>General</formatCode>
                  <v>-181</v>
                </pt>
                <pt idx="83">
                  <formatCode>General</formatCode>
                  <v>-406</v>
                </pt>
                <pt idx="84">
                  <formatCode>General</formatCode>
                  <v>-409</v>
                </pt>
                <pt idx="85">
                  <formatCode>General</formatCode>
                  <v>-465</v>
                </pt>
                <pt idx="86">
                  <formatCode>General</formatCode>
                  <v>-416</v>
                </pt>
                <pt idx="87">
                  <formatCode>General</formatCode>
                  <v>-430</v>
                </pt>
                <pt idx="88">
                  <formatCode>General</formatCode>
                  <v>-489</v>
                </pt>
                <pt idx="89">
                  <formatCode>General</formatCode>
                  <v>-430</v>
                </pt>
                <pt idx="90">
                  <formatCode>General</formatCode>
                  <v>-620</v>
                </pt>
                <pt idx="91">
                  <formatCode>General</formatCode>
                  <v>-510</v>
                </pt>
                <pt idx="92">
                  <formatCode>General</formatCode>
                  <v>-584</v>
                </pt>
                <pt idx="93">
                  <formatCode>General</formatCode>
                  <v>-706</v>
                </pt>
                <pt idx="94">
                  <formatCode>General</formatCode>
                  <v>-417</v>
                </pt>
                <pt idx="95">
                  <formatCode>General</formatCode>
                  <v>-325</v>
                </pt>
                <pt idx="96">
                  <formatCode>General</formatCode>
                  <v>-244</v>
                </pt>
                <pt idx="97">
                  <formatCode>General</formatCode>
                  <v>-334</v>
                </pt>
                <pt idx="98">
                  <formatCode>General</formatCode>
                  <v>-180</v>
                </pt>
                <pt idx="99">
                  <formatCode>General</formatCode>
                  <v>-212</v>
                </pt>
                <pt idx="100">
                  <formatCode>General</formatCode>
                  <v>-126</v>
                </pt>
                <pt idx="101">
                  <formatCode>General</formatCode>
                  <v>-114</v>
                </pt>
                <pt idx="102">
                  <formatCode>General</formatCode>
                  <v>-374</v>
                </pt>
                <pt idx="103">
                  <formatCode>General</formatCode>
                  <v>-212</v>
                </pt>
                <pt idx="104">
                  <formatCode>General</formatCode>
                  <v>-137</v>
                </pt>
                <pt idx="105">
                  <formatCode>General</formatCode>
                  <v>-219</v>
                </pt>
                <pt idx="106">
                  <formatCode>General</formatCode>
                  <v>-113</v>
                </pt>
                <pt idx="107">
                  <formatCode>General</formatCode>
                  <v>147</v>
                </pt>
                <pt idx="108">
                  <formatCode>General</formatCode>
                  <v>152</v>
                </pt>
                <pt idx="109">
                  <formatCode>General</formatCode>
                  <v>102</v>
                </pt>
                <pt idx="110">
                  <formatCode>General</formatCode>
                  <v>159</v>
                </pt>
                <pt idx="111">
                  <formatCode>General</formatCode>
                  <v>99</v>
                </pt>
                <pt idx="112">
                  <formatCode>General</formatCode>
                  <v>117</v>
                </pt>
                <pt idx="113">
                  <formatCode>General</formatCode>
                  <v>219</v>
                </pt>
                <pt idx="114">
                  <formatCode>General</formatCode>
                  <v>141</v>
                </pt>
                <pt idx="115">
                  <formatCode>General</formatCode>
                  <v>85</v>
                </pt>
                <pt idx="116">
                  <formatCode>General</formatCode>
                  <v>137</v>
                </pt>
                <pt idx="117">
                  <formatCode>General</formatCode>
                  <v>164</v>
                </pt>
                <pt idx="118">
                  <formatCode>General</formatCode>
                  <v>213</v>
                </pt>
                <pt idx="119">
                  <formatCode>General</formatCode>
                  <v>299</v>
                </pt>
                <pt idx="120">
                  <formatCode>General</formatCode>
                  <v>254</v>
                </pt>
                <pt idx="121">
                  <formatCode>General</formatCode>
                  <v>263</v>
                </pt>
                <pt idx="122">
                  <formatCode>General</formatCode>
                  <v>213</v>
                </pt>
                <pt idx="123">
                  <formatCode>General</formatCode>
                  <v>216</v>
                </pt>
                <pt idx="124">
                  <formatCode>General</formatCode>
                  <v>227</v>
                </pt>
                <pt idx="125">
                  <formatCode>General</formatCode>
                  <v>191</v>
                </pt>
                <pt idx="126">
                  <formatCode>General</formatCode>
                  <v>127</v>
                </pt>
                <pt idx="127">
                  <formatCode>General</formatCode>
                  <v>194</v>
                </pt>
                <pt idx="128">
                  <formatCode>General</formatCode>
                  <v>199</v>
                </pt>
                <pt idx="129">
                  <formatCode>General</formatCode>
                  <v>281</v>
                </pt>
                <pt idx="130">
                  <formatCode>General</formatCode>
                  <v>250</v>
                </pt>
                <pt idx="131">
                  <formatCode>General</formatCode>
                  <v>83</v>
                </pt>
                <pt idx="132">
                  <formatCode>General</formatCode>
                  <v>153</v>
                </pt>
                <pt idx="133">
                  <formatCode>General</formatCode>
                  <v>79</v>
                </pt>
                <pt idx="134">
                  <formatCode>General</formatCode>
                  <v>142</v>
                </pt>
                <pt idx="135">
                  <formatCode>General</formatCode>
                  <v>184</v>
                </pt>
                <pt idx="136">
                  <formatCode>General</formatCode>
                  <v>150</v>
                </pt>
                <pt idx="137">
                  <formatCode>General</formatCode>
                  <v>227</v>
                </pt>
                <pt idx="138">
                  <formatCode>General</formatCode>
                  <v>159</v>
                </pt>
                <pt idx="139">
                  <formatCode>General</formatCode>
                  <v>231</v>
                </pt>
                <pt idx="140">
                  <formatCode>General</formatCode>
                  <v>208</v>
                </pt>
                <pt idx="141">
                  <formatCode>General</formatCode>
                  <v>203</v>
                </pt>
                <pt idx="142">
                  <formatCode>General</formatCode>
                  <v>181</v>
                </pt>
                <pt idx="143">
                  <formatCode>General</formatCode>
                  <v>126</v>
                </pt>
                <pt idx="144">
                  <formatCode>General</formatCode>
                  <v>210</v>
                </pt>
                <pt idx="145">
                  <formatCode>General</formatCode>
                  <v>217</v>
                </pt>
                <pt idx="146">
                  <formatCode>General</formatCode>
                  <v>157</v>
                </pt>
                <pt idx="147">
                  <formatCode>General</formatCode>
                  <v>206</v>
                </pt>
                <pt idx="148">
                  <formatCode>General</formatCode>
                  <v>243</v>
                </pt>
                <pt idx="149">
                  <formatCode>General</formatCode>
                  <v>211</v>
                </pt>
                <pt idx="150">
                  <formatCode>General</formatCode>
                  <v>195</v>
                </pt>
                <pt idx="151">
                  <formatCode>General</formatCode>
                  <v>178</v>
                </pt>
                <pt idx="152">
                  <formatCode>General</formatCode>
                  <v>212</v>
                </pt>
                <pt idx="153">
                  <formatCode>General</formatCode>
                  <v>190</v>
                </pt>
                <pt idx="154">
                  <formatCode>General</formatCode>
                  <v>179</v>
                </pt>
                <pt idx="155">
                  <formatCode>General</formatCode>
                  <v>278</v>
                </pt>
                <pt idx="156">
                  <formatCode>General</formatCode>
                  <v>202</v>
                </pt>
                <pt idx="157">
                  <formatCode>General</formatCode>
                  <v>292</v>
                </pt>
                <pt idx="158">
                  <formatCode>General</formatCode>
                  <v>223</v>
                </pt>
                <pt idx="159">
                  <formatCode>General</formatCode>
                  <v>230</v>
                </pt>
                <pt idx="160">
                  <formatCode>General</formatCode>
                  <v>251</v>
                </pt>
                <pt idx="161">
                  <formatCode>General</formatCode>
                  <v>252</v>
                </pt>
                <pt idx="162">
                  <formatCode>General</formatCode>
                  <v>195</v>
                </pt>
                <pt idx="163">
                  <formatCode>General</formatCode>
                  <v>292</v>
                </pt>
                <pt idx="164">
                  <formatCode>General</formatCode>
                  <v>191</v>
                </pt>
                <pt idx="165">
                  <formatCode>General</formatCode>
                  <v>226</v>
                </pt>
                <pt idx="166">
                  <formatCode>General</formatCode>
                  <v>178</v>
                </pt>
                <pt idx="167">
                  <formatCode>General</formatCode>
                  <v>179</v>
                </pt>
                <pt idx="168">
                  <formatCode>General</formatCode>
                  <v>296</v>
                </pt>
                <pt idx="169">
                  <formatCode>General</formatCode>
                  <v>219</v>
                </pt>
                <pt idx="170">
                  <formatCode>General</formatCode>
                  <v>190</v>
                </pt>
                <pt idx="171">
                  <formatCode>General</formatCode>
                  <v>190</v>
                </pt>
                <pt idx="172">
                  <formatCode>General</formatCode>
                  <v>204</v>
                </pt>
                <pt idx="173">
                  <formatCode>General</formatCode>
                  <v>186</v>
                </pt>
                <pt idx="174">
                  <formatCode>General</formatCode>
                  <v>223</v>
                </pt>
                <pt idx="175">
                  <formatCode>General</formatCode>
                  <v>271</v>
                </pt>
                <pt idx="176">
                  <formatCode>General</formatCode>
                  <v>130</v>
                </pt>
                <pt idx="177">
                  <formatCode>General</formatCode>
                  <v>241</v>
                </pt>
                <pt idx="178">
                  <formatCode>General</formatCode>
                  <v>205</v>
                </pt>
                <pt idx="179">
                  <formatCode>General</formatCode>
                  <v>170</v>
                </pt>
                <pt idx="180">
                  <formatCode>General</formatCode>
                  <v>84</v>
                </pt>
                <pt idx="181">
                  <formatCode>General</formatCode>
                  <v>255</v>
                </pt>
                <pt idx="182">
                  <formatCode>General</formatCode>
                  <v>152</v>
                </pt>
                <pt idx="183">
                  <formatCode>General</formatCode>
                  <v>192</v>
                </pt>
                <pt idx="184">
                  <formatCode>General</formatCode>
                  <v>181</v>
                </pt>
                <pt idx="185">
                  <formatCode>General</formatCode>
                  <v>91</v>
                </pt>
                <pt idx="186">
                  <formatCode>General</formatCode>
                  <v>236</v>
                </pt>
                <pt idx="187">
                  <formatCode>General</formatCode>
                  <v>105</v>
                </pt>
                <pt idx="188">
                  <formatCode>General</formatCode>
                  <v>224</v>
                </pt>
                <pt idx="189">
                  <formatCode>General</formatCode>
                  <v>237</v>
                </pt>
                <pt idx="190">
                  <formatCode>General</formatCode>
                  <v>209</v>
                </pt>
                <pt idx="191">
                  <formatCode>General</formatCode>
                  <v>173</v>
                </pt>
                <pt idx="192">
                  <formatCode>General</formatCode>
                  <v>170</v>
                </pt>
                <pt idx="193">
                  <formatCode>General</formatCode>
                  <v>135</v>
                </pt>
                <pt idx="194">
                  <formatCode>General</formatCode>
                  <v>183</v>
                </pt>
                <pt idx="195">
                  <formatCode>General</formatCode>
                  <v>174</v>
                </pt>
                <pt idx="196">
                  <formatCode>General</formatCode>
                  <v>111</v>
                </pt>
                <pt idx="197">
                  <formatCode>General</formatCode>
                  <v>158</v>
                </pt>
                <pt idx="198">
                  <formatCode>General</formatCode>
                  <v>207</v>
                </pt>
                <pt idx="199">
                  <formatCode>General</formatCode>
                  <v>241</v>
                </pt>
                <pt idx="200">
                  <formatCode>General</formatCode>
                  <v>252</v>
                </pt>
                <pt idx="201">
                  <formatCode>General</formatCode>
                  <v>219</v>
                </pt>
                <pt idx="202">
                  <formatCode>General</formatCode>
                  <v>213</v>
                </pt>
                <pt idx="203">
                  <formatCode>General</formatCode>
                  <v>178</v>
                </pt>
                <pt idx="204">
                  <formatCode>General</formatCode>
                  <v>276</v>
                </pt>
                <pt idx="205">
                  <formatCode>General</formatCode>
                  <v>221</v>
                </pt>
                <pt idx="206">
                  <formatCode>General</formatCode>
                  <v>284</v>
                </pt>
                <pt idx="207">
                  <formatCode>General</formatCode>
                  <v>159</v>
                </pt>
                <pt idx="208">
                  <formatCode>General</formatCode>
                  <v>199</v>
                </pt>
                <pt idx="209">
                  <formatCode>General</formatCode>
                  <v>238</v>
                </pt>
                <pt idx="210">
                  <formatCode>General</formatCode>
                  <v>136</v>
                </pt>
                <pt idx="211">
                  <formatCode>General</formatCode>
                  <v>249</v>
                </pt>
                <pt idx="212">
                  <formatCode>General</formatCode>
                  <v>264</v>
                </pt>
                <pt idx="213">
                  <formatCode>General</formatCode>
                  <v>220</v>
                </pt>
                <pt idx="214">
                  <formatCode>General</formatCode>
                  <v>158</v>
                </pt>
                <pt idx="215">
                  <formatCode>General</formatCode>
                  <v>255</v>
                </pt>
                <pt idx="216">
                  <formatCode>General</formatCode>
                  <v>46</v>
                </pt>
                <pt idx="217">
                  <formatCode>General</formatCode>
                  <v>107</v>
                </pt>
                <pt idx="218">
                  <formatCode>General</formatCode>
                  <v>143</v>
                </pt>
                <pt idx="219">
                  <formatCode>General</formatCode>
                  <v>159</v>
                </pt>
                <pt idx="220">
                  <formatCode>General</formatCode>
                  <v>124</v>
                </pt>
                <pt idx="221">
                  <formatCode>General</formatCode>
                  <v>151</v>
                </pt>
                <pt idx="222">
                  <formatCode>General</formatCode>
                  <v>124</v>
                </pt>
                <pt idx="223">
                  <formatCode>General</formatCode>
                  <v>199</v>
                </pt>
                <pt idx="224">
                  <formatCode>General</formatCode>
                  <v>209</v>
                </pt>
                <pt idx="225">
                  <formatCode>General</formatCode>
                  <v>183</v>
                </pt>
                <pt idx="226">
                  <formatCode>General</formatCode>
                  <v>-149</v>
                </pt>
                <pt idx="227">
                  <formatCode>General</formatCode>
                  <v>-19557</v>
                </pt>
                <pt idx="228">
                  <formatCode>General</formatCode>
                  <v>3065</v>
                </pt>
                <pt idx="229">
                  <formatCode>General</formatCode>
                  <v>2369</v>
                </pt>
                <pt idx="230">
                  <formatCode>General</formatCode>
                  <v>167</v>
                </pt>
                <pt idx="231">
                  <formatCode>General</formatCode>
                  <v>428</v>
                </pt>
                <pt idx="232">
                  <formatCode>General</formatCode>
                  <v>749</v>
                </pt>
                <pt idx="233">
                  <formatCode>General</formatCode>
                  <v>365</v>
                </pt>
                <pt idx="234">
                  <formatCode>General</formatCode>
                  <v>307</v>
                </pt>
                <pt idx="235">
                  <formatCode>General</formatCode>
                  <v>-123</v>
                </pt>
                <pt idx="236">
                  <formatCode>General</formatCode>
                  <v>174</v>
                </pt>
                <pt idx="237">
                  <formatCode>General</formatCode>
                  <v>117</v>
                </pt>
                <pt idx="238">
                  <formatCode>General</formatCode>
                  <v>517</v>
                </pt>
                <pt idx="239">
                  <formatCode>General</formatCode>
                  <v>742</v>
                </pt>
                <pt idx="240">
                  <formatCode>General</formatCode>
                  <v>978</v>
                </pt>
                <pt idx="241">
                  <formatCode>General</formatCode>
                  <v>692</v>
                </pt>
                <pt idx="242">
                  <formatCode>General</formatCode>
                  <v>330</v>
                </pt>
                <pt idx="243">
                  <formatCode>General</formatCode>
                  <v>374</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ADP!$A$6:$A$249</f>
              <numCache>
                <formatCode>m/d/yy</formatCode>
                <ptCount val="244"/>
                <pt idx="0">
                  <v>37012</v>
                </pt>
                <pt idx="1">
                  <v>37043</v>
                </pt>
                <pt idx="2">
                  <v>37073</v>
                </pt>
                <pt idx="3">
                  <v>37104</v>
                </pt>
                <pt idx="4">
                  <v>37135</v>
                </pt>
                <pt idx="5">
                  <v>37165</v>
                </pt>
                <pt idx="6">
                  <v>37196</v>
                </pt>
                <pt idx="7">
                  <v>37226</v>
                </pt>
                <pt idx="8">
                  <v>37257</v>
                </pt>
                <pt idx="9">
                  <v>37288</v>
                </pt>
                <pt idx="10">
                  <v>37316</v>
                </pt>
                <pt idx="11">
                  <v>37347</v>
                </pt>
                <pt idx="12">
                  <v>37377</v>
                </pt>
                <pt idx="13">
                  <v>37408</v>
                </pt>
                <pt idx="14">
                  <v>37438</v>
                </pt>
                <pt idx="15">
                  <v>37469</v>
                </pt>
                <pt idx="16">
                  <v>37500</v>
                </pt>
                <pt idx="17">
                  <v>37530</v>
                </pt>
                <pt idx="18">
                  <v>37561</v>
                </pt>
                <pt idx="19">
                  <v>37591</v>
                </pt>
                <pt idx="20">
                  <v>37622</v>
                </pt>
                <pt idx="21">
                  <v>37653</v>
                </pt>
                <pt idx="22">
                  <v>37681</v>
                </pt>
                <pt idx="23">
                  <v>37712</v>
                </pt>
                <pt idx="24">
                  <v>37742</v>
                </pt>
                <pt idx="25">
                  <v>37773</v>
                </pt>
                <pt idx="26">
                  <v>37803</v>
                </pt>
                <pt idx="27">
                  <v>37834</v>
                </pt>
                <pt idx="28">
                  <v>37865</v>
                </pt>
                <pt idx="29">
                  <v>37895</v>
                </pt>
                <pt idx="30">
                  <v>37926</v>
                </pt>
                <pt idx="31">
                  <v>37956</v>
                </pt>
                <pt idx="32">
                  <v>37987</v>
                </pt>
                <pt idx="33">
                  <v>38018</v>
                </pt>
                <pt idx="34">
                  <v>38047</v>
                </pt>
                <pt idx="35">
                  <v>38078</v>
                </pt>
                <pt idx="36">
                  <v>38108</v>
                </pt>
                <pt idx="37">
                  <v>38139</v>
                </pt>
                <pt idx="38">
                  <v>38169</v>
                </pt>
                <pt idx="39">
                  <v>38200</v>
                </pt>
                <pt idx="40">
                  <v>38231</v>
                </pt>
                <pt idx="41">
                  <v>38261</v>
                </pt>
                <pt idx="42">
                  <v>38292</v>
                </pt>
                <pt idx="43">
                  <v>38322</v>
                </pt>
                <pt idx="44">
                  <v>38353</v>
                </pt>
                <pt idx="45">
                  <v>38384</v>
                </pt>
                <pt idx="46">
                  <v>38412</v>
                </pt>
                <pt idx="47">
                  <v>38443</v>
                </pt>
                <pt idx="48">
                  <v>38473</v>
                </pt>
                <pt idx="49">
                  <v>38504</v>
                </pt>
                <pt idx="50">
                  <v>38534</v>
                </pt>
                <pt idx="51">
                  <v>38565</v>
                </pt>
                <pt idx="52">
                  <v>38596</v>
                </pt>
                <pt idx="53">
                  <v>38626</v>
                </pt>
                <pt idx="54">
                  <v>38657</v>
                </pt>
                <pt idx="55">
                  <v>38687</v>
                </pt>
                <pt idx="56">
                  <v>38718</v>
                </pt>
                <pt idx="57">
                  <v>38749</v>
                </pt>
                <pt idx="58">
                  <v>38777</v>
                </pt>
                <pt idx="59">
                  <v>38808</v>
                </pt>
                <pt idx="60">
                  <v>38838</v>
                </pt>
                <pt idx="61">
                  <v>38869</v>
                </pt>
                <pt idx="62">
                  <v>38899</v>
                </pt>
                <pt idx="63">
                  <v>38930</v>
                </pt>
                <pt idx="64">
                  <v>38961</v>
                </pt>
                <pt idx="65">
                  <v>38991</v>
                </pt>
                <pt idx="66">
                  <v>39022</v>
                </pt>
                <pt idx="67">
                  <v>39052</v>
                </pt>
                <pt idx="68">
                  <v>39083</v>
                </pt>
                <pt idx="69">
                  <v>39114</v>
                </pt>
                <pt idx="70">
                  <v>39142</v>
                </pt>
                <pt idx="71">
                  <v>39173</v>
                </pt>
                <pt idx="72">
                  <v>39203</v>
                </pt>
                <pt idx="73">
                  <v>39234</v>
                </pt>
                <pt idx="74">
                  <v>39264</v>
                </pt>
                <pt idx="75">
                  <v>39295</v>
                </pt>
                <pt idx="76">
                  <v>39326</v>
                </pt>
                <pt idx="77">
                  <v>39356</v>
                </pt>
                <pt idx="78">
                  <v>39387</v>
                </pt>
                <pt idx="79">
                  <v>39417</v>
                </pt>
                <pt idx="80">
                  <v>39448</v>
                </pt>
                <pt idx="81">
                  <v>39479</v>
                </pt>
                <pt idx="82">
                  <v>39508</v>
                </pt>
                <pt idx="83">
                  <v>39539</v>
                </pt>
                <pt idx="84">
                  <v>39569</v>
                </pt>
                <pt idx="85">
                  <v>39600</v>
                </pt>
                <pt idx="86">
                  <v>39630</v>
                </pt>
                <pt idx="87">
                  <v>39661</v>
                </pt>
                <pt idx="88">
                  <v>39692</v>
                </pt>
                <pt idx="89">
                  <v>39722</v>
                </pt>
                <pt idx="90">
                  <v>39753</v>
                </pt>
                <pt idx="91">
                  <v>39783</v>
                </pt>
                <pt idx="92">
                  <v>39814</v>
                </pt>
                <pt idx="93">
                  <v>39845</v>
                </pt>
                <pt idx="94">
                  <v>39873</v>
                </pt>
                <pt idx="95">
                  <v>39904</v>
                </pt>
                <pt idx="96">
                  <v>39934</v>
                </pt>
                <pt idx="97">
                  <v>39965</v>
                </pt>
                <pt idx="98">
                  <v>39995</v>
                </pt>
                <pt idx="99">
                  <v>40026</v>
                </pt>
                <pt idx="100">
                  <v>40057</v>
                </pt>
                <pt idx="101">
                  <v>40087</v>
                </pt>
                <pt idx="102">
                  <v>40118</v>
                </pt>
                <pt idx="103">
                  <v>40148</v>
                </pt>
                <pt idx="104">
                  <v>40179</v>
                </pt>
                <pt idx="105">
                  <v>40210</v>
                </pt>
                <pt idx="106">
                  <v>40238</v>
                </pt>
                <pt idx="107">
                  <v>40269</v>
                </pt>
                <pt idx="108">
                  <v>40299</v>
                </pt>
                <pt idx="109">
                  <v>40330</v>
                </pt>
                <pt idx="110">
                  <v>40360</v>
                </pt>
                <pt idx="111">
                  <v>40391</v>
                </pt>
                <pt idx="112">
                  <v>40422</v>
                </pt>
                <pt idx="113">
                  <v>40452</v>
                </pt>
                <pt idx="114">
                  <v>40483</v>
                </pt>
                <pt idx="115">
                  <v>40513</v>
                </pt>
                <pt idx="116">
                  <v>40544</v>
                </pt>
                <pt idx="117">
                  <v>40575</v>
                </pt>
                <pt idx="118">
                  <v>40603</v>
                </pt>
                <pt idx="119">
                  <v>40634</v>
                </pt>
                <pt idx="120">
                  <v>40664</v>
                </pt>
                <pt idx="121">
                  <v>40695</v>
                </pt>
                <pt idx="122">
                  <v>40725</v>
                </pt>
                <pt idx="123">
                  <v>40756</v>
                </pt>
                <pt idx="124">
                  <v>40787</v>
                </pt>
                <pt idx="125">
                  <v>40817</v>
                </pt>
                <pt idx="126">
                  <v>40848</v>
                </pt>
                <pt idx="127">
                  <v>40878</v>
                </pt>
                <pt idx="128">
                  <v>40909</v>
                </pt>
                <pt idx="129">
                  <v>40940</v>
                </pt>
                <pt idx="130">
                  <v>40969</v>
                </pt>
                <pt idx="131">
                  <v>41000</v>
                </pt>
                <pt idx="132">
                  <v>41030</v>
                </pt>
                <pt idx="133">
                  <v>41061</v>
                </pt>
                <pt idx="134">
                  <v>41091</v>
                </pt>
                <pt idx="135">
                  <v>41122</v>
                </pt>
                <pt idx="136">
                  <v>41153</v>
                </pt>
                <pt idx="137">
                  <v>41183</v>
                </pt>
                <pt idx="138">
                  <v>41214</v>
                </pt>
                <pt idx="139">
                  <v>41244</v>
                </pt>
                <pt idx="140">
                  <v>41275</v>
                </pt>
                <pt idx="141">
                  <v>41306</v>
                </pt>
                <pt idx="142">
                  <v>41334</v>
                </pt>
                <pt idx="143">
                  <v>41365</v>
                </pt>
                <pt idx="144">
                  <v>41395</v>
                </pt>
                <pt idx="145">
                  <v>41426</v>
                </pt>
                <pt idx="146">
                  <v>41456</v>
                </pt>
                <pt idx="147">
                  <v>41487</v>
                </pt>
                <pt idx="148">
                  <v>41518</v>
                </pt>
                <pt idx="149">
                  <v>41548</v>
                </pt>
                <pt idx="150">
                  <v>41579</v>
                </pt>
                <pt idx="151">
                  <v>41609</v>
                </pt>
                <pt idx="152">
                  <v>41640</v>
                </pt>
                <pt idx="153">
                  <v>41671</v>
                </pt>
                <pt idx="154">
                  <v>41699</v>
                </pt>
                <pt idx="155">
                  <v>41730</v>
                </pt>
                <pt idx="156">
                  <v>41760</v>
                </pt>
                <pt idx="157">
                  <v>41791</v>
                </pt>
                <pt idx="158">
                  <v>41821</v>
                </pt>
                <pt idx="159">
                  <v>41852</v>
                </pt>
                <pt idx="160">
                  <v>41883</v>
                </pt>
                <pt idx="161">
                  <v>41913</v>
                </pt>
                <pt idx="162">
                  <v>41944</v>
                </pt>
                <pt idx="163">
                  <v>41974</v>
                </pt>
                <pt idx="164">
                  <v>42005</v>
                </pt>
                <pt idx="165">
                  <v>42036</v>
                </pt>
                <pt idx="166">
                  <v>42064</v>
                </pt>
                <pt idx="167">
                  <v>42095</v>
                </pt>
                <pt idx="168">
                  <v>42125</v>
                </pt>
                <pt idx="169">
                  <v>42156</v>
                </pt>
                <pt idx="170">
                  <v>42186</v>
                </pt>
                <pt idx="171">
                  <v>42217</v>
                </pt>
                <pt idx="172">
                  <v>42248</v>
                </pt>
                <pt idx="173">
                  <v>42278</v>
                </pt>
                <pt idx="174">
                  <v>42309</v>
                </pt>
                <pt idx="175">
                  <v>42339</v>
                </pt>
                <pt idx="176">
                  <v>42370</v>
                </pt>
                <pt idx="177">
                  <v>42401</v>
                </pt>
                <pt idx="178">
                  <v>42430</v>
                </pt>
                <pt idx="179">
                  <v>42461</v>
                </pt>
                <pt idx="180">
                  <v>42491</v>
                </pt>
                <pt idx="181">
                  <v>42522</v>
                </pt>
                <pt idx="182">
                  <v>42552</v>
                </pt>
                <pt idx="183">
                  <v>42583</v>
                </pt>
                <pt idx="184">
                  <v>42614</v>
                </pt>
                <pt idx="185">
                  <v>42644</v>
                </pt>
                <pt idx="186">
                  <v>42675</v>
                </pt>
                <pt idx="187">
                  <v>42705</v>
                </pt>
                <pt idx="188">
                  <v>42736</v>
                </pt>
                <pt idx="189">
                  <v>42767</v>
                </pt>
                <pt idx="190">
                  <v>42795</v>
                </pt>
                <pt idx="191">
                  <v>42826</v>
                </pt>
                <pt idx="192">
                  <v>42856</v>
                </pt>
                <pt idx="193">
                  <v>42887</v>
                </pt>
                <pt idx="194">
                  <v>42917</v>
                </pt>
                <pt idx="195">
                  <v>42948</v>
                </pt>
                <pt idx="196">
                  <v>42979</v>
                </pt>
                <pt idx="197">
                  <v>43009</v>
                </pt>
                <pt idx="198">
                  <v>43040</v>
                </pt>
                <pt idx="199">
                  <v>43070</v>
                </pt>
                <pt idx="200">
                  <v>43101</v>
                </pt>
                <pt idx="201">
                  <v>43132</v>
                </pt>
                <pt idx="202">
                  <v>43160</v>
                </pt>
                <pt idx="203">
                  <v>43191</v>
                </pt>
                <pt idx="204">
                  <v>43221</v>
                </pt>
                <pt idx="205">
                  <v>43252</v>
                </pt>
                <pt idx="206">
                  <v>43282</v>
                </pt>
                <pt idx="207">
                  <v>43313</v>
                </pt>
                <pt idx="208">
                  <v>43344</v>
                </pt>
                <pt idx="209">
                  <v>43374</v>
                </pt>
                <pt idx="210">
                  <v>43405</v>
                </pt>
                <pt idx="211">
                  <v>43435</v>
                </pt>
                <pt idx="212">
                  <v>43466</v>
                </pt>
                <pt idx="213">
                  <v>43497</v>
                </pt>
                <pt idx="214">
                  <v>43525</v>
                </pt>
                <pt idx="215">
                  <v>43556</v>
                </pt>
                <pt idx="216">
                  <v>43586</v>
                </pt>
                <pt idx="217">
                  <v>43617</v>
                </pt>
                <pt idx="218">
                  <v>43647</v>
                </pt>
                <pt idx="219">
                  <v>43678</v>
                </pt>
                <pt idx="220">
                  <v>43709</v>
                </pt>
                <pt idx="221">
                  <v>43739</v>
                </pt>
                <pt idx="222">
                  <v>43770</v>
                </pt>
                <pt idx="223">
                  <v>43800</v>
                </pt>
                <pt idx="224">
                  <v>43831</v>
                </pt>
                <pt idx="225">
                  <v>43862</v>
                </pt>
                <pt idx="226">
                  <v>43891</v>
                </pt>
                <pt idx="227">
                  <v>43922</v>
                </pt>
                <pt idx="228">
                  <v>43952</v>
                </pt>
                <pt idx="229">
                  <v>43983</v>
                </pt>
                <pt idx="230">
                  <v>44013</v>
                </pt>
                <pt idx="231">
                  <v>44044</v>
                </pt>
                <pt idx="232">
                  <v>44075</v>
                </pt>
                <pt idx="233">
                  <v>44105</v>
                </pt>
                <pt idx="234">
                  <v>44136</v>
                </pt>
                <pt idx="235">
                  <v>44166</v>
                </pt>
                <pt idx="236">
                  <v>44197</v>
                </pt>
                <pt idx="237">
                  <v>44228</v>
                </pt>
                <pt idx="238">
                  <v>44256</v>
                </pt>
                <pt idx="239">
                  <v>44287</v>
                </pt>
                <pt idx="240">
                  <v>44317</v>
                </pt>
                <pt idx="241">
                  <v>44348</v>
                </pt>
                <pt idx="242">
                  <v>44378</v>
                </pt>
                <pt idx="243">
                  <v>44409</v>
                </pt>
              </numCache>
            </numRef>
          </cat>
          <val>
            <numRef>
              <f>ADP!$C$6:$C$249</f>
              <numCache>
                <formatCode>0.00</formatCode>
                <ptCount val="244"/>
                <pt idx="0">
                  <v>-53</v>
                </pt>
                <pt idx="1">
                  <v>-111</v>
                </pt>
                <pt idx="2">
                  <v>-122</v>
                </pt>
                <pt idx="3">
                  <v>-149</v>
                </pt>
                <pt idx="4">
                  <v>-257</v>
                </pt>
                <pt idx="5">
                  <v>-317</v>
                </pt>
                <pt idx="6">
                  <v>-312</v>
                </pt>
                <pt idx="7">
                  <v>-160</v>
                </pt>
                <pt idx="8">
                  <v>-130</v>
                </pt>
                <pt idx="9">
                  <v>-116</v>
                </pt>
                <pt idx="10">
                  <v>-19</v>
                </pt>
                <pt idx="11">
                  <v>-94</v>
                </pt>
                <pt idx="12">
                  <v>11</v>
                </pt>
                <pt idx="13">
                  <v>50</v>
                </pt>
                <pt idx="14">
                  <v>-94</v>
                </pt>
                <pt idx="15">
                  <v>-3</v>
                </pt>
                <pt idx="16">
                  <v>-86</v>
                </pt>
                <pt idx="17">
                  <v>127</v>
                </pt>
                <pt idx="18">
                  <v>-13</v>
                </pt>
                <pt idx="19">
                  <v>-143</v>
                </pt>
                <pt idx="20">
                  <v>108</v>
                </pt>
                <pt idx="21">
                  <v>-136</v>
                </pt>
                <pt idx="22">
                  <v>-212</v>
                </pt>
                <pt idx="23">
                  <v>-55</v>
                </pt>
                <pt idx="24">
                  <v>19</v>
                </pt>
                <pt idx="25">
                  <v>-2</v>
                </pt>
                <pt idx="26">
                  <v>-3</v>
                </pt>
                <pt idx="27">
                  <v>-42</v>
                </pt>
                <pt idx="28">
                  <v>105</v>
                </pt>
                <pt idx="29">
                  <v>200</v>
                </pt>
                <pt idx="30">
                  <v>20</v>
                </pt>
                <pt idx="31">
                  <v>114</v>
                </pt>
                <pt idx="32">
                  <v>181</v>
                </pt>
                <pt idx="33">
                  <v>56</v>
                </pt>
                <pt idx="34">
                  <v>317</v>
                </pt>
                <pt idx="35">
                  <v>269</v>
                </pt>
                <pt idx="36">
                  <v>283</v>
                </pt>
                <pt idx="37">
                  <v>99</v>
                </pt>
                <pt idx="38">
                  <v>55</v>
                </pt>
                <pt idx="39">
                  <v>89</v>
                </pt>
                <pt idx="40">
                  <v>156</v>
                </pt>
                <pt idx="41">
                  <v>354</v>
                </pt>
                <pt idx="42">
                  <v>56</v>
                </pt>
                <pt idx="43">
                  <v>121</v>
                </pt>
                <pt idx="44">
                  <v>150</v>
                </pt>
                <pt idx="45">
                  <v>258</v>
                </pt>
                <pt idx="46">
                  <v>124</v>
                </pt>
                <pt idx="47">
                  <v>362</v>
                </pt>
                <pt idx="48">
                  <v>172</v>
                </pt>
                <pt idx="49">
                  <v>252</v>
                </pt>
                <pt idx="50">
                  <v>354</v>
                </pt>
                <pt idx="51">
                  <v>202</v>
                </pt>
                <pt idx="52">
                  <v>68</v>
                </pt>
                <pt idx="53">
                  <v>89</v>
                </pt>
                <pt idx="54">
                  <v>338</v>
                </pt>
                <pt idx="55">
                  <v>156</v>
                </pt>
                <pt idx="56">
                  <v>280</v>
                </pt>
                <pt idx="57">
                  <v>308</v>
                </pt>
                <pt idx="58">
                  <v>310</v>
                </pt>
                <pt idx="59">
                  <v>158</v>
                </pt>
                <pt idx="60">
                  <v>39</v>
                </pt>
                <pt idx="61">
                  <v>81</v>
                </pt>
                <pt idx="62">
                  <v>195</v>
                </pt>
                <pt idx="63">
                  <v>174</v>
                </pt>
                <pt idx="64">
                  <v>149</v>
                </pt>
                <pt idx="65">
                  <v>9</v>
                </pt>
                <pt idx="66">
                  <v>211</v>
                </pt>
                <pt idx="67">
                  <v>186</v>
                </pt>
                <pt idx="68">
                  <v>228</v>
                </pt>
                <pt idx="69">
                  <v>81</v>
                </pt>
                <pt idx="70">
                  <v>235</v>
                </pt>
                <pt idx="71">
                  <v>49</v>
                </pt>
                <pt idx="72">
                  <v>151</v>
                </pt>
                <pt idx="73">
                  <v>76</v>
                </pt>
                <pt idx="74">
                  <v>-31</v>
                </pt>
                <pt idx="75">
                  <v>-23</v>
                </pt>
                <pt idx="76">
                  <v>80</v>
                </pt>
                <pt idx="77">
                  <v>79</v>
                </pt>
                <pt idx="78">
                  <v>110</v>
                </pt>
                <pt idx="79">
                  <v>108</v>
                </pt>
                <pt idx="80">
                  <v>11</v>
                </pt>
                <pt idx="81">
                  <v>-79</v>
                </pt>
                <pt idx="82">
                  <v>-49</v>
                </pt>
                <pt idx="83">
                  <v>-240</v>
                </pt>
                <pt idx="84">
                  <v>-177</v>
                </pt>
                <pt idx="85">
                  <v>-171</v>
                </pt>
                <pt idx="86">
                  <v>-196</v>
                </pt>
                <pt idx="87">
                  <v>-278</v>
                </pt>
                <pt idx="88">
                  <v>-460</v>
                </pt>
                <pt idx="89">
                  <v>-481</v>
                </pt>
                <pt idx="90">
                  <v>-727</v>
                </pt>
                <pt idx="91">
                  <v>-706</v>
                </pt>
                <pt idx="92">
                  <v>-784</v>
                </pt>
                <pt idx="93">
                  <v>-743</v>
                </pt>
                <pt idx="94">
                  <v>-800</v>
                </pt>
                <pt idx="95">
                  <v>-695</v>
                </pt>
                <pt idx="96">
                  <v>-342</v>
                </pt>
                <pt idx="97">
                  <v>-467</v>
                </pt>
                <pt idx="98">
                  <v>-340</v>
                </pt>
                <pt idx="99">
                  <v>-183</v>
                </pt>
                <pt idx="100">
                  <v>-241</v>
                </pt>
                <pt idx="101">
                  <v>-199</v>
                </pt>
                <pt idx="102">
                  <v>12</v>
                </pt>
                <pt idx="103">
                  <v>-269</v>
                </pt>
                <pt idx="104">
                  <v>2</v>
                </pt>
                <pt idx="105">
                  <v>-92</v>
                </pt>
                <pt idx="106">
                  <v>181</v>
                </pt>
                <pt idx="107">
                  <v>231</v>
                </pt>
                <pt idx="108">
                  <v>540</v>
                </pt>
                <pt idx="109">
                  <v>-139</v>
                </pt>
                <pt idx="110">
                  <v>-84</v>
                </pt>
                <pt idx="111">
                  <v>-5</v>
                </pt>
                <pt idx="112">
                  <v>-65</v>
                </pt>
                <pt idx="113">
                  <v>268</v>
                </pt>
                <pt idx="114">
                  <v>125</v>
                </pt>
                <pt idx="115">
                  <v>72</v>
                </pt>
                <pt idx="116">
                  <v>19</v>
                </pt>
                <pt idx="117">
                  <v>212</v>
                </pt>
                <pt idx="118">
                  <v>235</v>
                </pt>
                <pt idx="119">
                  <v>314</v>
                </pt>
                <pt idx="120">
                  <v>101</v>
                </pt>
                <pt idx="121">
                  <v>236</v>
                </pt>
                <pt idx="122">
                  <v>60</v>
                </pt>
                <pt idx="123">
                  <v>126</v>
                </pt>
                <pt idx="124">
                  <v>233</v>
                </pt>
                <pt idx="125">
                  <v>204</v>
                </pt>
                <pt idx="126">
                  <v>132</v>
                </pt>
                <pt idx="127">
                  <v>202</v>
                </pt>
                <pt idx="128">
                  <v>354</v>
                </pt>
                <pt idx="129">
                  <v>262</v>
                </pt>
                <pt idx="130">
                  <v>240</v>
                </pt>
                <pt idx="131">
                  <v>82</v>
                </pt>
                <pt idx="132">
                  <v>100</v>
                </pt>
                <pt idx="133">
                  <v>73</v>
                </pt>
                <pt idx="134">
                  <v>152</v>
                </pt>
                <pt idx="135">
                  <v>172</v>
                </pt>
                <pt idx="136">
                  <v>187</v>
                </pt>
                <pt idx="137">
                  <v>159</v>
                </pt>
                <pt idx="138">
                  <v>156</v>
                </pt>
                <pt idx="139">
                  <v>239</v>
                </pt>
                <pt idx="140">
                  <v>191</v>
                </pt>
                <pt idx="141">
                  <v>278</v>
                </pt>
                <pt idx="142">
                  <v>139</v>
                </pt>
                <pt idx="143">
                  <v>191</v>
                </pt>
                <pt idx="144">
                  <v>222</v>
                </pt>
                <pt idx="145">
                  <v>181</v>
                </pt>
                <pt idx="146">
                  <v>112</v>
                </pt>
                <pt idx="147">
                  <v>242</v>
                </pt>
                <pt idx="148">
                  <v>187</v>
                </pt>
                <pt idx="149">
                  <v>225</v>
                </pt>
                <pt idx="150">
                  <v>264</v>
                </pt>
                <pt idx="151">
                  <v>69</v>
                </pt>
                <pt idx="152">
                  <v>175</v>
                </pt>
                <pt idx="153">
                  <v>166</v>
                </pt>
                <pt idx="154">
                  <v>254</v>
                </pt>
                <pt idx="155">
                  <v>325</v>
                </pt>
                <pt idx="156">
                  <v>218</v>
                </pt>
                <pt idx="157">
                  <v>326</v>
                </pt>
                <pt idx="158">
                  <v>232</v>
                </pt>
                <pt idx="159">
                  <v>188</v>
                </pt>
                <pt idx="160">
                  <v>309</v>
                </pt>
                <pt idx="161">
                  <v>252</v>
                </pt>
                <pt idx="162">
                  <v>291</v>
                </pt>
                <pt idx="163">
                  <v>268</v>
                </pt>
                <pt idx="164">
                  <v>191</v>
                </pt>
                <pt idx="165">
                  <v>271</v>
                </pt>
                <pt idx="166">
                  <v>71</v>
                </pt>
                <pt idx="167">
                  <v>284</v>
                </pt>
                <pt idx="168">
                  <v>331</v>
                </pt>
                <pt idx="169">
                  <v>174</v>
                </pt>
                <pt idx="170">
                  <v>302</v>
                </pt>
                <pt idx="171">
                  <v>125</v>
                </pt>
                <pt idx="172">
                  <v>155</v>
                </pt>
                <pt idx="173">
                  <v>306</v>
                </pt>
                <pt idx="174">
                  <v>237</v>
                </pt>
                <pt idx="175">
                  <v>273</v>
                </pt>
                <pt idx="176">
                  <v>108</v>
                </pt>
                <pt idx="177">
                  <v>212</v>
                </pt>
                <pt idx="178">
                  <v>237</v>
                </pt>
                <pt idx="179">
                  <v>197</v>
                </pt>
                <pt idx="180">
                  <v>41</v>
                </pt>
                <pt idx="181">
                  <v>258</v>
                </pt>
                <pt idx="182">
                  <v>371</v>
                </pt>
                <pt idx="183">
                  <v>143</v>
                </pt>
                <pt idx="184">
                  <v>289</v>
                </pt>
                <pt idx="185">
                  <v>118</v>
                </pt>
                <pt idx="186">
                  <v>130</v>
                </pt>
                <pt idx="187">
                  <v>214</v>
                </pt>
                <pt idx="188">
                  <v>197</v>
                </pt>
                <pt idx="189">
                  <v>183</v>
                </pt>
                <pt idx="190">
                  <v>139</v>
                </pt>
                <pt idx="191">
                  <v>220</v>
                </pt>
                <pt idx="192">
                  <v>141</v>
                </pt>
                <pt idx="193">
                  <v>211</v>
                </pt>
                <pt idx="194">
                  <v>228</v>
                </pt>
                <pt idx="195">
                  <v>190</v>
                </pt>
                <pt idx="196">
                  <v>42</v>
                </pt>
                <pt idx="197">
                  <v>249</v>
                </pt>
                <pt idx="198">
                  <v>196</v>
                </pt>
                <pt idx="199">
                  <v>179</v>
                </pt>
                <pt idx="200">
                  <v>81</v>
                </pt>
                <pt idx="201">
                  <v>378</v>
                </pt>
                <pt idx="202">
                  <v>195</v>
                </pt>
                <pt idx="203">
                  <v>153</v>
                </pt>
                <pt idx="204">
                  <v>270</v>
                </pt>
                <pt idx="205">
                  <v>214</v>
                </pt>
                <pt idx="206">
                  <v>149</v>
                </pt>
                <pt idx="207">
                  <v>229</v>
                </pt>
                <pt idx="208">
                  <v>105</v>
                </pt>
                <pt idx="209">
                  <v>212</v>
                </pt>
                <pt idx="210">
                  <v>92</v>
                </pt>
                <pt idx="211">
                  <v>240</v>
                </pt>
                <pt idx="212">
                  <v>237</v>
                </pt>
                <pt idx="213">
                  <v>-50</v>
                </pt>
                <pt idx="214">
                  <v>168</v>
                </pt>
                <pt idx="215">
                  <v>219</v>
                </pt>
                <pt idx="216">
                  <v>63</v>
                </pt>
                <pt idx="217">
                  <v>175</v>
                </pt>
                <pt idx="218">
                  <v>193</v>
                </pt>
                <pt idx="219">
                  <v>195</v>
                </pt>
                <pt idx="220">
                  <v>221</v>
                </pt>
                <pt idx="221">
                  <v>195</v>
                </pt>
                <pt idx="222">
                  <v>234</v>
                </pt>
                <pt idx="223">
                  <v>161</v>
                </pt>
                <pt idx="224">
                  <v>315</v>
                </pt>
                <pt idx="225">
                  <v>289</v>
                </pt>
                <pt idx="226">
                  <v>-1683</v>
                </pt>
                <pt idx="227">
                  <v>-20679</v>
                </pt>
                <pt idx="228">
                  <v>2833</v>
                </pt>
                <pt idx="229">
                  <v>4846</v>
                </pt>
                <pt idx="230">
                  <v>1726</v>
                </pt>
                <pt idx="231">
                  <v>1583</v>
                </pt>
                <pt idx="232">
                  <v>716</v>
                </pt>
                <pt idx="233">
                  <v>680</v>
                </pt>
                <pt idx="234">
                  <v>264</v>
                </pt>
                <pt idx="235">
                  <v>-306</v>
                </pt>
                <pt idx="236">
                  <v>233</v>
                </pt>
                <pt idx="237">
                  <v>536</v>
                </pt>
                <pt idx="238">
                  <v>785</v>
                </pt>
                <pt idx="239">
                  <v>269</v>
                </pt>
                <pt idx="240">
                  <v>614</v>
                </pt>
                <pt idx="241">
                  <v>962</v>
                </pt>
                <pt idx="242">
                  <v>1091</v>
                </pt>
                <pt idx="243">
                  <v>483</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s>
</file>

<file path=xl/drawings/_rels/drawing4.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 Type="http://schemas.openxmlformats.org/officeDocument/2006/relationships/chart" Target="/xl/charts/chart8.xml" Id="rId3"/><Relationship Type="http://schemas.openxmlformats.org/officeDocument/2006/relationships/chart" Target="/xl/charts/chart9.xml" Id="rId4"/><Relationship Type="http://schemas.openxmlformats.org/officeDocument/2006/relationships/chart" Target="/xl/charts/chart10.xml" Id="rId5"/><Relationship Type="http://schemas.openxmlformats.org/officeDocument/2006/relationships/chart" Target="/xl/charts/chart11.xml" Id="rId6"/></Relationships>
</file>

<file path=xl/drawings/_rels/drawing5.xml.rels><Relationships xmlns="http://schemas.openxmlformats.org/package/2006/relationships"><Relationship Type="http://schemas.openxmlformats.org/officeDocument/2006/relationships/chart" Target="/xl/charts/chart12.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8</col>
      <colOff>9525</colOff>
      <row>938</row>
      <rowOff>9524</rowOff>
    </from>
    <to>
      <col>19</col>
      <colOff>600075</colOff>
      <row>958</row>
      <rowOff>190499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21</col>
      <colOff>1</colOff>
      <row>937</row>
      <rowOff>190499</rowOff>
    </from>
    <to>
      <col>33</col>
      <colOff>9525</colOff>
      <row>958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542924</colOff>
      <row>957</row>
      <rowOff>95250</rowOff>
    </from>
    <to>
      <col>16</col>
      <colOff>380999</colOff>
      <row>974</row>
      <rowOff>152400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6</col>
      <colOff>314324</colOff>
      <row>2748</row>
      <rowOff>123824</rowOff>
    </from>
    <to>
      <col>15</col>
      <colOff>514349</colOff>
      <row>2768</row>
      <rowOff>114299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5</col>
      <colOff>380999</colOff>
      <row>196</row>
      <rowOff>152399</rowOff>
    </from>
    <to>
      <col>16</col>
      <colOff>466725</colOff>
      <row>219</row>
      <rowOff>66674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3" headerRowCount="1" totalsRowShown="0" headerRowDxfId="21" dataDxfId="20">
  <autoFilter ref="A11:F1003"/>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49" headerRowCount="1" totalsRowShown="0" headerRowDxfId="6" dataDxfId="5">
  <autoFilter ref="A5:C249"/>
  <tableColumns count="3">
    <tableColumn id="1" name="Date" dataDxfId="4"/>
    <tableColumn id="4" name="ADP " dataDxfId="3"/>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8.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workbookViewId="0">
      <selection activeCell="G14" sqref="G14:J14"/>
    </sheetView>
  </sheetViews>
  <sheetFormatPr baseColWidth="10" defaultColWidth="9.1640625" defaultRowHeight="15"/>
  <cols>
    <col width="14.5" customWidth="1" style="70" min="1" max="1"/>
    <col width="12.83203125" customWidth="1" style="70" min="2" max="10"/>
    <col width="3.6640625" customWidth="1" style="70" min="11" max="13"/>
    <col width="14" customWidth="1" style="70" min="14" max="15"/>
    <col width="11" customWidth="1" style="70" min="16" max="19"/>
    <col width="9.1640625" customWidth="1" style="70" min="20" max="29"/>
    <col width="9.1640625" customWidth="1" style="70" min="30" max="16384"/>
  </cols>
  <sheetData>
    <row r="1">
      <c r="B1" s="69" t="n"/>
    </row>
    <row r="2" ht="16" customHeight="1" s="50" thickBot="1">
      <c r="B2" s="71" t="n"/>
      <c r="C2" s="71" t="n"/>
      <c r="D2" s="71" t="n"/>
      <c r="E2" s="71" t="n"/>
      <c r="F2" s="71" t="n"/>
      <c r="G2" s="71" t="n"/>
      <c r="H2" s="71" t="n"/>
      <c r="I2" s="71" t="n"/>
      <c r="J2" s="71" t="n"/>
    </row>
    <row r="3" ht="16" customHeight="1" s="50" thickBot="1">
      <c r="B3" s="72" t="inlineStr">
        <is>
          <t>Job Market</t>
        </is>
      </c>
      <c r="C3" s="73" t="n"/>
      <c r="D3" s="73" t="n"/>
      <c r="E3" s="73" t="n"/>
      <c r="F3" s="73" t="n"/>
      <c r="G3" s="73" t="n"/>
      <c r="H3" s="73" t="n"/>
      <c r="I3" s="73" t="n"/>
      <c r="J3" s="74" t="n"/>
    </row>
    <row r="5">
      <c r="B5" s="75" t="inlineStr">
        <is>
          <t>Definition</t>
        </is>
      </c>
      <c r="C5" s="76" t="n"/>
      <c r="D5" s="76" t="n"/>
      <c r="E5" s="76" t="n"/>
      <c r="F5" s="76" t="n"/>
      <c r="G5" s="76" t="n"/>
      <c r="H5" s="76" t="n"/>
      <c r="I5" s="76" t="n"/>
      <c r="J5" s="66" t="n"/>
    </row>
    <row r="7" ht="237.75" customHeight="1" s="50">
      <c r="B7" s="77"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4" t="n"/>
      <c r="C8" s="34" t="n"/>
      <c r="D8" s="34" t="n"/>
      <c r="E8" s="34" t="n"/>
    </row>
    <row r="9">
      <c r="B9" s="75" t="inlineStr">
        <is>
          <t>Process / TO DO LIST</t>
        </is>
      </c>
      <c r="C9" s="76" t="n"/>
      <c r="D9" s="76" t="n"/>
      <c r="E9" s="76" t="n"/>
      <c r="F9" s="76" t="n"/>
      <c r="G9" s="76" t="n"/>
      <c r="H9" s="76" t="n"/>
      <c r="I9" s="76" t="n"/>
      <c r="J9" s="66" t="n"/>
      <c r="N9" s="75" t="inlineStr">
        <is>
          <t>Summary</t>
        </is>
      </c>
      <c r="O9" s="76" t="n"/>
      <c r="P9" s="76" t="n"/>
      <c r="Q9" s="76" t="n"/>
      <c r="R9" s="76" t="n"/>
      <c r="S9" s="66" t="n"/>
    </row>
    <row r="11">
      <c r="B11" s="75" t="inlineStr">
        <is>
          <t>TO DO LIST</t>
        </is>
      </c>
      <c r="C11" s="76" t="n"/>
      <c r="D11" s="76" t="n"/>
      <c r="E11" s="76" t="n"/>
      <c r="F11" s="66" t="n"/>
      <c r="G11" s="75" t="inlineStr">
        <is>
          <t>Comments</t>
        </is>
      </c>
      <c r="H11" s="76" t="n"/>
      <c r="I11" s="76" t="n"/>
      <c r="J11" s="66" t="n"/>
    </row>
    <row r="13" ht="16" customHeight="1" s="50" thickBot="1">
      <c r="B13" s="70" t="inlineStr">
        <is>
          <t>Database</t>
        </is>
      </c>
      <c r="G13" s="70" t="inlineStr">
        <is>
          <t>U.S. Job Market</t>
        </is>
      </c>
    </row>
    <row r="14">
      <c r="B14" s="70" t="inlineStr">
        <is>
          <t>Create data on Fred</t>
        </is>
      </c>
      <c r="G14" s="70" t="n"/>
      <c r="P14" s="37" t="n">
        <v>44409</v>
      </c>
      <c r="Q14" s="38">
        <f>DATE(YEAR(P14),MONTH(P14)-1,DAY(P14))</f>
        <v/>
      </c>
      <c r="R14" s="39" t="n"/>
    </row>
    <row r="15" ht="16" customHeight="1" s="50" thickBot="1">
      <c r="B15" s="70" t="inlineStr">
        <is>
          <t>https://research.stlouisfed.org/useraccount/datalists</t>
        </is>
      </c>
      <c r="G15" s="70" t="n"/>
      <c r="P15" s="40" t="inlineStr">
        <is>
          <t>Last</t>
        </is>
      </c>
      <c r="Q15" s="40" t="inlineStr">
        <is>
          <t>Last</t>
        </is>
      </c>
      <c r="R15" s="41" t="inlineStr">
        <is>
          <t>Var.</t>
        </is>
      </c>
    </row>
    <row r="16">
      <c r="B16" s="4" t="inlineStr">
        <is>
          <t>CIVPART</t>
        </is>
      </c>
      <c r="G16" s="70" t="inlineStr">
        <is>
          <t>Civilian Labor Force Participation Rate</t>
        </is>
      </c>
      <c r="N16" s="63" t="inlineStr">
        <is>
          <t>NFP</t>
        </is>
      </c>
      <c r="O16" s="64" t="n"/>
      <c r="P16" s="42">
        <f>VLOOKUP($P$14,Database!A:D,MATCH(Note!S16,Database!A1:D1,),)</f>
        <v/>
      </c>
      <c r="Q16" s="42">
        <f>VLOOKUP($Q$14,Database!A:D,MATCH(Note!S16,Database!A1:D1,),)</f>
        <v/>
      </c>
      <c r="R16" s="45">
        <f>P16-Q16</f>
        <v/>
      </c>
      <c r="S16" s="43" t="inlineStr">
        <is>
          <t>PAYEMS</t>
        </is>
      </c>
    </row>
    <row r="17">
      <c r="B17" s="4" t="inlineStr">
        <is>
          <t>PAYEMS</t>
        </is>
      </c>
      <c r="G17" s="70" t="inlineStr">
        <is>
          <t>All Employees: Total Nonfarm Payrolls</t>
        </is>
      </c>
      <c r="N17" s="65" t="inlineStr">
        <is>
          <t>Unemployment Rate</t>
        </is>
      </c>
      <c r="O17" s="66" t="n"/>
      <c r="P17" s="51">
        <f>VLOOKUP($P$14,Database!A:D,MATCH(Note!S17,Database!A1:D1,),)</f>
        <v/>
      </c>
      <c r="Q17" s="51">
        <f>VLOOKUP($Q$14,Database!A:D,MATCH(Note!S17,Database!A1:D1,),)</f>
        <v/>
      </c>
      <c r="R17" s="52">
        <f>P17-Q17</f>
        <v/>
      </c>
      <c r="S17" s="44" t="inlineStr">
        <is>
          <t>UNRATE</t>
        </is>
      </c>
    </row>
    <row r="18" ht="16" customHeight="1" s="50" thickBot="1">
      <c r="B18" s="4" t="inlineStr">
        <is>
          <t>UNRATE</t>
        </is>
      </c>
      <c r="G18" s="70" t="inlineStr">
        <is>
          <t>Civilian Unemployment Rate</t>
        </is>
      </c>
      <c r="N18" s="67" t="inlineStr">
        <is>
          <t>Participation Rate</t>
        </is>
      </c>
      <c r="O18" s="68" t="n"/>
      <c r="P18" s="53">
        <f>VLOOKUP($P$14,Database!A:D,MATCH(Note!S18,Database!A1:D1,),)</f>
        <v/>
      </c>
      <c r="Q18" s="53">
        <f>VLOOKUP($Q$14,Database!A:D,MATCH(Note!S18,Database!A1:D1,),)</f>
        <v/>
      </c>
      <c r="R18" s="54">
        <f>P18-Q18</f>
        <v/>
      </c>
      <c r="S18" s="46" t="inlineStr">
        <is>
          <t>CIVPART</t>
        </is>
      </c>
    </row>
    <row r="19">
      <c r="B19" s="4" t="inlineStr">
        <is>
          <t>CCSA</t>
        </is>
      </c>
      <c r="G19" s="70" t="inlineStr">
        <is>
          <t>Continued Claims (Insured Unemployment)</t>
        </is>
      </c>
    </row>
    <row r="20">
      <c r="B20" s="2" t="inlineStr">
        <is>
          <t>ICSA</t>
        </is>
      </c>
      <c r="G20" s="70" t="inlineStr">
        <is>
          <t>Initial Claims</t>
        </is>
      </c>
    </row>
    <row r="21">
      <c r="B21" s="70" t="inlineStr">
        <is>
          <t>Copy Monthly in Database A:C</t>
        </is>
      </c>
      <c r="G21" s="70" t="n"/>
    </row>
    <row r="22">
      <c r="B22" s="70" t="inlineStr">
        <is>
          <t>Copy Weekly, Ending Saturday in Database F:H</t>
        </is>
      </c>
    </row>
    <row r="24" ht="33" customHeight="1" s="50">
      <c r="B24" s="77" t="inlineStr">
        <is>
          <t>https://data.oecd.org/unemp/harmonised-unemployment-rate-hur.htm#indicator-chart</t>
        </is>
      </c>
      <c r="G24" s="70" t="inlineStr">
        <is>
          <t>World Job data</t>
        </is>
      </c>
    </row>
    <row r="25">
      <c r="B25" s="70" t="inlineStr">
        <is>
          <t>Table</t>
        </is>
      </c>
    </row>
    <row r="26">
      <c r="B26" s="70" t="inlineStr">
        <is>
          <t>monthly</t>
        </is>
      </c>
    </row>
    <row r="27">
      <c r="B27" s="70" t="inlineStr">
        <is>
          <t>from beginning</t>
        </is>
      </c>
    </row>
    <row r="28">
      <c r="B28" s="70" t="inlineStr">
        <is>
          <t>download</t>
        </is>
      </c>
      <c r="G28" s="70" t="n"/>
    </row>
    <row r="30">
      <c r="B30" t="inlineStr">
        <is>
          <t>https://tradingeconomics.com/country-list/unemployment-rate</t>
        </is>
      </c>
      <c r="G30" s="70" t="inlineStr">
        <is>
          <t>Other data</t>
        </is>
      </c>
    </row>
    <row r="31">
      <c r="G31" s="70" t="n"/>
    </row>
    <row r="32">
      <c r="B32" s="35" t="n"/>
    </row>
    <row r="33" ht="30" customHeight="1" s="50">
      <c r="B33" s="77" t="n"/>
    </row>
    <row r="34">
      <c r="B34" s="36"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6"/>
  <sheetViews>
    <sheetView workbookViewId="0">
      <pane ySplit="1" topLeftCell="A930" activePane="bottomLeft" state="frozen"/>
      <selection pane="bottomLeft" activeCell="L124" sqref="L124"/>
    </sheetView>
  </sheetViews>
  <sheetFormatPr baseColWidth="10" defaultColWidth="8.83203125" defaultRowHeight="15"/>
  <cols>
    <col width="12.6640625" customWidth="1" style="50" min="1" max="1"/>
    <col width="7.6640625" customWidth="1" style="50" min="2" max="2"/>
    <col width="9.6640625" customWidth="1" style="50" min="3" max="3"/>
    <col width="7.6640625" customWidth="1" style="50" min="4" max="4"/>
  </cols>
  <sheetData>
    <row r="1">
      <c r="A1" t="inlineStr">
        <is>
          <t>DATE</t>
        </is>
      </c>
      <c r="B1" t="inlineStr">
        <is>
          <t>CIVPART</t>
        </is>
      </c>
      <c r="C1" t="inlineStr">
        <is>
          <t>PAYEMS</t>
        </is>
      </c>
      <c r="D1" t="inlineStr">
        <is>
          <t>UNRATE</t>
        </is>
      </c>
    </row>
    <row r="2">
      <c r="A2" s="62" t="n">
        <v>14246</v>
      </c>
      <c r="C2" t="n">
        <v>29923</v>
      </c>
    </row>
    <row r="3">
      <c r="A3" s="62" t="n">
        <v>14277</v>
      </c>
      <c r="C3" t="n">
        <v>30100</v>
      </c>
    </row>
    <row r="4">
      <c r="A4" s="62" t="n">
        <v>14305</v>
      </c>
      <c r="C4" t="n">
        <v>30280</v>
      </c>
    </row>
    <row r="5">
      <c r="A5" s="62" t="n">
        <v>14336</v>
      </c>
      <c r="C5" t="n">
        <v>30094</v>
      </c>
    </row>
    <row r="6">
      <c r="A6" s="62" t="n">
        <v>14366</v>
      </c>
      <c r="C6" t="n">
        <v>30299</v>
      </c>
    </row>
    <row r="7">
      <c r="A7" s="62" t="n">
        <v>14397</v>
      </c>
      <c r="C7" t="n">
        <v>30502</v>
      </c>
    </row>
    <row r="8">
      <c r="A8" s="62" t="n">
        <v>14427</v>
      </c>
      <c r="C8" t="n">
        <v>30419</v>
      </c>
    </row>
    <row r="9">
      <c r="A9" s="62" t="n">
        <v>14458</v>
      </c>
      <c r="C9" t="n">
        <v>30663</v>
      </c>
    </row>
    <row r="10">
      <c r="A10" s="62" t="n">
        <v>14489</v>
      </c>
      <c r="C10" t="n">
        <v>31031</v>
      </c>
    </row>
    <row r="11">
      <c r="A11" s="62" t="n">
        <v>14519</v>
      </c>
      <c r="C11" t="n">
        <v>31411</v>
      </c>
    </row>
    <row r="12">
      <c r="A12" s="62" t="n">
        <v>14550</v>
      </c>
      <c r="C12" t="n">
        <v>31470</v>
      </c>
    </row>
    <row r="13">
      <c r="A13" s="62" t="n">
        <v>14580</v>
      </c>
      <c r="C13" t="n">
        <v>31542</v>
      </c>
    </row>
    <row r="14">
      <c r="A14" s="62" t="n">
        <v>14611</v>
      </c>
      <c r="C14" t="n">
        <v>31603</v>
      </c>
    </row>
    <row r="15">
      <c r="A15" s="62" t="n">
        <v>14642</v>
      </c>
      <c r="C15" t="n">
        <v>31715</v>
      </c>
    </row>
    <row r="16">
      <c r="A16" s="62" t="n">
        <v>14671</v>
      </c>
      <c r="C16" t="n">
        <v>31825</v>
      </c>
    </row>
    <row r="17">
      <c r="A17" s="62" t="n">
        <v>14702</v>
      </c>
      <c r="C17" t="n">
        <v>31701</v>
      </c>
    </row>
    <row r="18">
      <c r="A18" s="62" t="n">
        <v>14732</v>
      </c>
      <c r="C18" t="n">
        <v>31879</v>
      </c>
    </row>
    <row r="19">
      <c r="A19" s="62" t="n">
        <v>14763</v>
      </c>
      <c r="C19" t="n">
        <v>31977</v>
      </c>
    </row>
    <row r="20">
      <c r="A20" s="62" t="n">
        <v>14793</v>
      </c>
      <c r="C20" t="n">
        <v>31942</v>
      </c>
    </row>
    <row r="21">
      <c r="A21" s="62" t="n">
        <v>14824</v>
      </c>
      <c r="C21" t="n">
        <v>32352</v>
      </c>
    </row>
    <row r="22">
      <c r="A22" s="62" t="n">
        <v>14855</v>
      </c>
      <c r="C22" t="n">
        <v>32810</v>
      </c>
    </row>
    <row r="23">
      <c r="A23" s="62" t="n">
        <v>14885</v>
      </c>
      <c r="C23" t="n">
        <v>33267</v>
      </c>
    </row>
    <row r="24">
      <c r="A24" s="62" t="n">
        <v>14916</v>
      </c>
      <c r="C24" t="n">
        <v>33669</v>
      </c>
    </row>
    <row r="25">
      <c r="A25" s="62" t="n">
        <v>14946</v>
      </c>
      <c r="C25" t="n">
        <v>34174</v>
      </c>
    </row>
    <row r="26">
      <c r="A26" s="62" t="n">
        <v>14977</v>
      </c>
      <c r="C26" t="n">
        <v>34481</v>
      </c>
    </row>
    <row r="27">
      <c r="A27" s="62" t="n">
        <v>15008</v>
      </c>
      <c r="C27" t="n">
        <v>34843</v>
      </c>
    </row>
    <row r="28">
      <c r="A28" s="62" t="n">
        <v>15036</v>
      </c>
      <c r="C28" t="n">
        <v>35092</v>
      </c>
    </row>
    <row r="29">
      <c r="A29" s="62" t="n">
        <v>15067</v>
      </c>
      <c r="C29" t="n">
        <v>35468</v>
      </c>
    </row>
    <row r="30">
      <c r="A30" s="62" t="n">
        <v>15097</v>
      </c>
      <c r="C30" t="n">
        <v>36182</v>
      </c>
    </row>
    <row r="31">
      <c r="A31" s="62" t="n">
        <v>15128</v>
      </c>
      <c r="C31" t="n">
        <v>36650</v>
      </c>
    </row>
    <row r="32">
      <c r="A32" s="62" t="n">
        <v>15158</v>
      </c>
      <c r="C32" t="n">
        <v>37137</v>
      </c>
    </row>
    <row r="33">
      <c r="A33" s="62" t="n">
        <v>15189</v>
      </c>
      <c r="C33" t="n">
        <v>37544</v>
      </c>
    </row>
    <row r="34">
      <c r="A34" s="62" t="n">
        <v>15220</v>
      </c>
      <c r="C34" t="n">
        <v>37835</v>
      </c>
    </row>
    <row r="35">
      <c r="A35" s="62" t="n">
        <v>15250</v>
      </c>
      <c r="C35" t="n">
        <v>37949</v>
      </c>
    </row>
    <row r="36">
      <c r="A36" s="62" t="n">
        <v>15281</v>
      </c>
      <c r="C36" t="n">
        <v>38024</v>
      </c>
    </row>
    <row r="37">
      <c r="A37" s="62" t="n">
        <v>15311</v>
      </c>
      <c r="C37" t="n">
        <v>38104</v>
      </c>
    </row>
    <row r="38">
      <c r="A38" s="62" t="n">
        <v>15342</v>
      </c>
      <c r="C38" t="n">
        <v>38347</v>
      </c>
    </row>
    <row r="39">
      <c r="A39" s="62" t="n">
        <v>15373</v>
      </c>
      <c r="C39" t="n">
        <v>38512</v>
      </c>
    </row>
    <row r="40">
      <c r="A40" s="62" t="n">
        <v>15401</v>
      </c>
      <c r="C40" t="n">
        <v>38935</v>
      </c>
    </row>
    <row r="41">
      <c r="A41" s="62" t="n">
        <v>15432</v>
      </c>
      <c r="C41" t="n">
        <v>39352</v>
      </c>
    </row>
    <row r="42">
      <c r="A42" s="62" t="n">
        <v>15462</v>
      </c>
      <c r="C42" t="n">
        <v>39771</v>
      </c>
    </row>
    <row r="43">
      <c r="A43" s="62" t="n">
        <v>15493</v>
      </c>
      <c r="C43" t="n">
        <v>40029</v>
      </c>
    </row>
    <row r="44">
      <c r="A44" s="62" t="n">
        <v>15523</v>
      </c>
      <c r="C44" t="n">
        <v>40472</v>
      </c>
    </row>
    <row r="45">
      <c r="A45" s="62" t="n">
        <v>15554</v>
      </c>
      <c r="C45" t="n">
        <v>40988</v>
      </c>
    </row>
    <row r="46">
      <c r="A46" s="62" t="n">
        <v>15585</v>
      </c>
      <c r="C46" t="n">
        <v>41259</v>
      </c>
    </row>
    <row r="47">
      <c r="A47" s="62" t="n">
        <v>15615</v>
      </c>
      <c r="C47" t="n">
        <v>41515</v>
      </c>
    </row>
    <row r="48">
      <c r="A48" s="62" t="n">
        <v>15646</v>
      </c>
      <c r="C48" t="n">
        <v>41674</v>
      </c>
    </row>
    <row r="49">
      <c r="A49" s="62" t="n">
        <v>15676</v>
      </c>
      <c r="C49" t="n">
        <v>41915</v>
      </c>
    </row>
    <row r="50">
      <c r="A50" s="62" t="n">
        <v>15707</v>
      </c>
      <c r="C50" t="n">
        <v>42172</v>
      </c>
    </row>
    <row r="51">
      <c r="A51" s="62" t="n">
        <v>15738</v>
      </c>
      <c r="C51" t="n">
        <v>42393</v>
      </c>
    </row>
    <row r="52">
      <c r="A52" s="62" t="n">
        <v>15766</v>
      </c>
      <c r="C52" t="n">
        <v>42552</v>
      </c>
    </row>
    <row r="53">
      <c r="A53" s="62" t="n">
        <v>15797</v>
      </c>
      <c r="C53" t="n">
        <v>42647</v>
      </c>
    </row>
    <row r="54">
      <c r="A54" s="62" t="n">
        <v>15827</v>
      </c>
      <c r="C54" t="n">
        <v>42596</v>
      </c>
    </row>
    <row r="55">
      <c r="A55" s="62" t="n">
        <v>15858</v>
      </c>
      <c r="C55" t="n">
        <v>42781</v>
      </c>
    </row>
    <row r="56">
      <c r="A56" s="62" t="n">
        <v>15888</v>
      </c>
      <c r="C56" t="n">
        <v>42700</v>
      </c>
    </row>
    <row r="57">
      <c r="A57" s="62" t="n">
        <v>15919</v>
      </c>
      <c r="C57" t="n">
        <v>42546</v>
      </c>
    </row>
    <row r="58">
      <c r="A58" s="62" t="n">
        <v>15950</v>
      </c>
      <c r="C58" t="n">
        <v>42492</v>
      </c>
    </row>
    <row r="59">
      <c r="A59" s="62" t="n">
        <v>15980</v>
      </c>
      <c r="C59" t="n">
        <v>42675</v>
      </c>
    </row>
    <row r="60">
      <c r="A60" s="62" t="n">
        <v>16011</v>
      </c>
      <c r="C60" t="n">
        <v>42821</v>
      </c>
    </row>
    <row r="61">
      <c r="A61" s="62" t="n">
        <v>16041</v>
      </c>
      <c r="C61" t="n">
        <v>42746</v>
      </c>
    </row>
    <row r="62">
      <c r="A62" s="62" t="n">
        <v>16072</v>
      </c>
      <c r="C62" t="n">
        <v>42654</v>
      </c>
    </row>
    <row r="63">
      <c r="A63" s="62" t="n">
        <v>16103</v>
      </c>
      <c r="C63" t="n">
        <v>42538</v>
      </c>
    </row>
    <row r="64">
      <c r="A64" s="62" t="n">
        <v>16132</v>
      </c>
      <c r="C64" t="n">
        <v>42294</v>
      </c>
    </row>
    <row r="65">
      <c r="A65" s="62" t="n">
        <v>16163</v>
      </c>
      <c r="C65" t="n">
        <v>42063</v>
      </c>
    </row>
    <row r="66">
      <c r="A66" s="62" t="n">
        <v>16193</v>
      </c>
      <c r="C66" t="n">
        <v>41985</v>
      </c>
    </row>
    <row r="67">
      <c r="A67" s="62" t="n">
        <v>16224</v>
      </c>
      <c r="C67" t="n">
        <v>41947</v>
      </c>
    </row>
    <row r="68">
      <c r="A68" s="62" t="n">
        <v>16254</v>
      </c>
      <c r="C68" t="n">
        <v>41904</v>
      </c>
    </row>
    <row r="69">
      <c r="A69" s="62" t="n">
        <v>16285</v>
      </c>
      <c r="C69" t="n">
        <v>41850</v>
      </c>
    </row>
    <row r="70">
      <c r="A70" s="62" t="n">
        <v>16316</v>
      </c>
      <c r="C70" t="n">
        <v>41679</v>
      </c>
    </row>
    <row r="71">
      <c r="A71" s="62" t="n">
        <v>16346</v>
      </c>
      <c r="C71" t="n">
        <v>41708</v>
      </c>
    </row>
    <row r="72">
      <c r="A72" s="62" t="n">
        <v>16377</v>
      </c>
      <c r="C72" t="n">
        <v>41711</v>
      </c>
    </row>
    <row r="73">
      <c r="A73" s="62" t="n">
        <v>16407</v>
      </c>
      <c r="C73" t="n">
        <v>41860</v>
      </c>
    </row>
    <row r="74">
      <c r="A74" s="62" t="n">
        <v>16438</v>
      </c>
      <c r="C74" t="n">
        <v>41895</v>
      </c>
    </row>
    <row r="75">
      <c r="A75" s="62" t="n">
        <v>16469</v>
      </c>
      <c r="C75" t="n">
        <v>41897</v>
      </c>
    </row>
    <row r="76">
      <c r="A76" s="62" t="n">
        <v>16497</v>
      </c>
      <c r="C76" t="n">
        <v>41798</v>
      </c>
    </row>
    <row r="77">
      <c r="A77" s="62" t="n">
        <v>16528</v>
      </c>
      <c r="C77" t="n">
        <v>41446</v>
      </c>
    </row>
    <row r="78">
      <c r="A78" s="62" t="n">
        <v>16558</v>
      </c>
      <c r="C78" t="n">
        <v>41304</v>
      </c>
    </row>
    <row r="79">
      <c r="A79" s="62" t="n">
        <v>16589</v>
      </c>
      <c r="C79" t="n">
        <v>41149</v>
      </c>
    </row>
    <row r="80">
      <c r="A80" s="62" t="n">
        <v>16619</v>
      </c>
      <c r="C80" t="n">
        <v>40874</v>
      </c>
    </row>
    <row r="81">
      <c r="A81" s="62" t="n">
        <v>16650</v>
      </c>
      <c r="C81" t="n">
        <v>40466</v>
      </c>
    </row>
    <row r="82">
      <c r="A82" s="62" t="n">
        <v>16681</v>
      </c>
      <c r="C82" t="n">
        <v>38507</v>
      </c>
    </row>
    <row r="83">
      <c r="A83" s="62" t="n">
        <v>16711</v>
      </c>
      <c r="C83" t="n">
        <v>38600</v>
      </c>
    </row>
    <row r="84">
      <c r="A84" s="62" t="n">
        <v>16742</v>
      </c>
      <c r="C84" t="n">
        <v>38996</v>
      </c>
    </row>
    <row r="85">
      <c r="A85" s="62" t="n">
        <v>16772</v>
      </c>
      <c r="C85" t="n">
        <v>39110</v>
      </c>
    </row>
    <row r="86">
      <c r="A86" s="62" t="n">
        <v>16803</v>
      </c>
      <c r="C86" t="n">
        <v>39829</v>
      </c>
    </row>
    <row r="87">
      <c r="A87" s="62" t="n">
        <v>16834</v>
      </c>
      <c r="C87" t="n">
        <v>39244</v>
      </c>
    </row>
    <row r="88">
      <c r="A88" s="62" t="n">
        <v>16862</v>
      </c>
      <c r="C88" t="n">
        <v>40195</v>
      </c>
    </row>
    <row r="89">
      <c r="A89" s="62" t="n">
        <v>16893</v>
      </c>
      <c r="C89" t="n">
        <v>40913</v>
      </c>
    </row>
    <row r="90">
      <c r="A90" s="62" t="n">
        <v>16923</v>
      </c>
      <c r="C90" t="n">
        <v>41349</v>
      </c>
    </row>
    <row r="91">
      <c r="A91" s="62" t="n">
        <v>16954</v>
      </c>
      <c r="C91" t="n">
        <v>41735</v>
      </c>
    </row>
    <row r="92">
      <c r="A92" s="62" t="n">
        <v>16984</v>
      </c>
      <c r="C92" t="n">
        <v>42153</v>
      </c>
    </row>
    <row r="93">
      <c r="A93" s="62" t="n">
        <v>17015</v>
      </c>
      <c r="C93" t="n">
        <v>42642</v>
      </c>
    </row>
    <row r="94">
      <c r="A94" s="62" t="n">
        <v>17046</v>
      </c>
      <c r="C94" t="n">
        <v>42915</v>
      </c>
    </row>
    <row r="95">
      <c r="A95" s="62" t="n">
        <v>17076</v>
      </c>
      <c r="C95" t="n">
        <v>43093</v>
      </c>
    </row>
    <row r="96">
      <c r="A96" s="62" t="n">
        <v>17107</v>
      </c>
      <c r="C96" t="n">
        <v>43395</v>
      </c>
    </row>
    <row r="97">
      <c r="A97" s="62" t="n">
        <v>17137</v>
      </c>
      <c r="C97" t="n">
        <v>43379</v>
      </c>
    </row>
    <row r="98">
      <c r="A98" s="62" t="n">
        <v>17168</v>
      </c>
      <c r="C98" t="n">
        <v>43535</v>
      </c>
    </row>
    <row r="99">
      <c r="A99" s="62" t="n">
        <v>17199</v>
      </c>
      <c r="C99" t="n">
        <v>43557</v>
      </c>
    </row>
    <row r="100">
      <c r="A100" s="62" t="n">
        <v>17227</v>
      </c>
      <c r="C100" t="n">
        <v>43607</v>
      </c>
    </row>
    <row r="101">
      <c r="A101" s="62" t="n">
        <v>17258</v>
      </c>
      <c r="C101" t="n">
        <v>43499</v>
      </c>
    </row>
    <row r="102">
      <c r="A102" s="62" t="n">
        <v>17288</v>
      </c>
      <c r="C102" t="n">
        <v>43638</v>
      </c>
    </row>
    <row r="103">
      <c r="A103" s="62" t="n">
        <v>17319</v>
      </c>
      <c r="C103" t="n">
        <v>43810</v>
      </c>
    </row>
    <row r="104">
      <c r="A104" s="62" t="n">
        <v>17349</v>
      </c>
      <c r="C104" t="n">
        <v>43743</v>
      </c>
    </row>
    <row r="105">
      <c r="A105" s="62" t="n">
        <v>17380</v>
      </c>
      <c r="C105" t="n">
        <v>43960</v>
      </c>
    </row>
    <row r="106">
      <c r="A106" s="62" t="n">
        <v>17411</v>
      </c>
      <c r="C106" t="n">
        <v>44203</v>
      </c>
    </row>
    <row r="107">
      <c r="A107" s="62" t="n">
        <v>17441</v>
      </c>
      <c r="C107" t="n">
        <v>44411</v>
      </c>
    </row>
    <row r="108">
      <c r="A108" s="62" t="n">
        <v>17472</v>
      </c>
      <c r="C108" t="n">
        <v>44484</v>
      </c>
    </row>
    <row r="109">
      <c r="A109" s="62" t="n">
        <v>17502</v>
      </c>
      <c r="C109" t="n">
        <v>44581</v>
      </c>
    </row>
    <row r="110">
      <c r="A110" s="62" t="n">
        <v>17533</v>
      </c>
      <c r="B110" t="n">
        <v>58.6</v>
      </c>
      <c r="C110" t="n">
        <v>44679</v>
      </c>
      <c r="D110" t="n">
        <v>3.4</v>
      </c>
    </row>
    <row r="111">
      <c r="A111" s="62" t="n">
        <v>17564</v>
      </c>
      <c r="B111" t="n">
        <v>58.9</v>
      </c>
      <c r="C111" t="n">
        <v>44533</v>
      </c>
      <c r="D111" t="n">
        <v>3.8</v>
      </c>
    </row>
    <row r="112">
      <c r="A112" s="62" t="n">
        <v>17593</v>
      </c>
      <c r="B112" t="n">
        <v>58.5</v>
      </c>
      <c r="C112" t="n">
        <v>44683</v>
      </c>
      <c r="D112" t="n">
        <v>4</v>
      </c>
    </row>
    <row r="113">
      <c r="A113" s="62" t="n">
        <v>17624</v>
      </c>
      <c r="B113" t="n">
        <v>59</v>
      </c>
      <c r="C113" t="n">
        <v>44379</v>
      </c>
      <c r="D113" t="n">
        <v>3.9</v>
      </c>
    </row>
    <row r="114">
      <c r="A114" s="62" t="n">
        <v>17654</v>
      </c>
      <c r="B114" t="n">
        <v>58.3</v>
      </c>
      <c r="C114" t="n">
        <v>44796</v>
      </c>
      <c r="D114" t="n">
        <v>3.5</v>
      </c>
    </row>
    <row r="115">
      <c r="A115" s="62" t="n">
        <v>17685</v>
      </c>
      <c r="B115" t="n">
        <v>59.2</v>
      </c>
      <c r="C115" t="n">
        <v>45034</v>
      </c>
      <c r="D115" t="n">
        <v>3.6</v>
      </c>
    </row>
    <row r="116">
      <c r="A116" s="62" t="n">
        <v>17715</v>
      </c>
      <c r="B116" t="n">
        <v>59.3</v>
      </c>
      <c r="C116" t="n">
        <v>45160</v>
      </c>
      <c r="D116" t="n">
        <v>3.6</v>
      </c>
    </row>
    <row r="117">
      <c r="A117" s="62" t="n">
        <v>17746</v>
      </c>
      <c r="B117" t="n">
        <v>58.9</v>
      </c>
      <c r="C117" t="n">
        <v>45178</v>
      </c>
      <c r="D117" t="n">
        <v>3.9</v>
      </c>
    </row>
    <row r="118">
      <c r="A118" s="62" t="n">
        <v>17777</v>
      </c>
      <c r="B118" t="n">
        <v>58.9</v>
      </c>
      <c r="C118" t="n">
        <v>45294</v>
      </c>
      <c r="D118" t="n">
        <v>3.8</v>
      </c>
    </row>
    <row r="119">
      <c r="A119" s="62" t="n">
        <v>17807</v>
      </c>
      <c r="B119" t="n">
        <v>58.7</v>
      </c>
      <c r="C119" t="n">
        <v>45245</v>
      </c>
      <c r="D119" t="n">
        <v>3.7</v>
      </c>
    </row>
    <row r="120">
      <c r="A120" s="62" t="n">
        <v>17838</v>
      </c>
      <c r="B120" t="n">
        <v>58.7</v>
      </c>
      <c r="C120" t="n">
        <v>45192</v>
      </c>
      <c r="D120" t="n">
        <v>3.8</v>
      </c>
    </row>
    <row r="121">
      <c r="A121" s="62" t="n">
        <v>17868</v>
      </c>
      <c r="B121" t="n">
        <v>59.1</v>
      </c>
      <c r="C121" t="n">
        <v>45032</v>
      </c>
      <c r="D121" t="n">
        <v>4</v>
      </c>
    </row>
    <row r="122">
      <c r="A122" s="62" t="n">
        <v>17899</v>
      </c>
      <c r="B122" t="n">
        <v>58.7</v>
      </c>
      <c r="C122" t="n">
        <v>44668</v>
      </c>
      <c r="D122" t="n">
        <v>4.3</v>
      </c>
    </row>
    <row r="123">
      <c r="A123" s="62" t="n">
        <v>17930</v>
      </c>
      <c r="B123" t="n">
        <v>59</v>
      </c>
      <c r="C123" t="n">
        <v>44497</v>
      </c>
      <c r="D123" t="n">
        <v>4.7</v>
      </c>
    </row>
    <row r="124">
      <c r="A124" s="62" t="n">
        <v>17958</v>
      </c>
      <c r="B124" t="n">
        <v>58.9</v>
      </c>
      <c r="C124" t="n">
        <v>44240</v>
      </c>
      <c r="D124" t="n">
        <v>5</v>
      </c>
    </row>
    <row r="125">
      <c r="A125" s="62" t="n">
        <v>17989</v>
      </c>
      <c r="B125" t="n">
        <v>58.8</v>
      </c>
      <c r="C125" t="n">
        <v>44236</v>
      </c>
      <c r="D125" t="n">
        <v>5.3</v>
      </c>
    </row>
    <row r="126">
      <c r="A126" s="62" t="n">
        <v>18019</v>
      </c>
      <c r="B126" t="n">
        <v>59</v>
      </c>
      <c r="C126" t="n">
        <v>43984</v>
      </c>
      <c r="D126" t="n">
        <v>6.1</v>
      </c>
    </row>
    <row r="127">
      <c r="A127" s="62" t="n">
        <v>18050</v>
      </c>
      <c r="B127" t="n">
        <v>58.6</v>
      </c>
      <c r="C127" t="n">
        <v>43739</v>
      </c>
      <c r="D127" t="n">
        <v>6.2</v>
      </c>
    </row>
    <row r="128">
      <c r="A128" s="62" t="n">
        <v>18080</v>
      </c>
      <c r="B128" t="n">
        <v>58.9</v>
      </c>
      <c r="C128" t="n">
        <v>43531</v>
      </c>
      <c r="D128" t="n">
        <v>6.7</v>
      </c>
    </row>
    <row r="129">
      <c r="A129" s="62" t="n">
        <v>18111</v>
      </c>
      <c r="B129" t="n">
        <v>59.2</v>
      </c>
      <c r="C129" t="n">
        <v>43624</v>
      </c>
      <c r="D129" t="n">
        <v>6.8</v>
      </c>
    </row>
    <row r="130">
      <c r="A130" s="62" t="n">
        <v>18142</v>
      </c>
      <c r="B130" t="n">
        <v>59.1</v>
      </c>
      <c r="C130" t="n">
        <v>43780</v>
      </c>
      <c r="D130" t="n">
        <v>6.6</v>
      </c>
    </row>
    <row r="131">
      <c r="A131" s="62" t="n">
        <v>18172</v>
      </c>
      <c r="B131" t="n">
        <v>59.6</v>
      </c>
      <c r="C131" t="n">
        <v>42942</v>
      </c>
      <c r="D131" t="n">
        <v>7.9</v>
      </c>
    </row>
    <row r="132">
      <c r="A132" s="62" t="n">
        <v>18203</v>
      </c>
      <c r="B132" t="n">
        <v>59.4</v>
      </c>
      <c r="C132" t="n">
        <v>43242</v>
      </c>
      <c r="D132" t="n">
        <v>6.4</v>
      </c>
    </row>
    <row r="133">
      <c r="A133" s="62" t="n">
        <v>18233</v>
      </c>
      <c r="B133" t="n">
        <v>59.2</v>
      </c>
      <c r="C133" t="n">
        <v>43522</v>
      </c>
      <c r="D133" t="n">
        <v>6.6</v>
      </c>
    </row>
    <row r="134">
      <c r="A134" s="62" t="n">
        <v>18264</v>
      </c>
      <c r="B134" t="n">
        <v>58.9</v>
      </c>
      <c r="C134" t="n">
        <v>43526</v>
      </c>
      <c r="D134" t="n">
        <v>6.5</v>
      </c>
    </row>
    <row r="135">
      <c r="A135" s="62" t="n">
        <v>18295</v>
      </c>
      <c r="B135" t="n">
        <v>58.9</v>
      </c>
      <c r="C135" t="n">
        <v>43297</v>
      </c>
      <c r="D135" t="n">
        <v>6.4</v>
      </c>
    </row>
    <row r="136">
      <c r="A136" s="62" t="n">
        <v>18323</v>
      </c>
      <c r="B136" t="n">
        <v>58.8</v>
      </c>
      <c r="C136" t="n">
        <v>43954</v>
      </c>
      <c r="D136" t="n">
        <v>6.3</v>
      </c>
    </row>
    <row r="137">
      <c r="A137" s="62" t="n">
        <v>18354</v>
      </c>
      <c r="B137" t="n">
        <v>59.2</v>
      </c>
      <c r="C137" t="n">
        <v>44382</v>
      </c>
      <c r="D137" t="n">
        <v>5.8</v>
      </c>
    </row>
    <row r="138">
      <c r="A138" s="62" t="n">
        <v>18384</v>
      </c>
      <c r="B138" t="n">
        <v>59.1</v>
      </c>
      <c r="C138" t="n">
        <v>44718</v>
      </c>
      <c r="D138" t="n">
        <v>5.5</v>
      </c>
    </row>
    <row r="139">
      <c r="A139" s="62" t="n">
        <v>18415</v>
      </c>
      <c r="B139" t="n">
        <v>59.4</v>
      </c>
      <c r="C139" t="n">
        <v>45083</v>
      </c>
      <c r="D139" t="n">
        <v>5.4</v>
      </c>
    </row>
    <row r="140">
      <c r="A140" s="62" t="n">
        <v>18445</v>
      </c>
      <c r="B140" t="n">
        <v>59.1</v>
      </c>
      <c r="C140" t="n">
        <v>45454</v>
      </c>
      <c r="D140" t="n">
        <v>5</v>
      </c>
    </row>
    <row r="141">
      <c r="A141" s="62" t="n">
        <v>18476</v>
      </c>
      <c r="B141" t="n">
        <v>59.5</v>
      </c>
      <c r="C141" t="n">
        <v>46192</v>
      </c>
      <c r="D141" t="n">
        <v>4.5</v>
      </c>
    </row>
    <row r="142">
      <c r="A142" s="62" t="n">
        <v>18507</v>
      </c>
      <c r="B142" t="n">
        <v>59.2</v>
      </c>
      <c r="C142" t="n">
        <v>46438</v>
      </c>
      <c r="D142" t="n">
        <v>4.4</v>
      </c>
    </row>
    <row r="143">
      <c r="A143" s="62" t="n">
        <v>18537</v>
      </c>
      <c r="B143" t="n">
        <v>59.4</v>
      </c>
      <c r="C143" t="n">
        <v>46706</v>
      </c>
      <c r="D143" t="n">
        <v>4.2</v>
      </c>
    </row>
    <row r="144">
      <c r="A144" s="62" t="n">
        <v>18568</v>
      </c>
      <c r="B144" t="n">
        <v>59.3</v>
      </c>
      <c r="C144" t="n">
        <v>46776</v>
      </c>
      <c r="D144" t="n">
        <v>4.2</v>
      </c>
    </row>
    <row r="145">
      <c r="A145" s="62" t="n">
        <v>18598</v>
      </c>
      <c r="B145" t="n">
        <v>59.2</v>
      </c>
      <c r="C145" t="n">
        <v>46861</v>
      </c>
      <c r="D145" t="n">
        <v>4.3</v>
      </c>
    </row>
    <row r="146">
      <c r="A146" s="62" t="n">
        <v>18629</v>
      </c>
      <c r="B146" t="n">
        <v>59.1</v>
      </c>
      <c r="C146" t="n">
        <v>47288</v>
      </c>
      <c r="D146" t="n">
        <v>3.7</v>
      </c>
    </row>
    <row r="147">
      <c r="A147" s="62" t="n">
        <v>18660</v>
      </c>
      <c r="B147" t="n">
        <v>59.1</v>
      </c>
      <c r="C147" t="n">
        <v>47577</v>
      </c>
      <c r="D147" t="n">
        <v>3.4</v>
      </c>
    </row>
    <row r="148">
      <c r="A148" s="62" t="n">
        <v>18688</v>
      </c>
      <c r="B148" t="n">
        <v>59.8</v>
      </c>
      <c r="C148" t="n">
        <v>47873</v>
      </c>
      <c r="D148" t="n">
        <v>3.4</v>
      </c>
    </row>
    <row r="149">
      <c r="A149" s="62" t="n">
        <v>18719</v>
      </c>
      <c r="B149" t="n">
        <v>59.1</v>
      </c>
      <c r="C149" t="n">
        <v>47861</v>
      </c>
      <c r="D149" t="n">
        <v>3.1</v>
      </c>
    </row>
    <row r="150">
      <c r="A150" s="62" t="n">
        <v>18749</v>
      </c>
      <c r="B150" t="n">
        <v>59.4</v>
      </c>
      <c r="C150" t="n">
        <v>47952</v>
      </c>
      <c r="D150" t="n">
        <v>3</v>
      </c>
    </row>
    <row r="151">
      <c r="A151" s="62" t="n">
        <v>18780</v>
      </c>
      <c r="B151" t="n">
        <v>59</v>
      </c>
      <c r="C151" t="n">
        <v>48064</v>
      </c>
      <c r="D151" t="n">
        <v>3.2</v>
      </c>
    </row>
    <row r="152">
      <c r="A152" s="62" t="n">
        <v>18810</v>
      </c>
      <c r="B152" t="n">
        <v>59.4</v>
      </c>
      <c r="C152" t="n">
        <v>48061</v>
      </c>
      <c r="D152" t="n">
        <v>3.1</v>
      </c>
    </row>
    <row r="153">
      <c r="A153" s="62" t="n">
        <v>18841</v>
      </c>
      <c r="B153" t="n">
        <v>59.2</v>
      </c>
      <c r="C153" t="n">
        <v>48012</v>
      </c>
      <c r="D153" t="n">
        <v>3.1</v>
      </c>
    </row>
    <row r="154">
      <c r="A154" s="62" t="n">
        <v>18872</v>
      </c>
      <c r="B154" t="n">
        <v>59.1</v>
      </c>
      <c r="C154" t="n">
        <v>47954</v>
      </c>
      <c r="D154" t="n">
        <v>3.3</v>
      </c>
    </row>
    <row r="155">
      <c r="A155" s="62" t="n">
        <v>18902</v>
      </c>
      <c r="B155" t="n">
        <v>59.4</v>
      </c>
      <c r="C155" t="n">
        <v>48006</v>
      </c>
      <c r="D155" t="n">
        <v>3.5</v>
      </c>
    </row>
    <row r="156">
      <c r="A156" s="62" t="n">
        <v>18933</v>
      </c>
      <c r="B156" t="n">
        <v>59.2</v>
      </c>
      <c r="C156" t="n">
        <v>48147</v>
      </c>
      <c r="D156" t="n">
        <v>3.5</v>
      </c>
    </row>
    <row r="157">
      <c r="A157" s="62" t="n">
        <v>18963</v>
      </c>
      <c r="B157" t="n">
        <v>59.6</v>
      </c>
      <c r="C157" t="n">
        <v>48314</v>
      </c>
      <c r="D157" t="n">
        <v>3.1</v>
      </c>
    </row>
    <row r="158">
      <c r="A158" s="62" t="n">
        <v>18994</v>
      </c>
      <c r="B158" t="n">
        <v>59.5</v>
      </c>
      <c r="C158" t="n">
        <v>48296</v>
      </c>
      <c r="D158" t="n">
        <v>3.2</v>
      </c>
    </row>
    <row r="159">
      <c r="A159" s="62" t="n">
        <v>19025</v>
      </c>
      <c r="B159" t="n">
        <v>59.5</v>
      </c>
      <c r="C159" t="n">
        <v>48522</v>
      </c>
      <c r="D159" t="n">
        <v>3.1</v>
      </c>
    </row>
    <row r="160">
      <c r="A160" s="62" t="n">
        <v>19054</v>
      </c>
      <c r="B160" t="n">
        <v>58.9</v>
      </c>
      <c r="C160" t="n">
        <v>48504</v>
      </c>
      <c r="D160" t="n">
        <v>2.9</v>
      </c>
    </row>
    <row r="161">
      <c r="A161" s="62" t="n">
        <v>19085</v>
      </c>
      <c r="B161" t="n">
        <v>58.8</v>
      </c>
      <c r="C161" t="n">
        <v>48620</v>
      </c>
      <c r="D161" t="n">
        <v>2.9</v>
      </c>
    </row>
    <row r="162">
      <c r="A162" s="62" t="n">
        <v>19115</v>
      </c>
      <c r="B162" t="n">
        <v>59.1</v>
      </c>
      <c r="C162" t="n">
        <v>48642</v>
      </c>
      <c r="D162" t="n">
        <v>3</v>
      </c>
    </row>
    <row r="163">
      <c r="A163" s="62" t="n">
        <v>19146</v>
      </c>
      <c r="B163" t="n">
        <v>59.1</v>
      </c>
      <c r="C163" t="n">
        <v>48282</v>
      </c>
      <c r="D163" t="n">
        <v>3</v>
      </c>
    </row>
    <row r="164">
      <c r="A164" s="62" t="n">
        <v>19176</v>
      </c>
      <c r="B164" t="n">
        <v>58.9</v>
      </c>
      <c r="C164" t="n">
        <v>48143</v>
      </c>
      <c r="D164" t="n">
        <v>3.2</v>
      </c>
    </row>
    <row r="165">
      <c r="A165" s="62" t="n">
        <v>19207</v>
      </c>
      <c r="B165" t="n">
        <v>58.7</v>
      </c>
      <c r="C165" t="n">
        <v>48924</v>
      </c>
      <c r="D165" t="n">
        <v>3.4</v>
      </c>
    </row>
    <row r="166">
      <c r="A166" s="62" t="n">
        <v>19238</v>
      </c>
      <c r="B166" t="n">
        <v>59.2</v>
      </c>
      <c r="C166" t="n">
        <v>49320</v>
      </c>
      <c r="D166" t="n">
        <v>3.1</v>
      </c>
    </row>
    <row r="167">
      <c r="A167" s="62" t="n">
        <v>19268</v>
      </c>
      <c r="B167" t="n">
        <v>58.7</v>
      </c>
      <c r="C167" t="n">
        <v>49597</v>
      </c>
      <c r="D167" t="n">
        <v>3</v>
      </c>
    </row>
    <row r="168">
      <c r="A168" s="62" t="n">
        <v>19299</v>
      </c>
      <c r="B168" t="n">
        <v>59.1</v>
      </c>
      <c r="C168" t="n">
        <v>49816</v>
      </c>
      <c r="D168" t="n">
        <v>2.8</v>
      </c>
    </row>
    <row r="169">
      <c r="A169" s="62" t="n">
        <v>19329</v>
      </c>
      <c r="B169" t="n">
        <v>59.2</v>
      </c>
      <c r="C169" t="n">
        <v>50166</v>
      </c>
      <c r="D169" t="n">
        <v>2.7</v>
      </c>
    </row>
    <row r="170">
      <c r="A170" s="62" t="n">
        <v>19360</v>
      </c>
      <c r="B170" t="n">
        <v>59.5</v>
      </c>
      <c r="C170" t="n">
        <v>50144</v>
      </c>
      <c r="D170" t="n">
        <v>2.9</v>
      </c>
    </row>
    <row r="171">
      <c r="A171" s="62" t="n">
        <v>19391</v>
      </c>
      <c r="B171" t="n">
        <v>59.5</v>
      </c>
      <c r="C171" t="n">
        <v>50339</v>
      </c>
      <c r="D171" t="n">
        <v>2.6</v>
      </c>
    </row>
    <row r="172">
      <c r="A172" s="62" t="n">
        <v>19419</v>
      </c>
      <c r="B172" t="n">
        <v>59.6</v>
      </c>
      <c r="C172" t="n">
        <v>50473</v>
      </c>
      <c r="D172" t="n">
        <v>2.6</v>
      </c>
    </row>
    <row r="173">
      <c r="A173" s="62" t="n">
        <v>19450</v>
      </c>
      <c r="B173" t="n">
        <v>59.1</v>
      </c>
      <c r="C173" t="n">
        <v>50435</v>
      </c>
      <c r="D173" t="n">
        <v>2.7</v>
      </c>
    </row>
    <row r="174">
      <c r="A174" s="62" t="n">
        <v>19480</v>
      </c>
      <c r="B174" t="n">
        <v>58.6</v>
      </c>
      <c r="C174" t="n">
        <v>50490</v>
      </c>
      <c r="D174" t="n">
        <v>2.5</v>
      </c>
    </row>
    <row r="175">
      <c r="A175" s="62" t="n">
        <v>19511</v>
      </c>
      <c r="B175" t="n">
        <v>58.9</v>
      </c>
      <c r="C175" t="n">
        <v>50519</v>
      </c>
      <c r="D175" t="n">
        <v>2.5</v>
      </c>
    </row>
    <row r="176">
      <c r="A176" s="62" t="n">
        <v>19541</v>
      </c>
      <c r="B176" t="n">
        <v>58.9</v>
      </c>
      <c r="C176" t="n">
        <v>50536</v>
      </c>
      <c r="D176" t="n">
        <v>2.6</v>
      </c>
    </row>
    <row r="177">
      <c r="A177" s="62" t="n">
        <v>19572</v>
      </c>
      <c r="B177" t="n">
        <v>58.6</v>
      </c>
      <c r="C177" t="n">
        <v>50489</v>
      </c>
      <c r="D177" t="n">
        <v>2.7</v>
      </c>
    </row>
    <row r="178">
      <c r="A178" s="62" t="n">
        <v>19603</v>
      </c>
      <c r="B178" t="n">
        <v>58.5</v>
      </c>
      <c r="C178" t="n">
        <v>50368</v>
      </c>
      <c r="D178" t="n">
        <v>2.9</v>
      </c>
    </row>
    <row r="179">
      <c r="A179" s="62" t="n">
        <v>19633</v>
      </c>
      <c r="B179" t="n">
        <v>58.5</v>
      </c>
      <c r="C179" t="n">
        <v>50240</v>
      </c>
      <c r="D179" t="n">
        <v>3.1</v>
      </c>
    </row>
    <row r="180">
      <c r="A180" s="62" t="n">
        <v>19664</v>
      </c>
      <c r="B180" t="n">
        <v>58.6</v>
      </c>
      <c r="C180" t="n">
        <v>49908</v>
      </c>
      <c r="D180" t="n">
        <v>3.5</v>
      </c>
    </row>
    <row r="181">
      <c r="A181" s="62" t="n">
        <v>19694</v>
      </c>
      <c r="B181" t="n">
        <v>58.3</v>
      </c>
      <c r="C181" t="n">
        <v>49703</v>
      </c>
      <c r="D181" t="n">
        <v>4.5</v>
      </c>
    </row>
    <row r="182">
      <c r="A182" s="62" t="n">
        <v>19725</v>
      </c>
      <c r="B182" t="n">
        <v>58.6</v>
      </c>
      <c r="C182" t="n">
        <v>49469</v>
      </c>
      <c r="D182" t="n">
        <v>4.9</v>
      </c>
    </row>
    <row r="183">
      <c r="A183" s="62" t="n">
        <v>19756</v>
      </c>
      <c r="B183" t="n">
        <v>59.3</v>
      </c>
      <c r="C183" t="n">
        <v>49382</v>
      </c>
      <c r="D183" t="n">
        <v>5.2</v>
      </c>
    </row>
    <row r="184">
      <c r="A184" s="62" t="n">
        <v>19784</v>
      </c>
      <c r="B184" t="n">
        <v>59.1</v>
      </c>
      <c r="C184" t="n">
        <v>49157</v>
      </c>
      <c r="D184" t="n">
        <v>5.7</v>
      </c>
    </row>
    <row r="185">
      <c r="A185" s="62" t="n">
        <v>19815</v>
      </c>
      <c r="B185" t="n">
        <v>59.2</v>
      </c>
      <c r="C185" t="n">
        <v>49179</v>
      </c>
      <c r="D185" t="n">
        <v>5.9</v>
      </c>
    </row>
    <row r="186">
      <c r="A186" s="62" t="n">
        <v>19845</v>
      </c>
      <c r="B186" t="n">
        <v>58.9</v>
      </c>
      <c r="C186" t="n">
        <v>48965</v>
      </c>
      <c r="D186" t="n">
        <v>5.9</v>
      </c>
    </row>
    <row r="187">
      <c r="A187" s="62" t="n">
        <v>19876</v>
      </c>
      <c r="B187" t="n">
        <v>58.5</v>
      </c>
      <c r="C187" t="n">
        <v>48895</v>
      </c>
      <c r="D187" t="n">
        <v>5.6</v>
      </c>
    </row>
    <row r="188">
      <c r="A188" s="62" t="n">
        <v>19906</v>
      </c>
      <c r="B188" t="n">
        <v>58.4</v>
      </c>
      <c r="C188" t="n">
        <v>48835</v>
      </c>
      <c r="D188" t="n">
        <v>5.8</v>
      </c>
    </row>
    <row r="189">
      <c r="A189" s="62" t="n">
        <v>19937</v>
      </c>
      <c r="B189" t="n">
        <v>58.7</v>
      </c>
      <c r="C189" t="n">
        <v>48826</v>
      </c>
      <c r="D189" t="n">
        <v>6</v>
      </c>
    </row>
    <row r="190">
      <c r="A190" s="62" t="n">
        <v>19968</v>
      </c>
      <c r="B190" t="n">
        <v>59.2</v>
      </c>
      <c r="C190" t="n">
        <v>48886</v>
      </c>
      <c r="D190" t="n">
        <v>6.1</v>
      </c>
    </row>
    <row r="191">
      <c r="A191" s="62" t="n">
        <v>19998</v>
      </c>
      <c r="B191" t="n">
        <v>58.8</v>
      </c>
      <c r="C191" t="n">
        <v>48942</v>
      </c>
      <c r="D191" t="n">
        <v>5.7</v>
      </c>
    </row>
    <row r="192">
      <c r="A192" s="62" t="n">
        <v>20029</v>
      </c>
      <c r="B192" t="n">
        <v>58.6</v>
      </c>
      <c r="C192" t="n">
        <v>49180</v>
      </c>
      <c r="D192" t="n">
        <v>5.3</v>
      </c>
    </row>
    <row r="193">
      <c r="A193" s="62" t="n">
        <v>20059</v>
      </c>
      <c r="B193" t="n">
        <v>58.1</v>
      </c>
      <c r="C193" t="n">
        <v>49331</v>
      </c>
      <c r="D193" t="n">
        <v>5</v>
      </c>
    </row>
    <row r="194">
      <c r="A194" s="62" t="n">
        <v>20090</v>
      </c>
      <c r="B194" t="n">
        <v>58.6</v>
      </c>
      <c r="C194" t="n">
        <v>49496</v>
      </c>
      <c r="D194" t="n">
        <v>4.9</v>
      </c>
    </row>
    <row r="195">
      <c r="A195" s="62" t="n">
        <v>20121</v>
      </c>
      <c r="B195" t="n">
        <v>58.4</v>
      </c>
      <c r="C195" t="n">
        <v>49644</v>
      </c>
      <c r="D195" t="n">
        <v>4.7</v>
      </c>
    </row>
    <row r="196">
      <c r="A196" s="62" t="n">
        <v>20149</v>
      </c>
      <c r="B196" t="n">
        <v>58.5</v>
      </c>
      <c r="C196" t="n">
        <v>49962</v>
      </c>
      <c r="D196" t="n">
        <v>4.6</v>
      </c>
    </row>
    <row r="197">
      <c r="A197" s="62" t="n">
        <v>20180</v>
      </c>
      <c r="B197" t="n">
        <v>59</v>
      </c>
      <c r="C197" t="n">
        <v>50248</v>
      </c>
      <c r="D197" t="n">
        <v>4.7</v>
      </c>
    </row>
    <row r="198">
      <c r="A198" s="62" t="n">
        <v>20210</v>
      </c>
      <c r="B198" t="n">
        <v>58.8</v>
      </c>
      <c r="C198" t="n">
        <v>50512</v>
      </c>
      <c r="D198" t="n">
        <v>4.3</v>
      </c>
    </row>
    <row r="199">
      <c r="A199" s="62" t="n">
        <v>20241</v>
      </c>
      <c r="B199" t="n">
        <v>58.8</v>
      </c>
      <c r="C199" t="n">
        <v>50790</v>
      </c>
      <c r="D199" t="n">
        <v>4.2</v>
      </c>
    </row>
    <row r="200">
      <c r="A200" s="62" t="n">
        <v>20271</v>
      </c>
      <c r="B200" t="n">
        <v>59.3</v>
      </c>
      <c r="C200" t="n">
        <v>50987</v>
      </c>
      <c r="D200" t="n">
        <v>4</v>
      </c>
    </row>
    <row r="201">
      <c r="A201" s="62" t="n">
        <v>20302</v>
      </c>
      <c r="B201" t="n">
        <v>59.7</v>
      </c>
      <c r="C201" t="n">
        <v>51111</v>
      </c>
      <c r="D201" t="n">
        <v>4.2</v>
      </c>
    </row>
    <row r="202">
      <c r="A202" s="62" t="n">
        <v>20333</v>
      </c>
      <c r="B202" t="n">
        <v>59.7</v>
      </c>
      <c r="C202" t="n">
        <v>51266</v>
      </c>
      <c r="D202" t="n">
        <v>4.1</v>
      </c>
    </row>
    <row r="203">
      <c r="A203" s="62" t="n">
        <v>20363</v>
      </c>
      <c r="B203" t="n">
        <v>59.8</v>
      </c>
      <c r="C203" t="n">
        <v>51429</v>
      </c>
      <c r="D203" t="n">
        <v>4.3</v>
      </c>
    </row>
    <row r="204">
      <c r="A204" s="62" t="n">
        <v>20394</v>
      </c>
      <c r="B204" t="n">
        <v>59.9</v>
      </c>
      <c r="C204" t="n">
        <v>51592</v>
      </c>
      <c r="D204" t="n">
        <v>4.2</v>
      </c>
    </row>
    <row r="205">
      <c r="A205" s="62" t="n">
        <v>20424</v>
      </c>
      <c r="B205" t="n">
        <v>60.2</v>
      </c>
      <c r="C205" t="n">
        <v>51805</v>
      </c>
      <c r="D205" t="n">
        <v>4.2</v>
      </c>
    </row>
    <row r="206">
      <c r="A206" s="62" t="n">
        <v>20455</v>
      </c>
      <c r="B206" t="n">
        <v>60.2</v>
      </c>
      <c r="C206" t="n">
        <v>51975</v>
      </c>
      <c r="D206" t="n">
        <v>4</v>
      </c>
    </row>
    <row r="207">
      <c r="A207" s="62" t="n">
        <v>20486</v>
      </c>
      <c r="B207" t="n">
        <v>59.9</v>
      </c>
      <c r="C207" t="n">
        <v>52167</v>
      </c>
      <c r="D207" t="n">
        <v>3.9</v>
      </c>
    </row>
    <row r="208">
      <c r="A208" s="62" t="n">
        <v>20515</v>
      </c>
      <c r="B208" t="n">
        <v>59.8</v>
      </c>
      <c r="C208" t="n">
        <v>52294</v>
      </c>
      <c r="D208" t="n">
        <v>4.2</v>
      </c>
    </row>
    <row r="209">
      <c r="A209" s="62" t="n">
        <v>20546</v>
      </c>
      <c r="B209" t="n">
        <v>59.9</v>
      </c>
      <c r="C209" t="n">
        <v>52375</v>
      </c>
      <c r="D209" t="n">
        <v>4</v>
      </c>
    </row>
    <row r="210">
      <c r="A210" s="62" t="n">
        <v>20576</v>
      </c>
      <c r="B210" t="n">
        <v>60.2</v>
      </c>
      <c r="C210" t="n">
        <v>52506</v>
      </c>
      <c r="D210" t="n">
        <v>4.3</v>
      </c>
    </row>
    <row r="211">
      <c r="A211" s="62" t="n">
        <v>20607</v>
      </c>
      <c r="B211" t="n">
        <v>60.1</v>
      </c>
      <c r="C211" t="n">
        <v>52586</v>
      </c>
      <c r="D211" t="n">
        <v>4.3</v>
      </c>
    </row>
    <row r="212">
      <c r="A212" s="62" t="n">
        <v>20637</v>
      </c>
      <c r="B212" t="n">
        <v>60.1</v>
      </c>
      <c r="C212" t="n">
        <v>51955</v>
      </c>
      <c r="D212" t="n">
        <v>4.4</v>
      </c>
    </row>
    <row r="213">
      <c r="A213" s="62" t="n">
        <v>20668</v>
      </c>
      <c r="B213" t="n">
        <v>60</v>
      </c>
      <c r="C213" t="n">
        <v>52631</v>
      </c>
      <c r="D213" t="n">
        <v>4.1</v>
      </c>
    </row>
    <row r="214">
      <c r="A214" s="62" t="n">
        <v>20699</v>
      </c>
      <c r="B214" t="n">
        <v>60</v>
      </c>
      <c r="C214" t="n">
        <v>52604</v>
      </c>
      <c r="D214" t="n">
        <v>3.9</v>
      </c>
    </row>
    <row r="215">
      <c r="A215" s="62" t="n">
        <v>20729</v>
      </c>
      <c r="B215" t="n">
        <v>59.8</v>
      </c>
      <c r="C215" t="n">
        <v>52777</v>
      </c>
      <c r="D215" t="n">
        <v>3.9</v>
      </c>
    </row>
    <row r="216">
      <c r="A216" s="62" t="n">
        <v>20760</v>
      </c>
      <c r="B216" t="n">
        <v>59.8</v>
      </c>
      <c r="C216" t="n">
        <v>52821</v>
      </c>
      <c r="D216" t="n">
        <v>4.3</v>
      </c>
    </row>
    <row r="217">
      <c r="A217" s="62" t="n">
        <v>20790</v>
      </c>
      <c r="B217" t="n">
        <v>59.8</v>
      </c>
      <c r="C217" t="n">
        <v>52929</v>
      </c>
      <c r="D217" t="n">
        <v>4.2</v>
      </c>
    </row>
    <row r="218">
      <c r="A218" s="62" t="n">
        <v>20821</v>
      </c>
      <c r="B218" t="n">
        <v>59.5</v>
      </c>
      <c r="C218" t="n">
        <v>52887</v>
      </c>
      <c r="D218" t="n">
        <v>4.2</v>
      </c>
    </row>
    <row r="219">
      <c r="A219" s="62" t="n">
        <v>20852</v>
      </c>
      <c r="B219" t="n">
        <v>59.9</v>
      </c>
      <c r="C219" t="n">
        <v>53097</v>
      </c>
      <c r="D219" t="n">
        <v>3.9</v>
      </c>
    </row>
    <row r="220">
      <c r="A220" s="62" t="n">
        <v>20880</v>
      </c>
      <c r="B220" t="n">
        <v>59.8</v>
      </c>
      <c r="C220" t="n">
        <v>53156</v>
      </c>
      <c r="D220" t="n">
        <v>3.7</v>
      </c>
    </row>
    <row r="221">
      <c r="A221" s="62" t="n">
        <v>20911</v>
      </c>
      <c r="B221" t="n">
        <v>59.5</v>
      </c>
      <c r="C221" t="n">
        <v>53238</v>
      </c>
      <c r="D221" t="n">
        <v>3.9</v>
      </c>
    </row>
    <row r="222">
      <c r="A222" s="62" t="n">
        <v>20941</v>
      </c>
      <c r="B222" t="n">
        <v>59.5</v>
      </c>
      <c r="C222" t="n">
        <v>53150</v>
      </c>
      <c r="D222" t="n">
        <v>4.1</v>
      </c>
    </row>
    <row r="223">
      <c r="A223" s="62" t="n">
        <v>20972</v>
      </c>
      <c r="B223" t="n">
        <v>59.8</v>
      </c>
      <c r="C223" t="n">
        <v>53067</v>
      </c>
      <c r="D223" t="n">
        <v>4.3</v>
      </c>
    </row>
    <row r="224">
      <c r="A224" s="62" t="n">
        <v>21002</v>
      </c>
      <c r="B224" t="n">
        <v>60</v>
      </c>
      <c r="C224" t="n">
        <v>53123</v>
      </c>
      <c r="D224" t="n">
        <v>4.2</v>
      </c>
    </row>
    <row r="225">
      <c r="A225" s="62" t="n">
        <v>21033</v>
      </c>
      <c r="B225" t="n">
        <v>59.3</v>
      </c>
      <c r="C225" t="n">
        <v>53128</v>
      </c>
      <c r="D225" t="n">
        <v>4.1</v>
      </c>
    </row>
    <row r="226">
      <c r="A226" s="62" t="n">
        <v>21064</v>
      </c>
      <c r="B226" t="n">
        <v>59.6</v>
      </c>
      <c r="C226" t="n">
        <v>52934</v>
      </c>
      <c r="D226" t="n">
        <v>4.4</v>
      </c>
    </row>
    <row r="227">
      <c r="A227" s="62" t="n">
        <v>21094</v>
      </c>
      <c r="B227" t="n">
        <v>59.5</v>
      </c>
      <c r="C227" t="n">
        <v>52763</v>
      </c>
      <c r="D227" t="n">
        <v>4.5</v>
      </c>
    </row>
    <row r="228">
      <c r="A228" s="62" t="n">
        <v>21125</v>
      </c>
      <c r="B228" t="n">
        <v>59.5</v>
      </c>
      <c r="C228" t="n">
        <v>52558</v>
      </c>
      <c r="D228" t="n">
        <v>5.1</v>
      </c>
    </row>
    <row r="229">
      <c r="A229" s="62" t="n">
        <v>21155</v>
      </c>
      <c r="B229" t="n">
        <v>59.6</v>
      </c>
      <c r="C229" t="n">
        <v>52384</v>
      </c>
      <c r="D229" t="n">
        <v>5.2</v>
      </c>
    </row>
    <row r="230">
      <c r="A230" s="62" t="n">
        <v>21186</v>
      </c>
      <c r="B230" t="n">
        <v>59.3</v>
      </c>
      <c r="C230" t="n">
        <v>52076</v>
      </c>
      <c r="D230" t="n">
        <v>5.8</v>
      </c>
    </row>
    <row r="231">
      <c r="A231" s="62" t="n">
        <v>21217</v>
      </c>
      <c r="B231" t="n">
        <v>59.3</v>
      </c>
      <c r="C231" t="n">
        <v>51576</v>
      </c>
      <c r="D231" t="n">
        <v>6.4</v>
      </c>
    </row>
    <row r="232">
      <c r="A232" s="62" t="n">
        <v>21245</v>
      </c>
      <c r="B232" t="n">
        <v>59.3</v>
      </c>
      <c r="C232" t="n">
        <v>51299</v>
      </c>
      <c r="D232" t="n">
        <v>6.7</v>
      </c>
    </row>
    <row r="233">
      <c r="A233" s="62" t="n">
        <v>21276</v>
      </c>
      <c r="B233" t="n">
        <v>59.6</v>
      </c>
      <c r="C233" t="n">
        <v>51027</v>
      </c>
      <c r="D233" t="n">
        <v>7.4</v>
      </c>
    </row>
    <row r="234">
      <c r="A234" s="62" t="n">
        <v>21306</v>
      </c>
      <c r="B234" t="n">
        <v>59.8</v>
      </c>
      <c r="C234" t="n">
        <v>50914</v>
      </c>
      <c r="D234" t="n">
        <v>7.4</v>
      </c>
    </row>
    <row r="235">
      <c r="A235" s="62" t="n">
        <v>21337</v>
      </c>
      <c r="B235" t="n">
        <v>59.5</v>
      </c>
      <c r="C235" t="n">
        <v>50914</v>
      </c>
      <c r="D235" t="n">
        <v>7.3</v>
      </c>
    </row>
    <row r="236">
      <c r="A236" s="62" t="n">
        <v>21367</v>
      </c>
      <c r="B236" t="n">
        <v>59.6</v>
      </c>
      <c r="C236" t="n">
        <v>51039</v>
      </c>
      <c r="D236" t="n">
        <v>7.5</v>
      </c>
    </row>
    <row r="237">
      <c r="A237" s="62" t="n">
        <v>21398</v>
      </c>
      <c r="B237" t="n">
        <v>59.8</v>
      </c>
      <c r="C237" t="n">
        <v>51233</v>
      </c>
      <c r="D237" t="n">
        <v>7.4</v>
      </c>
    </row>
    <row r="238">
      <c r="A238" s="62" t="n">
        <v>21429</v>
      </c>
      <c r="B238" t="n">
        <v>59.7</v>
      </c>
      <c r="C238" t="n">
        <v>51506</v>
      </c>
      <c r="D238" t="n">
        <v>7.1</v>
      </c>
    </row>
    <row r="239">
      <c r="A239" s="62" t="n">
        <v>21459</v>
      </c>
      <c r="B239" t="n">
        <v>59.6</v>
      </c>
      <c r="C239" t="n">
        <v>51485</v>
      </c>
      <c r="D239" t="n">
        <v>6.7</v>
      </c>
    </row>
    <row r="240">
      <c r="A240" s="62" t="n">
        <v>21490</v>
      </c>
      <c r="B240" t="n">
        <v>59.2</v>
      </c>
      <c r="C240" t="n">
        <v>51944</v>
      </c>
      <c r="D240" t="n">
        <v>6.2</v>
      </c>
    </row>
    <row r="241">
      <c r="A241" s="62" t="n">
        <v>21520</v>
      </c>
      <c r="B241" t="n">
        <v>59.2</v>
      </c>
      <c r="C241" t="n">
        <v>52085</v>
      </c>
      <c r="D241" t="n">
        <v>6.2</v>
      </c>
    </row>
    <row r="242">
      <c r="A242" s="62" t="n">
        <v>21551</v>
      </c>
      <c r="B242" t="n">
        <v>59.3</v>
      </c>
      <c r="C242" t="n">
        <v>52478</v>
      </c>
      <c r="D242" t="n">
        <v>6</v>
      </c>
    </row>
    <row r="243">
      <c r="A243" s="62" t="n">
        <v>21582</v>
      </c>
      <c r="B243" t="n">
        <v>59</v>
      </c>
      <c r="C243" t="n">
        <v>52688</v>
      </c>
      <c r="D243" t="n">
        <v>5.9</v>
      </c>
    </row>
    <row r="244">
      <c r="A244" s="62" t="n">
        <v>21610</v>
      </c>
      <c r="B244" t="n">
        <v>59.3</v>
      </c>
      <c r="C244" t="n">
        <v>53014</v>
      </c>
      <c r="D244" t="n">
        <v>5.6</v>
      </c>
    </row>
    <row r="245">
      <c r="A245" s="62" t="n">
        <v>21641</v>
      </c>
      <c r="B245" t="n">
        <v>59.4</v>
      </c>
      <c r="C245" t="n">
        <v>53321</v>
      </c>
      <c r="D245" t="n">
        <v>5.2</v>
      </c>
    </row>
    <row r="246">
      <c r="A246" s="62" t="n">
        <v>21671</v>
      </c>
      <c r="B246" t="n">
        <v>59.2</v>
      </c>
      <c r="C246" t="n">
        <v>53550</v>
      </c>
      <c r="D246" t="n">
        <v>5.1</v>
      </c>
    </row>
    <row r="247">
      <c r="A247" s="62" t="n">
        <v>21702</v>
      </c>
      <c r="B247" t="n">
        <v>59.2</v>
      </c>
      <c r="C247" t="n">
        <v>53681</v>
      </c>
      <c r="D247" t="n">
        <v>5</v>
      </c>
    </row>
    <row r="248">
      <c r="A248" s="62" t="n">
        <v>21732</v>
      </c>
      <c r="B248" t="n">
        <v>59.4</v>
      </c>
      <c r="C248" t="n">
        <v>53804</v>
      </c>
      <c r="D248" t="n">
        <v>5.1</v>
      </c>
    </row>
    <row r="249">
      <c r="A249" s="62" t="n">
        <v>21763</v>
      </c>
      <c r="B249" t="n">
        <v>59.2</v>
      </c>
      <c r="C249" t="n">
        <v>53336</v>
      </c>
      <c r="D249" t="n">
        <v>5.2</v>
      </c>
    </row>
    <row r="250">
      <c r="A250" s="62" t="n">
        <v>21794</v>
      </c>
      <c r="B250" t="n">
        <v>59.3</v>
      </c>
      <c r="C250" t="n">
        <v>53428</v>
      </c>
      <c r="D250" t="n">
        <v>5.5</v>
      </c>
    </row>
    <row r="251">
      <c r="A251" s="62" t="n">
        <v>21824</v>
      </c>
      <c r="B251" t="n">
        <v>59.4</v>
      </c>
      <c r="C251" t="n">
        <v>53358</v>
      </c>
      <c r="D251" t="n">
        <v>5.7</v>
      </c>
    </row>
    <row r="252">
      <c r="A252" s="62" t="n">
        <v>21855</v>
      </c>
      <c r="B252" t="n">
        <v>59.1</v>
      </c>
      <c r="C252" t="n">
        <v>53634</v>
      </c>
      <c r="D252" t="n">
        <v>5.8</v>
      </c>
    </row>
    <row r="253">
      <c r="A253" s="62" t="n">
        <v>21885</v>
      </c>
      <c r="B253" t="n">
        <v>59.5</v>
      </c>
      <c r="C253" t="n">
        <v>54174</v>
      </c>
      <c r="D253" t="n">
        <v>5.3</v>
      </c>
    </row>
    <row r="254">
      <c r="A254" s="62" t="n">
        <v>21916</v>
      </c>
      <c r="B254" t="n">
        <v>59.1</v>
      </c>
      <c r="C254" t="n">
        <v>54274</v>
      </c>
      <c r="D254" t="n">
        <v>5.2</v>
      </c>
    </row>
    <row r="255">
      <c r="A255" s="62" t="n">
        <v>21947</v>
      </c>
      <c r="B255" t="n">
        <v>59.1</v>
      </c>
      <c r="C255" t="n">
        <v>54513</v>
      </c>
      <c r="D255" t="n">
        <v>4.8</v>
      </c>
    </row>
    <row r="256">
      <c r="A256" s="62" t="n">
        <v>21976</v>
      </c>
      <c r="B256" t="n">
        <v>58.5</v>
      </c>
      <c r="C256" t="n">
        <v>54454</v>
      </c>
      <c r="D256" t="n">
        <v>5.4</v>
      </c>
    </row>
    <row r="257">
      <c r="A257" s="62" t="n">
        <v>22007</v>
      </c>
      <c r="B257" t="n">
        <v>59.5</v>
      </c>
      <c r="C257" t="n">
        <v>54813</v>
      </c>
      <c r="D257" t="n">
        <v>5.2</v>
      </c>
    </row>
    <row r="258">
      <c r="A258" s="62" t="n">
        <v>22037</v>
      </c>
      <c r="B258" t="n">
        <v>59.5</v>
      </c>
      <c r="C258" t="n">
        <v>54475</v>
      </c>
      <c r="D258" t="n">
        <v>5.1</v>
      </c>
    </row>
    <row r="259">
      <c r="A259" s="62" t="n">
        <v>22068</v>
      </c>
      <c r="B259" t="n">
        <v>59.7</v>
      </c>
      <c r="C259" t="n">
        <v>54348</v>
      </c>
      <c r="D259" t="n">
        <v>5.4</v>
      </c>
    </row>
    <row r="260">
      <c r="A260" s="62" t="n">
        <v>22098</v>
      </c>
      <c r="B260" t="n">
        <v>59.5</v>
      </c>
      <c r="C260" t="n">
        <v>54306</v>
      </c>
      <c r="D260" t="n">
        <v>5.5</v>
      </c>
    </row>
    <row r="261">
      <c r="A261" s="62" t="n">
        <v>22129</v>
      </c>
      <c r="B261" t="n">
        <v>59.5</v>
      </c>
      <c r="C261" t="n">
        <v>54272</v>
      </c>
      <c r="D261" t="n">
        <v>5.6</v>
      </c>
    </row>
    <row r="262">
      <c r="A262" s="62" t="n">
        <v>22160</v>
      </c>
      <c r="B262" t="n">
        <v>59.7</v>
      </c>
      <c r="C262" t="n">
        <v>54227</v>
      </c>
      <c r="D262" t="n">
        <v>5.5</v>
      </c>
    </row>
    <row r="263">
      <c r="A263" s="62" t="n">
        <v>22190</v>
      </c>
      <c r="B263" t="n">
        <v>59.4</v>
      </c>
      <c r="C263" t="n">
        <v>54142</v>
      </c>
      <c r="D263" t="n">
        <v>6.1</v>
      </c>
    </row>
    <row r="264">
      <c r="A264" s="62" t="n">
        <v>22221</v>
      </c>
      <c r="B264" t="n">
        <v>59.8</v>
      </c>
      <c r="C264" t="n">
        <v>53961</v>
      </c>
      <c r="D264" t="n">
        <v>6.1</v>
      </c>
    </row>
    <row r="265">
      <c r="A265" s="62" t="n">
        <v>22251</v>
      </c>
      <c r="B265" t="n">
        <v>59.7</v>
      </c>
      <c r="C265" t="n">
        <v>53742</v>
      </c>
      <c r="D265" t="n">
        <v>6.6</v>
      </c>
    </row>
    <row r="266">
      <c r="A266" s="62" t="n">
        <v>22282</v>
      </c>
      <c r="B266" t="n">
        <v>59.6</v>
      </c>
      <c r="C266" t="n">
        <v>53683</v>
      </c>
      <c r="D266" t="n">
        <v>6.6</v>
      </c>
    </row>
    <row r="267">
      <c r="A267" s="62" t="n">
        <v>22313</v>
      </c>
      <c r="B267" t="n">
        <v>59.6</v>
      </c>
      <c r="C267" t="n">
        <v>53557</v>
      </c>
      <c r="D267" t="n">
        <v>6.9</v>
      </c>
    </row>
    <row r="268">
      <c r="A268" s="62" t="n">
        <v>22341</v>
      </c>
      <c r="B268" t="n">
        <v>59.7</v>
      </c>
      <c r="C268" t="n">
        <v>53659</v>
      </c>
      <c r="D268" t="n">
        <v>6.9</v>
      </c>
    </row>
    <row r="269">
      <c r="A269" s="62" t="n">
        <v>22372</v>
      </c>
      <c r="B269" t="n">
        <v>59.3</v>
      </c>
      <c r="C269" t="n">
        <v>53627</v>
      </c>
      <c r="D269" t="n">
        <v>7</v>
      </c>
    </row>
    <row r="270">
      <c r="A270" s="62" t="n">
        <v>22402</v>
      </c>
      <c r="B270" t="n">
        <v>59.4</v>
      </c>
      <c r="C270" t="n">
        <v>53786</v>
      </c>
      <c r="D270" t="n">
        <v>7.1</v>
      </c>
    </row>
    <row r="271">
      <c r="A271" s="62" t="n">
        <v>22433</v>
      </c>
      <c r="B271" t="n">
        <v>59.7</v>
      </c>
      <c r="C271" t="n">
        <v>53977</v>
      </c>
      <c r="D271" t="n">
        <v>6.9</v>
      </c>
    </row>
    <row r="272">
      <c r="A272" s="62" t="n">
        <v>22463</v>
      </c>
      <c r="B272" t="n">
        <v>59.3</v>
      </c>
      <c r="C272" t="n">
        <v>54123</v>
      </c>
      <c r="D272" t="n">
        <v>7</v>
      </c>
    </row>
    <row r="273">
      <c r="A273" s="62" t="n">
        <v>22494</v>
      </c>
      <c r="B273" t="n">
        <v>59.3</v>
      </c>
      <c r="C273" t="n">
        <v>54298</v>
      </c>
      <c r="D273" t="n">
        <v>6.6</v>
      </c>
    </row>
    <row r="274">
      <c r="A274" s="62" t="n">
        <v>22525</v>
      </c>
      <c r="B274" t="n">
        <v>59</v>
      </c>
      <c r="C274" t="n">
        <v>54388</v>
      </c>
      <c r="D274" t="n">
        <v>6.7</v>
      </c>
    </row>
    <row r="275">
      <c r="A275" s="62" t="n">
        <v>22555</v>
      </c>
      <c r="B275" t="n">
        <v>59.1</v>
      </c>
      <c r="C275" t="n">
        <v>54522</v>
      </c>
      <c r="D275" t="n">
        <v>6.5</v>
      </c>
    </row>
    <row r="276">
      <c r="A276" s="62" t="n">
        <v>22586</v>
      </c>
      <c r="B276" t="n">
        <v>59.1</v>
      </c>
      <c r="C276" t="n">
        <v>54742</v>
      </c>
      <c r="D276" t="n">
        <v>6.1</v>
      </c>
    </row>
    <row r="277">
      <c r="A277" s="62" t="n">
        <v>22616</v>
      </c>
      <c r="B277" t="n">
        <v>58.8</v>
      </c>
      <c r="C277" t="n">
        <v>54872</v>
      </c>
      <c r="D277" t="n">
        <v>6</v>
      </c>
    </row>
    <row r="278">
      <c r="A278" s="62" t="n">
        <v>22647</v>
      </c>
      <c r="B278" t="n">
        <v>58.8</v>
      </c>
      <c r="C278" t="n">
        <v>54891</v>
      </c>
      <c r="D278" t="n">
        <v>5.8</v>
      </c>
    </row>
    <row r="279">
      <c r="A279" s="62" t="n">
        <v>22678</v>
      </c>
      <c r="B279" t="n">
        <v>59</v>
      </c>
      <c r="C279" t="n">
        <v>55188</v>
      </c>
      <c r="D279" t="n">
        <v>5.5</v>
      </c>
    </row>
    <row r="280">
      <c r="A280" s="62" t="n">
        <v>22706</v>
      </c>
      <c r="B280" t="n">
        <v>58.9</v>
      </c>
      <c r="C280" t="n">
        <v>55275</v>
      </c>
      <c r="D280" t="n">
        <v>5.6</v>
      </c>
    </row>
    <row r="281">
      <c r="A281" s="62" t="n">
        <v>22737</v>
      </c>
      <c r="B281" t="n">
        <v>58.7</v>
      </c>
      <c r="C281" t="n">
        <v>55602</v>
      </c>
      <c r="D281" t="n">
        <v>5.6</v>
      </c>
    </row>
    <row r="282">
      <c r="A282" s="62" t="n">
        <v>22767</v>
      </c>
      <c r="B282" t="n">
        <v>58.9</v>
      </c>
      <c r="C282" t="n">
        <v>55628</v>
      </c>
      <c r="D282" t="n">
        <v>5.5</v>
      </c>
    </row>
    <row r="283">
      <c r="A283" s="62" t="n">
        <v>22798</v>
      </c>
      <c r="B283" t="n">
        <v>58.8</v>
      </c>
      <c r="C283" t="n">
        <v>55644</v>
      </c>
      <c r="D283" t="n">
        <v>5.5</v>
      </c>
    </row>
    <row r="284">
      <c r="A284" s="62" t="n">
        <v>22828</v>
      </c>
      <c r="B284" t="n">
        <v>58.5</v>
      </c>
      <c r="C284" t="n">
        <v>55746</v>
      </c>
      <c r="D284" t="n">
        <v>5.4</v>
      </c>
    </row>
    <row r="285">
      <c r="A285" s="62" t="n">
        <v>22859</v>
      </c>
      <c r="B285" t="n">
        <v>59</v>
      </c>
      <c r="C285" t="n">
        <v>55838</v>
      </c>
      <c r="D285" t="n">
        <v>5.7</v>
      </c>
    </row>
    <row r="286">
      <c r="A286" s="62" t="n">
        <v>22890</v>
      </c>
      <c r="B286" t="n">
        <v>59</v>
      </c>
      <c r="C286" t="n">
        <v>55978</v>
      </c>
      <c r="D286" t="n">
        <v>5.6</v>
      </c>
    </row>
    <row r="287">
      <c r="A287" s="62" t="n">
        <v>22920</v>
      </c>
      <c r="B287" t="n">
        <v>58.7</v>
      </c>
      <c r="C287" t="n">
        <v>56041</v>
      </c>
      <c r="D287" t="n">
        <v>5.4</v>
      </c>
    </row>
    <row r="288">
      <c r="A288" s="62" t="n">
        <v>22951</v>
      </c>
      <c r="B288" t="n">
        <v>58.5</v>
      </c>
      <c r="C288" t="n">
        <v>56056</v>
      </c>
      <c r="D288" t="n">
        <v>5.7</v>
      </c>
    </row>
    <row r="289">
      <c r="A289" s="62" t="n">
        <v>22981</v>
      </c>
      <c r="B289" t="n">
        <v>58.4</v>
      </c>
      <c r="C289" t="n">
        <v>56028</v>
      </c>
      <c r="D289" t="n">
        <v>5.5</v>
      </c>
    </row>
    <row r="290">
      <c r="A290" s="62" t="n">
        <v>23012</v>
      </c>
      <c r="B290" t="n">
        <v>58.6</v>
      </c>
      <c r="C290" t="n">
        <v>56115</v>
      </c>
      <c r="D290" t="n">
        <v>5.7</v>
      </c>
    </row>
    <row r="291">
      <c r="A291" s="62" t="n">
        <v>23043</v>
      </c>
      <c r="B291" t="n">
        <v>58.6</v>
      </c>
      <c r="C291" t="n">
        <v>56230</v>
      </c>
      <c r="D291" t="n">
        <v>5.9</v>
      </c>
    </row>
    <row r="292">
      <c r="A292" s="62" t="n">
        <v>23071</v>
      </c>
      <c r="B292" t="n">
        <v>58.6</v>
      </c>
      <c r="C292" t="n">
        <v>56320</v>
      </c>
      <c r="D292" t="n">
        <v>5.7</v>
      </c>
    </row>
    <row r="293">
      <c r="A293" s="62" t="n">
        <v>23102</v>
      </c>
      <c r="B293" t="n">
        <v>58.8</v>
      </c>
      <c r="C293" t="n">
        <v>56580</v>
      </c>
      <c r="D293" t="n">
        <v>5.7</v>
      </c>
    </row>
    <row r="294">
      <c r="A294" s="62" t="n">
        <v>23132</v>
      </c>
      <c r="B294" t="n">
        <v>58.8</v>
      </c>
      <c r="C294" t="n">
        <v>56616</v>
      </c>
      <c r="D294" t="n">
        <v>5.9</v>
      </c>
    </row>
    <row r="295">
      <c r="A295" s="62" t="n">
        <v>23163</v>
      </c>
      <c r="B295" t="n">
        <v>58.5</v>
      </c>
      <c r="C295" t="n">
        <v>56659</v>
      </c>
      <c r="D295" t="n">
        <v>5.6</v>
      </c>
    </row>
    <row r="296">
      <c r="A296" s="62" t="n">
        <v>23193</v>
      </c>
      <c r="B296" t="n">
        <v>58.7</v>
      </c>
      <c r="C296" t="n">
        <v>56794</v>
      </c>
      <c r="D296" t="n">
        <v>5.6</v>
      </c>
    </row>
    <row r="297">
      <c r="A297" s="62" t="n">
        <v>23224</v>
      </c>
      <c r="B297" t="n">
        <v>58.5</v>
      </c>
      <c r="C297" t="n">
        <v>56910</v>
      </c>
      <c r="D297" t="n">
        <v>5.4</v>
      </c>
    </row>
    <row r="298">
      <c r="A298" s="62" t="n">
        <v>23255</v>
      </c>
      <c r="B298" t="n">
        <v>58.7</v>
      </c>
      <c r="C298" t="n">
        <v>57078</v>
      </c>
      <c r="D298" t="n">
        <v>5.5</v>
      </c>
    </row>
    <row r="299">
      <c r="A299" s="62" t="n">
        <v>23285</v>
      </c>
      <c r="B299" t="n">
        <v>58.8</v>
      </c>
      <c r="C299" t="n">
        <v>57283</v>
      </c>
      <c r="D299" t="n">
        <v>5.5</v>
      </c>
    </row>
    <row r="300">
      <c r="A300" s="62" t="n">
        <v>23316</v>
      </c>
      <c r="B300" t="n">
        <v>58.8</v>
      </c>
      <c r="C300" t="n">
        <v>57255</v>
      </c>
      <c r="D300" t="n">
        <v>5.7</v>
      </c>
    </row>
    <row r="301">
      <c r="A301" s="62" t="n">
        <v>23346</v>
      </c>
      <c r="B301" t="n">
        <v>58.5</v>
      </c>
      <c r="C301" t="n">
        <v>57361</v>
      </c>
      <c r="D301" t="n">
        <v>5.5</v>
      </c>
    </row>
    <row r="302">
      <c r="A302" s="62" t="n">
        <v>23377</v>
      </c>
      <c r="B302" t="n">
        <v>58.6</v>
      </c>
      <c r="C302" t="n">
        <v>57487</v>
      </c>
      <c r="D302" t="n">
        <v>5.6</v>
      </c>
    </row>
    <row r="303">
      <c r="A303" s="62" t="n">
        <v>23408</v>
      </c>
      <c r="B303" t="n">
        <v>58.8</v>
      </c>
      <c r="C303" t="n">
        <v>57753</v>
      </c>
      <c r="D303" t="n">
        <v>5.4</v>
      </c>
    </row>
    <row r="304">
      <c r="A304" s="62" t="n">
        <v>23437</v>
      </c>
      <c r="B304" t="n">
        <v>58.7</v>
      </c>
      <c r="C304" t="n">
        <v>57897</v>
      </c>
      <c r="D304" t="n">
        <v>5.4</v>
      </c>
    </row>
    <row r="305">
      <c r="A305" s="62" t="n">
        <v>23468</v>
      </c>
      <c r="B305" t="n">
        <v>59.1</v>
      </c>
      <c r="C305" t="n">
        <v>57922</v>
      </c>
      <c r="D305" t="n">
        <v>5.3</v>
      </c>
    </row>
    <row r="306">
      <c r="A306" s="62" t="n">
        <v>23498</v>
      </c>
      <c r="B306" t="n">
        <v>59.1</v>
      </c>
      <c r="C306" t="n">
        <v>58089</v>
      </c>
      <c r="D306" t="n">
        <v>5.1</v>
      </c>
    </row>
    <row r="307">
      <c r="A307" s="62" t="n">
        <v>23529</v>
      </c>
      <c r="B307" t="n">
        <v>58.7</v>
      </c>
      <c r="C307" t="n">
        <v>58219</v>
      </c>
      <c r="D307" t="n">
        <v>5.2</v>
      </c>
    </row>
    <row r="308">
      <c r="A308" s="62" t="n">
        <v>23559</v>
      </c>
      <c r="B308" t="n">
        <v>58.6</v>
      </c>
      <c r="C308" t="n">
        <v>58412</v>
      </c>
      <c r="D308" t="n">
        <v>4.9</v>
      </c>
    </row>
    <row r="309">
      <c r="A309" s="62" t="n">
        <v>23590</v>
      </c>
      <c r="B309" t="n">
        <v>58.6</v>
      </c>
      <c r="C309" t="n">
        <v>58619</v>
      </c>
      <c r="D309" t="n">
        <v>5</v>
      </c>
    </row>
    <row r="310">
      <c r="A310" s="62" t="n">
        <v>23621</v>
      </c>
      <c r="B310" t="n">
        <v>58.7</v>
      </c>
      <c r="C310" t="n">
        <v>58903</v>
      </c>
      <c r="D310" t="n">
        <v>5.1</v>
      </c>
    </row>
    <row r="311">
      <c r="A311" s="62" t="n">
        <v>23651</v>
      </c>
      <c r="B311" t="n">
        <v>58.6</v>
      </c>
      <c r="C311" t="n">
        <v>58793</v>
      </c>
      <c r="D311" t="n">
        <v>5.1</v>
      </c>
    </row>
    <row r="312">
      <c r="A312" s="62" t="n">
        <v>23682</v>
      </c>
      <c r="B312" t="n">
        <v>58.5</v>
      </c>
      <c r="C312" t="n">
        <v>59218</v>
      </c>
      <c r="D312" t="n">
        <v>4.8</v>
      </c>
    </row>
    <row r="313">
      <c r="A313" s="62" t="n">
        <v>23712</v>
      </c>
      <c r="B313" t="n">
        <v>58.6</v>
      </c>
      <c r="C313" t="n">
        <v>59421</v>
      </c>
      <c r="D313" t="n">
        <v>5</v>
      </c>
    </row>
    <row r="314">
      <c r="A314" s="62" t="n">
        <v>23743</v>
      </c>
      <c r="B314" t="n">
        <v>58.6</v>
      </c>
      <c r="C314" t="n">
        <v>59582</v>
      </c>
      <c r="D314" t="n">
        <v>4.9</v>
      </c>
    </row>
    <row r="315">
      <c r="A315" s="62" t="n">
        <v>23774</v>
      </c>
      <c r="B315" t="n">
        <v>58.7</v>
      </c>
      <c r="C315" t="n">
        <v>59800</v>
      </c>
      <c r="D315" t="n">
        <v>5.1</v>
      </c>
    </row>
    <row r="316">
      <c r="A316" s="62" t="n">
        <v>23802</v>
      </c>
      <c r="B316" t="n">
        <v>58.7</v>
      </c>
      <c r="C316" t="n">
        <v>60003</v>
      </c>
      <c r="D316" t="n">
        <v>4.7</v>
      </c>
    </row>
    <row r="317">
      <c r="A317" s="62" t="n">
        <v>23833</v>
      </c>
      <c r="B317" t="n">
        <v>58.8</v>
      </c>
      <c r="C317" t="n">
        <v>60259</v>
      </c>
      <c r="D317" t="n">
        <v>4.8</v>
      </c>
    </row>
    <row r="318">
      <c r="A318" s="62" t="n">
        <v>23863</v>
      </c>
      <c r="B318" t="n">
        <v>59</v>
      </c>
      <c r="C318" t="n">
        <v>60491</v>
      </c>
      <c r="D318" t="n">
        <v>4.6</v>
      </c>
    </row>
    <row r="319">
      <c r="A319" s="62" t="n">
        <v>23894</v>
      </c>
      <c r="B319" t="n">
        <v>58.8</v>
      </c>
      <c r="C319" t="n">
        <v>60690</v>
      </c>
      <c r="D319" t="n">
        <v>4.6</v>
      </c>
    </row>
    <row r="320">
      <c r="A320" s="62" t="n">
        <v>23924</v>
      </c>
      <c r="B320" t="n">
        <v>59.1</v>
      </c>
      <c r="C320" t="n">
        <v>60965</v>
      </c>
      <c r="D320" t="n">
        <v>4.4</v>
      </c>
    </row>
    <row r="321">
      <c r="A321" s="62" t="n">
        <v>23955</v>
      </c>
      <c r="B321" t="n">
        <v>58.9</v>
      </c>
      <c r="C321" t="n">
        <v>61228</v>
      </c>
      <c r="D321" t="n">
        <v>4.4</v>
      </c>
    </row>
    <row r="322">
      <c r="A322" s="62" t="n">
        <v>23986</v>
      </c>
      <c r="B322" t="n">
        <v>58.7</v>
      </c>
      <c r="C322" t="n">
        <v>61490</v>
      </c>
      <c r="D322" t="n">
        <v>4.3</v>
      </c>
    </row>
    <row r="323">
      <c r="A323" s="62" t="n">
        <v>24016</v>
      </c>
      <c r="B323" t="n">
        <v>58.9</v>
      </c>
      <c r="C323" t="n">
        <v>61719</v>
      </c>
      <c r="D323" t="n">
        <v>4.2</v>
      </c>
    </row>
    <row r="324">
      <c r="A324" s="62" t="n">
        <v>24047</v>
      </c>
      <c r="B324" t="n">
        <v>58.8</v>
      </c>
      <c r="C324" t="n">
        <v>61996</v>
      </c>
      <c r="D324" t="n">
        <v>4.1</v>
      </c>
    </row>
    <row r="325">
      <c r="A325" s="62" t="n">
        <v>24077</v>
      </c>
      <c r="B325" t="n">
        <v>59</v>
      </c>
      <c r="C325" t="n">
        <v>62322</v>
      </c>
      <c r="D325" t="n">
        <v>4</v>
      </c>
    </row>
    <row r="326">
      <c r="A326" s="62" t="n">
        <v>24108</v>
      </c>
      <c r="B326" t="n">
        <v>59</v>
      </c>
      <c r="C326" t="n">
        <v>62529</v>
      </c>
      <c r="D326" t="n">
        <v>4</v>
      </c>
    </row>
    <row r="327">
      <c r="A327" s="62" t="n">
        <v>24139</v>
      </c>
      <c r="B327" t="n">
        <v>58.8</v>
      </c>
      <c r="C327" t="n">
        <v>62796</v>
      </c>
      <c r="D327" t="n">
        <v>3.8</v>
      </c>
    </row>
    <row r="328">
      <c r="A328" s="62" t="n">
        <v>24167</v>
      </c>
      <c r="B328" t="n">
        <v>58.8</v>
      </c>
      <c r="C328" t="n">
        <v>63192</v>
      </c>
      <c r="D328" t="n">
        <v>3.8</v>
      </c>
    </row>
    <row r="329">
      <c r="A329" s="62" t="n">
        <v>24198</v>
      </c>
      <c r="B329" t="n">
        <v>59</v>
      </c>
      <c r="C329" t="n">
        <v>63437</v>
      </c>
      <c r="D329" t="n">
        <v>3.8</v>
      </c>
    </row>
    <row r="330">
      <c r="A330" s="62" t="n">
        <v>24228</v>
      </c>
      <c r="B330" t="n">
        <v>59</v>
      </c>
      <c r="C330" t="n">
        <v>63712</v>
      </c>
      <c r="D330" t="n">
        <v>3.9</v>
      </c>
    </row>
    <row r="331">
      <c r="A331" s="62" t="n">
        <v>24259</v>
      </c>
      <c r="B331" t="n">
        <v>59.1</v>
      </c>
      <c r="C331" t="n">
        <v>64111</v>
      </c>
      <c r="D331" t="n">
        <v>3.8</v>
      </c>
    </row>
    <row r="332">
      <c r="A332" s="62" t="n">
        <v>24289</v>
      </c>
      <c r="B332" t="n">
        <v>59.1</v>
      </c>
      <c r="C332" t="n">
        <v>64301</v>
      </c>
      <c r="D332" t="n">
        <v>3.8</v>
      </c>
    </row>
    <row r="333">
      <c r="A333" s="62" t="n">
        <v>24320</v>
      </c>
      <c r="B333" t="n">
        <v>59.3</v>
      </c>
      <c r="C333" t="n">
        <v>64507</v>
      </c>
      <c r="D333" t="n">
        <v>3.8</v>
      </c>
    </row>
    <row r="334">
      <c r="A334" s="62" t="n">
        <v>24351</v>
      </c>
      <c r="B334" t="n">
        <v>59.3</v>
      </c>
      <c r="C334" t="n">
        <v>64643</v>
      </c>
      <c r="D334" t="n">
        <v>3.7</v>
      </c>
    </row>
    <row r="335">
      <c r="A335" s="62" t="n">
        <v>24381</v>
      </c>
      <c r="B335" t="n">
        <v>59.3</v>
      </c>
      <c r="C335" t="n">
        <v>64854</v>
      </c>
      <c r="D335" t="n">
        <v>3.7</v>
      </c>
    </row>
    <row r="336">
      <c r="A336" s="62" t="n">
        <v>24412</v>
      </c>
      <c r="B336" t="n">
        <v>59.6</v>
      </c>
      <c r="C336" t="n">
        <v>65019</v>
      </c>
      <c r="D336" t="n">
        <v>3.6</v>
      </c>
    </row>
    <row r="337">
      <c r="A337" s="62" t="n">
        <v>24442</v>
      </c>
      <c r="B337" t="n">
        <v>59.5</v>
      </c>
      <c r="C337" t="n">
        <v>65199</v>
      </c>
      <c r="D337" t="n">
        <v>3.8</v>
      </c>
    </row>
    <row r="338">
      <c r="A338" s="62" t="n">
        <v>24473</v>
      </c>
      <c r="B338" t="n">
        <v>59.5</v>
      </c>
      <c r="C338" t="n">
        <v>65407</v>
      </c>
      <c r="D338" t="n">
        <v>3.9</v>
      </c>
    </row>
    <row r="339">
      <c r="A339" s="62" t="n">
        <v>24504</v>
      </c>
      <c r="B339" t="n">
        <v>59.3</v>
      </c>
      <c r="C339" t="n">
        <v>65429</v>
      </c>
      <c r="D339" t="n">
        <v>3.8</v>
      </c>
    </row>
    <row r="340">
      <c r="A340" s="62" t="n">
        <v>24532</v>
      </c>
      <c r="B340" t="n">
        <v>59.1</v>
      </c>
      <c r="C340" t="n">
        <v>65530</v>
      </c>
      <c r="D340" t="n">
        <v>3.8</v>
      </c>
    </row>
    <row r="341">
      <c r="A341" s="62" t="n">
        <v>24563</v>
      </c>
      <c r="B341" t="n">
        <v>59.4</v>
      </c>
      <c r="C341" t="n">
        <v>65466</v>
      </c>
      <c r="D341" t="n">
        <v>3.8</v>
      </c>
    </row>
    <row r="342">
      <c r="A342" s="62" t="n">
        <v>24593</v>
      </c>
      <c r="B342" t="n">
        <v>59.3</v>
      </c>
      <c r="C342" t="n">
        <v>65620</v>
      </c>
      <c r="D342" t="n">
        <v>3.8</v>
      </c>
    </row>
    <row r="343">
      <c r="A343" s="62" t="n">
        <v>24624</v>
      </c>
      <c r="B343" t="n">
        <v>59.6</v>
      </c>
      <c r="C343" t="n">
        <v>65750</v>
      </c>
      <c r="D343" t="n">
        <v>3.9</v>
      </c>
    </row>
    <row r="344">
      <c r="A344" s="62" t="n">
        <v>24654</v>
      </c>
      <c r="B344" t="n">
        <v>59.6</v>
      </c>
      <c r="C344" t="n">
        <v>65888</v>
      </c>
      <c r="D344" t="n">
        <v>3.8</v>
      </c>
    </row>
    <row r="345">
      <c r="A345" s="62" t="n">
        <v>24685</v>
      </c>
      <c r="B345" t="n">
        <v>59.7</v>
      </c>
      <c r="C345" t="n">
        <v>66143</v>
      </c>
      <c r="D345" t="n">
        <v>3.8</v>
      </c>
    </row>
    <row r="346">
      <c r="A346" s="62" t="n">
        <v>24716</v>
      </c>
      <c r="B346" t="n">
        <v>59.7</v>
      </c>
      <c r="C346" t="n">
        <v>66164</v>
      </c>
      <c r="D346" t="n">
        <v>3.8</v>
      </c>
    </row>
    <row r="347">
      <c r="A347" s="62" t="n">
        <v>24746</v>
      </c>
      <c r="B347" t="n">
        <v>59.9</v>
      </c>
      <c r="C347" t="n">
        <v>66225</v>
      </c>
      <c r="D347" t="n">
        <v>4</v>
      </c>
    </row>
    <row r="348">
      <c r="A348" s="62" t="n">
        <v>24777</v>
      </c>
      <c r="B348" t="n">
        <v>59.8</v>
      </c>
      <c r="C348" t="n">
        <v>66703</v>
      </c>
      <c r="D348" t="n">
        <v>3.9</v>
      </c>
    </row>
    <row r="349">
      <c r="A349" s="62" t="n">
        <v>24807</v>
      </c>
      <c r="B349" t="n">
        <v>59.9</v>
      </c>
      <c r="C349" t="n">
        <v>66900</v>
      </c>
      <c r="D349" t="n">
        <v>3.8</v>
      </c>
    </row>
    <row r="350">
      <c r="A350" s="62" t="n">
        <v>24838</v>
      </c>
      <c r="B350" t="n">
        <v>59.2</v>
      </c>
      <c r="C350" t="n">
        <v>66804</v>
      </c>
      <c r="D350" t="n">
        <v>3.7</v>
      </c>
    </row>
    <row r="351">
      <c r="A351" s="62" t="n">
        <v>24869</v>
      </c>
      <c r="B351" t="n">
        <v>59.6</v>
      </c>
      <c r="C351" t="n">
        <v>67215</v>
      </c>
      <c r="D351" t="n">
        <v>3.8</v>
      </c>
    </row>
    <row r="352">
      <c r="A352" s="62" t="n">
        <v>24898</v>
      </c>
      <c r="B352" t="n">
        <v>59.6</v>
      </c>
      <c r="C352" t="n">
        <v>67295</v>
      </c>
      <c r="D352" t="n">
        <v>3.7</v>
      </c>
    </row>
    <row r="353">
      <c r="A353" s="62" t="n">
        <v>24929</v>
      </c>
      <c r="B353" t="n">
        <v>59.5</v>
      </c>
      <c r="C353" t="n">
        <v>67556</v>
      </c>
      <c r="D353" t="n">
        <v>3.5</v>
      </c>
    </row>
    <row r="354">
      <c r="A354" s="62" t="n">
        <v>24959</v>
      </c>
      <c r="B354" t="n">
        <v>59.9</v>
      </c>
      <c r="C354" t="n">
        <v>67652</v>
      </c>
      <c r="D354" t="n">
        <v>3.5</v>
      </c>
    </row>
    <row r="355">
      <c r="A355" s="62" t="n">
        <v>24990</v>
      </c>
      <c r="B355" t="n">
        <v>60</v>
      </c>
      <c r="C355" t="n">
        <v>67905</v>
      </c>
      <c r="D355" t="n">
        <v>3.7</v>
      </c>
    </row>
    <row r="356">
      <c r="A356" s="62" t="n">
        <v>25020</v>
      </c>
      <c r="B356" t="n">
        <v>59.8</v>
      </c>
      <c r="C356" t="n">
        <v>68126</v>
      </c>
      <c r="D356" t="n">
        <v>3.7</v>
      </c>
    </row>
    <row r="357">
      <c r="A357" s="62" t="n">
        <v>25051</v>
      </c>
      <c r="B357" t="n">
        <v>59.6</v>
      </c>
      <c r="C357" t="n">
        <v>68330</v>
      </c>
      <c r="D357" t="n">
        <v>3.5</v>
      </c>
    </row>
    <row r="358">
      <c r="A358" s="62" t="n">
        <v>25082</v>
      </c>
      <c r="B358" t="n">
        <v>59.5</v>
      </c>
      <c r="C358" t="n">
        <v>68484</v>
      </c>
      <c r="D358" t="n">
        <v>3.4</v>
      </c>
    </row>
    <row r="359">
      <c r="A359" s="62" t="n">
        <v>25112</v>
      </c>
      <c r="B359" t="n">
        <v>59.5</v>
      </c>
      <c r="C359" t="n">
        <v>68721</v>
      </c>
      <c r="D359" t="n">
        <v>3.4</v>
      </c>
    </row>
    <row r="360">
      <c r="A360" s="62" t="n">
        <v>25143</v>
      </c>
      <c r="B360" t="n">
        <v>59.6</v>
      </c>
      <c r="C360" t="n">
        <v>68984</v>
      </c>
      <c r="D360" t="n">
        <v>3.4</v>
      </c>
    </row>
    <row r="361">
      <c r="A361" s="62" t="n">
        <v>25173</v>
      </c>
      <c r="B361" t="n">
        <v>59.7</v>
      </c>
      <c r="C361" t="n">
        <v>69248</v>
      </c>
      <c r="D361" t="n">
        <v>3.4</v>
      </c>
    </row>
    <row r="362">
      <c r="A362" s="62" t="n">
        <v>25204</v>
      </c>
      <c r="B362" t="n">
        <v>59.6</v>
      </c>
      <c r="C362" t="n">
        <v>69439</v>
      </c>
      <c r="D362" t="n">
        <v>3.4</v>
      </c>
    </row>
    <row r="363">
      <c r="A363" s="62" t="n">
        <v>25235</v>
      </c>
      <c r="B363" t="n">
        <v>60</v>
      </c>
      <c r="C363" t="n">
        <v>69699</v>
      </c>
      <c r="D363" t="n">
        <v>3.4</v>
      </c>
    </row>
    <row r="364">
      <c r="A364" s="62" t="n">
        <v>25263</v>
      </c>
      <c r="B364" t="n">
        <v>59.9</v>
      </c>
      <c r="C364" t="n">
        <v>69905</v>
      </c>
      <c r="D364" t="n">
        <v>3.4</v>
      </c>
    </row>
    <row r="365">
      <c r="A365" s="62" t="n">
        <v>25294</v>
      </c>
      <c r="B365" t="n">
        <v>60</v>
      </c>
      <c r="C365" t="n">
        <v>70072</v>
      </c>
      <c r="D365" t="n">
        <v>3.4</v>
      </c>
    </row>
    <row r="366">
      <c r="A366" s="62" t="n">
        <v>25324</v>
      </c>
      <c r="B366" t="n">
        <v>59.8</v>
      </c>
      <c r="C366" t="n">
        <v>70328</v>
      </c>
      <c r="D366" t="n">
        <v>3.4</v>
      </c>
    </row>
    <row r="367">
      <c r="A367" s="62" t="n">
        <v>25355</v>
      </c>
      <c r="B367" t="n">
        <v>60.1</v>
      </c>
      <c r="C367" t="n">
        <v>70636</v>
      </c>
      <c r="D367" t="n">
        <v>3.5</v>
      </c>
    </row>
    <row r="368">
      <c r="A368" s="62" t="n">
        <v>25385</v>
      </c>
      <c r="B368" t="n">
        <v>60.1</v>
      </c>
      <c r="C368" t="n">
        <v>70729</v>
      </c>
      <c r="D368" t="n">
        <v>3.5</v>
      </c>
    </row>
    <row r="369">
      <c r="A369" s="62" t="n">
        <v>25416</v>
      </c>
      <c r="B369" t="n">
        <v>60.3</v>
      </c>
      <c r="C369" t="n">
        <v>71008</v>
      </c>
      <c r="D369" t="n">
        <v>3.5</v>
      </c>
    </row>
    <row r="370">
      <c r="A370" s="62" t="n">
        <v>25447</v>
      </c>
      <c r="B370" t="n">
        <v>60.3</v>
      </c>
      <c r="C370" t="n">
        <v>70914</v>
      </c>
      <c r="D370" t="n">
        <v>3.7</v>
      </c>
    </row>
    <row r="371">
      <c r="A371" s="62" t="n">
        <v>25477</v>
      </c>
      <c r="B371" t="n">
        <v>60.4</v>
      </c>
      <c r="C371" t="n">
        <v>71121</v>
      </c>
      <c r="D371" t="n">
        <v>3.7</v>
      </c>
    </row>
    <row r="372">
      <c r="A372" s="62" t="n">
        <v>25508</v>
      </c>
      <c r="B372" t="n">
        <v>60.2</v>
      </c>
      <c r="C372" t="n">
        <v>71086</v>
      </c>
      <c r="D372" t="n">
        <v>3.5</v>
      </c>
    </row>
    <row r="373">
      <c r="A373" s="62" t="n">
        <v>25538</v>
      </c>
      <c r="B373" t="n">
        <v>60.2</v>
      </c>
      <c r="C373" t="n">
        <v>71241</v>
      </c>
      <c r="D373" t="n">
        <v>3.5</v>
      </c>
    </row>
    <row r="374">
      <c r="A374" s="62" t="n">
        <v>25569</v>
      </c>
      <c r="B374" t="n">
        <v>60.4</v>
      </c>
      <c r="C374" t="n">
        <v>71176</v>
      </c>
      <c r="D374" t="n">
        <v>3.9</v>
      </c>
    </row>
    <row r="375">
      <c r="A375" s="62" t="n">
        <v>25600</v>
      </c>
      <c r="B375" t="n">
        <v>60.4</v>
      </c>
      <c r="C375" t="n">
        <v>71305</v>
      </c>
      <c r="D375" t="n">
        <v>4.2</v>
      </c>
    </row>
    <row r="376">
      <c r="A376" s="62" t="n">
        <v>25628</v>
      </c>
      <c r="B376" t="n">
        <v>60.6</v>
      </c>
      <c r="C376" t="n">
        <v>71451</v>
      </c>
      <c r="D376" t="n">
        <v>4.4</v>
      </c>
    </row>
    <row r="377">
      <c r="A377" s="62" t="n">
        <v>25659</v>
      </c>
      <c r="B377" t="n">
        <v>60.6</v>
      </c>
      <c r="C377" t="n">
        <v>71348</v>
      </c>
      <c r="D377" t="n">
        <v>4.6</v>
      </c>
    </row>
    <row r="378">
      <c r="A378" s="62" t="n">
        <v>25689</v>
      </c>
      <c r="B378" t="n">
        <v>60.3</v>
      </c>
      <c r="C378" t="n">
        <v>71124</v>
      </c>
      <c r="D378" t="n">
        <v>4.8</v>
      </c>
    </row>
    <row r="379">
      <c r="A379" s="62" t="n">
        <v>25720</v>
      </c>
      <c r="B379" t="n">
        <v>60.2</v>
      </c>
      <c r="C379" t="n">
        <v>71029</v>
      </c>
      <c r="D379" t="n">
        <v>4.9</v>
      </c>
    </row>
    <row r="380">
      <c r="A380" s="62" t="n">
        <v>25750</v>
      </c>
      <c r="B380" t="n">
        <v>60.4</v>
      </c>
      <c r="C380" t="n">
        <v>71053</v>
      </c>
      <c r="D380" t="n">
        <v>5</v>
      </c>
    </row>
    <row r="381">
      <c r="A381" s="62" t="n">
        <v>25781</v>
      </c>
      <c r="B381" t="n">
        <v>60.3</v>
      </c>
      <c r="C381" t="n">
        <v>70937</v>
      </c>
      <c r="D381" t="n">
        <v>5.1</v>
      </c>
    </row>
    <row r="382">
      <c r="A382" s="62" t="n">
        <v>25812</v>
      </c>
      <c r="B382" t="n">
        <v>60.2</v>
      </c>
      <c r="C382" t="n">
        <v>70944</v>
      </c>
      <c r="D382" t="n">
        <v>5.4</v>
      </c>
    </row>
    <row r="383">
      <c r="A383" s="62" t="n">
        <v>25842</v>
      </c>
      <c r="B383" t="n">
        <v>60.4</v>
      </c>
      <c r="C383" t="n">
        <v>70521</v>
      </c>
      <c r="D383" t="n">
        <v>5.5</v>
      </c>
    </row>
    <row r="384">
      <c r="A384" s="62" t="n">
        <v>25873</v>
      </c>
      <c r="B384" t="n">
        <v>60.4</v>
      </c>
      <c r="C384" t="n">
        <v>70409</v>
      </c>
      <c r="D384" t="n">
        <v>5.9</v>
      </c>
    </row>
    <row r="385">
      <c r="A385" s="62" t="n">
        <v>25903</v>
      </c>
      <c r="B385" t="n">
        <v>60.4</v>
      </c>
      <c r="C385" t="n">
        <v>70792</v>
      </c>
      <c r="D385" t="n">
        <v>6.1</v>
      </c>
    </row>
    <row r="386">
      <c r="A386" s="62" t="n">
        <v>25934</v>
      </c>
      <c r="B386" t="n">
        <v>60.4</v>
      </c>
      <c r="C386" t="n">
        <v>70865</v>
      </c>
      <c r="D386" t="n">
        <v>5.9</v>
      </c>
    </row>
    <row r="387">
      <c r="A387" s="62" t="n">
        <v>25965</v>
      </c>
      <c r="B387" t="n">
        <v>60.1</v>
      </c>
      <c r="C387" t="n">
        <v>70807</v>
      </c>
      <c r="D387" t="n">
        <v>5.9</v>
      </c>
    </row>
    <row r="388">
      <c r="A388" s="62" t="n">
        <v>25993</v>
      </c>
      <c r="B388" t="n">
        <v>60</v>
      </c>
      <c r="C388" t="n">
        <v>70860</v>
      </c>
      <c r="D388" t="n">
        <v>6</v>
      </c>
    </row>
    <row r="389">
      <c r="A389" s="62" t="n">
        <v>26024</v>
      </c>
      <c r="B389" t="n">
        <v>60.1</v>
      </c>
      <c r="C389" t="n">
        <v>71036</v>
      </c>
      <c r="D389" t="n">
        <v>5.9</v>
      </c>
    </row>
    <row r="390">
      <c r="A390" s="62" t="n">
        <v>26054</v>
      </c>
      <c r="B390" t="n">
        <v>60.2</v>
      </c>
      <c r="C390" t="n">
        <v>71247</v>
      </c>
      <c r="D390" t="n">
        <v>5.9</v>
      </c>
    </row>
    <row r="391">
      <c r="A391" s="62" t="n">
        <v>26085</v>
      </c>
      <c r="B391" t="n">
        <v>59.8</v>
      </c>
      <c r="C391" t="n">
        <v>71254</v>
      </c>
      <c r="D391" t="n">
        <v>5.9</v>
      </c>
    </row>
    <row r="392">
      <c r="A392" s="62" t="n">
        <v>26115</v>
      </c>
      <c r="B392" t="n">
        <v>60.1</v>
      </c>
      <c r="C392" t="n">
        <v>71315</v>
      </c>
      <c r="D392" t="n">
        <v>6</v>
      </c>
    </row>
    <row r="393">
      <c r="A393" s="62" t="n">
        <v>26146</v>
      </c>
      <c r="B393" t="n">
        <v>60.2</v>
      </c>
      <c r="C393" t="n">
        <v>71373</v>
      </c>
      <c r="D393" t="n">
        <v>6.1</v>
      </c>
    </row>
    <row r="394">
      <c r="A394" s="62" t="n">
        <v>26177</v>
      </c>
      <c r="B394" t="n">
        <v>60.1</v>
      </c>
      <c r="C394" t="n">
        <v>71614</v>
      </c>
      <c r="D394" t="n">
        <v>6</v>
      </c>
    </row>
    <row r="395">
      <c r="A395" s="62" t="n">
        <v>26207</v>
      </c>
      <c r="B395" t="n">
        <v>60.1</v>
      </c>
      <c r="C395" t="n">
        <v>71642</v>
      </c>
      <c r="D395" t="n">
        <v>5.8</v>
      </c>
    </row>
    <row r="396">
      <c r="A396" s="62" t="n">
        <v>26238</v>
      </c>
      <c r="B396" t="n">
        <v>60.4</v>
      </c>
      <c r="C396" t="n">
        <v>71847</v>
      </c>
      <c r="D396" t="n">
        <v>6</v>
      </c>
    </row>
    <row r="397">
      <c r="A397" s="62" t="n">
        <v>26268</v>
      </c>
      <c r="B397" t="n">
        <v>60.4</v>
      </c>
      <c r="C397" t="n">
        <v>72109</v>
      </c>
      <c r="D397" t="n">
        <v>6</v>
      </c>
    </row>
    <row r="398">
      <c r="A398" s="62" t="n">
        <v>26299</v>
      </c>
      <c r="B398" t="n">
        <v>60.2</v>
      </c>
      <c r="C398" t="n">
        <v>72441</v>
      </c>
      <c r="D398" t="n">
        <v>5.8</v>
      </c>
    </row>
    <row r="399">
      <c r="A399" s="62" t="n">
        <v>26330</v>
      </c>
      <c r="B399" t="n">
        <v>60.2</v>
      </c>
      <c r="C399" t="n">
        <v>72648</v>
      </c>
      <c r="D399" t="n">
        <v>5.7</v>
      </c>
    </row>
    <row r="400">
      <c r="A400" s="62" t="n">
        <v>26359</v>
      </c>
      <c r="B400" t="n">
        <v>60.5</v>
      </c>
      <c r="C400" t="n">
        <v>72944</v>
      </c>
      <c r="D400" t="n">
        <v>5.8</v>
      </c>
    </row>
    <row r="401">
      <c r="A401" s="62" t="n">
        <v>26390</v>
      </c>
      <c r="B401" t="n">
        <v>60.4</v>
      </c>
      <c r="C401" t="n">
        <v>73162</v>
      </c>
      <c r="D401" t="n">
        <v>5.7</v>
      </c>
    </row>
    <row r="402">
      <c r="A402" s="62" t="n">
        <v>26420</v>
      </c>
      <c r="B402" t="n">
        <v>60.4</v>
      </c>
      <c r="C402" t="n">
        <v>73469</v>
      </c>
      <c r="D402" t="n">
        <v>5.7</v>
      </c>
    </row>
    <row r="403">
      <c r="A403" s="62" t="n">
        <v>26451</v>
      </c>
      <c r="B403" t="n">
        <v>60.4</v>
      </c>
      <c r="C403" t="n">
        <v>73758</v>
      </c>
      <c r="D403" t="n">
        <v>5.7</v>
      </c>
    </row>
    <row r="404">
      <c r="A404" s="62" t="n">
        <v>26481</v>
      </c>
      <c r="B404" t="n">
        <v>60.4</v>
      </c>
      <c r="C404" t="n">
        <v>73709</v>
      </c>
      <c r="D404" t="n">
        <v>5.6</v>
      </c>
    </row>
    <row r="405">
      <c r="A405" s="62" t="n">
        <v>26512</v>
      </c>
      <c r="B405" t="n">
        <v>60.6</v>
      </c>
      <c r="C405" t="n">
        <v>74141</v>
      </c>
      <c r="D405" t="n">
        <v>5.6</v>
      </c>
    </row>
    <row r="406">
      <c r="A406" s="62" t="n">
        <v>26543</v>
      </c>
      <c r="B406" t="n">
        <v>60.4</v>
      </c>
      <c r="C406" t="n">
        <v>74264</v>
      </c>
      <c r="D406" t="n">
        <v>5.5</v>
      </c>
    </row>
    <row r="407">
      <c r="A407" s="62" t="n">
        <v>26573</v>
      </c>
      <c r="B407" t="n">
        <v>60.3</v>
      </c>
      <c r="C407" t="n">
        <v>74674</v>
      </c>
      <c r="D407" t="n">
        <v>5.6</v>
      </c>
    </row>
    <row r="408">
      <c r="A408" s="62" t="n">
        <v>26604</v>
      </c>
      <c r="B408" t="n">
        <v>60.3</v>
      </c>
      <c r="C408" t="n">
        <v>74973</v>
      </c>
      <c r="D408" t="n">
        <v>5.3</v>
      </c>
    </row>
    <row r="409">
      <c r="A409" s="62" t="n">
        <v>26634</v>
      </c>
      <c r="B409" t="n">
        <v>60.5</v>
      </c>
      <c r="C409" t="n">
        <v>75268</v>
      </c>
      <c r="D409" t="n">
        <v>5.2</v>
      </c>
    </row>
    <row r="410">
      <c r="A410" s="62" t="n">
        <v>26665</v>
      </c>
      <c r="B410" t="n">
        <v>60</v>
      </c>
      <c r="C410" t="n">
        <v>75617</v>
      </c>
      <c r="D410" t="n">
        <v>4.9</v>
      </c>
    </row>
    <row r="411">
      <c r="A411" s="62" t="n">
        <v>26696</v>
      </c>
      <c r="B411" t="n">
        <v>60.5</v>
      </c>
      <c r="C411" t="n">
        <v>76014</v>
      </c>
      <c r="D411" t="n">
        <v>5</v>
      </c>
    </row>
    <row r="412">
      <c r="A412" s="62" t="n">
        <v>26724</v>
      </c>
      <c r="B412" t="n">
        <v>60.8</v>
      </c>
      <c r="C412" t="n">
        <v>76284</v>
      </c>
      <c r="D412" t="n">
        <v>4.9</v>
      </c>
    </row>
    <row r="413">
      <c r="A413" s="62" t="n">
        <v>26755</v>
      </c>
      <c r="B413" t="n">
        <v>60.8</v>
      </c>
      <c r="C413" t="n">
        <v>76455</v>
      </c>
      <c r="D413" t="n">
        <v>5</v>
      </c>
    </row>
    <row r="414">
      <c r="A414" s="62" t="n">
        <v>26785</v>
      </c>
      <c r="B414" t="n">
        <v>60.6</v>
      </c>
      <c r="C414" t="n">
        <v>76648</v>
      </c>
      <c r="D414" t="n">
        <v>4.9</v>
      </c>
    </row>
    <row r="415">
      <c r="A415" s="62" t="n">
        <v>26816</v>
      </c>
      <c r="B415" t="n">
        <v>60.9</v>
      </c>
      <c r="C415" t="n">
        <v>76887</v>
      </c>
      <c r="D415" t="n">
        <v>4.9</v>
      </c>
    </row>
    <row r="416">
      <c r="A416" s="62" t="n">
        <v>26846</v>
      </c>
      <c r="B416" t="n">
        <v>60.9</v>
      </c>
      <c r="C416" t="n">
        <v>76913</v>
      </c>
      <c r="D416" t="n">
        <v>4.8</v>
      </c>
    </row>
    <row r="417">
      <c r="A417" s="62" t="n">
        <v>26877</v>
      </c>
      <c r="B417" t="n">
        <v>60.7</v>
      </c>
      <c r="C417" t="n">
        <v>77168</v>
      </c>
      <c r="D417" t="n">
        <v>4.8</v>
      </c>
    </row>
    <row r="418">
      <c r="A418" s="62" t="n">
        <v>26908</v>
      </c>
      <c r="B418" t="n">
        <v>60.8</v>
      </c>
      <c r="C418" t="n">
        <v>77276</v>
      </c>
      <c r="D418" t="n">
        <v>4.8</v>
      </c>
    </row>
    <row r="419">
      <c r="A419" s="62" t="n">
        <v>26938</v>
      </c>
      <c r="B419" t="n">
        <v>60.9</v>
      </c>
      <c r="C419" t="n">
        <v>77607</v>
      </c>
      <c r="D419" t="n">
        <v>4.6</v>
      </c>
    </row>
    <row r="420">
      <c r="A420" s="62" t="n">
        <v>26969</v>
      </c>
      <c r="B420" t="n">
        <v>61.2</v>
      </c>
      <c r="C420" t="n">
        <v>77920</v>
      </c>
      <c r="D420" t="n">
        <v>4.8</v>
      </c>
    </row>
    <row r="421">
      <c r="A421" s="62" t="n">
        <v>26999</v>
      </c>
      <c r="B421" t="n">
        <v>61.2</v>
      </c>
      <c r="C421" t="n">
        <v>78031</v>
      </c>
      <c r="D421" t="n">
        <v>4.9</v>
      </c>
    </row>
    <row r="422">
      <c r="A422" s="62" t="n">
        <v>27030</v>
      </c>
      <c r="B422" t="n">
        <v>61.3</v>
      </c>
      <c r="C422" t="n">
        <v>78100</v>
      </c>
      <c r="D422" t="n">
        <v>5.1</v>
      </c>
    </row>
    <row r="423">
      <c r="A423" s="62" t="n">
        <v>27061</v>
      </c>
      <c r="B423" t="n">
        <v>61.4</v>
      </c>
      <c r="C423" t="n">
        <v>78254</v>
      </c>
      <c r="D423" t="n">
        <v>5.2</v>
      </c>
    </row>
    <row r="424">
      <c r="A424" s="62" t="n">
        <v>27089</v>
      </c>
      <c r="B424" t="n">
        <v>61.3</v>
      </c>
      <c r="C424" t="n">
        <v>78296</v>
      </c>
      <c r="D424" t="n">
        <v>5.1</v>
      </c>
    </row>
    <row r="425">
      <c r="A425" s="62" t="n">
        <v>27120</v>
      </c>
      <c r="B425" t="n">
        <v>61.1</v>
      </c>
      <c r="C425" t="n">
        <v>78382</v>
      </c>
      <c r="D425" t="n">
        <v>5.1</v>
      </c>
    </row>
    <row r="426">
      <c r="A426" s="62" t="n">
        <v>27150</v>
      </c>
      <c r="B426" t="n">
        <v>61.2</v>
      </c>
      <c r="C426" t="n">
        <v>78549</v>
      </c>
      <c r="D426" t="n">
        <v>5.1</v>
      </c>
    </row>
    <row r="427">
      <c r="A427" s="62" t="n">
        <v>27181</v>
      </c>
      <c r="B427" t="n">
        <v>61.2</v>
      </c>
      <c r="C427" t="n">
        <v>78604</v>
      </c>
      <c r="D427" t="n">
        <v>5.4</v>
      </c>
    </row>
    <row r="428">
      <c r="A428" s="62" t="n">
        <v>27211</v>
      </c>
      <c r="B428" t="n">
        <v>61.4</v>
      </c>
      <c r="C428" t="n">
        <v>78636</v>
      </c>
      <c r="D428" t="n">
        <v>5.5</v>
      </c>
    </row>
    <row r="429">
      <c r="A429" s="62" t="n">
        <v>27242</v>
      </c>
      <c r="B429" t="n">
        <v>61.2</v>
      </c>
      <c r="C429" t="n">
        <v>78619</v>
      </c>
      <c r="D429" t="n">
        <v>5.5</v>
      </c>
    </row>
    <row r="430">
      <c r="A430" s="62" t="n">
        <v>27273</v>
      </c>
      <c r="B430" t="n">
        <v>61.4</v>
      </c>
      <c r="C430" t="n">
        <v>78610</v>
      </c>
      <c r="D430" t="n">
        <v>5.9</v>
      </c>
    </row>
    <row r="431">
      <c r="A431" s="62" t="n">
        <v>27303</v>
      </c>
      <c r="B431" t="n">
        <v>61.3</v>
      </c>
      <c r="C431" t="n">
        <v>78630</v>
      </c>
      <c r="D431" t="n">
        <v>6</v>
      </c>
    </row>
    <row r="432">
      <c r="A432" s="62" t="n">
        <v>27334</v>
      </c>
      <c r="B432" t="n">
        <v>61.3</v>
      </c>
      <c r="C432" t="n">
        <v>78265</v>
      </c>
      <c r="D432" t="n">
        <v>6.6</v>
      </c>
    </row>
    <row r="433">
      <c r="A433" s="62" t="n">
        <v>27364</v>
      </c>
      <c r="B433" t="n">
        <v>61.2</v>
      </c>
      <c r="C433" t="n">
        <v>77652</v>
      </c>
      <c r="D433" t="n">
        <v>7.2</v>
      </c>
    </row>
    <row r="434">
      <c r="A434" s="62" t="n">
        <v>27395</v>
      </c>
      <c r="B434" t="n">
        <v>61.4</v>
      </c>
      <c r="C434" t="n">
        <v>77293</v>
      </c>
      <c r="D434" t="n">
        <v>8.1</v>
      </c>
    </row>
    <row r="435">
      <c r="A435" s="62" t="n">
        <v>27426</v>
      </c>
      <c r="B435" t="n">
        <v>61</v>
      </c>
      <c r="C435" t="n">
        <v>76918</v>
      </c>
      <c r="D435" t="n">
        <v>8.1</v>
      </c>
    </row>
    <row r="436">
      <c r="A436" s="62" t="n">
        <v>27454</v>
      </c>
      <c r="B436" t="n">
        <v>61.2</v>
      </c>
      <c r="C436" t="n">
        <v>76648</v>
      </c>
      <c r="D436" t="n">
        <v>8.6</v>
      </c>
    </row>
    <row r="437">
      <c r="A437" s="62" t="n">
        <v>27485</v>
      </c>
      <c r="B437" t="n">
        <v>61.3</v>
      </c>
      <c r="C437" t="n">
        <v>76460</v>
      </c>
      <c r="D437" t="n">
        <v>8.800000000000001</v>
      </c>
    </row>
    <row r="438">
      <c r="A438" s="62" t="n">
        <v>27515</v>
      </c>
      <c r="B438" t="n">
        <v>61.5</v>
      </c>
      <c r="C438" t="n">
        <v>76624</v>
      </c>
      <c r="D438" t="n">
        <v>9</v>
      </c>
    </row>
    <row r="439">
      <c r="A439" s="62" t="n">
        <v>27546</v>
      </c>
      <c r="B439" t="n">
        <v>61.2</v>
      </c>
      <c r="C439" t="n">
        <v>76521</v>
      </c>
      <c r="D439" t="n">
        <v>8.800000000000001</v>
      </c>
    </row>
    <row r="440">
      <c r="A440" s="62" t="n">
        <v>27576</v>
      </c>
      <c r="B440" t="n">
        <v>61.3</v>
      </c>
      <c r="C440" t="n">
        <v>76770</v>
      </c>
      <c r="D440" t="n">
        <v>8.6</v>
      </c>
    </row>
    <row r="441">
      <c r="A441" s="62" t="n">
        <v>27607</v>
      </c>
      <c r="B441" t="n">
        <v>61.3</v>
      </c>
      <c r="C441" t="n">
        <v>77153</v>
      </c>
      <c r="D441" t="n">
        <v>8.4</v>
      </c>
    </row>
    <row r="442">
      <c r="A442" s="62" t="n">
        <v>27638</v>
      </c>
      <c r="B442" t="n">
        <v>61.2</v>
      </c>
      <c r="C442" t="n">
        <v>77228</v>
      </c>
      <c r="D442" t="n">
        <v>8.4</v>
      </c>
    </row>
    <row r="443">
      <c r="A443" s="62" t="n">
        <v>27668</v>
      </c>
      <c r="B443" t="n">
        <v>61.2</v>
      </c>
      <c r="C443" t="n">
        <v>77540</v>
      </c>
      <c r="D443" t="n">
        <v>8.4</v>
      </c>
    </row>
    <row r="444">
      <c r="A444" s="62" t="n">
        <v>27699</v>
      </c>
      <c r="B444" t="n">
        <v>61.1</v>
      </c>
      <c r="C444" t="n">
        <v>77685</v>
      </c>
      <c r="D444" t="n">
        <v>8.300000000000001</v>
      </c>
    </row>
    <row r="445">
      <c r="A445" s="62" t="n">
        <v>27729</v>
      </c>
      <c r="B445" t="n">
        <v>61.1</v>
      </c>
      <c r="C445" t="n">
        <v>78017</v>
      </c>
      <c r="D445" t="n">
        <v>8.199999999999999</v>
      </c>
    </row>
    <row r="446">
      <c r="A446" s="62" t="n">
        <v>27760</v>
      </c>
      <c r="B446" t="n">
        <v>61.3</v>
      </c>
      <c r="C446" t="n">
        <v>78503</v>
      </c>
      <c r="D446" t="n">
        <v>7.9</v>
      </c>
    </row>
    <row r="447">
      <c r="A447" s="62" t="n">
        <v>27791</v>
      </c>
      <c r="B447" t="n">
        <v>61.3</v>
      </c>
      <c r="C447" t="n">
        <v>78816</v>
      </c>
      <c r="D447" t="n">
        <v>7.7</v>
      </c>
    </row>
    <row r="448">
      <c r="A448" s="62" t="n">
        <v>27820</v>
      </c>
      <c r="B448" t="n">
        <v>61.3</v>
      </c>
      <c r="C448" t="n">
        <v>79048</v>
      </c>
      <c r="D448" t="n">
        <v>7.6</v>
      </c>
    </row>
    <row r="449">
      <c r="A449" s="62" t="n">
        <v>27851</v>
      </c>
      <c r="B449" t="n">
        <v>61.6</v>
      </c>
      <c r="C449" t="n">
        <v>79292</v>
      </c>
      <c r="D449" t="n">
        <v>7.7</v>
      </c>
    </row>
    <row r="450">
      <c r="A450" s="62" t="n">
        <v>27881</v>
      </c>
      <c r="B450" t="n">
        <v>61.5</v>
      </c>
      <c r="C450" t="n">
        <v>79312</v>
      </c>
      <c r="D450" t="n">
        <v>7.4</v>
      </c>
    </row>
    <row r="451">
      <c r="A451" s="62" t="n">
        <v>27912</v>
      </c>
      <c r="B451" t="n">
        <v>61.5</v>
      </c>
      <c r="C451" t="n">
        <v>79376</v>
      </c>
      <c r="D451" t="n">
        <v>7.6</v>
      </c>
    </row>
    <row r="452">
      <c r="A452" s="62" t="n">
        <v>27942</v>
      </c>
      <c r="B452" t="n">
        <v>61.8</v>
      </c>
      <c r="C452" t="n">
        <v>79547</v>
      </c>
      <c r="D452" t="n">
        <v>7.8</v>
      </c>
    </row>
    <row r="453">
      <c r="A453" s="62" t="n">
        <v>27973</v>
      </c>
      <c r="B453" t="n">
        <v>61.8</v>
      </c>
      <c r="C453" t="n">
        <v>79704</v>
      </c>
      <c r="D453" t="n">
        <v>7.8</v>
      </c>
    </row>
    <row r="454">
      <c r="A454" s="62" t="n">
        <v>28004</v>
      </c>
      <c r="B454" t="n">
        <v>61.6</v>
      </c>
      <c r="C454" t="n">
        <v>79892</v>
      </c>
      <c r="D454" t="n">
        <v>7.6</v>
      </c>
    </row>
    <row r="455">
      <c r="A455" s="62" t="n">
        <v>28034</v>
      </c>
      <c r="B455" t="n">
        <v>61.6</v>
      </c>
      <c r="C455" t="n">
        <v>79911</v>
      </c>
      <c r="D455" t="n">
        <v>7.7</v>
      </c>
    </row>
    <row r="456">
      <c r="A456" s="62" t="n">
        <v>28065</v>
      </c>
      <c r="B456" t="n">
        <v>61.9</v>
      </c>
      <c r="C456" t="n">
        <v>80240</v>
      </c>
      <c r="D456" t="n">
        <v>7.8</v>
      </c>
    </row>
    <row r="457">
      <c r="A457" s="62" t="n">
        <v>28095</v>
      </c>
      <c r="B457" t="n">
        <v>61.8</v>
      </c>
      <c r="C457" t="n">
        <v>80448</v>
      </c>
      <c r="D457" t="n">
        <v>7.8</v>
      </c>
    </row>
    <row r="458">
      <c r="A458" s="62" t="n">
        <v>28126</v>
      </c>
      <c r="B458" t="n">
        <v>61.6</v>
      </c>
      <c r="C458" t="n">
        <v>80690</v>
      </c>
      <c r="D458" t="n">
        <v>7.5</v>
      </c>
    </row>
    <row r="459">
      <c r="A459" s="62" t="n">
        <v>28157</v>
      </c>
      <c r="B459" t="n">
        <v>61.9</v>
      </c>
      <c r="C459" t="n">
        <v>80988</v>
      </c>
      <c r="D459" t="n">
        <v>7.6</v>
      </c>
    </row>
    <row r="460">
      <c r="A460" s="62" t="n">
        <v>28185</v>
      </c>
      <c r="B460" t="n">
        <v>62</v>
      </c>
      <c r="C460" t="n">
        <v>81391</v>
      </c>
      <c r="D460" t="n">
        <v>7.4</v>
      </c>
    </row>
    <row r="461">
      <c r="A461" s="62" t="n">
        <v>28216</v>
      </c>
      <c r="B461" t="n">
        <v>62.1</v>
      </c>
      <c r="C461" t="n">
        <v>81728</v>
      </c>
      <c r="D461" t="n">
        <v>7.2</v>
      </c>
    </row>
    <row r="462">
      <c r="A462" s="62" t="n">
        <v>28246</v>
      </c>
      <c r="B462" t="n">
        <v>62.2</v>
      </c>
      <c r="C462" t="n">
        <v>82088</v>
      </c>
      <c r="D462" t="n">
        <v>7</v>
      </c>
    </row>
    <row r="463">
      <c r="A463" s="62" t="n">
        <v>28277</v>
      </c>
      <c r="B463" t="n">
        <v>62.4</v>
      </c>
      <c r="C463" t="n">
        <v>82488</v>
      </c>
      <c r="D463" t="n">
        <v>7.2</v>
      </c>
    </row>
    <row r="464">
      <c r="A464" s="62" t="n">
        <v>28307</v>
      </c>
      <c r="B464" t="n">
        <v>62.1</v>
      </c>
      <c r="C464" t="n">
        <v>82834</v>
      </c>
      <c r="D464" t="n">
        <v>6.9</v>
      </c>
    </row>
    <row r="465">
      <c r="A465" s="62" t="n">
        <v>28338</v>
      </c>
      <c r="B465" t="n">
        <v>62.3</v>
      </c>
      <c r="C465" t="n">
        <v>83075</v>
      </c>
      <c r="D465" t="n">
        <v>7</v>
      </c>
    </row>
    <row r="466">
      <c r="A466" s="62" t="n">
        <v>28369</v>
      </c>
      <c r="B466" t="n">
        <v>62.3</v>
      </c>
      <c r="C466" t="n">
        <v>83532</v>
      </c>
      <c r="D466" t="n">
        <v>6.8</v>
      </c>
    </row>
    <row r="467">
      <c r="A467" s="62" t="n">
        <v>28399</v>
      </c>
      <c r="B467" t="n">
        <v>62.4</v>
      </c>
      <c r="C467" t="n">
        <v>83800</v>
      </c>
      <c r="D467" t="n">
        <v>6.8</v>
      </c>
    </row>
    <row r="468">
      <c r="A468" s="62" t="n">
        <v>28430</v>
      </c>
      <c r="B468" t="n">
        <v>62.8</v>
      </c>
      <c r="C468" t="n">
        <v>84173</v>
      </c>
      <c r="D468" t="n">
        <v>6.8</v>
      </c>
    </row>
    <row r="469">
      <c r="A469" s="62" t="n">
        <v>28460</v>
      </c>
      <c r="B469" t="n">
        <v>62.7</v>
      </c>
      <c r="C469" t="n">
        <v>84410</v>
      </c>
      <c r="D469" t="n">
        <v>6.4</v>
      </c>
    </row>
    <row r="470">
      <c r="A470" s="62" t="n">
        <v>28491</v>
      </c>
      <c r="B470" t="n">
        <v>62.8</v>
      </c>
      <c r="C470" t="n">
        <v>84594</v>
      </c>
      <c r="D470" t="n">
        <v>6.4</v>
      </c>
    </row>
    <row r="471">
      <c r="A471" s="62" t="n">
        <v>28522</v>
      </c>
      <c r="B471" t="n">
        <v>62.7</v>
      </c>
      <c r="C471" t="n">
        <v>84948</v>
      </c>
      <c r="D471" t="n">
        <v>6.3</v>
      </c>
    </row>
    <row r="472">
      <c r="A472" s="62" t="n">
        <v>28550</v>
      </c>
      <c r="B472" t="n">
        <v>62.8</v>
      </c>
      <c r="C472" t="n">
        <v>85460</v>
      </c>
      <c r="D472" t="n">
        <v>6.3</v>
      </c>
    </row>
    <row r="473">
      <c r="A473" s="62" t="n">
        <v>28581</v>
      </c>
      <c r="B473" t="n">
        <v>63</v>
      </c>
      <c r="C473" t="n">
        <v>86162</v>
      </c>
      <c r="D473" t="n">
        <v>6.1</v>
      </c>
    </row>
    <row r="474">
      <c r="A474" s="62" t="n">
        <v>28611</v>
      </c>
      <c r="B474" t="n">
        <v>63.1</v>
      </c>
      <c r="C474" t="n">
        <v>86509</v>
      </c>
      <c r="D474" t="n">
        <v>6</v>
      </c>
    </row>
    <row r="475">
      <c r="A475" s="62" t="n">
        <v>28642</v>
      </c>
      <c r="B475" t="n">
        <v>63.3</v>
      </c>
      <c r="C475" t="n">
        <v>86950</v>
      </c>
      <c r="D475" t="n">
        <v>5.9</v>
      </c>
    </row>
    <row r="476">
      <c r="A476" s="62" t="n">
        <v>28672</v>
      </c>
      <c r="B476" t="n">
        <v>63.2</v>
      </c>
      <c r="C476" t="n">
        <v>87204</v>
      </c>
      <c r="D476" t="n">
        <v>6.2</v>
      </c>
    </row>
    <row r="477">
      <c r="A477" s="62" t="n">
        <v>28703</v>
      </c>
      <c r="B477" t="n">
        <v>63.2</v>
      </c>
      <c r="C477" t="n">
        <v>87483</v>
      </c>
      <c r="D477" t="n">
        <v>5.9</v>
      </c>
    </row>
    <row r="478">
      <c r="A478" s="62" t="n">
        <v>28734</v>
      </c>
      <c r="B478" t="n">
        <v>63.3</v>
      </c>
      <c r="C478" t="n">
        <v>87621</v>
      </c>
      <c r="D478" t="n">
        <v>6</v>
      </c>
    </row>
    <row r="479">
      <c r="A479" s="62" t="n">
        <v>28764</v>
      </c>
      <c r="B479" t="n">
        <v>63.3</v>
      </c>
      <c r="C479" t="n">
        <v>87956</v>
      </c>
      <c r="D479" t="n">
        <v>5.8</v>
      </c>
    </row>
    <row r="480">
      <c r="A480" s="62" t="n">
        <v>28795</v>
      </c>
      <c r="B480" t="n">
        <v>63.5</v>
      </c>
      <c r="C480" t="n">
        <v>88391</v>
      </c>
      <c r="D480" t="n">
        <v>5.9</v>
      </c>
    </row>
    <row r="481">
      <c r="A481" s="62" t="n">
        <v>28825</v>
      </c>
      <c r="B481" t="n">
        <v>63.6</v>
      </c>
      <c r="C481" t="n">
        <v>88671</v>
      </c>
      <c r="D481" t="n">
        <v>6</v>
      </c>
    </row>
    <row r="482">
      <c r="A482" s="62" t="n">
        <v>28856</v>
      </c>
      <c r="B482" t="n">
        <v>63.6</v>
      </c>
      <c r="C482" t="n">
        <v>88808</v>
      </c>
      <c r="D482" t="n">
        <v>5.9</v>
      </c>
    </row>
    <row r="483">
      <c r="A483" s="62" t="n">
        <v>28887</v>
      </c>
      <c r="B483" t="n">
        <v>63.8</v>
      </c>
      <c r="C483" t="n">
        <v>89055</v>
      </c>
      <c r="D483" t="n">
        <v>5.9</v>
      </c>
    </row>
    <row r="484">
      <c r="A484" s="62" t="n">
        <v>28915</v>
      </c>
      <c r="B484" t="n">
        <v>63.8</v>
      </c>
      <c r="C484" t="n">
        <v>89479</v>
      </c>
      <c r="D484" t="n">
        <v>5.8</v>
      </c>
    </row>
    <row r="485">
      <c r="A485" s="62" t="n">
        <v>28946</v>
      </c>
      <c r="B485" t="n">
        <v>63.5</v>
      </c>
      <c r="C485" t="n">
        <v>89417</v>
      </c>
      <c r="D485" t="n">
        <v>5.8</v>
      </c>
    </row>
    <row r="486">
      <c r="A486" s="62" t="n">
        <v>28976</v>
      </c>
      <c r="B486" t="n">
        <v>63.3</v>
      </c>
      <c r="C486" t="n">
        <v>89789</v>
      </c>
      <c r="D486" t="n">
        <v>5.6</v>
      </c>
    </row>
    <row r="487">
      <c r="A487" s="62" t="n">
        <v>29007</v>
      </c>
      <c r="B487" t="n">
        <v>63.5</v>
      </c>
      <c r="C487" t="n">
        <v>90108</v>
      </c>
      <c r="D487" t="n">
        <v>5.7</v>
      </c>
    </row>
    <row r="488">
      <c r="A488" s="62" t="n">
        <v>29037</v>
      </c>
      <c r="B488" t="n">
        <v>63.6</v>
      </c>
      <c r="C488" t="n">
        <v>90217</v>
      </c>
      <c r="D488" t="n">
        <v>5.7</v>
      </c>
    </row>
    <row r="489">
      <c r="A489" s="62" t="n">
        <v>29068</v>
      </c>
      <c r="B489" t="n">
        <v>63.6</v>
      </c>
      <c r="C489" t="n">
        <v>90300</v>
      </c>
      <c r="D489" t="n">
        <v>6</v>
      </c>
    </row>
    <row r="490">
      <c r="A490" s="62" t="n">
        <v>29099</v>
      </c>
      <c r="B490" t="n">
        <v>63.8</v>
      </c>
      <c r="C490" t="n">
        <v>90327</v>
      </c>
      <c r="D490" t="n">
        <v>5.9</v>
      </c>
    </row>
    <row r="491">
      <c r="A491" s="62" t="n">
        <v>29129</v>
      </c>
      <c r="B491" t="n">
        <v>63.7</v>
      </c>
      <c r="C491" t="n">
        <v>90481</v>
      </c>
      <c r="D491" t="n">
        <v>6</v>
      </c>
    </row>
    <row r="492">
      <c r="A492" s="62" t="n">
        <v>29160</v>
      </c>
      <c r="B492" t="n">
        <v>63.7</v>
      </c>
      <c r="C492" t="n">
        <v>90573</v>
      </c>
      <c r="D492" t="n">
        <v>5.9</v>
      </c>
    </row>
    <row r="493">
      <c r="A493" s="62" t="n">
        <v>29190</v>
      </c>
      <c r="B493" t="n">
        <v>63.9</v>
      </c>
      <c r="C493" t="n">
        <v>90672</v>
      </c>
      <c r="D493" t="n">
        <v>6</v>
      </c>
    </row>
    <row r="494">
      <c r="A494" s="62" t="n">
        <v>29221</v>
      </c>
      <c r="B494" t="n">
        <v>64</v>
      </c>
      <c r="C494" t="n">
        <v>90800</v>
      </c>
      <c r="D494" t="n">
        <v>6.3</v>
      </c>
    </row>
    <row r="495">
      <c r="A495" s="62" t="n">
        <v>29252</v>
      </c>
      <c r="B495" t="n">
        <v>64</v>
      </c>
      <c r="C495" t="n">
        <v>90883</v>
      </c>
      <c r="D495" t="n">
        <v>6.3</v>
      </c>
    </row>
    <row r="496">
      <c r="A496" s="62" t="n">
        <v>29281</v>
      </c>
      <c r="B496" t="n">
        <v>63.7</v>
      </c>
      <c r="C496" t="n">
        <v>90994</v>
      </c>
      <c r="D496" t="n">
        <v>6.3</v>
      </c>
    </row>
    <row r="497">
      <c r="A497" s="62" t="n">
        <v>29312</v>
      </c>
      <c r="B497" t="n">
        <v>63.8</v>
      </c>
      <c r="C497" t="n">
        <v>90849</v>
      </c>
      <c r="D497" t="n">
        <v>6.9</v>
      </c>
    </row>
    <row r="498">
      <c r="A498" s="62" t="n">
        <v>29342</v>
      </c>
      <c r="B498" t="n">
        <v>63.9</v>
      </c>
      <c r="C498" t="n">
        <v>90420</v>
      </c>
      <c r="D498" t="n">
        <v>7.5</v>
      </c>
    </row>
    <row r="499">
      <c r="A499" s="62" t="n">
        <v>29373</v>
      </c>
      <c r="B499" t="n">
        <v>63.7</v>
      </c>
      <c r="C499" t="n">
        <v>90101</v>
      </c>
      <c r="D499" t="n">
        <v>7.6</v>
      </c>
    </row>
    <row r="500">
      <c r="A500" s="62" t="n">
        <v>29403</v>
      </c>
      <c r="B500" t="n">
        <v>63.8</v>
      </c>
      <c r="C500" t="n">
        <v>89840</v>
      </c>
      <c r="D500" t="n">
        <v>7.8</v>
      </c>
    </row>
    <row r="501">
      <c r="A501" s="62" t="n">
        <v>29434</v>
      </c>
      <c r="B501" t="n">
        <v>63.7</v>
      </c>
      <c r="C501" t="n">
        <v>90099</v>
      </c>
      <c r="D501" t="n">
        <v>7.7</v>
      </c>
    </row>
    <row r="502">
      <c r="A502" s="62" t="n">
        <v>29465</v>
      </c>
      <c r="B502" t="n">
        <v>63.6</v>
      </c>
      <c r="C502" t="n">
        <v>90213</v>
      </c>
      <c r="D502" t="n">
        <v>7.5</v>
      </c>
    </row>
    <row r="503">
      <c r="A503" s="62" t="n">
        <v>29495</v>
      </c>
      <c r="B503" t="n">
        <v>63.7</v>
      </c>
      <c r="C503" t="n">
        <v>90490</v>
      </c>
      <c r="D503" t="n">
        <v>7.5</v>
      </c>
    </row>
    <row r="504">
      <c r="A504" s="62" t="n">
        <v>29526</v>
      </c>
      <c r="B504" t="n">
        <v>63.8</v>
      </c>
      <c r="C504" t="n">
        <v>90747</v>
      </c>
      <c r="D504" t="n">
        <v>7.5</v>
      </c>
    </row>
    <row r="505">
      <c r="A505" s="62" t="n">
        <v>29556</v>
      </c>
      <c r="B505" t="n">
        <v>63.6</v>
      </c>
      <c r="C505" t="n">
        <v>90943</v>
      </c>
      <c r="D505" t="n">
        <v>7.2</v>
      </c>
    </row>
    <row r="506">
      <c r="A506" s="62" t="n">
        <v>29587</v>
      </c>
      <c r="B506" t="n">
        <v>63.9</v>
      </c>
      <c r="C506" t="n">
        <v>91033</v>
      </c>
      <c r="D506" t="n">
        <v>7.5</v>
      </c>
    </row>
    <row r="507">
      <c r="A507" s="62" t="n">
        <v>29618</v>
      </c>
      <c r="B507" t="n">
        <v>63.9</v>
      </c>
      <c r="C507" t="n">
        <v>91105</v>
      </c>
      <c r="D507" t="n">
        <v>7.4</v>
      </c>
    </row>
    <row r="508">
      <c r="A508" s="62" t="n">
        <v>29646</v>
      </c>
      <c r="B508" t="n">
        <v>64.09999999999999</v>
      </c>
      <c r="C508" t="n">
        <v>91210</v>
      </c>
      <c r="D508" t="n">
        <v>7.4</v>
      </c>
    </row>
    <row r="509">
      <c r="A509" s="62" t="n">
        <v>29677</v>
      </c>
      <c r="B509" t="n">
        <v>64.2</v>
      </c>
      <c r="C509" t="n">
        <v>91283</v>
      </c>
      <c r="D509" t="n">
        <v>7.2</v>
      </c>
    </row>
    <row r="510">
      <c r="A510" s="62" t="n">
        <v>29707</v>
      </c>
      <c r="B510" t="n">
        <v>64.3</v>
      </c>
      <c r="C510" t="n">
        <v>91296</v>
      </c>
      <c r="D510" t="n">
        <v>7.5</v>
      </c>
    </row>
    <row r="511">
      <c r="A511" s="62" t="n">
        <v>29738</v>
      </c>
      <c r="B511" t="n">
        <v>63.7</v>
      </c>
      <c r="C511" t="n">
        <v>91490</v>
      </c>
      <c r="D511" t="n">
        <v>7.5</v>
      </c>
    </row>
    <row r="512">
      <c r="A512" s="62" t="n">
        <v>29768</v>
      </c>
      <c r="B512" t="n">
        <v>63.8</v>
      </c>
      <c r="C512" t="n">
        <v>91601</v>
      </c>
      <c r="D512" t="n">
        <v>7.2</v>
      </c>
    </row>
    <row r="513">
      <c r="A513" s="62" t="n">
        <v>29799</v>
      </c>
      <c r="B513" t="n">
        <v>63.8</v>
      </c>
      <c r="C513" t="n">
        <v>91565</v>
      </c>
      <c r="D513" t="n">
        <v>7.4</v>
      </c>
    </row>
    <row r="514">
      <c r="A514" s="62" t="n">
        <v>29830</v>
      </c>
      <c r="B514" t="n">
        <v>63.5</v>
      </c>
      <c r="C514" t="n">
        <v>91477</v>
      </c>
      <c r="D514" t="n">
        <v>7.6</v>
      </c>
    </row>
    <row r="515">
      <c r="A515" s="62" t="n">
        <v>29860</v>
      </c>
      <c r="B515" t="n">
        <v>63.8</v>
      </c>
      <c r="C515" t="n">
        <v>91380</v>
      </c>
      <c r="D515" t="n">
        <v>7.9</v>
      </c>
    </row>
    <row r="516">
      <c r="A516" s="62" t="n">
        <v>29891</v>
      </c>
      <c r="B516" t="n">
        <v>63.9</v>
      </c>
      <c r="C516" t="n">
        <v>91171</v>
      </c>
      <c r="D516" t="n">
        <v>8.300000000000001</v>
      </c>
    </row>
    <row r="517">
      <c r="A517" s="62" t="n">
        <v>29921</v>
      </c>
      <c r="B517" t="n">
        <v>63.6</v>
      </c>
      <c r="C517" t="n">
        <v>90895</v>
      </c>
      <c r="D517" t="n">
        <v>8.5</v>
      </c>
    </row>
    <row r="518">
      <c r="A518" s="62" t="n">
        <v>29952</v>
      </c>
      <c r="B518" t="n">
        <v>63.7</v>
      </c>
      <c r="C518" t="n">
        <v>90565</v>
      </c>
      <c r="D518" t="n">
        <v>8.6</v>
      </c>
    </row>
    <row r="519">
      <c r="A519" s="62" t="n">
        <v>29983</v>
      </c>
      <c r="B519" t="n">
        <v>63.8</v>
      </c>
      <c r="C519" t="n">
        <v>90563</v>
      </c>
      <c r="D519" t="n">
        <v>8.9</v>
      </c>
    </row>
    <row r="520">
      <c r="A520" s="62" t="n">
        <v>30011</v>
      </c>
      <c r="B520" t="n">
        <v>63.8</v>
      </c>
      <c r="C520" t="n">
        <v>90434</v>
      </c>
      <c r="D520" t="n">
        <v>9</v>
      </c>
    </row>
    <row r="521">
      <c r="A521" s="62" t="n">
        <v>30042</v>
      </c>
      <c r="B521" t="n">
        <v>63.9</v>
      </c>
      <c r="C521" t="n">
        <v>90150</v>
      </c>
      <c r="D521" t="n">
        <v>9.300000000000001</v>
      </c>
    </row>
    <row r="522">
      <c r="A522" s="62" t="n">
        <v>30072</v>
      </c>
      <c r="B522" t="n">
        <v>64.2</v>
      </c>
      <c r="C522" t="n">
        <v>90107</v>
      </c>
      <c r="D522" t="n">
        <v>9.4</v>
      </c>
    </row>
    <row r="523">
      <c r="A523" s="62" t="n">
        <v>30103</v>
      </c>
      <c r="B523" t="n">
        <v>63.9</v>
      </c>
      <c r="C523" t="n">
        <v>89865</v>
      </c>
      <c r="D523" t="n">
        <v>9.6</v>
      </c>
    </row>
    <row r="524">
      <c r="A524" s="62" t="n">
        <v>30133</v>
      </c>
      <c r="B524" t="n">
        <v>64</v>
      </c>
      <c r="C524" t="n">
        <v>89521</v>
      </c>
      <c r="D524" t="n">
        <v>9.800000000000001</v>
      </c>
    </row>
    <row r="525">
      <c r="A525" s="62" t="n">
        <v>30164</v>
      </c>
      <c r="B525" t="n">
        <v>64.09999999999999</v>
      </c>
      <c r="C525" t="n">
        <v>89363</v>
      </c>
      <c r="D525" t="n">
        <v>9.800000000000001</v>
      </c>
    </row>
    <row r="526">
      <c r="A526" s="62" t="n">
        <v>30195</v>
      </c>
      <c r="B526" t="n">
        <v>64.09999999999999</v>
      </c>
      <c r="C526" t="n">
        <v>89183</v>
      </c>
      <c r="D526" t="n">
        <v>10.1</v>
      </c>
    </row>
    <row r="527">
      <c r="A527" s="62" t="n">
        <v>30225</v>
      </c>
      <c r="B527" t="n">
        <v>64.09999999999999</v>
      </c>
      <c r="C527" t="n">
        <v>88907</v>
      </c>
      <c r="D527" t="n">
        <v>10.4</v>
      </c>
    </row>
    <row r="528">
      <c r="A528" s="62" t="n">
        <v>30256</v>
      </c>
      <c r="B528" t="n">
        <v>64.2</v>
      </c>
      <c r="C528" t="n">
        <v>88786</v>
      </c>
      <c r="D528" t="n">
        <v>10.8</v>
      </c>
    </row>
    <row r="529">
      <c r="A529" s="62" t="n">
        <v>30286</v>
      </c>
      <c r="B529" t="n">
        <v>64.09999999999999</v>
      </c>
      <c r="C529" t="n">
        <v>88771</v>
      </c>
      <c r="D529" t="n">
        <v>10.8</v>
      </c>
    </row>
    <row r="530">
      <c r="A530" s="62" t="n">
        <v>30317</v>
      </c>
      <c r="B530" t="n">
        <v>63.9</v>
      </c>
      <c r="C530" t="n">
        <v>88990</v>
      </c>
      <c r="D530" t="n">
        <v>10.4</v>
      </c>
    </row>
    <row r="531">
      <c r="A531" s="62" t="n">
        <v>30348</v>
      </c>
      <c r="B531" t="n">
        <v>63.8</v>
      </c>
      <c r="C531" t="n">
        <v>88917</v>
      </c>
      <c r="D531" t="n">
        <v>10.4</v>
      </c>
    </row>
    <row r="532">
      <c r="A532" s="62" t="n">
        <v>30376</v>
      </c>
      <c r="B532" t="n">
        <v>63.7</v>
      </c>
      <c r="C532" t="n">
        <v>89090</v>
      </c>
      <c r="D532" t="n">
        <v>10.3</v>
      </c>
    </row>
    <row r="533">
      <c r="A533" s="62" t="n">
        <v>30407</v>
      </c>
      <c r="B533" t="n">
        <v>63.8</v>
      </c>
      <c r="C533" t="n">
        <v>89364</v>
      </c>
      <c r="D533" t="n">
        <v>10.2</v>
      </c>
    </row>
    <row r="534">
      <c r="A534" s="62" t="n">
        <v>30437</v>
      </c>
      <c r="B534" t="n">
        <v>63.7</v>
      </c>
      <c r="C534" t="n">
        <v>89644</v>
      </c>
      <c r="D534" t="n">
        <v>10.1</v>
      </c>
    </row>
    <row r="535">
      <c r="A535" s="62" t="n">
        <v>30468</v>
      </c>
      <c r="B535" t="n">
        <v>64.3</v>
      </c>
      <c r="C535" t="n">
        <v>90021</v>
      </c>
      <c r="D535" t="n">
        <v>10.1</v>
      </c>
    </row>
    <row r="536">
      <c r="A536" s="62" t="n">
        <v>30498</v>
      </c>
      <c r="B536" t="n">
        <v>64.09999999999999</v>
      </c>
      <c r="C536" t="n">
        <v>90437</v>
      </c>
      <c r="D536" t="n">
        <v>9.4</v>
      </c>
    </row>
    <row r="537">
      <c r="A537" s="62" t="n">
        <v>30529</v>
      </c>
      <c r="B537" t="n">
        <v>64.3</v>
      </c>
      <c r="C537" t="n">
        <v>90129</v>
      </c>
      <c r="D537" t="n">
        <v>9.5</v>
      </c>
    </row>
    <row r="538">
      <c r="A538" s="62" t="n">
        <v>30560</v>
      </c>
      <c r="B538" t="n">
        <v>64.3</v>
      </c>
      <c r="C538" t="n">
        <v>91247</v>
      </c>
      <c r="D538" t="n">
        <v>9.199999999999999</v>
      </c>
    </row>
    <row r="539">
      <c r="A539" s="62" t="n">
        <v>30590</v>
      </c>
      <c r="B539" t="n">
        <v>64</v>
      </c>
      <c r="C539" t="n">
        <v>91520</v>
      </c>
      <c r="D539" t="n">
        <v>8.800000000000001</v>
      </c>
    </row>
    <row r="540">
      <c r="A540" s="62" t="n">
        <v>30621</v>
      </c>
      <c r="B540" t="n">
        <v>64.09999999999999</v>
      </c>
      <c r="C540" t="n">
        <v>91875</v>
      </c>
      <c r="D540" t="n">
        <v>8.5</v>
      </c>
    </row>
    <row r="541">
      <c r="A541" s="62" t="n">
        <v>30651</v>
      </c>
      <c r="B541" t="n">
        <v>64.09999999999999</v>
      </c>
      <c r="C541" t="n">
        <v>92230</v>
      </c>
      <c r="D541" t="n">
        <v>8.300000000000001</v>
      </c>
    </row>
    <row r="542">
      <c r="A542" s="62" t="n">
        <v>30682</v>
      </c>
      <c r="B542" t="n">
        <v>63.9</v>
      </c>
      <c r="C542" t="n">
        <v>92673</v>
      </c>
      <c r="D542" t="n">
        <v>8</v>
      </c>
    </row>
    <row r="543">
      <c r="A543" s="62" t="n">
        <v>30713</v>
      </c>
      <c r="B543" t="n">
        <v>64.09999999999999</v>
      </c>
      <c r="C543" t="n">
        <v>93157</v>
      </c>
      <c r="D543" t="n">
        <v>7.8</v>
      </c>
    </row>
    <row r="544">
      <c r="A544" s="62" t="n">
        <v>30742</v>
      </c>
      <c r="B544" t="n">
        <v>64.09999999999999</v>
      </c>
      <c r="C544" t="n">
        <v>93429</v>
      </c>
      <c r="D544" t="n">
        <v>7.8</v>
      </c>
    </row>
    <row r="545">
      <c r="A545" s="62" t="n">
        <v>30773</v>
      </c>
      <c r="B545" t="n">
        <v>64.3</v>
      </c>
      <c r="C545" t="n">
        <v>93792</v>
      </c>
      <c r="D545" t="n">
        <v>7.7</v>
      </c>
    </row>
    <row r="546">
      <c r="A546" s="62" t="n">
        <v>30803</v>
      </c>
      <c r="B546" t="n">
        <v>64.5</v>
      </c>
      <c r="C546" t="n">
        <v>94098</v>
      </c>
      <c r="D546" t="n">
        <v>7.4</v>
      </c>
    </row>
    <row r="547">
      <c r="A547" s="62" t="n">
        <v>30834</v>
      </c>
      <c r="B547" t="n">
        <v>64.59999999999999</v>
      </c>
      <c r="C547" t="n">
        <v>94479</v>
      </c>
      <c r="D547" t="n">
        <v>7.2</v>
      </c>
    </row>
    <row r="548">
      <c r="A548" s="62" t="n">
        <v>30864</v>
      </c>
      <c r="B548" t="n">
        <v>64.59999999999999</v>
      </c>
      <c r="C548" t="n">
        <v>94789</v>
      </c>
      <c r="D548" t="n">
        <v>7.5</v>
      </c>
    </row>
    <row r="549">
      <c r="A549" s="62" t="n">
        <v>30895</v>
      </c>
      <c r="B549" t="n">
        <v>64.40000000000001</v>
      </c>
      <c r="C549" t="n">
        <v>95032</v>
      </c>
      <c r="D549" t="n">
        <v>7.5</v>
      </c>
    </row>
    <row r="550">
      <c r="A550" s="62" t="n">
        <v>30926</v>
      </c>
      <c r="B550" t="n">
        <v>64.40000000000001</v>
      </c>
      <c r="C550" t="n">
        <v>95344</v>
      </c>
      <c r="D550" t="n">
        <v>7.3</v>
      </c>
    </row>
    <row r="551">
      <c r="A551" s="62" t="n">
        <v>30956</v>
      </c>
      <c r="B551" t="n">
        <v>64.40000000000001</v>
      </c>
      <c r="C551" t="n">
        <v>95629</v>
      </c>
      <c r="D551" t="n">
        <v>7.4</v>
      </c>
    </row>
    <row r="552">
      <c r="A552" s="62" t="n">
        <v>30987</v>
      </c>
      <c r="B552" t="n">
        <v>64.5</v>
      </c>
      <c r="C552" t="n">
        <v>95982</v>
      </c>
      <c r="D552" t="n">
        <v>7.2</v>
      </c>
    </row>
    <row r="553">
      <c r="A553" s="62" t="n">
        <v>31017</v>
      </c>
      <c r="B553" t="n">
        <v>64.59999999999999</v>
      </c>
      <c r="C553" t="n">
        <v>96107</v>
      </c>
      <c r="D553" t="n">
        <v>7.3</v>
      </c>
    </row>
    <row r="554">
      <c r="A554" s="62" t="n">
        <v>31048</v>
      </c>
      <c r="B554" t="n">
        <v>64.7</v>
      </c>
      <c r="C554" t="n">
        <v>96372</v>
      </c>
      <c r="D554" t="n">
        <v>7.3</v>
      </c>
    </row>
    <row r="555">
      <c r="A555" s="62" t="n">
        <v>31079</v>
      </c>
      <c r="B555" t="n">
        <v>64.7</v>
      </c>
      <c r="C555" t="n">
        <v>96503</v>
      </c>
      <c r="D555" t="n">
        <v>7.2</v>
      </c>
    </row>
    <row r="556">
      <c r="A556" s="62" t="n">
        <v>31107</v>
      </c>
      <c r="B556" t="n">
        <v>64.90000000000001</v>
      </c>
      <c r="C556" t="n">
        <v>96842</v>
      </c>
      <c r="D556" t="n">
        <v>7.2</v>
      </c>
    </row>
    <row r="557">
      <c r="A557" s="62" t="n">
        <v>31138</v>
      </c>
      <c r="B557" t="n">
        <v>64.90000000000001</v>
      </c>
      <c r="C557" t="n">
        <v>97038</v>
      </c>
      <c r="D557" t="n">
        <v>7.3</v>
      </c>
    </row>
    <row r="558">
      <c r="A558" s="62" t="n">
        <v>31168</v>
      </c>
      <c r="B558" t="n">
        <v>64.8</v>
      </c>
      <c r="C558" t="n">
        <v>97312</v>
      </c>
      <c r="D558" t="n">
        <v>7.2</v>
      </c>
    </row>
    <row r="559">
      <c r="A559" s="62" t="n">
        <v>31199</v>
      </c>
      <c r="B559" t="n">
        <v>64.59999999999999</v>
      </c>
      <c r="C559" t="n">
        <v>97459</v>
      </c>
      <c r="D559" t="n">
        <v>7.4</v>
      </c>
    </row>
    <row r="560">
      <c r="A560" s="62" t="n">
        <v>31229</v>
      </c>
      <c r="B560" t="n">
        <v>64.7</v>
      </c>
      <c r="C560" t="n">
        <v>97648</v>
      </c>
      <c r="D560" t="n">
        <v>7.4</v>
      </c>
    </row>
    <row r="561">
      <c r="A561" s="62" t="n">
        <v>31260</v>
      </c>
      <c r="B561" t="n">
        <v>64.59999999999999</v>
      </c>
      <c r="C561" t="n">
        <v>97840</v>
      </c>
      <c r="D561" t="n">
        <v>7.1</v>
      </c>
    </row>
    <row r="562">
      <c r="A562" s="62" t="n">
        <v>31291</v>
      </c>
      <c r="B562" t="n">
        <v>64.90000000000001</v>
      </c>
      <c r="C562" t="n">
        <v>98045</v>
      </c>
      <c r="D562" t="n">
        <v>7.1</v>
      </c>
    </row>
    <row r="563">
      <c r="A563" s="62" t="n">
        <v>31321</v>
      </c>
      <c r="B563" t="n">
        <v>65</v>
      </c>
      <c r="C563" t="n">
        <v>98233</v>
      </c>
      <c r="D563" t="n">
        <v>7.1</v>
      </c>
    </row>
    <row r="564">
      <c r="A564" s="62" t="n">
        <v>31352</v>
      </c>
      <c r="B564" t="n">
        <v>64.90000000000001</v>
      </c>
      <c r="C564" t="n">
        <v>98443</v>
      </c>
      <c r="D564" t="n">
        <v>7</v>
      </c>
    </row>
    <row r="565">
      <c r="A565" s="62" t="n">
        <v>31382</v>
      </c>
      <c r="B565" t="n">
        <v>65</v>
      </c>
      <c r="C565" t="n">
        <v>98609</v>
      </c>
      <c r="D565" t="n">
        <v>7</v>
      </c>
    </row>
    <row r="566">
      <c r="A566" s="62" t="n">
        <v>31413</v>
      </c>
      <c r="B566" t="n">
        <v>64.90000000000001</v>
      </c>
      <c r="C566" t="n">
        <v>98732</v>
      </c>
      <c r="D566" t="n">
        <v>6.7</v>
      </c>
    </row>
    <row r="567">
      <c r="A567" s="62" t="n">
        <v>31444</v>
      </c>
      <c r="B567" t="n">
        <v>65</v>
      </c>
      <c r="C567" t="n">
        <v>98847</v>
      </c>
      <c r="D567" t="n">
        <v>7.2</v>
      </c>
    </row>
    <row r="568">
      <c r="A568" s="62" t="n">
        <v>31472</v>
      </c>
      <c r="B568" t="n">
        <v>65.09999999999999</v>
      </c>
      <c r="C568" t="n">
        <v>98934</v>
      </c>
      <c r="D568" t="n">
        <v>7.2</v>
      </c>
    </row>
    <row r="569">
      <c r="A569" s="62" t="n">
        <v>31503</v>
      </c>
      <c r="B569" t="n">
        <v>65.09999999999999</v>
      </c>
      <c r="C569" t="n">
        <v>99121</v>
      </c>
      <c r="D569" t="n">
        <v>7.1</v>
      </c>
    </row>
    <row r="570">
      <c r="A570" s="62" t="n">
        <v>31533</v>
      </c>
      <c r="B570" t="n">
        <v>65.2</v>
      </c>
      <c r="C570" t="n">
        <v>99248</v>
      </c>
      <c r="D570" t="n">
        <v>7.2</v>
      </c>
    </row>
    <row r="571">
      <c r="A571" s="62" t="n">
        <v>31564</v>
      </c>
      <c r="B571" t="n">
        <v>65.40000000000001</v>
      </c>
      <c r="C571" t="n">
        <v>99155</v>
      </c>
      <c r="D571" t="n">
        <v>7.2</v>
      </c>
    </row>
    <row r="572">
      <c r="A572" s="62" t="n">
        <v>31594</v>
      </c>
      <c r="B572" t="n">
        <v>65.40000000000001</v>
      </c>
      <c r="C572" t="n">
        <v>99473</v>
      </c>
      <c r="D572" t="n">
        <v>7</v>
      </c>
    </row>
    <row r="573">
      <c r="A573" s="62" t="n">
        <v>31625</v>
      </c>
      <c r="B573" t="n">
        <v>65.3</v>
      </c>
      <c r="C573" t="n">
        <v>99588</v>
      </c>
      <c r="D573" t="n">
        <v>6.9</v>
      </c>
    </row>
    <row r="574">
      <c r="A574" s="62" t="n">
        <v>31656</v>
      </c>
      <c r="B574" t="n">
        <v>65.40000000000001</v>
      </c>
      <c r="C574" t="n">
        <v>99934</v>
      </c>
      <c r="D574" t="n">
        <v>7</v>
      </c>
    </row>
    <row r="575">
      <c r="A575" s="62" t="n">
        <v>31686</v>
      </c>
      <c r="B575" t="n">
        <v>65.40000000000001</v>
      </c>
      <c r="C575" t="n">
        <v>100121</v>
      </c>
      <c r="D575" t="n">
        <v>7</v>
      </c>
    </row>
    <row r="576">
      <c r="A576" s="62" t="n">
        <v>31717</v>
      </c>
      <c r="B576" t="n">
        <v>65.40000000000001</v>
      </c>
      <c r="C576" t="n">
        <v>100308</v>
      </c>
      <c r="D576" t="n">
        <v>6.9</v>
      </c>
    </row>
    <row r="577">
      <c r="A577" s="62" t="n">
        <v>31747</v>
      </c>
      <c r="B577" t="n">
        <v>65.3</v>
      </c>
      <c r="C577" t="n">
        <v>100509</v>
      </c>
      <c r="D577" t="n">
        <v>6.6</v>
      </c>
    </row>
    <row r="578">
      <c r="A578" s="62" t="n">
        <v>31778</v>
      </c>
      <c r="B578" t="n">
        <v>65.40000000000001</v>
      </c>
      <c r="C578" t="n">
        <v>100678</v>
      </c>
      <c r="D578" t="n">
        <v>6.6</v>
      </c>
    </row>
    <row r="579">
      <c r="A579" s="62" t="n">
        <v>31809</v>
      </c>
      <c r="B579" t="n">
        <v>65.5</v>
      </c>
      <c r="C579" t="n">
        <v>100919</v>
      </c>
      <c r="D579" t="n">
        <v>6.6</v>
      </c>
    </row>
    <row r="580">
      <c r="A580" s="62" t="n">
        <v>31837</v>
      </c>
      <c r="B580" t="n">
        <v>65.5</v>
      </c>
      <c r="C580" t="n">
        <v>101164</v>
      </c>
      <c r="D580" t="n">
        <v>6.6</v>
      </c>
    </row>
    <row r="581">
      <c r="A581" s="62" t="n">
        <v>31868</v>
      </c>
      <c r="B581" t="n">
        <v>65.40000000000001</v>
      </c>
      <c r="C581" t="n">
        <v>101499</v>
      </c>
      <c r="D581" t="n">
        <v>6.3</v>
      </c>
    </row>
    <row r="582">
      <c r="A582" s="62" t="n">
        <v>31898</v>
      </c>
      <c r="B582" t="n">
        <v>65.7</v>
      </c>
      <c r="C582" t="n">
        <v>101728</v>
      </c>
      <c r="D582" t="n">
        <v>6.3</v>
      </c>
    </row>
    <row r="583">
      <c r="A583" s="62" t="n">
        <v>31929</v>
      </c>
      <c r="B583" t="n">
        <v>65.5</v>
      </c>
      <c r="C583" t="n">
        <v>101900</v>
      </c>
      <c r="D583" t="n">
        <v>6.2</v>
      </c>
    </row>
    <row r="584">
      <c r="A584" s="62" t="n">
        <v>31959</v>
      </c>
      <c r="B584" t="n">
        <v>65.59999999999999</v>
      </c>
      <c r="C584" t="n">
        <v>102247</v>
      </c>
      <c r="D584" t="n">
        <v>6.1</v>
      </c>
    </row>
    <row r="585">
      <c r="A585" s="62" t="n">
        <v>31990</v>
      </c>
      <c r="B585" t="n">
        <v>65.7</v>
      </c>
      <c r="C585" t="n">
        <v>102420</v>
      </c>
      <c r="D585" t="n">
        <v>6</v>
      </c>
    </row>
    <row r="586">
      <c r="A586" s="62" t="n">
        <v>32021</v>
      </c>
      <c r="B586" t="n">
        <v>65.5</v>
      </c>
      <c r="C586" t="n">
        <v>102647</v>
      </c>
      <c r="D586" t="n">
        <v>5.9</v>
      </c>
    </row>
    <row r="587">
      <c r="A587" s="62" t="n">
        <v>32051</v>
      </c>
      <c r="B587" t="n">
        <v>65.7</v>
      </c>
      <c r="C587" t="n">
        <v>103138</v>
      </c>
      <c r="D587" t="n">
        <v>6</v>
      </c>
    </row>
    <row r="588">
      <c r="A588" s="62" t="n">
        <v>32082</v>
      </c>
      <c r="B588" t="n">
        <v>65.7</v>
      </c>
      <c r="C588" t="n">
        <v>103372</v>
      </c>
      <c r="D588" t="n">
        <v>5.8</v>
      </c>
    </row>
    <row r="589">
      <c r="A589" s="62" t="n">
        <v>32112</v>
      </c>
      <c r="B589" t="n">
        <v>65.7</v>
      </c>
      <c r="C589" t="n">
        <v>103661</v>
      </c>
      <c r="D589" t="n">
        <v>5.7</v>
      </c>
    </row>
    <row r="590">
      <c r="A590" s="62" t="n">
        <v>32143</v>
      </c>
      <c r="B590" t="n">
        <v>65.8</v>
      </c>
      <c r="C590" t="n">
        <v>103753</v>
      </c>
      <c r="D590" t="n">
        <v>5.7</v>
      </c>
    </row>
    <row r="591">
      <c r="A591" s="62" t="n">
        <v>32174</v>
      </c>
      <c r="B591" t="n">
        <v>65.90000000000001</v>
      </c>
      <c r="C591" t="n">
        <v>104214</v>
      </c>
      <c r="D591" t="n">
        <v>5.7</v>
      </c>
    </row>
    <row r="592">
      <c r="A592" s="62" t="n">
        <v>32203</v>
      </c>
      <c r="B592" t="n">
        <v>65.7</v>
      </c>
      <c r="C592" t="n">
        <v>104489</v>
      </c>
      <c r="D592" t="n">
        <v>5.7</v>
      </c>
    </row>
    <row r="593">
      <c r="A593" s="62" t="n">
        <v>32234</v>
      </c>
      <c r="B593" t="n">
        <v>65.8</v>
      </c>
      <c r="C593" t="n">
        <v>104732</v>
      </c>
      <c r="D593" t="n">
        <v>5.4</v>
      </c>
    </row>
    <row r="594">
      <c r="A594" s="62" t="n">
        <v>32264</v>
      </c>
      <c r="B594" t="n">
        <v>65.7</v>
      </c>
      <c r="C594" t="n">
        <v>104962</v>
      </c>
      <c r="D594" t="n">
        <v>5.6</v>
      </c>
    </row>
    <row r="595">
      <c r="A595" s="62" t="n">
        <v>32295</v>
      </c>
      <c r="B595" t="n">
        <v>65.8</v>
      </c>
      <c r="C595" t="n">
        <v>105326</v>
      </c>
      <c r="D595" t="n">
        <v>5.4</v>
      </c>
    </row>
    <row r="596">
      <c r="A596" s="62" t="n">
        <v>32325</v>
      </c>
      <c r="B596" t="n">
        <v>65.90000000000001</v>
      </c>
      <c r="C596" t="n">
        <v>105550</v>
      </c>
      <c r="D596" t="n">
        <v>5.4</v>
      </c>
    </row>
    <row r="597">
      <c r="A597" s="62" t="n">
        <v>32356</v>
      </c>
      <c r="B597" t="n">
        <v>66.09999999999999</v>
      </c>
      <c r="C597" t="n">
        <v>105674</v>
      </c>
      <c r="D597" t="n">
        <v>5.6</v>
      </c>
    </row>
    <row r="598">
      <c r="A598" s="62" t="n">
        <v>32387</v>
      </c>
      <c r="B598" t="n">
        <v>65.90000000000001</v>
      </c>
      <c r="C598" t="n">
        <v>106013</v>
      </c>
      <c r="D598" t="n">
        <v>5.4</v>
      </c>
    </row>
    <row r="599">
      <c r="A599" s="62" t="n">
        <v>32417</v>
      </c>
      <c r="B599" t="n">
        <v>66</v>
      </c>
      <c r="C599" t="n">
        <v>106276</v>
      </c>
      <c r="D599" t="n">
        <v>5.4</v>
      </c>
    </row>
    <row r="600">
      <c r="A600" s="62" t="n">
        <v>32448</v>
      </c>
      <c r="B600" t="n">
        <v>66.2</v>
      </c>
      <c r="C600" t="n">
        <v>106617</v>
      </c>
      <c r="D600" t="n">
        <v>5.3</v>
      </c>
    </row>
    <row r="601">
      <c r="A601" s="62" t="n">
        <v>32478</v>
      </c>
      <c r="B601" t="n">
        <v>66.09999999999999</v>
      </c>
      <c r="C601" t="n">
        <v>106898</v>
      </c>
      <c r="D601" t="n">
        <v>5.3</v>
      </c>
    </row>
    <row r="602">
      <c r="A602" s="62" t="n">
        <v>32509</v>
      </c>
      <c r="B602" t="n">
        <v>66.5</v>
      </c>
      <c r="C602" t="n">
        <v>107161</v>
      </c>
      <c r="D602" t="n">
        <v>5.4</v>
      </c>
    </row>
    <row r="603">
      <c r="A603" s="62" t="n">
        <v>32540</v>
      </c>
      <c r="B603" t="n">
        <v>66.3</v>
      </c>
      <c r="C603" t="n">
        <v>107427</v>
      </c>
      <c r="D603" t="n">
        <v>5.2</v>
      </c>
    </row>
    <row r="604">
      <c r="A604" s="62" t="n">
        <v>32568</v>
      </c>
      <c r="B604" t="n">
        <v>66.3</v>
      </c>
      <c r="C604" t="n">
        <v>107621</v>
      </c>
      <c r="D604" t="n">
        <v>5</v>
      </c>
    </row>
    <row r="605">
      <c r="A605" s="62" t="n">
        <v>32599</v>
      </c>
      <c r="B605" t="n">
        <v>66.40000000000001</v>
      </c>
      <c r="C605" t="n">
        <v>107791</v>
      </c>
      <c r="D605" t="n">
        <v>5.2</v>
      </c>
    </row>
    <row r="606">
      <c r="A606" s="62" t="n">
        <v>32629</v>
      </c>
      <c r="B606" t="n">
        <v>66.3</v>
      </c>
      <c r="C606" t="n">
        <v>107913</v>
      </c>
      <c r="D606" t="n">
        <v>5.2</v>
      </c>
    </row>
    <row r="607">
      <c r="A607" s="62" t="n">
        <v>32660</v>
      </c>
      <c r="B607" t="n">
        <v>66.5</v>
      </c>
      <c r="C607" t="n">
        <v>108027</v>
      </c>
      <c r="D607" t="n">
        <v>5.3</v>
      </c>
    </row>
    <row r="608">
      <c r="A608" s="62" t="n">
        <v>32690</v>
      </c>
      <c r="B608" t="n">
        <v>66.5</v>
      </c>
      <c r="C608" t="n">
        <v>108069</v>
      </c>
      <c r="D608" t="n">
        <v>5.2</v>
      </c>
    </row>
    <row r="609">
      <c r="A609" s="62" t="n">
        <v>32721</v>
      </c>
      <c r="B609" t="n">
        <v>66.5</v>
      </c>
      <c r="C609" t="n">
        <v>108120</v>
      </c>
      <c r="D609" t="n">
        <v>5.2</v>
      </c>
    </row>
    <row r="610">
      <c r="A610" s="62" t="n">
        <v>32752</v>
      </c>
      <c r="B610" t="n">
        <v>66.40000000000001</v>
      </c>
      <c r="C610" t="n">
        <v>108369</v>
      </c>
      <c r="D610" t="n">
        <v>5.3</v>
      </c>
    </row>
    <row r="611">
      <c r="A611" s="62" t="n">
        <v>32782</v>
      </c>
      <c r="B611" t="n">
        <v>66.5</v>
      </c>
      <c r="C611" t="n">
        <v>108476</v>
      </c>
      <c r="D611" t="n">
        <v>5.3</v>
      </c>
    </row>
    <row r="612">
      <c r="A612" s="62" t="n">
        <v>32813</v>
      </c>
      <c r="B612" t="n">
        <v>66.59999999999999</v>
      </c>
      <c r="C612" t="n">
        <v>108752</v>
      </c>
      <c r="D612" t="n">
        <v>5.4</v>
      </c>
    </row>
    <row r="613">
      <c r="A613" s="62" t="n">
        <v>32843</v>
      </c>
      <c r="B613" t="n">
        <v>66.5</v>
      </c>
      <c r="C613" t="n">
        <v>108836</v>
      </c>
      <c r="D613" t="n">
        <v>5.4</v>
      </c>
    </row>
    <row r="614">
      <c r="A614" s="62" t="n">
        <v>32874</v>
      </c>
      <c r="B614" t="n">
        <v>66.8</v>
      </c>
      <c r="C614" t="n">
        <v>109199</v>
      </c>
      <c r="D614" t="n">
        <v>5.4</v>
      </c>
    </row>
    <row r="615">
      <c r="A615" s="62" t="n">
        <v>32905</v>
      </c>
      <c r="B615" t="n">
        <v>66.7</v>
      </c>
      <c r="C615" t="n">
        <v>109435</v>
      </c>
      <c r="D615" t="n">
        <v>5.3</v>
      </c>
    </row>
    <row r="616">
      <c r="A616" s="62" t="n">
        <v>32933</v>
      </c>
      <c r="B616" t="n">
        <v>66.7</v>
      </c>
      <c r="C616" t="n">
        <v>109644</v>
      </c>
      <c r="D616" t="n">
        <v>5.2</v>
      </c>
    </row>
    <row r="617">
      <c r="A617" s="62" t="n">
        <v>32964</v>
      </c>
      <c r="B617" t="n">
        <v>66.59999999999999</v>
      </c>
      <c r="C617" t="n">
        <v>109686</v>
      </c>
      <c r="D617" t="n">
        <v>5.4</v>
      </c>
    </row>
    <row r="618">
      <c r="A618" s="62" t="n">
        <v>32994</v>
      </c>
      <c r="B618" t="n">
        <v>66.59999999999999</v>
      </c>
      <c r="C618" t="n">
        <v>109839</v>
      </c>
      <c r="D618" t="n">
        <v>5.4</v>
      </c>
    </row>
    <row r="619">
      <c r="A619" s="62" t="n">
        <v>33025</v>
      </c>
      <c r="B619" t="n">
        <v>66.40000000000001</v>
      </c>
      <c r="C619" t="n">
        <v>109856</v>
      </c>
      <c r="D619" t="n">
        <v>5.2</v>
      </c>
    </row>
    <row r="620">
      <c r="A620" s="62" t="n">
        <v>33055</v>
      </c>
      <c r="B620" t="n">
        <v>66.5</v>
      </c>
      <c r="C620" t="n">
        <v>109824</v>
      </c>
      <c r="D620" t="n">
        <v>5.5</v>
      </c>
    </row>
    <row r="621">
      <c r="A621" s="62" t="n">
        <v>33086</v>
      </c>
      <c r="B621" t="n">
        <v>66.5</v>
      </c>
      <c r="C621" t="n">
        <v>109616</v>
      </c>
      <c r="D621" t="n">
        <v>5.7</v>
      </c>
    </row>
    <row r="622">
      <c r="A622" s="62" t="n">
        <v>33117</v>
      </c>
      <c r="B622" t="n">
        <v>66.40000000000001</v>
      </c>
      <c r="C622" t="n">
        <v>109518</v>
      </c>
      <c r="D622" t="n">
        <v>5.9</v>
      </c>
    </row>
    <row r="623">
      <c r="A623" s="62" t="n">
        <v>33147</v>
      </c>
      <c r="B623" t="n">
        <v>66.40000000000001</v>
      </c>
      <c r="C623" t="n">
        <v>109367</v>
      </c>
      <c r="D623" t="n">
        <v>5.9</v>
      </c>
    </row>
    <row r="624">
      <c r="A624" s="62" t="n">
        <v>33178</v>
      </c>
      <c r="B624" t="n">
        <v>66.40000000000001</v>
      </c>
      <c r="C624" t="n">
        <v>109214</v>
      </c>
      <c r="D624" t="n">
        <v>6.2</v>
      </c>
    </row>
    <row r="625">
      <c r="A625" s="62" t="n">
        <v>33208</v>
      </c>
      <c r="B625" t="n">
        <v>66.40000000000001</v>
      </c>
      <c r="C625" t="n">
        <v>109166</v>
      </c>
      <c r="D625" t="n">
        <v>6.3</v>
      </c>
    </row>
    <row r="626">
      <c r="A626" s="62" t="n">
        <v>33239</v>
      </c>
      <c r="B626" t="n">
        <v>66.2</v>
      </c>
      <c r="C626" t="n">
        <v>109055</v>
      </c>
      <c r="D626" t="n">
        <v>6.4</v>
      </c>
    </row>
    <row r="627">
      <c r="A627" s="62" t="n">
        <v>33270</v>
      </c>
      <c r="B627" t="n">
        <v>66.2</v>
      </c>
      <c r="C627" t="n">
        <v>108734</v>
      </c>
      <c r="D627" t="n">
        <v>6.6</v>
      </c>
    </row>
    <row r="628">
      <c r="A628" s="62" t="n">
        <v>33298</v>
      </c>
      <c r="B628" t="n">
        <v>66.3</v>
      </c>
      <c r="C628" t="n">
        <v>108574</v>
      </c>
      <c r="D628" t="n">
        <v>6.8</v>
      </c>
    </row>
    <row r="629">
      <c r="A629" s="62" t="n">
        <v>33329</v>
      </c>
      <c r="B629" t="n">
        <v>66.40000000000001</v>
      </c>
      <c r="C629" t="n">
        <v>108364</v>
      </c>
      <c r="D629" t="n">
        <v>6.7</v>
      </c>
    </row>
    <row r="630">
      <c r="A630" s="62" t="n">
        <v>33359</v>
      </c>
      <c r="B630" t="n">
        <v>66.2</v>
      </c>
      <c r="C630" t="n">
        <v>108249</v>
      </c>
      <c r="D630" t="n">
        <v>6.9</v>
      </c>
    </row>
    <row r="631">
      <c r="A631" s="62" t="n">
        <v>33390</v>
      </c>
      <c r="B631" t="n">
        <v>66.2</v>
      </c>
      <c r="C631" t="n">
        <v>108334</v>
      </c>
      <c r="D631" t="n">
        <v>6.9</v>
      </c>
    </row>
    <row r="632">
      <c r="A632" s="62" t="n">
        <v>33420</v>
      </c>
      <c r="B632" t="n">
        <v>66.09999999999999</v>
      </c>
      <c r="C632" t="n">
        <v>108292</v>
      </c>
      <c r="D632" t="n">
        <v>6.8</v>
      </c>
    </row>
    <row r="633">
      <c r="A633" s="62" t="n">
        <v>33451</v>
      </c>
      <c r="B633" t="n">
        <v>66</v>
      </c>
      <c r="C633" t="n">
        <v>108310</v>
      </c>
      <c r="D633" t="n">
        <v>6.9</v>
      </c>
    </row>
    <row r="634">
      <c r="A634" s="62" t="n">
        <v>33482</v>
      </c>
      <c r="B634" t="n">
        <v>66.2</v>
      </c>
      <c r="C634" t="n">
        <v>108336</v>
      </c>
      <c r="D634" t="n">
        <v>6.9</v>
      </c>
    </row>
    <row r="635">
      <c r="A635" s="62" t="n">
        <v>33512</v>
      </c>
      <c r="B635" t="n">
        <v>66.09999999999999</v>
      </c>
      <c r="C635" t="n">
        <v>108357</v>
      </c>
      <c r="D635" t="n">
        <v>7</v>
      </c>
    </row>
    <row r="636">
      <c r="A636" s="62" t="n">
        <v>33543</v>
      </c>
      <c r="B636" t="n">
        <v>66.09999999999999</v>
      </c>
      <c r="C636" t="n">
        <v>108296</v>
      </c>
      <c r="D636" t="n">
        <v>7</v>
      </c>
    </row>
    <row r="637">
      <c r="A637" s="62" t="n">
        <v>33573</v>
      </c>
      <c r="B637" t="n">
        <v>66</v>
      </c>
      <c r="C637" t="n">
        <v>108328</v>
      </c>
      <c r="D637" t="n">
        <v>7.3</v>
      </c>
    </row>
    <row r="638">
      <c r="A638" s="62" t="n">
        <v>33604</v>
      </c>
      <c r="B638" t="n">
        <v>66.3</v>
      </c>
      <c r="C638" t="n">
        <v>108369</v>
      </c>
      <c r="D638" t="n">
        <v>7.3</v>
      </c>
    </row>
    <row r="639">
      <c r="A639" s="62" t="n">
        <v>33635</v>
      </c>
      <c r="B639" t="n">
        <v>66.2</v>
      </c>
      <c r="C639" t="n">
        <v>108311</v>
      </c>
      <c r="D639" t="n">
        <v>7.4</v>
      </c>
    </row>
    <row r="640">
      <c r="A640" s="62" t="n">
        <v>33664</v>
      </c>
      <c r="B640" t="n">
        <v>66.40000000000001</v>
      </c>
      <c r="C640" t="n">
        <v>108365</v>
      </c>
      <c r="D640" t="n">
        <v>7.4</v>
      </c>
    </row>
    <row r="641">
      <c r="A641" s="62" t="n">
        <v>33695</v>
      </c>
      <c r="B641" t="n">
        <v>66.5</v>
      </c>
      <c r="C641" t="n">
        <v>108519</v>
      </c>
      <c r="D641" t="n">
        <v>7.4</v>
      </c>
    </row>
    <row r="642">
      <c r="A642" s="62" t="n">
        <v>33725</v>
      </c>
      <c r="B642" t="n">
        <v>66.59999999999999</v>
      </c>
      <c r="C642" t="n">
        <v>108649</v>
      </c>
      <c r="D642" t="n">
        <v>7.6</v>
      </c>
    </row>
    <row r="643">
      <c r="A643" s="62" t="n">
        <v>33756</v>
      </c>
      <c r="B643" t="n">
        <v>66.7</v>
      </c>
      <c r="C643" t="n">
        <v>108715</v>
      </c>
      <c r="D643" t="n">
        <v>7.8</v>
      </c>
    </row>
    <row r="644">
      <c r="A644" s="62" t="n">
        <v>33786</v>
      </c>
      <c r="B644" t="n">
        <v>66.7</v>
      </c>
      <c r="C644" t="n">
        <v>108793</v>
      </c>
      <c r="D644" t="n">
        <v>7.7</v>
      </c>
    </row>
    <row r="645">
      <c r="A645" s="62" t="n">
        <v>33817</v>
      </c>
      <c r="B645" t="n">
        <v>66.59999999999999</v>
      </c>
      <c r="C645" t="n">
        <v>108925</v>
      </c>
      <c r="D645" t="n">
        <v>7.6</v>
      </c>
    </row>
    <row r="646">
      <c r="A646" s="62" t="n">
        <v>33848</v>
      </c>
      <c r="B646" t="n">
        <v>66.5</v>
      </c>
      <c r="C646" t="n">
        <v>108959</v>
      </c>
      <c r="D646" t="n">
        <v>7.6</v>
      </c>
    </row>
    <row r="647">
      <c r="A647" s="62" t="n">
        <v>33878</v>
      </c>
      <c r="B647" t="n">
        <v>66.2</v>
      </c>
      <c r="C647" t="n">
        <v>109139</v>
      </c>
      <c r="D647" t="n">
        <v>7.3</v>
      </c>
    </row>
    <row r="648">
      <c r="A648" s="62" t="n">
        <v>33909</v>
      </c>
      <c r="B648" t="n">
        <v>66.3</v>
      </c>
      <c r="C648" t="n">
        <v>109272</v>
      </c>
      <c r="D648" t="n">
        <v>7.4</v>
      </c>
    </row>
    <row r="649">
      <c r="A649" s="62" t="n">
        <v>33939</v>
      </c>
      <c r="B649" t="n">
        <v>66.3</v>
      </c>
      <c r="C649" t="n">
        <v>109495</v>
      </c>
      <c r="D649" t="n">
        <v>7.4</v>
      </c>
    </row>
    <row r="650">
      <c r="A650" s="62" t="n">
        <v>33970</v>
      </c>
      <c r="B650" t="n">
        <v>66.2</v>
      </c>
      <c r="C650" t="n">
        <v>109794</v>
      </c>
      <c r="D650" t="n">
        <v>7.3</v>
      </c>
    </row>
    <row r="651">
      <c r="A651" s="62" t="n">
        <v>34001</v>
      </c>
      <c r="B651" t="n">
        <v>66.2</v>
      </c>
      <c r="C651" t="n">
        <v>110044</v>
      </c>
      <c r="D651" t="n">
        <v>7.1</v>
      </c>
    </row>
    <row r="652">
      <c r="A652" s="62" t="n">
        <v>34029</v>
      </c>
      <c r="B652" t="n">
        <v>66.2</v>
      </c>
      <c r="C652" t="n">
        <v>109994</v>
      </c>
      <c r="D652" t="n">
        <v>7</v>
      </c>
    </row>
    <row r="653">
      <c r="A653" s="62" t="n">
        <v>34060</v>
      </c>
      <c r="B653" t="n">
        <v>66.09999999999999</v>
      </c>
      <c r="C653" t="n">
        <v>110296</v>
      </c>
      <c r="D653" t="n">
        <v>7.1</v>
      </c>
    </row>
    <row r="654">
      <c r="A654" s="62" t="n">
        <v>34090</v>
      </c>
      <c r="B654" t="n">
        <v>66.40000000000001</v>
      </c>
      <c r="C654" t="n">
        <v>110568</v>
      </c>
      <c r="D654" t="n">
        <v>7.1</v>
      </c>
    </row>
    <row r="655">
      <c r="A655" s="62" t="n">
        <v>34121</v>
      </c>
      <c r="B655" t="n">
        <v>66.5</v>
      </c>
      <c r="C655" t="n">
        <v>110749</v>
      </c>
      <c r="D655" t="n">
        <v>7</v>
      </c>
    </row>
    <row r="656">
      <c r="A656" s="62" t="n">
        <v>34151</v>
      </c>
      <c r="B656" t="n">
        <v>66.40000000000001</v>
      </c>
      <c r="C656" t="n">
        <v>111055</v>
      </c>
      <c r="D656" t="n">
        <v>6.9</v>
      </c>
    </row>
    <row r="657">
      <c r="A657" s="62" t="n">
        <v>34182</v>
      </c>
      <c r="B657" t="n">
        <v>66.40000000000001</v>
      </c>
      <c r="C657" t="n">
        <v>111206</v>
      </c>
      <c r="D657" t="n">
        <v>6.8</v>
      </c>
    </row>
    <row r="658">
      <c r="A658" s="62" t="n">
        <v>34213</v>
      </c>
      <c r="B658" t="n">
        <v>66.2</v>
      </c>
      <c r="C658" t="n">
        <v>111448</v>
      </c>
      <c r="D658" t="n">
        <v>6.7</v>
      </c>
    </row>
    <row r="659">
      <c r="A659" s="62" t="n">
        <v>34243</v>
      </c>
      <c r="B659" t="n">
        <v>66.3</v>
      </c>
      <c r="C659" t="n">
        <v>111733</v>
      </c>
      <c r="D659" t="n">
        <v>6.8</v>
      </c>
    </row>
    <row r="660">
      <c r="A660" s="62" t="n">
        <v>34274</v>
      </c>
      <c r="B660" t="n">
        <v>66.3</v>
      </c>
      <c r="C660" t="n">
        <v>111984</v>
      </c>
      <c r="D660" t="n">
        <v>6.6</v>
      </c>
    </row>
    <row r="661">
      <c r="A661" s="62" t="n">
        <v>34304</v>
      </c>
      <c r="B661" t="n">
        <v>66.40000000000001</v>
      </c>
      <c r="C661" t="n">
        <v>112314</v>
      </c>
      <c r="D661" t="n">
        <v>6.5</v>
      </c>
    </row>
    <row r="662">
      <c r="A662" s="62" t="n">
        <v>34335</v>
      </c>
      <c r="B662" t="n">
        <v>66.59999999999999</v>
      </c>
      <c r="C662" t="n">
        <v>112595</v>
      </c>
      <c r="D662" t="n">
        <v>6.6</v>
      </c>
    </row>
    <row r="663">
      <c r="A663" s="62" t="n">
        <v>34366</v>
      </c>
      <c r="B663" t="n">
        <v>66.59999999999999</v>
      </c>
      <c r="C663" t="n">
        <v>112781</v>
      </c>
      <c r="D663" t="n">
        <v>6.6</v>
      </c>
    </row>
    <row r="664">
      <c r="A664" s="62" t="n">
        <v>34394</v>
      </c>
      <c r="B664" t="n">
        <v>66.5</v>
      </c>
      <c r="C664" t="n">
        <v>113242</v>
      </c>
      <c r="D664" t="n">
        <v>6.5</v>
      </c>
    </row>
    <row r="665">
      <c r="A665" s="62" t="n">
        <v>34425</v>
      </c>
      <c r="B665" t="n">
        <v>66.5</v>
      </c>
      <c r="C665" t="n">
        <v>113586</v>
      </c>
      <c r="D665" t="n">
        <v>6.4</v>
      </c>
    </row>
    <row r="666">
      <c r="A666" s="62" t="n">
        <v>34455</v>
      </c>
      <c r="B666" t="n">
        <v>66.59999999999999</v>
      </c>
      <c r="C666" t="n">
        <v>113921</v>
      </c>
      <c r="D666" t="n">
        <v>6.1</v>
      </c>
    </row>
    <row r="667">
      <c r="A667" s="62" t="n">
        <v>34486</v>
      </c>
      <c r="B667" t="n">
        <v>66.40000000000001</v>
      </c>
      <c r="C667" t="n">
        <v>114238</v>
      </c>
      <c r="D667" t="n">
        <v>6.1</v>
      </c>
    </row>
    <row r="668">
      <c r="A668" s="62" t="n">
        <v>34516</v>
      </c>
      <c r="B668" t="n">
        <v>66.40000000000001</v>
      </c>
      <c r="C668" t="n">
        <v>114610</v>
      </c>
      <c r="D668" t="n">
        <v>6.1</v>
      </c>
    </row>
    <row r="669">
      <c r="A669" s="62" t="n">
        <v>34547</v>
      </c>
      <c r="B669" t="n">
        <v>66.59999999999999</v>
      </c>
      <c r="C669" t="n">
        <v>114896</v>
      </c>
      <c r="D669" t="n">
        <v>6</v>
      </c>
    </row>
    <row r="670">
      <c r="A670" s="62" t="n">
        <v>34578</v>
      </c>
      <c r="B670" t="n">
        <v>66.59999999999999</v>
      </c>
      <c r="C670" t="n">
        <v>115247</v>
      </c>
      <c r="D670" t="n">
        <v>5.9</v>
      </c>
    </row>
    <row r="671">
      <c r="A671" s="62" t="n">
        <v>34608</v>
      </c>
      <c r="B671" t="n">
        <v>66.7</v>
      </c>
      <c r="C671" t="n">
        <v>115458</v>
      </c>
      <c r="D671" t="n">
        <v>5.8</v>
      </c>
    </row>
    <row r="672">
      <c r="A672" s="62" t="n">
        <v>34639</v>
      </c>
      <c r="B672" t="n">
        <v>66.7</v>
      </c>
      <c r="C672" t="n">
        <v>115869</v>
      </c>
      <c r="D672" t="n">
        <v>5.6</v>
      </c>
    </row>
    <row r="673">
      <c r="A673" s="62" t="n">
        <v>34669</v>
      </c>
      <c r="B673" t="n">
        <v>66.7</v>
      </c>
      <c r="C673" t="n">
        <v>116165</v>
      </c>
      <c r="D673" t="n">
        <v>5.5</v>
      </c>
    </row>
    <row r="674">
      <c r="A674" s="62" t="n">
        <v>34700</v>
      </c>
      <c r="B674" t="n">
        <v>66.8</v>
      </c>
      <c r="C674" t="n">
        <v>116501</v>
      </c>
      <c r="D674" t="n">
        <v>5.6</v>
      </c>
    </row>
    <row r="675">
      <c r="A675" s="62" t="n">
        <v>34731</v>
      </c>
      <c r="B675" t="n">
        <v>66.8</v>
      </c>
      <c r="C675" t="n">
        <v>116697</v>
      </c>
      <c r="D675" t="n">
        <v>5.4</v>
      </c>
    </row>
    <row r="676">
      <c r="A676" s="62" t="n">
        <v>34759</v>
      </c>
      <c r="B676" t="n">
        <v>66.7</v>
      </c>
      <c r="C676" t="n">
        <v>116907</v>
      </c>
      <c r="D676" t="n">
        <v>5.4</v>
      </c>
    </row>
    <row r="677">
      <c r="A677" s="62" t="n">
        <v>34790</v>
      </c>
      <c r="B677" t="n">
        <v>66.90000000000001</v>
      </c>
      <c r="C677" t="n">
        <v>117069</v>
      </c>
      <c r="D677" t="n">
        <v>5.8</v>
      </c>
    </row>
    <row r="678">
      <c r="A678" s="62" t="n">
        <v>34820</v>
      </c>
      <c r="B678" t="n">
        <v>66.5</v>
      </c>
      <c r="C678" t="n">
        <v>117049</v>
      </c>
      <c r="D678" t="n">
        <v>5.6</v>
      </c>
    </row>
    <row r="679">
      <c r="A679" s="62" t="n">
        <v>34851</v>
      </c>
      <c r="B679" t="n">
        <v>66.5</v>
      </c>
      <c r="C679" t="n">
        <v>117286</v>
      </c>
      <c r="D679" t="n">
        <v>5.6</v>
      </c>
    </row>
    <row r="680">
      <c r="A680" s="62" t="n">
        <v>34881</v>
      </c>
      <c r="B680" t="n">
        <v>66.59999999999999</v>
      </c>
      <c r="C680" t="n">
        <v>117380</v>
      </c>
      <c r="D680" t="n">
        <v>5.7</v>
      </c>
    </row>
    <row r="681">
      <c r="A681" s="62" t="n">
        <v>34912</v>
      </c>
      <c r="B681" t="n">
        <v>66.59999999999999</v>
      </c>
      <c r="C681" t="n">
        <v>117634</v>
      </c>
      <c r="D681" t="n">
        <v>5.7</v>
      </c>
    </row>
    <row r="682">
      <c r="A682" s="62" t="n">
        <v>34943</v>
      </c>
      <c r="B682" t="n">
        <v>66.59999999999999</v>
      </c>
      <c r="C682" t="n">
        <v>117875</v>
      </c>
      <c r="D682" t="n">
        <v>5.6</v>
      </c>
    </row>
    <row r="683">
      <c r="A683" s="62" t="n">
        <v>34973</v>
      </c>
      <c r="B683" t="n">
        <v>66.59999999999999</v>
      </c>
      <c r="C683" t="n">
        <v>118031</v>
      </c>
      <c r="D683" t="n">
        <v>5.5</v>
      </c>
    </row>
    <row r="684">
      <c r="A684" s="62" t="n">
        <v>35004</v>
      </c>
      <c r="B684" t="n">
        <v>66.5</v>
      </c>
      <c r="C684" t="n">
        <v>118175</v>
      </c>
      <c r="D684" t="n">
        <v>5.6</v>
      </c>
    </row>
    <row r="685">
      <c r="A685" s="62" t="n">
        <v>35034</v>
      </c>
      <c r="B685" t="n">
        <v>66.40000000000001</v>
      </c>
      <c r="C685" t="n">
        <v>118320</v>
      </c>
      <c r="D685" t="n">
        <v>5.6</v>
      </c>
    </row>
    <row r="686">
      <c r="A686" s="62" t="n">
        <v>35065</v>
      </c>
      <c r="B686" t="n">
        <v>66.40000000000001</v>
      </c>
      <c r="C686" t="n">
        <v>118316</v>
      </c>
      <c r="D686" t="n">
        <v>5.6</v>
      </c>
    </row>
    <row r="687">
      <c r="A687" s="62" t="n">
        <v>35096</v>
      </c>
      <c r="B687" t="n">
        <v>66.59999999999999</v>
      </c>
      <c r="C687" t="n">
        <v>118739</v>
      </c>
      <c r="D687" t="n">
        <v>5.5</v>
      </c>
    </row>
    <row r="688">
      <c r="A688" s="62" t="n">
        <v>35125</v>
      </c>
      <c r="B688" t="n">
        <v>66.59999999999999</v>
      </c>
      <c r="C688" t="n">
        <v>118993</v>
      </c>
      <c r="D688" t="n">
        <v>5.5</v>
      </c>
    </row>
    <row r="689">
      <c r="A689" s="62" t="n">
        <v>35156</v>
      </c>
      <c r="B689" t="n">
        <v>66.7</v>
      </c>
      <c r="C689" t="n">
        <v>119158</v>
      </c>
      <c r="D689" t="n">
        <v>5.6</v>
      </c>
    </row>
    <row r="690">
      <c r="A690" s="62" t="n">
        <v>35186</v>
      </c>
      <c r="B690" t="n">
        <v>66.7</v>
      </c>
      <c r="C690" t="n">
        <v>119486</v>
      </c>
      <c r="D690" t="n">
        <v>5.6</v>
      </c>
    </row>
    <row r="691">
      <c r="A691" s="62" t="n">
        <v>35217</v>
      </c>
      <c r="B691" t="n">
        <v>66.7</v>
      </c>
      <c r="C691" t="n">
        <v>119769</v>
      </c>
      <c r="D691" t="n">
        <v>5.3</v>
      </c>
    </row>
    <row r="692">
      <c r="A692" s="62" t="n">
        <v>35247</v>
      </c>
      <c r="B692" t="n">
        <v>66.90000000000001</v>
      </c>
      <c r="C692" t="n">
        <v>120015</v>
      </c>
      <c r="D692" t="n">
        <v>5.5</v>
      </c>
    </row>
    <row r="693">
      <c r="A693" s="62" t="n">
        <v>35278</v>
      </c>
      <c r="B693" t="n">
        <v>66.7</v>
      </c>
      <c r="C693" t="n">
        <v>120199</v>
      </c>
      <c r="D693" t="n">
        <v>5.1</v>
      </c>
    </row>
    <row r="694">
      <c r="A694" s="62" t="n">
        <v>35309</v>
      </c>
      <c r="B694" t="n">
        <v>66.90000000000001</v>
      </c>
      <c r="C694" t="n">
        <v>120410</v>
      </c>
      <c r="D694" t="n">
        <v>5.2</v>
      </c>
    </row>
    <row r="695">
      <c r="A695" s="62" t="n">
        <v>35339</v>
      </c>
      <c r="B695" t="n">
        <v>67</v>
      </c>
      <c r="C695" t="n">
        <v>120665</v>
      </c>
      <c r="D695" t="n">
        <v>5.2</v>
      </c>
    </row>
    <row r="696">
      <c r="A696" s="62" t="n">
        <v>35370</v>
      </c>
      <c r="B696" t="n">
        <v>67</v>
      </c>
      <c r="C696" t="n">
        <v>120961</v>
      </c>
      <c r="D696" t="n">
        <v>5.4</v>
      </c>
    </row>
    <row r="697">
      <c r="A697" s="62" t="n">
        <v>35400</v>
      </c>
      <c r="B697" t="n">
        <v>67</v>
      </c>
      <c r="C697" t="n">
        <v>121143</v>
      </c>
      <c r="D697" t="n">
        <v>5.4</v>
      </c>
    </row>
    <row r="698">
      <c r="A698" s="62" t="n">
        <v>35431</v>
      </c>
      <c r="B698" t="n">
        <v>67</v>
      </c>
      <c r="C698" t="n">
        <v>121363</v>
      </c>
      <c r="D698" t="n">
        <v>5.3</v>
      </c>
    </row>
    <row r="699">
      <c r="A699" s="62" t="n">
        <v>35462</v>
      </c>
      <c r="B699" t="n">
        <v>66.90000000000001</v>
      </c>
      <c r="C699" t="n">
        <v>121675</v>
      </c>
      <c r="D699" t="n">
        <v>5.2</v>
      </c>
    </row>
    <row r="700">
      <c r="A700" s="62" t="n">
        <v>35490</v>
      </c>
      <c r="B700" t="n">
        <v>67.09999999999999</v>
      </c>
      <c r="C700" t="n">
        <v>121990</v>
      </c>
      <c r="D700" t="n">
        <v>5.2</v>
      </c>
    </row>
    <row r="701">
      <c r="A701" s="62" t="n">
        <v>35521</v>
      </c>
      <c r="B701" t="n">
        <v>67.09999999999999</v>
      </c>
      <c r="C701" t="n">
        <v>122286</v>
      </c>
      <c r="D701" t="n">
        <v>5.1</v>
      </c>
    </row>
    <row r="702">
      <c r="A702" s="62" t="n">
        <v>35551</v>
      </c>
      <c r="B702" t="n">
        <v>67.09999999999999</v>
      </c>
      <c r="C702" t="n">
        <v>122546</v>
      </c>
      <c r="D702" t="n">
        <v>4.9</v>
      </c>
    </row>
    <row r="703">
      <c r="A703" s="62" t="n">
        <v>35582</v>
      </c>
      <c r="B703" t="n">
        <v>67.09999999999999</v>
      </c>
      <c r="C703" t="n">
        <v>122814</v>
      </c>
      <c r="D703" t="n">
        <v>5</v>
      </c>
    </row>
    <row r="704">
      <c r="A704" s="62" t="n">
        <v>35612</v>
      </c>
      <c r="B704" t="n">
        <v>67.2</v>
      </c>
      <c r="C704" t="n">
        <v>123111</v>
      </c>
      <c r="D704" t="n">
        <v>4.9</v>
      </c>
    </row>
    <row r="705">
      <c r="A705" s="62" t="n">
        <v>35643</v>
      </c>
      <c r="B705" t="n">
        <v>67.2</v>
      </c>
      <c r="C705" t="n">
        <v>123093</v>
      </c>
      <c r="D705" t="n">
        <v>4.8</v>
      </c>
    </row>
    <row r="706">
      <c r="A706" s="62" t="n">
        <v>35674</v>
      </c>
      <c r="B706" t="n">
        <v>67.09999999999999</v>
      </c>
      <c r="C706" t="n">
        <v>123585</v>
      </c>
      <c r="D706" t="n">
        <v>4.9</v>
      </c>
    </row>
    <row r="707">
      <c r="A707" s="62" t="n">
        <v>35704</v>
      </c>
      <c r="B707" t="n">
        <v>67.09999999999999</v>
      </c>
      <c r="C707" t="n">
        <v>123929</v>
      </c>
      <c r="D707" t="n">
        <v>4.7</v>
      </c>
    </row>
    <row r="708">
      <c r="A708" s="62" t="n">
        <v>35735</v>
      </c>
      <c r="B708" t="n">
        <v>67.2</v>
      </c>
      <c r="C708" t="n">
        <v>124235</v>
      </c>
      <c r="D708" t="n">
        <v>4.6</v>
      </c>
    </row>
    <row r="709">
      <c r="A709" s="62" t="n">
        <v>35765</v>
      </c>
      <c r="B709" t="n">
        <v>67.2</v>
      </c>
      <c r="C709" t="n">
        <v>124549</v>
      </c>
      <c r="D709" t="n">
        <v>4.7</v>
      </c>
    </row>
    <row r="710">
      <c r="A710" s="62" t="n">
        <v>35796</v>
      </c>
      <c r="B710" t="n">
        <v>67.09999999999999</v>
      </c>
      <c r="C710" t="n">
        <v>124812</v>
      </c>
      <c r="D710" t="n">
        <v>4.6</v>
      </c>
    </row>
    <row r="711">
      <c r="A711" s="62" t="n">
        <v>35827</v>
      </c>
      <c r="B711" t="n">
        <v>67.09999999999999</v>
      </c>
      <c r="C711" t="n">
        <v>125016</v>
      </c>
      <c r="D711" t="n">
        <v>4.6</v>
      </c>
    </row>
    <row r="712">
      <c r="A712" s="62" t="n">
        <v>35855</v>
      </c>
      <c r="B712" t="n">
        <v>67.09999999999999</v>
      </c>
      <c r="C712" t="n">
        <v>125164</v>
      </c>
      <c r="D712" t="n">
        <v>4.7</v>
      </c>
    </row>
    <row r="713">
      <c r="A713" s="62" t="n">
        <v>35886</v>
      </c>
      <c r="B713" t="n">
        <v>67</v>
      </c>
      <c r="C713" t="n">
        <v>125442</v>
      </c>
      <c r="D713" t="n">
        <v>4.3</v>
      </c>
    </row>
    <row r="714">
      <c r="A714" s="62" t="n">
        <v>35916</v>
      </c>
      <c r="B714" t="n">
        <v>67</v>
      </c>
      <c r="C714" t="n">
        <v>125844</v>
      </c>
      <c r="D714" t="n">
        <v>4.4</v>
      </c>
    </row>
    <row r="715">
      <c r="A715" s="62" t="n">
        <v>35947</v>
      </c>
      <c r="B715" t="n">
        <v>67</v>
      </c>
      <c r="C715" t="n">
        <v>126076</v>
      </c>
      <c r="D715" t="n">
        <v>4.5</v>
      </c>
    </row>
    <row r="716">
      <c r="A716" s="62" t="n">
        <v>35977</v>
      </c>
      <c r="B716" t="n">
        <v>67</v>
      </c>
      <c r="C716" t="n">
        <v>126205</v>
      </c>
      <c r="D716" t="n">
        <v>4.5</v>
      </c>
    </row>
    <row r="717">
      <c r="A717" s="62" t="n">
        <v>36008</v>
      </c>
      <c r="B717" t="n">
        <v>67</v>
      </c>
      <c r="C717" t="n">
        <v>126544</v>
      </c>
      <c r="D717" t="n">
        <v>4.5</v>
      </c>
    </row>
    <row r="718">
      <c r="A718" s="62" t="n">
        <v>36039</v>
      </c>
      <c r="B718" t="n">
        <v>67.2</v>
      </c>
      <c r="C718" t="n">
        <v>126752</v>
      </c>
      <c r="D718" t="n">
        <v>4.6</v>
      </c>
    </row>
    <row r="719">
      <c r="A719" s="62" t="n">
        <v>36069</v>
      </c>
      <c r="B719" t="n">
        <v>67.2</v>
      </c>
      <c r="C719" t="n">
        <v>126954</v>
      </c>
      <c r="D719" t="n">
        <v>4.5</v>
      </c>
    </row>
    <row r="720">
      <c r="A720" s="62" t="n">
        <v>36100</v>
      </c>
      <c r="B720" t="n">
        <v>67.09999999999999</v>
      </c>
      <c r="C720" t="n">
        <v>127231</v>
      </c>
      <c r="D720" t="n">
        <v>4.4</v>
      </c>
    </row>
    <row r="721">
      <c r="A721" s="62" t="n">
        <v>36130</v>
      </c>
      <c r="B721" t="n">
        <v>67.2</v>
      </c>
      <c r="C721" t="n">
        <v>127596</v>
      </c>
      <c r="D721" t="n">
        <v>4.4</v>
      </c>
    </row>
    <row r="722">
      <c r="A722" s="62" t="n">
        <v>36161</v>
      </c>
      <c r="B722" t="n">
        <v>67.2</v>
      </c>
      <c r="C722" t="n">
        <v>127702</v>
      </c>
      <c r="D722" t="n">
        <v>4.3</v>
      </c>
    </row>
    <row r="723">
      <c r="A723" s="62" t="n">
        <v>36192</v>
      </c>
      <c r="B723" t="n">
        <v>67.2</v>
      </c>
      <c r="C723" t="n">
        <v>128120</v>
      </c>
      <c r="D723" t="n">
        <v>4.4</v>
      </c>
    </row>
    <row r="724">
      <c r="A724" s="62" t="n">
        <v>36220</v>
      </c>
      <c r="B724" t="n">
        <v>67</v>
      </c>
      <c r="C724" t="n">
        <v>128227</v>
      </c>
      <c r="D724" t="n">
        <v>4.2</v>
      </c>
    </row>
    <row r="725">
      <c r="A725" s="62" t="n">
        <v>36251</v>
      </c>
      <c r="B725" t="n">
        <v>67.09999999999999</v>
      </c>
      <c r="C725" t="n">
        <v>128597</v>
      </c>
      <c r="D725" t="n">
        <v>4.3</v>
      </c>
    </row>
    <row r="726">
      <c r="A726" s="62" t="n">
        <v>36281</v>
      </c>
      <c r="B726" t="n">
        <v>67.09999999999999</v>
      </c>
      <c r="C726" t="n">
        <v>128808</v>
      </c>
      <c r="D726" t="n">
        <v>4.2</v>
      </c>
    </row>
    <row r="727">
      <c r="A727" s="62" t="n">
        <v>36312</v>
      </c>
      <c r="B727" t="n">
        <v>67.09999999999999</v>
      </c>
      <c r="C727" t="n">
        <v>129089</v>
      </c>
      <c r="D727" t="n">
        <v>4.3</v>
      </c>
    </row>
    <row r="728">
      <c r="A728" s="62" t="n">
        <v>36342</v>
      </c>
      <c r="B728" t="n">
        <v>67.09999999999999</v>
      </c>
      <c r="C728" t="n">
        <v>129414</v>
      </c>
      <c r="D728" t="n">
        <v>4.3</v>
      </c>
    </row>
    <row r="729">
      <c r="A729" s="62" t="n">
        <v>36373</v>
      </c>
      <c r="B729" t="n">
        <v>67</v>
      </c>
      <c r="C729" t="n">
        <v>129569</v>
      </c>
      <c r="D729" t="n">
        <v>4.2</v>
      </c>
    </row>
    <row r="730">
      <c r="A730" s="62" t="n">
        <v>36404</v>
      </c>
      <c r="B730" t="n">
        <v>67</v>
      </c>
      <c r="C730" t="n">
        <v>129772</v>
      </c>
      <c r="D730" t="n">
        <v>4.2</v>
      </c>
    </row>
    <row r="731">
      <c r="A731" s="62" t="n">
        <v>36434</v>
      </c>
      <c r="B731" t="n">
        <v>67</v>
      </c>
      <c r="C731" t="n">
        <v>130177</v>
      </c>
      <c r="D731" t="n">
        <v>4.1</v>
      </c>
    </row>
    <row r="732">
      <c r="A732" s="62" t="n">
        <v>36465</v>
      </c>
      <c r="B732" t="n">
        <v>67.09999999999999</v>
      </c>
      <c r="C732" t="n">
        <v>130466</v>
      </c>
      <c r="D732" t="n">
        <v>4.1</v>
      </c>
    </row>
    <row r="733">
      <c r="A733" s="62" t="n">
        <v>36495</v>
      </c>
      <c r="B733" t="n">
        <v>67.09999999999999</v>
      </c>
      <c r="C733" t="n">
        <v>130772</v>
      </c>
      <c r="D733" t="n">
        <v>4</v>
      </c>
    </row>
    <row r="734">
      <c r="A734" s="62" t="n">
        <v>36526</v>
      </c>
      <c r="B734" t="n">
        <v>67.3</v>
      </c>
      <c r="C734" t="n">
        <v>131005</v>
      </c>
      <c r="D734" t="n">
        <v>4</v>
      </c>
    </row>
    <row r="735">
      <c r="A735" s="62" t="n">
        <v>36557</v>
      </c>
      <c r="B735" t="n">
        <v>67.3</v>
      </c>
      <c r="C735" t="n">
        <v>131124</v>
      </c>
      <c r="D735" t="n">
        <v>4.1</v>
      </c>
    </row>
    <row r="736">
      <c r="A736" s="62" t="n">
        <v>36586</v>
      </c>
      <c r="B736" t="n">
        <v>67.3</v>
      </c>
      <c r="C736" t="n">
        <v>131596</v>
      </c>
      <c r="D736" t="n">
        <v>4</v>
      </c>
    </row>
    <row r="737">
      <c r="A737" s="62" t="n">
        <v>36617</v>
      </c>
      <c r="B737" t="n">
        <v>67.3</v>
      </c>
      <c r="C737" t="n">
        <v>131888</v>
      </c>
      <c r="D737" t="n">
        <v>3.8</v>
      </c>
    </row>
    <row r="738">
      <c r="A738" s="62" t="n">
        <v>36647</v>
      </c>
      <c r="B738" t="n">
        <v>67.09999999999999</v>
      </c>
      <c r="C738" t="n">
        <v>132105</v>
      </c>
      <c r="D738" t="n">
        <v>4</v>
      </c>
    </row>
    <row r="739">
      <c r="A739" s="62" t="n">
        <v>36678</v>
      </c>
      <c r="B739" t="n">
        <v>67.09999999999999</v>
      </c>
      <c r="C739" t="n">
        <v>132061</v>
      </c>
      <c r="D739" t="n">
        <v>4</v>
      </c>
    </row>
    <row r="740">
      <c r="A740" s="62" t="n">
        <v>36708</v>
      </c>
      <c r="B740" t="n">
        <v>66.90000000000001</v>
      </c>
      <c r="C740" t="n">
        <v>132236</v>
      </c>
      <c r="D740" t="n">
        <v>4</v>
      </c>
    </row>
    <row r="741">
      <c r="A741" s="62" t="n">
        <v>36739</v>
      </c>
      <c r="B741" t="n">
        <v>66.90000000000001</v>
      </c>
      <c r="C741" t="n">
        <v>132230</v>
      </c>
      <c r="D741" t="n">
        <v>4.1</v>
      </c>
    </row>
    <row r="742">
      <c r="A742" s="62" t="n">
        <v>36770</v>
      </c>
      <c r="B742" t="n">
        <v>66.90000000000001</v>
      </c>
      <c r="C742" t="n">
        <v>132353</v>
      </c>
      <c r="D742" t="n">
        <v>3.9</v>
      </c>
    </row>
    <row r="743">
      <c r="A743" s="62" t="n">
        <v>36800</v>
      </c>
      <c r="B743" t="n">
        <v>66.8</v>
      </c>
      <c r="C743" t="n">
        <v>132351</v>
      </c>
      <c r="D743" t="n">
        <v>3.9</v>
      </c>
    </row>
    <row r="744">
      <c r="A744" s="62" t="n">
        <v>36831</v>
      </c>
      <c r="B744" t="n">
        <v>66.90000000000001</v>
      </c>
      <c r="C744" t="n">
        <v>132556</v>
      </c>
      <c r="D744" t="n">
        <v>3.9</v>
      </c>
    </row>
    <row r="745">
      <c r="A745" s="62" t="n">
        <v>36861</v>
      </c>
      <c r="B745" t="n">
        <v>67</v>
      </c>
      <c r="C745" t="n">
        <v>132709</v>
      </c>
      <c r="D745" t="n">
        <v>3.9</v>
      </c>
    </row>
    <row r="746">
      <c r="A746" s="62" t="n">
        <v>36892</v>
      </c>
      <c r="B746" t="n">
        <v>67.2</v>
      </c>
      <c r="C746" t="n">
        <v>132698</v>
      </c>
      <c r="D746" t="n">
        <v>4.2</v>
      </c>
    </row>
    <row r="747">
      <c r="A747" s="62" t="n">
        <v>36923</v>
      </c>
      <c r="B747" t="n">
        <v>67.09999999999999</v>
      </c>
      <c r="C747" t="n">
        <v>132789</v>
      </c>
      <c r="D747" t="n">
        <v>4.2</v>
      </c>
    </row>
    <row r="748">
      <c r="A748" s="62" t="n">
        <v>36951</v>
      </c>
      <c r="B748" t="n">
        <v>67.2</v>
      </c>
      <c r="C748" t="n">
        <v>132747</v>
      </c>
      <c r="D748" t="n">
        <v>4.3</v>
      </c>
    </row>
    <row r="749">
      <c r="A749" s="62" t="n">
        <v>36982</v>
      </c>
      <c r="B749" t="n">
        <v>66.90000000000001</v>
      </c>
      <c r="C749" t="n">
        <v>132463</v>
      </c>
      <c r="D749" t="n">
        <v>4.4</v>
      </c>
    </row>
    <row r="750">
      <c r="A750" s="62" t="n">
        <v>37012</v>
      </c>
      <c r="B750" t="n">
        <v>66.7</v>
      </c>
      <c r="C750" t="n">
        <v>132410</v>
      </c>
      <c r="D750" t="n">
        <v>4.3</v>
      </c>
    </row>
    <row r="751">
      <c r="A751" s="62" t="n">
        <v>37043</v>
      </c>
      <c r="B751" t="n">
        <v>66.7</v>
      </c>
      <c r="C751" t="n">
        <v>132299</v>
      </c>
      <c r="D751" t="n">
        <v>4.5</v>
      </c>
    </row>
    <row r="752">
      <c r="A752" s="62" t="n">
        <v>37073</v>
      </c>
      <c r="B752" t="n">
        <v>66.8</v>
      </c>
      <c r="C752" t="n">
        <v>132177</v>
      </c>
      <c r="D752" t="n">
        <v>4.6</v>
      </c>
    </row>
    <row r="753">
      <c r="A753" s="62" t="n">
        <v>37104</v>
      </c>
      <c r="B753" t="n">
        <v>66.5</v>
      </c>
      <c r="C753" t="n">
        <v>132028</v>
      </c>
      <c r="D753" t="n">
        <v>4.9</v>
      </c>
    </row>
    <row r="754">
      <c r="A754" s="62" t="n">
        <v>37135</v>
      </c>
      <c r="B754" t="n">
        <v>66.8</v>
      </c>
      <c r="C754" t="n">
        <v>131771</v>
      </c>
      <c r="D754" t="n">
        <v>5</v>
      </c>
    </row>
    <row r="755">
      <c r="A755" s="62" t="n">
        <v>37165</v>
      </c>
      <c r="B755" t="n">
        <v>66.7</v>
      </c>
      <c r="C755" t="n">
        <v>131454</v>
      </c>
      <c r="D755" t="n">
        <v>5.3</v>
      </c>
    </row>
    <row r="756">
      <c r="A756" s="62" t="n">
        <v>37196</v>
      </c>
      <c r="B756" t="n">
        <v>66.7</v>
      </c>
      <c r="C756" t="n">
        <v>131142</v>
      </c>
      <c r="D756" t="n">
        <v>5.5</v>
      </c>
    </row>
    <row r="757">
      <c r="A757" s="62" t="n">
        <v>37226</v>
      </c>
      <c r="B757" t="n">
        <v>66.7</v>
      </c>
      <c r="C757" t="n">
        <v>130982</v>
      </c>
      <c r="D757" t="n">
        <v>5.7</v>
      </c>
    </row>
    <row r="758">
      <c r="A758" s="62" t="n">
        <v>37257</v>
      </c>
      <c r="B758" t="n">
        <v>66.5</v>
      </c>
      <c r="C758" t="n">
        <v>130852</v>
      </c>
      <c r="D758" t="n">
        <v>5.7</v>
      </c>
    </row>
    <row r="759">
      <c r="A759" s="62" t="n">
        <v>37288</v>
      </c>
      <c r="B759" t="n">
        <v>66.8</v>
      </c>
      <c r="C759" t="n">
        <v>130736</v>
      </c>
      <c r="D759" t="n">
        <v>5.7</v>
      </c>
    </row>
    <row r="760">
      <c r="A760" s="62" t="n">
        <v>37316</v>
      </c>
      <c r="B760" t="n">
        <v>66.59999999999999</v>
      </c>
      <c r="C760" t="n">
        <v>130717</v>
      </c>
      <c r="D760" t="n">
        <v>5.7</v>
      </c>
    </row>
    <row r="761">
      <c r="A761" s="62" t="n">
        <v>37347</v>
      </c>
      <c r="B761" t="n">
        <v>66.7</v>
      </c>
      <c r="C761" t="n">
        <v>130623</v>
      </c>
      <c r="D761" t="n">
        <v>5.9</v>
      </c>
    </row>
    <row r="762">
      <c r="A762" s="62" t="n">
        <v>37377</v>
      </c>
      <c r="B762" t="n">
        <v>66.7</v>
      </c>
      <c r="C762" t="n">
        <v>130634</v>
      </c>
      <c r="D762" t="n">
        <v>5.8</v>
      </c>
    </row>
    <row r="763">
      <c r="A763" s="62" t="n">
        <v>37408</v>
      </c>
      <c r="B763" t="n">
        <v>66.59999999999999</v>
      </c>
      <c r="C763" t="n">
        <v>130684</v>
      </c>
      <c r="D763" t="n">
        <v>5.8</v>
      </c>
    </row>
    <row r="764">
      <c r="A764" s="62" t="n">
        <v>37438</v>
      </c>
      <c r="B764" t="n">
        <v>66.5</v>
      </c>
      <c r="C764" t="n">
        <v>130590</v>
      </c>
      <c r="D764" t="n">
        <v>5.8</v>
      </c>
    </row>
    <row r="765">
      <c r="A765" s="62" t="n">
        <v>37469</v>
      </c>
      <c r="B765" t="n">
        <v>66.59999999999999</v>
      </c>
      <c r="C765" t="n">
        <v>130587</v>
      </c>
      <c r="D765" t="n">
        <v>5.7</v>
      </c>
    </row>
    <row r="766">
      <c r="A766" s="62" t="n">
        <v>37500</v>
      </c>
      <c r="B766" t="n">
        <v>66.7</v>
      </c>
      <c r="C766" t="n">
        <v>130501</v>
      </c>
      <c r="D766" t="n">
        <v>5.7</v>
      </c>
    </row>
    <row r="767">
      <c r="A767" s="62" t="n">
        <v>37530</v>
      </c>
      <c r="B767" t="n">
        <v>66.59999999999999</v>
      </c>
      <c r="C767" t="n">
        <v>130628</v>
      </c>
      <c r="D767" t="n">
        <v>5.7</v>
      </c>
    </row>
    <row r="768">
      <c r="A768" s="62" t="n">
        <v>37561</v>
      </c>
      <c r="B768" t="n">
        <v>66.40000000000001</v>
      </c>
      <c r="C768" t="n">
        <v>130615</v>
      </c>
      <c r="D768" t="n">
        <v>5.9</v>
      </c>
    </row>
    <row r="769">
      <c r="A769" s="62" t="n">
        <v>37591</v>
      </c>
      <c r="B769" t="n">
        <v>66.3</v>
      </c>
      <c r="C769" t="n">
        <v>130472</v>
      </c>
      <c r="D769" t="n">
        <v>6</v>
      </c>
    </row>
    <row r="770">
      <c r="A770" s="62" t="n">
        <v>37622</v>
      </c>
      <c r="B770" t="n">
        <v>66.40000000000001</v>
      </c>
      <c r="C770" t="n">
        <v>130580</v>
      </c>
      <c r="D770" t="n">
        <v>5.8</v>
      </c>
    </row>
    <row r="771">
      <c r="A771" s="62" t="n">
        <v>37653</v>
      </c>
      <c r="B771" t="n">
        <v>66.40000000000001</v>
      </c>
      <c r="C771" t="n">
        <v>130444</v>
      </c>
      <c r="D771" t="n">
        <v>5.9</v>
      </c>
    </row>
    <row r="772">
      <c r="A772" s="62" t="n">
        <v>37681</v>
      </c>
      <c r="B772" t="n">
        <v>66.3</v>
      </c>
      <c r="C772" t="n">
        <v>130232</v>
      </c>
      <c r="D772" t="n">
        <v>5.9</v>
      </c>
    </row>
    <row r="773">
      <c r="A773" s="62" t="n">
        <v>37712</v>
      </c>
      <c r="B773" t="n">
        <v>66.40000000000001</v>
      </c>
      <c r="C773" t="n">
        <v>130177</v>
      </c>
      <c r="D773" t="n">
        <v>6</v>
      </c>
    </row>
    <row r="774">
      <c r="A774" s="62" t="n">
        <v>37742</v>
      </c>
      <c r="B774" t="n">
        <v>66.40000000000001</v>
      </c>
      <c r="C774" t="n">
        <v>130196</v>
      </c>
      <c r="D774" t="n">
        <v>6.1</v>
      </c>
    </row>
    <row r="775">
      <c r="A775" s="62" t="n">
        <v>37773</v>
      </c>
      <c r="B775" t="n">
        <v>66.5</v>
      </c>
      <c r="C775" t="n">
        <v>130194</v>
      </c>
      <c r="D775" t="n">
        <v>6.3</v>
      </c>
    </row>
    <row r="776">
      <c r="A776" s="62" t="n">
        <v>37803</v>
      </c>
      <c r="B776" t="n">
        <v>66.2</v>
      </c>
      <c r="C776" t="n">
        <v>130191</v>
      </c>
      <c r="D776" t="n">
        <v>6.2</v>
      </c>
    </row>
    <row r="777">
      <c r="A777" s="62" t="n">
        <v>37834</v>
      </c>
      <c r="B777" t="n">
        <v>66.09999999999999</v>
      </c>
      <c r="C777" t="n">
        <v>130149</v>
      </c>
      <c r="D777" t="n">
        <v>6.1</v>
      </c>
    </row>
    <row r="778">
      <c r="A778" s="62" t="n">
        <v>37865</v>
      </c>
      <c r="B778" t="n">
        <v>66.09999999999999</v>
      </c>
      <c r="C778" t="n">
        <v>130254</v>
      </c>
      <c r="D778" t="n">
        <v>6.1</v>
      </c>
    </row>
    <row r="779">
      <c r="A779" s="62" t="n">
        <v>37895</v>
      </c>
      <c r="B779" t="n">
        <v>66.09999999999999</v>
      </c>
      <c r="C779" t="n">
        <v>130454</v>
      </c>
      <c r="D779" t="n">
        <v>6</v>
      </c>
    </row>
    <row r="780">
      <c r="A780" s="62" t="n">
        <v>37926</v>
      </c>
      <c r="B780" t="n">
        <v>66.09999999999999</v>
      </c>
      <c r="C780" t="n">
        <v>130474</v>
      </c>
      <c r="D780" t="n">
        <v>5.8</v>
      </c>
    </row>
    <row r="781">
      <c r="A781" s="62" t="n">
        <v>37956</v>
      </c>
      <c r="B781" t="n">
        <v>65.90000000000001</v>
      </c>
      <c r="C781" t="n">
        <v>130588</v>
      </c>
      <c r="D781" t="n">
        <v>5.7</v>
      </c>
    </row>
    <row r="782">
      <c r="A782" s="62" t="n">
        <v>37987</v>
      </c>
      <c r="B782" t="n">
        <v>66.09999999999999</v>
      </c>
      <c r="C782" t="n">
        <v>130769</v>
      </c>
      <c r="D782" t="n">
        <v>5.7</v>
      </c>
    </row>
    <row r="783">
      <c r="A783" s="62" t="n">
        <v>38018</v>
      </c>
      <c r="B783" t="n">
        <v>66</v>
      </c>
      <c r="C783" t="n">
        <v>130825</v>
      </c>
      <c r="D783" t="n">
        <v>5.6</v>
      </c>
    </row>
    <row r="784">
      <c r="A784" s="62" t="n">
        <v>38047</v>
      </c>
      <c r="B784" t="n">
        <v>66</v>
      </c>
      <c r="C784" t="n">
        <v>131142</v>
      </c>
      <c r="D784" t="n">
        <v>5.8</v>
      </c>
    </row>
    <row r="785">
      <c r="A785" s="62" t="n">
        <v>38078</v>
      </c>
      <c r="B785" t="n">
        <v>65.90000000000001</v>
      </c>
      <c r="C785" t="n">
        <v>131411</v>
      </c>
      <c r="D785" t="n">
        <v>5.6</v>
      </c>
    </row>
    <row r="786">
      <c r="A786" s="62" t="n">
        <v>38108</v>
      </c>
      <c r="B786" t="n">
        <v>66</v>
      </c>
      <c r="C786" t="n">
        <v>131694</v>
      </c>
      <c r="D786" t="n">
        <v>5.6</v>
      </c>
    </row>
    <row r="787">
      <c r="A787" s="62" t="n">
        <v>38139</v>
      </c>
      <c r="B787" t="n">
        <v>66.09999999999999</v>
      </c>
      <c r="C787" t="n">
        <v>131793</v>
      </c>
      <c r="D787" t="n">
        <v>5.6</v>
      </c>
    </row>
    <row r="788">
      <c r="A788" s="62" t="n">
        <v>38169</v>
      </c>
      <c r="B788" t="n">
        <v>66.09999999999999</v>
      </c>
      <c r="C788" t="n">
        <v>131848</v>
      </c>
      <c r="D788" t="n">
        <v>5.5</v>
      </c>
    </row>
    <row r="789">
      <c r="A789" s="62" t="n">
        <v>38200</v>
      </c>
      <c r="B789" t="n">
        <v>66</v>
      </c>
      <c r="C789" t="n">
        <v>131937</v>
      </c>
      <c r="D789" t="n">
        <v>5.4</v>
      </c>
    </row>
    <row r="790">
      <c r="A790" s="62" t="n">
        <v>38231</v>
      </c>
      <c r="B790" t="n">
        <v>65.8</v>
      </c>
      <c r="C790" t="n">
        <v>132093</v>
      </c>
      <c r="D790" t="n">
        <v>5.4</v>
      </c>
    </row>
    <row r="791">
      <c r="A791" s="62" t="n">
        <v>38261</v>
      </c>
      <c r="B791" t="n">
        <v>65.90000000000001</v>
      </c>
      <c r="C791" t="n">
        <v>132447</v>
      </c>
      <c r="D791" t="n">
        <v>5.5</v>
      </c>
    </row>
    <row r="792">
      <c r="A792" s="62" t="n">
        <v>38292</v>
      </c>
      <c r="B792" t="n">
        <v>66</v>
      </c>
      <c r="C792" t="n">
        <v>132503</v>
      </c>
      <c r="D792" t="n">
        <v>5.4</v>
      </c>
    </row>
    <row r="793">
      <c r="A793" s="62" t="n">
        <v>38322</v>
      </c>
      <c r="B793" t="n">
        <v>65.90000000000001</v>
      </c>
      <c r="C793" t="n">
        <v>132624</v>
      </c>
      <c r="D793" t="n">
        <v>5.4</v>
      </c>
    </row>
    <row r="794">
      <c r="A794" s="62" t="n">
        <v>38353</v>
      </c>
      <c r="B794" t="n">
        <v>65.8</v>
      </c>
      <c r="C794" t="n">
        <v>132774</v>
      </c>
      <c r="D794" t="n">
        <v>5.3</v>
      </c>
    </row>
    <row r="795">
      <c r="A795" s="62" t="n">
        <v>38384</v>
      </c>
      <c r="B795" t="n">
        <v>65.90000000000001</v>
      </c>
      <c r="C795" t="n">
        <v>133032</v>
      </c>
      <c r="D795" t="n">
        <v>5.4</v>
      </c>
    </row>
    <row r="796">
      <c r="A796" s="62" t="n">
        <v>38412</v>
      </c>
      <c r="B796" t="n">
        <v>65.90000000000001</v>
      </c>
      <c r="C796" t="n">
        <v>133156</v>
      </c>
      <c r="D796" t="n">
        <v>5.2</v>
      </c>
    </row>
    <row r="797">
      <c r="A797" s="62" t="n">
        <v>38443</v>
      </c>
      <c r="B797" t="n">
        <v>66.09999999999999</v>
      </c>
      <c r="C797" t="n">
        <v>133518</v>
      </c>
      <c r="D797" t="n">
        <v>5.2</v>
      </c>
    </row>
    <row r="798">
      <c r="A798" s="62" t="n">
        <v>38473</v>
      </c>
      <c r="B798" t="n">
        <v>66.09999999999999</v>
      </c>
      <c r="C798" t="n">
        <v>133690</v>
      </c>
      <c r="D798" t="n">
        <v>5.1</v>
      </c>
    </row>
    <row r="799">
      <c r="A799" s="62" t="n">
        <v>38504</v>
      </c>
      <c r="B799" t="n">
        <v>66.09999999999999</v>
      </c>
      <c r="C799" t="n">
        <v>133942</v>
      </c>
      <c r="D799" t="n">
        <v>5</v>
      </c>
    </row>
    <row r="800">
      <c r="A800" s="62" t="n">
        <v>38534</v>
      </c>
      <c r="B800" t="n">
        <v>66.09999999999999</v>
      </c>
      <c r="C800" t="n">
        <v>134296</v>
      </c>
      <c r="D800" t="n">
        <v>5</v>
      </c>
    </row>
    <row r="801">
      <c r="A801" s="62" t="n">
        <v>38565</v>
      </c>
      <c r="B801" t="n">
        <v>66.2</v>
      </c>
      <c r="C801" t="n">
        <v>134498</v>
      </c>
      <c r="D801" t="n">
        <v>4.9</v>
      </c>
    </row>
    <row r="802">
      <c r="A802" s="62" t="n">
        <v>38596</v>
      </c>
      <c r="B802" t="n">
        <v>66.09999999999999</v>
      </c>
      <c r="C802" t="n">
        <v>134566</v>
      </c>
      <c r="D802" t="n">
        <v>5</v>
      </c>
    </row>
    <row r="803">
      <c r="A803" s="62" t="n">
        <v>38626</v>
      </c>
      <c r="B803" t="n">
        <v>66.09999999999999</v>
      </c>
      <c r="C803" t="n">
        <v>134655</v>
      </c>
      <c r="D803" t="n">
        <v>5</v>
      </c>
    </row>
    <row r="804">
      <c r="A804" s="62" t="n">
        <v>38657</v>
      </c>
      <c r="B804" t="n">
        <v>66</v>
      </c>
      <c r="C804" t="n">
        <v>134993</v>
      </c>
      <c r="D804" t="n">
        <v>5</v>
      </c>
    </row>
    <row r="805">
      <c r="A805" s="62" t="n">
        <v>38687</v>
      </c>
      <c r="B805" t="n">
        <v>66</v>
      </c>
      <c r="C805" t="n">
        <v>135149</v>
      </c>
      <c r="D805" t="n">
        <v>4.9</v>
      </c>
    </row>
    <row r="806">
      <c r="A806" s="62" t="n">
        <v>38718</v>
      </c>
      <c r="B806" t="n">
        <v>66</v>
      </c>
      <c r="C806" t="n">
        <v>135429</v>
      </c>
      <c r="D806" t="n">
        <v>4.7</v>
      </c>
    </row>
    <row r="807">
      <c r="A807" s="62" t="n">
        <v>38749</v>
      </c>
      <c r="B807" t="n">
        <v>66.09999999999999</v>
      </c>
      <c r="C807" t="n">
        <v>135737</v>
      </c>
      <c r="D807" t="n">
        <v>4.8</v>
      </c>
    </row>
    <row r="808">
      <c r="A808" s="62" t="n">
        <v>38777</v>
      </c>
      <c r="B808" t="n">
        <v>66.2</v>
      </c>
      <c r="C808" t="n">
        <v>136047</v>
      </c>
      <c r="D808" t="n">
        <v>4.7</v>
      </c>
    </row>
    <row r="809">
      <c r="A809" s="62" t="n">
        <v>38808</v>
      </c>
      <c r="B809" t="n">
        <v>66.09999999999999</v>
      </c>
      <c r="C809" t="n">
        <v>136205</v>
      </c>
      <c r="D809" t="n">
        <v>4.7</v>
      </c>
    </row>
    <row r="810">
      <c r="A810" s="62" t="n">
        <v>38838</v>
      </c>
      <c r="B810" t="n">
        <v>66.09999999999999</v>
      </c>
      <c r="C810" t="n">
        <v>136244</v>
      </c>
      <c r="D810" t="n">
        <v>4.6</v>
      </c>
    </row>
    <row r="811">
      <c r="A811" s="62" t="n">
        <v>38869</v>
      </c>
      <c r="B811" t="n">
        <v>66.2</v>
      </c>
      <c r="C811" t="n">
        <v>136325</v>
      </c>
      <c r="D811" t="n">
        <v>4.6</v>
      </c>
    </row>
    <row r="812">
      <c r="A812" s="62" t="n">
        <v>38899</v>
      </c>
      <c r="B812" t="n">
        <v>66.09999999999999</v>
      </c>
      <c r="C812" t="n">
        <v>136520</v>
      </c>
      <c r="D812" t="n">
        <v>4.7</v>
      </c>
    </row>
    <row r="813">
      <c r="A813" s="62" t="n">
        <v>38930</v>
      </c>
      <c r="B813" t="n">
        <v>66.2</v>
      </c>
      <c r="C813" t="n">
        <v>136694</v>
      </c>
      <c r="D813" t="n">
        <v>4.7</v>
      </c>
    </row>
    <row r="814">
      <c r="A814" s="62" t="n">
        <v>38961</v>
      </c>
      <c r="B814" t="n">
        <v>66.09999999999999</v>
      </c>
      <c r="C814" t="n">
        <v>136843</v>
      </c>
      <c r="D814" t="n">
        <v>4.5</v>
      </c>
    </row>
    <row r="815">
      <c r="A815" s="62" t="n">
        <v>38991</v>
      </c>
      <c r="B815" t="n">
        <v>66.2</v>
      </c>
      <c r="C815" t="n">
        <v>136852</v>
      </c>
      <c r="D815" t="n">
        <v>4.4</v>
      </c>
    </row>
    <row r="816">
      <c r="A816" s="62" t="n">
        <v>39022</v>
      </c>
      <c r="B816" t="n">
        <v>66.3</v>
      </c>
      <c r="C816" t="n">
        <v>137063</v>
      </c>
      <c r="D816" t="n">
        <v>4.5</v>
      </c>
    </row>
    <row r="817">
      <c r="A817" s="62" t="n">
        <v>39052</v>
      </c>
      <c r="B817" t="n">
        <v>66.40000000000001</v>
      </c>
      <c r="C817" t="n">
        <v>137249</v>
      </c>
      <c r="D817" t="n">
        <v>4.4</v>
      </c>
    </row>
    <row r="818">
      <c r="A818" s="62" t="n">
        <v>39083</v>
      </c>
      <c r="B818" t="n">
        <v>66.40000000000001</v>
      </c>
      <c r="C818" t="n">
        <v>137477</v>
      </c>
      <c r="D818" t="n">
        <v>4.6</v>
      </c>
    </row>
    <row r="819">
      <c r="A819" s="62" t="n">
        <v>39114</v>
      </c>
      <c r="B819" t="n">
        <v>66.3</v>
      </c>
      <c r="C819" t="n">
        <v>137558</v>
      </c>
      <c r="D819" t="n">
        <v>4.5</v>
      </c>
    </row>
    <row r="820">
      <c r="A820" s="62" t="n">
        <v>39142</v>
      </c>
      <c r="B820" t="n">
        <v>66.2</v>
      </c>
      <c r="C820" t="n">
        <v>137793</v>
      </c>
      <c r="D820" t="n">
        <v>4.4</v>
      </c>
    </row>
    <row r="821">
      <c r="A821" s="62" t="n">
        <v>39173</v>
      </c>
      <c r="B821" t="n">
        <v>65.90000000000001</v>
      </c>
      <c r="C821" t="n">
        <v>137842</v>
      </c>
      <c r="D821" t="n">
        <v>4.5</v>
      </c>
    </row>
    <row r="822">
      <c r="A822" s="62" t="n">
        <v>39203</v>
      </c>
      <c r="B822" t="n">
        <v>66</v>
      </c>
      <c r="C822" t="n">
        <v>137993</v>
      </c>
      <c r="D822" t="n">
        <v>4.4</v>
      </c>
    </row>
    <row r="823">
      <c r="A823" s="62" t="n">
        <v>39234</v>
      </c>
      <c r="B823" t="n">
        <v>66</v>
      </c>
      <c r="C823" t="n">
        <v>138069</v>
      </c>
      <c r="D823" t="n">
        <v>4.6</v>
      </c>
    </row>
    <row r="824">
      <c r="A824" s="62" t="n">
        <v>39264</v>
      </c>
      <c r="B824" t="n">
        <v>66</v>
      </c>
      <c r="C824" t="n">
        <v>138038</v>
      </c>
      <c r="D824" t="n">
        <v>4.7</v>
      </c>
    </row>
    <row r="825">
      <c r="A825" s="62" t="n">
        <v>39295</v>
      </c>
      <c r="B825" t="n">
        <v>65.8</v>
      </c>
      <c r="C825" t="n">
        <v>138015</v>
      </c>
      <c r="D825" t="n">
        <v>4.6</v>
      </c>
    </row>
    <row r="826">
      <c r="A826" s="62" t="n">
        <v>39326</v>
      </c>
      <c r="B826" t="n">
        <v>66</v>
      </c>
      <c r="C826" t="n">
        <v>138095</v>
      </c>
      <c r="D826" t="n">
        <v>4.7</v>
      </c>
    </row>
    <row r="827">
      <c r="A827" s="62" t="n">
        <v>39356</v>
      </c>
      <c r="B827" t="n">
        <v>65.8</v>
      </c>
      <c r="C827" t="n">
        <v>138174</v>
      </c>
      <c r="D827" t="n">
        <v>4.7</v>
      </c>
    </row>
    <row r="828">
      <c r="A828" s="62" t="n">
        <v>39387</v>
      </c>
      <c r="B828" t="n">
        <v>66</v>
      </c>
      <c r="C828" t="n">
        <v>138284</v>
      </c>
      <c r="D828" t="n">
        <v>4.7</v>
      </c>
    </row>
    <row r="829">
      <c r="A829" s="62" t="n">
        <v>39417</v>
      </c>
      <c r="B829" t="n">
        <v>66</v>
      </c>
      <c r="C829" t="n">
        <v>138392</v>
      </c>
      <c r="D829" t="n">
        <v>5</v>
      </c>
    </row>
    <row r="830">
      <c r="A830" s="62" t="n">
        <v>39448</v>
      </c>
      <c r="B830" t="n">
        <v>66.2</v>
      </c>
      <c r="C830" t="n">
        <v>138403</v>
      </c>
      <c r="D830" t="n">
        <v>5</v>
      </c>
    </row>
    <row r="831">
      <c r="A831" s="62" t="n">
        <v>39479</v>
      </c>
      <c r="B831" t="n">
        <v>66</v>
      </c>
      <c r="C831" t="n">
        <v>138324</v>
      </c>
      <c r="D831" t="n">
        <v>4.9</v>
      </c>
    </row>
    <row r="832">
      <c r="A832" s="62" t="n">
        <v>39508</v>
      </c>
      <c r="B832" t="n">
        <v>66.09999999999999</v>
      </c>
      <c r="C832" t="n">
        <v>138275</v>
      </c>
      <c r="D832" t="n">
        <v>5.1</v>
      </c>
    </row>
    <row r="833">
      <c r="A833" s="62" t="n">
        <v>39539</v>
      </c>
      <c r="B833" t="n">
        <v>65.90000000000001</v>
      </c>
      <c r="C833" t="n">
        <v>138035</v>
      </c>
      <c r="D833" t="n">
        <v>5</v>
      </c>
    </row>
    <row r="834">
      <c r="A834" s="62" t="n">
        <v>39569</v>
      </c>
      <c r="B834" t="n">
        <v>66.09999999999999</v>
      </c>
      <c r="C834" t="n">
        <v>137858</v>
      </c>
      <c r="D834" t="n">
        <v>5.4</v>
      </c>
    </row>
    <row r="835">
      <c r="A835" s="62" t="n">
        <v>39600</v>
      </c>
      <c r="B835" t="n">
        <v>66.09999999999999</v>
      </c>
      <c r="C835" t="n">
        <v>137687</v>
      </c>
      <c r="D835" t="n">
        <v>5.6</v>
      </c>
    </row>
    <row r="836">
      <c r="A836" s="62" t="n">
        <v>39630</v>
      </c>
      <c r="B836" t="n">
        <v>66.09999999999999</v>
      </c>
      <c r="C836" t="n">
        <v>137491</v>
      </c>
      <c r="D836" t="n">
        <v>5.8</v>
      </c>
    </row>
    <row r="837">
      <c r="A837" s="62" t="n">
        <v>39661</v>
      </c>
      <c r="B837" t="n">
        <v>66.09999999999999</v>
      </c>
      <c r="C837" t="n">
        <v>137213</v>
      </c>
      <c r="D837" t="n">
        <v>6.1</v>
      </c>
    </row>
    <row r="838">
      <c r="A838" s="62" t="n">
        <v>39692</v>
      </c>
      <c r="B838" t="n">
        <v>66</v>
      </c>
      <c r="C838" t="n">
        <v>136753</v>
      </c>
      <c r="D838" t="n">
        <v>6.1</v>
      </c>
    </row>
    <row r="839">
      <c r="A839" s="62" t="n">
        <v>39722</v>
      </c>
      <c r="B839" t="n">
        <v>66</v>
      </c>
      <c r="C839" t="n">
        <v>136272</v>
      </c>
      <c r="D839" t="n">
        <v>6.5</v>
      </c>
    </row>
    <row r="840">
      <c r="A840" s="62" t="n">
        <v>39753</v>
      </c>
      <c r="B840" t="n">
        <v>65.90000000000001</v>
      </c>
      <c r="C840" t="n">
        <v>135545</v>
      </c>
      <c r="D840" t="n">
        <v>6.8</v>
      </c>
    </row>
    <row r="841">
      <c r="A841" s="62" t="n">
        <v>39783</v>
      </c>
      <c r="B841" t="n">
        <v>65.8</v>
      </c>
      <c r="C841" t="n">
        <v>134839</v>
      </c>
      <c r="D841" t="n">
        <v>7.3</v>
      </c>
    </row>
    <row r="842">
      <c r="A842" s="62" t="n">
        <v>39814</v>
      </c>
      <c r="B842" t="n">
        <v>65.7</v>
      </c>
      <c r="C842" t="n">
        <v>134055</v>
      </c>
      <c r="D842" t="n">
        <v>7.8</v>
      </c>
    </row>
    <row r="843">
      <c r="A843" s="62" t="n">
        <v>39845</v>
      </c>
      <c r="B843" t="n">
        <v>65.8</v>
      </c>
      <c r="C843" t="n">
        <v>133312</v>
      </c>
      <c r="D843" t="n">
        <v>8.300000000000001</v>
      </c>
    </row>
    <row r="844">
      <c r="A844" s="62" t="n">
        <v>39873</v>
      </c>
      <c r="B844" t="n">
        <v>65.59999999999999</v>
      </c>
      <c r="C844" t="n">
        <v>132512</v>
      </c>
      <c r="D844" t="n">
        <v>8.699999999999999</v>
      </c>
    </row>
    <row r="845">
      <c r="A845" s="62" t="n">
        <v>39904</v>
      </c>
      <c r="B845" t="n">
        <v>65.7</v>
      </c>
      <c r="C845" t="n">
        <v>131817</v>
      </c>
      <c r="D845" t="n">
        <v>9</v>
      </c>
    </row>
    <row r="846">
      <c r="A846" s="62" t="n">
        <v>39934</v>
      </c>
      <c r="B846" t="n">
        <v>65.7</v>
      </c>
      <c r="C846" t="n">
        <v>131475</v>
      </c>
      <c r="D846" t="n">
        <v>9.4</v>
      </c>
    </row>
    <row r="847">
      <c r="A847" s="62" t="n">
        <v>39965</v>
      </c>
      <c r="B847" t="n">
        <v>65.7</v>
      </c>
      <c r="C847" t="n">
        <v>131008</v>
      </c>
      <c r="D847" t="n">
        <v>9.5</v>
      </c>
    </row>
    <row r="848">
      <c r="A848" s="62" t="n">
        <v>39995</v>
      </c>
      <c r="B848" t="n">
        <v>65.5</v>
      </c>
      <c r="C848" t="n">
        <v>130668</v>
      </c>
      <c r="D848" t="n">
        <v>9.5</v>
      </c>
    </row>
    <row r="849">
      <c r="A849" s="62" t="n">
        <v>40026</v>
      </c>
      <c r="B849" t="n">
        <v>65.40000000000001</v>
      </c>
      <c r="C849" t="n">
        <v>130485</v>
      </c>
      <c r="D849" t="n">
        <v>9.6</v>
      </c>
    </row>
    <row r="850">
      <c r="A850" s="62" t="n">
        <v>40057</v>
      </c>
      <c r="B850" t="n">
        <v>65.09999999999999</v>
      </c>
      <c r="C850" t="n">
        <v>130244</v>
      </c>
      <c r="D850" t="n">
        <v>9.800000000000001</v>
      </c>
    </row>
    <row r="851">
      <c r="A851" s="62" t="n">
        <v>40087</v>
      </c>
      <c r="B851" t="n">
        <v>65</v>
      </c>
      <c r="C851" t="n">
        <v>130045</v>
      </c>
      <c r="D851" t="n">
        <v>10</v>
      </c>
    </row>
    <row r="852">
      <c r="A852" s="62" t="n">
        <v>40118</v>
      </c>
      <c r="B852" t="n">
        <v>65</v>
      </c>
      <c r="C852" t="n">
        <v>130057</v>
      </c>
      <c r="D852" t="n">
        <v>9.9</v>
      </c>
    </row>
    <row r="853">
      <c r="A853" s="62" t="n">
        <v>40148</v>
      </c>
      <c r="B853" t="n">
        <v>64.59999999999999</v>
      </c>
      <c r="C853" t="n">
        <v>129788</v>
      </c>
      <c r="D853" t="n">
        <v>9.9</v>
      </c>
    </row>
    <row r="854">
      <c r="A854" s="62" t="n">
        <v>40179</v>
      </c>
      <c r="B854" t="n">
        <v>64.8</v>
      </c>
      <c r="C854" t="n">
        <v>129790</v>
      </c>
      <c r="D854" t="n">
        <v>9.800000000000001</v>
      </c>
    </row>
    <row r="855">
      <c r="A855" s="62" t="n">
        <v>40210</v>
      </c>
      <c r="B855" t="n">
        <v>64.90000000000001</v>
      </c>
      <c r="C855" t="n">
        <v>129698</v>
      </c>
      <c r="D855" t="n">
        <v>9.800000000000001</v>
      </c>
    </row>
    <row r="856">
      <c r="A856" s="62" t="n">
        <v>40238</v>
      </c>
      <c r="B856" t="n">
        <v>64.90000000000001</v>
      </c>
      <c r="C856" t="n">
        <v>129879</v>
      </c>
      <c r="D856" t="n">
        <v>9.9</v>
      </c>
    </row>
    <row r="857">
      <c r="A857" s="62" t="n">
        <v>40269</v>
      </c>
      <c r="B857" t="n">
        <v>65.2</v>
      </c>
      <c r="C857" t="n">
        <v>130110</v>
      </c>
      <c r="D857" t="n">
        <v>9.9</v>
      </c>
    </row>
    <row r="858">
      <c r="A858" s="62" t="n">
        <v>40299</v>
      </c>
      <c r="B858" t="n">
        <v>64.90000000000001</v>
      </c>
      <c r="C858" t="n">
        <v>130650</v>
      </c>
      <c r="D858" t="n">
        <v>9.6</v>
      </c>
    </row>
    <row r="859">
      <c r="A859" s="62" t="n">
        <v>40330</v>
      </c>
      <c r="B859" t="n">
        <v>64.59999999999999</v>
      </c>
      <c r="C859" t="n">
        <v>130511</v>
      </c>
      <c r="D859" t="n">
        <v>9.4</v>
      </c>
    </row>
    <row r="860">
      <c r="A860" s="62" t="n">
        <v>40360</v>
      </c>
      <c r="B860" t="n">
        <v>64.59999999999999</v>
      </c>
      <c r="C860" t="n">
        <v>130427</v>
      </c>
      <c r="D860" t="n">
        <v>9.4</v>
      </c>
    </row>
    <row r="861">
      <c r="A861" s="62" t="n">
        <v>40391</v>
      </c>
      <c r="B861" t="n">
        <v>64.7</v>
      </c>
      <c r="C861" t="n">
        <v>130422</v>
      </c>
      <c r="D861" t="n">
        <v>9.5</v>
      </c>
    </row>
    <row r="862">
      <c r="A862" s="62" t="n">
        <v>40422</v>
      </c>
      <c r="B862" t="n">
        <v>64.59999999999999</v>
      </c>
      <c r="C862" t="n">
        <v>130357</v>
      </c>
      <c r="D862" t="n">
        <v>9.5</v>
      </c>
    </row>
    <row r="863">
      <c r="A863" s="62" t="n">
        <v>40452</v>
      </c>
      <c r="B863" t="n">
        <v>64.40000000000001</v>
      </c>
      <c r="C863" t="n">
        <v>130625</v>
      </c>
      <c r="D863" t="n">
        <v>9.4</v>
      </c>
    </row>
    <row r="864">
      <c r="A864" s="62" t="n">
        <v>40483</v>
      </c>
      <c r="B864" t="n">
        <v>64.59999999999999</v>
      </c>
      <c r="C864" t="n">
        <v>130750</v>
      </c>
      <c r="D864" t="n">
        <v>9.800000000000001</v>
      </c>
    </row>
    <row r="865">
      <c r="A865" s="62" t="n">
        <v>40513</v>
      </c>
      <c r="B865" t="n">
        <v>64.3</v>
      </c>
      <c r="C865" t="n">
        <v>130822</v>
      </c>
      <c r="D865" t="n">
        <v>9.300000000000001</v>
      </c>
    </row>
    <row r="866">
      <c r="A866" s="62" t="n">
        <v>40544</v>
      </c>
      <c r="B866" t="n">
        <v>64.2</v>
      </c>
      <c r="C866" t="n">
        <v>130841</v>
      </c>
      <c r="D866" t="n">
        <v>9.1</v>
      </c>
    </row>
    <row r="867">
      <c r="A867" s="62" t="n">
        <v>40575</v>
      </c>
      <c r="B867" t="n">
        <v>64.09999999999999</v>
      </c>
      <c r="C867" t="n">
        <v>131053</v>
      </c>
      <c r="D867" t="n">
        <v>9</v>
      </c>
    </row>
    <row r="868">
      <c r="A868" s="62" t="n">
        <v>40603</v>
      </c>
      <c r="B868" t="n">
        <v>64.2</v>
      </c>
      <c r="C868" t="n">
        <v>131288</v>
      </c>
      <c r="D868" t="n">
        <v>9</v>
      </c>
    </row>
    <row r="869">
      <c r="A869" s="62" t="n">
        <v>40634</v>
      </c>
      <c r="B869" t="n">
        <v>64.2</v>
      </c>
      <c r="C869" t="n">
        <v>131602</v>
      </c>
      <c r="D869" t="n">
        <v>9.1</v>
      </c>
    </row>
    <row r="870">
      <c r="A870" s="62" t="n">
        <v>40664</v>
      </c>
      <c r="B870" t="n">
        <v>64.09999999999999</v>
      </c>
      <c r="C870" t="n">
        <v>131703</v>
      </c>
      <c r="D870" t="n">
        <v>9</v>
      </c>
    </row>
    <row r="871">
      <c r="A871" s="62" t="n">
        <v>40695</v>
      </c>
      <c r="B871" t="n">
        <v>64</v>
      </c>
      <c r="C871" t="n">
        <v>131939</v>
      </c>
      <c r="D871" t="n">
        <v>9.1</v>
      </c>
    </row>
    <row r="872">
      <c r="A872" s="62" t="n">
        <v>40725</v>
      </c>
      <c r="B872" t="n">
        <v>64</v>
      </c>
      <c r="C872" t="n">
        <v>131999</v>
      </c>
      <c r="D872" t="n">
        <v>9</v>
      </c>
    </row>
    <row r="873">
      <c r="A873" s="62" t="n">
        <v>40756</v>
      </c>
      <c r="B873" t="n">
        <v>64.09999999999999</v>
      </c>
      <c r="C873" t="n">
        <v>132125</v>
      </c>
      <c r="D873" t="n">
        <v>9</v>
      </c>
    </row>
    <row r="874">
      <c r="A874" s="62" t="n">
        <v>40787</v>
      </c>
      <c r="B874" t="n">
        <v>64.2</v>
      </c>
      <c r="C874" t="n">
        <v>132358</v>
      </c>
      <c r="D874" t="n">
        <v>9</v>
      </c>
    </row>
    <row r="875">
      <c r="A875" s="62" t="n">
        <v>40817</v>
      </c>
      <c r="B875" t="n">
        <v>64.09999999999999</v>
      </c>
      <c r="C875" t="n">
        <v>132562</v>
      </c>
      <c r="D875" t="n">
        <v>8.800000000000001</v>
      </c>
    </row>
    <row r="876">
      <c r="A876" s="62" t="n">
        <v>40848</v>
      </c>
      <c r="B876" t="n">
        <v>64.09999999999999</v>
      </c>
      <c r="C876" t="n">
        <v>132694</v>
      </c>
      <c r="D876" t="n">
        <v>8.6</v>
      </c>
    </row>
    <row r="877">
      <c r="A877" s="62" t="n">
        <v>40878</v>
      </c>
      <c r="B877" t="n">
        <v>64</v>
      </c>
      <c r="C877" t="n">
        <v>132896</v>
      </c>
      <c r="D877" t="n">
        <v>8.5</v>
      </c>
    </row>
    <row r="878">
      <c r="A878" s="62" t="n">
        <v>40909</v>
      </c>
      <c r="B878" t="n">
        <v>63.7</v>
      </c>
      <c r="C878" t="n">
        <v>133250</v>
      </c>
      <c r="D878" t="n">
        <v>8.300000000000001</v>
      </c>
    </row>
    <row r="879">
      <c r="A879" s="62" t="n">
        <v>40940</v>
      </c>
      <c r="B879" t="n">
        <v>63.8</v>
      </c>
      <c r="C879" t="n">
        <v>133512</v>
      </c>
      <c r="D879" t="n">
        <v>8.300000000000001</v>
      </c>
    </row>
    <row r="880">
      <c r="A880" s="62" t="n">
        <v>40969</v>
      </c>
      <c r="B880" t="n">
        <v>63.8</v>
      </c>
      <c r="C880" t="n">
        <v>133752</v>
      </c>
      <c r="D880" t="n">
        <v>8.199999999999999</v>
      </c>
    </row>
    <row r="881">
      <c r="A881" s="62" t="n">
        <v>41000</v>
      </c>
      <c r="B881" t="n">
        <v>63.7</v>
      </c>
      <c r="C881" t="n">
        <v>133834</v>
      </c>
      <c r="D881" t="n">
        <v>8.199999999999999</v>
      </c>
    </row>
    <row r="882">
      <c r="A882" s="62" t="n">
        <v>41030</v>
      </c>
      <c r="B882" t="n">
        <v>63.7</v>
      </c>
      <c r="C882" t="n">
        <v>133934</v>
      </c>
      <c r="D882" t="n">
        <v>8.199999999999999</v>
      </c>
    </row>
    <row r="883">
      <c r="A883" s="62" t="n">
        <v>41061</v>
      </c>
      <c r="B883" t="n">
        <v>63.8</v>
      </c>
      <c r="C883" t="n">
        <v>134007</v>
      </c>
      <c r="D883" t="n">
        <v>8.199999999999999</v>
      </c>
    </row>
    <row r="884">
      <c r="A884" s="62" t="n">
        <v>41091</v>
      </c>
      <c r="B884" t="n">
        <v>63.7</v>
      </c>
      <c r="C884" t="n">
        <v>134159</v>
      </c>
      <c r="D884" t="n">
        <v>8.199999999999999</v>
      </c>
    </row>
    <row r="885">
      <c r="A885" s="62" t="n">
        <v>41122</v>
      </c>
      <c r="B885" t="n">
        <v>63.5</v>
      </c>
      <c r="C885" t="n">
        <v>134331</v>
      </c>
      <c r="D885" t="n">
        <v>8.1</v>
      </c>
    </row>
    <row r="886">
      <c r="A886" s="62" t="n">
        <v>41153</v>
      </c>
      <c r="B886" t="n">
        <v>63.6</v>
      </c>
      <c r="C886" t="n">
        <v>134518</v>
      </c>
      <c r="D886" t="n">
        <v>7.8</v>
      </c>
    </row>
    <row r="887">
      <c r="A887" s="62" t="n">
        <v>41183</v>
      </c>
      <c r="B887" t="n">
        <v>63.8</v>
      </c>
      <c r="C887" t="n">
        <v>134677</v>
      </c>
      <c r="D887" t="n">
        <v>7.8</v>
      </c>
    </row>
    <row r="888">
      <c r="A888" s="62" t="n">
        <v>41214</v>
      </c>
      <c r="B888" t="n">
        <v>63.6</v>
      </c>
      <c r="C888" t="n">
        <v>134833</v>
      </c>
      <c r="D888" t="n">
        <v>7.7</v>
      </c>
    </row>
    <row r="889">
      <c r="A889" s="62" t="n">
        <v>41244</v>
      </c>
      <c r="B889" t="n">
        <v>63.7</v>
      </c>
      <c r="C889" t="n">
        <v>135072</v>
      </c>
      <c r="D889" t="n">
        <v>7.9</v>
      </c>
    </row>
    <row r="890">
      <c r="A890" s="62" t="n">
        <v>41275</v>
      </c>
      <c r="B890" t="n">
        <v>63.7</v>
      </c>
      <c r="C890" t="n">
        <v>135263</v>
      </c>
      <c r="D890" t="n">
        <v>8</v>
      </c>
    </row>
    <row r="891">
      <c r="A891" s="62" t="n">
        <v>41306</v>
      </c>
      <c r="B891" t="n">
        <v>63.4</v>
      </c>
      <c r="C891" t="n">
        <v>135541</v>
      </c>
      <c r="D891" t="n">
        <v>7.7</v>
      </c>
    </row>
    <row r="892">
      <c r="A892" s="62" t="n">
        <v>41334</v>
      </c>
      <c r="B892" t="n">
        <v>63.3</v>
      </c>
      <c r="C892" t="n">
        <v>135680</v>
      </c>
      <c r="D892" t="n">
        <v>7.5</v>
      </c>
    </row>
    <row r="893">
      <c r="A893" s="62" t="n">
        <v>41365</v>
      </c>
      <c r="B893" t="n">
        <v>63.4</v>
      </c>
      <c r="C893" t="n">
        <v>135871</v>
      </c>
      <c r="D893" t="n">
        <v>7.6</v>
      </c>
    </row>
    <row r="894">
      <c r="A894" s="62" t="n">
        <v>41395</v>
      </c>
      <c r="B894" t="n">
        <v>63.4</v>
      </c>
      <c r="C894" t="n">
        <v>136093</v>
      </c>
      <c r="D894" t="n">
        <v>7.5</v>
      </c>
    </row>
    <row r="895">
      <c r="A895" s="62" t="n">
        <v>41426</v>
      </c>
      <c r="B895" t="n">
        <v>63.4</v>
      </c>
      <c r="C895" t="n">
        <v>136274</v>
      </c>
      <c r="D895" t="n">
        <v>7.5</v>
      </c>
    </row>
    <row r="896">
      <c r="A896" s="62" t="n">
        <v>41456</v>
      </c>
      <c r="B896" t="n">
        <v>63.3</v>
      </c>
      <c r="C896" t="n">
        <v>136386</v>
      </c>
      <c r="D896" t="n">
        <v>7.3</v>
      </c>
    </row>
    <row r="897">
      <c r="A897" s="62" t="n">
        <v>41487</v>
      </c>
      <c r="B897" t="n">
        <v>63.3</v>
      </c>
      <c r="C897" t="n">
        <v>136628</v>
      </c>
      <c r="D897" t="n">
        <v>7.2</v>
      </c>
    </row>
    <row r="898">
      <c r="A898" s="62" t="n">
        <v>41518</v>
      </c>
      <c r="B898" t="n">
        <v>63.2</v>
      </c>
      <c r="C898" t="n">
        <v>136815</v>
      </c>
      <c r="D898" t="n">
        <v>7.2</v>
      </c>
    </row>
    <row r="899">
      <c r="A899" s="62" t="n">
        <v>41548</v>
      </c>
      <c r="B899" t="n">
        <v>62.8</v>
      </c>
      <c r="C899" t="n">
        <v>137040</v>
      </c>
      <c r="D899" t="n">
        <v>7.2</v>
      </c>
    </row>
    <row r="900">
      <c r="A900" s="62" t="n">
        <v>41579</v>
      </c>
      <c r="B900" t="n">
        <v>63</v>
      </c>
      <c r="C900" t="n">
        <v>137304</v>
      </c>
      <c r="D900" t="n">
        <v>6.9</v>
      </c>
    </row>
    <row r="901">
      <c r="A901" s="62" t="n">
        <v>41609</v>
      </c>
      <c r="B901" t="n">
        <v>62.9</v>
      </c>
      <c r="C901" t="n">
        <v>137373</v>
      </c>
      <c r="D901" t="n">
        <v>6.7</v>
      </c>
    </row>
    <row r="902">
      <c r="A902" s="62" t="n">
        <v>41640</v>
      </c>
      <c r="B902" t="n">
        <v>62.9</v>
      </c>
      <c r="C902" t="n">
        <v>137548</v>
      </c>
      <c r="D902" t="n">
        <v>6.6</v>
      </c>
    </row>
    <row r="903">
      <c r="A903" s="62" t="n">
        <v>41671</v>
      </c>
      <c r="B903" t="n">
        <v>62.9</v>
      </c>
      <c r="C903" t="n">
        <v>137714</v>
      </c>
      <c r="D903" t="n">
        <v>6.7</v>
      </c>
    </row>
    <row r="904">
      <c r="A904" s="62" t="n">
        <v>41699</v>
      </c>
      <c r="B904" t="n">
        <v>63.1</v>
      </c>
      <c r="C904" t="n">
        <v>137968</v>
      </c>
      <c r="D904" t="n">
        <v>6.7</v>
      </c>
    </row>
    <row r="905">
      <c r="A905" s="62" t="n">
        <v>41730</v>
      </c>
      <c r="B905" t="n">
        <v>62.8</v>
      </c>
      <c r="C905" t="n">
        <v>138293</v>
      </c>
      <c r="D905" t="n">
        <v>6.2</v>
      </c>
    </row>
    <row r="906">
      <c r="A906" s="62" t="n">
        <v>41760</v>
      </c>
      <c r="B906" t="n">
        <v>62.9</v>
      </c>
      <c r="C906" t="n">
        <v>138511</v>
      </c>
      <c r="D906" t="n">
        <v>6.3</v>
      </c>
    </row>
    <row r="907">
      <c r="A907" s="62" t="n">
        <v>41791</v>
      </c>
      <c r="B907" t="n">
        <v>62.8</v>
      </c>
      <c r="C907" t="n">
        <v>138837</v>
      </c>
      <c r="D907" t="n">
        <v>6.1</v>
      </c>
    </row>
    <row r="908">
      <c r="A908" s="62" t="n">
        <v>41821</v>
      </c>
      <c r="B908" t="n">
        <v>62.9</v>
      </c>
      <c r="C908" t="n">
        <v>139069</v>
      </c>
      <c r="D908" t="n">
        <v>6.2</v>
      </c>
    </row>
    <row r="909">
      <c r="A909" s="62" t="n">
        <v>41852</v>
      </c>
      <c r="B909" t="n">
        <v>62.9</v>
      </c>
      <c r="C909" t="n">
        <v>139257</v>
      </c>
      <c r="D909" t="n">
        <v>6.1</v>
      </c>
    </row>
    <row r="910">
      <c r="A910" s="62" t="n">
        <v>41883</v>
      </c>
      <c r="B910" t="n">
        <v>62.8</v>
      </c>
      <c r="C910" t="n">
        <v>139566</v>
      </c>
      <c r="D910" t="n">
        <v>5.9</v>
      </c>
    </row>
    <row r="911">
      <c r="A911" s="62" t="n">
        <v>41913</v>
      </c>
      <c r="B911" t="n">
        <v>62.9</v>
      </c>
      <c r="C911" t="n">
        <v>139818</v>
      </c>
      <c r="D911" t="n">
        <v>5.7</v>
      </c>
    </row>
    <row r="912">
      <c r="A912" s="62" t="n">
        <v>41944</v>
      </c>
      <c r="B912" t="n">
        <v>62.9</v>
      </c>
      <c r="C912" t="n">
        <v>140109</v>
      </c>
      <c r="D912" t="n">
        <v>5.8</v>
      </c>
    </row>
    <row r="913">
      <c r="A913" s="62" t="n">
        <v>41974</v>
      </c>
      <c r="B913" t="n">
        <v>62.8</v>
      </c>
      <c r="C913" t="n">
        <v>140377</v>
      </c>
      <c r="D913" t="n">
        <v>5.6</v>
      </c>
    </row>
    <row r="914">
      <c r="A914" s="62" t="n">
        <v>42005</v>
      </c>
      <c r="B914" t="n">
        <v>62.9</v>
      </c>
      <c r="C914" t="n">
        <v>140568</v>
      </c>
      <c r="D914" t="n">
        <v>5.7</v>
      </c>
    </row>
    <row r="915">
      <c r="A915" s="62" t="n">
        <v>42036</v>
      </c>
      <c r="B915" t="n">
        <v>62.7</v>
      </c>
      <c r="C915" t="n">
        <v>140839</v>
      </c>
      <c r="D915" t="n">
        <v>5.5</v>
      </c>
    </row>
    <row r="916">
      <c r="A916" s="62" t="n">
        <v>42064</v>
      </c>
      <c r="B916" t="n">
        <v>62.6</v>
      </c>
      <c r="C916" t="n">
        <v>140910</v>
      </c>
      <c r="D916" t="n">
        <v>5.4</v>
      </c>
    </row>
    <row r="917">
      <c r="A917" s="62" t="n">
        <v>42095</v>
      </c>
      <c r="B917" t="n">
        <v>62.8</v>
      </c>
      <c r="C917" t="n">
        <v>141194</v>
      </c>
      <c r="D917" t="n">
        <v>5.4</v>
      </c>
    </row>
    <row r="918">
      <c r="A918" s="62" t="n">
        <v>42125</v>
      </c>
      <c r="B918" t="n">
        <v>62.9</v>
      </c>
      <c r="C918" t="n">
        <v>141525</v>
      </c>
      <c r="D918" t="n">
        <v>5.6</v>
      </c>
    </row>
    <row r="919">
      <c r="A919" s="62" t="n">
        <v>42156</v>
      </c>
      <c r="B919" t="n">
        <v>62.7</v>
      </c>
      <c r="C919" t="n">
        <v>141699</v>
      </c>
      <c r="D919" t="n">
        <v>5.3</v>
      </c>
    </row>
    <row r="920">
      <c r="A920" s="62" t="n">
        <v>42186</v>
      </c>
      <c r="B920" t="n">
        <v>62.6</v>
      </c>
      <c r="C920" t="n">
        <v>142001</v>
      </c>
      <c r="D920" t="n">
        <v>5.2</v>
      </c>
    </row>
    <row r="921">
      <c r="A921" s="62" t="n">
        <v>42217</v>
      </c>
      <c r="B921" t="n">
        <v>62.6</v>
      </c>
      <c r="C921" t="n">
        <v>142126</v>
      </c>
      <c r="D921" t="n">
        <v>5.1</v>
      </c>
    </row>
    <row r="922">
      <c r="A922" s="62" t="n">
        <v>42248</v>
      </c>
      <c r="B922" t="n">
        <v>62.4</v>
      </c>
      <c r="C922" t="n">
        <v>142281</v>
      </c>
      <c r="D922" t="n">
        <v>5</v>
      </c>
    </row>
    <row r="923">
      <c r="A923" s="62" t="n">
        <v>42278</v>
      </c>
      <c r="B923" t="n">
        <v>62.5</v>
      </c>
      <c r="C923" t="n">
        <v>142587</v>
      </c>
      <c r="D923" t="n">
        <v>5</v>
      </c>
    </row>
    <row r="924">
      <c r="A924" s="62" t="n">
        <v>42309</v>
      </c>
      <c r="B924" t="n">
        <v>62.5</v>
      </c>
      <c r="C924" t="n">
        <v>142824</v>
      </c>
      <c r="D924" t="n">
        <v>5.1</v>
      </c>
    </row>
    <row r="925">
      <c r="A925" s="62" t="n">
        <v>42339</v>
      </c>
      <c r="B925" t="n">
        <v>62.7</v>
      </c>
      <c r="C925" t="n">
        <v>143097</v>
      </c>
      <c r="D925" t="n">
        <v>5</v>
      </c>
    </row>
    <row r="926">
      <c r="A926" s="62" t="n">
        <v>42370</v>
      </c>
      <c r="B926" t="n">
        <v>62.7</v>
      </c>
      <c r="C926" t="n">
        <v>143205</v>
      </c>
      <c r="D926" t="n">
        <v>4.8</v>
      </c>
    </row>
    <row r="927">
      <c r="A927" s="62" t="n">
        <v>42401</v>
      </c>
      <c r="B927" t="n">
        <v>62.8</v>
      </c>
      <c r="C927" t="n">
        <v>143417</v>
      </c>
      <c r="D927" t="n">
        <v>4.9</v>
      </c>
    </row>
    <row r="928">
      <c r="A928" s="62" t="n">
        <v>42430</v>
      </c>
      <c r="B928" t="n">
        <v>63</v>
      </c>
      <c r="C928" t="n">
        <v>143654</v>
      </c>
      <c r="D928" t="n">
        <v>5</v>
      </c>
    </row>
    <row r="929">
      <c r="A929" s="62" t="n">
        <v>42461</v>
      </c>
      <c r="B929" t="n">
        <v>62.9</v>
      </c>
      <c r="C929" t="n">
        <v>143851</v>
      </c>
      <c r="D929" t="n">
        <v>5.1</v>
      </c>
    </row>
    <row r="930">
      <c r="A930" s="62" t="n">
        <v>42491</v>
      </c>
      <c r="B930" t="n">
        <v>62.7</v>
      </c>
      <c r="C930" t="n">
        <v>143892</v>
      </c>
      <c r="D930" t="n">
        <v>4.8</v>
      </c>
    </row>
    <row r="931">
      <c r="A931" s="62" t="n">
        <v>42522</v>
      </c>
      <c r="B931" t="n">
        <v>62.7</v>
      </c>
      <c r="C931" t="n">
        <v>144150</v>
      </c>
      <c r="D931" t="n">
        <v>4.9</v>
      </c>
    </row>
    <row r="932">
      <c r="A932" s="62" t="n">
        <v>42552</v>
      </c>
      <c r="B932" t="n">
        <v>62.8</v>
      </c>
      <c r="C932" t="n">
        <v>144521</v>
      </c>
      <c r="D932" t="n">
        <v>4.8</v>
      </c>
    </row>
    <row r="933">
      <c r="A933" s="62" t="n">
        <v>42583</v>
      </c>
      <c r="B933" t="n">
        <v>62.9</v>
      </c>
      <c r="C933" t="n">
        <v>144664</v>
      </c>
      <c r="D933" t="n">
        <v>4.9</v>
      </c>
    </row>
    <row r="934">
      <c r="A934" s="62" t="n">
        <v>42614</v>
      </c>
      <c r="B934" t="n">
        <v>62.9</v>
      </c>
      <c r="C934" t="n">
        <v>144953</v>
      </c>
      <c r="D934" t="n">
        <v>5</v>
      </c>
    </row>
    <row r="935">
      <c r="A935" s="62" t="n">
        <v>42644</v>
      </c>
      <c r="B935" t="n">
        <v>62.8</v>
      </c>
      <c r="C935" t="n">
        <v>145071</v>
      </c>
      <c r="D935" t="n">
        <v>4.9</v>
      </c>
    </row>
    <row r="936">
      <c r="A936" s="62" t="n">
        <v>42675</v>
      </c>
      <c r="B936" t="n">
        <v>62.7</v>
      </c>
      <c r="C936" t="n">
        <v>145201</v>
      </c>
      <c r="D936" t="n">
        <v>4.7</v>
      </c>
    </row>
    <row r="937">
      <c r="A937" s="62" t="n">
        <v>42705</v>
      </c>
      <c r="B937" t="n">
        <v>62.7</v>
      </c>
      <c r="C937" t="n">
        <v>145415</v>
      </c>
      <c r="D937" t="n">
        <v>4.7</v>
      </c>
    </row>
    <row r="938">
      <c r="A938" s="62" t="n">
        <v>42736</v>
      </c>
      <c r="B938" t="n">
        <v>62.8</v>
      </c>
      <c r="C938" t="n">
        <v>145612</v>
      </c>
      <c r="D938" t="n">
        <v>4.7</v>
      </c>
    </row>
    <row r="939">
      <c r="A939" s="62" t="n">
        <v>42767</v>
      </c>
      <c r="B939" t="n">
        <v>62.8</v>
      </c>
      <c r="C939" t="n">
        <v>145795</v>
      </c>
      <c r="D939" t="n">
        <v>4.6</v>
      </c>
    </row>
    <row r="940">
      <c r="A940" s="62" t="n">
        <v>42795</v>
      </c>
      <c r="B940" t="n">
        <v>63</v>
      </c>
      <c r="C940" t="n">
        <v>145934</v>
      </c>
      <c r="D940" t="n">
        <v>4.4</v>
      </c>
    </row>
    <row r="941">
      <c r="A941" s="62" t="n">
        <v>42826</v>
      </c>
      <c r="B941" t="n">
        <v>63</v>
      </c>
      <c r="C941" t="n">
        <v>146154</v>
      </c>
      <c r="D941" t="n">
        <v>4.5</v>
      </c>
    </row>
    <row r="942">
      <c r="A942" s="62" t="n">
        <v>42856</v>
      </c>
      <c r="B942" t="n">
        <v>62.8</v>
      </c>
      <c r="C942" t="n">
        <v>146295</v>
      </c>
      <c r="D942" t="n">
        <v>4.4</v>
      </c>
    </row>
    <row r="943">
      <c r="A943" s="62" t="n">
        <v>42887</v>
      </c>
      <c r="B943" t="n">
        <v>62.8</v>
      </c>
      <c r="C943" t="n">
        <v>146506</v>
      </c>
      <c r="D943" t="n">
        <v>4.3</v>
      </c>
    </row>
    <row r="944">
      <c r="A944" s="62" t="n">
        <v>42917</v>
      </c>
      <c r="B944" t="n">
        <v>62.9</v>
      </c>
      <c r="C944" t="n">
        <v>146734</v>
      </c>
      <c r="D944" t="n">
        <v>4.3</v>
      </c>
    </row>
    <row r="945">
      <c r="A945" s="62" t="n">
        <v>42948</v>
      </c>
      <c r="B945" t="n">
        <v>62.9</v>
      </c>
      <c r="C945" t="n">
        <v>146924</v>
      </c>
      <c r="D945" t="n">
        <v>4.4</v>
      </c>
    </row>
    <row r="946">
      <c r="A946" s="62" t="n">
        <v>42979</v>
      </c>
      <c r="B946" t="n">
        <v>63</v>
      </c>
      <c r="C946" t="n">
        <v>146966</v>
      </c>
      <c r="D946" t="n">
        <v>4.2</v>
      </c>
    </row>
    <row r="947">
      <c r="A947" s="62" t="n">
        <v>43009</v>
      </c>
      <c r="B947" t="n">
        <v>62.7</v>
      </c>
      <c r="C947" t="n">
        <v>147215</v>
      </c>
      <c r="D947" t="n">
        <v>4.1</v>
      </c>
    </row>
    <row r="948">
      <c r="A948" s="62" t="n">
        <v>43040</v>
      </c>
      <c r="B948" t="n">
        <v>62.7</v>
      </c>
      <c r="C948" t="n">
        <v>147411</v>
      </c>
      <c r="D948" t="n">
        <v>4.2</v>
      </c>
    </row>
    <row r="949">
      <c r="A949" s="62" t="n">
        <v>43070</v>
      </c>
      <c r="B949" t="n">
        <v>62.7</v>
      </c>
      <c r="C949" t="n">
        <v>147590</v>
      </c>
      <c r="D949" t="n">
        <v>4.1</v>
      </c>
    </row>
    <row r="950">
      <c r="A950" s="62" t="n">
        <v>43101</v>
      </c>
      <c r="B950" t="n">
        <v>62.7</v>
      </c>
      <c r="C950" t="n">
        <v>147671</v>
      </c>
      <c r="D950" t="n">
        <v>4</v>
      </c>
    </row>
    <row r="951">
      <c r="A951" s="62" t="n">
        <v>43132</v>
      </c>
      <c r="B951" t="n">
        <v>63</v>
      </c>
      <c r="C951" t="n">
        <v>148049</v>
      </c>
      <c r="D951" t="n">
        <v>4.1</v>
      </c>
    </row>
    <row r="952">
      <c r="A952" s="62" t="n">
        <v>43160</v>
      </c>
      <c r="B952" t="n">
        <v>62.9</v>
      </c>
      <c r="C952" t="n">
        <v>148244</v>
      </c>
      <c r="D952" t="n">
        <v>4</v>
      </c>
    </row>
    <row r="953">
      <c r="A953" s="62" t="n">
        <v>43191</v>
      </c>
      <c r="B953" t="n">
        <v>62.9</v>
      </c>
      <c r="C953" t="n">
        <v>148397</v>
      </c>
      <c r="D953" t="n">
        <v>4</v>
      </c>
    </row>
    <row r="954">
      <c r="A954" s="62" t="n">
        <v>43221</v>
      </c>
      <c r="B954" t="n">
        <v>62.9</v>
      </c>
      <c r="C954" t="n">
        <v>148667</v>
      </c>
      <c r="D954" t="n">
        <v>3.8</v>
      </c>
    </row>
    <row r="955">
      <c r="A955" s="62" t="n">
        <v>43252</v>
      </c>
      <c r="B955" t="n">
        <v>63</v>
      </c>
      <c r="C955" t="n">
        <v>148881</v>
      </c>
      <c r="D955" t="n">
        <v>4</v>
      </c>
    </row>
    <row r="956">
      <c r="A956" s="62" t="n">
        <v>43282</v>
      </c>
      <c r="B956" t="n">
        <v>63</v>
      </c>
      <c r="C956" t="n">
        <v>149030</v>
      </c>
      <c r="D956" t="n">
        <v>3.8</v>
      </c>
    </row>
    <row r="957">
      <c r="A957" s="62" t="n">
        <v>43313</v>
      </c>
      <c r="B957" t="n">
        <v>62.7</v>
      </c>
      <c r="C957" t="n">
        <v>149259</v>
      </c>
      <c r="D957" t="n">
        <v>3.8</v>
      </c>
    </row>
    <row r="958">
      <c r="A958" s="62" t="n">
        <v>43344</v>
      </c>
      <c r="B958" t="n">
        <v>62.7</v>
      </c>
      <c r="C958" t="n">
        <v>149364</v>
      </c>
      <c r="D958" t="n">
        <v>3.7</v>
      </c>
    </row>
    <row r="959">
      <c r="A959" s="62" t="n">
        <v>43374</v>
      </c>
      <c r="B959" t="n">
        <v>62.8</v>
      </c>
      <c r="C959" t="n">
        <v>149576</v>
      </c>
      <c r="D959" t="n">
        <v>3.8</v>
      </c>
    </row>
    <row r="960">
      <c r="A960" s="62" t="n">
        <v>43405</v>
      </c>
      <c r="B960" t="n">
        <v>62.9</v>
      </c>
      <c r="C960" t="n">
        <v>149668</v>
      </c>
      <c r="D960" t="n">
        <v>3.8</v>
      </c>
    </row>
    <row r="961">
      <c r="A961" s="62" t="n">
        <v>43435</v>
      </c>
      <c r="B961" t="n">
        <v>63</v>
      </c>
      <c r="C961" t="n">
        <v>149908</v>
      </c>
      <c r="D961" t="n">
        <v>3.9</v>
      </c>
    </row>
    <row r="962">
      <c r="A962" s="62" t="n">
        <v>43466</v>
      </c>
      <c r="B962" t="n">
        <v>63.1</v>
      </c>
      <c r="C962" t="n">
        <v>150145</v>
      </c>
      <c r="D962" t="n">
        <v>4</v>
      </c>
    </row>
    <row r="963">
      <c r="A963" s="62" t="n">
        <v>43497</v>
      </c>
      <c r="B963" t="n">
        <v>63.1</v>
      </c>
      <c r="C963" t="n">
        <v>150095</v>
      </c>
      <c r="D963" t="n">
        <v>3.8</v>
      </c>
    </row>
    <row r="964">
      <c r="A964" s="62" t="n">
        <v>43525</v>
      </c>
      <c r="B964" t="n">
        <v>63.1</v>
      </c>
      <c r="C964" t="n">
        <v>150263</v>
      </c>
      <c r="D964" t="n">
        <v>3.8</v>
      </c>
    </row>
    <row r="965">
      <c r="A965" s="62" t="n">
        <v>43556</v>
      </c>
      <c r="B965" t="n">
        <v>62.9</v>
      </c>
      <c r="C965" t="n">
        <v>150482</v>
      </c>
      <c r="D965" t="n">
        <v>3.7</v>
      </c>
    </row>
    <row r="966">
      <c r="A966" s="62" t="n">
        <v>43586</v>
      </c>
      <c r="B966" t="n">
        <v>62.9</v>
      </c>
      <c r="C966" t="n">
        <v>150545</v>
      </c>
      <c r="D966" t="n">
        <v>3.7</v>
      </c>
    </row>
    <row r="967">
      <c r="A967" s="62" t="n">
        <v>43617</v>
      </c>
      <c r="B967" t="n">
        <v>62.9</v>
      </c>
      <c r="C967" t="n">
        <v>150720</v>
      </c>
      <c r="D967" t="n">
        <v>3.6</v>
      </c>
    </row>
    <row r="968">
      <c r="A968" s="62" t="n">
        <v>43647</v>
      </c>
      <c r="B968" t="n">
        <v>63.1</v>
      </c>
      <c r="C968" t="n">
        <v>150913</v>
      </c>
      <c r="D968" t="n">
        <v>3.6</v>
      </c>
    </row>
    <row r="969">
      <c r="A969" s="62" t="n">
        <v>43678</v>
      </c>
      <c r="B969" t="n">
        <v>63.2</v>
      </c>
      <c r="C969" t="n">
        <v>151108</v>
      </c>
      <c r="D969" t="n">
        <v>3.7</v>
      </c>
    </row>
    <row r="970">
      <c r="A970" s="62" t="n">
        <v>43709</v>
      </c>
      <c r="B970" t="n">
        <v>63.1</v>
      </c>
      <c r="C970" t="n">
        <v>151329</v>
      </c>
      <c r="D970" t="n">
        <v>3.5</v>
      </c>
    </row>
    <row r="971">
      <c r="A971" s="62" t="n">
        <v>43739</v>
      </c>
      <c r="B971" t="n">
        <v>63.2</v>
      </c>
      <c r="C971" t="n">
        <v>151524</v>
      </c>
      <c r="D971" t="n">
        <v>3.6</v>
      </c>
    </row>
    <row r="972">
      <c r="A972" s="62" t="n">
        <v>43770</v>
      </c>
      <c r="B972" t="n">
        <v>63.2</v>
      </c>
      <c r="C972" t="n">
        <v>151758</v>
      </c>
      <c r="D972" t="n">
        <v>3.6</v>
      </c>
    </row>
    <row r="973">
      <c r="A973" s="62" t="n">
        <v>43800</v>
      </c>
      <c r="B973" t="n">
        <v>63.3</v>
      </c>
      <c r="C973" t="n">
        <v>151919</v>
      </c>
      <c r="D973" t="n">
        <v>3.6</v>
      </c>
    </row>
    <row r="974">
      <c r="A974" s="62" t="n">
        <v>43831</v>
      </c>
      <c r="B974" t="n">
        <v>63.4</v>
      </c>
      <c r="C974" t="n">
        <v>152234</v>
      </c>
      <c r="D974" t="n">
        <v>3.5</v>
      </c>
    </row>
    <row r="975">
      <c r="A975" s="62" t="n">
        <v>43862</v>
      </c>
      <c r="B975" t="n">
        <v>63.3</v>
      </c>
      <c r="C975" t="n">
        <v>152523</v>
      </c>
      <c r="D975" t="n">
        <v>3.5</v>
      </c>
    </row>
    <row r="976">
      <c r="A976" s="62" t="n">
        <v>43891</v>
      </c>
      <c r="B976" t="n">
        <v>62.6</v>
      </c>
      <c r="C976" t="n">
        <v>150840</v>
      </c>
      <c r="D976" t="n">
        <v>4.4</v>
      </c>
    </row>
    <row r="977">
      <c r="A977" s="62" t="n">
        <v>43922</v>
      </c>
      <c r="B977" t="n">
        <v>60.2</v>
      </c>
      <c r="C977" t="n">
        <v>130161</v>
      </c>
      <c r="D977" t="n">
        <v>14.8</v>
      </c>
    </row>
    <row r="978">
      <c r="A978" s="62" t="n">
        <v>43952</v>
      </c>
      <c r="B978" t="n">
        <v>60.8</v>
      </c>
      <c r="C978" t="n">
        <v>132994</v>
      </c>
      <c r="D978" t="n">
        <v>13.3</v>
      </c>
    </row>
    <row r="979">
      <c r="A979" s="62" t="n">
        <v>43983</v>
      </c>
      <c r="B979" t="n">
        <v>61.4</v>
      </c>
      <c r="C979" t="n">
        <v>137840</v>
      </c>
      <c r="D979" t="n">
        <v>11.1</v>
      </c>
    </row>
    <row r="980">
      <c r="A980" s="62" t="n">
        <v>44013</v>
      </c>
      <c r="B980" t="n">
        <v>61.5</v>
      </c>
      <c r="C980" t="n">
        <v>139566</v>
      </c>
      <c r="D980" t="n">
        <v>10.2</v>
      </c>
    </row>
    <row r="981">
      <c r="A981" s="62" t="n">
        <v>44044</v>
      </c>
      <c r="B981" t="n">
        <v>61.7</v>
      </c>
      <c r="C981" t="n">
        <v>141149</v>
      </c>
      <c r="D981" t="n">
        <v>8.4</v>
      </c>
    </row>
    <row r="982">
      <c r="A982" s="62" t="n">
        <v>44075</v>
      </c>
      <c r="B982" t="n">
        <v>61.4</v>
      </c>
      <c r="C982" t="n">
        <v>141865</v>
      </c>
      <c r="D982" t="n">
        <v>7.8</v>
      </c>
    </row>
    <row r="983">
      <c r="A983" s="62" t="n">
        <v>44105</v>
      </c>
      <c r="B983" t="n">
        <v>61.6</v>
      </c>
      <c r="C983" t="n">
        <v>142545</v>
      </c>
      <c r="D983" t="n">
        <v>6.9</v>
      </c>
    </row>
    <row r="984">
      <c r="A984" s="62" t="n">
        <v>44136</v>
      </c>
      <c r="B984" t="n">
        <v>61.5</v>
      </c>
      <c r="C984" t="n">
        <v>142809</v>
      </c>
      <c r="D984" t="n">
        <v>6.7</v>
      </c>
    </row>
    <row r="985">
      <c r="A985" s="62" t="n">
        <v>44166</v>
      </c>
      <c r="B985" t="n">
        <v>61.5</v>
      </c>
      <c r="C985" t="n">
        <v>142503</v>
      </c>
      <c r="D985" t="n">
        <v>6.7</v>
      </c>
    </row>
    <row r="986">
      <c r="A986" s="62" t="n">
        <v>44197</v>
      </c>
      <c r="B986" t="n">
        <v>61.4</v>
      </c>
      <c r="C986" t="n">
        <v>142736</v>
      </c>
      <c r="D986" t="n">
        <v>6.3</v>
      </c>
    </row>
    <row r="987">
      <c r="A987" s="62" t="n">
        <v>44228</v>
      </c>
      <c r="B987" t="n">
        <v>61.4</v>
      </c>
      <c r="C987" t="n">
        <v>143272</v>
      </c>
      <c r="D987" t="n">
        <v>6.2</v>
      </c>
    </row>
    <row r="988">
      <c r="A988" s="62" t="n">
        <v>44256</v>
      </c>
      <c r="B988" t="n">
        <v>61.5</v>
      </c>
      <c r="C988" t="n">
        <v>144057</v>
      </c>
      <c r="D988" t="n">
        <v>6</v>
      </c>
    </row>
    <row r="989">
      <c r="A989" s="62" t="n">
        <v>44287</v>
      </c>
      <c r="B989" t="n">
        <v>61.7</v>
      </c>
      <c r="C989" t="n">
        <v>144326</v>
      </c>
      <c r="D989" t="n">
        <v>6.1</v>
      </c>
    </row>
    <row r="990">
      <c r="A990" s="62" t="n">
        <v>44317</v>
      </c>
      <c r="B990" t="n">
        <v>61.6</v>
      </c>
      <c r="C990" t="n">
        <v>144940</v>
      </c>
      <c r="D990" t="n">
        <v>5.8</v>
      </c>
    </row>
    <row r="991">
      <c r="A991" s="62" t="n">
        <v>44348</v>
      </c>
      <c r="B991" t="n">
        <v>61.6</v>
      </c>
      <c r="C991" t="n">
        <v>145902</v>
      </c>
      <c r="D991" t="n">
        <v>5.9</v>
      </c>
    </row>
    <row r="992">
      <c r="A992" s="62" t="n">
        <v>44378</v>
      </c>
      <c r="B992" t="n">
        <v>61.7</v>
      </c>
      <c r="C992" t="n">
        <v>146993</v>
      </c>
      <c r="D992" t="n">
        <v>5.4</v>
      </c>
    </row>
    <row r="993">
      <c r="A993" s="62" t="n">
        <v>44409</v>
      </c>
      <c r="B993" t="n">
        <v>61.7</v>
      </c>
      <c r="C993" t="n">
        <v>147476</v>
      </c>
      <c r="D993" t="n">
        <v>5.2</v>
      </c>
    </row>
    <row r="994">
      <c r="A994" s="62" t="n">
        <v>44440</v>
      </c>
      <c r="B994" t="n">
        <v>61.6</v>
      </c>
      <c r="C994" t="n">
        <v>147855</v>
      </c>
      <c r="D994" t="n">
        <v>4.8</v>
      </c>
    </row>
    <row r="995">
      <c r="A995" s="62" t="n">
        <v>44470</v>
      </c>
      <c r="B995" t="n">
        <v>61.6</v>
      </c>
      <c r="C995" t="n">
        <v>148401</v>
      </c>
      <c r="D995" t="n">
        <v>4.6</v>
      </c>
    </row>
    <row r="996">
      <c r="A996" s="62" t="n">
        <v>44501</v>
      </c>
      <c r="B996" t="n">
        <v>61.8</v>
      </c>
      <c r="C996" t="n">
        <v>148611</v>
      </c>
      <c r="D996" t="n">
        <v>4.2</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68"/>
  <sheetViews>
    <sheetView workbookViewId="0">
      <pane ySplit="1" topLeftCell="A2840" activePane="bottomLeft" state="frozen"/>
      <selection activeCell="A2" sqref="A2"/>
      <selection pane="bottomLeft" activeCell="A2" sqref="A2"/>
    </sheetView>
  </sheetViews>
  <sheetFormatPr baseColWidth="10" defaultColWidth="8.83203125" defaultRowHeight="15"/>
  <cols>
    <col width="16.33203125" customWidth="1" style="50" min="1" max="1"/>
    <col width="10.6640625" customWidth="1" style="50" min="2" max="2"/>
    <col width="8.83203125" customWidth="1" style="50" min="3" max="10"/>
    <col width="8.83203125" customWidth="1" style="50" min="11" max="16384"/>
  </cols>
  <sheetData>
    <row r="1">
      <c r="A1" t="inlineStr">
        <is>
          <t>DATE</t>
        </is>
      </c>
      <c r="B1" t="inlineStr">
        <is>
          <t>CCSA</t>
        </is>
      </c>
      <c r="C1" t="inlineStr">
        <is>
          <t>ICSA</t>
        </is>
      </c>
    </row>
    <row r="2">
      <c r="A2" s="62" t="n">
        <v>24479</v>
      </c>
      <c r="B2" t="n">
        <v>1134000</v>
      </c>
      <c r="C2" t="n">
        <v>208000</v>
      </c>
    </row>
    <row r="3">
      <c r="A3" s="62" t="n">
        <v>24486</v>
      </c>
      <c r="B3" t="n">
        <v>1119000</v>
      </c>
      <c r="C3" t="n">
        <v>207000</v>
      </c>
    </row>
    <row r="4">
      <c r="A4" s="62" t="n">
        <v>24493</v>
      </c>
      <c r="B4" t="n">
        <v>1119000</v>
      </c>
      <c r="C4" t="n">
        <v>217000</v>
      </c>
    </row>
    <row r="5">
      <c r="A5" s="62" t="n">
        <v>24500</v>
      </c>
      <c r="B5" t="n">
        <v>1103000</v>
      </c>
      <c r="C5" t="n">
        <v>204000</v>
      </c>
    </row>
    <row r="6">
      <c r="A6" s="62" t="n">
        <v>24507</v>
      </c>
      <c r="B6" t="n">
        <v>1131000</v>
      </c>
      <c r="C6" t="n">
        <v>216000</v>
      </c>
    </row>
    <row r="7">
      <c r="A7" s="62" t="n">
        <v>24514</v>
      </c>
      <c r="B7" t="n">
        <v>1153000</v>
      </c>
      <c r="C7" t="n">
        <v>229000</v>
      </c>
    </row>
    <row r="8">
      <c r="A8" s="62" t="n">
        <v>24521</v>
      </c>
      <c r="B8" t="n">
        <v>1167000</v>
      </c>
      <c r="C8" t="n">
        <v>229000</v>
      </c>
    </row>
    <row r="9">
      <c r="A9" s="62" t="n">
        <v>24528</v>
      </c>
      <c r="B9" t="n">
        <v>1199000</v>
      </c>
      <c r="C9" t="n">
        <v>242000</v>
      </c>
    </row>
    <row r="10">
      <c r="A10" s="62" t="n">
        <v>24535</v>
      </c>
      <c r="B10" t="n">
        <v>1235000</v>
      </c>
      <c r="C10" t="n">
        <v>310000</v>
      </c>
    </row>
    <row r="11">
      <c r="A11" s="62" t="n">
        <v>24542</v>
      </c>
      <c r="B11" t="n">
        <v>1234000</v>
      </c>
      <c r="C11" t="n">
        <v>241000</v>
      </c>
    </row>
    <row r="12">
      <c r="A12" s="62" t="n">
        <v>24549</v>
      </c>
      <c r="B12" t="n">
        <v>1236000</v>
      </c>
      <c r="C12" t="n">
        <v>245000</v>
      </c>
    </row>
    <row r="13">
      <c r="A13" s="62" t="n">
        <v>24556</v>
      </c>
      <c r="B13" t="n">
        <v>1268000</v>
      </c>
      <c r="C13" t="n">
        <v>247000</v>
      </c>
    </row>
    <row r="14">
      <c r="A14" s="62" t="n">
        <v>24563</v>
      </c>
      <c r="B14" t="n">
        <v>1291000</v>
      </c>
      <c r="C14" t="n">
        <v>259000</v>
      </c>
    </row>
    <row r="15">
      <c r="A15" s="62" t="n">
        <v>24570</v>
      </c>
      <c r="B15" t="n">
        <v>1273000</v>
      </c>
      <c r="C15" t="n">
        <v>257000</v>
      </c>
    </row>
    <row r="16">
      <c r="A16" s="62" t="n">
        <v>24577</v>
      </c>
      <c r="B16" t="n">
        <v>1278000</v>
      </c>
      <c r="C16" t="n">
        <v>299000</v>
      </c>
    </row>
    <row r="17">
      <c r="A17" s="62" t="n">
        <v>24584</v>
      </c>
      <c r="B17" t="n">
        <v>1277000</v>
      </c>
      <c r="C17" t="n">
        <v>245000</v>
      </c>
    </row>
    <row r="18">
      <c r="A18" s="62" t="n">
        <v>24591</v>
      </c>
      <c r="B18" t="n">
        <v>1286000</v>
      </c>
      <c r="C18" t="n">
        <v>255000</v>
      </c>
    </row>
    <row r="19">
      <c r="A19" s="62" t="n">
        <v>24598</v>
      </c>
      <c r="B19" t="n">
        <v>1308000</v>
      </c>
      <c r="C19" t="n">
        <v>254000</v>
      </c>
    </row>
    <row r="20">
      <c r="A20" s="62" t="n">
        <v>24605</v>
      </c>
      <c r="B20" t="n">
        <v>1284000</v>
      </c>
      <c r="C20" t="n">
        <v>231000</v>
      </c>
    </row>
    <row r="21">
      <c r="A21" s="62" t="n">
        <v>24612</v>
      </c>
      <c r="B21" t="n">
        <v>1265000</v>
      </c>
      <c r="C21" t="n">
        <v>230000</v>
      </c>
    </row>
    <row r="22">
      <c r="A22" s="62" t="n">
        <v>24619</v>
      </c>
      <c r="B22" t="n">
        <v>1253000</v>
      </c>
      <c r="C22" t="n">
        <v>228000</v>
      </c>
    </row>
    <row r="23">
      <c r="A23" s="62" t="n">
        <v>24626</v>
      </c>
      <c r="B23" t="n">
        <v>1265000</v>
      </c>
      <c r="C23" t="n">
        <v>248000</v>
      </c>
    </row>
    <row r="24">
      <c r="A24" s="62" t="n">
        <v>24633</v>
      </c>
      <c r="B24" t="n">
        <v>1251000</v>
      </c>
      <c r="C24" t="n">
        <v>238000</v>
      </c>
    </row>
    <row r="25">
      <c r="A25" s="62" t="n">
        <v>24640</v>
      </c>
      <c r="B25" t="n">
        <v>1248000</v>
      </c>
      <c r="C25" t="n">
        <v>224000</v>
      </c>
    </row>
    <row r="26">
      <c r="A26" s="62" t="n">
        <v>24647</v>
      </c>
      <c r="B26" t="n">
        <v>1220000</v>
      </c>
      <c r="C26" t="n">
        <v>218000</v>
      </c>
    </row>
    <row r="27">
      <c r="A27" s="62" t="n">
        <v>24654</v>
      </c>
      <c r="B27" t="n">
        <v>1193000</v>
      </c>
      <c r="C27" t="n">
        <v>209000</v>
      </c>
    </row>
    <row r="28">
      <c r="A28" s="62" t="n">
        <v>24661</v>
      </c>
      <c r="B28" t="n">
        <v>1248000</v>
      </c>
      <c r="C28" t="n">
        <v>240000</v>
      </c>
    </row>
    <row r="29">
      <c r="A29" s="62" t="n">
        <v>24668</v>
      </c>
      <c r="B29" t="n">
        <v>1258000</v>
      </c>
      <c r="C29" t="n">
        <v>241000</v>
      </c>
    </row>
    <row r="30">
      <c r="A30" s="62" t="n">
        <v>24675</v>
      </c>
      <c r="B30" t="n">
        <v>1252000</v>
      </c>
      <c r="C30" t="n">
        <v>240000</v>
      </c>
    </row>
    <row r="31">
      <c r="A31" s="62" t="n">
        <v>24682</v>
      </c>
      <c r="B31" t="n">
        <v>1280000</v>
      </c>
      <c r="C31" t="n">
        <v>209000</v>
      </c>
    </row>
    <row r="32">
      <c r="A32" s="62" t="n">
        <v>24689</v>
      </c>
      <c r="B32" t="n">
        <v>1240000</v>
      </c>
      <c r="C32" t="n">
        <v>221000</v>
      </c>
    </row>
    <row r="33">
      <c r="A33" s="62" t="n">
        <v>24696</v>
      </c>
      <c r="B33" t="n">
        <v>1215000</v>
      </c>
      <c r="C33" t="n">
        <v>202000</v>
      </c>
    </row>
    <row r="34">
      <c r="A34" s="62" t="n">
        <v>24703</v>
      </c>
      <c r="B34" t="n">
        <v>1202000</v>
      </c>
      <c r="C34" t="n">
        <v>215000</v>
      </c>
    </row>
    <row r="35">
      <c r="A35" s="62" t="n">
        <v>24710</v>
      </c>
      <c r="B35" t="n">
        <v>1180000</v>
      </c>
      <c r="C35" t="n">
        <v>213000</v>
      </c>
    </row>
    <row r="36">
      <c r="A36" s="62" t="n">
        <v>24717</v>
      </c>
      <c r="B36" t="n">
        <v>1204000</v>
      </c>
      <c r="C36" t="n">
        <v>218000</v>
      </c>
    </row>
    <row r="37">
      <c r="A37" s="62" t="n">
        <v>24724</v>
      </c>
      <c r="B37" t="n">
        <v>1189000</v>
      </c>
      <c r="C37" t="n">
        <v>231000</v>
      </c>
    </row>
    <row r="38">
      <c r="A38" s="62" t="n">
        <v>24731</v>
      </c>
      <c r="B38" t="n">
        <v>1179000</v>
      </c>
      <c r="C38" t="n">
        <v>220000</v>
      </c>
    </row>
    <row r="39">
      <c r="A39" s="62" t="n">
        <v>24738</v>
      </c>
      <c r="B39" t="n">
        <v>1178000</v>
      </c>
      <c r="C39" t="n">
        <v>209000</v>
      </c>
    </row>
    <row r="40">
      <c r="A40" s="62" t="n">
        <v>24745</v>
      </c>
      <c r="B40" t="n">
        <v>1157000</v>
      </c>
      <c r="C40" t="n">
        <v>204000</v>
      </c>
    </row>
    <row r="41">
      <c r="A41" s="62" t="n">
        <v>24752</v>
      </c>
      <c r="B41" t="n">
        <v>1165000</v>
      </c>
      <c r="C41" t="n">
        <v>231000</v>
      </c>
    </row>
    <row r="42">
      <c r="A42" s="62" t="n">
        <v>24759</v>
      </c>
      <c r="B42" t="n">
        <v>1189000</v>
      </c>
      <c r="C42" t="n">
        <v>206000</v>
      </c>
    </row>
    <row r="43">
      <c r="A43" s="62" t="n">
        <v>24766</v>
      </c>
      <c r="B43" t="n">
        <v>1174000</v>
      </c>
      <c r="C43" t="n">
        <v>223000</v>
      </c>
    </row>
    <row r="44">
      <c r="A44" s="62" t="n">
        <v>24773</v>
      </c>
      <c r="B44" t="n">
        <v>1161000</v>
      </c>
      <c r="C44" t="n">
        <v>207000</v>
      </c>
    </row>
    <row r="45">
      <c r="A45" s="62" t="n">
        <v>24780</v>
      </c>
      <c r="B45" t="n">
        <v>1176000</v>
      </c>
      <c r="C45" t="n">
        <v>222000</v>
      </c>
    </row>
    <row r="46">
      <c r="A46" s="62" t="n">
        <v>24787</v>
      </c>
      <c r="B46" t="n">
        <v>1142000</v>
      </c>
      <c r="C46" t="n">
        <v>214000</v>
      </c>
    </row>
    <row r="47">
      <c r="A47" s="62" t="n">
        <v>24794</v>
      </c>
      <c r="B47" t="n">
        <v>1133000</v>
      </c>
      <c r="C47" t="n">
        <v>198000</v>
      </c>
    </row>
    <row r="48">
      <c r="A48" s="62" t="n">
        <v>24801</v>
      </c>
      <c r="B48" t="n">
        <v>1142000</v>
      </c>
      <c r="C48" t="n">
        <v>191000</v>
      </c>
    </row>
    <row r="49">
      <c r="A49" s="62" t="n">
        <v>24808</v>
      </c>
      <c r="B49" t="n">
        <v>1150000</v>
      </c>
      <c r="C49" t="n">
        <v>196000</v>
      </c>
    </row>
    <row r="50">
      <c r="A50" s="62" t="n">
        <v>24815</v>
      </c>
      <c r="B50" t="n">
        <v>1153000</v>
      </c>
      <c r="C50" t="n">
        <v>221000</v>
      </c>
    </row>
    <row r="51">
      <c r="A51" s="62" t="n">
        <v>24822</v>
      </c>
      <c r="B51" t="n">
        <v>1188000</v>
      </c>
      <c r="C51" t="n">
        <v>204000</v>
      </c>
    </row>
    <row r="52">
      <c r="A52" s="62" t="n">
        <v>24829</v>
      </c>
      <c r="B52" t="n">
        <v>1195000</v>
      </c>
      <c r="C52" t="n">
        <v>219000</v>
      </c>
    </row>
    <row r="53">
      <c r="A53" s="62" t="n">
        <v>24836</v>
      </c>
      <c r="B53" t="n">
        <v>1167000</v>
      </c>
      <c r="C53" t="n">
        <v>216000</v>
      </c>
    </row>
    <row r="54">
      <c r="A54" s="62" t="n">
        <v>24843</v>
      </c>
      <c r="B54" t="n">
        <v>1158000</v>
      </c>
      <c r="C54" t="n">
        <v>222000</v>
      </c>
    </row>
    <row r="55">
      <c r="A55" s="62" t="n">
        <v>24850</v>
      </c>
      <c r="B55" t="n">
        <v>1187000</v>
      </c>
      <c r="C55" t="n">
        <v>222000</v>
      </c>
    </row>
    <row r="56">
      <c r="A56" s="62" t="n">
        <v>24857</v>
      </c>
      <c r="B56" t="n">
        <v>1191000</v>
      </c>
      <c r="C56" t="n">
        <v>221000</v>
      </c>
    </row>
    <row r="57">
      <c r="A57" s="62" t="n">
        <v>24864</v>
      </c>
      <c r="B57" t="n">
        <v>1157000</v>
      </c>
      <c r="C57" t="n">
        <v>198000</v>
      </c>
    </row>
    <row r="58">
      <c r="A58" s="62" t="n">
        <v>24871</v>
      </c>
      <c r="B58" t="n">
        <v>1173000</v>
      </c>
      <c r="C58" t="n">
        <v>244000</v>
      </c>
    </row>
    <row r="59">
      <c r="A59" s="62" t="n">
        <v>24878</v>
      </c>
      <c r="B59" t="n">
        <v>1175000</v>
      </c>
      <c r="C59" t="n">
        <v>210000</v>
      </c>
    </row>
    <row r="60">
      <c r="A60" s="62" t="n">
        <v>24885</v>
      </c>
      <c r="B60" t="n">
        <v>1143000</v>
      </c>
      <c r="C60" t="n">
        <v>196000</v>
      </c>
    </row>
    <row r="61">
      <c r="A61" s="62" t="n">
        <v>24892</v>
      </c>
      <c r="B61" t="n">
        <v>1165000</v>
      </c>
      <c r="C61" t="n">
        <v>193000</v>
      </c>
    </row>
    <row r="62">
      <c r="A62" s="62" t="n">
        <v>24899</v>
      </c>
      <c r="B62" t="n">
        <v>1151000</v>
      </c>
      <c r="C62" t="n">
        <v>190000</v>
      </c>
    </row>
    <row r="63">
      <c r="A63" s="62" t="n">
        <v>24906</v>
      </c>
      <c r="B63" t="n">
        <v>1147000</v>
      </c>
      <c r="C63" t="n">
        <v>204000</v>
      </c>
    </row>
    <row r="64">
      <c r="A64" s="62" t="n">
        <v>24913</v>
      </c>
      <c r="B64" t="n">
        <v>1143000</v>
      </c>
      <c r="C64" t="n">
        <v>190000</v>
      </c>
    </row>
    <row r="65">
      <c r="A65" s="62" t="n">
        <v>24920</v>
      </c>
      <c r="B65" t="n">
        <v>1136000</v>
      </c>
      <c r="C65" t="n">
        <v>200000</v>
      </c>
    </row>
    <row r="66">
      <c r="A66" s="62" t="n">
        <v>24927</v>
      </c>
      <c r="B66" t="n">
        <v>1119000</v>
      </c>
      <c r="C66" t="n">
        <v>192000</v>
      </c>
    </row>
    <row r="67">
      <c r="A67" s="62" t="n">
        <v>24934</v>
      </c>
      <c r="B67" t="n">
        <v>1079000</v>
      </c>
      <c r="C67" t="n">
        <v>191000</v>
      </c>
    </row>
    <row r="68">
      <c r="A68" s="62" t="n">
        <v>24941</v>
      </c>
      <c r="B68" t="n">
        <v>1079000</v>
      </c>
      <c r="C68" t="n">
        <v>171000</v>
      </c>
    </row>
    <row r="69">
      <c r="A69" s="62" t="n">
        <v>24948</v>
      </c>
      <c r="B69" t="n">
        <v>1059000</v>
      </c>
      <c r="C69" t="n">
        <v>183000</v>
      </c>
    </row>
    <row r="70">
      <c r="A70" s="62" t="n">
        <v>24955</v>
      </c>
      <c r="B70" t="n">
        <v>1087000</v>
      </c>
      <c r="C70" t="n">
        <v>251000</v>
      </c>
    </row>
    <row r="71">
      <c r="A71" s="62" t="n">
        <v>24962</v>
      </c>
      <c r="B71" t="n">
        <v>1079000</v>
      </c>
      <c r="C71" t="n">
        <v>209000</v>
      </c>
    </row>
    <row r="72">
      <c r="A72" s="62" t="n">
        <v>24969</v>
      </c>
      <c r="B72" t="n">
        <v>1091000</v>
      </c>
      <c r="C72" t="n">
        <v>194000</v>
      </c>
    </row>
    <row r="73">
      <c r="A73" s="62" t="n">
        <v>24976</v>
      </c>
      <c r="B73" t="n">
        <v>1071000</v>
      </c>
      <c r="C73" t="n">
        <v>199000</v>
      </c>
    </row>
    <row r="74">
      <c r="A74" s="62" t="n">
        <v>24983</v>
      </c>
      <c r="B74" t="n">
        <v>1073000</v>
      </c>
      <c r="C74" t="n">
        <v>194000</v>
      </c>
    </row>
    <row r="75">
      <c r="A75" s="62" t="n">
        <v>24990</v>
      </c>
      <c r="B75" t="n">
        <v>1063000</v>
      </c>
      <c r="C75" t="n">
        <v>199000</v>
      </c>
    </row>
    <row r="76">
      <c r="A76" s="62" t="n">
        <v>24997</v>
      </c>
      <c r="B76" t="n">
        <v>1097000</v>
      </c>
      <c r="C76" t="n">
        <v>192000</v>
      </c>
    </row>
    <row r="77">
      <c r="A77" s="62" t="n">
        <v>25004</v>
      </c>
      <c r="B77" t="n">
        <v>1071000</v>
      </c>
      <c r="C77" t="n">
        <v>194000</v>
      </c>
    </row>
    <row r="78">
      <c r="A78" s="62" t="n">
        <v>25011</v>
      </c>
      <c r="B78" t="n">
        <v>1060000</v>
      </c>
      <c r="C78" t="n">
        <v>189000</v>
      </c>
    </row>
    <row r="79">
      <c r="A79" s="62" t="n">
        <v>25018</v>
      </c>
      <c r="B79" t="n">
        <v>1038000</v>
      </c>
      <c r="C79" t="n">
        <v>194000</v>
      </c>
    </row>
    <row r="80">
      <c r="A80" s="62" t="n">
        <v>25025</v>
      </c>
      <c r="B80" t="n">
        <v>1097000</v>
      </c>
      <c r="C80" t="n">
        <v>214000</v>
      </c>
    </row>
    <row r="81">
      <c r="A81" s="62" t="n">
        <v>25032</v>
      </c>
      <c r="B81" t="n">
        <v>1076000</v>
      </c>
      <c r="C81" t="n">
        <v>186000</v>
      </c>
    </row>
    <row r="82">
      <c r="A82" s="62" t="n">
        <v>25039</v>
      </c>
      <c r="B82" t="n">
        <v>1033000</v>
      </c>
      <c r="C82" t="n">
        <v>180000</v>
      </c>
    </row>
    <row r="83">
      <c r="A83" s="62" t="n">
        <v>25046</v>
      </c>
      <c r="B83" t="n">
        <v>1036000</v>
      </c>
      <c r="C83" t="n">
        <v>205000</v>
      </c>
    </row>
    <row r="84">
      <c r="A84" s="62" t="n">
        <v>25053</v>
      </c>
      <c r="B84" t="n">
        <v>1072000</v>
      </c>
      <c r="C84" t="n">
        <v>206000</v>
      </c>
    </row>
    <row r="85">
      <c r="A85" s="62" t="n">
        <v>25060</v>
      </c>
      <c r="B85" t="n">
        <v>1088000</v>
      </c>
      <c r="C85" t="n">
        <v>218000</v>
      </c>
    </row>
    <row r="86">
      <c r="A86" s="62" t="n">
        <v>25067</v>
      </c>
      <c r="B86" t="n">
        <v>1107000</v>
      </c>
      <c r="C86" t="n">
        <v>192000</v>
      </c>
    </row>
    <row r="87">
      <c r="A87" s="62" t="n">
        <v>25074</v>
      </c>
      <c r="B87" t="n">
        <v>1094000</v>
      </c>
      <c r="C87" t="n">
        <v>193000</v>
      </c>
    </row>
    <row r="88">
      <c r="A88" s="62" t="n">
        <v>25081</v>
      </c>
      <c r="B88" t="n">
        <v>1064000</v>
      </c>
      <c r="C88" t="n">
        <v>188000</v>
      </c>
    </row>
    <row r="89">
      <c r="A89" s="62" t="n">
        <v>25088</v>
      </c>
      <c r="B89" t="n">
        <v>1067000</v>
      </c>
      <c r="C89" t="n">
        <v>189000</v>
      </c>
    </row>
    <row r="90">
      <c r="A90" s="62" t="n">
        <v>25095</v>
      </c>
      <c r="B90" t="n">
        <v>1044000</v>
      </c>
      <c r="C90" t="n">
        <v>195000</v>
      </c>
    </row>
    <row r="91">
      <c r="A91" s="62" t="n">
        <v>25102</v>
      </c>
      <c r="B91" t="n">
        <v>1047000</v>
      </c>
      <c r="C91" t="n">
        <v>191000</v>
      </c>
    </row>
    <row r="92">
      <c r="A92" s="62" t="n">
        <v>25109</v>
      </c>
      <c r="B92" t="n">
        <v>1048000</v>
      </c>
      <c r="C92" t="n">
        <v>189000</v>
      </c>
    </row>
    <row r="93">
      <c r="A93" s="62" t="n">
        <v>25116</v>
      </c>
      <c r="B93" t="n">
        <v>1060000</v>
      </c>
      <c r="C93" t="n">
        <v>185000</v>
      </c>
    </row>
    <row r="94">
      <c r="A94" s="62" t="n">
        <v>25123</v>
      </c>
      <c r="B94" t="n">
        <v>1045000</v>
      </c>
      <c r="C94" t="n">
        <v>186000</v>
      </c>
    </row>
    <row r="95">
      <c r="A95" s="62" t="n">
        <v>25130</v>
      </c>
      <c r="B95" t="n">
        <v>1035000</v>
      </c>
      <c r="C95" t="n">
        <v>191000</v>
      </c>
    </row>
    <row r="96">
      <c r="A96" s="62" t="n">
        <v>25137</v>
      </c>
      <c r="B96" t="n">
        <v>1033000</v>
      </c>
      <c r="C96" t="n">
        <v>182000</v>
      </c>
    </row>
    <row r="97">
      <c r="A97" s="62" t="n">
        <v>25144</v>
      </c>
      <c r="B97" t="n">
        <v>1028000</v>
      </c>
      <c r="C97" t="n">
        <v>181000</v>
      </c>
    </row>
    <row r="98">
      <c r="A98" s="62" t="n">
        <v>25151</v>
      </c>
      <c r="B98" t="n">
        <v>1028000</v>
      </c>
      <c r="C98" t="n">
        <v>183000</v>
      </c>
    </row>
    <row r="99">
      <c r="A99" s="62" t="n">
        <v>25158</v>
      </c>
      <c r="B99" t="n">
        <v>1076000</v>
      </c>
      <c r="C99" t="n">
        <v>192000</v>
      </c>
    </row>
    <row r="100">
      <c r="A100" s="62" t="n">
        <v>25165</v>
      </c>
      <c r="B100" t="n">
        <v>1023000</v>
      </c>
      <c r="C100" t="n">
        <v>199000</v>
      </c>
    </row>
    <row r="101">
      <c r="A101" s="62" t="n">
        <v>25172</v>
      </c>
      <c r="B101" t="n">
        <v>1056000</v>
      </c>
      <c r="C101" t="n">
        <v>162000</v>
      </c>
    </row>
    <row r="102">
      <c r="A102" s="62" t="n">
        <v>25179</v>
      </c>
      <c r="B102" t="n">
        <v>1063000</v>
      </c>
      <c r="C102" t="n">
        <v>188000</v>
      </c>
    </row>
    <row r="103">
      <c r="A103" s="62" t="n">
        <v>25186</v>
      </c>
      <c r="B103" t="n">
        <v>1061000</v>
      </c>
      <c r="C103" t="n">
        <v>195000</v>
      </c>
    </row>
    <row r="104">
      <c r="A104" s="62" t="n">
        <v>25193</v>
      </c>
      <c r="B104" t="n">
        <v>1063000</v>
      </c>
      <c r="C104" t="n">
        <v>192000</v>
      </c>
    </row>
    <row r="105">
      <c r="A105" s="62" t="n">
        <v>25200</v>
      </c>
      <c r="B105" t="n">
        <v>1116000</v>
      </c>
      <c r="C105" t="n">
        <v>223000</v>
      </c>
    </row>
    <row r="106">
      <c r="A106" s="62" t="n">
        <v>25207</v>
      </c>
      <c r="B106" t="n">
        <v>1118000</v>
      </c>
      <c r="C106" t="n">
        <v>190000</v>
      </c>
    </row>
    <row r="107">
      <c r="A107" s="62" t="n">
        <v>25214</v>
      </c>
      <c r="B107" t="n">
        <v>1099000</v>
      </c>
      <c r="C107" t="n">
        <v>191000</v>
      </c>
    </row>
    <row r="108">
      <c r="A108" s="62" t="n">
        <v>25221</v>
      </c>
      <c r="B108" t="n">
        <v>1072000</v>
      </c>
      <c r="C108" t="n">
        <v>192000</v>
      </c>
    </row>
    <row r="109">
      <c r="A109" s="62" t="n">
        <v>25228</v>
      </c>
      <c r="B109" t="n">
        <v>1077000</v>
      </c>
      <c r="C109" t="n">
        <v>193000</v>
      </c>
    </row>
    <row r="110">
      <c r="A110" s="62" t="n">
        <v>25235</v>
      </c>
      <c r="B110" t="n">
        <v>1099000</v>
      </c>
      <c r="C110" t="n">
        <v>203000</v>
      </c>
    </row>
    <row r="111">
      <c r="A111" s="62" t="n">
        <v>25242</v>
      </c>
      <c r="B111" t="n">
        <v>1088000</v>
      </c>
      <c r="C111" t="n">
        <v>197000</v>
      </c>
    </row>
    <row r="112">
      <c r="A112" s="62" t="n">
        <v>25249</v>
      </c>
      <c r="B112" t="n">
        <v>1115000</v>
      </c>
      <c r="C112" t="n">
        <v>192000</v>
      </c>
    </row>
    <row r="113">
      <c r="A113" s="62" t="n">
        <v>25256</v>
      </c>
      <c r="B113" t="n">
        <v>1092000</v>
      </c>
      <c r="C113" t="n">
        <v>192000</v>
      </c>
    </row>
    <row r="114">
      <c r="A114" s="62" t="n">
        <v>25263</v>
      </c>
      <c r="B114" t="n">
        <v>1098000</v>
      </c>
      <c r="C114" t="n">
        <v>201000</v>
      </c>
    </row>
    <row r="115">
      <c r="A115" s="62" t="n">
        <v>25270</v>
      </c>
      <c r="B115" t="n">
        <v>1099000</v>
      </c>
      <c r="C115" t="n">
        <v>191000</v>
      </c>
    </row>
    <row r="116">
      <c r="A116" s="62" t="n">
        <v>25277</v>
      </c>
      <c r="B116" t="n">
        <v>1080000</v>
      </c>
      <c r="C116" t="n">
        <v>189000</v>
      </c>
    </row>
    <row r="117">
      <c r="A117" s="62" t="n">
        <v>25284</v>
      </c>
      <c r="B117" t="n">
        <v>1071000</v>
      </c>
      <c r="C117" t="n">
        <v>181000</v>
      </c>
    </row>
    <row r="118">
      <c r="A118" s="62" t="n">
        <v>25291</v>
      </c>
      <c r="B118" t="n">
        <v>1041000</v>
      </c>
      <c r="C118" t="n">
        <v>183000</v>
      </c>
    </row>
    <row r="119">
      <c r="A119" s="62" t="n">
        <v>25298</v>
      </c>
      <c r="B119" t="n">
        <v>1076000</v>
      </c>
      <c r="C119" t="n">
        <v>182000</v>
      </c>
    </row>
    <row r="120">
      <c r="A120" s="62" t="n">
        <v>25305</v>
      </c>
      <c r="B120" t="n">
        <v>1050000</v>
      </c>
      <c r="C120" t="n">
        <v>190000</v>
      </c>
    </row>
    <row r="121">
      <c r="A121" s="62" t="n">
        <v>25312</v>
      </c>
      <c r="B121" t="n">
        <v>1025000</v>
      </c>
      <c r="C121" t="n">
        <v>187000</v>
      </c>
    </row>
    <row r="122">
      <c r="A122" s="62" t="n">
        <v>25319</v>
      </c>
      <c r="B122" t="n">
        <v>992000</v>
      </c>
      <c r="C122" t="n">
        <v>177000</v>
      </c>
    </row>
    <row r="123">
      <c r="A123" s="62" t="n">
        <v>25326</v>
      </c>
      <c r="B123" t="n">
        <v>1003000</v>
      </c>
      <c r="C123" t="n">
        <v>177000</v>
      </c>
    </row>
    <row r="124">
      <c r="A124" s="62" t="n">
        <v>25333</v>
      </c>
      <c r="B124" t="n">
        <v>1018000</v>
      </c>
      <c r="C124" t="n">
        <v>183000</v>
      </c>
    </row>
    <row r="125">
      <c r="A125" s="62" t="n">
        <v>25340</v>
      </c>
      <c r="B125" t="n">
        <v>1007000</v>
      </c>
      <c r="C125" t="n">
        <v>179000</v>
      </c>
    </row>
    <row r="126">
      <c r="A126" s="62" t="n">
        <v>25347</v>
      </c>
      <c r="B126" t="n">
        <v>1006000</v>
      </c>
      <c r="C126" t="n">
        <v>180000</v>
      </c>
    </row>
    <row r="127">
      <c r="A127" s="62" t="n">
        <v>25354</v>
      </c>
      <c r="B127" t="n">
        <v>988000</v>
      </c>
      <c r="C127" t="n">
        <v>187000</v>
      </c>
    </row>
    <row r="128">
      <c r="A128" s="62" t="n">
        <v>25361</v>
      </c>
      <c r="B128" t="n">
        <v>992000</v>
      </c>
      <c r="C128" t="n">
        <v>192000</v>
      </c>
    </row>
    <row r="129">
      <c r="A129" s="62" t="n">
        <v>25368</v>
      </c>
      <c r="B129" t="n">
        <v>1010000</v>
      </c>
      <c r="C129" t="n">
        <v>182000</v>
      </c>
    </row>
    <row r="130">
      <c r="A130" s="62" t="n">
        <v>25375</v>
      </c>
      <c r="B130" t="n">
        <v>1012000</v>
      </c>
      <c r="C130" t="n">
        <v>191000</v>
      </c>
    </row>
    <row r="131">
      <c r="A131" s="62" t="n">
        <v>25382</v>
      </c>
      <c r="B131" t="n">
        <v>1021000</v>
      </c>
      <c r="C131" t="n">
        <v>203000</v>
      </c>
    </row>
    <row r="132">
      <c r="A132" s="62" t="n">
        <v>25389</v>
      </c>
      <c r="B132" t="n">
        <v>1072000</v>
      </c>
      <c r="C132" t="n">
        <v>227000</v>
      </c>
    </row>
    <row r="133">
      <c r="A133" s="62" t="n">
        <v>25396</v>
      </c>
      <c r="B133" t="n">
        <v>1092000</v>
      </c>
      <c r="C133" t="n">
        <v>210000</v>
      </c>
    </row>
    <row r="134">
      <c r="A134" s="62" t="n">
        <v>25403</v>
      </c>
      <c r="B134" t="n">
        <v>1072000</v>
      </c>
      <c r="C134" t="n">
        <v>206000</v>
      </c>
    </row>
    <row r="135">
      <c r="A135" s="62" t="n">
        <v>25410</v>
      </c>
      <c r="B135" t="n">
        <v>1110000</v>
      </c>
      <c r="C135" t="n">
        <v>192000</v>
      </c>
    </row>
    <row r="136">
      <c r="A136" s="62" t="n">
        <v>25417</v>
      </c>
      <c r="B136" t="n">
        <v>1126000</v>
      </c>
      <c r="C136" t="n">
        <v>196000</v>
      </c>
    </row>
    <row r="137">
      <c r="A137" s="62" t="n">
        <v>25424</v>
      </c>
      <c r="B137" t="n">
        <v>1093000</v>
      </c>
      <c r="C137" t="n">
        <v>203000</v>
      </c>
    </row>
    <row r="138">
      <c r="A138" s="62" t="n">
        <v>25431</v>
      </c>
      <c r="B138" t="n">
        <v>1067000</v>
      </c>
      <c r="C138" t="n">
        <v>199000</v>
      </c>
    </row>
    <row r="139">
      <c r="A139" s="62" t="n">
        <v>25438</v>
      </c>
      <c r="B139" t="n">
        <v>1060000</v>
      </c>
      <c r="C139" t="n">
        <v>199000</v>
      </c>
    </row>
    <row r="140">
      <c r="A140" s="62" t="n">
        <v>25445</v>
      </c>
      <c r="B140" t="n">
        <v>1074000</v>
      </c>
      <c r="C140" t="n">
        <v>195000</v>
      </c>
    </row>
    <row r="141">
      <c r="A141" s="62" t="n">
        <v>25452</v>
      </c>
      <c r="B141" t="n">
        <v>1111000</v>
      </c>
      <c r="C141" t="n">
        <v>182000</v>
      </c>
    </row>
    <row r="142">
      <c r="A142" s="62" t="n">
        <v>25459</v>
      </c>
      <c r="B142" t="n">
        <v>1082000</v>
      </c>
      <c r="C142" t="n">
        <v>209000</v>
      </c>
    </row>
    <row r="143">
      <c r="A143" s="62" t="n">
        <v>25466</v>
      </c>
      <c r="B143" t="n">
        <v>1083000</v>
      </c>
      <c r="C143" t="n">
        <v>195000</v>
      </c>
    </row>
    <row r="144">
      <c r="A144" s="62" t="n">
        <v>25473</v>
      </c>
      <c r="B144" t="n">
        <v>1086000</v>
      </c>
      <c r="C144" t="n">
        <v>193000</v>
      </c>
    </row>
    <row r="145">
      <c r="A145" s="62" t="n">
        <v>25480</v>
      </c>
      <c r="B145" t="n">
        <v>1103000</v>
      </c>
      <c r="C145" t="n">
        <v>193000</v>
      </c>
    </row>
    <row r="146">
      <c r="A146" s="62" t="n">
        <v>25487</v>
      </c>
      <c r="B146" t="n">
        <v>1100000</v>
      </c>
      <c r="C146" t="n">
        <v>200000</v>
      </c>
    </row>
    <row r="147">
      <c r="A147" s="62" t="n">
        <v>25494</v>
      </c>
      <c r="B147" t="n">
        <v>1118000</v>
      </c>
      <c r="C147" t="n">
        <v>199000</v>
      </c>
    </row>
    <row r="148">
      <c r="A148" s="62" t="n">
        <v>25501</v>
      </c>
      <c r="B148" t="n">
        <v>1136000</v>
      </c>
      <c r="C148" t="n">
        <v>205000</v>
      </c>
    </row>
    <row r="149">
      <c r="A149" s="62" t="n">
        <v>25508</v>
      </c>
      <c r="B149" t="n">
        <v>1143000</v>
      </c>
      <c r="C149" t="n">
        <v>198000</v>
      </c>
    </row>
    <row r="150">
      <c r="A150" s="62" t="n">
        <v>25515</v>
      </c>
      <c r="B150" t="n">
        <v>1146000</v>
      </c>
      <c r="C150" t="n">
        <v>211000</v>
      </c>
    </row>
    <row r="151">
      <c r="A151" s="62" t="n">
        <v>25522</v>
      </c>
      <c r="B151" t="n">
        <v>1181000</v>
      </c>
      <c r="C151" t="n">
        <v>197000</v>
      </c>
    </row>
    <row r="152">
      <c r="A152" s="62" t="n">
        <v>25529</v>
      </c>
      <c r="B152" t="n">
        <v>1158000</v>
      </c>
      <c r="C152" t="n">
        <v>217000</v>
      </c>
    </row>
    <row r="153">
      <c r="A153" s="62" t="n">
        <v>25536</v>
      </c>
      <c r="B153" t="n">
        <v>1211000</v>
      </c>
      <c r="C153" t="n">
        <v>202000</v>
      </c>
    </row>
    <row r="154">
      <c r="A154" s="62" t="n">
        <v>25543</v>
      </c>
      <c r="B154" t="n">
        <v>1226000</v>
      </c>
      <c r="C154" t="n">
        <v>202000</v>
      </c>
    </row>
    <row r="155">
      <c r="A155" s="62" t="n">
        <v>25550</v>
      </c>
      <c r="B155" t="n">
        <v>1233000</v>
      </c>
      <c r="C155" t="n">
        <v>222000</v>
      </c>
    </row>
    <row r="156">
      <c r="A156" s="62" t="n">
        <v>25557</v>
      </c>
      <c r="B156" t="n">
        <v>1252000</v>
      </c>
      <c r="C156" t="n">
        <v>232000</v>
      </c>
    </row>
    <row r="157">
      <c r="A157" s="62" t="n">
        <v>25564</v>
      </c>
      <c r="B157" t="n">
        <v>1304000</v>
      </c>
      <c r="C157" t="n">
        <v>223000</v>
      </c>
    </row>
    <row r="158">
      <c r="A158" s="62" t="n">
        <v>25571</v>
      </c>
      <c r="B158" t="n">
        <v>1332000</v>
      </c>
      <c r="C158" t="n">
        <v>230000</v>
      </c>
    </row>
    <row r="159">
      <c r="A159" s="62" t="n">
        <v>25578</v>
      </c>
      <c r="B159" t="n">
        <v>1353000</v>
      </c>
      <c r="C159" t="n">
        <v>242000</v>
      </c>
    </row>
    <row r="160">
      <c r="A160" s="62" t="n">
        <v>25585</v>
      </c>
      <c r="B160" t="n">
        <v>1371000</v>
      </c>
      <c r="C160" t="n">
        <v>268000</v>
      </c>
    </row>
    <row r="161">
      <c r="A161" s="62" t="n">
        <v>25592</v>
      </c>
      <c r="B161" t="n">
        <v>1388000</v>
      </c>
      <c r="C161" t="n">
        <v>256000</v>
      </c>
    </row>
    <row r="162">
      <c r="A162" s="62" t="n">
        <v>25599</v>
      </c>
      <c r="B162" t="n">
        <v>1385000</v>
      </c>
      <c r="C162" t="n">
        <v>239000</v>
      </c>
    </row>
    <row r="163">
      <c r="A163" s="62" t="n">
        <v>25606</v>
      </c>
      <c r="B163" t="n">
        <v>1397000</v>
      </c>
      <c r="C163" t="n">
        <v>256000</v>
      </c>
    </row>
    <row r="164">
      <c r="A164" s="62" t="n">
        <v>25613</v>
      </c>
      <c r="B164" t="n">
        <v>1445000</v>
      </c>
      <c r="C164" t="n">
        <v>265000</v>
      </c>
    </row>
    <row r="165">
      <c r="A165" s="62" t="n">
        <v>25620</v>
      </c>
      <c r="B165" t="n">
        <v>1412000</v>
      </c>
      <c r="C165" t="n">
        <v>271000</v>
      </c>
    </row>
    <row r="166">
      <c r="A166" s="62" t="n">
        <v>25627</v>
      </c>
      <c r="B166" t="n">
        <v>1430000</v>
      </c>
      <c r="C166" t="n">
        <v>242000</v>
      </c>
    </row>
    <row r="167">
      <c r="A167" s="62" t="n">
        <v>25634</v>
      </c>
      <c r="B167" t="n">
        <v>1443000</v>
      </c>
      <c r="C167" t="n">
        <v>262000</v>
      </c>
    </row>
    <row r="168">
      <c r="A168" s="62" t="n">
        <v>25641</v>
      </c>
      <c r="B168" t="n">
        <v>1456000</v>
      </c>
      <c r="C168" t="n">
        <v>271000</v>
      </c>
    </row>
    <row r="169">
      <c r="A169" s="62" t="n">
        <v>25648</v>
      </c>
      <c r="B169" t="n">
        <v>1498000</v>
      </c>
      <c r="C169" t="n">
        <v>264000</v>
      </c>
    </row>
    <row r="170">
      <c r="A170" s="62" t="n">
        <v>25655</v>
      </c>
      <c r="B170" t="n">
        <v>1537000</v>
      </c>
      <c r="C170" t="n">
        <v>276000</v>
      </c>
    </row>
    <row r="171">
      <c r="A171" s="62" t="n">
        <v>25662</v>
      </c>
      <c r="B171" t="n">
        <v>1573000</v>
      </c>
      <c r="C171" t="n">
        <v>273000</v>
      </c>
    </row>
    <row r="172">
      <c r="A172" s="62" t="n">
        <v>25669</v>
      </c>
      <c r="B172" t="n">
        <v>1586000</v>
      </c>
      <c r="C172" t="n">
        <v>305000</v>
      </c>
    </row>
    <row r="173">
      <c r="A173" s="62" t="n">
        <v>25676</v>
      </c>
      <c r="B173" t="n">
        <v>1653000</v>
      </c>
      <c r="C173" t="n">
        <v>374000</v>
      </c>
    </row>
    <row r="174">
      <c r="A174" s="62" t="n">
        <v>25683</v>
      </c>
      <c r="B174" t="n">
        <v>1748000</v>
      </c>
      <c r="C174" t="n">
        <v>349000</v>
      </c>
    </row>
    <row r="175">
      <c r="A175" s="62" t="n">
        <v>25690</v>
      </c>
      <c r="B175" t="n">
        <v>1811000</v>
      </c>
      <c r="C175" t="n">
        <v>334000</v>
      </c>
    </row>
    <row r="176">
      <c r="A176" s="62" t="n">
        <v>25697</v>
      </c>
      <c r="B176" t="n">
        <v>1847000</v>
      </c>
      <c r="C176" t="n">
        <v>318000</v>
      </c>
    </row>
    <row r="177">
      <c r="A177" s="62" t="n">
        <v>25704</v>
      </c>
      <c r="B177" t="n">
        <v>1840000</v>
      </c>
      <c r="C177" t="n">
        <v>303000</v>
      </c>
    </row>
    <row r="178">
      <c r="A178" s="62" t="n">
        <v>25711</v>
      </c>
      <c r="B178" t="n">
        <v>1827000</v>
      </c>
      <c r="C178" t="n">
        <v>296000</v>
      </c>
    </row>
    <row r="179">
      <c r="A179" s="62" t="n">
        <v>25718</v>
      </c>
      <c r="B179" t="n">
        <v>1807000</v>
      </c>
      <c r="C179" t="n">
        <v>301000</v>
      </c>
    </row>
    <row r="180">
      <c r="A180" s="62" t="n">
        <v>25725</v>
      </c>
      <c r="B180" t="n">
        <v>1817000</v>
      </c>
      <c r="C180" t="n">
        <v>301000</v>
      </c>
    </row>
    <row r="181">
      <c r="A181" s="62" t="n">
        <v>25732</v>
      </c>
      <c r="B181" t="n">
        <v>1852000</v>
      </c>
      <c r="C181" t="n">
        <v>298000</v>
      </c>
    </row>
    <row r="182">
      <c r="A182" s="62" t="n">
        <v>25739</v>
      </c>
      <c r="B182" t="n">
        <v>1864000</v>
      </c>
      <c r="C182" t="n">
        <v>296000</v>
      </c>
    </row>
    <row r="183">
      <c r="A183" s="62" t="n">
        <v>25746</v>
      </c>
      <c r="B183" t="n">
        <v>1866000</v>
      </c>
      <c r="C183" t="n">
        <v>291000</v>
      </c>
    </row>
    <row r="184">
      <c r="A184" s="62" t="n">
        <v>25753</v>
      </c>
      <c r="B184" t="n">
        <v>1853000</v>
      </c>
      <c r="C184" t="n">
        <v>277000</v>
      </c>
    </row>
    <row r="185">
      <c r="A185" s="62" t="n">
        <v>25760</v>
      </c>
      <c r="B185" t="n">
        <v>1868000</v>
      </c>
      <c r="C185" t="n">
        <v>288000</v>
      </c>
    </row>
    <row r="186">
      <c r="A186" s="62" t="n">
        <v>25767</v>
      </c>
      <c r="B186" t="n">
        <v>1877000</v>
      </c>
      <c r="C186" t="n">
        <v>294000</v>
      </c>
    </row>
    <row r="187">
      <c r="A187" s="62" t="n">
        <v>25774</v>
      </c>
      <c r="B187" t="n">
        <v>1918000</v>
      </c>
      <c r="C187" t="n">
        <v>287000</v>
      </c>
    </row>
    <row r="188">
      <c r="A188" s="62" t="n">
        <v>25781</v>
      </c>
      <c r="B188" t="n">
        <v>1900000</v>
      </c>
      <c r="C188" t="n">
        <v>261000</v>
      </c>
    </row>
    <row r="189">
      <c r="A189" s="62" t="n">
        <v>25788</v>
      </c>
      <c r="B189" t="n">
        <v>1890000</v>
      </c>
      <c r="C189" t="n">
        <v>266000</v>
      </c>
    </row>
    <row r="190">
      <c r="A190" s="62" t="n">
        <v>25795</v>
      </c>
      <c r="B190" t="n">
        <v>1933000</v>
      </c>
      <c r="C190" t="n">
        <v>300000</v>
      </c>
    </row>
    <row r="191">
      <c r="A191" s="62" t="n">
        <v>25802</v>
      </c>
      <c r="B191" t="n">
        <v>1970000</v>
      </c>
      <c r="C191" t="n">
        <v>303000</v>
      </c>
    </row>
    <row r="192">
      <c r="A192" s="62" t="n">
        <v>25809</v>
      </c>
      <c r="B192" t="n">
        <v>2005000</v>
      </c>
      <c r="C192" t="n">
        <v>297000</v>
      </c>
    </row>
    <row r="193">
      <c r="A193" s="62" t="n">
        <v>25816</v>
      </c>
      <c r="B193" t="n">
        <v>1996000</v>
      </c>
      <c r="C193" t="n">
        <v>324000</v>
      </c>
    </row>
    <row r="194">
      <c r="A194" s="62" t="n">
        <v>25823</v>
      </c>
      <c r="B194" t="n">
        <v>2068000</v>
      </c>
      <c r="C194" t="n">
        <v>292000</v>
      </c>
    </row>
    <row r="195">
      <c r="A195" s="62" t="n">
        <v>25830</v>
      </c>
      <c r="B195" t="n">
        <v>2069000</v>
      </c>
      <c r="C195" t="n">
        <v>325000</v>
      </c>
    </row>
    <row r="196">
      <c r="A196" s="62" t="n">
        <v>25837</v>
      </c>
      <c r="B196" t="n">
        <v>2092000</v>
      </c>
      <c r="C196" t="n">
        <v>333000</v>
      </c>
    </row>
    <row r="197">
      <c r="A197" s="62" t="n">
        <v>25844</v>
      </c>
      <c r="B197" t="n">
        <v>2164000</v>
      </c>
      <c r="C197" t="n">
        <v>350000</v>
      </c>
    </row>
    <row r="198">
      <c r="A198" s="62" t="n">
        <v>25851</v>
      </c>
      <c r="B198" t="n">
        <v>2207000</v>
      </c>
      <c r="C198" t="n">
        <v>327000</v>
      </c>
    </row>
    <row r="199">
      <c r="A199" s="62" t="n">
        <v>25858</v>
      </c>
      <c r="B199" t="n">
        <v>2210000</v>
      </c>
      <c r="C199" t="n">
        <v>334000</v>
      </c>
    </row>
    <row r="200">
      <c r="A200" s="62" t="n">
        <v>25865</v>
      </c>
      <c r="B200" t="n">
        <v>2257000</v>
      </c>
      <c r="C200" t="n">
        <v>330000</v>
      </c>
    </row>
    <row r="201">
      <c r="A201" s="62" t="n">
        <v>25872</v>
      </c>
      <c r="B201" t="n">
        <v>2233000</v>
      </c>
      <c r="C201" t="n">
        <v>327000</v>
      </c>
    </row>
    <row r="202">
      <c r="A202" s="62" t="n">
        <v>25879</v>
      </c>
      <c r="B202" t="n">
        <v>2279000</v>
      </c>
      <c r="C202" t="n">
        <v>336000</v>
      </c>
    </row>
    <row r="203">
      <c r="A203" s="62" t="n">
        <v>25886</v>
      </c>
      <c r="B203" t="n">
        <v>2343000</v>
      </c>
      <c r="C203" t="n">
        <v>314000</v>
      </c>
    </row>
    <row r="204">
      <c r="A204" s="62" t="n">
        <v>25893</v>
      </c>
      <c r="B204" t="n">
        <v>2285000</v>
      </c>
      <c r="C204" t="n">
        <v>314000</v>
      </c>
    </row>
    <row r="205">
      <c r="A205" s="62" t="n">
        <v>25900</v>
      </c>
      <c r="B205" t="n">
        <v>2292000</v>
      </c>
      <c r="C205" t="n">
        <v>337000</v>
      </c>
    </row>
    <row r="206">
      <c r="A206" s="62" t="n">
        <v>25907</v>
      </c>
      <c r="B206" t="n">
        <v>2276000</v>
      </c>
      <c r="C206" t="n">
        <v>308000</v>
      </c>
    </row>
    <row r="207">
      <c r="A207" s="62" t="n">
        <v>25914</v>
      </c>
      <c r="B207" t="n">
        <v>2193000</v>
      </c>
      <c r="C207" t="n">
        <v>306000</v>
      </c>
    </row>
    <row r="208">
      <c r="A208" s="62" t="n">
        <v>25921</v>
      </c>
      <c r="B208" t="n">
        <v>2224000</v>
      </c>
      <c r="C208" t="n">
        <v>289000</v>
      </c>
    </row>
    <row r="209">
      <c r="A209" s="62" t="n">
        <v>25928</v>
      </c>
      <c r="B209" t="n">
        <v>2147000</v>
      </c>
      <c r="C209" t="n">
        <v>321000</v>
      </c>
    </row>
    <row r="210">
      <c r="A210" s="62" t="n">
        <v>25935</v>
      </c>
      <c r="B210" t="n">
        <v>2102000</v>
      </c>
      <c r="C210" t="n">
        <v>303000</v>
      </c>
    </row>
    <row r="211">
      <c r="A211" s="62" t="n">
        <v>25942</v>
      </c>
      <c r="B211" t="n">
        <v>2124000</v>
      </c>
      <c r="C211" t="n">
        <v>288000</v>
      </c>
    </row>
    <row r="212">
      <c r="A212" s="62" t="n">
        <v>25949</v>
      </c>
      <c r="B212" t="n">
        <v>2100000</v>
      </c>
      <c r="C212" t="n">
        <v>299000</v>
      </c>
    </row>
    <row r="213">
      <c r="A213" s="62" t="n">
        <v>25956</v>
      </c>
      <c r="B213" t="n">
        <v>2091000</v>
      </c>
      <c r="C213" t="n">
        <v>312000</v>
      </c>
    </row>
    <row r="214">
      <c r="A214" s="62" t="n">
        <v>25963</v>
      </c>
      <c r="B214" t="n">
        <v>2086000</v>
      </c>
      <c r="C214" t="n">
        <v>292000</v>
      </c>
    </row>
    <row r="215">
      <c r="A215" s="62" t="n">
        <v>25970</v>
      </c>
      <c r="B215" t="n">
        <v>2120000</v>
      </c>
      <c r="C215" t="n">
        <v>296000</v>
      </c>
    </row>
    <row r="216">
      <c r="A216" s="62" t="n">
        <v>25977</v>
      </c>
      <c r="B216" t="n">
        <v>2079000</v>
      </c>
      <c r="C216" t="n">
        <v>282000</v>
      </c>
    </row>
    <row r="217">
      <c r="A217" s="62" t="n">
        <v>25984</v>
      </c>
      <c r="B217" t="n">
        <v>2120000</v>
      </c>
      <c r="C217" t="n">
        <v>268000</v>
      </c>
    </row>
    <row r="218">
      <c r="A218" s="62" t="n">
        <v>25991</v>
      </c>
      <c r="B218" t="n">
        <v>2081000</v>
      </c>
      <c r="C218" t="n">
        <v>290000</v>
      </c>
    </row>
    <row r="219">
      <c r="A219" s="62" t="n">
        <v>25998</v>
      </c>
      <c r="B219" t="n">
        <v>2132000</v>
      </c>
      <c r="C219" t="n">
        <v>297000</v>
      </c>
    </row>
    <row r="220">
      <c r="A220" s="62" t="n">
        <v>26005</v>
      </c>
      <c r="B220" t="n">
        <v>2126000</v>
      </c>
      <c r="C220" t="n">
        <v>287000</v>
      </c>
    </row>
    <row r="221">
      <c r="A221" s="62" t="n">
        <v>26012</v>
      </c>
      <c r="B221" t="n">
        <v>2140000</v>
      </c>
      <c r="C221" t="n">
        <v>291000</v>
      </c>
    </row>
    <row r="222">
      <c r="A222" s="62" t="n">
        <v>26019</v>
      </c>
      <c r="B222" t="n">
        <v>2157000</v>
      </c>
      <c r="C222" t="n">
        <v>300000</v>
      </c>
    </row>
    <row r="223">
      <c r="A223" s="62" t="n">
        <v>26026</v>
      </c>
      <c r="B223" t="n">
        <v>2135000</v>
      </c>
      <c r="C223" t="n">
        <v>299000</v>
      </c>
    </row>
    <row r="224">
      <c r="A224" s="62" t="n">
        <v>26033</v>
      </c>
      <c r="B224" t="n">
        <v>2156000</v>
      </c>
      <c r="C224" t="n">
        <v>279000</v>
      </c>
    </row>
    <row r="225">
      <c r="A225" s="62" t="n">
        <v>26040</v>
      </c>
      <c r="B225" t="n">
        <v>2163000</v>
      </c>
      <c r="C225" t="n">
        <v>284000</v>
      </c>
    </row>
    <row r="226">
      <c r="A226" s="62" t="n">
        <v>26047</v>
      </c>
      <c r="B226" t="n">
        <v>2127000</v>
      </c>
      <c r="C226" t="n">
        <v>288000</v>
      </c>
    </row>
    <row r="227">
      <c r="A227" s="62" t="n">
        <v>26054</v>
      </c>
      <c r="B227" t="n">
        <v>2157000</v>
      </c>
      <c r="C227" t="n">
        <v>290000</v>
      </c>
    </row>
    <row r="228">
      <c r="A228" s="62" t="n">
        <v>26061</v>
      </c>
      <c r="B228" t="n">
        <v>2179000</v>
      </c>
      <c r="C228" t="n">
        <v>293000</v>
      </c>
    </row>
    <row r="229">
      <c r="A229" s="62" t="n">
        <v>26068</v>
      </c>
      <c r="B229" t="n">
        <v>2179000</v>
      </c>
      <c r="C229" t="n">
        <v>284000</v>
      </c>
    </row>
    <row r="230">
      <c r="A230" s="62" t="n">
        <v>26075</v>
      </c>
      <c r="B230" t="n">
        <v>2167000</v>
      </c>
      <c r="C230" t="n">
        <v>295000</v>
      </c>
    </row>
    <row r="231">
      <c r="A231" s="62" t="n">
        <v>26082</v>
      </c>
      <c r="B231" t="n">
        <v>2171000</v>
      </c>
      <c r="C231" t="n">
        <v>299000</v>
      </c>
    </row>
    <row r="232">
      <c r="A232" s="62" t="n">
        <v>26089</v>
      </c>
      <c r="B232" t="n">
        <v>2194000</v>
      </c>
      <c r="C232" t="n">
        <v>301000</v>
      </c>
    </row>
    <row r="233">
      <c r="A233" s="62" t="n">
        <v>26096</v>
      </c>
      <c r="B233" t="n">
        <v>2199000</v>
      </c>
      <c r="C233" t="n">
        <v>295000</v>
      </c>
    </row>
    <row r="234">
      <c r="A234" s="62" t="n">
        <v>26103</v>
      </c>
      <c r="B234" t="n">
        <v>2182000</v>
      </c>
      <c r="C234" t="n">
        <v>299000</v>
      </c>
    </row>
    <row r="235">
      <c r="A235" s="62" t="n">
        <v>26110</v>
      </c>
      <c r="B235" t="n">
        <v>2172000</v>
      </c>
      <c r="C235" t="n">
        <v>291000</v>
      </c>
    </row>
    <row r="236">
      <c r="A236" s="62" t="n">
        <v>26117</v>
      </c>
      <c r="B236" t="n">
        <v>2116000</v>
      </c>
      <c r="C236" t="n">
        <v>277000</v>
      </c>
    </row>
    <row r="237">
      <c r="A237" s="62" t="n">
        <v>26124</v>
      </c>
      <c r="B237" t="n">
        <v>2130000</v>
      </c>
      <c r="C237" t="n">
        <v>264000</v>
      </c>
    </row>
    <row r="238">
      <c r="A238" s="62" t="n">
        <v>26131</v>
      </c>
      <c r="B238" t="n">
        <v>2087000</v>
      </c>
      <c r="C238" t="n">
        <v>313000</v>
      </c>
    </row>
    <row r="239">
      <c r="A239" s="62" t="n">
        <v>26138</v>
      </c>
      <c r="B239" t="n">
        <v>2129000</v>
      </c>
      <c r="C239" t="n">
        <v>304000</v>
      </c>
    </row>
    <row r="240">
      <c r="A240" s="62" t="n">
        <v>26145</v>
      </c>
      <c r="B240" t="n">
        <v>2150000</v>
      </c>
      <c r="C240" t="n">
        <v>308000</v>
      </c>
    </row>
    <row r="241">
      <c r="A241" s="62" t="n">
        <v>26152</v>
      </c>
      <c r="B241" t="n">
        <v>2174000</v>
      </c>
      <c r="C241" t="n">
        <v>349000</v>
      </c>
    </row>
    <row r="242">
      <c r="A242" s="62" t="n">
        <v>26159</v>
      </c>
      <c r="B242" t="n">
        <v>2202000</v>
      </c>
      <c r="C242" t="n">
        <v>325000</v>
      </c>
    </row>
    <row r="243">
      <c r="A243" s="62" t="n">
        <v>26166</v>
      </c>
      <c r="B243" t="n">
        <v>2186000</v>
      </c>
      <c r="C243" t="n">
        <v>320000</v>
      </c>
    </row>
    <row r="244">
      <c r="A244" s="62" t="n">
        <v>26173</v>
      </c>
      <c r="B244" t="n">
        <v>2188000</v>
      </c>
      <c r="C244" t="n">
        <v>307000</v>
      </c>
    </row>
    <row r="245">
      <c r="A245" s="62" t="n">
        <v>26180</v>
      </c>
      <c r="B245" t="n">
        <v>2228000</v>
      </c>
      <c r="C245" t="n">
        <v>359000</v>
      </c>
    </row>
    <row r="246">
      <c r="A246" s="62" t="n">
        <v>26187</v>
      </c>
      <c r="B246" t="n">
        <v>2250000</v>
      </c>
      <c r="C246" t="n">
        <v>312000</v>
      </c>
    </row>
    <row r="247">
      <c r="A247" s="62" t="n">
        <v>26194</v>
      </c>
      <c r="B247" t="n">
        <v>2246000</v>
      </c>
      <c r="C247" t="n">
        <v>302000</v>
      </c>
    </row>
    <row r="248">
      <c r="A248" s="62" t="n">
        <v>26201</v>
      </c>
      <c r="B248" t="n">
        <v>2233000</v>
      </c>
      <c r="C248" t="n">
        <v>308000</v>
      </c>
    </row>
    <row r="249">
      <c r="A249" s="62" t="n">
        <v>26208</v>
      </c>
      <c r="B249" t="n">
        <v>2216000</v>
      </c>
      <c r="C249" t="n">
        <v>299000</v>
      </c>
    </row>
    <row r="250">
      <c r="A250" s="62" t="n">
        <v>26215</v>
      </c>
      <c r="B250" t="n">
        <v>2247000</v>
      </c>
      <c r="C250" t="n">
        <v>313000</v>
      </c>
    </row>
    <row r="251">
      <c r="A251" s="62" t="n">
        <v>26222</v>
      </c>
      <c r="B251" t="n">
        <v>2190000</v>
      </c>
      <c r="C251" t="n">
        <v>299000</v>
      </c>
    </row>
    <row r="252">
      <c r="A252" s="62" t="n">
        <v>26229</v>
      </c>
      <c r="B252" t="n">
        <v>2176000</v>
      </c>
      <c r="C252" t="n">
        <v>294000</v>
      </c>
    </row>
    <row r="253">
      <c r="A253" s="62" t="n">
        <v>26236</v>
      </c>
      <c r="B253" t="n">
        <v>2194000</v>
      </c>
      <c r="C253" t="n">
        <v>283000</v>
      </c>
    </row>
    <row r="254">
      <c r="A254" s="62" t="n">
        <v>26243</v>
      </c>
      <c r="B254" t="n">
        <v>2204000</v>
      </c>
      <c r="C254" t="n">
        <v>301000</v>
      </c>
    </row>
    <row r="255">
      <c r="A255" s="62" t="n">
        <v>26250</v>
      </c>
      <c r="B255" t="n">
        <v>2134000</v>
      </c>
      <c r="C255" t="n">
        <v>295000</v>
      </c>
    </row>
    <row r="256">
      <c r="A256" s="62" t="n">
        <v>26257</v>
      </c>
      <c r="B256" t="n">
        <v>2134000</v>
      </c>
      <c r="C256" t="n">
        <v>274000</v>
      </c>
    </row>
    <row r="257">
      <c r="A257" s="62" t="n">
        <v>26264</v>
      </c>
      <c r="B257" t="n">
        <v>2111000</v>
      </c>
      <c r="C257" t="n">
        <v>278000</v>
      </c>
    </row>
    <row r="258">
      <c r="A258" s="62" t="n">
        <v>26271</v>
      </c>
      <c r="B258" t="n">
        <v>2117000</v>
      </c>
      <c r="C258" t="n">
        <v>299000</v>
      </c>
    </row>
    <row r="259">
      <c r="A259" s="62" t="n">
        <v>26278</v>
      </c>
      <c r="B259" t="n">
        <v>2085000</v>
      </c>
      <c r="C259" t="n">
        <v>280000</v>
      </c>
    </row>
    <row r="260">
      <c r="A260" s="62" t="n">
        <v>26285</v>
      </c>
      <c r="B260" t="n">
        <v>2109000</v>
      </c>
      <c r="C260" t="n">
        <v>269000</v>
      </c>
    </row>
    <row r="261">
      <c r="A261" s="62" t="n">
        <v>26292</v>
      </c>
      <c r="B261" t="n">
        <v>2037000</v>
      </c>
      <c r="C261" t="n">
        <v>244000</v>
      </c>
    </row>
    <row r="262">
      <c r="A262" s="62" t="n">
        <v>26299</v>
      </c>
      <c r="B262" t="n">
        <v>1934000</v>
      </c>
      <c r="C262" t="n">
        <v>279000</v>
      </c>
    </row>
    <row r="263">
      <c r="A263" s="62" t="n">
        <v>26306</v>
      </c>
      <c r="B263" t="n">
        <v>1931000</v>
      </c>
      <c r="C263" t="n">
        <v>295000</v>
      </c>
    </row>
    <row r="264">
      <c r="A264" s="62" t="n">
        <v>26313</v>
      </c>
      <c r="B264" t="n">
        <v>1923000</v>
      </c>
      <c r="C264" t="n">
        <v>250000</v>
      </c>
    </row>
    <row r="265">
      <c r="A265" s="62" t="n">
        <v>26320</v>
      </c>
      <c r="B265" t="n">
        <v>1907000</v>
      </c>
      <c r="C265" t="n">
        <v>263000</v>
      </c>
    </row>
    <row r="266">
      <c r="A266" s="62" t="n">
        <v>26327</v>
      </c>
      <c r="B266" t="n">
        <v>1921000</v>
      </c>
      <c r="C266" t="n">
        <v>269000</v>
      </c>
    </row>
    <row r="267">
      <c r="A267" s="62" t="n">
        <v>26334</v>
      </c>
      <c r="B267" t="n">
        <v>1941000</v>
      </c>
      <c r="C267" t="n">
        <v>276000</v>
      </c>
    </row>
    <row r="268">
      <c r="A268" s="62" t="n">
        <v>26341</v>
      </c>
      <c r="B268" t="n">
        <v>1960000</v>
      </c>
      <c r="C268" t="n">
        <v>266000</v>
      </c>
    </row>
    <row r="269">
      <c r="A269" s="62" t="n">
        <v>26348</v>
      </c>
      <c r="B269" t="n">
        <v>1902000</v>
      </c>
      <c r="C269" t="n">
        <v>258000</v>
      </c>
    </row>
    <row r="270">
      <c r="A270" s="62" t="n">
        <v>26355</v>
      </c>
      <c r="B270" t="n">
        <v>1903000</v>
      </c>
      <c r="C270" t="n">
        <v>254000</v>
      </c>
    </row>
    <row r="271">
      <c r="A271" s="62" t="n">
        <v>26362</v>
      </c>
      <c r="B271" t="n">
        <v>1905000</v>
      </c>
      <c r="C271" t="n">
        <v>257000</v>
      </c>
    </row>
    <row r="272">
      <c r="A272" s="62" t="n">
        <v>26369</v>
      </c>
      <c r="B272" t="n">
        <v>1906000</v>
      </c>
      <c r="C272" t="n">
        <v>264000</v>
      </c>
    </row>
    <row r="273">
      <c r="A273" s="62" t="n">
        <v>26376</v>
      </c>
      <c r="B273" t="n">
        <v>1907000</v>
      </c>
      <c r="C273" t="n">
        <v>266000</v>
      </c>
    </row>
    <row r="274">
      <c r="A274" s="62" t="n">
        <v>26383</v>
      </c>
      <c r="B274" t="n">
        <v>1877000</v>
      </c>
      <c r="C274" t="n">
        <v>264000</v>
      </c>
    </row>
    <row r="275">
      <c r="A275" s="62" t="n">
        <v>26390</v>
      </c>
      <c r="B275" t="n">
        <v>1913000</v>
      </c>
      <c r="C275" t="n">
        <v>258000</v>
      </c>
    </row>
    <row r="276">
      <c r="A276" s="62" t="n">
        <v>26397</v>
      </c>
      <c r="B276" t="n">
        <v>1910000</v>
      </c>
      <c r="C276" t="n">
        <v>274000</v>
      </c>
    </row>
    <row r="277">
      <c r="A277" s="62" t="n">
        <v>26404</v>
      </c>
      <c r="B277" t="n">
        <v>1891000</v>
      </c>
      <c r="C277" t="n">
        <v>259000</v>
      </c>
    </row>
    <row r="278">
      <c r="A278" s="62" t="n">
        <v>26411</v>
      </c>
      <c r="B278" t="n">
        <v>1855000</v>
      </c>
      <c r="C278" t="n">
        <v>259000</v>
      </c>
    </row>
    <row r="279">
      <c r="A279" s="62" t="n">
        <v>26418</v>
      </c>
      <c r="B279" t="n">
        <v>1870000</v>
      </c>
      <c r="C279" t="n">
        <v>265000</v>
      </c>
    </row>
    <row r="280">
      <c r="A280" s="62" t="n">
        <v>26425</v>
      </c>
      <c r="B280" t="n">
        <v>1893000</v>
      </c>
      <c r="C280" t="n">
        <v>271000</v>
      </c>
    </row>
    <row r="281">
      <c r="A281" s="62" t="n">
        <v>26432</v>
      </c>
      <c r="B281" t="n">
        <v>1874000</v>
      </c>
      <c r="C281" t="n">
        <v>266000</v>
      </c>
    </row>
    <row r="282">
      <c r="A282" s="62" t="n">
        <v>26439</v>
      </c>
      <c r="B282" t="n">
        <v>1863000</v>
      </c>
      <c r="C282" t="n">
        <v>267000</v>
      </c>
    </row>
    <row r="283">
      <c r="A283" s="62" t="n">
        <v>26446</v>
      </c>
      <c r="B283" t="n">
        <v>1871000</v>
      </c>
      <c r="C283" t="n">
        <v>267000</v>
      </c>
    </row>
    <row r="284">
      <c r="A284" s="62" t="n">
        <v>26453</v>
      </c>
      <c r="B284" t="n">
        <v>1857000</v>
      </c>
      <c r="C284" t="n">
        <v>264000</v>
      </c>
    </row>
    <row r="285">
      <c r="A285" s="62" t="n">
        <v>26460</v>
      </c>
      <c r="B285" t="n">
        <v>1870000</v>
      </c>
      <c r="C285" t="n">
        <v>268000</v>
      </c>
    </row>
    <row r="286">
      <c r="A286" s="62" t="n">
        <v>26467</v>
      </c>
      <c r="B286" t="n">
        <v>1855000</v>
      </c>
      <c r="C286" t="n">
        <v>275000</v>
      </c>
    </row>
    <row r="287">
      <c r="A287" s="62" t="n">
        <v>26474</v>
      </c>
      <c r="B287" t="n">
        <v>1871000</v>
      </c>
      <c r="C287" t="n">
        <v>286000</v>
      </c>
    </row>
    <row r="288">
      <c r="A288" s="62" t="n">
        <v>26481</v>
      </c>
      <c r="B288" t="n">
        <v>1935000</v>
      </c>
      <c r="C288" t="n">
        <v>350000</v>
      </c>
    </row>
    <row r="289">
      <c r="A289" s="62" t="n">
        <v>26488</v>
      </c>
      <c r="B289" t="n">
        <v>1977000</v>
      </c>
      <c r="C289" t="n">
        <v>297000</v>
      </c>
    </row>
    <row r="290">
      <c r="A290" s="62" t="n">
        <v>26495</v>
      </c>
      <c r="B290" t="n">
        <v>1947000</v>
      </c>
      <c r="C290" t="n">
        <v>318000</v>
      </c>
    </row>
    <row r="291">
      <c r="A291" s="62" t="n">
        <v>26502</v>
      </c>
      <c r="B291" t="n">
        <v>1962000</v>
      </c>
      <c r="C291" t="n">
        <v>276000</v>
      </c>
    </row>
    <row r="292">
      <c r="A292" s="62" t="n">
        <v>26509</v>
      </c>
      <c r="B292" t="n">
        <v>1928000</v>
      </c>
      <c r="C292" t="n">
        <v>247000</v>
      </c>
    </row>
    <row r="293">
      <c r="A293" s="62" t="n">
        <v>26516</v>
      </c>
      <c r="B293" t="n">
        <v>1855000</v>
      </c>
      <c r="C293" t="n">
        <v>250000</v>
      </c>
    </row>
    <row r="294">
      <c r="A294" s="62" t="n">
        <v>26523</v>
      </c>
      <c r="B294" t="n">
        <v>1812000</v>
      </c>
      <c r="C294" t="n">
        <v>246000</v>
      </c>
    </row>
    <row r="295">
      <c r="A295" s="62" t="n">
        <v>26530</v>
      </c>
      <c r="B295" t="n">
        <v>1794000</v>
      </c>
      <c r="C295" t="n">
        <v>256000</v>
      </c>
    </row>
    <row r="296">
      <c r="A296" s="62" t="n">
        <v>26537</v>
      </c>
      <c r="B296" t="n">
        <v>1792000</v>
      </c>
      <c r="C296" t="n">
        <v>262000</v>
      </c>
    </row>
    <row r="297">
      <c r="A297" s="62" t="n">
        <v>26544</v>
      </c>
      <c r="B297" t="n">
        <v>1838000</v>
      </c>
      <c r="C297" t="n">
        <v>258000</v>
      </c>
    </row>
    <row r="298">
      <c r="A298" s="62" t="n">
        <v>26551</v>
      </c>
      <c r="B298" t="n">
        <v>1802000</v>
      </c>
      <c r="C298" t="n">
        <v>259000</v>
      </c>
    </row>
    <row r="299">
      <c r="A299" s="62" t="n">
        <v>26558</v>
      </c>
      <c r="B299" t="n">
        <v>1799000</v>
      </c>
      <c r="C299" t="n">
        <v>258000</v>
      </c>
    </row>
    <row r="300">
      <c r="A300" s="62" t="n">
        <v>26565</v>
      </c>
      <c r="B300" t="n">
        <v>1791000</v>
      </c>
      <c r="C300" t="n">
        <v>255000</v>
      </c>
    </row>
    <row r="301">
      <c r="A301" s="62" t="n">
        <v>26572</v>
      </c>
      <c r="B301" t="n">
        <v>1763000</v>
      </c>
      <c r="C301" t="n">
        <v>251000</v>
      </c>
    </row>
    <row r="302">
      <c r="A302" s="62" t="n">
        <v>26579</v>
      </c>
      <c r="B302" t="n">
        <v>1771000</v>
      </c>
      <c r="C302" t="n">
        <v>263000</v>
      </c>
    </row>
    <row r="303">
      <c r="A303" s="62" t="n">
        <v>26586</v>
      </c>
      <c r="B303" t="n">
        <v>1760000</v>
      </c>
      <c r="C303" t="n">
        <v>250000</v>
      </c>
    </row>
    <row r="304">
      <c r="A304" s="62" t="n">
        <v>26593</v>
      </c>
      <c r="B304" t="n">
        <v>1733000</v>
      </c>
      <c r="C304" t="n">
        <v>257000</v>
      </c>
    </row>
    <row r="305">
      <c r="A305" s="62" t="n">
        <v>26600</v>
      </c>
      <c r="B305" t="n">
        <v>1750000</v>
      </c>
      <c r="C305" t="n">
        <v>234000</v>
      </c>
    </row>
    <row r="306">
      <c r="A306" s="62" t="n">
        <v>26607</v>
      </c>
      <c r="B306" t="n">
        <v>1722000</v>
      </c>
      <c r="C306" t="n">
        <v>255000</v>
      </c>
    </row>
    <row r="307">
      <c r="A307" s="62" t="n">
        <v>26614</v>
      </c>
      <c r="B307" t="n">
        <v>1736000</v>
      </c>
      <c r="C307" t="n">
        <v>242000</v>
      </c>
    </row>
    <row r="308">
      <c r="A308" s="62" t="n">
        <v>26621</v>
      </c>
      <c r="B308" t="n">
        <v>1727000</v>
      </c>
      <c r="C308" t="n">
        <v>271000</v>
      </c>
    </row>
    <row r="309">
      <c r="A309" s="62" t="n">
        <v>26628</v>
      </c>
      <c r="B309" t="n">
        <v>1743000</v>
      </c>
      <c r="C309" t="n">
        <v>235000</v>
      </c>
    </row>
    <row r="310">
      <c r="A310" s="62" t="n">
        <v>26635</v>
      </c>
      <c r="B310" t="n">
        <v>1676000</v>
      </c>
      <c r="C310" t="n">
        <v>226000</v>
      </c>
    </row>
    <row r="311">
      <c r="A311" s="62" t="n">
        <v>26642</v>
      </c>
      <c r="B311" t="n">
        <v>1681000</v>
      </c>
      <c r="C311" t="n">
        <v>252000</v>
      </c>
    </row>
    <row r="312">
      <c r="A312" s="62" t="n">
        <v>26649</v>
      </c>
      <c r="B312" t="n">
        <v>1756000</v>
      </c>
      <c r="C312" t="n">
        <v>263000</v>
      </c>
    </row>
    <row r="313">
      <c r="A313" s="62" t="n">
        <v>26656</v>
      </c>
      <c r="B313" t="n">
        <v>1697000</v>
      </c>
      <c r="C313" t="n">
        <v>246000</v>
      </c>
    </row>
    <row r="314">
      <c r="A314" s="62" t="n">
        <v>26663</v>
      </c>
      <c r="B314" t="n">
        <v>1663000</v>
      </c>
      <c r="C314" t="n">
        <v>225000</v>
      </c>
    </row>
    <row r="315">
      <c r="A315" s="62" t="n">
        <v>26670</v>
      </c>
      <c r="B315" t="n">
        <v>1617000</v>
      </c>
      <c r="C315" t="n">
        <v>226000</v>
      </c>
    </row>
    <row r="316">
      <c r="A316" s="62" t="n">
        <v>26677</v>
      </c>
      <c r="B316" t="n">
        <v>1660000</v>
      </c>
      <c r="C316" t="n">
        <v>245000</v>
      </c>
    </row>
    <row r="317">
      <c r="A317" s="62" t="n">
        <v>26684</v>
      </c>
      <c r="B317" t="n">
        <v>1607000</v>
      </c>
      <c r="C317" t="n">
        <v>229000</v>
      </c>
    </row>
    <row r="318">
      <c r="A318" s="62" t="n">
        <v>26691</v>
      </c>
      <c r="B318" t="n">
        <v>1601000</v>
      </c>
      <c r="C318" t="n">
        <v>214000</v>
      </c>
    </row>
    <row r="319">
      <c r="A319" s="62" t="n">
        <v>26698</v>
      </c>
      <c r="B319" t="n">
        <v>1596000</v>
      </c>
      <c r="C319" t="n">
        <v>228000</v>
      </c>
    </row>
    <row r="320">
      <c r="A320" s="62" t="n">
        <v>26705</v>
      </c>
      <c r="B320" t="n">
        <v>1594000</v>
      </c>
      <c r="C320" t="n">
        <v>226000</v>
      </c>
    </row>
    <row r="321">
      <c r="A321" s="62" t="n">
        <v>26712</v>
      </c>
      <c r="B321" t="n">
        <v>1582000</v>
      </c>
      <c r="C321" t="n">
        <v>216000</v>
      </c>
    </row>
    <row r="322">
      <c r="A322" s="62" t="n">
        <v>26719</v>
      </c>
      <c r="B322" t="n">
        <v>1582000</v>
      </c>
      <c r="C322" t="n">
        <v>218000</v>
      </c>
    </row>
    <row r="323">
      <c r="A323" s="62" t="n">
        <v>26726</v>
      </c>
      <c r="B323" t="n">
        <v>1579000</v>
      </c>
      <c r="C323" t="n">
        <v>225000</v>
      </c>
    </row>
    <row r="324">
      <c r="A324" s="62" t="n">
        <v>26733</v>
      </c>
      <c r="B324" t="n">
        <v>1584000</v>
      </c>
      <c r="C324" t="n">
        <v>229000</v>
      </c>
    </row>
    <row r="325">
      <c r="A325" s="62" t="n">
        <v>26740</v>
      </c>
      <c r="B325" t="n">
        <v>1578000</v>
      </c>
      <c r="C325" t="n">
        <v>228000</v>
      </c>
    </row>
    <row r="326">
      <c r="A326" s="62" t="n">
        <v>26747</v>
      </c>
      <c r="B326" t="n">
        <v>1562000</v>
      </c>
      <c r="C326" t="n">
        <v>232000</v>
      </c>
    </row>
    <row r="327">
      <c r="A327" s="62" t="n">
        <v>26754</v>
      </c>
      <c r="B327" t="n">
        <v>1547000</v>
      </c>
      <c r="C327" t="n">
        <v>222000</v>
      </c>
    </row>
    <row r="328">
      <c r="A328" s="62" t="n">
        <v>26761</v>
      </c>
      <c r="B328" t="n">
        <v>1552000</v>
      </c>
      <c r="C328" t="n">
        <v>247000</v>
      </c>
    </row>
    <row r="329">
      <c r="A329" s="62" t="n">
        <v>26768</v>
      </c>
      <c r="B329" t="n">
        <v>1539000</v>
      </c>
      <c r="C329" t="n">
        <v>230000</v>
      </c>
    </row>
    <row r="330">
      <c r="A330" s="62" t="n">
        <v>26775</v>
      </c>
      <c r="B330" t="n">
        <v>1573000</v>
      </c>
      <c r="C330" t="n">
        <v>243000</v>
      </c>
    </row>
    <row r="331">
      <c r="A331" s="62" t="n">
        <v>26782</v>
      </c>
      <c r="B331" t="n">
        <v>1551000</v>
      </c>
      <c r="C331" t="n">
        <v>236000</v>
      </c>
    </row>
    <row r="332">
      <c r="A332" s="62" t="n">
        <v>26789</v>
      </c>
      <c r="B332" t="n">
        <v>1560000</v>
      </c>
      <c r="C332" t="n">
        <v>248000</v>
      </c>
    </row>
    <row r="333">
      <c r="A333" s="62" t="n">
        <v>26796</v>
      </c>
      <c r="B333" t="n">
        <v>1557000</v>
      </c>
      <c r="C333" t="n">
        <v>238000</v>
      </c>
    </row>
    <row r="334">
      <c r="A334" s="62" t="n">
        <v>26803</v>
      </c>
      <c r="B334" t="n">
        <v>1553000</v>
      </c>
      <c r="C334" t="n">
        <v>237000</v>
      </c>
    </row>
    <row r="335">
      <c r="A335" s="62" t="n">
        <v>26810</v>
      </c>
      <c r="B335" t="n">
        <v>1567000</v>
      </c>
      <c r="C335" t="n">
        <v>238000</v>
      </c>
    </row>
    <row r="336">
      <c r="A336" s="62" t="n">
        <v>26817</v>
      </c>
      <c r="B336" t="n">
        <v>1556000</v>
      </c>
      <c r="C336" t="n">
        <v>232000</v>
      </c>
    </row>
    <row r="337">
      <c r="A337" s="62" t="n">
        <v>26824</v>
      </c>
      <c r="B337" t="n">
        <v>1563000</v>
      </c>
      <c r="C337" t="n">
        <v>246000</v>
      </c>
    </row>
    <row r="338">
      <c r="A338" s="62" t="n">
        <v>26831</v>
      </c>
      <c r="B338" t="n">
        <v>1576000</v>
      </c>
      <c r="C338" t="n">
        <v>237000</v>
      </c>
    </row>
    <row r="339">
      <c r="A339" s="62" t="n">
        <v>26838</v>
      </c>
      <c r="B339" t="n">
        <v>1570000</v>
      </c>
      <c r="C339" t="n">
        <v>242000</v>
      </c>
    </row>
    <row r="340">
      <c r="A340" s="62" t="n">
        <v>26845</v>
      </c>
      <c r="B340" t="n">
        <v>1571000</v>
      </c>
      <c r="C340" t="n">
        <v>237000</v>
      </c>
    </row>
    <row r="341">
      <c r="A341" s="62" t="n">
        <v>26852</v>
      </c>
      <c r="B341" t="n">
        <v>1605000</v>
      </c>
      <c r="C341" t="n">
        <v>248000</v>
      </c>
    </row>
    <row r="342">
      <c r="A342" s="62" t="n">
        <v>26859</v>
      </c>
      <c r="B342" t="n">
        <v>1605000</v>
      </c>
      <c r="C342" t="n">
        <v>232000</v>
      </c>
    </row>
    <row r="343">
      <c r="A343" s="62" t="n">
        <v>26866</v>
      </c>
      <c r="B343" t="n">
        <v>1594000</v>
      </c>
      <c r="C343" t="n">
        <v>241000</v>
      </c>
    </row>
    <row r="344">
      <c r="A344" s="62" t="n">
        <v>26873</v>
      </c>
      <c r="B344" t="n">
        <v>1603000</v>
      </c>
      <c r="C344" t="n">
        <v>250000</v>
      </c>
    </row>
    <row r="345">
      <c r="A345" s="62" t="n">
        <v>26880</v>
      </c>
      <c r="B345" t="n">
        <v>1633000</v>
      </c>
      <c r="C345" t="n">
        <v>256000</v>
      </c>
    </row>
    <row r="346">
      <c r="A346" s="62" t="n">
        <v>26887</v>
      </c>
      <c r="B346" t="n">
        <v>1679000</v>
      </c>
      <c r="C346" t="n">
        <v>265000</v>
      </c>
    </row>
    <row r="347">
      <c r="A347" s="62" t="n">
        <v>26894</v>
      </c>
      <c r="B347" t="n">
        <v>1672000</v>
      </c>
      <c r="C347" t="n">
        <v>258000</v>
      </c>
    </row>
    <row r="348">
      <c r="A348" s="62" t="n">
        <v>26901</v>
      </c>
      <c r="B348" t="n">
        <v>1675000</v>
      </c>
      <c r="C348" t="n">
        <v>254000</v>
      </c>
    </row>
    <row r="349">
      <c r="A349" s="62" t="n">
        <v>26908</v>
      </c>
      <c r="B349" t="n">
        <v>1681000</v>
      </c>
      <c r="C349" t="n">
        <v>242000</v>
      </c>
    </row>
    <row r="350">
      <c r="A350" s="62" t="n">
        <v>26915</v>
      </c>
      <c r="B350" t="n">
        <v>1688000</v>
      </c>
      <c r="C350" t="n">
        <v>252000</v>
      </c>
    </row>
    <row r="351">
      <c r="A351" s="62" t="n">
        <v>26922</v>
      </c>
      <c r="B351" t="n">
        <v>1666000</v>
      </c>
      <c r="C351" t="n">
        <v>245000</v>
      </c>
    </row>
    <row r="352">
      <c r="A352" s="62" t="n">
        <v>26929</v>
      </c>
      <c r="B352" t="n">
        <v>1658000</v>
      </c>
      <c r="C352" t="n">
        <v>246000</v>
      </c>
    </row>
    <row r="353">
      <c r="A353" s="62" t="n">
        <v>26936</v>
      </c>
      <c r="B353" t="n">
        <v>1658000</v>
      </c>
      <c r="C353" t="n">
        <v>249000</v>
      </c>
    </row>
    <row r="354">
      <c r="A354" s="62" t="n">
        <v>26943</v>
      </c>
      <c r="B354" t="n">
        <v>1657000</v>
      </c>
      <c r="C354" t="n">
        <v>236000</v>
      </c>
    </row>
    <row r="355">
      <c r="A355" s="62" t="n">
        <v>26950</v>
      </c>
      <c r="B355" t="n">
        <v>1679000</v>
      </c>
      <c r="C355" t="n">
        <v>246000</v>
      </c>
    </row>
    <row r="356">
      <c r="A356" s="62" t="n">
        <v>26957</v>
      </c>
      <c r="B356" t="n">
        <v>1646000</v>
      </c>
      <c r="C356" t="n">
        <v>249000</v>
      </c>
    </row>
    <row r="357">
      <c r="A357" s="62" t="n">
        <v>26964</v>
      </c>
      <c r="B357" t="n">
        <v>1675000</v>
      </c>
      <c r="C357" t="n">
        <v>235000</v>
      </c>
    </row>
    <row r="358">
      <c r="A358" s="62" t="n">
        <v>26971</v>
      </c>
      <c r="B358" t="n">
        <v>1669000</v>
      </c>
      <c r="C358" t="n">
        <v>246000</v>
      </c>
    </row>
    <row r="359">
      <c r="A359" s="62" t="n">
        <v>26978</v>
      </c>
      <c r="B359" t="n">
        <v>1702000</v>
      </c>
      <c r="C359" t="n">
        <v>282000</v>
      </c>
    </row>
    <row r="360">
      <c r="A360" s="62" t="n">
        <v>26985</v>
      </c>
      <c r="B360" t="n">
        <v>1698000</v>
      </c>
      <c r="C360" t="n">
        <v>254000</v>
      </c>
    </row>
    <row r="361">
      <c r="A361" s="62" t="n">
        <v>26992</v>
      </c>
      <c r="B361" t="n">
        <v>1755000</v>
      </c>
      <c r="C361" t="n">
        <v>233000</v>
      </c>
    </row>
    <row r="362">
      <c r="A362" s="62" t="n">
        <v>26999</v>
      </c>
      <c r="B362" t="n">
        <v>1692000</v>
      </c>
      <c r="C362" t="n">
        <v>256000</v>
      </c>
    </row>
    <row r="363">
      <c r="A363" s="62" t="n">
        <v>27006</v>
      </c>
      <c r="B363" t="n">
        <v>1717000</v>
      </c>
      <c r="C363" t="n">
        <v>266000</v>
      </c>
    </row>
    <row r="364">
      <c r="A364" s="62" t="n">
        <v>27013</v>
      </c>
      <c r="B364" t="n">
        <v>1779000</v>
      </c>
      <c r="C364" t="n">
        <v>272000</v>
      </c>
    </row>
    <row r="365">
      <c r="A365" s="62" t="n">
        <v>27020</v>
      </c>
      <c r="B365" t="n">
        <v>1836000</v>
      </c>
      <c r="C365" t="n">
        <v>326000</v>
      </c>
    </row>
    <row r="366">
      <c r="A366" s="62" t="n">
        <v>27027</v>
      </c>
      <c r="B366" t="n">
        <v>1805000</v>
      </c>
      <c r="C366" t="n">
        <v>300000</v>
      </c>
    </row>
    <row r="367">
      <c r="A367" s="62" t="n">
        <v>27034</v>
      </c>
      <c r="B367" t="n">
        <v>1934000</v>
      </c>
      <c r="C367" t="n">
        <v>269000</v>
      </c>
    </row>
    <row r="368">
      <c r="A368" s="62" t="n">
        <v>27041</v>
      </c>
      <c r="B368" t="n">
        <v>1949000</v>
      </c>
      <c r="C368" t="n">
        <v>340000</v>
      </c>
    </row>
    <row r="369">
      <c r="A369" s="62" t="n">
        <v>27048</v>
      </c>
      <c r="B369" t="n">
        <v>1995000</v>
      </c>
      <c r="C369" t="n">
        <v>321000</v>
      </c>
    </row>
    <row r="370">
      <c r="A370" s="62" t="n">
        <v>27055</v>
      </c>
      <c r="B370" t="n">
        <v>1950000</v>
      </c>
      <c r="C370" t="n">
        <v>291000</v>
      </c>
    </row>
    <row r="371">
      <c r="A371" s="62" t="n">
        <v>27062</v>
      </c>
      <c r="B371" t="n">
        <v>1963000</v>
      </c>
      <c r="C371" t="n">
        <v>302000</v>
      </c>
    </row>
    <row r="372">
      <c r="A372" s="62" t="n">
        <v>27069</v>
      </c>
      <c r="B372" t="n">
        <v>2010000</v>
      </c>
      <c r="C372" t="n">
        <v>369000</v>
      </c>
    </row>
    <row r="373">
      <c r="A373" s="62" t="n">
        <v>27076</v>
      </c>
      <c r="B373" t="n">
        <v>2049000</v>
      </c>
      <c r="C373" t="n">
        <v>311000</v>
      </c>
    </row>
    <row r="374">
      <c r="A374" s="62" t="n">
        <v>27083</v>
      </c>
      <c r="B374" t="n">
        <v>2027000</v>
      </c>
      <c r="C374" t="n">
        <v>292000</v>
      </c>
    </row>
    <row r="375">
      <c r="A375" s="62" t="n">
        <v>27090</v>
      </c>
      <c r="B375" t="n">
        <v>2020000</v>
      </c>
      <c r="C375" t="n">
        <v>301000</v>
      </c>
    </row>
    <row r="376">
      <c r="A376" s="62" t="n">
        <v>27097</v>
      </c>
      <c r="B376" t="n">
        <v>2054000</v>
      </c>
      <c r="C376" t="n">
        <v>305000</v>
      </c>
    </row>
    <row r="377">
      <c r="A377" s="62" t="n">
        <v>27104</v>
      </c>
      <c r="B377" t="n">
        <v>2068000</v>
      </c>
      <c r="C377" t="n">
        <v>315000</v>
      </c>
    </row>
    <row r="378">
      <c r="A378" s="62" t="n">
        <v>27111</v>
      </c>
      <c r="B378" t="n">
        <v>2074000</v>
      </c>
      <c r="C378" t="n">
        <v>314000</v>
      </c>
    </row>
    <row r="379">
      <c r="A379" s="62" t="n">
        <v>27118</v>
      </c>
      <c r="B379" t="n">
        <v>2062000</v>
      </c>
      <c r="C379" t="n">
        <v>323000</v>
      </c>
    </row>
    <row r="380">
      <c r="A380" s="62" t="n">
        <v>27125</v>
      </c>
      <c r="B380" t="n">
        <v>2066000</v>
      </c>
      <c r="C380" t="n">
        <v>296000</v>
      </c>
    </row>
    <row r="381">
      <c r="A381" s="62" t="n">
        <v>27132</v>
      </c>
      <c r="B381" t="n">
        <v>2072000</v>
      </c>
      <c r="C381" t="n">
        <v>297000</v>
      </c>
    </row>
    <row r="382">
      <c r="A382" s="62" t="n">
        <v>27139</v>
      </c>
      <c r="B382" t="n">
        <v>2081000</v>
      </c>
      <c r="C382" t="n">
        <v>296000</v>
      </c>
    </row>
    <row r="383">
      <c r="A383" s="62" t="n">
        <v>27146</v>
      </c>
      <c r="B383" t="n">
        <v>2045000</v>
      </c>
      <c r="C383" t="n">
        <v>283000</v>
      </c>
    </row>
    <row r="384">
      <c r="A384" s="62" t="n">
        <v>27153</v>
      </c>
      <c r="B384" t="n">
        <v>2056000</v>
      </c>
      <c r="C384" t="n">
        <v>287000</v>
      </c>
    </row>
    <row r="385">
      <c r="A385" s="62" t="n">
        <v>27160</v>
      </c>
      <c r="B385" t="n">
        <v>2041000</v>
      </c>
      <c r="C385" t="n">
        <v>296000</v>
      </c>
    </row>
    <row r="386">
      <c r="A386" s="62" t="n">
        <v>27167</v>
      </c>
      <c r="B386" t="n">
        <v>2053000</v>
      </c>
      <c r="C386" t="n">
        <v>298000</v>
      </c>
    </row>
    <row r="387">
      <c r="A387" s="62" t="n">
        <v>27174</v>
      </c>
      <c r="B387" t="n">
        <v>2057000</v>
      </c>
      <c r="C387" t="n">
        <v>309000</v>
      </c>
    </row>
    <row r="388">
      <c r="A388" s="62" t="n">
        <v>27181</v>
      </c>
      <c r="B388" t="n">
        <v>2079000</v>
      </c>
      <c r="C388" t="n">
        <v>278000</v>
      </c>
    </row>
    <row r="389">
      <c r="A389" s="62" t="n">
        <v>27188</v>
      </c>
      <c r="B389" t="n">
        <v>2067000</v>
      </c>
      <c r="C389" t="n">
        <v>314000</v>
      </c>
    </row>
    <row r="390">
      <c r="A390" s="62" t="n">
        <v>27195</v>
      </c>
      <c r="B390" t="n">
        <v>2095000</v>
      </c>
      <c r="C390" t="n">
        <v>303000</v>
      </c>
    </row>
    <row r="391">
      <c r="A391" s="62" t="n">
        <v>27202</v>
      </c>
      <c r="B391" t="n">
        <v>2066000</v>
      </c>
      <c r="C391" t="n">
        <v>308000</v>
      </c>
    </row>
    <row r="392">
      <c r="A392" s="62" t="n">
        <v>27209</v>
      </c>
      <c r="B392" t="n">
        <v>2074000</v>
      </c>
      <c r="C392" t="n">
        <v>325000</v>
      </c>
    </row>
    <row r="393">
      <c r="A393" s="62" t="n">
        <v>27216</v>
      </c>
      <c r="B393" t="n">
        <v>2160000</v>
      </c>
      <c r="C393" t="n">
        <v>311000</v>
      </c>
    </row>
    <row r="394">
      <c r="A394" s="62" t="n">
        <v>27223</v>
      </c>
      <c r="B394" t="n">
        <v>2125000</v>
      </c>
      <c r="C394" t="n">
        <v>304000</v>
      </c>
    </row>
    <row r="395">
      <c r="A395" s="62" t="n">
        <v>27230</v>
      </c>
      <c r="B395" t="n">
        <v>2109000</v>
      </c>
      <c r="C395" t="n">
        <v>303000</v>
      </c>
    </row>
    <row r="396">
      <c r="A396" s="62" t="n">
        <v>27237</v>
      </c>
      <c r="B396" t="n">
        <v>2097000</v>
      </c>
      <c r="C396" t="n">
        <v>320000</v>
      </c>
    </row>
    <row r="397">
      <c r="A397" s="62" t="n">
        <v>27244</v>
      </c>
      <c r="B397" t="n">
        <v>2147000</v>
      </c>
      <c r="C397" t="n">
        <v>335000</v>
      </c>
    </row>
    <row r="398">
      <c r="A398" s="62" t="n">
        <v>27251</v>
      </c>
      <c r="B398" t="n">
        <v>2171000</v>
      </c>
      <c r="C398" t="n">
        <v>347000</v>
      </c>
    </row>
    <row r="399">
      <c r="A399" s="62" t="n">
        <v>27258</v>
      </c>
      <c r="B399" t="n">
        <v>2168000</v>
      </c>
      <c r="C399" t="n">
        <v>332000</v>
      </c>
    </row>
    <row r="400">
      <c r="A400" s="62" t="n">
        <v>27265</v>
      </c>
      <c r="B400" t="n">
        <v>2172000</v>
      </c>
      <c r="C400" t="n">
        <v>343000</v>
      </c>
    </row>
    <row r="401">
      <c r="A401" s="62" t="n">
        <v>27272</v>
      </c>
      <c r="B401" t="n">
        <v>2211000</v>
      </c>
      <c r="C401" t="n">
        <v>350000</v>
      </c>
    </row>
    <row r="402">
      <c r="A402" s="62" t="n">
        <v>27279</v>
      </c>
      <c r="B402" t="n">
        <v>2265000</v>
      </c>
      <c r="C402" t="n">
        <v>350000</v>
      </c>
    </row>
    <row r="403">
      <c r="A403" s="62" t="n">
        <v>27286</v>
      </c>
      <c r="B403" t="n">
        <v>2274000</v>
      </c>
      <c r="C403" t="n">
        <v>357000</v>
      </c>
    </row>
    <row r="404">
      <c r="A404" s="62" t="n">
        <v>27293</v>
      </c>
      <c r="B404" t="n">
        <v>2273000</v>
      </c>
      <c r="C404" t="n">
        <v>370000</v>
      </c>
    </row>
    <row r="405">
      <c r="A405" s="62" t="n">
        <v>27300</v>
      </c>
      <c r="B405" t="n">
        <v>2306000</v>
      </c>
      <c r="C405" t="n">
        <v>366000</v>
      </c>
    </row>
    <row r="406">
      <c r="A406" s="62" t="n">
        <v>27307</v>
      </c>
      <c r="B406" t="n">
        <v>2360000</v>
      </c>
      <c r="C406" t="n">
        <v>371000</v>
      </c>
    </row>
    <row r="407">
      <c r="A407" s="62" t="n">
        <v>27314</v>
      </c>
      <c r="B407" t="n">
        <v>2396000</v>
      </c>
      <c r="C407" t="n">
        <v>413000</v>
      </c>
    </row>
    <row r="408">
      <c r="A408" s="62" t="n">
        <v>27321</v>
      </c>
      <c r="B408" t="n">
        <v>2519000</v>
      </c>
      <c r="C408" t="n">
        <v>389000</v>
      </c>
    </row>
    <row r="409">
      <c r="A409" s="62" t="n">
        <v>27328</v>
      </c>
      <c r="B409" t="n">
        <v>2520000</v>
      </c>
      <c r="C409" t="n">
        <v>414000</v>
      </c>
    </row>
    <row r="410">
      <c r="A410" s="62" t="n">
        <v>27335</v>
      </c>
      <c r="B410" t="n">
        <v>2623000</v>
      </c>
      <c r="C410" t="n">
        <v>406000</v>
      </c>
    </row>
    <row r="411">
      <c r="A411" s="62" t="n">
        <v>27342</v>
      </c>
      <c r="B411" t="n">
        <v>2699000</v>
      </c>
      <c r="C411" t="n">
        <v>441000</v>
      </c>
    </row>
    <row r="412">
      <c r="A412" s="62" t="n">
        <v>27349</v>
      </c>
      <c r="B412" t="n">
        <v>2862000</v>
      </c>
      <c r="C412" t="n">
        <v>449000</v>
      </c>
    </row>
    <row r="413">
      <c r="A413" s="62" t="n">
        <v>27356</v>
      </c>
      <c r="B413" t="n">
        <v>2748000</v>
      </c>
      <c r="C413" t="n">
        <v>518000</v>
      </c>
    </row>
    <row r="414">
      <c r="A414" s="62" t="n">
        <v>27363</v>
      </c>
      <c r="B414" t="n">
        <v>3086000</v>
      </c>
      <c r="C414" t="n">
        <v>474000</v>
      </c>
    </row>
    <row r="415">
      <c r="A415" s="62" t="n">
        <v>27370</v>
      </c>
      <c r="B415" t="n">
        <v>3178000</v>
      </c>
      <c r="C415" t="n">
        <v>528000</v>
      </c>
    </row>
    <row r="416">
      <c r="A416" s="62" t="n">
        <v>27377</v>
      </c>
      <c r="B416" t="n">
        <v>3291000</v>
      </c>
      <c r="C416" t="n">
        <v>510000</v>
      </c>
    </row>
    <row r="417">
      <c r="A417" s="62" t="n">
        <v>27384</v>
      </c>
      <c r="B417" t="n">
        <v>3300000</v>
      </c>
      <c r="C417" t="n">
        <v>521000</v>
      </c>
    </row>
    <row r="418">
      <c r="A418" s="62" t="n">
        <v>27391</v>
      </c>
      <c r="B418" t="n">
        <v>3396000</v>
      </c>
      <c r="C418" t="n">
        <v>537000</v>
      </c>
    </row>
    <row r="419">
      <c r="A419" s="62" t="n">
        <v>27398</v>
      </c>
      <c r="B419" t="n">
        <v>3554000</v>
      </c>
      <c r="C419" t="n">
        <v>456000</v>
      </c>
    </row>
    <row r="420">
      <c r="A420" s="62" t="n">
        <v>27405</v>
      </c>
      <c r="B420" t="n">
        <v>3557000</v>
      </c>
      <c r="C420" t="n">
        <v>554000</v>
      </c>
    </row>
    <row r="421">
      <c r="A421" s="62" t="n">
        <v>27412</v>
      </c>
      <c r="B421" t="n">
        <v>3658000</v>
      </c>
      <c r="C421" t="n">
        <v>575000</v>
      </c>
    </row>
    <row r="422">
      <c r="A422" s="62" t="n">
        <v>27419</v>
      </c>
      <c r="B422" t="n">
        <v>3708000</v>
      </c>
      <c r="C422" t="n">
        <v>555000</v>
      </c>
    </row>
    <row r="423">
      <c r="A423" s="62" t="n">
        <v>27426</v>
      </c>
      <c r="B423" t="n">
        <v>3738000</v>
      </c>
      <c r="C423" t="n">
        <v>559000</v>
      </c>
    </row>
    <row r="424">
      <c r="A424" s="62" t="n">
        <v>27433</v>
      </c>
      <c r="B424" t="n">
        <v>3856000</v>
      </c>
      <c r="C424" t="n">
        <v>545000</v>
      </c>
    </row>
    <row r="425">
      <c r="A425" s="62" t="n">
        <v>27440</v>
      </c>
      <c r="B425" t="n">
        <v>3863000</v>
      </c>
      <c r="C425" t="n">
        <v>530000</v>
      </c>
    </row>
    <row r="426">
      <c r="A426" s="62" t="n">
        <v>27447</v>
      </c>
      <c r="B426" t="n">
        <v>3969000</v>
      </c>
      <c r="C426" t="n">
        <v>544000</v>
      </c>
    </row>
    <row r="427">
      <c r="A427" s="62" t="n">
        <v>27454</v>
      </c>
      <c r="B427" t="n">
        <v>4023000</v>
      </c>
      <c r="C427" t="n">
        <v>546000</v>
      </c>
    </row>
    <row r="428">
      <c r="A428" s="62" t="n">
        <v>27461</v>
      </c>
      <c r="B428" t="n">
        <v>4147000</v>
      </c>
      <c r="C428" t="n">
        <v>551000</v>
      </c>
    </row>
    <row r="429">
      <c r="A429" s="62" t="n">
        <v>27468</v>
      </c>
      <c r="B429" t="n">
        <v>4195000</v>
      </c>
      <c r="C429" t="n">
        <v>531000</v>
      </c>
    </row>
    <row r="430">
      <c r="A430" s="62" t="n">
        <v>27475</v>
      </c>
      <c r="B430" t="n">
        <v>4201000</v>
      </c>
      <c r="C430" t="n">
        <v>550000</v>
      </c>
    </row>
    <row r="431">
      <c r="A431" s="62" t="n">
        <v>27482</v>
      </c>
      <c r="B431" t="n">
        <v>4310000</v>
      </c>
      <c r="C431" t="n">
        <v>555000</v>
      </c>
    </row>
    <row r="432">
      <c r="A432" s="62" t="n">
        <v>27489</v>
      </c>
      <c r="B432" t="n">
        <v>4428000</v>
      </c>
      <c r="C432" t="n">
        <v>537000</v>
      </c>
    </row>
    <row r="433">
      <c r="A433" s="62" t="n">
        <v>27496</v>
      </c>
      <c r="B433" t="n">
        <v>4449000</v>
      </c>
      <c r="C433" t="n">
        <v>520000</v>
      </c>
    </row>
    <row r="434">
      <c r="A434" s="62" t="n">
        <v>27503</v>
      </c>
      <c r="B434" t="n">
        <v>4497000</v>
      </c>
      <c r="C434" t="n">
        <v>531000</v>
      </c>
    </row>
    <row r="435">
      <c r="A435" s="62" t="n">
        <v>27510</v>
      </c>
      <c r="B435" t="n">
        <v>4520000</v>
      </c>
      <c r="C435" t="n">
        <v>513000</v>
      </c>
    </row>
    <row r="436">
      <c r="A436" s="62" t="n">
        <v>27517</v>
      </c>
      <c r="B436" t="n">
        <v>4604000</v>
      </c>
      <c r="C436" t="n">
        <v>505000</v>
      </c>
    </row>
    <row r="437">
      <c r="A437" s="62" t="n">
        <v>27524</v>
      </c>
      <c r="B437" t="n">
        <v>4597000</v>
      </c>
      <c r="C437" t="n">
        <v>507000</v>
      </c>
    </row>
    <row r="438">
      <c r="A438" s="62" t="n">
        <v>27531</v>
      </c>
      <c r="B438" t="n">
        <v>4592000</v>
      </c>
      <c r="C438" t="n">
        <v>514000</v>
      </c>
    </row>
    <row r="439">
      <c r="A439" s="62" t="n">
        <v>27538</v>
      </c>
      <c r="B439" t="n">
        <v>4461000</v>
      </c>
      <c r="C439" t="n">
        <v>493000</v>
      </c>
    </row>
    <row r="440">
      <c r="A440" s="62" t="n">
        <v>27545</v>
      </c>
      <c r="B440" t="n">
        <v>4637000</v>
      </c>
      <c r="C440" t="n">
        <v>475000</v>
      </c>
    </row>
    <row r="441">
      <c r="A441" s="62" t="n">
        <v>27552</v>
      </c>
      <c r="B441" t="n">
        <v>4484000</v>
      </c>
      <c r="C441" t="n">
        <v>529000</v>
      </c>
    </row>
    <row r="442">
      <c r="A442" s="62" t="n">
        <v>27559</v>
      </c>
      <c r="B442" t="n">
        <v>4529000</v>
      </c>
      <c r="C442" t="n">
        <v>497000</v>
      </c>
    </row>
    <row r="443">
      <c r="A443" s="62" t="n">
        <v>27566</v>
      </c>
      <c r="B443" t="n">
        <v>4406000</v>
      </c>
      <c r="C443" t="n">
        <v>497000</v>
      </c>
    </row>
    <row r="444">
      <c r="A444" s="62" t="n">
        <v>27573</v>
      </c>
      <c r="B444" t="n">
        <v>4090000</v>
      </c>
      <c r="C444" t="n">
        <v>459000</v>
      </c>
    </row>
    <row r="445">
      <c r="A445" s="62" t="n">
        <v>27580</v>
      </c>
      <c r="B445" t="n">
        <v>4239000</v>
      </c>
      <c r="C445" t="n">
        <v>423000</v>
      </c>
    </row>
    <row r="446">
      <c r="A446" s="62" t="n">
        <v>27587</v>
      </c>
      <c r="B446" t="n">
        <v>4057000</v>
      </c>
      <c r="C446" t="n">
        <v>446000</v>
      </c>
    </row>
    <row r="447">
      <c r="A447" s="62" t="n">
        <v>27594</v>
      </c>
      <c r="B447" t="n">
        <v>4208000</v>
      </c>
      <c r="C447" t="n">
        <v>445000</v>
      </c>
    </row>
    <row r="448">
      <c r="A448" s="62" t="n">
        <v>27601</v>
      </c>
      <c r="B448" t="n">
        <v>4075000</v>
      </c>
      <c r="C448" t="n">
        <v>454000</v>
      </c>
    </row>
    <row r="449">
      <c r="A449" s="62" t="n">
        <v>27608</v>
      </c>
      <c r="B449" t="n">
        <v>4015000</v>
      </c>
      <c r="C449" t="n">
        <v>454000</v>
      </c>
    </row>
    <row r="450">
      <c r="A450" s="62" t="n">
        <v>27615</v>
      </c>
      <c r="B450" t="n">
        <v>4028000</v>
      </c>
      <c r="C450" t="n">
        <v>459000</v>
      </c>
    </row>
    <row r="451">
      <c r="A451" s="62" t="n">
        <v>27622</v>
      </c>
      <c r="B451" t="n">
        <v>3934000</v>
      </c>
      <c r="C451" t="n">
        <v>444000</v>
      </c>
    </row>
    <row r="452">
      <c r="A452" s="62" t="n">
        <v>27629</v>
      </c>
      <c r="B452" t="n">
        <v>3940000</v>
      </c>
      <c r="C452" t="n">
        <v>457000</v>
      </c>
    </row>
    <row r="453">
      <c r="A453" s="62" t="n">
        <v>27636</v>
      </c>
      <c r="B453" t="n">
        <v>3854000</v>
      </c>
      <c r="C453" t="n">
        <v>446000</v>
      </c>
    </row>
    <row r="454">
      <c r="A454" s="62" t="n">
        <v>27643</v>
      </c>
      <c r="B454" t="n">
        <v>3969000</v>
      </c>
      <c r="C454" t="n">
        <v>447000</v>
      </c>
    </row>
    <row r="455">
      <c r="A455" s="62" t="n">
        <v>27650</v>
      </c>
      <c r="B455" t="n">
        <v>3880000</v>
      </c>
      <c r="C455" t="n">
        <v>456000</v>
      </c>
    </row>
    <row r="456">
      <c r="A456" s="62" t="n">
        <v>27657</v>
      </c>
      <c r="B456" t="n">
        <v>3880000</v>
      </c>
      <c r="C456" t="n">
        <v>433000</v>
      </c>
    </row>
    <row r="457">
      <c r="A457" s="62" t="n">
        <v>27664</v>
      </c>
      <c r="B457" t="n">
        <v>3851000</v>
      </c>
      <c r="C457" t="n">
        <v>445000</v>
      </c>
    </row>
    <row r="458">
      <c r="A458" s="62" t="n">
        <v>27671</v>
      </c>
      <c r="B458" t="n">
        <v>3868000</v>
      </c>
      <c r="C458" t="n">
        <v>426000</v>
      </c>
    </row>
    <row r="459">
      <c r="A459" s="62" t="n">
        <v>27678</v>
      </c>
      <c r="B459" t="n">
        <v>3675000</v>
      </c>
      <c r="C459" t="n">
        <v>429000</v>
      </c>
    </row>
    <row r="460">
      <c r="A460" s="62" t="n">
        <v>27685</v>
      </c>
      <c r="B460" t="n">
        <v>3720000</v>
      </c>
      <c r="C460" t="n">
        <v>404000</v>
      </c>
    </row>
    <row r="461">
      <c r="A461" s="62" t="n">
        <v>27692</v>
      </c>
      <c r="B461" t="n">
        <v>3662000</v>
      </c>
      <c r="C461" t="n">
        <v>426000</v>
      </c>
    </row>
    <row r="462">
      <c r="A462" s="62" t="n">
        <v>27699</v>
      </c>
      <c r="B462" t="n">
        <v>3607000</v>
      </c>
      <c r="C462" t="n">
        <v>414000</v>
      </c>
    </row>
    <row r="463">
      <c r="A463" s="62" t="n">
        <v>27706</v>
      </c>
      <c r="B463" t="n">
        <v>3546000</v>
      </c>
      <c r="C463" t="n">
        <v>415000</v>
      </c>
    </row>
    <row r="464">
      <c r="A464" s="62" t="n">
        <v>27713</v>
      </c>
      <c r="B464" t="n">
        <v>3551000</v>
      </c>
      <c r="C464" t="n">
        <v>386000</v>
      </c>
    </row>
    <row r="465">
      <c r="A465" s="62" t="n">
        <v>27720</v>
      </c>
      <c r="B465" t="n">
        <v>3377000</v>
      </c>
      <c r="C465" t="n">
        <v>401000</v>
      </c>
    </row>
    <row r="466">
      <c r="A466" s="62" t="n">
        <v>27727</v>
      </c>
      <c r="B466" t="n">
        <v>3391000</v>
      </c>
      <c r="C466" t="n">
        <v>387000</v>
      </c>
    </row>
    <row r="467">
      <c r="A467" s="62" t="n">
        <v>27734</v>
      </c>
      <c r="B467" t="n">
        <v>3331000</v>
      </c>
      <c r="C467" t="n">
        <v>373000</v>
      </c>
    </row>
    <row r="468">
      <c r="A468" s="62" t="n">
        <v>27741</v>
      </c>
      <c r="B468" t="n">
        <v>3266000</v>
      </c>
      <c r="C468" t="n">
        <v>368000</v>
      </c>
    </row>
    <row r="469">
      <c r="A469" s="62" t="n">
        <v>27748</v>
      </c>
      <c r="B469" t="n">
        <v>3124000</v>
      </c>
      <c r="C469" t="n">
        <v>365000</v>
      </c>
    </row>
    <row r="470">
      <c r="A470" s="62" t="n">
        <v>27755</v>
      </c>
      <c r="B470" t="n">
        <v>3072000</v>
      </c>
      <c r="C470" t="n">
        <v>391000</v>
      </c>
    </row>
    <row r="471">
      <c r="A471" s="62" t="n">
        <v>27762</v>
      </c>
      <c r="B471" t="n">
        <v>3214000</v>
      </c>
      <c r="C471" t="n">
        <v>362000</v>
      </c>
    </row>
    <row r="472">
      <c r="A472" s="62" t="n">
        <v>27769</v>
      </c>
      <c r="B472" t="n">
        <v>3084000</v>
      </c>
      <c r="C472" t="n">
        <v>402000</v>
      </c>
    </row>
    <row r="473">
      <c r="A473" s="62" t="n">
        <v>27776</v>
      </c>
      <c r="B473" t="n">
        <v>3026000</v>
      </c>
      <c r="C473" t="n">
        <v>370000</v>
      </c>
    </row>
    <row r="474">
      <c r="A474" s="62" t="n">
        <v>27783</v>
      </c>
      <c r="B474" t="n">
        <v>2957000</v>
      </c>
      <c r="C474" t="n">
        <v>363000</v>
      </c>
    </row>
    <row r="475">
      <c r="A475" s="62" t="n">
        <v>27790</v>
      </c>
      <c r="B475" t="n">
        <v>2895000</v>
      </c>
      <c r="C475" t="n">
        <v>359000</v>
      </c>
    </row>
    <row r="476">
      <c r="A476" s="62" t="n">
        <v>27797</v>
      </c>
      <c r="B476" t="n">
        <v>2912000</v>
      </c>
      <c r="C476" t="n">
        <v>353000</v>
      </c>
    </row>
    <row r="477">
      <c r="A477" s="62" t="n">
        <v>27804</v>
      </c>
      <c r="B477" t="n">
        <v>2867000</v>
      </c>
      <c r="C477" t="n">
        <v>344000</v>
      </c>
    </row>
    <row r="478">
      <c r="A478" s="62" t="n">
        <v>27811</v>
      </c>
      <c r="B478" t="n">
        <v>2862000</v>
      </c>
      <c r="C478" t="n">
        <v>347000</v>
      </c>
    </row>
    <row r="479">
      <c r="A479" s="62" t="n">
        <v>27818</v>
      </c>
      <c r="B479" t="n">
        <v>2822000</v>
      </c>
      <c r="C479" t="n">
        <v>349000</v>
      </c>
    </row>
    <row r="480">
      <c r="A480" s="62" t="n">
        <v>27825</v>
      </c>
      <c r="B480" t="n">
        <v>2853000</v>
      </c>
      <c r="C480" t="n">
        <v>348000</v>
      </c>
    </row>
    <row r="481">
      <c r="A481" s="62" t="n">
        <v>27832</v>
      </c>
      <c r="B481" t="n">
        <v>2837000</v>
      </c>
      <c r="C481" t="n">
        <v>360000</v>
      </c>
    </row>
    <row r="482">
      <c r="A482" s="62" t="n">
        <v>27839</v>
      </c>
      <c r="B482" t="n">
        <v>2852000</v>
      </c>
      <c r="C482" t="n">
        <v>368000</v>
      </c>
    </row>
    <row r="483">
      <c r="A483" s="62" t="n">
        <v>27846</v>
      </c>
      <c r="B483" t="n">
        <v>2830000</v>
      </c>
      <c r="C483" t="n">
        <v>366000</v>
      </c>
    </row>
    <row r="484">
      <c r="A484" s="62" t="n">
        <v>27853</v>
      </c>
      <c r="B484" t="n">
        <v>2859000</v>
      </c>
      <c r="C484" t="n">
        <v>380000</v>
      </c>
    </row>
    <row r="485">
      <c r="A485" s="62" t="n">
        <v>27860</v>
      </c>
      <c r="B485" t="n">
        <v>2840000</v>
      </c>
      <c r="C485" t="n">
        <v>373000</v>
      </c>
    </row>
    <row r="486">
      <c r="A486" s="62" t="n">
        <v>27867</v>
      </c>
      <c r="B486" t="n">
        <v>2890000</v>
      </c>
      <c r="C486" t="n">
        <v>361000</v>
      </c>
    </row>
    <row r="487">
      <c r="A487" s="62" t="n">
        <v>27874</v>
      </c>
      <c r="B487" t="n">
        <v>2900000</v>
      </c>
      <c r="C487" t="n">
        <v>367000</v>
      </c>
    </row>
    <row r="488">
      <c r="A488" s="62" t="n">
        <v>27881</v>
      </c>
      <c r="B488" t="n">
        <v>2940000</v>
      </c>
      <c r="C488" t="n">
        <v>385000</v>
      </c>
    </row>
    <row r="489">
      <c r="A489" s="62" t="n">
        <v>27888</v>
      </c>
      <c r="B489" t="n">
        <v>2941000</v>
      </c>
      <c r="C489" t="n">
        <v>395000</v>
      </c>
    </row>
    <row r="490">
      <c r="A490" s="62" t="n">
        <v>27895</v>
      </c>
      <c r="B490" t="n">
        <v>2947000</v>
      </c>
      <c r="C490" t="n">
        <v>382000</v>
      </c>
    </row>
    <row r="491">
      <c r="A491" s="62" t="n">
        <v>27902</v>
      </c>
      <c r="B491" t="n">
        <v>2961000</v>
      </c>
      <c r="C491" t="n">
        <v>394000</v>
      </c>
    </row>
    <row r="492">
      <c r="A492" s="62" t="n">
        <v>27909</v>
      </c>
      <c r="B492" t="n">
        <v>2916000</v>
      </c>
      <c r="C492" t="n">
        <v>402000</v>
      </c>
    </row>
    <row r="493">
      <c r="A493" s="62" t="n">
        <v>27916</v>
      </c>
      <c r="B493" t="n">
        <v>2970000</v>
      </c>
      <c r="C493" t="n">
        <v>382000</v>
      </c>
    </row>
    <row r="494">
      <c r="A494" s="62" t="n">
        <v>27923</v>
      </c>
      <c r="B494" t="n">
        <v>2950000</v>
      </c>
      <c r="C494" t="n">
        <v>407000</v>
      </c>
    </row>
    <row r="495">
      <c r="A495" s="62" t="n">
        <v>27930</v>
      </c>
      <c r="B495" t="n">
        <v>3003000</v>
      </c>
      <c r="C495" t="n">
        <v>399000</v>
      </c>
    </row>
    <row r="496">
      <c r="A496" s="62" t="n">
        <v>27937</v>
      </c>
      <c r="B496" t="n">
        <v>3035000</v>
      </c>
      <c r="C496" t="n">
        <v>387000</v>
      </c>
    </row>
    <row r="497">
      <c r="A497" s="62" t="n">
        <v>27944</v>
      </c>
      <c r="B497" t="n">
        <v>2958000</v>
      </c>
      <c r="C497" t="n">
        <v>394000</v>
      </c>
    </row>
    <row r="498">
      <c r="A498" s="62" t="n">
        <v>27951</v>
      </c>
      <c r="B498" t="n">
        <v>2995000</v>
      </c>
      <c r="C498" t="n">
        <v>372000</v>
      </c>
    </row>
    <row r="499">
      <c r="A499" s="62" t="n">
        <v>27958</v>
      </c>
      <c r="B499" t="n">
        <v>3011000</v>
      </c>
      <c r="C499" t="n">
        <v>406000</v>
      </c>
    </row>
    <row r="500">
      <c r="A500" s="62" t="n">
        <v>27965</v>
      </c>
      <c r="B500" t="n">
        <v>3019000</v>
      </c>
      <c r="C500" t="n">
        <v>394000</v>
      </c>
    </row>
    <row r="501">
      <c r="A501" s="62" t="n">
        <v>27972</v>
      </c>
      <c r="B501" t="n">
        <v>2996000</v>
      </c>
      <c r="C501" t="n">
        <v>388000</v>
      </c>
    </row>
    <row r="502">
      <c r="A502" s="62" t="n">
        <v>27979</v>
      </c>
      <c r="B502" t="n">
        <v>3007000</v>
      </c>
      <c r="C502" t="n">
        <v>378000</v>
      </c>
    </row>
    <row r="503">
      <c r="A503" s="62" t="n">
        <v>27986</v>
      </c>
      <c r="B503" t="n">
        <v>2990000</v>
      </c>
      <c r="C503" t="n">
        <v>382000</v>
      </c>
    </row>
    <row r="504">
      <c r="A504" s="62" t="n">
        <v>27993</v>
      </c>
      <c r="B504" t="n">
        <v>2983000</v>
      </c>
      <c r="C504" t="n">
        <v>400000</v>
      </c>
    </row>
    <row r="505">
      <c r="A505" s="62" t="n">
        <v>28000</v>
      </c>
      <c r="B505" t="n">
        <v>3081000</v>
      </c>
      <c r="C505" t="n">
        <v>394000</v>
      </c>
    </row>
    <row r="506">
      <c r="A506" s="62" t="n">
        <v>28007</v>
      </c>
      <c r="B506" t="n">
        <v>2988000</v>
      </c>
      <c r="C506" t="n">
        <v>421000</v>
      </c>
    </row>
    <row r="507">
      <c r="A507" s="62" t="n">
        <v>28014</v>
      </c>
      <c r="B507" t="n">
        <v>3092000</v>
      </c>
      <c r="C507" t="n">
        <v>383000</v>
      </c>
    </row>
    <row r="508">
      <c r="A508" s="62" t="n">
        <v>28021</v>
      </c>
      <c r="B508" t="n">
        <v>3097000</v>
      </c>
      <c r="C508" t="n">
        <v>403000</v>
      </c>
    </row>
    <row r="509">
      <c r="A509" s="62" t="n">
        <v>28028</v>
      </c>
      <c r="B509" t="n">
        <v>3103000</v>
      </c>
      <c r="C509" t="n">
        <v>423000</v>
      </c>
    </row>
    <row r="510">
      <c r="A510" s="62" t="n">
        <v>28035</v>
      </c>
      <c r="B510" t="n">
        <v>3104000</v>
      </c>
      <c r="C510" t="n">
        <v>408000</v>
      </c>
    </row>
    <row r="511">
      <c r="A511" s="62" t="n">
        <v>28042</v>
      </c>
      <c r="B511" t="n">
        <v>3119000</v>
      </c>
      <c r="C511" t="n">
        <v>411000</v>
      </c>
    </row>
    <row r="512">
      <c r="A512" s="62" t="n">
        <v>28049</v>
      </c>
      <c r="B512" t="n">
        <v>3074000</v>
      </c>
      <c r="C512" t="n">
        <v>403000</v>
      </c>
    </row>
    <row r="513">
      <c r="A513" s="62" t="n">
        <v>28056</v>
      </c>
      <c r="B513" t="n">
        <v>3088000</v>
      </c>
      <c r="C513" t="n">
        <v>409000</v>
      </c>
    </row>
    <row r="514">
      <c r="A514" s="62" t="n">
        <v>28063</v>
      </c>
      <c r="B514" t="n">
        <v>3080000</v>
      </c>
      <c r="C514" t="n">
        <v>414000</v>
      </c>
    </row>
    <row r="515">
      <c r="A515" s="62" t="n">
        <v>28070</v>
      </c>
      <c r="B515" t="n">
        <v>3079000</v>
      </c>
      <c r="C515" t="n">
        <v>390000</v>
      </c>
    </row>
    <row r="516">
      <c r="A516" s="62" t="n">
        <v>28077</v>
      </c>
      <c r="B516" t="n">
        <v>3064000</v>
      </c>
      <c r="C516" t="n">
        <v>383000</v>
      </c>
    </row>
    <row r="517">
      <c r="A517" s="62" t="n">
        <v>28084</v>
      </c>
      <c r="B517" t="n">
        <v>3061000</v>
      </c>
      <c r="C517" t="n">
        <v>408000</v>
      </c>
    </row>
    <row r="518">
      <c r="A518" s="62" t="n">
        <v>28091</v>
      </c>
      <c r="B518" t="n">
        <v>3019000</v>
      </c>
      <c r="C518" t="n">
        <v>377000</v>
      </c>
    </row>
    <row r="519">
      <c r="A519" s="62" t="n">
        <v>28098</v>
      </c>
      <c r="B519" t="n">
        <v>2994000</v>
      </c>
      <c r="C519" t="n">
        <v>402000</v>
      </c>
    </row>
    <row r="520">
      <c r="A520" s="62" t="n">
        <v>28105</v>
      </c>
      <c r="B520" t="n">
        <v>2978000</v>
      </c>
      <c r="C520" t="n">
        <v>395000</v>
      </c>
    </row>
    <row r="521">
      <c r="A521" s="62" t="n">
        <v>28112</v>
      </c>
      <c r="B521" t="n">
        <v>2900000</v>
      </c>
      <c r="C521" t="n">
        <v>365000</v>
      </c>
    </row>
    <row r="522">
      <c r="A522" s="62" t="n">
        <v>28119</v>
      </c>
      <c r="B522" t="n">
        <v>2822000</v>
      </c>
      <c r="C522" t="n">
        <v>333000</v>
      </c>
    </row>
    <row r="523">
      <c r="A523" s="62" t="n">
        <v>28126</v>
      </c>
      <c r="B523" t="n">
        <v>2818000</v>
      </c>
      <c r="C523" t="n">
        <v>380000</v>
      </c>
    </row>
    <row r="524">
      <c r="A524" s="62" t="n">
        <v>28133</v>
      </c>
      <c r="B524" t="n">
        <v>2764000</v>
      </c>
      <c r="C524" t="n">
        <v>416000</v>
      </c>
    </row>
    <row r="525">
      <c r="A525" s="62" t="n">
        <v>28140</v>
      </c>
      <c r="B525" t="n">
        <v>2841000</v>
      </c>
      <c r="C525" t="n">
        <v>368000</v>
      </c>
    </row>
    <row r="526">
      <c r="A526" s="62" t="n">
        <v>28147</v>
      </c>
      <c r="B526" t="n">
        <v>2834000</v>
      </c>
      <c r="C526" t="n">
        <v>423000</v>
      </c>
    </row>
    <row r="527">
      <c r="A527" s="62" t="n">
        <v>28154</v>
      </c>
      <c r="B527" t="n">
        <v>2879000</v>
      </c>
      <c r="C527" t="n">
        <v>422000</v>
      </c>
    </row>
    <row r="528">
      <c r="A528" s="62" t="n">
        <v>28161</v>
      </c>
      <c r="B528" t="n">
        <v>2956000</v>
      </c>
      <c r="C528" t="n">
        <v>565000</v>
      </c>
    </row>
    <row r="529">
      <c r="A529" s="62" t="n">
        <v>28168</v>
      </c>
      <c r="B529" t="n">
        <v>2904000</v>
      </c>
      <c r="C529" t="n">
        <v>477000</v>
      </c>
    </row>
    <row r="530">
      <c r="A530" s="62" t="n">
        <v>28175</v>
      </c>
      <c r="B530" t="n">
        <v>2772000</v>
      </c>
      <c r="C530" t="n">
        <v>399000</v>
      </c>
    </row>
    <row r="531">
      <c r="A531" s="62" t="n">
        <v>28182</v>
      </c>
      <c r="B531" t="n">
        <v>2764000</v>
      </c>
      <c r="C531" t="n">
        <v>362000</v>
      </c>
    </row>
    <row r="532">
      <c r="A532" s="62" t="n">
        <v>28189</v>
      </c>
      <c r="B532" t="n">
        <v>2717000</v>
      </c>
      <c r="C532" t="n">
        <v>361000</v>
      </c>
    </row>
    <row r="533">
      <c r="A533" s="62" t="n">
        <v>28196</v>
      </c>
      <c r="B533" t="n">
        <v>2728000</v>
      </c>
      <c r="C533" t="n">
        <v>355000</v>
      </c>
    </row>
    <row r="534">
      <c r="A534" s="62" t="n">
        <v>28203</v>
      </c>
      <c r="B534" t="n">
        <v>2695000</v>
      </c>
      <c r="C534" t="n">
        <v>369000</v>
      </c>
    </row>
    <row r="535">
      <c r="A535" s="62" t="n">
        <v>28210</v>
      </c>
      <c r="B535" t="n">
        <v>2671000</v>
      </c>
      <c r="C535" t="n">
        <v>356000</v>
      </c>
    </row>
    <row r="536">
      <c r="A536" s="62" t="n">
        <v>28217</v>
      </c>
      <c r="B536" t="n">
        <v>2655000</v>
      </c>
      <c r="C536" t="n">
        <v>350000</v>
      </c>
    </row>
    <row r="537">
      <c r="A537" s="62" t="n">
        <v>28224</v>
      </c>
      <c r="B537" t="n">
        <v>2717000</v>
      </c>
      <c r="C537" t="n">
        <v>376000</v>
      </c>
    </row>
    <row r="538">
      <c r="A538" s="62" t="n">
        <v>28231</v>
      </c>
      <c r="B538" t="n">
        <v>2680000</v>
      </c>
      <c r="C538" t="n">
        <v>361000</v>
      </c>
    </row>
    <row r="539">
      <c r="A539" s="62" t="n">
        <v>28238</v>
      </c>
      <c r="B539" t="n">
        <v>2660000</v>
      </c>
      <c r="C539" t="n">
        <v>375000</v>
      </c>
    </row>
    <row r="540">
      <c r="A540" s="62" t="n">
        <v>28245</v>
      </c>
      <c r="B540" t="n">
        <v>2644000</v>
      </c>
      <c r="C540" t="n">
        <v>375000</v>
      </c>
    </row>
    <row r="541">
      <c r="A541" s="62" t="n">
        <v>28252</v>
      </c>
      <c r="B541" t="n">
        <v>2618000</v>
      </c>
      <c r="C541" t="n">
        <v>384000</v>
      </c>
    </row>
    <row r="542">
      <c r="A542" s="62" t="n">
        <v>28259</v>
      </c>
      <c r="B542" t="n">
        <v>2635000</v>
      </c>
      <c r="C542" t="n">
        <v>381000</v>
      </c>
    </row>
    <row r="543">
      <c r="A543" s="62" t="n">
        <v>28266</v>
      </c>
      <c r="B543" t="n">
        <v>2647000</v>
      </c>
      <c r="C543" t="n">
        <v>375000</v>
      </c>
    </row>
    <row r="544">
      <c r="A544" s="62" t="n">
        <v>28273</v>
      </c>
      <c r="B544" t="n">
        <v>2625000</v>
      </c>
      <c r="C544" t="n">
        <v>381000</v>
      </c>
    </row>
    <row r="545">
      <c r="A545" s="62" t="n">
        <v>28280</v>
      </c>
      <c r="B545" t="n">
        <v>2650000</v>
      </c>
      <c r="C545" t="n">
        <v>363000</v>
      </c>
    </row>
    <row r="546">
      <c r="A546" s="62" t="n">
        <v>28287</v>
      </c>
      <c r="B546" t="n">
        <v>2589000</v>
      </c>
      <c r="C546" t="n">
        <v>358000</v>
      </c>
    </row>
    <row r="547">
      <c r="A547" s="62" t="n">
        <v>28294</v>
      </c>
      <c r="B547" t="n">
        <v>2622000</v>
      </c>
      <c r="C547" t="n">
        <v>359000</v>
      </c>
    </row>
    <row r="548">
      <c r="A548" s="62" t="n">
        <v>28301</v>
      </c>
      <c r="B548" t="n">
        <v>2616000</v>
      </c>
      <c r="C548" t="n">
        <v>365000</v>
      </c>
    </row>
    <row r="549">
      <c r="A549" s="62" t="n">
        <v>28308</v>
      </c>
      <c r="B549" t="n">
        <v>2572000</v>
      </c>
      <c r="C549" t="n">
        <v>350000</v>
      </c>
    </row>
    <row r="550">
      <c r="A550" s="62" t="n">
        <v>28315</v>
      </c>
      <c r="B550" t="n">
        <v>2563000</v>
      </c>
      <c r="C550" t="n">
        <v>361000</v>
      </c>
    </row>
    <row r="551">
      <c r="A551" s="62" t="n">
        <v>28322</v>
      </c>
      <c r="B551" t="n">
        <v>2591000</v>
      </c>
      <c r="C551" t="n">
        <v>366000</v>
      </c>
    </row>
    <row r="552">
      <c r="A552" s="62" t="n">
        <v>28329</v>
      </c>
      <c r="B552" t="n">
        <v>2584000</v>
      </c>
      <c r="C552" t="n">
        <v>365000</v>
      </c>
    </row>
    <row r="553">
      <c r="A553" s="62" t="n">
        <v>28336</v>
      </c>
      <c r="B553" t="n">
        <v>2605000</v>
      </c>
      <c r="C553" t="n">
        <v>365000</v>
      </c>
    </row>
    <row r="554">
      <c r="A554" s="62" t="n">
        <v>28343</v>
      </c>
      <c r="B554" t="n">
        <v>2605000</v>
      </c>
      <c r="C554" t="n">
        <v>378000</v>
      </c>
    </row>
    <row r="555">
      <c r="A555" s="62" t="n">
        <v>28350</v>
      </c>
      <c r="B555" t="n">
        <v>2618000</v>
      </c>
      <c r="C555" t="n">
        <v>359000</v>
      </c>
    </row>
    <row r="556">
      <c r="A556" s="62" t="n">
        <v>28357</v>
      </c>
      <c r="B556" t="n">
        <v>2612000</v>
      </c>
      <c r="C556" t="n">
        <v>367000</v>
      </c>
    </row>
    <row r="557">
      <c r="A557" s="62" t="n">
        <v>28364</v>
      </c>
      <c r="B557" t="n">
        <v>2607000</v>
      </c>
      <c r="C557" t="n">
        <v>365000</v>
      </c>
    </row>
    <row r="558">
      <c r="A558" s="62" t="n">
        <v>28371</v>
      </c>
      <c r="B558" t="n">
        <v>2571000</v>
      </c>
      <c r="C558" t="n">
        <v>374000</v>
      </c>
    </row>
    <row r="559">
      <c r="A559" s="62" t="n">
        <v>28378</v>
      </c>
      <c r="B559" t="n">
        <v>2601000</v>
      </c>
      <c r="C559" t="n">
        <v>359000</v>
      </c>
    </row>
    <row r="560">
      <c r="A560" s="62" t="n">
        <v>28385</v>
      </c>
      <c r="B560" t="n">
        <v>2605000</v>
      </c>
      <c r="C560" t="n">
        <v>362000</v>
      </c>
    </row>
    <row r="561">
      <c r="A561" s="62" t="n">
        <v>28392</v>
      </c>
      <c r="B561" t="n">
        <v>2581000</v>
      </c>
      <c r="C561" t="n">
        <v>380000</v>
      </c>
    </row>
    <row r="562">
      <c r="A562" s="62" t="n">
        <v>28399</v>
      </c>
      <c r="B562" t="n">
        <v>2583000</v>
      </c>
      <c r="C562" t="n">
        <v>348000</v>
      </c>
    </row>
    <row r="563">
      <c r="A563" s="62" t="n">
        <v>28406</v>
      </c>
      <c r="B563" t="n">
        <v>2575000</v>
      </c>
      <c r="C563" t="n">
        <v>365000</v>
      </c>
    </row>
    <row r="564">
      <c r="A564" s="62" t="n">
        <v>28413</v>
      </c>
      <c r="B564" t="n">
        <v>2575000</v>
      </c>
      <c r="C564" t="n">
        <v>358000</v>
      </c>
    </row>
    <row r="565">
      <c r="A565" s="62" t="n">
        <v>28420</v>
      </c>
      <c r="B565" t="n">
        <v>2561000</v>
      </c>
      <c r="C565" t="n">
        <v>375000</v>
      </c>
    </row>
    <row r="566">
      <c r="A566" s="62" t="n">
        <v>28427</v>
      </c>
      <c r="B566" t="n">
        <v>2587000</v>
      </c>
      <c r="C566" t="n">
        <v>349000</v>
      </c>
    </row>
    <row r="567">
      <c r="A567" s="62" t="n">
        <v>28434</v>
      </c>
      <c r="B567" t="n">
        <v>2535000</v>
      </c>
      <c r="C567" t="n">
        <v>366000</v>
      </c>
    </row>
    <row r="568">
      <c r="A568" s="62" t="n">
        <v>28441</v>
      </c>
      <c r="B568" t="n">
        <v>2592000</v>
      </c>
      <c r="C568" t="n">
        <v>334000</v>
      </c>
    </row>
    <row r="569">
      <c r="A569" s="62" t="n">
        <v>28448</v>
      </c>
      <c r="B569" t="n">
        <v>2527000</v>
      </c>
      <c r="C569" t="n">
        <v>360000</v>
      </c>
    </row>
    <row r="570">
      <c r="A570" s="62" t="n">
        <v>28455</v>
      </c>
      <c r="B570" t="n">
        <v>2620000</v>
      </c>
      <c r="C570" t="n">
        <v>354000</v>
      </c>
    </row>
    <row r="571">
      <c r="A571" s="62" t="n">
        <v>28462</v>
      </c>
      <c r="B571" t="n">
        <v>2505000</v>
      </c>
      <c r="C571" t="n">
        <v>367000</v>
      </c>
    </row>
    <row r="572">
      <c r="A572" s="62" t="n">
        <v>28469</v>
      </c>
      <c r="B572" t="n">
        <v>2529000</v>
      </c>
      <c r="C572" t="n">
        <v>364000</v>
      </c>
    </row>
    <row r="573">
      <c r="A573" s="62" t="n">
        <v>28476</v>
      </c>
      <c r="B573" t="n">
        <v>2558000</v>
      </c>
      <c r="C573" t="n">
        <v>359000</v>
      </c>
    </row>
    <row r="574">
      <c r="A574" s="62" t="n">
        <v>28483</v>
      </c>
      <c r="B574" t="n">
        <v>2482000</v>
      </c>
      <c r="C574" t="n">
        <v>344000</v>
      </c>
    </row>
    <row r="575">
      <c r="A575" s="62" t="n">
        <v>28490</v>
      </c>
      <c r="B575" t="n">
        <v>2461000</v>
      </c>
      <c r="C575" t="n">
        <v>364000</v>
      </c>
    </row>
    <row r="576">
      <c r="A576" s="62" t="n">
        <v>28497</v>
      </c>
      <c r="B576" t="n">
        <v>2456000</v>
      </c>
      <c r="C576" t="n">
        <v>346000</v>
      </c>
    </row>
    <row r="577">
      <c r="A577" s="62" t="n">
        <v>28504</v>
      </c>
      <c r="B577" t="n">
        <v>2418000</v>
      </c>
      <c r="C577" t="n">
        <v>343000</v>
      </c>
    </row>
    <row r="578">
      <c r="A578" s="62" t="n">
        <v>28511</v>
      </c>
      <c r="B578" t="n">
        <v>2522000</v>
      </c>
      <c r="C578" t="n">
        <v>352000</v>
      </c>
    </row>
    <row r="579">
      <c r="A579" s="62" t="n">
        <v>28518</v>
      </c>
      <c r="B579" t="n">
        <v>2578000</v>
      </c>
      <c r="C579" t="n">
        <v>363000</v>
      </c>
    </row>
    <row r="580">
      <c r="A580" s="62" t="n">
        <v>28525</v>
      </c>
      <c r="B580" t="n">
        <v>2468000</v>
      </c>
      <c r="C580" t="n">
        <v>360000</v>
      </c>
    </row>
    <row r="581">
      <c r="A581" s="62" t="n">
        <v>28532</v>
      </c>
      <c r="B581" t="n">
        <v>2656000</v>
      </c>
      <c r="C581" t="n">
        <v>373000</v>
      </c>
    </row>
    <row r="582">
      <c r="A582" s="62" t="n">
        <v>28539</v>
      </c>
      <c r="B582" t="n">
        <v>2545000</v>
      </c>
      <c r="C582" t="n">
        <v>429000</v>
      </c>
    </row>
    <row r="583">
      <c r="A583" s="62" t="n">
        <v>28546</v>
      </c>
      <c r="B583" t="n">
        <v>2553000</v>
      </c>
      <c r="C583" t="n">
        <v>371000</v>
      </c>
    </row>
    <row r="584">
      <c r="A584" s="62" t="n">
        <v>28553</v>
      </c>
      <c r="B584" t="n">
        <v>2529000</v>
      </c>
      <c r="C584" t="n">
        <v>355000</v>
      </c>
    </row>
    <row r="585">
      <c r="A585" s="62" t="n">
        <v>28560</v>
      </c>
      <c r="B585" t="n">
        <v>2526000</v>
      </c>
      <c r="C585" t="n">
        <v>359000</v>
      </c>
    </row>
    <row r="586">
      <c r="A586" s="62" t="n">
        <v>28567</v>
      </c>
      <c r="B586" t="n">
        <v>2471000</v>
      </c>
      <c r="C586" t="n">
        <v>347000</v>
      </c>
    </row>
    <row r="587">
      <c r="A587" s="62" t="n">
        <v>28574</v>
      </c>
      <c r="B587" t="n">
        <v>2473000</v>
      </c>
      <c r="C587" t="n">
        <v>335000</v>
      </c>
    </row>
    <row r="588">
      <c r="A588" s="62" t="n">
        <v>28581</v>
      </c>
      <c r="B588" t="n">
        <v>2453000</v>
      </c>
      <c r="C588" t="n">
        <v>333000</v>
      </c>
    </row>
    <row r="589">
      <c r="A589" s="62" t="n">
        <v>28588</v>
      </c>
      <c r="B589" t="n">
        <v>2397000</v>
      </c>
      <c r="C589" t="n">
        <v>345000</v>
      </c>
    </row>
    <row r="590">
      <c r="A590" s="62" t="n">
        <v>28595</v>
      </c>
      <c r="B590" t="n">
        <v>2339000</v>
      </c>
      <c r="C590" t="n">
        <v>309000</v>
      </c>
    </row>
    <row r="591">
      <c r="A591" s="62" t="n">
        <v>28602</v>
      </c>
      <c r="B591" t="n">
        <v>2287000</v>
      </c>
      <c r="C591" t="n">
        <v>319000</v>
      </c>
    </row>
    <row r="592">
      <c r="A592" s="62" t="n">
        <v>28609</v>
      </c>
      <c r="B592" t="n">
        <v>2272000</v>
      </c>
      <c r="C592" t="n">
        <v>324000</v>
      </c>
    </row>
    <row r="593">
      <c r="A593" s="62" t="n">
        <v>28616</v>
      </c>
      <c r="B593" t="n">
        <v>2246000</v>
      </c>
      <c r="C593" t="n">
        <v>334000</v>
      </c>
    </row>
    <row r="594">
      <c r="A594" s="62" t="n">
        <v>28623</v>
      </c>
      <c r="B594" t="n">
        <v>2231000</v>
      </c>
      <c r="C594" t="n">
        <v>322000</v>
      </c>
    </row>
    <row r="595">
      <c r="A595" s="62" t="n">
        <v>28630</v>
      </c>
      <c r="B595" t="n">
        <v>2238000</v>
      </c>
      <c r="C595" t="n">
        <v>334000</v>
      </c>
    </row>
    <row r="596">
      <c r="A596" s="62" t="n">
        <v>28637</v>
      </c>
      <c r="B596" t="n">
        <v>2211000</v>
      </c>
      <c r="C596" t="n">
        <v>318000</v>
      </c>
    </row>
    <row r="597">
      <c r="A597" s="62" t="n">
        <v>28644</v>
      </c>
      <c r="B597" t="n">
        <v>2224000</v>
      </c>
      <c r="C597" t="n">
        <v>310000</v>
      </c>
    </row>
    <row r="598">
      <c r="A598" s="62" t="n">
        <v>28651</v>
      </c>
      <c r="B598" t="n">
        <v>2189000</v>
      </c>
      <c r="C598" t="n">
        <v>331000</v>
      </c>
    </row>
    <row r="599">
      <c r="A599" s="62" t="n">
        <v>28658</v>
      </c>
      <c r="B599" t="n">
        <v>2225000</v>
      </c>
      <c r="C599" t="n">
        <v>326000</v>
      </c>
    </row>
    <row r="600">
      <c r="A600" s="62" t="n">
        <v>28665</v>
      </c>
      <c r="B600" t="n">
        <v>2249000</v>
      </c>
      <c r="C600" t="n">
        <v>330000</v>
      </c>
    </row>
    <row r="601">
      <c r="A601" s="62" t="n">
        <v>28672</v>
      </c>
      <c r="B601" t="n">
        <v>2242000</v>
      </c>
      <c r="C601" t="n">
        <v>348000</v>
      </c>
    </row>
    <row r="602">
      <c r="A602" s="62" t="n">
        <v>28679</v>
      </c>
      <c r="B602" t="n">
        <v>2331000</v>
      </c>
      <c r="C602" t="n">
        <v>356000</v>
      </c>
    </row>
    <row r="603">
      <c r="A603" s="62" t="n">
        <v>28686</v>
      </c>
      <c r="B603" t="n">
        <v>2328000</v>
      </c>
      <c r="C603" t="n">
        <v>352000</v>
      </c>
    </row>
    <row r="604">
      <c r="A604" s="62" t="n">
        <v>28693</v>
      </c>
      <c r="B604" t="n">
        <v>2321000</v>
      </c>
      <c r="C604" t="n">
        <v>349000</v>
      </c>
    </row>
    <row r="605">
      <c r="A605" s="62" t="n">
        <v>28700</v>
      </c>
      <c r="B605" t="n">
        <v>2344000</v>
      </c>
      <c r="C605" t="n">
        <v>346000</v>
      </c>
    </row>
    <row r="606">
      <c r="A606" s="62" t="n">
        <v>28707</v>
      </c>
      <c r="B606" t="n">
        <v>2395000</v>
      </c>
      <c r="C606" t="n">
        <v>365000</v>
      </c>
    </row>
    <row r="607">
      <c r="A607" s="62" t="n">
        <v>28714</v>
      </c>
      <c r="B607" t="n">
        <v>2422000</v>
      </c>
      <c r="C607" t="n">
        <v>354000</v>
      </c>
    </row>
    <row r="608">
      <c r="A608" s="62" t="n">
        <v>28721</v>
      </c>
      <c r="B608" t="n">
        <v>2405000</v>
      </c>
      <c r="C608" t="n">
        <v>343000</v>
      </c>
    </row>
    <row r="609">
      <c r="A609" s="62" t="n">
        <v>28728</v>
      </c>
      <c r="B609" t="n">
        <v>2370000</v>
      </c>
      <c r="C609" t="n">
        <v>333000</v>
      </c>
    </row>
    <row r="610">
      <c r="A610" s="62" t="n">
        <v>28735</v>
      </c>
      <c r="B610" t="n">
        <v>2336000</v>
      </c>
      <c r="C610" t="n">
        <v>313000</v>
      </c>
    </row>
    <row r="611">
      <c r="A611" s="62" t="n">
        <v>28742</v>
      </c>
      <c r="B611" t="n">
        <v>2278000</v>
      </c>
      <c r="C611" t="n">
        <v>337000</v>
      </c>
    </row>
    <row r="612">
      <c r="A612" s="62" t="n">
        <v>28749</v>
      </c>
      <c r="B612" t="n">
        <v>2271000</v>
      </c>
      <c r="C612" t="n">
        <v>322000</v>
      </c>
    </row>
    <row r="613">
      <c r="A613" s="62" t="n">
        <v>28756</v>
      </c>
      <c r="B613" t="n">
        <v>2247000</v>
      </c>
      <c r="C613" t="n">
        <v>323000</v>
      </c>
    </row>
    <row r="614">
      <c r="A614" s="62" t="n">
        <v>28763</v>
      </c>
      <c r="B614" t="n">
        <v>2217000</v>
      </c>
      <c r="C614" t="n">
        <v>318000</v>
      </c>
    </row>
    <row r="615">
      <c r="A615" s="62" t="n">
        <v>28770</v>
      </c>
      <c r="B615" t="n">
        <v>2219000</v>
      </c>
      <c r="C615" t="n">
        <v>343000</v>
      </c>
    </row>
    <row r="616">
      <c r="A616" s="62" t="n">
        <v>28777</v>
      </c>
      <c r="B616" t="n">
        <v>2274000</v>
      </c>
      <c r="C616" t="n">
        <v>316000</v>
      </c>
    </row>
    <row r="617">
      <c r="A617" s="62" t="n">
        <v>28784</v>
      </c>
      <c r="B617" t="n">
        <v>2207000</v>
      </c>
      <c r="C617" t="n">
        <v>338000</v>
      </c>
    </row>
    <row r="618">
      <c r="A618" s="62" t="n">
        <v>28791</v>
      </c>
      <c r="B618" t="n">
        <v>2222000</v>
      </c>
      <c r="C618" t="n">
        <v>316000</v>
      </c>
    </row>
    <row r="619">
      <c r="A619" s="62" t="n">
        <v>28798</v>
      </c>
      <c r="B619" t="n">
        <v>2188000</v>
      </c>
      <c r="C619" t="n">
        <v>317000</v>
      </c>
    </row>
    <row r="620">
      <c r="A620" s="62" t="n">
        <v>28805</v>
      </c>
      <c r="B620" t="n">
        <v>2200000</v>
      </c>
      <c r="C620" t="n">
        <v>304000</v>
      </c>
    </row>
    <row r="621">
      <c r="A621" s="62" t="n">
        <v>28812</v>
      </c>
      <c r="B621" t="n">
        <v>2158000</v>
      </c>
      <c r="C621" t="n">
        <v>342000</v>
      </c>
    </row>
    <row r="622">
      <c r="A622" s="62" t="n">
        <v>28819</v>
      </c>
      <c r="B622" t="n">
        <v>2349000</v>
      </c>
      <c r="C622" t="n">
        <v>359000</v>
      </c>
    </row>
    <row r="623">
      <c r="A623" s="62" t="n">
        <v>28826</v>
      </c>
      <c r="B623" t="n">
        <v>2248000</v>
      </c>
      <c r="C623" t="n">
        <v>377000</v>
      </c>
    </row>
    <row r="624">
      <c r="A624" s="62" t="n">
        <v>28833</v>
      </c>
      <c r="B624" t="n">
        <v>2292000</v>
      </c>
      <c r="C624" t="n">
        <v>344000</v>
      </c>
    </row>
    <row r="625">
      <c r="A625" s="62" t="n">
        <v>28840</v>
      </c>
      <c r="B625" t="n">
        <v>2328000</v>
      </c>
      <c r="C625" t="n">
        <v>347000</v>
      </c>
    </row>
    <row r="626">
      <c r="A626" s="62" t="n">
        <v>28847</v>
      </c>
      <c r="B626" t="n">
        <v>2276000</v>
      </c>
      <c r="C626" t="n">
        <v>352000</v>
      </c>
    </row>
    <row r="627">
      <c r="A627" s="62" t="n">
        <v>28854</v>
      </c>
      <c r="B627" t="n">
        <v>2289000</v>
      </c>
      <c r="C627" t="n">
        <v>358000</v>
      </c>
    </row>
    <row r="628">
      <c r="A628" s="62" t="n">
        <v>28861</v>
      </c>
      <c r="B628" t="n">
        <v>2366000</v>
      </c>
      <c r="C628" t="n">
        <v>359000</v>
      </c>
    </row>
    <row r="629">
      <c r="A629" s="62" t="n">
        <v>28868</v>
      </c>
      <c r="B629" t="n">
        <v>2368000</v>
      </c>
      <c r="C629" t="n">
        <v>392000</v>
      </c>
    </row>
    <row r="630">
      <c r="A630" s="62" t="n">
        <v>28875</v>
      </c>
      <c r="B630" t="n">
        <v>2403000</v>
      </c>
      <c r="C630" t="n">
        <v>337000</v>
      </c>
    </row>
    <row r="631">
      <c r="A631" s="62" t="n">
        <v>28882</v>
      </c>
      <c r="B631" t="n">
        <v>2393000</v>
      </c>
      <c r="C631" t="n">
        <v>342000</v>
      </c>
    </row>
    <row r="632">
      <c r="A632" s="62" t="n">
        <v>28889</v>
      </c>
      <c r="B632" t="n">
        <v>2411000</v>
      </c>
      <c r="C632" t="n">
        <v>348000</v>
      </c>
    </row>
    <row r="633">
      <c r="A633" s="62" t="n">
        <v>28896</v>
      </c>
      <c r="B633" t="n">
        <v>2412000</v>
      </c>
      <c r="C633" t="n">
        <v>359000</v>
      </c>
    </row>
    <row r="634">
      <c r="A634" s="62" t="n">
        <v>28903</v>
      </c>
      <c r="B634" t="n">
        <v>2383000</v>
      </c>
      <c r="C634" t="n">
        <v>367000</v>
      </c>
    </row>
    <row r="635">
      <c r="A635" s="62" t="n">
        <v>28910</v>
      </c>
      <c r="B635" t="n">
        <v>2451000</v>
      </c>
      <c r="C635" t="n">
        <v>360000</v>
      </c>
    </row>
    <row r="636">
      <c r="A636" s="62" t="n">
        <v>28917</v>
      </c>
      <c r="B636" t="n">
        <v>2451000</v>
      </c>
      <c r="C636" t="n">
        <v>355000</v>
      </c>
    </row>
    <row r="637">
      <c r="A637" s="62" t="n">
        <v>28924</v>
      </c>
      <c r="B637" t="n">
        <v>2413000</v>
      </c>
      <c r="C637" t="n">
        <v>363000</v>
      </c>
    </row>
    <row r="638">
      <c r="A638" s="62" t="n">
        <v>28931</v>
      </c>
      <c r="B638" t="n">
        <v>2377000</v>
      </c>
      <c r="C638" t="n">
        <v>359000</v>
      </c>
    </row>
    <row r="639">
      <c r="A639" s="62" t="n">
        <v>28938</v>
      </c>
      <c r="B639" t="n">
        <v>2353000</v>
      </c>
      <c r="C639" t="n">
        <v>353000</v>
      </c>
    </row>
    <row r="640">
      <c r="A640" s="62" t="n">
        <v>28945</v>
      </c>
      <c r="B640" t="n">
        <v>2335000</v>
      </c>
      <c r="C640" t="n">
        <v>360000</v>
      </c>
    </row>
    <row r="641">
      <c r="A641" s="62" t="n">
        <v>28952</v>
      </c>
      <c r="B641" t="n">
        <v>2368000</v>
      </c>
      <c r="C641" t="n">
        <v>465000</v>
      </c>
    </row>
    <row r="642">
      <c r="A642" s="62" t="n">
        <v>28959</v>
      </c>
      <c r="B642" t="n">
        <v>2467000</v>
      </c>
      <c r="C642" t="n">
        <v>457000</v>
      </c>
    </row>
    <row r="643">
      <c r="A643" s="62" t="n">
        <v>28966</v>
      </c>
      <c r="B643" t="n">
        <v>2408000</v>
      </c>
      <c r="C643" t="n">
        <v>383000</v>
      </c>
    </row>
    <row r="644">
      <c r="A644" s="62" t="n">
        <v>28973</v>
      </c>
      <c r="B644" t="n">
        <v>2351000</v>
      </c>
      <c r="C644" t="n">
        <v>357000</v>
      </c>
    </row>
    <row r="645">
      <c r="A645" s="62" t="n">
        <v>28980</v>
      </c>
      <c r="B645" t="n">
        <v>2292000</v>
      </c>
      <c r="C645" t="n">
        <v>353000</v>
      </c>
    </row>
    <row r="646">
      <c r="A646" s="62" t="n">
        <v>28987</v>
      </c>
      <c r="B646" t="n">
        <v>2261000</v>
      </c>
      <c r="C646" t="n">
        <v>344000</v>
      </c>
    </row>
    <row r="647">
      <c r="A647" s="62" t="n">
        <v>28994</v>
      </c>
      <c r="B647" t="n">
        <v>2238000</v>
      </c>
      <c r="C647" t="n">
        <v>346000</v>
      </c>
    </row>
    <row r="648">
      <c r="A648" s="62" t="n">
        <v>29001</v>
      </c>
      <c r="B648" t="n">
        <v>2246000</v>
      </c>
      <c r="C648" t="n">
        <v>349000</v>
      </c>
    </row>
    <row r="649">
      <c r="A649" s="62" t="n">
        <v>29008</v>
      </c>
      <c r="B649" t="n">
        <v>2260000</v>
      </c>
      <c r="C649" t="n">
        <v>336000</v>
      </c>
    </row>
    <row r="650">
      <c r="A650" s="62" t="n">
        <v>29015</v>
      </c>
      <c r="B650" t="n">
        <v>2207000</v>
      </c>
      <c r="C650" t="n">
        <v>365000</v>
      </c>
    </row>
    <row r="651">
      <c r="A651" s="62" t="n">
        <v>29022</v>
      </c>
      <c r="B651" t="n">
        <v>2234000</v>
      </c>
      <c r="C651" t="n">
        <v>351000</v>
      </c>
    </row>
    <row r="652">
      <c r="A652" s="62" t="n">
        <v>29029</v>
      </c>
      <c r="B652" t="n">
        <v>2275000</v>
      </c>
      <c r="C652" t="n">
        <v>379000</v>
      </c>
    </row>
    <row r="653">
      <c r="A653" s="62" t="n">
        <v>29036</v>
      </c>
      <c r="B653" t="n">
        <v>2282000</v>
      </c>
      <c r="C653" t="n">
        <v>369000</v>
      </c>
    </row>
    <row r="654">
      <c r="A654" s="62" t="n">
        <v>29043</v>
      </c>
      <c r="B654" t="n">
        <v>2368000</v>
      </c>
      <c r="C654" t="n">
        <v>368000</v>
      </c>
    </row>
    <row r="655">
      <c r="A655" s="62" t="n">
        <v>29050</v>
      </c>
      <c r="B655" t="n">
        <v>2356000</v>
      </c>
      <c r="C655" t="n">
        <v>368000</v>
      </c>
    </row>
    <row r="656">
      <c r="A656" s="62" t="n">
        <v>29057</v>
      </c>
      <c r="B656" t="n">
        <v>2335000</v>
      </c>
      <c r="C656" t="n">
        <v>395000</v>
      </c>
    </row>
    <row r="657">
      <c r="A657" s="62" t="n">
        <v>29064</v>
      </c>
      <c r="B657" t="n">
        <v>2375000</v>
      </c>
      <c r="C657" t="n">
        <v>386000</v>
      </c>
    </row>
    <row r="658">
      <c r="A658" s="62" t="n">
        <v>29071</v>
      </c>
      <c r="B658" t="n">
        <v>2422000</v>
      </c>
      <c r="C658" t="n">
        <v>412000</v>
      </c>
    </row>
    <row r="659">
      <c r="A659" s="62" t="n">
        <v>29078</v>
      </c>
      <c r="B659" t="n">
        <v>2466000</v>
      </c>
      <c r="C659" t="n">
        <v>386000</v>
      </c>
    </row>
    <row r="660">
      <c r="A660" s="62" t="n">
        <v>29085</v>
      </c>
      <c r="B660" t="n">
        <v>2474000</v>
      </c>
      <c r="C660" t="n">
        <v>387000</v>
      </c>
    </row>
    <row r="661">
      <c r="A661" s="62" t="n">
        <v>29092</v>
      </c>
      <c r="B661" t="n">
        <v>2471000</v>
      </c>
      <c r="C661" t="n">
        <v>390000</v>
      </c>
    </row>
    <row r="662">
      <c r="A662" s="62" t="n">
        <v>29099</v>
      </c>
      <c r="B662" t="n">
        <v>2448000</v>
      </c>
      <c r="C662" t="n">
        <v>389000</v>
      </c>
    </row>
    <row r="663">
      <c r="A663" s="62" t="n">
        <v>29106</v>
      </c>
      <c r="B663" t="n">
        <v>2432000</v>
      </c>
      <c r="C663" t="n">
        <v>378000</v>
      </c>
    </row>
    <row r="664">
      <c r="A664" s="62" t="n">
        <v>29113</v>
      </c>
      <c r="B664" t="n">
        <v>2431000</v>
      </c>
      <c r="C664" t="n">
        <v>384000</v>
      </c>
    </row>
    <row r="665">
      <c r="A665" s="62" t="n">
        <v>29120</v>
      </c>
      <c r="B665" t="n">
        <v>2404000</v>
      </c>
      <c r="C665" t="n">
        <v>388000</v>
      </c>
    </row>
    <row r="666">
      <c r="A666" s="62" t="n">
        <v>29127</v>
      </c>
      <c r="B666" t="n">
        <v>2426000</v>
      </c>
      <c r="C666" t="n">
        <v>390000</v>
      </c>
    </row>
    <row r="667">
      <c r="A667" s="62" t="n">
        <v>29134</v>
      </c>
      <c r="B667" t="n">
        <v>2428000</v>
      </c>
      <c r="C667" t="n">
        <v>412000</v>
      </c>
    </row>
    <row r="668">
      <c r="A668" s="62" t="n">
        <v>29141</v>
      </c>
      <c r="B668" t="n">
        <v>2535000</v>
      </c>
      <c r="C668" t="n">
        <v>393000</v>
      </c>
    </row>
    <row r="669">
      <c r="A669" s="62" t="n">
        <v>29148</v>
      </c>
      <c r="B669" t="n">
        <v>2475000</v>
      </c>
      <c r="C669" t="n">
        <v>406000</v>
      </c>
    </row>
    <row r="670">
      <c r="A670" s="62" t="n">
        <v>29155</v>
      </c>
      <c r="B670" t="n">
        <v>2522000</v>
      </c>
      <c r="C670" t="n">
        <v>398000</v>
      </c>
    </row>
    <row r="671">
      <c r="A671" s="62" t="n">
        <v>29162</v>
      </c>
      <c r="B671" t="n">
        <v>2569000</v>
      </c>
      <c r="C671" t="n">
        <v>395000</v>
      </c>
    </row>
    <row r="672">
      <c r="A672" s="62" t="n">
        <v>29169</v>
      </c>
      <c r="B672" t="n">
        <v>2537000</v>
      </c>
      <c r="C672" t="n">
        <v>414000</v>
      </c>
    </row>
    <row r="673">
      <c r="A673" s="62" t="n">
        <v>29176</v>
      </c>
      <c r="B673" t="n">
        <v>2656000</v>
      </c>
      <c r="C673" t="n">
        <v>430000</v>
      </c>
    </row>
    <row r="674">
      <c r="A674" s="62" t="n">
        <v>29183</v>
      </c>
      <c r="B674" t="n">
        <v>2648000</v>
      </c>
      <c r="C674" t="n">
        <v>414000</v>
      </c>
    </row>
    <row r="675">
      <c r="A675" s="62" t="n">
        <v>29190</v>
      </c>
      <c r="B675" t="n">
        <v>2698000</v>
      </c>
      <c r="C675" t="n">
        <v>416000</v>
      </c>
    </row>
    <row r="676">
      <c r="A676" s="62" t="n">
        <v>29197</v>
      </c>
      <c r="B676" t="n">
        <v>2685000</v>
      </c>
      <c r="C676" t="n">
        <v>415000</v>
      </c>
    </row>
    <row r="677">
      <c r="A677" s="62" t="n">
        <v>29204</v>
      </c>
      <c r="B677" t="n">
        <v>2712000</v>
      </c>
      <c r="C677" t="n">
        <v>411000</v>
      </c>
    </row>
    <row r="678">
      <c r="A678" s="62" t="n">
        <v>29211</v>
      </c>
      <c r="B678" t="n">
        <v>2674000</v>
      </c>
      <c r="C678" t="n">
        <v>471000</v>
      </c>
    </row>
    <row r="679">
      <c r="A679" s="62" t="n">
        <v>29218</v>
      </c>
      <c r="B679" t="n">
        <v>2725000</v>
      </c>
      <c r="C679" t="n">
        <v>428000</v>
      </c>
    </row>
    <row r="680">
      <c r="A680" s="62" t="n">
        <v>29225</v>
      </c>
      <c r="B680" t="n">
        <v>2749000</v>
      </c>
      <c r="C680" t="n">
        <v>394000</v>
      </c>
    </row>
    <row r="681">
      <c r="A681" s="62" t="n">
        <v>29232</v>
      </c>
      <c r="B681" t="n">
        <v>2778000</v>
      </c>
      <c r="C681" t="n">
        <v>405000</v>
      </c>
    </row>
    <row r="682">
      <c r="A682" s="62" t="n">
        <v>29239</v>
      </c>
      <c r="B682" t="n">
        <v>2783000</v>
      </c>
      <c r="C682" t="n">
        <v>446000</v>
      </c>
    </row>
    <row r="683">
      <c r="A683" s="62" t="n">
        <v>29246</v>
      </c>
      <c r="B683" t="n">
        <v>2817000</v>
      </c>
      <c r="C683" t="n">
        <v>412000</v>
      </c>
    </row>
    <row r="684">
      <c r="A684" s="62" t="n">
        <v>29253</v>
      </c>
      <c r="B684" t="n">
        <v>2864000</v>
      </c>
      <c r="C684" t="n">
        <v>404000</v>
      </c>
    </row>
    <row r="685">
      <c r="A685" s="62" t="n">
        <v>29260</v>
      </c>
      <c r="B685" t="n">
        <v>2867000</v>
      </c>
      <c r="C685" t="n">
        <v>425000</v>
      </c>
    </row>
    <row r="686">
      <c r="A686" s="62" t="n">
        <v>29267</v>
      </c>
      <c r="B686" t="n">
        <v>2877000</v>
      </c>
      <c r="C686" t="n">
        <v>415000</v>
      </c>
    </row>
    <row r="687">
      <c r="A687" s="62" t="n">
        <v>29274</v>
      </c>
      <c r="B687" t="n">
        <v>2866000</v>
      </c>
      <c r="C687" t="n">
        <v>428000</v>
      </c>
    </row>
    <row r="688">
      <c r="A688" s="62" t="n">
        <v>29281</v>
      </c>
      <c r="B688" t="n">
        <v>2848000</v>
      </c>
      <c r="C688" t="n">
        <v>409000</v>
      </c>
    </row>
    <row r="689">
      <c r="A689" s="62" t="n">
        <v>29288</v>
      </c>
      <c r="B689" t="n">
        <v>2883000</v>
      </c>
      <c r="C689" t="n">
        <v>418000</v>
      </c>
    </row>
    <row r="690">
      <c r="A690" s="62" t="n">
        <v>29295</v>
      </c>
      <c r="B690" t="n">
        <v>2888000</v>
      </c>
      <c r="C690" t="n">
        <v>432000</v>
      </c>
    </row>
    <row r="691">
      <c r="A691" s="62" t="n">
        <v>29302</v>
      </c>
      <c r="B691" t="n">
        <v>2921000</v>
      </c>
      <c r="C691" t="n">
        <v>435000</v>
      </c>
    </row>
    <row r="692">
      <c r="A692" s="62" t="n">
        <v>29309</v>
      </c>
      <c r="B692" t="n">
        <v>2866000</v>
      </c>
      <c r="C692" t="n">
        <v>475000</v>
      </c>
    </row>
    <row r="693">
      <c r="A693" s="62" t="n">
        <v>29316</v>
      </c>
      <c r="B693" t="n">
        <v>3007000</v>
      </c>
      <c r="C693" t="n">
        <v>464000</v>
      </c>
    </row>
    <row r="694">
      <c r="A694" s="62" t="n">
        <v>29323</v>
      </c>
      <c r="B694" t="n">
        <v>3085000</v>
      </c>
      <c r="C694" t="n">
        <v>544000</v>
      </c>
    </row>
    <row r="695">
      <c r="A695" s="62" t="n">
        <v>29330</v>
      </c>
      <c r="B695" t="n">
        <v>3188000</v>
      </c>
      <c r="C695" t="n">
        <v>548000</v>
      </c>
    </row>
    <row r="696">
      <c r="A696" s="62" t="n">
        <v>29337</v>
      </c>
      <c r="B696" t="n">
        <v>3226000</v>
      </c>
      <c r="C696" t="n">
        <v>563000</v>
      </c>
    </row>
    <row r="697">
      <c r="A697" s="62" t="n">
        <v>29344</v>
      </c>
      <c r="B697" t="n">
        <v>3334000</v>
      </c>
      <c r="C697" t="n">
        <v>572000</v>
      </c>
    </row>
    <row r="698">
      <c r="A698" s="62" t="n">
        <v>29351</v>
      </c>
      <c r="B698" t="n">
        <v>3417000</v>
      </c>
      <c r="C698" t="n">
        <v>601000</v>
      </c>
    </row>
    <row r="699">
      <c r="A699" s="62" t="n">
        <v>29358</v>
      </c>
      <c r="B699" t="n">
        <v>3544000</v>
      </c>
      <c r="C699" t="n">
        <v>642000</v>
      </c>
    </row>
    <row r="700">
      <c r="A700" s="62" t="n">
        <v>29365</v>
      </c>
      <c r="B700" t="n">
        <v>3698000</v>
      </c>
      <c r="C700" t="n">
        <v>627000</v>
      </c>
    </row>
    <row r="701">
      <c r="A701" s="62" t="n">
        <v>29372</v>
      </c>
      <c r="B701" t="n">
        <v>3731000</v>
      </c>
      <c r="C701" t="n">
        <v>637000</v>
      </c>
    </row>
    <row r="702">
      <c r="A702" s="62" t="n">
        <v>29379</v>
      </c>
      <c r="B702" t="n">
        <v>3781000</v>
      </c>
      <c r="C702" t="n">
        <v>610000</v>
      </c>
    </row>
    <row r="703">
      <c r="A703" s="62" t="n">
        <v>29386</v>
      </c>
      <c r="B703" t="n">
        <v>3779000</v>
      </c>
      <c r="C703" t="n">
        <v>592000</v>
      </c>
    </row>
    <row r="704">
      <c r="A704" s="62" t="n">
        <v>29393</v>
      </c>
      <c r="B704" t="n">
        <v>3858000</v>
      </c>
      <c r="C704" t="n">
        <v>599000</v>
      </c>
    </row>
    <row r="705">
      <c r="A705" s="62" t="n">
        <v>29400</v>
      </c>
      <c r="B705" t="n">
        <v>3912000</v>
      </c>
      <c r="C705" t="n">
        <v>627000</v>
      </c>
    </row>
    <row r="706">
      <c r="A706" s="62" t="n">
        <v>29407</v>
      </c>
      <c r="B706" t="n">
        <v>3823000</v>
      </c>
      <c r="C706" t="n">
        <v>579000</v>
      </c>
    </row>
    <row r="707">
      <c r="A707" s="62" t="n">
        <v>29414</v>
      </c>
      <c r="B707" t="n">
        <v>3836000</v>
      </c>
      <c r="C707" t="n">
        <v>533000</v>
      </c>
    </row>
    <row r="708">
      <c r="A708" s="62" t="n">
        <v>29421</v>
      </c>
      <c r="B708" t="n">
        <v>3872000</v>
      </c>
      <c r="C708" t="n">
        <v>567000</v>
      </c>
    </row>
    <row r="709">
      <c r="A709" s="62" t="n">
        <v>29428</v>
      </c>
      <c r="B709" t="n">
        <v>3851000</v>
      </c>
      <c r="C709" t="n">
        <v>558000</v>
      </c>
    </row>
    <row r="710">
      <c r="A710" s="62" t="n">
        <v>29435</v>
      </c>
      <c r="B710" t="n">
        <v>3789000</v>
      </c>
      <c r="C710" t="n">
        <v>569000</v>
      </c>
    </row>
    <row r="711">
      <c r="A711" s="62" t="n">
        <v>29442</v>
      </c>
      <c r="B711" t="n">
        <v>3862000</v>
      </c>
      <c r="C711" t="n">
        <v>533000</v>
      </c>
    </row>
    <row r="712">
      <c r="A712" s="62" t="n">
        <v>29449</v>
      </c>
      <c r="B712" t="n">
        <v>3813000</v>
      </c>
      <c r="C712" t="n">
        <v>525000</v>
      </c>
    </row>
    <row r="713">
      <c r="A713" s="62" t="n">
        <v>29456</v>
      </c>
      <c r="B713" t="n">
        <v>3754000</v>
      </c>
      <c r="C713" t="n">
        <v>512000</v>
      </c>
    </row>
    <row r="714">
      <c r="A714" s="62" t="n">
        <v>29463</v>
      </c>
      <c r="B714" t="n">
        <v>3808000</v>
      </c>
      <c r="C714" t="n">
        <v>502000</v>
      </c>
    </row>
    <row r="715">
      <c r="A715" s="62" t="n">
        <v>29470</v>
      </c>
      <c r="B715" t="n">
        <v>3698000</v>
      </c>
      <c r="C715" t="n">
        <v>511000</v>
      </c>
    </row>
    <row r="716">
      <c r="A716" s="62" t="n">
        <v>29477</v>
      </c>
      <c r="B716" t="n">
        <v>3699000</v>
      </c>
      <c r="C716" t="n">
        <v>492000</v>
      </c>
    </row>
    <row r="717">
      <c r="A717" s="62" t="n">
        <v>29484</v>
      </c>
      <c r="B717" t="n">
        <v>3698000</v>
      </c>
      <c r="C717" t="n">
        <v>465000</v>
      </c>
    </row>
    <row r="718">
      <c r="A718" s="62" t="n">
        <v>29491</v>
      </c>
      <c r="B718" t="n">
        <v>3679000</v>
      </c>
      <c r="C718" t="n">
        <v>463000</v>
      </c>
    </row>
    <row r="719">
      <c r="A719" s="62" t="n">
        <v>29498</v>
      </c>
      <c r="B719" t="n">
        <v>3672000</v>
      </c>
      <c r="C719" t="n">
        <v>462000</v>
      </c>
    </row>
    <row r="720">
      <c r="A720" s="62" t="n">
        <v>29505</v>
      </c>
      <c r="B720" t="n">
        <v>3549000</v>
      </c>
      <c r="C720" t="n">
        <v>447000</v>
      </c>
    </row>
    <row r="721">
      <c r="A721" s="62" t="n">
        <v>29512</v>
      </c>
      <c r="B721" t="n">
        <v>3477000</v>
      </c>
      <c r="C721" t="n">
        <v>425000</v>
      </c>
    </row>
    <row r="722">
      <c r="A722" s="62" t="n">
        <v>29519</v>
      </c>
      <c r="B722" t="n">
        <v>3527000</v>
      </c>
      <c r="C722" t="n">
        <v>418000</v>
      </c>
    </row>
    <row r="723">
      <c r="A723" s="62" t="n">
        <v>29526</v>
      </c>
      <c r="B723" t="n">
        <v>3391000</v>
      </c>
      <c r="C723" t="n">
        <v>419000</v>
      </c>
    </row>
    <row r="724">
      <c r="A724" s="62" t="n">
        <v>29533</v>
      </c>
      <c r="B724" t="n">
        <v>3380000</v>
      </c>
      <c r="C724" t="n">
        <v>407000</v>
      </c>
    </row>
    <row r="725">
      <c r="A725" s="62" t="n">
        <v>29540</v>
      </c>
      <c r="B725" t="n">
        <v>3260000</v>
      </c>
      <c r="C725" t="n">
        <v>427000</v>
      </c>
    </row>
    <row r="726">
      <c r="A726" s="62" t="n">
        <v>29547</v>
      </c>
      <c r="B726" t="n">
        <v>3303000</v>
      </c>
      <c r="C726" t="n">
        <v>398000</v>
      </c>
    </row>
    <row r="727">
      <c r="A727" s="62" t="n">
        <v>29554</v>
      </c>
      <c r="B727" t="n">
        <v>3169000</v>
      </c>
      <c r="C727" t="n">
        <v>412000</v>
      </c>
    </row>
    <row r="728">
      <c r="A728" s="62" t="n">
        <v>29561</v>
      </c>
      <c r="B728" t="n">
        <v>3185000</v>
      </c>
      <c r="C728" t="n">
        <v>416000</v>
      </c>
    </row>
    <row r="729">
      <c r="A729" s="62" t="n">
        <v>29568</v>
      </c>
      <c r="B729" t="n">
        <v>3125000</v>
      </c>
      <c r="C729" t="n">
        <v>413000</v>
      </c>
    </row>
    <row r="730">
      <c r="A730" s="62" t="n">
        <v>29575</v>
      </c>
      <c r="B730" t="n">
        <v>3056000</v>
      </c>
      <c r="C730" t="n">
        <v>412000</v>
      </c>
    </row>
    <row r="731">
      <c r="A731" s="62" t="n">
        <v>29582</v>
      </c>
      <c r="B731" t="n">
        <v>3136000</v>
      </c>
      <c r="C731" t="n">
        <v>399000</v>
      </c>
    </row>
    <row r="732">
      <c r="A732" s="62" t="n">
        <v>29589</v>
      </c>
      <c r="B732" t="n">
        <v>3123000</v>
      </c>
      <c r="C732" t="n">
        <v>410000</v>
      </c>
    </row>
    <row r="733">
      <c r="A733" s="62" t="n">
        <v>29596</v>
      </c>
      <c r="B733" t="n">
        <v>3082000</v>
      </c>
      <c r="C733" t="n">
        <v>419000</v>
      </c>
    </row>
    <row r="734">
      <c r="A734" s="62" t="n">
        <v>29603</v>
      </c>
      <c r="B734" t="n">
        <v>3023000</v>
      </c>
      <c r="C734" t="n">
        <v>421000</v>
      </c>
    </row>
    <row r="735">
      <c r="A735" s="62" t="n">
        <v>29610</v>
      </c>
      <c r="B735" t="n">
        <v>2988000</v>
      </c>
      <c r="C735" t="n">
        <v>396000</v>
      </c>
    </row>
    <row r="736">
      <c r="A736" s="62" t="n">
        <v>29617</v>
      </c>
      <c r="B736" t="n">
        <v>2975000</v>
      </c>
      <c r="C736" t="n">
        <v>419000</v>
      </c>
    </row>
    <row r="737">
      <c r="A737" s="62" t="n">
        <v>29624</v>
      </c>
      <c r="B737" t="n">
        <v>2945000</v>
      </c>
      <c r="C737" t="n">
        <v>420000</v>
      </c>
    </row>
    <row r="738">
      <c r="A738" s="62" t="n">
        <v>29631</v>
      </c>
      <c r="B738" t="n">
        <v>3043000</v>
      </c>
      <c r="C738" t="n">
        <v>423000</v>
      </c>
    </row>
    <row r="739">
      <c r="A739" s="62" t="n">
        <v>29638</v>
      </c>
      <c r="B739" t="n">
        <v>3023000</v>
      </c>
      <c r="C739" t="n">
        <v>438000</v>
      </c>
    </row>
    <row r="740">
      <c r="A740" s="62" t="n">
        <v>29645</v>
      </c>
      <c r="B740" t="n">
        <v>2901000</v>
      </c>
      <c r="C740" t="n">
        <v>434000</v>
      </c>
    </row>
    <row r="741">
      <c r="A741" s="62" t="n">
        <v>29652</v>
      </c>
      <c r="B741" t="n">
        <v>2931000</v>
      </c>
      <c r="C741" t="n">
        <v>409000</v>
      </c>
    </row>
    <row r="742">
      <c r="A742" s="62" t="n">
        <v>29659</v>
      </c>
      <c r="B742" t="n">
        <v>2905000</v>
      </c>
      <c r="C742" t="n">
        <v>408000</v>
      </c>
    </row>
    <row r="743">
      <c r="A743" s="62" t="n">
        <v>29666</v>
      </c>
      <c r="B743" t="n">
        <v>2885000</v>
      </c>
      <c r="C743" t="n">
        <v>401000</v>
      </c>
    </row>
    <row r="744">
      <c r="A744" s="62" t="n">
        <v>29673</v>
      </c>
      <c r="B744" t="n">
        <v>2876000</v>
      </c>
      <c r="C744" t="n">
        <v>412000</v>
      </c>
    </row>
    <row r="745">
      <c r="A745" s="62" t="n">
        <v>29680</v>
      </c>
      <c r="B745" t="n">
        <v>2875000</v>
      </c>
      <c r="C745" t="n">
        <v>417000</v>
      </c>
    </row>
    <row r="746">
      <c r="A746" s="62" t="n">
        <v>29687</v>
      </c>
      <c r="B746" t="n">
        <v>2800000</v>
      </c>
      <c r="C746" t="n">
        <v>396000</v>
      </c>
    </row>
    <row r="747">
      <c r="A747" s="62" t="n">
        <v>29694</v>
      </c>
      <c r="B747" t="n">
        <v>2860000</v>
      </c>
      <c r="C747" t="n">
        <v>392000</v>
      </c>
    </row>
    <row r="748">
      <c r="A748" s="62" t="n">
        <v>29701</v>
      </c>
      <c r="B748" t="n">
        <v>2893000</v>
      </c>
      <c r="C748" t="n">
        <v>436000</v>
      </c>
    </row>
    <row r="749">
      <c r="A749" s="62" t="n">
        <v>29708</v>
      </c>
      <c r="B749" t="n">
        <v>2944000</v>
      </c>
      <c r="C749" t="n">
        <v>413000</v>
      </c>
    </row>
    <row r="750">
      <c r="A750" s="62" t="n">
        <v>29715</v>
      </c>
      <c r="B750" t="n">
        <v>2887000</v>
      </c>
      <c r="C750" t="n">
        <v>423000</v>
      </c>
    </row>
    <row r="751">
      <c r="A751" s="62" t="n">
        <v>29722</v>
      </c>
      <c r="B751" t="n">
        <v>2865000</v>
      </c>
      <c r="C751" t="n">
        <v>414000</v>
      </c>
    </row>
    <row r="752">
      <c r="A752" s="62" t="n">
        <v>29729</v>
      </c>
      <c r="B752" t="n">
        <v>2862000</v>
      </c>
      <c r="C752" t="n">
        <v>415000</v>
      </c>
    </row>
    <row r="753">
      <c r="A753" s="62" t="n">
        <v>29736</v>
      </c>
      <c r="B753" t="n">
        <v>2962000</v>
      </c>
      <c r="C753" t="n">
        <v>417000</v>
      </c>
    </row>
    <row r="754">
      <c r="A754" s="62" t="n">
        <v>29743</v>
      </c>
      <c r="B754" t="n">
        <v>2877000</v>
      </c>
      <c r="C754" t="n">
        <v>428000</v>
      </c>
    </row>
    <row r="755">
      <c r="A755" s="62" t="n">
        <v>29750</v>
      </c>
      <c r="B755" t="n">
        <v>2867000</v>
      </c>
      <c r="C755" t="n">
        <v>425000</v>
      </c>
    </row>
    <row r="756">
      <c r="A756" s="62" t="n">
        <v>29757</v>
      </c>
      <c r="B756" t="n">
        <v>2886000</v>
      </c>
      <c r="C756" t="n">
        <v>435000</v>
      </c>
    </row>
    <row r="757">
      <c r="A757" s="62" t="n">
        <v>29764</v>
      </c>
      <c r="B757" t="n">
        <v>2983000</v>
      </c>
      <c r="C757" t="n">
        <v>444000</v>
      </c>
    </row>
    <row r="758">
      <c r="A758" s="62" t="n">
        <v>29771</v>
      </c>
      <c r="B758" t="n">
        <v>2886000</v>
      </c>
      <c r="C758" t="n">
        <v>460000</v>
      </c>
    </row>
    <row r="759">
      <c r="A759" s="62" t="n">
        <v>29778</v>
      </c>
      <c r="B759" t="n">
        <v>2845000</v>
      </c>
      <c r="C759" t="n">
        <v>426000</v>
      </c>
    </row>
    <row r="760">
      <c r="A760" s="62" t="n">
        <v>29785</v>
      </c>
      <c r="B760" t="n">
        <v>2902000</v>
      </c>
      <c r="C760" t="n">
        <v>430000</v>
      </c>
    </row>
    <row r="761">
      <c r="A761" s="62" t="n">
        <v>29792</v>
      </c>
      <c r="B761" t="n">
        <v>2899000</v>
      </c>
      <c r="C761" t="n">
        <v>407000</v>
      </c>
    </row>
    <row r="762">
      <c r="A762" s="62" t="n">
        <v>29799</v>
      </c>
      <c r="B762" t="n">
        <v>2867000</v>
      </c>
      <c r="C762" t="n">
        <v>476000</v>
      </c>
    </row>
    <row r="763">
      <c r="A763" s="62" t="n">
        <v>29806</v>
      </c>
      <c r="B763" t="n">
        <v>2998000</v>
      </c>
      <c r="C763" t="n">
        <v>448000</v>
      </c>
    </row>
    <row r="764">
      <c r="A764" s="62" t="n">
        <v>29813</v>
      </c>
      <c r="B764" t="n">
        <v>2966000</v>
      </c>
      <c r="C764" t="n">
        <v>442000</v>
      </c>
    </row>
    <row r="765">
      <c r="A765" s="62" t="n">
        <v>29820</v>
      </c>
      <c r="B765" t="n">
        <v>2957000</v>
      </c>
      <c r="C765" t="n">
        <v>434000</v>
      </c>
    </row>
    <row r="766">
      <c r="A766" s="62" t="n">
        <v>29827</v>
      </c>
      <c r="B766" t="n">
        <v>2954000</v>
      </c>
      <c r="C766" t="n">
        <v>451000</v>
      </c>
    </row>
    <row r="767">
      <c r="A767" s="62" t="n">
        <v>29834</v>
      </c>
      <c r="B767" t="n">
        <v>2914000</v>
      </c>
      <c r="C767" t="n">
        <v>473000</v>
      </c>
    </row>
    <row r="768">
      <c r="A768" s="62" t="n">
        <v>29841</v>
      </c>
      <c r="B768" t="n">
        <v>3051000</v>
      </c>
      <c r="C768" t="n">
        <v>454000</v>
      </c>
    </row>
    <row r="769">
      <c r="A769" s="62" t="n">
        <v>29848</v>
      </c>
      <c r="B769" t="n">
        <v>3014000</v>
      </c>
      <c r="C769" t="n">
        <v>475000</v>
      </c>
    </row>
    <row r="770">
      <c r="A770" s="62" t="n">
        <v>29855</v>
      </c>
      <c r="B770" t="n">
        <v>3073000</v>
      </c>
      <c r="C770" t="n">
        <v>491000</v>
      </c>
    </row>
    <row r="771">
      <c r="A771" s="62" t="n">
        <v>29862</v>
      </c>
      <c r="B771" t="n">
        <v>3069000</v>
      </c>
      <c r="C771" t="n">
        <v>489000</v>
      </c>
    </row>
    <row r="772">
      <c r="A772" s="62" t="n">
        <v>29869</v>
      </c>
      <c r="B772" t="n">
        <v>3098000</v>
      </c>
      <c r="C772" t="n">
        <v>491000</v>
      </c>
    </row>
    <row r="773">
      <c r="A773" s="62" t="n">
        <v>29876</v>
      </c>
      <c r="B773" t="n">
        <v>3104000</v>
      </c>
      <c r="C773" t="n">
        <v>487000</v>
      </c>
    </row>
    <row r="774">
      <c r="A774" s="62" t="n">
        <v>29883</v>
      </c>
      <c r="B774" t="n">
        <v>3181000</v>
      </c>
      <c r="C774" t="n">
        <v>483000</v>
      </c>
    </row>
    <row r="775">
      <c r="A775" s="62" t="n">
        <v>29890</v>
      </c>
      <c r="B775" t="n">
        <v>3183000</v>
      </c>
      <c r="C775" t="n">
        <v>514000</v>
      </c>
    </row>
    <row r="776">
      <c r="A776" s="62" t="n">
        <v>29897</v>
      </c>
      <c r="B776" t="n">
        <v>3282000</v>
      </c>
      <c r="C776" t="n">
        <v>514000</v>
      </c>
    </row>
    <row r="777">
      <c r="A777" s="62" t="n">
        <v>29904</v>
      </c>
      <c r="B777" t="n">
        <v>3291000</v>
      </c>
      <c r="C777" t="n">
        <v>517000</v>
      </c>
    </row>
    <row r="778">
      <c r="A778" s="62" t="n">
        <v>29911</v>
      </c>
      <c r="B778" t="n">
        <v>3416000</v>
      </c>
      <c r="C778" t="n">
        <v>464000</v>
      </c>
    </row>
    <row r="779">
      <c r="A779" s="62" t="n">
        <v>29918</v>
      </c>
      <c r="B779" t="n">
        <v>3360000</v>
      </c>
      <c r="C779" t="n">
        <v>552000</v>
      </c>
    </row>
    <row r="780">
      <c r="A780" s="62" t="n">
        <v>29925</v>
      </c>
      <c r="B780" t="n">
        <v>3517000</v>
      </c>
      <c r="C780" t="n">
        <v>558000</v>
      </c>
    </row>
    <row r="781">
      <c r="A781" s="62" t="n">
        <v>29932</v>
      </c>
      <c r="B781" t="n">
        <v>3397000</v>
      </c>
      <c r="C781" t="n">
        <v>551000</v>
      </c>
    </row>
    <row r="782">
      <c r="A782" s="62" t="n">
        <v>29939</v>
      </c>
      <c r="B782" t="n">
        <v>3551000</v>
      </c>
      <c r="C782" t="n">
        <v>539000</v>
      </c>
    </row>
    <row r="783">
      <c r="A783" s="62" t="n">
        <v>29946</v>
      </c>
      <c r="B783" t="n">
        <v>3636000</v>
      </c>
      <c r="C783" t="n">
        <v>556000</v>
      </c>
    </row>
    <row r="784">
      <c r="A784" s="62" t="n">
        <v>29953</v>
      </c>
      <c r="B784" t="n">
        <v>3523000</v>
      </c>
      <c r="C784" t="n">
        <v>495000</v>
      </c>
    </row>
    <row r="785">
      <c r="A785" s="62" t="n">
        <v>29960</v>
      </c>
      <c r="B785" t="n">
        <v>3398000</v>
      </c>
      <c r="C785" t="n">
        <v>545000</v>
      </c>
    </row>
    <row r="786">
      <c r="A786" s="62" t="n">
        <v>29967</v>
      </c>
      <c r="B786" t="n">
        <v>3624000</v>
      </c>
      <c r="C786" t="n">
        <v>489000</v>
      </c>
    </row>
    <row r="787">
      <c r="A787" s="62" t="n">
        <v>29974</v>
      </c>
      <c r="B787" t="n">
        <v>3602000</v>
      </c>
      <c r="C787" t="n">
        <v>564000</v>
      </c>
    </row>
    <row r="788">
      <c r="A788" s="62" t="n">
        <v>29981</v>
      </c>
      <c r="B788" t="n">
        <v>3521000</v>
      </c>
      <c r="C788" t="n">
        <v>583000</v>
      </c>
    </row>
    <row r="789">
      <c r="A789" s="62" t="n">
        <v>29988</v>
      </c>
      <c r="B789" t="n">
        <v>3617000</v>
      </c>
      <c r="C789" t="n">
        <v>556000</v>
      </c>
    </row>
    <row r="790">
      <c r="A790" s="62" t="n">
        <v>29995</v>
      </c>
      <c r="B790" t="n">
        <v>3490000</v>
      </c>
      <c r="C790" t="n">
        <v>507000</v>
      </c>
    </row>
    <row r="791">
      <c r="A791" s="62" t="n">
        <v>30002</v>
      </c>
      <c r="B791" t="n">
        <v>3562000</v>
      </c>
      <c r="C791" t="n">
        <v>544000</v>
      </c>
    </row>
    <row r="792">
      <c r="A792" s="62" t="n">
        <v>30009</v>
      </c>
      <c r="B792" t="n">
        <v>3553000</v>
      </c>
      <c r="C792" t="n">
        <v>528000</v>
      </c>
    </row>
    <row r="793">
      <c r="A793" s="62" t="n">
        <v>30016</v>
      </c>
      <c r="B793" t="n">
        <v>3619000</v>
      </c>
      <c r="C793" t="n">
        <v>556000</v>
      </c>
    </row>
    <row r="794">
      <c r="A794" s="62" t="n">
        <v>30023</v>
      </c>
      <c r="B794" t="n">
        <v>3605000</v>
      </c>
      <c r="C794" t="n">
        <v>539000</v>
      </c>
    </row>
    <row r="795">
      <c r="A795" s="62" t="n">
        <v>30030</v>
      </c>
      <c r="B795" t="n">
        <v>3684000</v>
      </c>
      <c r="C795" t="n">
        <v>557000</v>
      </c>
    </row>
    <row r="796">
      <c r="A796" s="62" t="n">
        <v>30037</v>
      </c>
      <c r="B796" t="n">
        <v>3714000</v>
      </c>
      <c r="C796" t="n">
        <v>574000</v>
      </c>
    </row>
    <row r="797">
      <c r="A797" s="62" t="n">
        <v>30044</v>
      </c>
      <c r="B797" t="n">
        <v>3720000</v>
      </c>
      <c r="C797" t="n">
        <v>578000</v>
      </c>
    </row>
    <row r="798">
      <c r="A798" s="62" t="n">
        <v>30051</v>
      </c>
      <c r="B798" t="n">
        <v>3841000</v>
      </c>
      <c r="C798" t="n">
        <v>585000</v>
      </c>
    </row>
    <row r="799">
      <c r="A799" s="62" t="n">
        <v>30058</v>
      </c>
      <c r="B799" t="n">
        <v>3967000</v>
      </c>
      <c r="C799" t="n">
        <v>597000</v>
      </c>
    </row>
    <row r="800">
      <c r="A800" s="62" t="n">
        <v>30065</v>
      </c>
      <c r="B800" t="n">
        <v>3930000</v>
      </c>
      <c r="C800" t="n">
        <v>588000</v>
      </c>
    </row>
    <row r="801">
      <c r="A801" s="62" t="n">
        <v>30072</v>
      </c>
      <c r="B801" t="n">
        <v>3960000</v>
      </c>
      <c r="C801" t="n">
        <v>576000</v>
      </c>
    </row>
    <row r="802">
      <c r="A802" s="62" t="n">
        <v>30079</v>
      </c>
      <c r="B802" t="n">
        <v>3972000</v>
      </c>
      <c r="C802" t="n">
        <v>584000</v>
      </c>
    </row>
    <row r="803">
      <c r="A803" s="62" t="n">
        <v>30086</v>
      </c>
      <c r="B803" t="n">
        <v>3968000</v>
      </c>
      <c r="C803" t="n">
        <v>585000</v>
      </c>
    </row>
    <row r="804">
      <c r="A804" s="62" t="n">
        <v>30093</v>
      </c>
      <c r="B804" t="n">
        <v>4103000</v>
      </c>
      <c r="C804" t="n">
        <v>586000</v>
      </c>
    </row>
    <row r="805">
      <c r="A805" s="62" t="n">
        <v>30100</v>
      </c>
      <c r="B805" t="n">
        <v>3956000</v>
      </c>
      <c r="C805" t="n">
        <v>588000</v>
      </c>
    </row>
    <row r="806">
      <c r="A806" s="62" t="n">
        <v>30107</v>
      </c>
      <c r="B806" t="n">
        <v>4094000</v>
      </c>
      <c r="C806" t="n">
        <v>611000</v>
      </c>
    </row>
    <row r="807">
      <c r="A807" s="62" t="n">
        <v>30114</v>
      </c>
      <c r="B807" t="n">
        <v>4121000</v>
      </c>
      <c r="C807" t="n">
        <v>614000</v>
      </c>
    </row>
    <row r="808">
      <c r="A808" s="62" t="n">
        <v>30121</v>
      </c>
      <c r="B808" t="n">
        <v>4105000</v>
      </c>
      <c r="C808" t="n">
        <v>591000</v>
      </c>
    </row>
    <row r="809">
      <c r="A809" s="62" t="n">
        <v>30128</v>
      </c>
      <c r="B809" t="n">
        <v>4057000</v>
      </c>
      <c r="C809" t="n">
        <v>582000</v>
      </c>
    </row>
    <row r="810">
      <c r="A810" s="62" t="n">
        <v>30135</v>
      </c>
      <c r="B810" t="n">
        <v>4139000</v>
      </c>
      <c r="C810" t="n">
        <v>600000</v>
      </c>
    </row>
    <row r="811">
      <c r="A811" s="62" t="n">
        <v>30142</v>
      </c>
      <c r="B811" t="n">
        <v>4025000</v>
      </c>
      <c r="C811" t="n">
        <v>572000</v>
      </c>
    </row>
    <row r="812">
      <c r="A812" s="62" t="n">
        <v>30149</v>
      </c>
      <c r="B812" t="n">
        <v>4148000</v>
      </c>
      <c r="C812" t="n">
        <v>567000</v>
      </c>
    </row>
    <row r="813">
      <c r="A813" s="62" t="n">
        <v>30156</v>
      </c>
      <c r="B813" t="n">
        <v>4155000</v>
      </c>
      <c r="C813" t="n">
        <v>536000</v>
      </c>
    </row>
    <row r="814">
      <c r="A814" s="62" t="n">
        <v>30163</v>
      </c>
      <c r="B814" t="n">
        <v>4040000</v>
      </c>
      <c r="C814" t="n">
        <v>605000</v>
      </c>
    </row>
    <row r="815">
      <c r="A815" s="62" t="n">
        <v>30170</v>
      </c>
      <c r="B815" t="n">
        <v>4191000</v>
      </c>
      <c r="C815" t="n">
        <v>606000</v>
      </c>
    </row>
    <row r="816">
      <c r="A816" s="62" t="n">
        <v>30177</v>
      </c>
      <c r="B816" t="n">
        <v>4234000</v>
      </c>
      <c r="C816" t="n">
        <v>637000</v>
      </c>
    </row>
    <row r="817">
      <c r="A817" s="62" t="n">
        <v>30184</v>
      </c>
      <c r="B817" t="n">
        <v>4300000</v>
      </c>
      <c r="C817" t="n">
        <v>628000</v>
      </c>
    </row>
    <row r="818">
      <c r="A818" s="62" t="n">
        <v>30191</v>
      </c>
      <c r="B818" t="n">
        <v>4316000</v>
      </c>
      <c r="C818" t="n">
        <v>647000</v>
      </c>
    </row>
    <row r="819">
      <c r="A819" s="62" t="n">
        <v>30198</v>
      </c>
      <c r="B819" t="n">
        <v>4356000</v>
      </c>
      <c r="C819" t="n">
        <v>651000</v>
      </c>
    </row>
    <row r="820">
      <c r="A820" s="62" t="n">
        <v>30205</v>
      </c>
      <c r="B820" t="n">
        <v>4445000</v>
      </c>
      <c r="C820" t="n">
        <v>641000</v>
      </c>
    </row>
    <row r="821">
      <c r="A821" s="62" t="n">
        <v>30212</v>
      </c>
      <c r="B821" t="n">
        <v>4468000</v>
      </c>
      <c r="C821" t="n">
        <v>680000</v>
      </c>
    </row>
    <row r="822">
      <c r="A822" s="62" t="n">
        <v>30219</v>
      </c>
      <c r="B822" t="n">
        <v>4542000</v>
      </c>
      <c r="C822" t="n">
        <v>671000</v>
      </c>
    </row>
    <row r="823">
      <c r="A823" s="62" t="n">
        <v>30226</v>
      </c>
      <c r="B823" t="n">
        <v>4629000</v>
      </c>
      <c r="C823" t="n">
        <v>695000</v>
      </c>
    </row>
    <row r="824">
      <c r="A824" s="62" t="n">
        <v>30233</v>
      </c>
      <c r="B824" t="n">
        <v>4689000</v>
      </c>
      <c r="C824" t="n">
        <v>651000</v>
      </c>
    </row>
    <row r="825">
      <c r="A825" s="62" t="n">
        <v>30240</v>
      </c>
      <c r="B825" t="n">
        <v>4599000</v>
      </c>
      <c r="C825" t="n">
        <v>656000</v>
      </c>
    </row>
    <row r="826">
      <c r="A826" s="62" t="n">
        <v>30247</v>
      </c>
      <c r="B826" t="n">
        <v>4686000</v>
      </c>
      <c r="C826" t="n">
        <v>623000</v>
      </c>
    </row>
    <row r="827">
      <c r="A827" s="62" t="n">
        <v>30254</v>
      </c>
      <c r="B827" t="n">
        <v>4595000</v>
      </c>
      <c r="C827" t="n">
        <v>637000</v>
      </c>
    </row>
    <row r="828">
      <c r="A828" s="62" t="n">
        <v>30261</v>
      </c>
      <c r="B828" t="n">
        <v>4713000</v>
      </c>
      <c r="C828" t="n">
        <v>589000</v>
      </c>
    </row>
    <row r="829">
      <c r="A829" s="62" t="n">
        <v>30268</v>
      </c>
      <c r="B829" t="n">
        <v>4554000</v>
      </c>
      <c r="C829" t="n">
        <v>599000</v>
      </c>
    </row>
    <row r="830">
      <c r="A830" s="62" t="n">
        <v>30275</v>
      </c>
      <c r="B830" t="n">
        <v>4695000</v>
      </c>
      <c r="C830" t="n">
        <v>577000</v>
      </c>
    </row>
    <row r="831">
      <c r="A831" s="62" t="n">
        <v>30282</v>
      </c>
      <c r="B831" t="n">
        <v>4442000</v>
      </c>
      <c r="C831" t="n">
        <v>612000</v>
      </c>
    </row>
    <row r="832">
      <c r="A832" s="62" t="n">
        <v>30289</v>
      </c>
      <c r="B832" t="n">
        <v>4509000</v>
      </c>
      <c r="C832" t="n">
        <v>557000</v>
      </c>
    </row>
    <row r="833">
      <c r="A833" s="62" t="n">
        <v>30296</v>
      </c>
      <c r="B833" t="n">
        <v>4339000</v>
      </c>
      <c r="C833" t="n">
        <v>533000</v>
      </c>
    </row>
    <row r="834">
      <c r="A834" s="62" t="n">
        <v>30303</v>
      </c>
      <c r="B834" t="n">
        <v>4371000</v>
      </c>
      <c r="C834" t="n">
        <v>516000</v>
      </c>
    </row>
    <row r="835">
      <c r="A835" s="62" t="n">
        <v>30310</v>
      </c>
      <c r="B835" t="n">
        <v>4381000</v>
      </c>
      <c r="C835" t="n">
        <v>489000</v>
      </c>
    </row>
    <row r="836">
      <c r="A836" s="62" t="n">
        <v>30317</v>
      </c>
      <c r="B836" t="n">
        <v>4010000</v>
      </c>
      <c r="C836" t="n">
        <v>534000</v>
      </c>
    </row>
    <row r="837">
      <c r="A837" s="62" t="n">
        <v>30324</v>
      </c>
      <c r="B837" t="n">
        <v>3885000</v>
      </c>
      <c r="C837" t="n">
        <v>510000</v>
      </c>
    </row>
    <row r="838">
      <c r="A838" s="62" t="n">
        <v>30331</v>
      </c>
      <c r="B838" t="n">
        <v>3950000</v>
      </c>
      <c r="C838" t="n">
        <v>479000</v>
      </c>
    </row>
    <row r="839">
      <c r="A839" s="62" t="n">
        <v>30338</v>
      </c>
      <c r="B839" t="n">
        <v>3860000</v>
      </c>
      <c r="C839" t="n">
        <v>479000</v>
      </c>
    </row>
    <row r="840">
      <c r="A840" s="62" t="n">
        <v>30345</v>
      </c>
      <c r="B840" t="n">
        <v>3890000</v>
      </c>
      <c r="C840" t="n">
        <v>503000</v>
      </c>
    </row>
    <row r="841">
      <c r="A841" s="62" t="n">
        <v>30352</v>
      </c>
      <c r="B841" t="n">
        <v>3877000</v>
      </c>
      <c r="C841" t="n">
        <v>501000</v>
      </c>
    </row>
    <row r="842">
      <c r="A842" s="62" t="n">
        <v>30359</v>
      </c>
      <c r="B842" t="n">
        <v>3865000</v>
      </c>
      <c r="C842" t="n">
        <v>486000</v>
      </c>
    </row>
    <row r="843">
      <c r="A843" s="62" t="n">
        <v>30366</v>
      </c>
      <c r="B843" t="n">
        <v>3819000</v>
      </c>
      <c r="C843" t="n">
        <v>487000</v>
      </c>
    </row>
    <row r="844">
      <c r="A844" s="62" t="n">
        <v>30373</v>
      </c>
      <c r="B844" t="n">
        <v>3876000</v>
      </c>
      <c r="C844" t="n">
        <v>481000</v>
      </c>
    </row>
    <row r="845">
      <c r="A845" s="62" t="n">
        <v>30380</v>
      </c>
      <c r="B845" t="n">
        <v>3797000</v>
      </c>
      <c r="C845" t="n">
        <v>495000</v>
      </c>
    </row>
    <row r="846">
      <c r="A846" s="62" t="n">
        <v>30387</v>
      </c>
      <c r="B846" t="n">
        <v>3787000</v>
      </c>
      <c r="C846" t="n">
        <v>475000</v>
      </c>
    </row>
    <row r="847">
      <c r="A847" s="62" t="n">
        <v>30394</v>
      </c>
      <c r="B847" t="n">
        <v>3752000</v>
      </c>
      <c r="C847" t="n">
        <v>470000</v>
      </c>
    </row>
    <row r="848">
      <c r="A848" s="62" t="n">
        <v>30401</v>
      </c>
      <c r="B848" t="n">
        <v>3734000</v>
      </c>
      <c r="C848" t="n">
        <v>481000</v>
      </c>
    </row>
    <row r="849">
      <c r="A849" s="62" t="n">
        <v>30408</v>
      </c>
      <c r="B849" t="n">
        <v>3759000</v>
      </c>
      <c r="C849" t="n">
        <v>491000</v>
      </c>
    </row>
    <row r="850">
      <c r="A850" s="62" t="n">
        <v>30415</v>
      </c>
      <c r="B850" t="n">
        <v>3814000</v>
      </c>
      <c r="C850" t="n">
        <v>496000</v>
      </c>
    </row>
    <row r="851">
      <c r="A851" s="62" t="n">
        <v>30422</v>
      </c>
      <c r="B851" t="n">
        <v>3744000</v>
      </c>
      <c r="C851" t="n">
        <v>515000</v>
      </c>
    </row>
    <row r="852">
      <c r="A852" s="62" t="n">
        <v>30429</v>
      </c>
      <c r="B852" t="n">
        <v>3762000</v>
      </c>
      <c r="C852" t="n">
        <v>488000</v>
      </c>
    </row>
    <row r="853">
      <c r="A853" s="62" t="n">
        <v>30436</v>
      </c>
      <c r="B853" t="n">
        <v>3722000</v>
      </c>
      <c r="C853" t="n">
        <v>490000</v>
      </c>
    </row>
    <row r="854">
      <c r="A854" s="62" t="n">
        <v>30443</v>
      </c>
      <c r="B854" t="n">
        <v>3714000</v>
      </c>
      <c r="C854" t="n">
        <v>494000</v>
      </c>
    </row>
    <row r="855">
      <c r="A855" s="62" t="n">
        <v>30450</v>
      </c>
      <c r="B855" t="n">
        <v>3625000</v>
      </c>
      <c r="C855" t="n">
        <v>464000</v>
      </c>
    </row>
    <row r="856">
      <c r="A856" s="62" t="n">
        <v>30457</v>
      </c>
      <c r="B856" t="n">
        <v>3701000</v>
      </c>
      <c r="C856" t="n">
        <v>460000</v>
      </c>
    </row>
    <row r="857">
      <c r="A857" s="62" t="n">
        <v>30464</v>
      </c>
      <c r="B857" t="n">
        <v>3457000</v>
      </c>
      <c r="C857" t="n">
        <v>454000</v>
      </c>
    </row>
    <row r="858">
      <c r="A858" s="62" t="n">
        <v>30471</v>
      </c>
      <c r="B858" t="n">
        <v>3548000</v>
      </c>
      <c r="C858" t="n">
        <v>459000</v>
      </c>
    </row>
    <row r="859">
      <c r="A859" s="62" t="n">
        <v>30478</v>
      </c>
      <c r="B859" t="n">
        <v>3453000</v>
      </c>
      <c r="C859" t="n">
        <v>442000</v>
      </c>
    </row>
    <row r="860">
      <c r="A860" s="62" t="n">
        <v>30485</v>
      </c>
      <c r="B860" t="n">
        <v>3452000</v>
      </c>
      <c r="C860" t="n">
        <v>434000</v>
      </c>
    </row>
    <row r="861">
      <c r="A861" s="62" t="n">
        <v>30492</v>
      </c>
      <c r="B861" t="n">
        <v>3369000</v>
      </c>
      <c r="C861" t="n">
        <v>442000</v>
      </c>
    </row>
    <row r="862">
      <c r="A862" s="62" t="n">
        <v>30499</v>
      </c>
      <c r="B862" t="n">
        <v>3239000</v>
      </c>
      <c r="C862" t="n">
        <v>422000</v>
      </c>
    </row>
    <row r="863">
      <c r="A863" s="62" t="n">
        <v>30506</v>
      </c>
      <c r="B863" t="n">
        <v>3226000</v>
      </c>
      <c r="C863" t="n">
        <v>412000</v>
      </c>
    </row>
    <row r="864">
      <c r="A864" s="62" t="n">
        <v>30513</v>
      </c>
      <c r="B864" t="n">
        <v>3216000</v>
      </c>
      <c r="C864" t="n">
        <v>396000</v>
      </c>
    </row>
    <row r="865">
      <c r="A865" s="62" t="n">
        <v>30520</v>
      </c>
      <c r="B865" t="n">
        <v>3155000</v>
      </c>
      <c r="C865" t="n">
        <v>395000</v>
      </c>
    </row>
    <row r="866">
      <c r="A866" s="62" t="n">
        <v>30527</v>
      </c>
      <c r="B866" t="n">
        <v>3112000</v>
      </c>
      <c r="C866" t="n">
        <v>415000</v>
      </c>
    </row>
    <row r="867">
      <c r="A867" s="62" t="n">
        <v>30534</v>
      </c>
      <c r="B867" t="n">
        <v>3106000</v>
      </c>
      <c r="C867" t="n">
        <v>415000</v>
      </c>
    </row>
    <row r="868">
      <c r="A868" s="62" t="n">
        <v>30541</v>
      </c>
      <c r="B868" t="n">
        <v>3107000</v>
      </c>
      <c r="C868" t="n">
        <v>457000</v>
      </c>
    </row>
    <row r="869">
      <c r="A869" s="62" t="n">
        <v>30548</v>
      </c>
      <c r="B869" t="n">
        <v>3131000</v>
      </c>
      <c r="C869" t="n">
        <v>445000</v>
      </c>
    </row>
    <row r="870">
      <c r="A870" s="62" t="n">
        <v>30555</v>
      </c>
      <c r="B870" t="n">
        <v>3079000</v>
      </c>
      <c r="C870" t="n">
        <v>426000</v>
      </c>
    </row>
    <row r="871">
      <c r="A871" s="62" t="n">
        <v>30562</v>
      </c>
      <c r="B871" t="n">
        <v>3055000</v>
      </c>
      <c r="C871" t="n">
        <v>411000</v>
      </c>
    </row>
    <row r="872">
      <c r="A872" s="62" t="n">
        <v>30569</v>
      </c>
      <c r="B872" t="n">
        <v>3007000</v>
      </c>
      <c r="C872" t="n">
        <v>403000</v>
      </c>
    </row>
    <row r="873">
      <c r="A873" s="62" t="n">
        <v>30576</v>
      </c>
      <c r="B873" t="n">
        <v>2993000</v>
      </c>
      <c r="C873" t="n">
        <v>405000</v>
      </c>
    </row>
    <row r="874">
      <c r="A874" s="62" t="n">
        <v>30583</v>
      </c>
      <c r="B874" t="n">
        <v>2973000</v>
      </c>
      <c r="C874" t="n">
        <v>416000</v>
      </c>
    </row>
    <row r="875">
      <c r="A875" s="62" t="n">
        <v>30590</v>
      </c>
      <c r="B875" t="n">
        <v>2926000</v>
      </c>
      <c r="C875" t="n">
        <v>413000</v>
      </c>
    </row>
    <row r="876">
      <c r="A876" s="62" t="n">
        <v>30597</v>
      </c>
      <c r="B876" t="n">
        <v>2929000</v>
      </c>
      <c r="C876" t="n">
        <v>406000</v>
      </c>
    </row>
    <row r="877">
      <c r="A877" s="62" t="n">
        <v>30604</v>
      </c>
      <c r="B877" t="n">
        <v>2913000</v>
      </c>
      <c r="C877" t="n">
        <v>394000</v>
      </c>
    </row>
    <row r="878">
      <c r="A878" s="62" t="n">
        <v>30611</v>
      </c>
      <c r="B878" t="n">
        <v>2886000</v>
      </c>
      <c r="C878" t="n">
        <v>394000</v>
      </c>
    </row>
    <row r="879">
      <c r="A879" s="62" t="n">
        <v>30618</v>
      </c>
      <c r="B879" t="n">
        <v>2860000</v>
      </c>
      <c r="C879" t="n">
        <v>404000</v>
      </c>
    </row>
    <row r="880">
      <c r="A880" s="62" t="n">
        <v>30625</v>
      </c>
      <c r="B880" t="n">
        <v>2750000</v>
      </c>
      <c r="C880" t="n">
        <v>395000</v>
      </c>
    </row>
    <row r="881">
      <c r="A881" s="62" t="n">
        <v>30632</v>
      </c>
      <c r="B881" t="n">
        <v>2789000</v>
      </c>
      <c r="C881" t="n">
        <v>390000</v>
      </c>
    </row>
    <row r="882">
      <c r="A882" s="62" t="n">
        <v>30639</v>
      </c>
      <c r="B882" t="n">
        <v>2879000</v>
      </c>
      <c r="C882" t="n">
        <v>387000</v>
      </c>
    </row>
    <row r="883">
      <c r="A883" s="62" t="n">
        <v>30646</v>
      </c>
      <c r="B883" t="n">
        <v>2733000</v>
      </c>
      <c r="C883" t="n">
        <v>398000</v>
      </c>
    </row>
    <row r="884">
      <c r="A884" s="62" t="n">
        <v>30653</v>
      </c>
      <c r="B884" t="n">
        <v>2737000</v>
      </c>
      <c r="C884" t="n">
        <v>365000</v>
      </c>
    </row>
    <row r="885">
      <c r="A885" s="62" t="n">
        <v>30660</v>
      </c>
      <c r="B885" t="n">
        <v>2666000</v>
      </c>
      <c r="C885" t="n">
        <v>368000</v>
      </c>
    </row>
    <row r="886">
      <c r="A886" s="62" t="n">
        <v>30667</v>
      </c>
      <c r="B886" t="n">
        <v>2796000</v>
      </c>
      <c r="C886" t="n">
        <v>362000</v>
      </c>
    </row>
    <row r="887">
      <c r="A887" s="62" t="n">
        <v>30674</v>
      </c>
      <c r="B887" t="n">
        <v>2718000</v>
      </c>
      <c r="C887" t="n">
        <v>377000</v>
      </c>
    </row>
    <row r="888">
      <c r="A888" s="62" t="n">
        <v>30681</v>
      </c>
      <c r="B888" t="n">
        <v>2644000</v>
      </c>
      <c r="C888" t="n">
        <v>372000</v>
      </c>
    </row>
    <row r="889">
      <c r="A889" s="62" t="n">
        <v>30688</v>
      </c>
      <c r="B889" t="n">
        <v>2588000</v>
      </c>
      <c r="C889" t="n">
        <v>356000</v>
      </c>
    </row>
    <row r="890">
      <c r="A890" s="62" t="n">
        <v>30695</v>
      </c>
      <c r="B890" t="n">
        <v>2522000</v>
      </c>
      <c r="C890" t="n">
        <v>351000</v>
      </c>
    </row>
    <row r="891">
      <c r="A891" s="62" t="n">
        <v>30702</v>
      </c>
      <c r="B891" t="n">
        <v>2531000</v>
      </c>
      <c r="C891" t="n">
        <v>333000</v>
      </c>
    </row>
    <row r="892">
      <c r="A892" s="62" t="n">
        <v>30709</v>
      </c>
      <c r="B892" t="n">
        <v>2556000</v>
      </c>
      <c r="C892" t="n">
        <v>364000</v>
      </c>
    </row>
    <row r="893">
      <c r="A893" s="62" t="n">
        <v>30716</v>
      </c>
      <c r="B893" t="n">
        <v>2531000</v>
      </c>
      <c r="C893" t="n">
        <v>342000</v>
      </c>
    </row>
    <row r="894">
      <c r="A894" s="62" t="n">
        <v>30723</v>
      </c>
      <c r="B894" t="n">
        <v>2453000</v>
      </c>
      <c r="C894" t="n">
        <v>338000</v>
      </c>
    </row>
    <row r="895">
      <c r="A895" s="62" t="n">
        <v>30730</v>
      </c>
      <c r="B895" t="n">
        <v>2425000</v>
      </c>
      <c r="C895" t="n">
        <v>334000</v>
      </c>
    </row>
    <row r="896">
      <c r="A896" s="62" t="n">
        <v>30737</v>
      </c>
      <c r="B896" t="n">
        <v>2469000</v>
      </c>
      <c r="C896" t="n">
        <v>343000</v>
      </c>
    </row>
    <row r="897">
      <c r="A897" s="62" t="n">
        <v>30744</v>
      </c>
      <c r="B897" t="n">
        <v>2441000</v>
      </c>
      <c r="C897" t="n">
        <v>347000</v>
      </c>
    </row>
    <row r="898">
      <c r="A898" s="62" t="n">
        <v>30751</v>
      </c>
      <c r="B898" t="n">
        <v>2431000</v>
      </c>
      <c r="C898" t="n">
        <v>346000</v>
      </c>
    </row>
    <row r="899">
      <c r="A899" s="62" t="n">
        <v>30758</v>
      </c>
      <c r="B899" t="n">
        <v>2426000</v>
      </c>
      <c r="C899" t="n">
        <v>349000</v>
      </c>
    </row>
    <row r="900">
      <c r="A900" s="62" t="n">
        <v>30765</v>
      </c>
      <c r="B900" t="n">
        <v>2412000</v>
      </c>
      <c r="C900" t="n">
        <v>346000</v>
      </c>
    </row>
    <row r="901">
      <c r="A901" s="62" t="n">
        <v>30772</v>
      </c>
      <c r="B901" t="n">
        <v>2412000</v>
      </c>
      <c r="C901" t="n">
        <v>341000</v>
      </c>
    </row>
    <row r="902">
      <c r="A902" s="62" t="n">
        <v>30779</v>
      </c>
      <c r="B902" t="n">
        <v>2425000</v>
      </c>
      <c r="C902" t="n">
        <v>381000</v>
      </c>
    </row>
    <row r="903">
      <c r="A903" s="62" t="n">
        <v>30786</v>
      </c>
      <c r="B903" t="n">
        <v>2396000</v>
      </c>
      <c r="C903" t="n">
        <v>357000</v>
      </c>
    </row>
    <row r="904">
      <c r="A904" s="62" t="n">
        <v>30793</v>
      </c>
      <c r="B904" t="n">
        <v>2433000</v>
      </c>
      <c r="C904" t="n">
        <v>364000</v>
      </c>
    </row>
    <row r="905">
      <c r="A905" s="62" t="n">
        <v>30800</v>
      </c>
      <c r="B905" t="n">
        <v>2435000</v>
      </c>
      <c r="C905" t="n">
        <v>375000</v>
      </c>
    </row>
    <row r="906">
      <c r="A906" s="62" t="n">
        <v>30807</v>
      </c>
      <c r="B906" t="n">
        <v>2430000</v>
      </c>
      <c r="C906" t="n">
        <v>365000</v>
      </c>
    </row>
    <row r="907">
      <c r="A907" s="62" t="n">
        <v>30814</v>
      </c>
      <c r="B907" t="n">
        <v>2386000</v>
      </c>
      <c r="C907" t="n">
        <v>368000</v>
      </c>
    </row>
    <row r="908">
      <c r="A908" s="62" t="n">
        <v>30821</v>
      </c>
      <c r="B908" t="n">
        <v>2401000</v>
      </c>
      <c r="C908" t="n">
        <v>354000</v>
      </c>
    </row>
    <row r="909">
      <c r="A909" s="62" t="n">
        <v>30828</v>
      </c>
      <c r="B909" t="n">
        <v>2323000</v>
      </c>
      <c r="C909" t="n">
        <v>354000</v>
      </c>
    </row>
    <row r="910">
      <c r="A910" s="62" t="n">
        <v>30835</v>
      </c>
      <c r="B910" t="n">
        <v>2379000</v>
      </c>
      <c r="C910" t="n">
        <v>355000</v>
      </c>
    </row>
    <row r="911">
      <c r="A911" s="62" t="n">
        <v>30842</v>
      </c>
      <c r="B911" t="n">
        <v>2391000</v>
      </c>
      <c r="C911" t="n">
        <v>369000</v>
      </c>
    </row>
    <row r="912">
      <c r="A912" s="62" t="n">
        <v>30849</v>
      </c>
      <c r="B912" t="n">
        <v>2364000</v>
      </c>
      <c r="C912" t="n">
        <v>361000</v>
      </c>
    </row>
    <row r="913">
      <c r="A913" s="62" t="n">
        <v>30856</v>
      </c>
      <c r="B913" t="n">
        <v>2339000</v>
      </c>
      <c r="C913" t="n">
        <v>362000</v>
      </c>
    </row>
    <row r="914">
      <c r="A914" s="62" t="n">
        <v>30863</v>
      </c>
      <c r="B914" t="n">
        <v>2329000</v>
      </c>
      <c r="C914" t="n">
        <v>360000</v>
      </c>
    </row>
    <row r="915">
      <c r="A915" s="62" t="n">
        <v>30870</v>
      </c>
      <c r="B915" t="n">
        <v>2375000</v>
      </c>
      <c r="C915" t="n">
        <v>366000</v>
      </c>
    </row>
    <row r="916">
      <c r="A916" s="62" t="n">
        <v>30877</v>
      </c>
      <c r="B916" t="n">
        <v>2371000</v>
      </c>
      <c r="C916" t="n">
        <v>360000</v>
      </c>
    </row>
    <row r="917">
      <c r="A917" s="62" t="n">
        <v>30884</v>
      </c>
      <c r="B917" t="n">
        <v>2337000</v>
      </c>
      <c r="C917" t="n">
        <v>357000</v>
      </c>
    </row>
    <row r="918">
      <c r="A918" s="62" t="n">
        <v>30891</v>
      </c>
      <c r="B918" t="n">
        <v>2329000</v>
      </c>
      <c r="C918" t="n">
        <v>359000</v>
      </c>
    </row>
    <row r="919">
      <c r="A919" s="62" t="n">
        <v>30898</v>
      </c>
      <c r="B919" t="n">
        <v>2332000</v>
      </c>
      <c r="C919" t="n">
        <v>382000</v>
      </c>
    </row>
    <row r="920">
      <c r="A920" s="62" t="n">
        <v>30905</v>
      </c>
      <c r="B920" t="n">
        <v>2390000</v>
      </c>
      <c r="C920" t="n">
        <v>380000</v>
      </c>
    </row>
    <row r="921">
      <c r="A921" s="62" t="n">
        <v>30912</v>
      </c>
      <c r="B921" t="n">
        <v>2416000</v>
      </c>
      <c r="C921" t="n">
        <v>401000</v>
      </c>
    </row>
    <row r="922">
      <c r="A922" s="62" t="n">
        <v>30919</v>
      </c>
      <c r="B922" t="n">
        <v>2405000</v>
      </c>
      <c r="C922" t="n">
        <v>395000</v>
      </c>
    </row>
    <row r="923">
      <c r="A923" s="62" t="n">
        <v>30926</v>
      </c>
      <c r="B923" t="n">
        <v>2410000</v>
      </c>
      <c r="C923" t="n">
        <v>385000</v>
      </c>
    </row>
    <row r="924">
      <c r="A924" s="62" t="n">
        <v>30933</v>
      </c>
      <c r="B924" t="n">
        <v>2435000</v>
      </c>
      <c r="C924" t="n">
        <v>402000</v>
      </c>
    </row>
    <row r="925">
      <c r="A925" s="62" t="n">
        <v>30940</v>
      </c>
      <c r="B925" t="n">
        <v>2434000</v>
      </c>
      <c r="C925" t="n">
        <v>393000</v>
      </c>
    </row>
    <row r="926">
      <c r="A926" s="62" t="n">
        <v>30947</v>
      </c>
      <c r="B926" t="n">
        <v>2421000</v>
      </c>
      <c r="C926" t="n">
        <v>395000</v>
      </c>
    </row>
    <row r="927">
      <c r="A927" s="62" t="n">
        <v>30954</v>
      </c>
      <c r="B927" t="n">
        <v>2474000</v>
      </c>
      <c r="C927" t="n">
        <v>402000</v>
      </c>
    </row>
    <row r="928">
      <c r="A928" s="62" t="n">
        <v>30961</v>
      </c>
      <c r="B928" t="n">
        <v>2455000</v>
      </c>
      <c r="C928" t="n">
        <v>403000</v>
      </c>
    </row>
    <row r="929">
      <c r="A929" s="62" t="n">
        <v>30968</v>
      </c>
      <c r="B929" t="n">
        <v>2538000</v>
      </c>
      <c r="C929" t="n">
        <v>410000</v>
      </c>
    </row>
    <row r="930">
      <c r="A930" s="62" t="n">
        <v>30975</v>
      </c>
      <c r="B930" t="n">
        <v>2529000</v>
      </c>
      <c r="C930" t="n">
        <v>439000</v>
      </c>
    </row>
    <row r="931">
      <c r="A931" s="62" t="n">
        <v>30982</v>
      </c>
      <c r="B931" t="n">
        <v>2574000</v>
      </c>
      <c r="C931" t="n">
        <v>425000</v>
      </c>
    </row>
    <row r="932">
      <c r="A932" s="62" t="n">
        <v>30989</v>
      </c>
      <c r="B932" t="n">
        <v>2578000</v>
      </c>
      <c r="C932" t="n">
        <v>423000</v>
      </c>
    </row>
    <row r="933">
      <c r="A933" s="62" t="n">
        <v>30996</v>
      </c>
      <c r="B933" t="n">
        <v>2545000</v>
      </c>
      <c r="C933" t="n">
        <v>393000</v>
      </c>
    </row>
    <row r="934">
      <c r="A934" s="62" t="n">
        <v>31003</v>
      </c>
      <c r="B934" t="n">
        <v>2645000</v>
      </c>
      <c r="C934" t="n">
        <v>383000</v>
      </c>
    </row>
    <row r="935">
      <c r="A935" s="62" t="n">
        <v>31010</v>
      </c>
      <c r="B935" t="n">
        <v>2569000</v>
      </c>
      <c r="C935" t="n">
        <v>429000</v>
      </c>
    </row>
    <row r="936">
      <c r="A936" s="62" t="n">
        <v>31017</v>
      </c>
      <c r="B936" t="n">
        <v>2529000</v>
      </c>
      <c r="C936" t="n">
        <v>401000</v>
      </c>
    </row>
    <row r="937">
      <c r="A937" s="62" t="n">
        <v>31024</v>
      </c>
      <c r="B937" t="n">
        <v>2589000</v>
      </c>
      <c r="C937" t="n">
        <v>383000</v>
      </c>
    </row>
    <row r="938">
      <c r="A938" s="62" t="n">
        <v>31031</v>
      </c>
      <c r="B938" t="n">
        <v>2594000</v>
      </c>
      <c r="C938" t="n">
        <v>386000</v>
      </c>
    </row>
    <row r="939">
      <c r="A939" s="62" t="n">
        <v>31038</v>
      </c>
      <c r="B939" t="n">
        <v>2487000</v>
      </c>
      <c r="C939" t="n">
        <v>379000</v>
      </c>
    </row>
    <row r="940">
      <c r="A940" s="62" t="n">
        <v>31045</v>
      </c>
      <c r="B940" t="n">
        <v>2536000</v>
      </c>
      <c r="C940" t="n">
        <v>379000</v>
      </c>
    </row>
    <row r="941">
      <c r="A941" s="62" t="n">
        <v>31052</v>
      </c>
      <c r="B941" t="n">
        <v>2593000</v>
      </c>
      <c r="C941" t="n">
        <v>369000</v>
      </c>
    </row>
    <row r="942">
      <c r="A942" s="62" t="n">
        <v>31059</v>
      </c>
      <c r="B942" t="n">
        <v>2543000</v>
      </c>
      <c r="C942" t="n">
        <v>387000</v>
      </c>
    </row>
    <row r="943">
      <c r="A943" s="62" t="n">
        <v>31066</v>
      </c>
      <c r="B943" t="n">
        <v>2472000</v>
      </c>
      <c r="C943" t="n">
        <v>359000</v>
      </c>
    </row>
    <row r="944">
      <c r="A944" s="62" t="n">
        <v>31073</v>
      </c>
      <c r="B944" t="n">
        <v>2601000</v>
      </c>
      <c r="C944" t="n">
        <v>368000</v>
      </c>
    </row>
    <row r="945">
      <c r="A945" s="62" t="n">
        <v>31080</v>
      </c>
      <c r="B945" t="n">
        <v>2632000</v>
      </c>
      <c r="C945" t="n">
        <v>386000</v>
      </c>
    </row>
    <row r="946">
      <c r="A946" s="62" t="n">
        <v>31087</v>
      </c>
      <c r="B946" t="n">
        <v>2608000</v>
      </c>
      <c r="C946" t="n">
        <v>401000</v>
      </c>
    </row>
    <row r="947">
      <c r="A947" s="62" t="n">
        <v>31094</v>
      </c>
      <c r="B947" t="n">
        <v>2613000</v>
      </c>
      <c r="C947" t="n">
        <v>390000</v>
      </c>
    </row>
    <row r="948">
      <c r="A948" s="62" t="n">
        <v>31101</v>
      </c>
      <c r="B948" t="n">
        <v>2641000</v>
      </c>
      <c r="C948" t="n">
        <v>390000</v>
      </c>
    </row>
    <row r="949">
      <c r="A949" s="62" t="n">
        <v>31108</v>
      </c>
      <c r="B949" t="n">
        <v>2571000</v>
      </c>
      <c r="C949" t="n">
        <v>374000</v>
      </c>
    </row>
    <row r="950">
      <c r="A950" s="62" t="n">
        <v>31115</v>
      </c>
      <c r="B950" t="n">
        <v>2591000</v>
      </c>
      <c r="C950" t="n">
        <v>385000</v>
      </c>
    </row>
    <row r="951">
      <c r="A951" s="62" t="n">
        <v>31122</v>
      </c>
      <c r="B951" t="n">
        <v>2578000</v>
      </c>
      <c r="C951" t="n">
        <v>386000</v>
      </c>
    </row>
    <row r="952">
      <c r="A952" s="62" t="n">
        <v>31129</v>
      </c>
      <c r="B952" t="n">
        <v>2556000</v>
      </c>
      <c r="C952" t="n">
        <v>373000</v>
      </c>
    </row>
    <row r="953">
      <c r="A953" s="62" t="n">
        <v>31136</v>
      </c>
      <c r="B953" t="n">
        <v>2526000</v>
      </c>
      <c r="C953" t="n">
        <v>386000</v>
      </c>
    </row>
    <row r="954">
      <c r="A954" s="62" t="n">
        <v>31143</v>
      </c>
      <c r="B954" t="n">
        <v>2569000</v>
      </c>
      <c r="C954" t="n">
        <v>405000</v>
      </c>
    </row>
    <row r="955">
      <c r="A955" s="62" t="n">
        <v>31150</v>
      </c>
      <c r="B955" t="n">
        <v>2600000</v>
      </c>
      <c r="C955" t="n">
        <v>411000</v>
      </c>
    </row>
    <row r="956">
      <c r="A956" s="62" t="n">
        <v>31157</v>
      </c>
      <c r="B956" t="n">
        <v>2584000</v>
      </c>
      <c r="C956" t="n">
        <v>391000</v>
      </c>
    </row>
    <row r="957">
      <c r="A957" s="62" t="n">
        <v>31164</v>
      </c>
      <c r="B957" t="n">
        <v>2562000</v>
      </c>
      <c r="C957" t="n">
        <v>386000</v>
      </c>
    </row>
    <row r="958">
      <c r="A958" s="62" t="n">
        <v>31171</v>
      </c>
      <c r="B958" t="n">
        <v>2582000</v>
      </c>
      <c r="C958" t="n">
        <v>390000</v>
      </c>
    </row>
    <row r="959">
      <c r="A959" s="62" t="n">
        <v>31178</v>
      </c>
      <c r="B959" t="n">
        <v>2569000</v>
      </c>
      <c r="C959" t="n">
        <v>394000</v>
      </c>
    </row>
    <row r="960">
      <c r="A960" s="62" t="n">
        <v>31185</v>
      </c>
      <c r="B960" t="n">
        <v>2547000</v>
      </c>
      <c r="C960" t="n">
        <v>391000</v>
      </c>
    </row>
    <row r="961">
      <c r="A961" s="62" t="n">
        <v>31192</v>
      </c>
      <c r="B961" t="n">
        <v>2545000</v>
      </c>
      <c r="C961" t="n">
        <v>396000</v>
      </c>
    </row>
    <row r="962">
      <c r="A962" s="62" t="n">
        <v>31199</v>
      </c>
      <c r="B962" t="n">
        <v>2591000</v>
      </c>
      <c r="C962" t="n">
        <v>393000</v>
      </c>
    </row>
    <row r="963">
      <c r="A963" s="62" t="n">
        <v>31206</v>
      </c>
      <c r="B963" t="n">
        <v>2564000</v>
      </c>
      <c r="C963" t="n">
        <v>403000</v>
      </c>
    </row>
    <row r="964">
      <c r="A964" s="62" t="n">
        <v>31213</v>
      </c>
      <c r="B964" t="n">
        <v>2549000</v>
      </c>
      <c r="C964" t="n">
        <v>390000</v>
      </c>
    </row>
    <row r="965">
      <c r="A965" s="62" t="n">
        <v>31220</v>
      </c>
      <c r="B965" t="n">
        <v>2550000</v>
      </c>
      <c r="C965" t="n">
        <v>386000</v>
      </c>
    </row>
    <row r="966">
      <c r="A966" s="62" t="n">
        <v>31227</v>
      </c>
      <c r="B966" t="n">
        <v>2505000</v>
      </c>
      <c r="C966" t="n">
        <v>390000</v>
      </c>
    </row>
    <row r="967">
      <c r="A967" s="62" t="n">
        <v>31234</v>
      </c>
      <c r="B967" t="n">
        <v>2609000</v>
      </c>
      <c r="C967" t="n">
        <v>395000</v>
      </c>
    </row>
    <row r="968">
      <c r="A968" s="62" t="n">
        <v>31241</v>
      </c>
      <c r="B968" t="n">
        <v>2519000</v>
      </c>
      <c r="C968" t="n">
        <v>386000</v>
      </c>
    </row>
    <row r="969">
      <c r="A969" s="62" t="n">
        <v>31248</v>
      </c>
      <c r="B969" t="n">
        <v>2520000</v>
      </c>
      <c r="C969" t="n">
        <v>370000</v>
      </c>
    </row>
    <row r="970">
      <c r="A970" s="62" t="n">
        <v>31255</v>
      </c>
      <c r="B970" t="n">
        <v>2522000</v>
      </c>
      <c r="C970" t="n">
        <v>362000</v>
      </c>
    </row>
    <row r="971">
      <c r="A971" s="62" t="n">
        <v>31262</v>
      </c>
      <c r="B971" t="n">
        <v>2518000</v>
      </c>
      <c r="C971" t="n">
        <v>407000</v>
      </c>
    </row>
    <row r="972">
      <c r="A972" s="62" t="n">
        <v>31269</v>
      </c>
      <c r="B972" t="n">
        <v>2565000</v>
      </c>
      <c r="C972" t="n">
        <v>402000</v>
      </c>
    </row>
    <row r="973">
      <c r="A973" s="62" t="n">
        <v>31276</v>
      </c>
      <c r="B973" t="n">
        <v>2574000</v>
      </c>
      <c r="C973" t="n">
        <v>399000</v>
      </c>
    </row>
    <row r="974">
      <c r="A974" s="62" t="n">
        <v>31283</v>
      </c>
      <c r="B974" t="n">
        <v>2561000</v>
      </c>
      <c r="C974" t="n">
        <v>405000</v>
      </c>
    </row>
    <row r="975">
      <c r="A975" s="62" t="n">
        <v>31290</v>
      </c>
      <c r="B975" t="n">
        <v>2595000</v>
      </c>
      <c r="C975" t="n">
        <v>409000</v>
      </c>
    </row>
    <row r="976">
      <c r="A976" s="62" t="n">
        <v>31297</v>
      </c>
      <c r="B976" t="n">
        <v>2596000</v>
      </c>
      <c r="C976" t="n">
        <v>426000</v>
      </c>
    </row>
    <row r="977">
      <c r="A977" s="62" t="n">
        <v>31304</v>
      </c>
      <c r="B977" t="n">
        <v>2590000</v>
      </c>
      <c r="C977" t="n">
        <v>408000</v>
      </c>
    </row>
    <row r="978">
      <c r="A978" s="62" t="n">
        <v>31311</v>
      </c>
      <c r="B978" t="n">
        <v>2513000</v>
      </c>
      <c r="C978" t="n">
        <v>401000</v>
      </c>
    </row>
    <row r="979">
      <c r="A979" s="62" t="n">
        <v>31318</v>
      </c>
      <c r="B979" t="n">
        <v>2623000</v>
      </c>
      <c r="C979" t="n">
        <v>399000</v>
      </c>
    </row>
    <row r="980">
      <c r="A980" s="62" t="n">
        <v>31325</v>
      </c>
      <c r="B980" t="n">
        <v>2657000</v>
      </c>
      <c r="C980" t="n">
        <v>405000</v>
      </c>
    </row>
    <row r="981">
      <c r="A981" s="62" t="n">
        <v>31332</v>
      </c>
      <c r="B981" t="n">
        <v>2569000</v>
      </c>
      <c r="C981" t="n">
        <v>400000</v>
      </c>
    </row>
    <row r="982">
      <c r="A982" s="62" t="n">
        <v>31339</v>
      </c>
      <c r="B982" t="n">
        <v>2644000</v>
      </c>
      <c r="C982" t="n">
        <v>400000</v>
      </c>
    </row>
    <row r="983">
      <c r="A983" s="62" t="n">
        <v>31346</v>
      </c>
      <c r="B983" t="n">
        <v>2657000</v>
      </c>
      <c r="C983" t="n">
        <v>418000</v>
      </c>
    </row>
    <row r="984">
      <c r="A984" s="62" t="n">
        <v>31353</v>
      </c>
      <c r="B984" t="n">
        <v>2673000</v>
      </c>
      <c r="C984" t="n">
        <v>398000</v>
      </c>
    </row>
    <row r="985">
      <c r="A985" s="62" t="n">
        <v>31360</v>
      </c>
      <c r="B985" t="n">
        <v>2612000</v>
      </c>
      <c r="C985" t="n">
        <v>397000</v>
      </c>
    </row>
    <row r="986">
      <c r="A986" s="62" t="n">
        <v>31367</v>
      </c>
      <c r="B986" t="n">
        <v>2618000</v>
      </c>
      <c r="C986" t="n">
        <v>397000</v>
      </c>
    </row>
    <row r="987">
      <c r="A987" s="62" t="n">
        <v>31374</v>
      </c>
      <c r="B987" t="n">
        <v>2585000</v>
      </c>
      <c r="C987" t="n">
        <v>382000</v>
      </c>
    </row>
    <row r="988">
      <c r="A988" s="62" t="n">
        <v>31381</v>
      </c>
      <c r="B988" t="n">
        <v>2638000</v>
      </c>
      <c r="C988" t="n">
        <v>393000</v>
      </c>
    </row>
    <row r="989">
      <c r="A989" s="62" t="n">
        <v>31388</v>
      </c>
      <c r="B989" t="n">
        <v>2744000</v>
      </c>
      <c r="C989" t="n">
        <v>399000</v>
      </c>
    </row>
    <row r="990">
      <c r="A990" s="62" t="n">
        <v>31395</v>
      </c>
      <c r="B990" t="n">
        <v>2680000</v>
      </c>
      <c r="C990" t="n">
        <v>382000</v>
      </c>
    </row>
    <row r="991">
      <c r="A991" s="62" t="n">
        <v>31402</v>
      </c>
      <c r="B991" t="n">
        <v>2543000</v>
      </c>
      <c r="C991" t="n">
        <v>370000</v>
      </c>
    </row>
    <row r="992">
      <c r="A992" s="62" t="n">
        <v>31409</v>
      </c>
      <c r="B992" t="n">
        <v>2608000</v>
      </c>
      <c r="C992" t="n">
        <v>390000</v>
      </c>
    </row>
    <row r="993">
      <c r="A993" s="62" t="n">
        <v>31416</v>
      </c>
      <c r="B993" t="n">
        <v>2694000</v>
      </c>
      <c r="C993" t="n">
        <v>362000</v>
      </c>
    </row>
    <row r="994">
      <c r="A994" s="62" t="n">
        <v>31423</v>
      </c>
      <c r="B994" t="n">
        <v>2636000</v>
      </c>
      <c r="C994" t="n">
        <v>397000</v>
      </c>
    </row>
    <row r="995">
      <c r="A995" s="62" t="n">
        <v>31430</v>
      </c>
      <c r="B995" t="n">
        <v>2516000</v>
      </c>
      <c r="C995" t="n">
        <v>364000</v>
      </c>
    </row>
    <row r="996">
      <c r="A996" s="62" t="n">
        <v>31437</v>
      </c>
      <c r="B996" t="n">
        <v>2570000</v>
      </c>
      <c r="C996" t="n">
        <v>344000</v>
      </c>
    </row>
    <row r="997">
      <c r="A997" s="62" t="n">
        <v>31444</v>
      </c>
      <c r="B997" t="n">
        <v>2531000</v>
      </c>
      <c r="C997" t="n">
        <v>364000</v>
      </c>
    </row>
    <row r="998">
      <c r="A998" s="62" t="n">
        <v>31451</v>
      </c>
      <c r="B998" t="n">
        <v>2548000</v>
      </c>
      <c r="C998" t="n">
        <v>366000</v>
      </c>
    </row>
    <row r="999">
      <c r="A999" s="62" t="n">
        <v>31458</v>
      </c>
      <c r="B999" t="n">
        <v>2569000</v>
      </c>
      <c r="C999" t="n">
        <v>358000</v>
      </c>
    </row>
    <row r="1000">
      <c r="A1000" s="62" t="n">
        <v>31465</v>
      </c>
      <c r="B1000" t="n">
        <v>2626000</v>
      </c>
      <c r="C1000" t="n">
        <v>390000</v>
      </c>
    </row>
    <row r="1001">
      <c r="A1001" s="62" t="n">
        <v>31472</v>
      </c>
      <c r="B1001" t="n">
        <v>2570000</v>
      </c>
      <c r="C1001" t="n">
        <v>375000</v>
      </c>
    </row>
    <row r="1002">
      <c r="A1002" s="62" t="n">
        <v>31479</v>
      </c>
      <c r="B1002" t="n">
        <v>2603000</v>
      </c>
      <c r="C1002" t="n">
        <v>366000</v>
      </c>
    </row>
    <row r="1003">
      <c r="A1003" s="62" t="n">
        <v>31486</v>
      </c>
      <c r="B1003" t="n">
        <v>2589000</v>
      </c>
      <c r="C1003" t="n">
        <v>382000</v>
      </c>
    </row>
    <row r="1004">
      <c r="A1004" s="62" t="n">
        <v>31493</v>
      </c>
      <c r="B1004" t="n">
        <v>2592000</v>
      </c>
      <c r="C1004" t="n">
        <v>387000</v>
      </c>
    </row>
    <row r="1005">
      <c r="A1005" s="62" t="n">
        <v>31500</v>
      </c>
      <c r="B1005" t="n">
        <v>2614000</v>
      </c>
      <c r="C1005" t="n">
        <v>396000</v>
      </c>
    </row>
    <row r="1006">
      <c r="A1006" s="62" t="n">
        <v>31507</v>
      </c>
      <c r="B1006" t="n">
        <v>2625000</v>
      </c>
      <c r="C1006" t="n">
        <v>381000</v>
      </c>
    </row>
    <row r="1007">
      <c r="A1007" s="62" t="n">
        <v>31514</v>
      </c>
      <c r="B1007" t="n">
        <v>2570000</v>
      </c>
      <c r="C1007" t="n">
        <v>388000</v>
      </c>
    </row>
    <row r="1008">
      <c r="A1008" s="62" t="n">
        <v>31521</v>
      </c>
      <c r="B1008" t="n">
        <v>2613000</v>
      </c>
      <c r="C1008" t="n">
        <v>383000</v>
      </c>
    </row>
    <row r="1009">
      <c r="A1009" s="62" t="n">
        <v>31528</v>
      </c>
      <c r="B1009" t="n">
        <v>2627000</v>
      </c>
      <c r="C1009" t="n">
        <v>391000</v>
      </c>
    </row>
    <row r="1010">
      <c r="A1010" s="62" t="n">
        <v>31535</v>
      </c>
      <c r="B1010" t="n">
        <v>2670000</v>
      </c>
      <c r="C1010" t="n">
        <v>392000</v>
      </c>
    </row>
    <row r="1011">
      <c r="A1011" s="62" t="n">
        <v>31542</v>
      </c>
      <c r="B1011" t="n">
        <v>2670000</v>
      </c>
      <c r="C1011" t="n">
        <v>395000</v>
      </c>
    </row>
    <row r="1012">
      <c r="A1012" s="62" t="n">
        <v>31549</v>
      </c>
      <c r="B1012" t="n">
        <v>2669000</v>
      </c>
      <c r="C1012" t="n">
        <v>384000</v>
      </c>
    </row>
    <row r="1013">
      <c r="A1013" s="62" t="n">
        <v>31556</v>
      </c>
      <c r="B1013" t="n">
        <v>2638000</v>
      </c>
      <c r="C1013" t="n">
        <v>386000</v>
      </c>
    </row>
    <row r="1014">
      <c r="A1014" s="62" t="n">
        <v>31563</v>
      </c>
      <c r="B1014" t="n">
        <v>2708000</v>
      </c>
      <c r="C1014" t="n">
        <v>373000</v>
      </c>
    </row>
    <row r="1015">
      <c r="A1015" s="62" t="n">
        <v>31570</v>
      </c>
      <c r="B1015" t="n">
        <v>2653000</v>
      </c>
      <c r="C1015" t="n">
        <v>375000</v>
      </c>
    </row>
    <row r="1016">
      <c r="A1016" s="62" t="n">
        <v>31577</v>
      </c>
      <c r="B1016" t="n">
        <v>2644000</v>
      </c>
      <c r="C1016" t="n">
        <v>369000</v>
      </c>
    </row>
    <row r="1017">
      <c r="A1017" s="62" t="n">
        <v>31584</v>
      </c>
      <c r="B1017" t="n">
        <v>2637000</v>
      </c>
      <c r="C1017" t="n">
        <v>367000</v>
      </c>
    </row>
    <row r="1018">
      <c r="A1018" s="62" t="n">
        <v>31591</v>
      </c>
      <c r="B1018" t="n">
        <v>2606000</v>
      </c>
      <c r="C1018" t="n">
        <v>371000</v>
      </c>
    </row>
    <row r="1019">
      <c r="A1019" s="62" t="n">
        <v>31598</v>
      </c>
      <c r="B1019" t="n">
        <v>2669000</v>
      </c>
      <c r="C1019" t="n">
        <v>371000</v>
      </c>
    </row>
    <row r="1020">
      <c r="A1020" s="62" t="n">
        <v>31605</v>
      </c>
      <c r="B1020" t="n">
        <v>2552000</v>
      </c>
      <c r="C1020" t="n">
        <v>361000</v>
      </c>
    </row>
    <row r="1021">
      <c r="A1021" s="62" t="n">
        <v>31612</v>
      </c>
      <c r="B1021" t="n">
        <v>2593000</v>
      </c>
      <c r="C1021" t="n">
        <v>354000</v>
      </c>
    </row>
    <row r="1022">
      <c r="A1022" s="62" t="n">
        <v>31619</v>
      </c>
      <c r="B1022" t="n">
        <v>2618000</v>
      </c>
      <c r="C1022" t="n">
        <v>362000</v>
      </c>
    </row>
    <row r="1023">
      <c r="A1023" s="62" t="n">
        <v>31626</v>
      </c>
      <c r="B1023" t="n">
        <v>2583000</v>
      </c>
      <c r="C1023" t="n">
        <v>416000</v>
      </c>
    </row>
    <row r="1024">
      <c r="A1024" s="62" t="n">
        <v>31633</v>
      </c>
      <c r="B1024" t="n">
        <v>2686000</v>
      </c>
      <c r="C1024" t="n">
        <v>416000</v>
      </c>
    </row>
    <row r="1025">
      <c r="A1025" s="62" t="n">
        <v>31640</v>
      </c>
      <c r="B1025" t="n">
        <v>2658000</v>
      </c>
      <c r="C1025" t="n">
        <v>407000</v>
      </c>
    </row>
    <row r="1026">
      <c r="A1026" s="62" t="n">
        <v>31647</v>
      </c>
      <c r="B1026" t="n">
        <v>2687000</v>
      </c>
      <c r="C1026" t="n">
        <v>397000</v>
      </c>
    </row>
    <row r="1027">
      <c r="A1027" s="62" t="n">
        <v>31654</v>
      </c>
      <c r="B1027" t="n">
        <v>2664000</v>
      </c>
      <c r="C1027" t="n">
        <v>401000</v>
      </c>
    </row>
    <row r="1028">
      <c r="A1028" s="62" t="n">
        <v>31661</v>
      </c>
      <c r="B1028" t="n">
        <v>2756000</v>
      </c>
      <c r="C1028" t="n">
        <v>400000</v>
      </c>
    </row>
    <row r="1029">
      <c r="A1029" s="62" t="n">
        <v>31668</v>
      </c>
      <c r="B1029" t="n">
        <v>2671000</v>
      </c>
      <c r="C1029" t="n">
        <v>394000</v>
      </c>
    </row>
    <row r="1030">
      <c r="A1030" s="62" t="n">
        <v>31675</v>
      </c>
      <c r="B1030" t="n">
        <v>2703000</v>
      </c>
      <c r="C1030" t="n">
        <v>399000</v>
      </c>
    </row>
    <row r="1031">
      <c r="A1031" s="62" t="n">
        <v>31682</v>
      </c>
      <c r="B1031" t="n">
        <v>2698000</v>
      </c>
      <c r="C1031" t="n">
        <v>389000</v>
      </c>
    </row>
    <row r="1032">
      <c r="A1032" s="62" t="n">
        <v>31689</v>
      </c>
      <c r="B1032" t="n">
        <v>2780000</v>
      </c>
      <c r="C1032" t="n">
        <v>391000</v>
      </c>
    </row>
    <row r="1033">
      <c r="A1033" s="62" t="n">
        <v>31696</v>
      </c>
      <c r="B1033" t="n">
        <v>2665000</v>
      </c>
      <c r="C1033" t="n">
        <v>387000</v>
      </c>
    </row>
    <row r="1034">
      <c r="A1034" s="62" t="n">
        <v>31703</v>
      </c>
      <c r="B1034" t="n">
        <v>2723000</v>
      </c>
      <c r="C1034" t="n">
        <v>385000</v>
      </c>
    </row>
    <row r="1035">
      <c r="A1035" s="62" t="n">
        <v>31710</v>
      </c>
      <c r="B1035" t="n">
        <v>2707000</v>
      </c>
      <c r="C1035" t="n">
        <v>370000</v>
      </c>
    </row>
    <row r="1036">
      <c r="A1036" s="62" t="n">
        <v>31717</v>
      </c>
      <c r="B1036" t="n">
        <v>2646000</v>
      </c>
      <c r="C1036" t="n">
        <v>364000</v>
      </c>
    </row>
    <row r="1037">
      <c r="A1037" s="62" t="n">
        <v>31724</v>
      </c>
      <c r="B1037" t="n">
        <v>2614000</v>
      </c>
      <c r="C1037" t="n">
        <v>349000</v>
      </c>
    </row>
    <row r="1038">
      <c r="A1038" s="62" t="n">
        <v>31731</v>
      </c>
      <c r="B1038" t="n">
        <v>2653000</v>
      </c>
      <c r="C1038" t="n">
        <v>368000</v>
      </c>
    </row>
    <row r="1039">
      <c r="A1039" s="62" t="n">
        <v>31738</v>
      </c>
      <c r="B1039" t="n">
        <v>2555000</v>
      </c>
      <c r="C1039" t="n">
        <v>369000</v>
      </c>
    </row>
    <row r="1040">
      <c r="A1040" s="62" t="n">
        <v>31745</v>
      </c>
      <c r="B1040" t="n">
        <v>2686000</v>
      </c>
      <c r="C1040" t="n">
        <v>366000</v>
      </c>
    </row>
    <row r="1041">
      <c r="A1041" s="62" t="n">
        <v>31752</v>
      </c>
      <c r="B1041" t="n">
        <v>2634000</v>
      </c>
      <c r="C1041" t="n">
        <v>363000</v>
      </c>
    </row>
    <row r="1042">
      <c r="A1042" s="62" t="n">
        <v>31759</v>
      </c>
      <c r="B1042" t="n">
        <v>2587000</v>
      </c>
      <c r="C1042" t="n">
        <v>375000</v>
      </c>
    </row>
    <row r="1043">
      <c r="A1043" s="62" t="n">
        <v>31766</v>
      </c>
      <c r="B1043" t="n">
        <v>2499000</v>
      </c>
      <c r="C1043" t="n">
        <v>350000</v>
      </c>
    </row>
    <row r="1044">
      <c r="A1044" s="62" t="n">
        <v>31773</v>
      </c>
      <c r="B1044" t="n">
        <v>2565000</v>
      </c>
      <c r="C1044" t="n">
        <v>345000</v>
      </c>
    </row>
    <row r="1045">
      <c r="A1045" s="62" t="n">
        <v>31780</v>
      </c>
      <c r="B1045" t="n">
        <v>2590000</v>
      </c>
      <c r="C1045" t="n">
        <v>323000</v>
      </c>
    </row>
    <row r="1046">
      <c r="A1046" s="62" t="n">
        <v>31787</v>
      </c>
      <c r="B1046" t="n">
        <v>2508000</v>
      </c>
      <c r="C1046" t="n">
        <v>348000</v>
      </c>
    </row>
    <row r="1047">
      <c r="A1047" s="62" t="n">
        <v>31794</v>
      </c>
      <c r="B1047" t="n">
        <v>2443000</v>
      </c>
      <c r="C1047" t="n">
        <v>341000</v>
      </c>
    </row>
    <row r="1048">
      <c r="A1048" s="62" t="n">
        <v>31801</v>
      </c>
      <c r="B1048" t="n">
        <v>2506000</v>
      </c>
      <c r="C1048" t="n">
        <v>346000</v>
      </c>
    </row>
    <row r="1049">
      <c r="A1049" s="62" t="n">
        <v>31808</v>
      </c>
      <c r="B1049" t="n">
        <v>2515000</v>
      </c>
      <c r="C1049" t="n">
        <v>370000</v>
      </c>
    </row>
    <row r="1050">
      <c r="A1050" s="62" t="n">
        <v>31815</v>
      </c>
      <c r="B1050" t="n">
        <v>2496000</v>
      </c>
      <c r="C1050" t="n">
        <v>368000</v>
      </c>
    </row>
    <row r="1051">
      <c r="A1051" s="62" t="n">
        <v>31822</v>
      </c>
      <c r="B1051" t="n">
        <v>2451000</v>
      </c>
      <c r="C1051" t="n">
        <v>338000</v>
      </c>
    </row>
    <row r="1052">
      <c r="A1052" s="62" t="n">
        <v>31829</v>
      </c>
      <c r="B1052" t="n">
        <v>2481000</v>
      </c>
      <c r="C1052" t="n">
        <v>341000</v>
      </c>
    </row>
    <row r="1053">
      <c r="A1053" s="62" t="n">
        <v>31836</v>
      </c>
      <c r="B1053" t="n">
        <v>2460000</v>
      </c>
      <c r="C1053" t="n">
        <v>348000</v>
      </c>
    </row>
    <row r="1054">
      <c r="A1054" s="62" t="n">
        <v>31843</v>
      </c>
      <c r="B1054" t="n">
        <v>2456000</v>
      </c>
      <c r="C1054" t="n">
        <v>337000</v>
      </c>
    </row>
    <row r="1055">
      <c r="A1055" s="62" t="n">
        <v>31850</v>
      </c>
      <c r="B1055" t="n">
        <v>2450000</v>
      </c>
      <c r="C1055" t="n">
        <v>335000</v>
      </c>
    </row>
    <row r="1056">
      <c r="A1056" s="62" t="n">
        <v>31857</v>
      </c>
      <c r="B1056" t="n">
        <v>2401000</v>
      </c>
      <c r="C1056" t="n">
        <v>335000</v>
      </c>
    </row>
    <row r="1057">
      <c r="A1057" s="62" t="n">
        <v>31864</v>
      </c>
      <c r="B1057" t="n">
        <v>2410000</v>
      </c>
      <c r="C1057" t="n">
        <v>326000</v>
      </c>
    </row>
    <row r="1058">
      <c r="A1058" s="62" t="n">
        <v>31871</v>
      </c>
      <c r="B1058" t="n">
        <v>2482000</v>
      </c>
      <c r="C1058" t="n">
        <v>330000</v>
      </c>
    </row>
    <row r="1059">
      <c r="A1059" s="62" t="n">
        <v>31878</v>
      </c>
      <c r="B1059" t="n">
        <v>2366000</v>
      </c>
      <c r="C1059" t="n">
        <v>338000</v>
      </c>
    </row>
    <row r="1060">
      <c r="A1060" s="62" t="n">
        <v>31885</v>
      </c>
      <c r="B1060" t="n">
        <v>2410000</v>
      </c>
      <c r="C1060" t="n">
        <v>349000</v>
      </c>
    </row>
    <row r="1061">
      <c r="A1061" s="62" t="n">
        <v>31892</v>
      </c>
      <c r="B1061" t="n">
        <v>2386000</v>
      </c>
      <c r="C1061" t="n">
        <v>328000</v>
      </c>
    </row>
    <row r="1062">
      <c r="A1062" s="62" t="n">
        <v>31899</v>
      </c>
      <c r="B1062" t="n">
        <v>2302000</v>
      </c>
      <c r="C1062" t="n">
        <v>330000</v>
      </c>
    </row>
    <row r="1063">
      <c r="A1063" s="62" t="n">
        <v>31906</v>
      </c>
      <c r="B1063" t="n">
        <v>2347000</v>
      </c>
      <c r="C1063" t="n">
        <v>315000</v>
      </c>
    </row>
    <row r="1064">
      <c r="A1064" s="62" t="n">
        <v>31913</v>
      </c>
      <c r="B1064" t="n">
        <v>2326000</v>
      </c>
      <c r="C1064" t="n">
        <v>341000</v>
      </c>
    </row>
    <row r="1065">
      <c r="A1065" s="62" t="n">
        <v>31920</v>
      </c>
      <c r="B1065" t="n">
        <v>2275000</v>
      </c>
      <c r="C1065" t="n">
        <v>343000</v>
      </c>
    </row>
    <row r="1066">
      <c r="A1066" s="62" t="n">
        <v>31927</v>
      </c>
      <c r="B1066" t="n">
        <v>2370000</v>
      </c>
      <c r="C1066" t="n">
        <v>326000</v>
      </c>
    </row>
    <row r="1067">
      <c r="A1067" s="62" t="n">
        <v>31934</v>
      </c>
      <c r="B1067" t="n">
        <v>2259000</v>
      </c>
      <c r="C1067" t="n">
        <v>328000</v>
      </c>
    </row>
    <row r="1068">
      <c r="A1068" s="62" t="n">
        <v>31941</v>
      </c>
      <c r="B1068" t="n">
        <v>2278000</v>
      </c>
      <c r="C1068" t="n">
        <v>316000</v>
      </c>
    </row>
    <row r="1069">
      <c r="A1069" s="62" t="n">
        <v>31948</v>
      </c>
      <c r="B1069" t="n">
        <v>2258000</v>
      </c>
      <c r="C1069" t="n">
        <v>319000</v>
      </c>
    </row>
    <row r="1070">
      <c r="A1070" s="62" t="n">
        <v>31955</v>
      </c>
      <c r="B1070" t="n">
        <v>2321000</v>
      </c>
      <c r="C1070" t="n">
        <v>326000</v>
      </c>
    </row>
    <row r="1071">
      <c r="A1071" s="62" t="n">
        <v>31962</v>
      </c>
      <c r="B1071" t="n">
        <v>2173000</v>
      </c>
      <c r="C1071" t="n">
        <v>326000</v>
      </c>
    </row>
    <row r="1072">
      <c r="A1072" s="62" t="n">
        <v>31969</v>
      </c>
      <c r="B1072" t="n">
        <v>2155000</v>
      </c>
      <c r="C1072" t="n">
        <v>317000</v>
      </c>
    </row>
    <row r="1073">
      <c r="A1073" s="62" t="n">
        <v>31976</v>
      </c>
      <c r="B1073" t="n">
        <v>2211000</v>
      </c>
      <c r="C1073" t="n">
        <v>310000</v>
      </c>
    </row>
    <row r="1074">
      <c r="A1074" s="62" t="n">
        <v>31983</v>
      </c>
      <c r="B1074" t="n">
        <v>2247000</v>
      </c>
      <c r="C1074" t="n">
        <v>324000</v>
      </c>
    </row>
    <row r="1075">
      <c r="A1075" s="62" t="n">
        <v>31990</v>
      </c>
      <c r="B1075" t="n">
        <v>2232000</v>
      </c>
      <c r="C1075" t="n">
        <v>348000</v>
      </c>
    </row>
    <row r="1076">
      <c r="A1076" s="62" t="n">
        <v>31997</v>
      </c>
      <c r="B1076" t="n">
        <v>2263000</v>
      </c>
      <c r="C1076" t="n">
        <v>327000</v>
      </c>
    </row>
    <row r="1077">
      <c r="A1077" s="62" t="n">
        <v>32004</v>
      </c>
      <c r="B1077" t="n">
        <v>2194000</v>
      </c>
      <c r="C1077" t="n">
        <v>319000</v>
      </c>
    </row>
    <row r="1078">
      <c r="A1078" s="62" t="n">
        <v>32011</v>
      </c>
      <c r="B1078" t="n">
        <v>2190000</v>
      </c>
      <c r="C1078" t="n">
        <v>312000</v>
      </c>
    </row>
    <row r="1079">
      <c r="A1079" s="62" t="n">
        <v>32018</v>
      </c>
      <c r="B1079" t="n">
        <v>2179000</v>
      </c>
      <c r="C1079" t="n">
        <v>322000</v>
      </c>
    </row>
    <row r="1080">
      <c r="A1080" s="62" t="n">
        <v>32025</v>
      </c>
      <c r="B1080" t="n">
        <v>2125000</v>
      </c>
      <c r="C1080" t="n">
        <v>316000</v>
      </c>
    </row>
    <row r="1081">
      <c r="A1081" s="62" t="n">
        <v>32032</v>
      </c>
      <c r="B1081" t="n">
        <v>2172000</v>
      </c>
      <c r="C1081" t="n">
        <v>297000</v>
      </c>
    </row>
    <row r="1082">
      <c r="A1082" s="62" t="n">
        <v>32039</v>
      </c>
      <c r="B1082" t="n">
        <v>2351000</v>
      </c>
      <c r="C1082" t="n">
        <v>309000</v>
      </c>
    </row>
    <row r="1083">
      <c r="A1083" s="62" t="n">
        <v>32046</v>
      </c>
      <c r="B1083" t="n">
        <v>2139000</v>
      </c>
      <c r="C1083" t="n">
        <v>317000</v>
      </c>
    </row>
    <row r="1084">
      <c r="A1084" s="62" t="n">
        <v>32053</v>
      </c>
      <c r="B1084" t="n">
        <v>2151000</v>
      </c>
      <c r="C1084" t="n">
        <v>301000</v>
      </c>
    </row>
    <row r="1085">
      <c r="A1085" s="62" t="n">
        <v>32060</v>
      </c>
      <c r="B1085" t="n">
        <v>2101000</v>
      </c>
      <c r="C1085" t="n">
        <v>308000</v>
      </c>
    </row>
    <row r="1086">
      <c r="A1086" s="62" t="n">
        <v>32067</v>
      </c>
      <c r="B1086" t="n">
        <v>2074000</v>
      </c>
      <c r="C1086" t="n">
        <v>301000</v>
      </c>
    </row>
    <row r="1087">
      <c r="A1087" s="62" t="n">
        <v>32074</v>
      </c>
      <c r="B1087" t="n">
        <v>1966000</v>
      </c>
      <c r="C1087" t="n">
        <v>301000</v>
      </c>
    </row>
    <row r="1088">
      <c r="A1088" s="62" t="n">
        <v>32081</v>
      </c>
      <c r="B1088" t="n">
        <v>1942000</v>
      </c>
      <c r="C1088" t="n">
        <v>289000</v>
      </c>
    </row>
    <row r="1089">
      <c r="A1089" s="62" t="n">
        <v>32088</v>
      </c>
      <c r="B1089" t="n">
        <v>2054000</v>
      </c>
      <c r="C1089" t="n">
        <v>297000</v>
      </c>
    </row>
    <row r="1090">
      <c r="A1090" s="62" t="n">
        <v>32095</v>
      </c>
      <c r="B1090" t="n">
        <v>2109000</v>
      </c>
      <c r="C1090" t="n">
        <v>307000</v>
      </c>
    </row>
    <row r="1091">
      <c r="A1091" s="62" t="n">
        <v>32102</v>
      </c>
      <c r="B1091" t="n">
        <v>2064000</v>
      </c>
      <c r="C1091" t="n">
        <v>317000</v>
      </c>
    </row>
    <row r="1092">
      <c r="A1092" s="62" t="n">
        <v>32109</v>
      </c>
      <c r="B1092" t="n">
        <v>2102000</v>
      </c>
      <c r="C1092" t="n">
        <v>306000</v>
      </c>
    </row>
    <row r="1093">
      <c r="A1093" s="62" t="n">
        <v>32116</v>
      </c>
      <c r="B1093" t="n">
        <v>2125000</v>
      </c>
      <c r="C1093" t="n">
        <v>319000</v>
      </c>
    </row>
    <row r="1094">
      <c r="A1094" s="62" t="n">
        <v>32123</v>
      </c>
      <c r="B1094" t="n">
        <v>2092000</v>
      </c>
      <c r="C1094" t="n">
        <v>317000</v>
      </c>
    </row>
    <row r="1095">
      <c r="A1095" s="62" t="n">
        <v>32130</v>
      </c>
      <c r="B1095" t="n">
        <v>2105000</v>
      </c>
      <c r="C1095" t="n">
        <v>323000</v>
      </c>
    </row>
    <row r="1096">
      <c r="A1096" s="62" t="n">
        <v>32137</v>
      </c>
      <c r="B1096" t="n">
        <v>2140000</v>
      </c>
      <c r="C1096" t="n">
        <v>316000</v>
      </c>
    </row>
    <row r="1097">
      <c r="A1097" s="62" t="n">
        <v>32144</v>
      </c>
      <c r="B1097" t="n">
        <v>2096000</v>
      </c>
      <c r="C1097" t="n">
        <v>315000</v>
      </c>
    </row>
    <row r="1098">
      <c r="A1098" s="62" t="n">
        <v>32151</v>
      </c>
      <c r="B1098" t="n">
        <v>2231000</v>
      </c>
      <c r="C1098" t="n">
        <v>325000</v>
      </c>
    </row>
    <row r="1099">
      <c r="A1099" s="62" t="n">
        <v>32158</v>
      </c>
      <c r="B1099" t="n">
        <v>2186000</v>
      </c>
      <c r="C1099" t="n">
        <v>361000</v>
      </c>
    </row>
    <row r="1100">
      <c r="A1100" s="62" t="n">
        <v>32165</v>
      </c>
      <c r="B1100" t="n">
        <v>2214000</v>
      </c>
      <c r="C1100" t="n">
        <v>335000</v>
      </c>
    </row>
    <row r="1101">
      <c r="A1101" s="62" t="n">
        <v>32172</v>
      </c>
      <c r="B1101" t="n">
        <v>2213000</v>
      </c>
      <c r="C1101" t="n">
        <v>342000</v>
      </c>
    </row>
    <row r="1102">
      <c r="A1102" s="62" t="n">
        <v>32179</v>
      </c>
      <c r="B1102" t="n">
        <v>2180000</v>
      </c>
      <c r="C1102" t="n">
        <v>318000</v>
      </c>
    </row>
    <row r="1103">
      <c r="A1103" s="62" t="n">
        <v>32186</v>
      </c>
      <c r="B1103" t="n">
        <v>2184000</v>
      </c>
      <c r="C1103" t="n">
        <v>311000</v>
      </c>
    </row>
    <row r="1104">
      <c r="A1104" s="62" t="n">
        <v>32193</v>
      </c>
      <c r="B1104" t="n">
        <v>2091000</v>
      </c>
      <c r="C1104" t="n">
        <v>327000</v>
      </c>
    </row>
    <row r="1105">
      <c r="A1105" s="62" t="n">
        <v>32200</v>
      </c>
      <c r="B1105" t="n">
        <v>2111000</v>
      </c>
      <c r="C1105" t="n">
        <v>319000</v>
      </c>
    </row>
    <row r="1106">
      <c r="A1106" s="62" t="n">
        <v>32207</v>
      </c>
      <c r="B1106" t="n">
        <v>2147000</v>
      </c>
      <c r="C1106" t="n">
        <v>307000</v>
      </c>
    </row>
    <row r="1107">
      <c r="A1107" s="62" t="n">
        <v>32214</v>
      </c>
      <c r="B1107" t="n">
        <v>2112000</v>
      </c>
      <c r="C1107" t="n">
        <v>304000</v>
      </c>
    </row>
    <row r="1108">
      <c r="A1108" s="62" t="n">
        <v>32221</v>
      </c>
      <c r="B1108" t="n">
        <v>2112000</v>
      </c>
      <c r="C1108" t="n">
        <v>307000</v>
      </c>
    </row>
    <row r="1109">
      <c r="A1109" s="62" t="n">
        <v>32228</v>
      </c>
      <c r="B1109" t="n">
        <v>2077000</v>
      </c>
      <c r="C1109" t="n">
        <v>304000</v>
      </c>
    </row>
    <row r="1110">
      <c r="A1110" s="62" t="n">
        <v>32235</v>
      </c>
      <c r="B1110" t="n">
        <v>2086000</v>
      </c>
      <c r="C1110" t="n">
        <v>309000</v>
      </c>
    </row>
    <row r="1111">
      <c r="A1111" s="62" t="n">
        <v>32242</v>
      </c>
      <c r="B1111" t="n">
        <v>2104000</v>
      </c>
      <c r="C1111" t="n">
        <v>313000</v>
      </c>
    </row>
    <row r="1112">
      <c r="A1112" s="62" t="n">
        <v>32249</v>
      </c>
      <c r="B1112" t="n">
        <v>2072000</v>
      </c>
      <c r="C1112" t="n">
        <v>314000</v>
      </c>
    </row>
    <row r="1113">
      <c r="A1113" s="62" t="n">
        <v>32256</v>
      </c>
      <c r="B1113" t="n">
        <v>2067000</v>
      </c>
      <c r="C1113" t="n">
        <v>312000</v>
      </c>
    </row>
    <row r="1114">
      <c r="A1114" s="62" t="n">
        <v>32263</v>
      </c>
      <c r="B1114" t="n">
        <v>2077000</v>
      </c>
      <c r="C1114" t="n">
        <v>313000</v>
      </c>
    </row>
    <row r="1115">
      <c r="A1115" s="62" t="n">
        <v>32270</v>
      </c>
      <c r="B1115" t="n">
        <v>2059000</v>
      </c>
      <c r="C1115" t="n">
        <v>309000</v>
      </c>
    </row>
    <row r="1116">
      <c r="A1116" s="62" t="n">
        <v>32277</v>
      </c>
      <c r="B1116" t="n">
        <v>2068000</v>
      </c>
      <c r="C1116" t="n">
        <v>314000</v>
      </c>
    </row>
    <row r="1117">
      <c r="A1117" s="62" t="n">
        <v>32284</v>
      </c>
      <c r="B1117" t="n">
        <v>2099000</v>
      </c>
      <c r="C1117" t="n">
        <v>319000</v>
      </c>
    </row>
    <row r="1118">
      <c r="A1118" s="62" t="n">
        <v>32291</v>
      </c>
      <c r="B1118" t="n">
        <v>2045000</v>
      </c>
      <c r="C1118" t="n">
        <v>313000</v>
      </c>
    </row>
    <row r="1119">
      <c r="A1119" s="62" t="n">
        <v>32298</v>
      </c>
      <c r="B1119" t="n">
        <v>2040000</v>
      </c>
      <c r="C1119" t="n">
        <v>310000</v>
      </c>
    </row>
    <row r="1120">
      <c r="A1120" s="62" t="n">
        <v>32305</v>
      </c>
      <c r="B1120" t="n">
        <v>2068000</v>
      </c>
      <c r="C1120" t="n">
        <v>305000</v>
      </c>
    </row>
    <row r="1121">
      <c r="A1121" s="62" t="n">
        <v>32312</v>
      </c>
      <c r="B1121" t="n">
        <v>2034000</v>
      </c>
      <c r="C1121" t="n">
        <v>311000</v>
      </c>
    </row>
    <row r="1122">
      <c r="A1122" s="62" t="n">
        <v>32319</v>
      </c>
      <c r="B1122" t="n">
        <v>2030000</v>
      </c>
      <c r="C1122" t="n">
        <v>307000</v>
      </c>
    </row>
    <row r="1123">
      <c r="A1123" s="62" t="n">
        <v>32326</v>
      </c>
      <c r="B1123" t="n">
        <v>2035000</v>
      </c>
      <c r="C1123" t="n">
        <v>305000</v>
      </c>
    </row>
    <row r="1124">
      <c r="A1124" s="62" t="n">
        <v>32333</v>
      </c>
      <c r="B1124" t="n">
        <v>2027000</v>
      </c>
      <c r="C1124" t="n">
        <v>303000</v>
      </c>
    </row>
    <row r="1125">
      <c r="A1125" s="62" t="n">
        <v>32340</v>
      </c>
      <c r="B1125" t="n">
        <v>2073000</v>
      </c>
      <c r="C1125" t="n">
        <v>315000</v>
      </c>
    </row>
    <row r="1126">
      <c r="A1126" s="62" t="n">
        <v>32347</v>
      </c>
      <c r="B1126" t="n">
        <v>2083000</v>
      </c>
      <c r="C1126" t="n">
        <v>354000</v>
      </c>
    </row>
    <row r="1127">
      <c r="A1127" s="62" t="n">
        <v>32354</v>
      </c>
      <c r="B1127" t="n">
        <v>2108000</v>
      </c>
      <c r="C1127" t="n">
        <v>331000</v>
      </c>
    </row>
    <row r="1128">
      <c r="A1128" s="62" t="n">
        <v>32361</v>
      </c>
      <c r="B1128" t="n">
        <v>2101000</v>
      </c>
      <c r="C1128" t="n">
        <v>316000</v>
      </c>
    </row>
    <row r="1129">
      <c r="A1129" s="62" t="n">
        <v>32368</v>
      </c>
      <c r="B1129" t="n">
        <v>2070000</v>
      </c>
      <c r="C1129" t="n">
        <v>312000</v>
      </c>
    </row>
    <row r="1130">
      <c r="A1130" s="62" t="n">
        <v>32375</v>
      </c>
      <c r="B1130" t="n">
        <v>2099000</v>
      </c>
      <c r="C1130" t="n">
        <v>316000</v>
      </c>
    </row>
    <row r="1131">
      <c r="A1131" s="62" t="n">
        <v>32382</v>
      </c>
      <c r="B1131" t="n">
        <v>2082000</v>
      </c>
      <c r="C1131" t="n">
        <v>315000</v>
      </c>
    </row>
    <row r="1132">
      <c r="A1132" s="62" t="n">
        <v>32389</v>
      </c>
      <c r="B1132" t="n">
        <v>2091000</v>
      </c>
      <c r="C1132" t="n">
        <v>306000</v>
      </c>
    </row>
    <row r="1133">
      <c r="A1133" s="62" t="n">
        <v>32396</v>
      </c>
      <c r="B1133" t="n">
        <v>2053000</v>
      </c>
      <c r="C1133" t="n">
        <v>305000</v>
      </c>
    </row>
    <row r="1134">
      <c r="A1134" s="62" t="n">
        <v>32403</v>
      </c>
      <c r="B1134" t="n">
        <v>2106000</v>
      </c>
      <c r="C1134" t="n">
        <v>306000</v>
      </c>
    </row>
    <row r="1135">
      <c r="A1135" s="62" t="n">
        <v>32410</v>
      </c>
      <c r="B1135" t="n">
        <v>2053000</v>
      </c>
      <c r="C1135" t="n">
        <v>301000</v>
      </c>
    </row>
    <row r="1136">
      <c r="A1136" s="62" t="n">
        <v>32417</v>
      </c>
      <c r="B1136" t="n">
        <v>2041000</v>
      </c>
      <c r="C1136" t="n">
        <v>292000</v>
      </c>
    </row>
    <row r="1137">
      <c r="A1137" s="62" t="n">
        <v>32424</v>
      </c>
      <c r="B1137" t="n">
        <v>2017000</v>
      </c>
      <c r="C1137" t="n">
        <v>292000</v>
      </c>
    </row>
    <row r="1138">
      <c r="A1138" s="62" t="n">
        <v>32431</v>
      </c>
      <c r="B1138" t="n">
        <v>1994000</v>
      </c>
      <c r="C1138" t="n">
        <v>293000</v>
      </c>
    </row>
    <row r="1139">
      <c r="A1139" s="62" t="n">
        <v>32438</v>
      </c>
      <c r="B1139" t="n">
        <v>2011000</v>
      </c>
      <c r="C1139" t="n">
        <v>286000</v>
      </c>
    </row>
    <row r="1140">
      <c r="A1140" s="62" t="n">
        <v>32445</v>
      </c>
      <c r="B1140" t="n">
        <v>2015000</v>
      </c>
      <c r="C1140" t="n">
        <v>294000</v>
      </c>
    </row>
    <row r="1141">
      <c r="A1141" s="62" t="n">
        <v>32452</v>
      </c>
      <c r="B1141" t="n">
        <v>1898000</v>
      </c>
      <c r="C1141" t="n">
        <v>285000</v>
      </c>
    </row>
    <row r="1142">
      <c r="A1142" s="62" t="n">
        <v>32459</v>
      </c>
      <c r="B1142" t="n">
        <v>2011000</v>
      </c>
      <c r="C1142" t="n">
        <v>284000</v>
      </c>
    </row>
    <row r="1143">
      <c r="A1143" s="62" t="n">
        <v>32466</v>
      </c>
      <c r="B1143" t="n">
        <v>1981000</v>
      </c>
      <c r="C1143" t="n">
        <v>294000</v>
      </c>
    </row>
    <row r="1144">
      <c r="A1144" s="62" t="n">
        <v>32473</v>
      </c>
      <c r="B1144" t="n">
        <v>2023000</v>
      </c>
      <c r="C1144" t="n">
        <v>299000</v>
      </c>
    </row>
    <row r="1145">
      <c r="A1145" s="62" t="n">
        <v>32480</v>
      </c>
      <c r="B1145" t="n">
        <v>2006000</v>
      </c>
      <c r="C1145" t="n">
        <v>298000</v>
      </c>
    </row>
    <row r="1146">
      <c r="A1146" s="62" t="n">
        <v>32487</v>
      </c>
      <c r="B1146" t="n">
        <v>2013000</v>
      </c>
      <c r="C1146" t="n">
        <v>285000</v>
      </c>
    </row>
    <row r="1147">
      <c r="A1147" s="62" t="n">
        <v>32494</v>
      </c>
      <c r="B1147" t="n">
        <v>2054000</v>
      </c>
      <c r="C1147" t="n">
        <v>293000</v>
      </c>
    </row>
    <row r="1148">
      <c r="A1148" s="62" t="n">
        <v>32501</v>
      </c>
      <c r="B1148" t="n">
        <v>2061000</v>
      </c>
      <c r="C1148" t="n">
        <v>286000</v>
      </c>
    </row>
    <row r="1149">
      <c r="A1149" s="62" t="n">
        <v>32508</v>
      </c>
      <c r="B1149" t="n">
        <v>2092000</v>
      </c>
      <c r="C1149" t="n">
        <v>304000</v>
      </c>
    </row>
    <row r="1150">
      <c r="A1150" s="62" t="n">
        <v>32515</v>
      </c>
      <c r="B1150" t="n">
        <v>2056000</v>
      </c>
      <c r="C1150" t="n">
        <v>299000</v>
      </c>
    </row>
    <row r="1151">
      <c r="A1151" s="62" t="n">
        <v>32522</v>
      </c>
      <c r="B1151" t="n">
        <v>2069000</v>
      </c>
      <c r="C1151" t="n">
        <v>283000</v>
      </c>
    </row>
    <row r="1152">
      <c r="A1152" s="62" t="n">
        <v>32529</v>
      </c>
      <c r="B1152" t="n">
        <v>2048000</v>
      </c>
      <c r="C1152" t="n">
        <v>282000</v>
      </c>
    </row>
    <row r="1153">
      <c r="A1153" s="62" t="n">
        <v>32536</v>
      </c>
      <c r="B1153" t="n">
        <v>2071000</v>
      </c>
      <c r="C1153" t="n">
        <v>295000</v>
      </c>
    </row>
    <row r="1154">
      <c r="A1154" s="62" t="n">
        <v>32543</v>
      </c>
      <c r="B1154" t="n">
        <v>2074000</v>
      </c>
      <c r="C1154" t="n">
        <v>288000</v>
      </c>
    </row>
    <row r="1155">
      <c r="A1155" s="62" t="n">
        <v>32550</v>
      </c>
      <c r="B1155" t="n">
        <v>2103000</v>
      </c>
      <c r="C1155" t="n">
        <v>322000</v>
      </c>
    </row>
    <row r="1156">
      <c r="A1156" s="62" t="n">
        <v>32557</v>
      </c>
      <c r="B1156" t="n">
        <v>2111000</v>
      </c>
      <c r="C1156" t="n">
        <v>305000</v>
      </c>
    </row>
    <row r="1157">
      <c r="A1157" s="62" t="n">
        <v>32564</v>
      </c>
      <c r="B1157" t="n">
        <v>2167000</v>
      </c>
      <c r="C1157" t="n">
        <v>300000</v>
      </c>
    </row>
    <row r="1158">
      <c r="A1158" s="62" t="n">
        <v>32571</v>
      </c>
      <c r="B1158" t="n">
        <v>2110000</v>
      </c>
      <c r="C1158" t="n">
        <v>325000</v>
      </c>
    </row>
    <row r="1159">
      <c r="A1159" s="62" t="n">
        <v>32578</v>
      </c>
      <c r="B1159" t="n">
        <v>2163000</v>
      </c>
      <c r="C1159" t="n">
        <v>325000</v>
      </c>
    </row>
    <row r="1160">
      <c r="A1160" s="62" t="n">
        <v>32585</v>
      </c>
      <c r="B1160" t="n">
        <v>2108000</v>
      </c>
      <c r="C1160" t="n">
        <v>319000</v>
      </c>
    </row>
    <row r="1161">
      <c r="A1161" s="62" t="n">
        <v>32592</v>
      </c>
      <c r="B1161" t="n">
        <v>2145000</v>
      </c>
      <c r="C1161" t="n">
        <v>319000</v>
      </c>
    </row>
    <row r="1162">
      <c r="A1162" s="62" t="n">
        <v>32599</v>
      </c>
      <c r="B1162" t="n">
        <v>2117000</v>
      </c>
      <c r="C1162" t="n">
        <v>323000</v>
      </c>
    </row>
    <row r="1163">
      <c r="A1163" s="62" t="n">
        <v>32606</v>
      </c>
      <c r="B1163" t="n">
        <v>2117000</v>
      </c>
      <c r="C1163" t="n">
        <v>314000</v>
      </c>
    </row>
    <row r="1164">
      <c r="A1164" s="62" t="n">
        <v>32613</v>
      </c>
      <c r="B1164" t="n">
        <v>2092000</v>
      </c>
      <c r="C1164" t="n">
        <v>307000</v>
      </c>
    </row>
    <row r="1165">
      <c r="A1165" s="62" t="n">
        <v>32620</v>
      </c>
      <c r="B1165" t="n">
        <v>2104000</v>
      </c>
      <c r="C1165" t="n">
        <v>304000</v>
      </c>
    </row>
    <row r="1166">
      <c r="A1166" s="62" t="n">
        <v>32627</v>
      </c>
      <c r="B1166" t="n">
        <v>2064000</v>
      </c>
      <c r="C1166" t="n">
        <v>311000</v>
      </c>
    </row>
    <row r="1167">
      <c r="A1167" s="62" t="n">
        <v>32634</v>
      </c>
      <c r="B1167" t="n">
        <v>2089000</v>
      </c>
      <c r="C1167" t="n">
        <v>320000</v>
      </c>
    </row>
    <row r="1168">
      <c r="A1168" s="62" t="n">
        <v>32641</v>
      </c>
      <c r="B1168" t="n">
        <v>2144000</v>
      </c>
      <c r="C1168" t="n">
        <v>332000</v>
      </c>
    </row>
    <row r="1169">
      <c r="A1169" s="62" t="n">
        <v>32648</v>
      </c>
      <c r="B1169" t="n">
        <v>2085000</v>
      </c>
      <c r="C1169" t="n">
        <v>321000</v>
      </c>
    </row>
    <row r="1170">
      <c r="A1170" s="62" t="n">
        <v>32655</v>
      </c>
      <c r="B1170" t="n">
        <v>2056000</v>
      </c>
      <c r="C1170" t="n">
        <v>325000</v>
      </c>
    </row>
    <row r="1171">
      <c r="A1171" s="62" t="n">
        <v>32662</v>
      </c>
      <c r="B1171" t="n">
        <v>2117000</v>
      </c>
      <c r="C1171" t="n">
        <v>325000</v>
      </c>
    </row>
    <row r="1172">
      <c r="A1172" s="62" t="n">
        <v>32669</v>
      </c>
      <c r="B1172" t="n">
        <v>2110000</v>
      </c>
      <c r="C1172" t="n">
        <v>332000</v>
      </c>
    </row>
    <row r="1173">
      <c r="A1173" s="62" t="n">
        <v>32676</v>
      </c>
      <c r="B1173" t="n">
        <v>2113000</v>
      </c>
      <c r="C1173" t="n">
        <v>337000</v>
      </c>
    </row>
    <row r="1174">
      <c r="A1174" s="62" t="n">
        <v>32683</v>
      </c>
      <c r="B1174" t="n">
        <v>2151000</v>
      </c>
      <c r="C1174" t="n">
        <v>338000</v>
      </c>
    </row>
    <row r="1175">
      <c r="A1175" s="62" t="n">
        <v>32690</v>
      </c>
      <c r="B1175" t="n">
        <v>2133000</v>
      </c>
      <c r="C1175" t="n">
        <v>349000</v>
      </c>
    </row>
    <row r="1176">
      <c r="A1176" s="62" t="n">
        <v>32697</v>
      </c>
      <c r="B1176" t="n">
        <v>2207000</v>
      </c>
      <c r="C1176" t="n">
        <v>341000</v>
      </c>
    </row>
    <row r="1177">
      <c r="A1177" s="62" t="n">
        <v>32704</v>
      </c>
      <c r="B1177" t="n">
        <v>2217000</v>
      </c>
      <c r="C1177" t="n">
        <v>349000</v>
      </c>
    </row>
    <row r="1178">
      <c r="A1178" s="62" t="n">
        <v>32711</v>
      </c>
      <c r="B1178" t="n">
        <v>2159000</v>
      </c>
      <c r="C1178" t="n">
        <v>332000</v>
      </c>
    </row>
    <row r="1179">
      <c r="A1179" s="62" t="n">
        <v>32718</v>
      </c>
      <c r="B1179" t="n">
        <v>2181000</v>
      </c>
      <c r="C1179" t="n">
        <v>337000</v>
      </c>
    </row>
    <row r="1180">
      <c r="A1180" s="62" t="n">
        <v>32725</v>
      </c>
      <c r="B1180" t="n">
        <v>2236000</v>
      </c>
      <c r="C1180" t="n">
        <v>338000</v>
      </c>
    </row>
    <row r="1181">
      <c r="A1181" s="62" t="n">
        <v>32732</v>
      </c>
      <c r="B1181" t="n">
        <v>2214000</v>
      </c>
      <c r="C1181" t="n">
        <v>341000</v>
      </c>
    </row>
    <row r="1182">
      <c r="A1182" s="62" t="n">
        <v>32739</v>
      </c>
      <c r="B1182" t="n">
        <v>2195000</v>
      </c>
      <c r="C1182" t="n">
        <v>327000</v>
      </c>
    </row>
    <row r="1183">
      <c r="A1183" s="62" t="n">
        <v>32746</v>
      </c>
      <c r="B1183" t="n">
        <v>2184000</v>
      </c>
      <c r="C1183" t="n">
        <v>332000</v>
      </c>
    </row>
    <row r="1184">
      <c r="A1184" s="62" t="n">
        <v>32753</v>
      </c>
      <c r="B1184" t="n">
        <v>2199000</v>
      </c>
      <c r="C1184" t="n">
        <v>329000</v>
      </c>
    </row>
    <row r="1185">
      <c r="A1185" s="62" t="n">
        <v>32760</v>
      </c>
      <c r="B1185" t="n">
        <v>2207000</v>
      </c>
      <c r="C1185" t="n">
        <v>336000</v>
      </c>
    </row>
    <row r="1186">
      <c r="A1186" s="62" t="n">
        <v>32767</v>
      </c>
      <c r="B1186" t="n">
        <v>2169000</v>
      </c>
      <c r="C1186" t="n">
        <v>334000</v>
      </c>
    </row>
    <row r="1187">
      <c r="A1187" s="62" t="n">
        <v>32774</v>
      </c>
      <c r="B1187" t="n">
        <v>2249000</v>
      </c>
      <c r="C1187" t="n">
        <v>334000</v>
      </c>
    </row>
    <row r="1188">
      <c r="A1188" s="62" t="n">
        <v>32781</v>
      </c>
      <c r="B1188" t="n">
        <v>2220000</v>
      </c>
      <c r="C1188" t="n">
        <v>347000</v>
      </c>
    </row>
    <row r="1189">
      <c r="A1189" s="62" t="n">
        <v>32788</v>
      </c>
      <c r="B1189" t="n">
        <v>2279000</v>
      </c>
      <c r="C1189" t="n">
        <v>407000</v>
      </c>
    </row>
    <row r="1190">
      <c r="A1190" s="62" t="n">
        <v>32795</v>
      </c>
      <c r="B1190" t="n">
        <v>2293000</v>
      </c>
      <c r="C1190" t="n">
        <v>345000</v>
      </c>
    </row>
    <row r="1191">
      <c r="A1191" s="62" t="n">
        <v>32802</v>
      </c>
      <c r="B1191" t="n">
        <v>2295000</v>
      </c>
      <c r="C1191" t="n">
        <v>347000</v>
      </c>
    </row>
    <row r="1192">
      <c r="A1192" s="62" t="n">
        <v>32809</v>
      </c>
      <c r="B1192" t="n">
        <v>2257000</v>
      </c>
      <c r="C1192" t="n">
        <v>354000</v>
      </c>
    </row>
    <row r="1193">
      <c r="A1193" s="62" t="n">
        <v>32816</v>
      </c>
      <c r="B1193" t="n">
        <v>2280000</v>
      </c>
      <c r="C1193" t="n">
        <v>333000</v>
      </c>
    </row>
    <row r="1194">
      <c r="A1194" s="62" t="n">
        <v>32823</v>
      </c>
      <c r="B1194" t="n">
        <v>2271000</v>
      </c>
      <c r="C1194" t="n">
        <v>336000</v>
      </c>
    </row>
    <row r="1195">
      <c r="A1195" s="62" t="n">
        <v>32830</v>
      </c>
      <c r="B1195" t="n">
        <v>2289000</v>
      </c>
      <c r="C1195" t="n">
        <v>336000</v>
      </c>
    </row>
    <row r="1196">
      <c r="A1196" s="62" t="n">
        <v>32837</v>
      </c>
      <c r="B1196" t="n">
        <v>2300000</v>
      </c>
      <c r="C1196" t="n">
        <v>342000</v>
      </c>
    </row>
    <row r="1197">
      <c r="A1197" s="62" t="n">
        <v>32844</v>
      </c>
      <c r="B1197" t="n">
        <v>2271000</v>
      </c>
      <c r="C1197" t="n">
        <v>344000</v>
      </c>
    </row>
    <row r="1198">
      <c r="A1198" s="62" t="n">
        <v>32851</v>
      </c>
      <c r="B1198" t="n">
        <v>2265000</v>
      </c>
      <c r="C1198" t="n">
        <v>338000</v>
      </c>
    </row>
    <row r="1199">
      <c r="A1199" s="62" t="n">
        <v>32858</v>
      </c>
      <c r="B1199" t="n">
        <v>2295000</v>
      </c>
      <c r="C1199" t="n">
        <v>355000</v>
      </c>
    </row>
    <row r="1200">
      <c r="A1200" s="62" t="n">
        <v>32865</v>
      </c>
      <c r="B1200" t="n">
        <v>2292000</v>
      </c>
      <c r="C1200" t="n">
        <v>381000</v>
      </c>
    </row>
    <row r="1201">
      <c r="A1201" s="62" t="n">
        <v>32872</v>
      </c>
      <c r="B1201" t="n">
        <v>2302000</v>
      </c>
      <c r="C1201" t="n">
        <v>358000</v>
      </c>
    </row>
    <row r="1202">
      <c r="A1202" s="62" t="n">
        <v>32879</v>
      </c>
      <c r="B1202" t="n">
        <v>2347000</v>
      </c>
      <c r="C1202" t="n">
        <v>355000</v>
      </c>
    </row>
    <row r="1203">
      <c r="A1203" s="62" t="n">
        <v>32886</v>
      </c>
      <c r="B1203" t="n">
        <v>2349000</v>
      </c>
      <c r="C1203" t="n">
        <v>369000</v>
      </c>
    </row>
    <row r="1204">
      <c r="A1204" s="62" t="n">
        <v>32893</v>
      </c>
      <c r="B1204" t="n">
        <v>2407000</v>
      </c>
      <c r="C1204" t="n">
        <v>375000</v>
      </c>
    </row>
    <row r="1205">
      <c r="A1205" s="62" t="n">
        <v>32900</v>
      </c>
      <c r="B1205" t="n">
        <v>2316000</v>
      </c>
      <c r="C1205" t="n">
        <v>345000</v>
      </c>
    </row>
    <row r="1206">
      <c r="A1206" s="62" t="n">
        <v>32907</v>
      </c>
      <c r="B1206" t="n">
        <v>2364000</v>
      </c>
      <c r="C1206" t="n">
        <v>368000</v>
      </c>
    </row>
    <row r="1207">
      <c r="A1207" s="62" t="n">
        <v>32914</v>
      </c>
      <c r="B1207" t="n">
        <v>2323000</v>
      </c>
      <c r="C1207" t="n">
        <v>367000</v>
      </c>
    </row>
    <row r="1208">
      <c r="A1208" s="62" t="n">
        <v>32921</v>
      </c>
      <c r="B1208" t="n">
        <v>2382000</v>
      </c>
      <c r="C1208" t="n">
        <v>348000</v>
      </c>
    </row>
    <row r="1209">
      <c r="A1209" s="62" t="n">
        <v>32928</v>
      </c>
      <c r="B1209" t="n">
        <v>2347000</v>
      </c>
      <c r="C1209" t="n">
        <v>350000</v>
      </c>
    </row>
    <row r="1210">
      <c r="A1210" s="62" t="n">
        <v>32935</v>
      </c>
      <c r="B1210" t="n">
        <v>2385000</v>
      </c>
      <c r="C1210" t="n">
        <v>351000</v>
      </c>
    </row>
    <row r="1211">
      <c r="A1211" s="62" t="n">
        <v>32942</v>
      </c>
      <c r="B1211" t="n">
        <v>2341000</v>
      </c>
      <c r="C1211" t="n">
        <v>349000</v>
      </c>
    </row>
    <row r="1212">
      <c r="A1212" s="62" t="n">
        <v>32949</v>
      </c>
      <c r="B1212" t="n">
        <v>2384000</v>
      </c>
      <c r="C1212" t="n">
        <v>349000</v>
      </c>
    </row>
    <row r="1213">
      <c r="A1213" s="62" t="n">
        <v>32956</v>
      </c>
      <c r="B1213" t="n">
        <v>2344000</v>
      </c>
      <c r="C1213" t="n">
        <v>331000</v>
      </c>
    </row>
    <row r="1214">
      <c r="A1214" s="62" t="n">
        <v>32963</v>
      </c>
      <c r="B1214" t="n">
        <v>2365000</v>
      </c>
      <c r="C1214" t="n">
        <v>346000</v>
      </c>
    </row>
    <row r="1215">
      <c r="A1215" s="62" t="n">
        <v>32970</v>
      </c>
      <c r="B1215" t="n">
        <v>2323000</v>
      </c>
      <c r="C1215" t="n">
        <v>367000</v>
      </c>
    </row>
    <row r="1216">
      <c r="A1216" s="62" t="n">
        <v>32977</v>
      </c>
      <c r="B1216" t="n">
        <v>2410000</v>
      </c>
      <c r="C1216" t="n">
        <v>357000</v>
      </c>
    </row>
    <row r="1217">
      <c r="A1217" s="62" t="n">
        <v>32984</v>
      </c>
      <c r="B1217" t="n">
        <v>2385000</v>
      </c>
      <c r="C1217" t="n">
        <v>360000</v>
      </c>
    </row>
    <row r="1218">
      <c r="A1218" s="62" t="n">
        <v>32991</v>
      </c>
      <c r="B1218" t="n">
        <v>2403000</v>
      </c>
      <c r="C1218" t="n">
        <v>363000</v>
      </c>
    </row>
    <row r="1219">
      <c r="A1219" s="62" t="n">
        <v>32998</v>
      </c>
      <c r="B1219" t="n">
        <v>2374000</v>
      </c>
      <c r="C1219" t="n">
        <v>354000</v>
      </c>
    </row>
    <row r="1220">
      <c r="A1220" s="62" t="n">
        <v>33005</v>
      </c>
      <c r="B1220" t="n">
        <v>2374000</v>
      </c>
      <c r="C1220" t="n">
        <v>355000</v>
      </c>
    </row>
    <row r="1221">
      <c r="A1221" s="62" t="n">
        <v>33012</v>
      </c>
      <c r="B1221" t="n">
        <v>2381000</v>
      </c>
      <c r="C1221" t="n">
        <v>353000</v>
      </c>
    </row>
    <row r="1222">
      <c r="A1222" s="62" t="n">
        <v>33019</v>
      </c>
      <c r="B1222" t="n">
        <v>2431000</v>
      </c>
      <c r="C1222" t="n">
        <v>359000</v>
      </c>
    </row>
    <row r="1223">
      <c r="A1223" s="62" t="n">
        <v>33026</v>
      </c>
      <c r="B1223" t="n">
        <v>2406000</v>
      </c>
      <c r="C1223" t="n">
        <v>368000</v>
      </c>
    </row>
    <row r="1224">
      <c r="A1224" s="62" t="n">
        <v>33033</v>
      </c>
      <c r="B1224" t="n">
        <v>2438000</v>
      </c>
      <c r="C1224" t="n">
        <v>359000</v>
      </c>
    </row>
    <row r="1225">
      <c r="A1225" s="62" t="n">
        <v>33040</v>
      </c>
      <c r="B1225" t="n">
        <v>2402000</v>
      </c>
      <c r="C1225" t="n">
        <v>359000</v>
      </c>
    </row>
    <row r="1226">
      <c r="A1226" s="62" t="n">
        <v>33047</v>
      </c>
      <c r="B1226" t="n">
        <v>2431000</v>
      </c>
      <c r="C1226" t="n">
        <v>362000</v>
      </c>
    </row>
    <row r="1227">
      <c r="A1227" s="62" t="n">
        <v>33054</v>
      </c>
      <c r="B1227" t="n">
        <v>2442000</v>
      </c>
      <c r="C1227" t="n">
        <v>364000</v>
      </c>
    </row>
    <row r="1228">
      <c r="A1228" s="62" t="n">
        <v>33061</v>
      </c>
      <c r="B1228" t="n">
        <v>2487000</v>
      </c>
      <c r="C1228" t="n">
        <v>362000</v>
      </c>
    </row>
    <row r="1229">
      <c r="A1229" s="62" t="n">
        <v>33068</v>
      </c>
      <c r="B1229" t="n">
        <v>2498000</v>
      </c>
      <c r="C1229" t="n">
        <v>367000</v>
      </c>
    </row>
    <row r="1230">
      <c r="A1230" s="62" t="n">
        <v>33075</v>
      </c>
      <c r="B1230" t="n">
        <v>2441000</v>
      </c>
      <c r="C1230" t="n">
        <v>370000</v>
      </c>
    </row>
    <row r="1231">
      <c r="A1231" s="62" t="n">
        <v>33082</v>
      </c>
      <c r="B1231" t="n">
        <v>2461000</v>
      </c>
      <c r="C1231" t="n">
        <v>369000</v>
      </c>
    </row>
    <row r="1232">
      <c r="A1232" s="62" t="n">
        <v>33089</v>
      </c>
      <c r="B1232" t="n">
        <v>2460000</v>
      </c>
      <c r="C1232" t="n">
        <v>369000</v>
      </c>
    </row>
    <row r="1233">
      <c r="A1233" s="62" t="n">
        <v>33096</v>
      </c>
      <c r="B1233" t="n">
        <v>2500000</v>
      </c>
      <c r="C1233" t="n">
        <v>381000</v>
      </c>
    </row>
    <row r="1234">
      <c r="A1234" s="62" t="n">
        <v>33103</v>
      </c>
      <c r="B1234" t="n">
        <v>2537000</v>
      </c>
      <c r="C1234" t="n">
        <v>393000</v>
      </c>
    </row>
    <row r="1235">
      <c r="A1235" s="62" t="n">
        <v>33110</v>
      </c>
      <c r="B1235" t="n">
        <v>2540000</v>
      </c>
      <c r="C1235" t="n">
        <v>394000</v>
      </c>
    </row>
    <row r="1236">
      <c r="A1236" s="62" t="n">
        <v>33117</v>
      </c>
      <c r="B1236" t="n">
        <v>2579000</v>
      </c>
      <c r="C1236" t="n">
        <v>392000</v>
      </c>
    </row>
    <row r="1237">
      <c r="A1237" s="62" t="n">
        <v>33124</v>
      </c>
      <c r="B1237" t="n">
        <v>2585000</v>
      </c>
      <c r="C1237" t="n">
        <v>390000</v>
      </c>
    </row>
    <row r="1238">
      <c r="A1238" s="62" t="n">
        <v>33131</v>
      </c>
      <c r="B1238" t="n">
        <v>2591000</v>
      </c>
      <c r="C1238" t="n">
        <v>395000</v>
      </c>
    </row>
    <row r="1239">
      <c r="A1239" s="62" t="n">
        <v>33138</v>
      </c>
      <c r="B1239" t="n">
        <v>2578000</v>
      </c>
      <c r="C1239" t="n">
        <v>389000</v>
      </c>
    </row>
    <row r="1240">
      <c r="A1240" s="62" t="n">
        <v>33145</v>
      </c>
      <c r="B1240" t="n">
        <v>2644000</v>
      </c>
      <c r="C1240" t="n">
        <v>404000</v>
      </c>
    </row>
    <row r="1241">
      <c r="A1241" s="62" t="n">
        <v>33152</v>
      </c>
      <c r="B1241" t="n">
        <v>2621000</v>
      </c>
      <c r="C1241" t="n">
        <v>404000</v>
      </c>
    </row>
    <row r="1242">
      <c r="A1242" s="62" t="n">
        <v>33159</v>
      </c>
      <c r="B1242" t="n">
        <v>2753000</v>
      </c>
      <c r="C1242" t="n">
        <v>422000</v>
      </c>
    </row>
    <row r="1243">
      <c r="A1243" s="62" t="n">
        <v>33166</v>
      </c>
      <c r="B1243" t="n">
        <v>2722000</v>
      </c>
      <c r="C1243" t="n">
        <v>435000</v>
      </c>
    </row>
    <row r="1244">
      <c r="A1244" s="62" t="n">
        <v>33173</v>
      </c>
      <c r="B1244" t="n">
        <v>2787000</v>
      </c>
      <c r="C1244" t="n">
        <v>440000</v>
      </c>
    </row>
    <row r="1245">
      <c r="A1245" s="62" t="n">
        <v>33180</v>
      </c>
      <c r="B1245" t="n">
        <v>2813000</v>
      </c>
      <c r="C1245" t="n">
        <v>430000</v>
      </c>
    </row>
    <row r="1246">
      <c r="A1246" s="62" t="n">
        <v>33187</v>
      </c>
      <c r="B1246" t="n">
        <v>2789000</v>
      </c>
      <c r="C1246" t="n">
        <v>448000</v>
      </c>
    </row>
    <row r="1247">
      <c r="A1247" s="62" t="n">
        <v>33194</v>
      </c>
      <c r="B1247" t="n">
        <v>2996000</v>
      </c>
      <c r="C1247" t="n">
        <v>447000</v>
      </c>
    </row>
    <row r="1248">
      <c r="A1248" s="62" t="n">
        <v>33201</v>
      </c>
      <c r="B1248" t="n">
        <v>2955000</v>
      </c>
      <c r="C1248" t="n">
        <v>462000</v>
      </c>
    </row>
    <row r="1249">
      <c r="A1249" s="62" t="n">
        <v>33208</v>
      </c>
      <c r="B1249" t="n">
        <v>2918000</v>
      </c>
      <c r="C1249" t="n">
        <v>451000</v>
      </c>
    </row>
    <row r="1250">
      <c r="A1250" s="62" t="n">
        <v>33215</v>
      </c>
      <c r="B1250" t="n">
        <v>3000000</v>
      </c>
      <c r="C1250" t="n">
        <v>449000</v>
      </c>
    </row>
    <row r="1251">
      <c r="A1251" s="62" t="n">
        <v>33222</v>
      </c>
      <c r="B1251" t="n">
        <v>2984000</v>
      </c>
      <c r="C1251" t="n">
        <v>447000</v>
      </c>
    </row>
    <row r="1252">
      <c r="A1252" s="62" t="n">
        <v>33229</v>
      </c>
      <c r="B1252" t="n">
        <v>3001000</v>
      </c>
      <c r="C1252" t="n">
        <v>474000</v>
      </c>
    </row>
    <row r="1253">
      <c r="A1253" s="62" t="n">
        <v>33236</v>
      </c>
      <c r="B1253" t="n">
        <v>2938000</v>
      </c>
      <c r="C1253" t="n">
        <v>454000</v>
      </c>
    </row>
    <row r="1254">
      <c r="A1254" s="62" t="n">
        <v>33243</v>
      </c>
      <c r="B1254" t="n">
        <v>3062000</v>
      </c>
      <c r="C1254" t="n">
        <v>415000</v>
      </c>
    </row>
    <row r="1255">
      <c r="A1255" s="62" t="n">
        <v>33250</v>
      </c>
      <c r="B1255" t="n">
        <v>3111000</v>
      </c>
      <c r="C1255" t="n">
        <v>437000</v>
      </c>
    </row>
    <row r="1256">
      <c r="A1256" s="62" t="n">
        <v>33257</v>
      </c>
      <c r="B1256" t="n">
        <v>3017000</v>
      </c>
      <c r="C1256" t="n">
        <v>445000</v>
      </c>
    </row>
    <row r="1257">
      <c r="A1257" s="62" t="n">
        <v>33264</v>
      </c>
      <c r="B1257" t="n">
        <v>3162000</v>
      </c>
      <c r="C1257" t="n">
        <v>462000</v>
      </c>
    </row>
    <row r="1258">
      <c r="A1258" s="62" t="n">
        <v>33271</v>
      </c>
      <c r="B1258" t="n">
        <v>3228000</v>
      </c>
      <c r="C1258" t="n">
        <v>483000</v>
      </c>
    </row>
    <row r="1259">
      <c r="A1259" s="62" t="n">
        <v>33278</v>
      </c>
      <c r="B1259" t="n">
        <v>3226000</v>
      </c>
      <c r="C1259" t="n">
        <v>480000</v>
      </c>
    </row>
    <row r="1260">
      <c r="A1260" s="62" t="n">
        <v>33285</v>
      </c>
      <c r="B1260" t="n">
        <v>3293000</v>
      </c>
      <c r="C1260" t="n">
        <v>474000</v>
      </c>
    </row>
    <row r="1261">
      <c r="A1261" s="62" t="n">
        <v>33292</v>
      </c>
      <c r="B1261" t="n">
        <v>3304000</v>
      </c>
      <c r="C1261" t="n">
        <v>499000</v>
      </c>
    </row>
    <row r="1262">
      <c r="A1262" s="62" t="n">
        <v>33299</v>
      </c>
      <c r="B1262" t="n">
        <v>3357000</v>
      </c>
      <c r="C1262" t="n">
        <v>488000</v>
      </c>
    </row>
    <row r="1263">
      <c r="A1263" s="62" t="n">
        <v>33306</v>
      </c>
      <c r="B1263" t="n">
        <v>3384000</v>
      </c>
      <c r="C1263" t="n">
        <v>499000</v>
      </c>
    </row>
    <row r="1264">
      <c r="A1264" s="62" t="n">
        <v>33313</v>
      </c>
      <c r="B1264" t="n">
        <v>3448000</v>
      </c>
      <c r="C1264" t="n">
        <v>498000</v>
      </c>
    </row>
    <row r="1265">
      <c r="A1265" s="62" t="n">
        <v>33320</v>
      </c>
      <c r="B1265" t="n">
        <v>3404000</v>
      </c>
      <c r="C1265" t="n">
        <v>509000</v>
      </c>
    </row>
    <row r="1266">
      <c r="A1266" s="62" t="n">
        <v>33327</v>
      </c>
      <c r="B1266" t="n">
        <v>3502000</v>
      </c>
      <c r="C1266" t="n">
        <v>499000</v>
      </c>
    </row>
    <row r="1267">
      <c r="A1267" s="62" t="n">
        <v>33334</v>
      </c>
      <c r="B1267" t="n">
        <v>3493000</v>
      </c>
      <c r="C1267" t="n">
        <v>452000</v>
      </c>
    </row>
    <row r="1268">
      <c r="A1268" s="62" t="n">
        <v>33341</v>
      </c>
      <c r="B1268" t="n">
        <v>3464000</v>
      </c>
      <c r="C1268" t="n">
        <v>477000</v>
      </c>
    </row>
    <row r="1269">
      <c r="A1269" s="62" t="n">
        <v>33348</v>
      </c>
      <c r="B1269" t="n">
        <v>3502000</v>
      </c>
      <c r="C1269" t="n">
        <v>478000</v>
      </c>
    </row>
    <row r="1270">
      <c r="A1270" s="62" t="n">
        <v>33355</v>
      </c>
      <c r="B1270" t="n">
        <v>3474000</v>
      </c>
      <c r="C1270" t="n">
        <v>462000</v>
      </c>
    </row>
    <row r="1271">
      <c r="A1271" s="62" t="n">
        <v>33362</v>
      </c>
      <c r="B1271" t="n">
        <v>3524000</v>
      </c>
      <c r="C1271" t="n">
        <v>451000</v>
      </c>
    </row>
    <row r="1272">
      <c r="A1272" s="62" t="n">
        <v>33369</v>
      </c>
      <c r="B1272" t="n">
        <v>3492000</v>
      </c>
      <c r="C1272" t="n">
        <v>446000</v>
      </c>
    </row>
    <row r="1273">
      <c r="A1273" s="62" t="n">
        <v>33376</v>
      </c>
      <c r="B1273" t="n">
        <v>3459000</v>
      </c>
      <c r="C1273" t="n">
        <v>448000</v>
      </c>
    </row>
    <row r="1274">
      <c r="A1274" s="62" t="n">
        <v>33383</v>
      </c>
      <c r="B1274" t="n">
        <v>3472000</v>
      </c>
      <c r="C1274" t="n">
        <v>443000</v>
      </c>
    </row>
    <row r="1275">
      <c r="A1275" s="62" t="n">
        <v>33390</v>
      </c>
      <c r="B1275" t="n">
        <v>3522000</v>
      </c>
      <c r="C1275" t="n">
        <v>432000</v>
      </c>
    </row>
    <row r="1276">
      <c r="A1276" s="62" t="n">
        <v>33397</v>
      </c>
      <c r="B1276" t="n">
        <v>3439000</v>
      </c>
      <c r="C1276" t="n">
        <v>441000</v>
      </c>
    </row>
    <row r="1277">
      <c r="A1277" s="62" t="n">
        <v>33404</v>
      </c>
      <c r="B1277" t="n">
        <v>3428000</v>
      </c>
      <c r="C1277" t="n">
        <v>429000</v>
      </c>
    </row>
    <row r="1278">
      <c r="A1278" s="62" t="n">
        <v>33411</v>
      </c>
      <c r="B1278" t="n">
        <v>3389000</v>
      </c>
      <c r="C1278" t="n">
        <v>423000</v>
      </c>
    </row>
    <row r="1279">
      <c r="A1279" s="62" t="n">
        <v>33418</v>
      </c>
      <c r="B1279" t="n">
        <v>3356000</v>
      </c>
      <c r="C1279" t="n">
        <v>418000</v>
      </c>
    </row>
    <row r="1280">
      <c r="A1280" s="62" t="n">
        <v>33425</v>
      </c>
      <c r="B1280" t="n">
        <v>3393000</v>
      </c>
      <c r="C1280" t="n">
        <v>422000</v>
      </c>
    </row>
    <row r="1281">
      <c r="A1281" s="62" t="n">
        <v>33432</v>
      </c>
      <c r="B1281" t="n">
        <v>3255000</v>
      </c>
      <c r="C1281" t="n">
        <v>420000</v>
      </c>
    </row>
    <row r="1282">
      <c r="A1282" s="62" t="n">
        <v>33439</v>
      </c>
      <c r="B1282" t="n">
        <v>3276000</v>
      </c>
      <c r="C1282" t="n">
        <v>408000</v>
      </c>
    </row>
    <row r="1283">
      <c r="A1283" s="62" t="n">
        <v>33446</v>
      </c>
      <c r="B1283" t="n">
        <v>3306000</v>
      </c>
      <c r="C1283" t="n">
        <v>423000</v>
      </c>
    </row>
    <row r="1284">
      <c r="A1284" s="62" t="n">
        <v>33453</v>
      </c>
      <c r="B1284" t="n">
        <v>3307000</v>
      </c>
      <c r="C1284" t="n">
        <v>438000</v>
      </c>
    </row>
    <row r="1285">
      <c r="A1285" s="62" t="n">
        <v>33460</v>
      </c>
      <c r="B1285" t="n">
        <v>3314000</v>
      </c>
      <c r="C1285" t="n">
        <v>437000</v>
      </c>
    </row>
    <row r="1286">
      <c r="A1286" s="62" t="n">
        <v>33467</v>
      </c>
      <c r="B1286" t="n">
        <v>3282000</v>
      </c>
      <c r="C1286" t="n">
        <v>433000</v>
      </c>
    </row>
    <row r="1287">
      <c r="A1287" s="62" t="n">
        <v>33474</v>
      </c>
      <c r="B1287" t="n">
        <v>3277000</v>
      </c>
      <c r="C1287" t="n">
        <v>425000</v>
      </c>
    </row>
    <row r="1288">
      <c r="A1288" s="62" t="n">
        <v>33481</v>
      </c>
      <c r="B1288" t="n">
        <v>3279000</v>
      </c>
      <c r="C1288" t="n">
        <v>425000</v>
      </c>
    </row>
    <row r="1289">
      <c r="A1289" s="62" t="n">
        <v>33488</v>
      </c>
      <c r="B1289" t="n">
        <v>3326000</v>
      </c>
      <c r="C1289" t="n">
        <v>424000</v>
      </c>
    </row>
    <row r="1290">
      <c r="A1290" s="62" t="n">
        <v>33495</v>
      </c>
      <c r="B1290" t="n">
        <v>3275000</v>
      </c>
      <c r="C1290" t="n">
        <v>418000</v>
      </c>
    </row>
    <row r="1291">
      <c r="A1291" s="62" t="n">
        <v>33502</v>
      </c>
      <c r="B1291" t="n">
        <v>3294000</v>
      </c>
      <c r="C1291" t="n">
        <v>419000</v>
      </c>
    </row>
    <row r="1292">
      <c r="A1292" s="62" t="n">
        <v>33509</v>
      </c>
      <c r="B1292" t="n">
        <v>3290000</v>
      </c>
      <c r="C1292" t="n">
        <v>437000</v>
      </c>
    </row>
    <row r="1293">
      <c r="A1293" s="62" t="n">
        <v>33516</v>
      </c>
      <c r="B1293" t="n">
        <v>3388000</v>
      </c>
      <c r="C1293" t="n">
        <v>424000</v>
      </c>
    </row>
    <row r="1294">
      <c r="A1294" s="62" t="n">
        <v>33523</v>
      </c>
      <c r="B1294" t="n">
        <v>3237000</v>
      </c>
      <c r="C1294" t="n">
        <v>425000</v>
      </c>
    </row>
    <row r="1295">
      <c r="A1295" s="62" t="n">
        <v>33530</v>
      </c>
      <c r="B1295" t="n">
        <v>3320000</v>
      </c>
      <c r="C1295" t="n">
        <v>419000</v>
      </c>
    </row>
    <row r="1296">
      <c r="A1296" s="62" t="n">
        <v>33537</v>
      </c>
      <c r="B1296" t="n">
        <v>3299000</v>
      </c>
      <c r="C1296" t="n">
        <v>423000</v>
      </c>
    </row>
    <row r="1297">
      <c r="A1297" s="62" t="n">
        <v>33544</v>
      </c>
      <c r="B1297" t="n">
        <v>3336000</v>
      </c>
      <c r="C1297" t="n">
        <v>447000</v>
      </c>
    </row>
    <row r="1298">
      <c r="A1298" s="62" t="n">
        <v>33551</v>
      </c>
      <c r="B1298" t="n">
        <v>3328000</v>
      </c>
      <c r="C1298" t="n">
        <v>453000</v>
      </c>
    </row>
    <row r="1299">
      <c r="A1299" s="62" t="n">
        <v>33558</v>
      </c>
      <c r="B1299" t="n">
        <v>3315000</v>
      </c>
      <c r="C1299" t="n">
        <v>439000</v>
      </c>
    </row>
    <row r="1300">
      <c r="A1300" s="62" t="n">
        <v>33565</v>
      </c>
      <c r="B1300" t="n">
        <v>3226000</v>
      </c>
      <c r="C1300" t="n">
        <v>444000</v>
      </c>
    </row>
    <row r="1301">
      <c r="A1301" s="62" t="n">
        <v>33572</v>
      </c>
      <c r="B1301" t="n">
        <v>3348000</v>
      </c>
      <c r="C1301" t="n">
        <v>444000</v>
      </c>
    </row>
    <row r="1302">
      <c r="A1302" s="62" t="n">
        <v>33579</v>
      </c>
      <c r="B1302" t="n">
        <v>3388000</v>
      </c>
      <c r="C1302" t="n">
        <v>475000</v>
      </c>
    </row>
    <row r="1303">
      <c r="A1303" s="62" t="n">
        <v>33586</v>
      </c>
      <c r="B1303" t="n">
        <v>3405000</v>
      </c>
      <c r="C1303" t="n">
        <v>475000</v>
      </c>
    </row>
    <row r="1304">
      <c r="A1304" s="62" t="n">
        <v>33593</v>
      </c>
      <c r="B1304" t="n">
        <v>3264000</v>
      </c>
      <c r="C1304" t="n">
        <v>436000</v>
      </c>
    </row>
    <row r="1305">
      <c r="A1305" s="62" t="n">
        <v>33600</v>
      </c>
      <c r="B1305" t="n">
        <v>3340000</v>
      </c>
      <c r="C1305" t="n">
        <v>441000</v>
      </c>
    </row>
    <row r="1306">
      <c r="A1306" s="62" t="n">
        <v>33607</v>
      </c>
      <c r="B1306" t="n">
        <v>3410000</v>
      </c>
      <c r="C1306" t="n">
        <v>432000</v>
      </c>
    </row>
    <row r="1307">
      <c r="A1307" s="62" t="n">
        <v>33614</v>
      </c>
      <c r="B1307" t="n">
        <v>3342000</v>
      </c>
      <c r="C1307" t="n">
        <v>440000</v>
      </c>
    </row>
    <row r="1308">
      <c r="A1308" s="62" t="n">
        <v>33621</v>
      </c>
      <c r="B1308" t="n">
        <v>3297000</v>
      </c>
      <c r="C1308" t="n">
        <v>443000</v>
      </c>
    </row>
    <row r="1309">
      <c r="A1309" s="62" t="n">
        <v>33628</v>
      </c>
      <c r="B1309" t="n">
        <v>3364000</v>
      </c>
      <c r="C1309" t="n">
        <v>441000</v>
      </c>
    </row>
    <row r="1310">
      <c r="A1310" s="62" t="n">
        <v>33635</v>
      </c>
      <c r="B1310" t="n">
        <v>3301000</v>
      </c>
      <c r="C1310" t="n">
        <v>440000</v>
      </c>
    </row>
    <row r="1311">
      <c r="A1311" s="62" t="n">
        <v>33642</v>
      </c>
      <c r="B1311" t="n">
        <v>3320000</v>
      </c>
      <c r="C1311" t="n">
        <v>445000</v>
      </c>
    </row>
    <row r="1312">
      <c r="A1312" s="62" t="n">
        <v>33649</v>
      </c>
      <c r="B1312" t="n">
        <v>3260000</v>
      </c>
      <c r="C1312" t="n">
        <v>446000</v>
      </c>
    </row>
    <row r="1313">
      <c r="A1313" s="62" t="n">
        <v>33656</v>
      </c>
      <c r="B1313" t="n">
        <v>3412000</v>
      </c>
      <c r="C1313" t="n">
        <v>436000</v>
      </c>
    </row>
    <row r="1314">
      <c r="A1314" s="62" t="n">
        <v>33663</v>
      </c>
      <c r="B1314" t="n">
        <v>3280000</v>
      </c>
      <c r="C1314" t="n">
        <v>444000</v>
      </c>
    </row>
    <row r="1315">
      <c r="A1315" s="62" t="n">
        <v>33670</v>
      </c>
      <c r="B1315" t="n">
        <v>3288000</v>
      </c>
      <c r="C1315" t="n">
        <v>421000</v>
      </c>
    </row>
    <row r="1316">
      <c r="A1316" s="62" t="n">
        <v>33677</v>
      </c>
      <c r="B1316" t="n">
        <v>3280000</v>
      </c>
      <c r="C1316" t="n">
        <v>437000</v>
      </c>
    </row>
    <row r="1317">
      <c r="A1317" s="62" t="n">
        <v>33684</v>
      </c>
      <c r="B1317" t="n">
        <v>3344000</v>
      </c>
      <c r="C1317" t="n">
        <v>440000</v>
      </c>
    </row>
    <row r="1318">
      <c r="A1318" s="62" t="n">
        <v>33691</v>
      </c>
      <c r="B1318" t="n">
        <v>3336000</v>
      </c>
      <c r="C1318" t="n">
        <v>420000</v>
      </c>
    </row>
    <row r="1319">
      <c r="A1319" s="62" t="n">
        <v>33698</v>
      </c>
      <c r="B1319" t="n">
        <v>3383000</v>
      </c>
      <c r="C1319" t="n">
        <v>412000</v>
      </c>
    </row>
    <row r="1320">
      <c r="A1320" s="62" t="n">
        <v>33705</v>
      </c>
      <c r="B1320" t="n">
        <v>3288000</v>
      </c>
      <c r="C1320" t="n">
        <v>413000</v>
      </c>
    </row>
    <row r="1321">
      <c r="A1321" s="62" t="n">
        <v>33712</v>
      </c>
      <c r="B1321" t="n">
        <v>3339000</v>
      </c>
      <c r="C1321" t="n">
        <v>424000</v>
      </c>
    </row>
    <row r="1322">
      <c r="A1322" s="62" t="n">
        <v>33719</v>
      </c>
      <c r="B1322" t="n">
        <v>3365000</v>
      </c>
      <c r="C1322" t="n">
        <v>424000</v>
      </c>
    </row>
    <row r="1323">
      <c r="A1323" s="62" t="n">
        <v>33726</v>
      </c>
      <c r="B1323" t="n">
        <v>3397000</v>
      </c>
      <c r="C1323" t="n">
        <v>431000</v>
      </c>
    </row>
    <row r="1324">
      <c r="A1324" s="62" t="n">
        <v>33733</v>
      </c>
      <c r="B1324" t="n">
        <v>3354000</v>
      </c>
      <c r="C1324" t="n">
        <v>417000</v>
      </c>
    </row>
    <row r="1325">
      <c r="A1325" s="62" t="n">
        <v>33740</v>
      </c>
      <c r="B1325" t="n">
        <v>3296000</v>
      </c>
      <c r="C1325" t="n">
        <v>414000</v>
      </c>
    </row>
    <row r="1326">
      <c r="A1326" s="62" t="n">
        <v>33747</v>
      </c>
      <c r="B1326" t="n">
        <v>3285000</v>
      </c>
      <c r="C1326" t="n">
        <v>414000</v>
      </c>
    </row>
    <row r="1327">
      <c r="A1327" s="62" t="n">
        <v>33754</v>
      </c>
      <c r="B1327" t="n">
        <v>3392000</v>
      </c>
      <c r="C1327" t="n">
        <v>411000</v>
      </c>
    </row>
    <row r="1328">
      <c r="A1328" s="62" t="n">
        <v>33761</v>
      </c>
      <c r="B1328" t="n">
        <v>3265000</v>
      </c>
      <c r="C1328" t="n">
        <v>416000</v>
      </c>
    </row>
    <row r="1329">
      <c r="A1329" s="62" t="n">
        <v>33768</v>
      </c>
      <c r="B1329" t="n">
        <v>3270000</v>
      </c>
      <c r="C1329" t="n">
        <v>420000</v>
      </c>
    </row>
    <row r="1330">
      <c r="A1330" s="62" t="n">
        <v>33775</v>
      </c>
      <c r="B1330" t="n">
        <v>3284000</v>
      </c>
      <c r="C1330" t="n">
        <v>419000</v>
      </c>
    </row>
    <row r="1331">
      <c r="A1331" s="62" t="n">
        <v>33782</v>
      </c>
      <c r="B1331" t="n">
        <v>3340000</v>
      </c>
      <c r="C1331" t="n">
        <v>420000</v>
      </c>
    </row>
    <row r="1332">
      <c r="A1332" s="62" t="n">
        <v>33789</v>
      </c>
      <c r="B1332" t="n">
        <v>3212000</v>
      </c>
      <c r="C1332" t="n">
        <v>407000</v>
      </c>
    </row>
    <row r="1333">
      <c r="A1333" s="62" t="n">
        <v>33796</v>
      </c>
      <c r="B1333" t="n">
        <v>3103000</v>
      </c>
      <c r="C1333" t="n">
        <v>408000</v>
      </c>
    </row>
    <row r="1334">
      <c r="A1334" s="62" t="n">
        <v>33803</v>
      </c>
      <c r="B1334" t="n">
        <v>3238000</v>
      </c>
      <c r="C1334" t="n">
        <v>392000</v>
      </c>
    </row>
    <row r="1335">
      <c r="A1335" s="62" t="n">
        <v>33810</v>
      </c>
      <c r="B1335" t="n">
        <v>3318000</v>
      </c>
      <c r="C1335" t="n">
        <v>564000</v>
      </c>
    </row>
    <row r="1336">
      <c r="A1336" s="62" t="n">
        <v>33817</v>
      </c>
      <c r="B1336" t="n">
        <v>3467000</v>
      </c>
      <c r="C1336" t="n">
        <v>423000</v>
      </c>
    </row>
    <row r="1337">
      <c r="A1337" s="62" t="n">
        <v>33824</v>
      </c>
      <c r="B1337" t="n">
        <v>3211000</v>
      </c>
      <c r="C1337" t="n">
        <v>406000</v>
      </c>
    </row>
    <row r="1338">
      <c r="A1338" s="62" t="n">
        <v>33831</v>
      </c>
      <c r="B1338" t="n">
        <v>3210000</v>
      </c>
      <c r="C1338" t="n">
        <v>401000</v>
      </c>
    </row>
    <row r="1339">
      <c r="A1339" s="62" t="n">
        <v>33838</v>
      </c>
      <c r="B1339" t="n">
        <v>3188000</v>
      </c>
      <c r="C1339" t="n">
        <v>398000</v>
      </c>
    </row>
    <row r="1340">
      <c r="A1340" s="62" t="n">
        <v>33845</v>
      </c>
      <c r="B1340" t="n">
        <v>3175000</v>
      </c>
      <c r="C1340" t="n">
        <v>408000</v>
      </c>
    </row>
    <row r="1341">
      <c r="A1341" s="62" t="n">
        <v>33852</v>
      </c>
      <c r="B1341" t="n">
        <v>3167000</v>
      </c>
      <c r="C1341" t="n">
        <v>416000</v>
      </c>
    </row>
    <row r="1342">
      <c r="A1342" s="62" t="n">
        <v>33859</v>
      </c>
      <c r="B1342" t="n">
        <v>3261000</v>
      </c>
      <c r="C1342" t="n">
        <v>416000</v>
      </c>
    </row>
    <row r="1343">
      <c r="A1343" s="62" t="n">
        <v>33866</v>
      </c>
      <c r="B1343" t="n">
        <v>3195000</v>
      </c>
      <c r="C1343" t="n">
        <v>427000</v>
      </c>
    </row>
    <row r="1344">
      <c r="A1344" s="62" t="n">
        <v>33873</v>
      </c>
      <c r="B1344" t="n">
        <v>3194000</v>
      </c>
      <c r="C1344" t="n">
        <v>409000</v>
      </c>
    </row>
    <row r="1345">
      <c r="A1345" s="62" t="n">
        <v>33880</v>
      </c>
      <c r="B1345" t="n">
        <v>3121000</v>
      </c>
      <c r="C1345" t="n">
        <v>398000</v>
      </c>
    </row>
    <row r="1346">
      <c r="A1346" s="62" t="n">
        <v>33887</v>
      </c>
      <c r="B1346" t="n">
        <v>3072000</v>
      </c>
      <c r="C1346" t="n">
        <v>374000</v>
      </c>
    </row>
    <row r="1347">
      <c r="A1347" s="62" t="n">
        <v>33894</v>
      </c>
      <c r="B1347" t="n">
        <v>3083000</v>
      </c>
      <c r="C1347" t="n">
        <v>385000</v>
      </c>
    </row>
    <row r="1348">
      <c r="A1348" s="62" t="n">
        <v>33901</v>
      </c>
      <c r="B1348" t="n">
        <v>3063000</v>
      </c>
      <c r="C1348" t="n">
        <v>367000</v>
      </c>
    </row>
    <row r="1349">
      <c r="A1349" s="62" t="n">
        <v>33908</v>
      </c>
      <c r="B1349" t="n">
        <v>2973000</v>
      </c>
      <c r="C1349" t="n">
        <v>365000</v>
      </c>
    </row>
    <row r="1350">
      <c r="A1350" s="62" t="n">
        <v>33915</v>
      </c>
      <c r="B1350" t="n">
        <v>3017000</v>
      </c>
      <c r="C1350" t="n">
        <v>374000</v>
      </c>
    </row>
    <row r="1351">
      <c r="A1351" s="62" t="n">
        <v>33922</v>
      </c>
      <c r="B1351" t="n">
        <v>2962000</v>
      </c>
      <c r="C1351" t="n">
        <v>377000</v>
      </c>
    </row>
    <row r="1352">
      <c r="A1352" s="62" t="n">
        <v>33929</v>
      </c>
      <c r="B1352" t="n">
        <v>2906000</v>
      </c>
      <c r="C1352" t="n">
        <v>357000</v>
      </c>
    </row>
    <row r="1353">
      <c r="A1353" s="62" t="n">
        <v>33936</v>
      </c>
      <c r="B1353" t="n">
        <v>2911000</v>
      </c>
      <c r="C1353" t="n">
        <v>341000</v>
      </c>
    </row>
    <row r="1354">
      <c r="A1354" s="62" t="n">
        <v>33943</v>
      </c>
      <c r="B1354" t="n">
        <v>2918000</v>
      </c>
      <c r="C1354" t="n">
        <v>350000</v>
      </c>
    </row>
    <row r="1355">
      <c r="A1355" s="62" t="n">
        <v>33950</v>
      </c>
      <c r="B1355" t="n">
        <v>2807000</v>
      </c>
      <c r="C1355" t="n">
        <v>359000</v>
      </c>
    </row>
    <row r="1356">
      <c r="A1356" s="62" t="n">
        <v>33957</v>
      </c>
      <c r="B1356" t="n">
        <v>2770000</v>
      </c>
      <c r="C1356" t="n">
        <v>334000</v>
      </c>
    </row>
    <row r="1357">
      <c r="A1357" s="62" t="n">
        <v>33964</v>
      </c>
      <c r="B1357" t="n">
        <v>2800000</v>
      </c>
      <c r="C1357" t="n">
        <v>313000</v>
      </c>
    </row>
    <row r="1358">
      <c r="A1358" s="62" t="n">
        <v>33971</v>
      </c>
      <c r="B1358" t="n">
        <v>2729000</v>
      </c>
      <c r="C1358" t="n">
        <v>341000</v>
      </c>
    </row>
    <row r="1359">
      <c r="A1359" s="62" t="n">
        <v>33978</v>
      </c>
      <c r="B1359" t="n">
        <v>2697000</v>
      </c>
      <c r="C1359" t="n">
        <v>354000</v>
      </c>
    </row>
    <row r="1360">
      <c r="A1360" s="62" t="n">
        <v>33985</v>
      </c>
      <c r="B1360" t="n">
        <v>2749000</v>
      </c>
      <c r="C1360" t="n">
        <v>352000</v>
      </c>
    </row>
    <row r="1361">
      <c r="A1361" s="62" t="n">
        <v>33992</v>
      </c>
      <c r="B1361" t="n">
        <v>2727000</v>
      </c>
      <c r="C1361" t="n">
        <v>341000</v>
      </c>
    </row>
    <row r="1362">
      <c r="A1362" s="62" t="n">
        <v>33999</v>
      </c>
      <c r="B1362" t="n">
        <v>2663000</v>
      </c>
      <c r="C1362" t="n">
        <v>340000</v>
      </c>
    </row>
    <row r="1363">
      <c r="A1363" s="62" t="n">
        <v>34006</v>
      </c>
      <c r="B1363" t="n">
        <v>2645000</v>
      </c>
      <c r="C1363" t="n">
        <v>319000</v>
      </c>
    </row>
    <row r="1364">
      <c r="A1364" s="62" t="n">
        <v>34013</v>
      </c>
      <c r="B1364" t="n">
        <v>2628000</v>
      </c>
      <c r="C1364" t="n">
        <v>321000</v>
      </c>
    </row>
    <row r="1365">
      <c r="A1365" s="62" t="n">
        <v>34020</v>
      </c>
      <c r="B1365" t="n">
        <v>2646000</v>
      </c>
      <c r="C1365" t="n">
        <v>351000</v>
      </c>
    </row>
    <row r="1366">
      <c r="A1366" s="62" t="n">
        <v>34027</v>
      </c>
      <c r="B1366" t="n">
        <v>2645000</v>
      </c>
      <c r="C1366" t="n">
        <v>362000</v>
      </c>
    </row>
    <row r="1367">
      <c r="A1367" s="62" t="n">
        <v>34034</v>
      </c>
      <c r="B1367" t="n">
        <v>2683000</v>
      </c>
      <c r="C1367" t="n">
        <v>354000</v>
      </c>
    </row>
    <row r="1368">
      <c r="A1368" s="62" t="n">
        <v>34041</v>
      </c>
      <c r="B1368" t="n">
        <v>2618000</v>
      </c>
      <c r="C1368" t="n">
        <v>346000</v>
      </c>
    </row>
    <row r="1369">
      <c r="A1369" s="62" t="n">
        <v>34048</v>
      </c>
      <c r="B1369" t="n">
        <v>2724000</v>
      </c>
      <c r="C1369" t="n">
        <v>338000</v>
      </c>
    </row>
    <row r="1370">
      <c r="A1370" s="62" t="n">
        <v>34055</v>
      </c>
      <c r="B1370" t="n">
        <v>2725000</v>
      </c>
      <c r="C1370" t="n">
        <v>366000</v>
      </c>
    </row>
    <row r="1371">
      <c r="A1371" s="62" t="n">
        <v>34062</v>
      </c>
      <c r="B1371" t="n">
        <v>2729000</v>
      </c>
      <c r="C1371" t="n">
        <v>365000</v>
      </c>
    </row>
    <row r="1372">
      <c r="A1372" s="62" t="n">
        <v>34069</v>
      </c>
      <c r="B1372" t="n">
        <v>2781000</v>
      </c>
      <c r="C1372" t="n">
        <v>353000</v>
      </c>
    </row>
    <row r="1373">
      <c r="A1373" s="62" t="n">
        <v>34076</v>
      </c>
      <c r="B1373" t="n">
        <v>2800000</v>
      </c>
      <c r="C1373" t="n">
        <v>351000</v>
      </c>
    </row>
    <row r="1374">
      <c r="A1374" s="62" t="n">
        <v>34083</v>
      </c>
      <c r="B1374" t="n">
        <v>2792000</v>
      </c>
      <c r="C1374" t="n">
        <v>350000</v>
      </c>
    </row>
    <row r="1375">
      <c r="A1375" s="62" t="n">
        <v>34090</v>
      </c>
      <c r="B1375" t="n">
        <v>2747000</v>
      </c>
      <c r="C1375" t="n">
        <v>343000</v>
      </c>
    </row>
    <row r="1376">
      <c r="A1376" s="62" t="n">
        <v>34097</v>
      </c>
      <c r="B1376" t="n">
        <v>2820000</v>
      </c>
      <c r="C1376" t="n">
        <v>339000</v>
      </c>
    </row>
    <row r="1377">
      <c r="A1377" s="62" t="n">
        <v>34104</v>
      </c>
      <c r="B1377" t="n">
        <v>2772000</v>
      </c>
      <c r="C1377" t="n">
        <v>345000</v>
      </c>
    </row>
    <row r="1378">
      <c r="A1378" s="62" t="n">
        <v>34111</v>
      </c>
      <c r="B1378" t="n">
        <v>2816000</v>
      </c>
      <c r="C1378" t="n">
        <v>342000</v>
      </c>
    </row>
    <row r="1379">
      <c r="A1379" s="62" t="n">
        <v>34118</v>
      </c>
      <c r="B1379" t="n">
        <v>2737000</v>
      </c>
      <c r="C1379" t="n">
        <v>349000</v>
      </c>
    </row>
    <row r="1380">
      <c r="A1380" s="62" t="n">
        <v>34125</v>
      </c>
      <c r="B1380" t="n">
        <v>2808000</v>
      </c>
      <c r="C1380" t="n">
        <v>343000</v>
      </c>
    </row>
    <row r="1381">
      <c r="A1381" s="62" t="n">
        <v>34132</v>
      </c>
      <c r="B1381" t="n">
        <v>2836000</v>
      </c>
      <c r="C1381" t="n">
        <v>343000</v>
      </c>
    </row>
    <row r="1382">
      <c r="A1382" s="62" t="n">
        <v>34139</v>
      </c>
      <c r="B1382" t="n">
        <v>2857000</v>
      </c>
      <c r="C1382" t="n">
        <v>345000</v>
      </c>
    </row>
    <row r="1383">
      <c r="A1383" s="62" t="n">
        <v>34146</v>
      </c>
      <c r="B1383" t="n">
        <v>2747000</v>
      </c>
      <c r="C1383" t="n">
        <v>340000</v>
      </c>
    </row>
    <row r="1384">
      <c r="A1384" s="62" t="n">
        <v>34153</v>
      </c>
      <c r="B1384" t="n">
        <v>2724000</v>
      </c>
      <c r="C1384" t="n">
        <v>334000</v>
      </c>
    </row>
    <row r="1385">
      <c r="A1385" s="62" t="n">
        <v>34160</v>
      </c>
      <c r="B1385" t="n">
        <v>2778000</v>
      </c>
      <c r="C1385" t="n">
        <v>314000</v>
      </c>
    </row>
    <row r="1386">
      <c r="A1386" s="62" t="n">
        <v>34167</v>
      </c>
      <c r="B1386" t="n">
        <v>2766000</v>
      </c>
      <c r="C1386" t="n">
        <v>335000</v>
      </c>
    </row>
    <row r="1387">
      <c r="A1387" s="62" t="n">
        <v>34174</v>
      </c>
      <c r="B1387" t="n">
        <v>2803000</v>
      </c>
      <c r="C1387" t="n">
        <v>415000</v>
      </c>
    </row>
    <row r="1388">
      <c r="A1388" s="62" t="n">
        <v>34181</v>
      </c>
      <c r="B1388" t="n">
        <v>2843000</v>
      </c>
      <c r="C1388" t="n">
        <v>356000</v>
      </c>
    </row>
    <row r="1389">
      <c r="A1389" s="62" t="n">
        <v>34188</v>
      </c>
      <c r="B1389" t="n">
        <v>2813000</v>
      </c>
      <c r="C1389" t="n">
        <v>346000</v>
      </c>
    </row>
    <row r="1390">
      <c r="A1390" s="62" t="n">
        <v>34195</v>
      </c>
      <c r="B1390" t="n">
        <v>2791000</v>
      </c>
      <c r="C1390" t="n">
        <v>339000</v>
      </c>
    </row>
    <row r="1391">
      <c r="A1391" s="62" t="n">
        <v>34202</v>
      </c>
      <c r="B1391" t="n">
        <v>2821000</v>
      </c>
      <c r="C1391" t="n">
        <v>342000</v>
      </c>
    </row>
    <row r="1392">
      <c r="A1392" s="62" t="n">
        <v>34209</v>
      </c>
      <c r="B1392" t="n">
        <v>2788000</v>
      </c>
      <c r="C1392" t="n">
        <v>337000</v>
      </c>
    </row>
    <row r="1393">
      <c r="A1393" s="62" t="n">
        <v>34216</v>
      </c>
      <c r="B1393" t="n">
        <v>2768000</v>
      </c>
      <c r="C1393" t="n">
        <v>334000</v>
      </c>
    </row>
    <row r="1394">
      <c r="A1394" s="62" t="n">
        <v>34223</v>
      </c>
      <c r="B1394" t="n">
        <v>2844000</v>
      </c>
      <c r="C1394" t="n">
        <v>333000</v>
      </c>
    </row>
    <row r="1395">
      <c r="A1395" s="62" t="n">
        <v>34230</v>
      </c>
      <c r="B1395" t="n">
        <v>2856000</v>
      </c>
      <c r="C1395" t="n">
        <v>346000</v>
      </c>
    </row>
    <row r="1396">
      <c r="A1396" s="62" t="n">
        <v>34237</v>
      </c>
      <c r="B1396" t="n">
        <v>2836000</v>
      </c>
      <c r="C1396" t="n">
        <v>343000</v>
      </c>
    </row>
    <row r="1397">
      <c r="A1397" s="62" t="n">
        <v>34244</v>
      </c>
      <c r="B1397" t="n">
        <v>2810000</v>
      </c>
      <c r="C1397" t="n">
        <v>333000</v>
      </c>
    </row>
    <row r="1398">
      <c r="A1398" s="62" t="n">
        <v>34251</v>
      </c>
      <c r="B1398" t="n">
        <v>2799000</v>
      </c>
      <c r="C1398" t="n">
        <v>355000</v>
      </c>
    </row>
    <row r="1399">
      <c r="A1399" s="62" t="n">
        <v>34258</v>
      </c>
      <c r="B1399" t="n">
        <v>2833000</v>
      </c>
      <c r="C1399" t="n">
        <v>359000</v>
      </c>
    </row>
    <row r="1400">
      <c r="A1400" s="62" t="n">
        <v>34265</v>
      </c>
      <c r="B1400" t="n">
        <v>2882000</v>
      </c>
      <c r="C1400" t="n">
        <v>354000</v>
      </c>
    </row>
    <row r="1401">
      <c r="A1401" s="62" t="n">
        <v>34272</v>
      </c>
      <c r="B1401" t="n">
        <v>2801000</v>
      </c>
      <c r="C1401" t="n">
        <v>348000</v>
      </c>
    </row>
    <row r="1402">
      <c r="A1402" s="62" t="n">
        <v>34279</v>
      </c>
      <c r="B1402" t="n">
        <v>2833000</v>
      </c>
      <c r="C1402" t="n">
        <v>350000</v>
      </c>
    </row>
    <row r="1403">
      <c r="A1403" s="62" t="n">
        <v>34286</v>
      </c>
      <c r="B1403" t="n">
        <v>2785000</v>
      </c>
      <c r="C1403" t="n">
        <v>341000</v>
      </c>
    </row>
    <row r="1404">
      <c r="A1404" s="62" t="n">
        <v>34293</v>
      </c>
      <c r="B1404" t="n">
        <v>2801000</v>
      </c>
      <c r="C1404" t="n">
        <v>336000</v>
      </c>
    </row>
    <row r="1405">
      <c r="A1405" s="62" t="n">
        <v>34300</v>
      </c>
      <c r="B1405" t="n">
        <v>2784000</v>
      </c>
      <c r="C1405" t="n">
        <v>337000</v>
      </c>
    </row>
    <row r="1406">
      <c r="A1406" s="62" t="n">
        <v>34307</v>
      </c>
      <c r="B1406" t="n">
        <v>2802000</v>
      </c>
      <c r="C1406" t="n">
        <v>337000</v>
      </c>
    </row>
    <row r="1407">
      <c r="A1407" s="62" t="n">
        <v>34314</v>
      </c>
      <c r="B1407" t="n">
        <v>2747000</v>
      </c>
      <c r="C1407" t="n">
        <v>334000</v>
      </c>
    </row>
    <row r="1408">
      <c r="A1408" s="62" t="n">
        <v>34321</v>
      </c>
      <c r="B1408" t="n">
        <v>2780000</v>
      </c>
      <c r="C1408" t="n">
        <v>331000</v>
      </c>
    </row>
    <row r="1409">
      <c r="A1409" s="62" t="n">
        <v>34328</v>
      </c>
      <c r="B1409" t="n">
        <v>2720000</v>
      </c>
      <c r="C1409" t="n">
        <v>290000</v>
      </c>
    </row>
    <row r="1410">
      <c r="A1410" s="62" t="n">
        <v>34335</v>
      </c>
      <c r="B1410" t="n">
        <v>2633000</v>
      </c>
      <c r="C1410" t="n">
        <v>341000</v>
      </c>
    </row>
    <row r="1411">
      <c r="A1411" s="62" t="n">
        <v>34342</v>
      </c>
      <c r="B1411" t="n">
        <v>2705000</v>
      </c>
      <c r="C1411" t="n">
        <v>343000</v>
      </c>
    </row>
    <row r="1412">
      <c r="A1412" s="62" t="n">
        <v>34349</v>
      </c>
      <c r="B1412" t="n">
        <v>2634000</v>
      </c>
      <c r="C1412" t="n">
        <v>355000</v>
      </c>
    </row>
    <row r="1413">
      <c r="A1413" s="62" t="n">
        <v>34356</v>
      </c>
      <c r="B1413" t="n">
        <v>2814000</v>
      </c>
      <c r="C1413" t="n">
        <v>351000</v>
      </c>
    </row>
    <row r="1414">
      <c r="A1414" s="62" t="n">
        <v>34363</v>
      </c>
      <c r="B1414" t="n">
        <v>2762000</v>
      </c>
      <c r="C1414" t="n">
        <v>406000</v>
      </c>
    </row>
    <row r="1415">
      <c r="A1415" s="62" t="n">
        <v>34370</v>
      </c>
      <c r="B1415" t="n">
        <v>2764000</v>
      </c>
      <c r="C1415" t="n">
        <v>361000</v>
      </c>
    </row>
    <row r="1416">
      <c r="A1416" s="62" t="n">
        <v>34377</v>
      </c>
      <c r="B1416" t="n">
        <v>2861000</v>
      </c>
      <c r="C1416" t="n">
        <v>354000</v>
      </c>
    </row>
    <row r="1417">
      <c r="A1417" s="62" t="n">
        <v>34384</v>
      </c>
      <c r="B1417" t="n">
        <v>2748000</v>
      </c>
      <c r="C1417" t="n">
        <v>352000</v>
      </c>
    </row>
    <row r="1418">
      <c r="A1418" s="62" t="n">
        <v>34391</v>
      </c>
      <c r="B1418" t="n">
        <v>2797000</v>
      </c>
      <c r="C1418" t="n">
        <v>327000</v>
      </c>
    </row>
    <row r="1419">
      <c r="A1419" s="62" t="n">
        <v>34398</v>
      </c>
      <c r="B1419" t="n">
        <v>2779000</v>
      </c>
      <c r="C1419" t="n">
        <v>348000</v>
      </c>
    </row>
    <row r="1420">
      <c r="A1420" s="62" t="n">
        <v>34405</v>
      </c>
      <c r="B1420" t="n">
        <v>2783000</v>
      </c>
      <c r="C1420" t="n">
        <v>341000</v>
      </c>
    </row>
    <row r="1421">
      <c r="A1421" s="62" t="n">
        <v>34412</v>
      </c>
      <c r="B1421" t="n">
        <v>2746000</v>
      </c>
      <c r="C1421" t="n">
        <v>332000</v>
      </c>
    </row>
    <row r="1422">
      <c r="A1422" s="62" t="n">
        <v>34419</v>
      </c>
      <c r="B1422" t="n">
        <v>2710000</v>
      </c>
      <c r="C1422" t="n">
        <v>322000</v>
      </c>
    </row>
    <row r="1423">
      <c r="A1423" s="62" t="n">
        <v>34426</v>
      </c>
      <c r="B1423" t="n">
        <v>2730000</v>
      </c>
      <c r="C1423" t="n">
        <v>342000</v>
      </c>
    </row>
    <row r="1424">
      <c r="A1424" s="62" t="n">
        <v>34433</v>
      </c>
      <c r="B1424" t="n">
        <v>2773000</v>
      </c>
      <c r="C1424" t="n">
        <v>349000</v>
      </c>
    </row>
    <row r="1425">
      <c r="A1425" s="62" t="n">
        <v>34440</v>
      </c>
      <c r="B1425" t="n">
        <v>2716000</v>
      </c>
      <c r="C1425" t="n">
        <v>354000</v>
      </c>
    </row>
    <row r="1426">
      <c r="A1426" s="62" t="n">
        <v>34447</v>
      </c>
      <c r="B1426" t="n">
        <v>2695000</v>
      </c>
      <c r="C1426" t="n">
        <v>331000</v>
      </c>
    </row>
    <row r="1427">
      <c r="A1427" s="62" t="n">
        <v>34454</v>
      </c>
      <c r="B1427" t="n">
        <v>2769000</v>
      </c>
      <c r="C1427" t="n">
        <v>344000</v>
      </c>
    </row>
    <row r="1428">
      <c r="A1428" s="62" t="n">
        <v>34461</v>
      </c>
      <c r="B1428" t="n">
        <v>2726000</v>
      </c>
      <c r="C1428" t="n">
        <v>371000</v>
      </c>
    </row>
    <row r="1429">
      <c r="A1429" s="62" t="n">
        <v>34468</v>
      </c>
      <c r="B1429" t="n">
        <v>2792000</v>
      </c>
      <c r="C1429" t="n">
        <v>360000</v>
      </c>
    </row>
    <row r="1430">
      <c r="A1430" s="62" t="n">
        <v>34475</v>
      </c>
      <c r="B1430" t="n">
        <v>2766000</v>
      </c>
      <c r="C1430" t="n">
        <v>357000</v>
      </c>
    </row>
    <row r="1431">
      <c r="A1431" s="62" t="n">
        <v>34482</v>
      </c>
      <c r="B1431" t="n">
        <v>2727000</v>
      </c>
      <c r="C1431" t="n">
        <v>348000</v>
      </c>
    </row>
    <row r="1432">
      <c r="A1432" s="62" t="n">
        <v>34489</v>
      </c>
      <c r="B1432" t="n">
        <v>2740000</v>
      </c>
      <c r="C1432" t="n">
        <v>345000</v>
      </c>
    </row>
    <row r="1433">
      <c r="A1433" s="62" t="n">
        <v>34496</v>
      </c>
      <c r="B1433" t="n">
        <v>2755000</v>
      </c>
      <c r="C1433" t="n">
        <v>338000</v>
      </c>
    </row>
    <row r="1434">
      <c r="A1434" s="62" t="n">
        <v>34503</v>
      </c>
      <c r="B1434" t="n">
        <v>2698000</v>
      </c>
      <c r="C1434" t="n">
        <v>336000</v>
      </c>
    </row>
    <row r="1435">
      <c r="A1435" s="62" t="n">
        <v>34510</v>
      </c>
      <c r="B1435" t="n">
        <v>2687000</v>
      </c>
      <c r="C1435" t="n">
        <v>341000</v>
      </c>
    </row>
    <row r="1436">
      <c r="A1436" s="62" t="n">
        <v>34517</v>
      </c>
      <c r="B1436" t="n">
        <v>2672000</v>
      </c>
      <c r="C1436" t="n">
        <v>334000</v>
      </c>
    </row>
    <row r="1437">
      <c r="A1437" s="62" t="n">
        <v>34524</v>
      </c>
      <c r="B1437" t="n">
        <v>2670000</v>
      </c>
      <c r="C1437" t="n">
        <v>341000</v>
      </c>
    </row>
    <row r="1438">
      <c r="A1438" s="62" t="n">
        <v>34531</v>
      </c>
      <c r="B1438" t="n">
        <v>2680000</v>
      </c>
      <c r="C1438" t="n">
        <v>359000</v>
      </c>
    </row>
    <row r="1439">
      <c r="A1439" s="62" t="n">
        <v>34538</v>
      </c>
      <c r="B1439" t="n">
        <v>2650000</v>
      </c>
      <c r="C1439" t="n">
        <v>345000</v>
      </c>
    </row>
    <row r="1440">
      <c r="A1440" s="62" t="n">
        <v>34545</v>
      </c>
      <c r="B1440" t="n">
        <v>2626000</v>
      </c>
      <c r="C1440" t="n">
        <v>332000</v>
      </c>
    </row>
    <row r="1441">
      <c r="A1441" s="62" t="n">
        <v>34552</v>
      </c>
      <c r="B1441" t="n">
        <v>2644000</v>
      </c>
      <c r="C1441" t="n">
        <v>338000</v>
      </c>
    </row>
    <row r="1442">
      <c r="A1442" s="62" t="n">
        <v>34559</v>
      </c>
      <c r="B1442" t="n">
        <v>2639000</v>
      </c>
      <c r="C1442" t="n">
        <v>335000</v>
      </c>
    </row>
    <row r="1443">
      <c r="A1443" s="62" t="n">
        <v>34566</v>
      </c>
      <c r="B1443" t="n">
        <v>2659000</v>
      </c>
      <c r="C1443" t="n">
        <v>331000</v>
      </c>
    </row>
    <row r="1444">
      <c r="A1444" s="62" t="n">
        <v>34573</v>
      </c>
      <c r="B1444" t="n">
        <v>2648000</v>
      </c>
      <c r="C1444" t="n">
        <v>341000</v>
      </c>
    </row>
    <row r="1445">
      <c r="A1445" s="62" t="n">
        <v>34580</v>
      </c>
      <c r="B1445" t="n">
        <v>2645000</v>
      </c>
      <c r="C1445" t="n">
        <v>339000</v>
      </c>
    </row>
    <row r="1446">
      <c r="A1446" s="62" t="n">
        <v>34587</v>
      </c>
      <c r="B1446" t="n">
        <v>2633000</v>
      </c>
      <c r="C1446" t="n">
        <v>331000</v>
      </c>
    </row>
    <row r="1447">
      <c r="A1447" s="62" t="n">
        <v>34594</v>
      </c>
      <c r="B1447" t="n">
        <v>2638000</v>
      </c>
      <c r="C1447" t="n">
        <v>326000</v>
      </c>
    </row>
    <row r="1448">
      <c r="A1448" s="62" t="n">
        <v>34601</v>
      </c>
      <c r="B1448" t="n">
        <v>2601000</v>
      </c>
      <c r="C1448" t="n">
        <v>325000</v>
      </c>
    </row>
    <row r="1449">
      <c r="A1449" s="62" t="n">
        <v>34608</v>
      </c>
      <c r="B1449" t="n">
        <v>2597000</v>
      </c>
      <c r="C1449" t="n">
        <v>330000</v>
      </c>
    </row>
    <row r="1450">
      <c r="A1450" s="62" t="n">
        <v>34615</v>
      </c>
      <c r="B1450" t="n">
        <v>2561000</v>
      </c>
      <c r="C1450" t="n">
        <v>341000</v>
      </c>
    </row>
    <row r="1451">
      <c r="A1451" s="62" t="n">
        <v>34622</v>
      </c>
      <c r="B1451" t="n">
        <v>2620000</v>
      </c>
      <c r="C1451" t="n">
        <v>335000</v>
      </c>
    </row>
    <row r="1452">
      <c r="A1452" s="62" t="n">
        <v>34629</v>
      </c>
      <c r="B1452" t="n">
        <v>2556000</v>
      </c>
      <c r="C1452" t="n">
        <v>330000</v>
      </c>
    </row>
    <row r="1453">
      <c r="A1453" s="62" t="n">
        <v>34636</v>
      </c>
      <c r="B1453" t="n">
        <v>2536000</v>
      </c>
      <c r="C1453" t="n">
        <v>331000</v>
      </c>
    </row>
    <row r="1454">
      <c r="A1454" s="62" t="n">
        <v>34643</v>
      </c>
      <c r="B1454" t="n">
        <v>2538000</v>
      </c>
      <c r="C1454" t="n">
        <v>328000</v>
      </c>
    </row>
    <row r="1455">
      <c r="A1455" s="62" t="n">
        <v>34650</v>
      </c>
      <c r="B1455" t="n">
        <v>2528000</v>
      </c>
      <c r="C1455" t="n">
        <v>329000</v>
      </c>
    </row>
    <row r="1456">
      <c r="A1456" s="62" t="n">
        <v>34657</v>
      </c>
      <c r="B1456" t="n">
        <v>2533000</v>
      </c>
      <c r="C1456" t="n">
        <v>326000</v>
      </c>
    </row>
    <row r="1457">
      <c r="A1457" s="62" t="n">
        <v>34664</v>
      </c>
      <c r="B1457" t="n">
        <v>2530000</v>
      </c>
      <c r="C1457" t="n">
        <v>329000</v>
      </c>
    </row>
    <row r="1458">
      <c r="A1458" s="62" t="n">
        <v>34671</v>
      </c>
      <c r="B1458" t="n">
        <v>2513000</v>
      </c>
      <c r="C1458" t="n">
        <v>324000</v>
      </c>
    </row>
    <row r="1459">
      <c r="A1459" s="62" t="n">
        <v>34678</v>
      </c>
      <c r="B1459" t="n">
        <v>2508000</v>
      </c>
      <c r="C1459" t="n">
        <v>329000</v>
      </c>
    </row>
    <row r="1460">
      <c r="A1460" s="62" t="n">
        <v>34685</v>
      </c>
      <c r="B1460" t="n">
        <v>2557000</v>
      </c>
      <c r="C1460" t="n">
        <v>330000</v>
      </c>
    </row>
    <row r="1461">
      <c r="A1461" s="62" t="n">
        <v>34692</v>
      </c>
      <c r="B1461" t="n">
        <v>2567000</v>
      </c>
      <c r="C1461" t="n">
        <v>314000</v>
      </c>
    </row>
    <row r="1462">
      <c r="A1462" s="62" t="n">
        <v>34699</v>
      </c>
      <c r="B1462" t="n">
        <v>2499000</v>
      </c>
      <c r="C1462" t="n">
        <v>319000</v>
      </c>
    </row>
    <row r="1463">
      <c r="A1463" s="62" t="n">
        <v>34706</v>
      </c>
      <c r="B1463" t="n">
        <v>2486000</v>
      </c>
      <c r="C1463" t="n">
        <v>338000</v>
      </c>
    </row>
    <row r="1464">
      <c r="A1464" s="62" t="n">
        <v>34713</v>
      </c>
      <c r="B1464" t="n">
        <v>2559000</v>
      </c>
      <c r="C1464" t="n">
        <v>347000</v>
      </c>
    </row>
    <row r="1465">
      <c r="A1465" s="62" t="n">
        <v>34720</v>
      </c>
      <c r="B1465" t="n">
        <v>2473000</v>
      </c>
      <c r="C1465" t="n">
        <v>325000</v>
      </c>
    </row>
    <row r="1466">
      <c r="A1466" s="62" t="n">
        <v>34727</v>
      </c>
      <c r="B1466" t="n">
        <v>2532000</v>
      </c>
      <c r="C1466" t="n">
        <v>324000</v>
      </c>
    </row>
    <row r="1467">
      <c r="A1467" s="62" t="n">
        <v>34734</v>
      </c>
      <c r="B1467" t="n">
        <v>2501000</v>
      </c>
      <c r="C1467" t="n">
        <v>324000</v>
      </c>
    </row>
    <row r="1468">
      <c r="A1468" s="62" t="n">
        <v>34741</v>
      </c>
      <c r="B1468" t="n">
        <v>2515000</v>
      </c>
      <c r="C1468" t="n">
        <v>348000</v>
      </c>
    </row>
    <row r="1469">
      <c r="A1469" s="62" t="n">
        <v>34748</v>
      </c>
      <c r="B1469" t="n">
        <v>2541000</v>
      </c>
      <c r="C1469" t="n">
        <v>343000</v>
      </c>
    </row>
    <row r="1470">
      <c r="A1470" s="62" t="n">
        <v>34755</v>
      </c>
      <c r="B1470" t="n">
        <v>2533000</v>
      </c>
      <c r="C1470" t="n">
        <v>336000</v>
      </c>
    </row>
    <row r="1471">
      <c r="A1471" s="62" t="n">
        <v>34762</v>
      </c>
      <c r="B1471" t="n">
        <v>2518000</v>
      </c>
      <c r="C1471" t="n">
        <v>339000</v>
      </c>
    </row>
    <row r="1472">
      <c r="A1472" s="62" t="n">
        <v>34769</v>
      </c>
      <c r="B1472" t="n">
        <v>2564000</v>
      </c>
      <c r="C1472" t="n">
        <v>347000</v>
      </c>
    </row>
    <row r="1473">
      <c r="A1473" s="62" t="n">
        <v>34776</v>
      </c>
      <c r="B1473" t="n">
        <v>2513000</v>
      </c>
      <c r="C1473" t="n">
        <v>343000</v>
      </c>
    </row>
    <row r="1474">
      <c r="A1474" s="62" t="n">
        <v>34783</v>
      </c>
      <c r="B1474" t="n">
        <v>2530000</v>
      </c>
      <c r="C1474" t="n">
        <v>332000</v>
      </c>
    </row>
    <row r="1475">
      <c r="A1475" s="62" t="n">
        <v>34790</v>
      </c>
      <c r="B1475" t="n">
        <v>2484000</v>
      </c>
      <c r="C1475" t="n">
        <v>335000</v>
      </c>
    </row>
    <row r="1476">
      <c r="A1476" s="62" t="n">
        <v>34797</v>
      </c>
      <c r="B1476" t="n">
        <v>2500000</v>
      </c>
      <c r="C1476" t="n">
        <v>347000</v>
      </c>
    </row>
    <row r="1477">
      <c r="A1477" s="62" t="n">
        <v>34804</v>
      </c>
      <c r="B1477" t="n">
        <v>2505000</v>
      </c>
      <c r="C1477" t="n">
        <v>355000</v>
      </c>
    </row>
    <row r="1478">
      <c r="A1478" s="62" t="n">
        <v>34811</v>
      </c>
      <c r="B1478" t="n">
        <v>2569000</v>
      </c>
      <c r="C1478" t="n">
        <v>349000</v>
      </c>
    </row>
    <row r="1479">
      <c r="A1479" s="62" t="n">
        <v>34818</v>
      </c>
      <c r="B1479" t="n">
        <v>2539000</v>
      </c>
      <c r="C1479" t="n">
        <v>365000</v>
      </c>
    </row>
    <row r="1480">
      <c r="A1480" s="62" t="n">
        <v>34825</v>
      </c>
      <c r="B1480" t="n">
        <v>2535000</v>
      </c>
      <c r="C1480" t="n">
        <v>364000</v>
      </c>
    </row>
    <row r="1481">
      <c r="A1481" s="62" t="n">
        <v>34832</v>
      </c>
      <c r="B1481" t="n">
        <v>2567000</v>
      </c>
      <c r="C1481" t="n">
        <v>366000</v>
      </c>
    </row>
    <row r="1482">
      <c r="A1482" s="62" t="n">
        <v>34839</v>
      </c>
      <c r="B1482" t="n">
        <v>2616000</v>
      </c>
      <c r="C1482" t="n">
        <v>377000</v>
      </c>
    </row>
    <row r="1483">
      <c r="A1483" s="62" t="n">
        <v>34846</v>
      </c>
      <c r="B1483" t="n">
        <v>2574000</v>
      </c>
      <c r="C1483" t="n">
        <v>374000</v>
      </c>
    </row>
    <row r="1484">
      <c r="A1484" s="62" t="n">
        <v>34853</v>
      </c>
      <c r="B1484" t="n">
        <v>2608000</v>
      </c>
      <c r="C1484" t="n">
        <v>362000</v>
      </c>
    </row>
    <row r="1485">
      <c r="A1485" s="62" t="n">
        <v>34860</v>
      </c>
      <c r="B1485" t="n">
        <v>2614000</v>
      </c>
      <c r="C1485" t="n">
        <v>367000</v>
      </c>
    </row>
    <row r="1486">
      <c r="A1486" s="62" t="n">
        <v>34867</v>
      </c>
      <c r="B1486" t="n">
        <v>2603000</v>
      </c>
      <c r="C1486" t="n">
        <v>378000</v>
      </c>
    </row>
    <row r="1487">
      <c r="A1487" s="62" t="n">
        <v>34874</v>
      </c>
      <c r="B1487" t="n">
        <v>2602000</v>
      </c>
      <c r="C1487" t="n">
        <v>358000</v>
      </c>
    </row>
    <row r="1488">
      <c r="A1488" s="62" t="n">
        <v>34881</v>
      </c>
      <c r="B1488" t="n">
        <v>2596000</v>
      </c>
      <c r="C1488" t="n">
        <v>355000</v>
      </c>
    </row>
    <row r="1489">
      <c r="A1489" s="62" t="n">
        <v>34888</v>
      </c>
      <c r="B1489" t="n">
        <v>2651000</v>
      </c>
      <c r="C1489" t="n">
        <v>372000</v>
      </c>
    </row>
    <row r="1490">
      <c r="A1490" s="62" t="n">
        <v>34895</v>
      </c>
      <c r="B1490" t="n">
        <v>2677000</v>
      </c>
      <c r="C1490" t="n">
        <v>389000</v>
      </c>
    </row>
    <row r="1491">
      <c r="A1491" s="62" t="n">
        <v>34902</v>
      </c>
      <c r="B1491" t="n">
        <v>2605000</v>
      </c>
      <c r="C1491" t="n">
        <v>390000</v>
      </c>
    </row>
    <row r="1492">
      <c r="A1492" s="62" t="n">
        <v>34909</v>
      </c>
      <c r="B1492" t="n">
        <v>2585000</v>
      </c>
      <c r="C1492" t="n">
        <v>351000</v>
      </c>
    </row>
    <row r="1493">
      <c r="A1493" s="62" t="n">
        <v>34916</v>
      </c>
      <c r="B1493" t="n">
        <v>2592000</v>
      </c>
      <c r="C1493" t="n">
        <v>351000</v>
      </c>
    </row>
    <row r="1494">
      <c r="A1494" s="62" t="n">
        <v>34923</v>
      </c>
      <c r="B1494" t="n">
        <v>2612000</v>
      </c>
      <c r="C1494" t="n">
        <v>353000</v>
      </c>
    </row>
    <row r="1495">
      <c r="A1495" s="62" t="n">
        <v>34930</v>
      </c>
      <c r="B1495" t="n">
        <v>2615000</v>
      </c>
      <c r="C1495" t="n">
        <v>362000</v>
      </c>
    </row>
    <row r="1496">
      <c r="A1496" s="62" t="n">
        <v>34937</v>
      </c>
      <c r="B1496" t="n">
        <v>2610000</v>
      </c>
      <c r="C1496" t="n">
        <v>359000</v>
      </c>
    </row>
    <row r="1497">
      <c r="A1497" s="62" t="n">
        <v>34944</v>
      </c>
      <c r="B1497" t="n">
        <v>2613000</v>
      </c>
      <c r="C1497" t="n">
        <v>355000</v>
      </c>
    </row>
    <row r="1498">
      <c r="A1498" s="62" t="n">
        <v>34951</v>
      </c>
      <c r="B1498" t="n">
        <v>2636000</v>
      </c>
      <c r="C1498" t="n">
        <v>371000</v>
      </c>
    </row>
    <row r="1499">
      <c r="A1499" s="62" t="n">
        <v>34958</v>
      </c>
      <c r="B1499" t="n">
        <v>2650000</v>
      </c>
      <c r="C1499" t="n">
        <v>376000</v>
      </c>
    </row>
    <row r="1500">
      <c r="A1500" s="62" t="n">
        <v>34965</v>
      </c>
      <c r="B1500" t="n">
        <v>2626000</v>
      </c>
      <c r="C1500" t="n">
        <v>353000</v>
      </c>
    </row>
    <row r="1501">
      <c r="A1501" s="62" t="n">
        <v>34972</v>
      </c>
      <c r="B1501" t="n">
        <v>2609000</v>
      </c>
      <c r="C1501" t="n">
        <v>355000</v>
      </c>
    </row>
    <row r="1502">
      <c r="A1502" s="62" t="n">
        <v>34979</v>
      </c>
      <c r="B1502" t="n">
        <v>2651000</v>
      </c>
      <c r="C1502" t="n">
        <v>374000</v>
      </c>
    </row>
    <row r="1503">
      <c r="A1503" s="62" t="n">
        <v>34986</v>
      </c>
      <c r="B1503" t="n">
        <v>2688000</v>
      </c>
      <c r="C1503" t="n">
        <v>369000</v>
      </c>
    </row>
    <row r="1504">
      <c r="A1504" s="62" t="n">
        <v>34993</v>
      </c>
      <c r="B1504" t="n">
        <v>2640000</v>
      </c>
      <c r="C1504" t="n">
        <v>366000</v>
      </c>
    </row>
    <row r="1505">
      <c r="A1505" s="62" t="n">
        <v>35000</v>
      </c>
      <c r="B1505" t="n">
        <v>2674000</v>
      </c>
      <c r="C1505" t="n">
        <v>377000</v>
      </c>
    </row>
    <row r="1506">
      <c r="A1506" s="62" t="n">
        <v>35007</v>
      </c>
      <c r="B1506" t="n">
        <v>2649000</v>
      </c>
      <c r="C1506" t="n">
        <v>380000</v>
      </c>
    </row>
    <row r="1507">
      <c r="A1507" s="62" t="n">
        <v>35014</v>
      </c>
      <c r="B1507" t="n">
        <v>2674000</v>
      </c>
      <c r="C1507" t="n">
        <v>370000</v>
      </c>
    </row>
    <row r="1508">
      <c r="A1508" s="62" t="n">
        <v>35021</v>
      </c>
      <c r="B1508" t="n">
        <v>2653000</v>
      </c>
      <c r="C1508" t="n">
        <v>379000</v>
      </c>
    </row>
    <row r="1509">
      <c r="A1509" s="62" t="n">
        <v>35028</v>
      </c>
      <c r="B1509" t="n">
        <v>2712000</v>
      </c>
      <c r="C1509" t="n">
        <v>379000</v>
      </c>
    </row>
    <row r="1510">
      <c r="A1510" s="62" t="n">
        <v>35035</v>
      </c>
      <c r="B1510" t="n">
        <v>2623000</v>
      </c>
      <c r="C1510" t="n">
        <v>373000</v>
      </c>
    </row>
    <row r="1511">
      <c r="A1511" s="62" t="n">
        <v>35042</v>
      </c>
      <c r="B1511" t="n">
        <v>2629000</v>
      </c>
      <c r="C1511" t="n">
        <v>346000</v>
      </c>
    </row>
    <row r="1512">
      <c r="A1512" s="62" t="n">
        <v>35049</v>
      </c>
      <c r="B1512" t="n">
        <v>2631000</v>
      </c>
      <c r="C1512" t="n">
        <v>373000</v>
      </c>
    </row>
    <row r="1513">
      <c r="A1513" s="62" t="n">
        <v>35056</v>
      </c>
      <c r="B1513" t="n">
        <v>2622000</v>
      </c>
      <c r="C1513" t="n">
        <v>374000</v>
      </c>
    </row>
    <row r="1514">
      <c r="A1514" s="62" t="n">
        <v>35063</v>
      </c>
      <c r="B1514" t="n">
        <v>2558000</v>
      </c>
      <c r="C1514" t="n">
        <v>359000</v>
      </c>
    </row>
    <row r="1515">
      <c r="A1515" s="62" t="n">
        <v>35070</v>
      </c>
      <c r="B1515" t="n">
        <v>2549000</v>
      </c>
      <c r="C1515" t="n">
        <v>361000</v>
      </c>
    </row>
    <row r="1516">
      <c r="A1516" s="62" t="n">
        <v>35077</v>
      </c>
      <c r="B1516" t="n">
        <v>2702000</v>
      </c>
      <c r="C1516" t="n">
        <v>333000</v>
      </c>
    </row>
    <row r="1517">
      <c r="A1517" s="62" t="n">
        <v>35084</v>
      </c>
      <c r="B1517" t="n">
        <v>2707000</v>
      </c>
      <c r="C1517" t="n">
        <v>415000</v>
      </c>
    </row>
    <row r="1518">
      <c r="A1518" s="62" t="n">
        <v>35091</v>
      </c>
      <c r="B1518" t="n">
        <v>2637000</v>
      </c>
      <c r="C1518" t="n">
        <v>387000</v>
      </c>
    </row>
    <row r="1519">
      <c r="A1519" s="62" t="n">
        <v>35098</v>
      </c>
      <c r="B1519" t="n">
        <v>2750000</v>
      </c>
      <c r="C1519" t="n">
        <v>374000</v>
      </c>
    </row>
    <row r="1520">
      <c r="A1520" s="62" t="n">
        <v>35105</v>
      </c>
      <c r="B1520" t="n">
        <v>2672000</v>
      </c>
      <c r="C1520" t="n">
        <v>387000</v>
      </c>
    </row>
    <row r="1521">
      <c r="A1521" s="62" t="n">
        <v>35112</v>
      </c>
      <c r="B1521" t="n">
        <v>2694000</v>
      </c>
      <c r="C1521" t="n">
        <v>383000</v>
      </c>
    </row>
    <row r="1522">
      <c r="A1522" s="62" t="n">
        <v>35119</v>
      </c>
      <c r="B1522" t="n">
        <v>2655000</v>
      </c>
      <c r="C1522" t="n">
        <v>365000</v>
      </c>
    </row>
    <row r="1523">
      <c r="A1523" s="62" t="n">
        <v>35126</v>
      </c>
      <c r="B1523" t="n">
        <v>2688000</v>
      </c>
      <c r="C1523" t="n">
        <v>368000</v>
      </c>
    </row>
    <row r="1524">
      <c r="A1524" s="62" t="n">
        <v>35133</v>
      </c>
      <c r="B1524" t="n">
        <v>2647000</v>
      </c>
      <c r="C1524" t="n">
        <v>361000</v>
      </c>
    </row>
    <row r="1525">
      <c r="A1525" s="62" t="n">
        <v>35140</v>
      </c>
      <c r="B1525" t="n">
        <v>2677000</v>
      </c>
      <c r="C1525" t="n">
        <v>384000</v>
      </c>
    </row>
    <row r="1526">
      <c r="A1526" s="62" t="n">
        <v>35147</v>
      </c>
      <c r="B1526" t="n">
        <v>2738000</v>
      </c>
      <c r="C1526" t="n">
        <v>426000</v>
      </c>
    </row>
    <row r="1527">
      <c r="A1527" s="62" t="n">
        <v>35154</v>
      </c>
      <c r="B1527" t="n">
        <v>2675000</v>
      </c>
      <c r="C1527" t="n">
        <v>393000</v>
      </c>
    </row>
    <row r="1528">
      <c r="A1528" s="62" t="n">
        <v>35161</v>
      </c>
      <c r="B1528" t="n">
        <v>2648000</v>
      </c>
      <c r="C1528" t="n">
        <v>369000</v>
      </c>
    </row>
    <row r="1529">
      <c r="A1529" s="62" t="n">
        <v>35168</v>
      </c>
      <c r="B1529" t="n">
        <v>2657000</v>
      </c>
      <c r="C1529" t="n">
        <v>357000</v>
      </c>
    </row>
    <row r="1530">
      <c r="A1530" s="62" t="n">
        <v>35175</v>
      </c>
      <c r="B1530" t="n">
        <v>2620000</v>
      </c>
      <c r="C1530" t="n">
        <v>368000</v>
      </c>
    </row>
    <row r="1531">
      <c r="A1531" s="62" t="n">
        <v>35182</v>
      </c>
      <c r="B1531" t="n">
        <v>2609000</v>
      </c>
      <c r="C1531" t="n">
        <v>343000</v>
      </c>
    </row>
    <row r="1532">
      <c r="A1532" s="62" t="n">
        <v>35189</v>
      </c>
      <c r="B1532" t="n">
        <v>2602000</v>
      </c>
      <c r="C1532" t="n">
        <v>338000</v>
      </c>
    </row>
    <row r="1533">
      <c r="A1533" s="62" t="n">
        <v>35196</v>
      </c>
      <c r="B1533" t="n">
        <v>2586000</v>
      </c>
      <c r="C1533" t="n">
        <v>352000</v>
      </c>
    </row>
    <row r="1534">
      <c r="A1534" s="62" t="n">
        <v>35203</v>
      </c>
      <c r="B1534" t="n">
        <v>2584000</v>
      </c>
      <c r="C1534" t="n">
        <v>345000</v>
      </c>
    </row>
    <row r="1535">
      <c r="A1535" s="62" t="n">
        <v>35210</v>
      </c>
      <c r="B1535" t="n">
        <v>2590000</v>
      </c>
      <c r="C1535" t="n">
        <v>343000</v>
      </c>
    </row>
    <row r="1536">
      <c r="A1536" s="62" t="n">
        <v>35217</v>
      </c>
      <c r="B1536" t="n">
        <v>2553000</v>
      </c>
      <c r="C1536" t="n">
        <v>340000</v>
      </c>
    </row>
    <row r="1537">
      <c r="A1537" s="62" t="n">
        <v>35224</v>
      </c>
      <c r="B1537" t="n">
        <v>2521000</v>
      </c>
      <c r="C1537" t="n">
        <v>351000</v>
      </c>
    </row>
    <row r="1538">
      <c r="A1538" s="62" t="n">
        <v>35231</v>
      </c>
      <c r="B1538" t="n">
        <v>2560000</v>
      </c>
      <c r="C1538" t="n">
        <v>342000</v>
      </c>
    </row>
    <row r="1539">
      <c r="A1539" s="62" t="n">
        <v>35238</v>
      </c>
      <c r="B1539" t="n">
        <v>2550000</v>
      </c>
      <c r="C1539" t="n">
        <v>341000</v>
      </c>
    </row>
    <row r="1540">
      <c r="A1540" s="62" t="n">
        <v>35245</v>
      </c>
      <c r="B1540" t="n">
        <v>2556000</v>
      </c>
      <c r="C1540" t="n">
        <v>337000</v>
      </c>
    </row>
    <row r="1541">
      <c r="A1541" s="62" t="n">
        <v>35252</v>
      </c>
      <c r="B1541" t="n">
        <v>2501000</v>
      </c>
      <c r="C1541" t="n">
        <v>342000</v>
      </c>
    </row>
    <row r="1542">
      <c r="A1542" s="62" t="n">
        <v>35259</v>
      </c>
      <c r="B1542" t="n">
        <v>2495000</v>
      </c>
      <c r="C1542" t="n">
        <v>347000</v>
      </c>
    </row>
    <row r="1543">
      <c r="A1543" s="62" t="n">
        <v>35266</v>
      </c>
      <c r="B1543" t="n">
        <v>2492000</v>
      </c>
      <c r="C1543" t="n">
        <v>332000</v>
      </c>
    </row>
    <row r="1544">
      <c r="A1544" s="62" t="n">
        <v>35273</v>
      </c>
      <c r="B1544" t="n">
        <v>2472000</v>
      </c>
      <c r="C1544" t="n">
        <v>327000</v>
      </c>
    </row>
    <row r="1545">
      <c r="A1545" s="62" t="n">
        <v>35280</v>
      </c>
      <c r="B1545" t="n">
        <v>2476000</v>
      </c>
      <c r="C1545" t="n">
        <v>326000</v>
      </c>
    </row>
    <row r="1546">
      <c r="A1546" s="62" t="n">
        <v>35287</v>
      </c>
      <c r="B1546" t="n">
        <v>2492000</v>
      </c>
      <c r="C1546" t="n">
        <v>331000</v>
      </c>
    </row>
    <row r="1547">
      <c r="A1547" s="62" t="n">
        <v>35294</v>
      </c>
      <c r="B1547" t="n">
        <v>2495000</v>
      </c>
      <c r="C1547" t="n">
        <v>336000</v>
      </c>
    </row>
    <row r="1548">
      <c r="A1548" s="62" t="n">
        <v>35301</v>
      </c>
      <c r="B1548" t="n">
        <v>2493000</v>
      </c>
      <c r="C1548" t="n">
        <v>337000</v>
      </c>
    </row>
    <row r="1549">
      <c r="A1549" s="62" t="n">
        <v>35308</v>
      </c>
      <c r="B1549" t="n">
        <v>2516000</v>
      </c>
      <c r="C1549" t="n">
        <v>329000</v>
      </c>
    </row>
    <row r="1550">
      <c r="A1550" s="62" t="n">
        <v>35315</v>
      </c>
      <c r="B1550" t="n">
        <v>2443000</v>
      </c>
      <c r="C1550" t="n">
        <v>333000</v>
      </c>
    </row>
    <row r="1551">
      <c r="A1551" s="62" t="n">
        <v>35322</v>
      </c>
      <c r="B1551" t="n">
        <v>2486000</v>
      </c>
      <c r="C1551" t="n">
        <v>338000</v>
      </c>
    </row>
    <row r="1552">
      <c r="A1552" s="62" t="n">
        <v>35329</v>
      </c>
      <c r="B1552" t="n">
        <v>2484000</v>
      </c>
      <c r="C1552" t="n">
        <v>352000</v>
      </c>
    </row>
    <row r="1553">
      <c r="A1553" s="62" t="n">
        <v>35336</v>
      </c>
      <c r="B1553" t="n">
        <v>2479000</v>
      </c>
      <c r="C1553" t="n">
        <v>348000</v>
      </c>
    </row>
    <row r="1554">
      <c r="A1554" s="62" t="n">
        <v>35343</v>
      </c>
      <c r="B1554" t="n">
        <v>2496000</v>
      </c>
      <c r="C1554" t="n">
        <v>335000</v>
      </c>
    </row>
    <row r="1555">
      <c r="A1555" s="62" t="n">
        <v>35350</v>
      </c>
      <c r="B1555" t="n">
        <v>2422000</v>
      </c>
      <c r="C1555" t="n">
        <v>334000</v>
      </c>
    </row>
    <row r="1556">
      <c r="A1556" s="62" t="n">
        <v>35357</v>
      </c>
      <c r="B1556" t="n">
        <v>2449000</v>
      </c>
      <c r="C1556" t="n">
        <v>335000</v>
      </c>
    </row>
    <row r="1557">
      <c r="A1557" s="62" t="n">
        <v>35364</v>
      </c>
      <c r="B1557" t="n">
        <v>2474000</v>
      </c>
      <c r="C1557" t="n">
        <v>352000</v>
      </c>
    </row>
    <row r="1558">
      <c r="A1558" s="62" t="n">
        <v>35371</v>
      </c>
      <c r="B1558" t="n">
        <v>2452000</v>
      </c>
      <c r="C1558" t="n">
        <v>334000</v>
      </c>
    </row>
    <row r="1559">
      <c r="A1559" s="62" t="n">
        <v>35378</v>
      </c>
      <c r="B1559" t="n">
        <v>2475000</v>
      </c>
      <c r="C1559" t="n">
        <v>327000</v>
      </c>
    </row>
    <row r="1560">
      <c r="A1560" s="62" t="n">
        <v>35385</v>
      </c>
      <c r="B1560" t="n">
        <v>2406000</v>
      </c>
      <c r="C1560" t="n">
        <v>342000</v>
      </c>
    </row>
    <row r="1561">
      <c r="A1561" s="62" t="n">
        <v>35392</v>
      </c>
      <c r="B1561" t="n">
        <v>2350000</v>
      </c>
      <c r="C1561" t="n">
        <v>347000</v>
      </c>
    </row>
    <row r="1562">
      <c r="A1562" s="62" t="n">
        <v>35399</v>
      </c>
      <c r="B1562" t="n">
        <v>2460000</v>
      </c>
      <c r="C1562" t="n">
        <v>332000</v>
      </c>
    </row>
    <row r="1563">
      <c r="A1563" s="62" t="n">
        <v>35406</v>
      </c>
      <c r="B1563" t="n">
        <v>2484000</v>
      </c>
      <c r="C1563" t="n">
        <v>355000</v>
      </c>
    </row>
    <row r="1564">
      <c r="A1564" s="62" t="n">
        <v>35413</v>
      </c>
      <c r="B1564" t="n">
        <v>2464000</v>
      </c>
      <c r="C1564" t="n">
        <v>352000</v>
      </c>
    </row>
    <row r="1565">
      <c r="A1565" s="62" t="n">
        <v>35420</v>
      </c>
      <c r="B1565" t="n">
        <v>2506000</v>
      </c>
      <c r="C1565" t="n">
        <v>350000</v>
      </c>
    </row>
    <row r="1566">
      <c r="A1566" s="62" t="n">
        <v>35427</v>
      </c>
      <c r="B1566" t="n">
        <v>2497000</v>
      </c>
      <c r="C1566" t="n">
        <v>357000</v>
      </c>
    </row>
    <row r="1567">
      <c r="A1567" s="62" t="n">
        <v>35434</v>
      </c>
      <c r="B1567" t="n">
        <v>2552000</v>
      </c>
      <c r="C1567" t="n">
        <v>347000</v>
      </c>
    </row>
    <row r="1568">
      <c r="A1568" s="62" t="n">
        <v>35441</v>
      </c>
      <c r="B1568" t="n">
        <v>2473000</v>
      </c>
      <c r="C1568" t="n">
        <v>324000</v>
      </c>
    </row>
    <row r="1569">
      <c r="A1569" s="62" t="n">
        <v>35448</v>
      </c>
      <c r="B1569" t="n">
        <v>2434000</v>
      </c>
      <c r="C1569" t="n">
        <v>345000</v>
      </c>
    </row>
    <row r="1570">
      <c r="A1570" s="62" t="n">
        <v>35455</v>
      </c>
      <c r="B1570" t="n">
        <v>2492000</v>
      </c>
      <c r="C1570" t="n">
        <v>340000</v>
      </c>
    </row>
    <row r="1571">
      <c r="A1571" s="62" t="n">
        <v>35462</v>
      </c>
      <c r="B1571" t="n">
        <v>2403000</v>
      </c>
      <c r="C1571" t="n">
        <v>333000</v>
      </c>
    </row>
    <row r="1572">
      <c r="A1572" s="62" t="n">
        <v>35469</v>
      </c>
      <c r="B1572" t="n">
        <v>2436000</v>
      </c>
      <c r="C1572" t="n">
        <v>315000</v>
      </c>
    </row>
    <row r="1573">
      <c r="A1573" s="62" t="n">
        <v>35476</v>
      </c>
      <c r="B1573" t="n">
        <v>2407000</v>
      </c>
      <c r="C1573" t="n">
        <v>313000</v>
      </c>
    </row>
    <row r="1574">
      <c r="A1574" s="62" t="n">
        <v>35483</v>
      </c>
      <c r="B1574" t="n">
        <v>2414000</v>
      </c>
      <c r="C1574" t="n">
        <v>322000</v>
      </c>
    </row>
    <row r="1575">
      <c r="A1575" s="62" t="n">
        <v>35490</v>
      </c>
      <c r="B1575" t="n">
        <v>2370000</v>
      </c>
      <c r="C1575" t="n">
        <v>321000</v>
      </c>
    </row>
    <row r="1576">
      <c r="A1576" s="62" t="n">
        <v>35497</v>
      </c>
      <c r="B1576" t="n">
        <v>2371000</v>
      </c>
      <c r="C1576" t="n">
        <v>317000</v>
      </c>
    </row>
    <row r="1577">
      <c r="A1577" s="62" t="n">
        <v>35504</v>
      </c>
      <c r="B1577" t="n">
        <v>2344000</v>
      </c>
      <c r="C1577" t="n">
        <v>319000</v>
      </c>
    </row>
    <row r="1578">
      <c r="A1578" s="62" t="n">
        <v>35511</v>
      </c>
      <c r="B1578" t="n">
        <v>2322000</v>
      </c>
      <c r="C1578" t="n">
        <v>315000</v>
      </c>
    </row>
    <row r="1579">
      <c r="A1579" s="62" t="n">
        <v>35518</v>
      </c>
      <c r="B1579" t="n">
        <v>2331000</v>
      </c>
      <c r="C1579" t="n">
        <v>325000</v>
      </c>
    </row>
    <row r="1580">
      <c r="A1580" s="62" t="n">
        <v>35525</v>
      </c>
      <c r="B1580" t="n">
        <v>2359000</v>
      </c>
      <c r="C1580" t="n">
        <v>325000</v>
      </c>
    </row>
    <row r="1581">
      <c r="A1581" s="62" t="n">
        <v>35532</v>
      </c>
      <c r="B1581" t="n">
        <v>2307000</v>
      </c>
      <c r="C1581" t="n">
        <v>330000</v>
      </c>
    </row>
    <row r="1582">
      <c r="A1582" s="62" t="n">
        <v>35539</v>
      </c>
      <c r="B1582" t="n">
        <v>2304000</v>
      </c>
      <c r="C1582" t="n">
        <v>316000</v>
      </c>
    </row>
    <row r="1583">
      <c r="A1583" s="62" t="n">
        <v>35546</v>
      </c>
      <c r="B1583" t="n">
        <v>2327000</v>
      </c>
      <c r="C1583" t="n">
        <v>337000</v>
      </c>
    </row>
    <row r="1584">
      <c r="A1584" s="62" t="n">
        <v>35553</v>
      </c>
      <c r="B1584" t="n">
        <v>2339000</v>
      </c>
      <c r="C1584" t="n">
        <v>342000</v>
      </c>
    </row>
    <row r="1585">
      <c r="A1585" s="62" t="n">
        <v>35560</v>
      </c>
      <c r="B1585" t="n">
        <v>2318000</v>
      </c>
      <c r="C1585" t="n">
        <v>318000</v>
      </c>
    </row>
    <row r="1586">
      <c r="A1586" s="62" t="n">
        <v>35567</v>
      </c>
      <c r="B1586" t="n">
        <v>2276000</v>
      </c>
      <c r="C1586" t="n">
        <v>322000</v>
      </c>
    </row>
    <row r="1587">
      <c r="A1587" s="62" t="n">
        <v>35574</v>
      </c>
      <c r="B1587" t="n">
        <v>2274000</v>
      </c>
      <c r="C1587" t="n">
        <v>316000</v>
      </c>
    </row>
    <row r="1588">
      <c r="A1588" s="62" t="n">
        <v>35581</v>
      </c>
      <c r="B1588" t="n">
        <v>2307000</v>
      </c>
      <c r="C1588" t="n">
        <v>321000</v>
      </c>
    </row>
    <row r="1589">
      <c r="A1589" s="62" t="n">
        <v>35588</v>
      </c>
      <c r="B1589" t="n">
        <v>2276000</v>
      </c>
      <c r="C1589" t="n">
        <v>329000</v>
      </c>
    </row>
    <row r="1590">
      <c r="A1590" s="62" t="n">
        <v>35595</v>
      </c>
      <c r="B1590" t="n">
        <v>2265000</v>
      </c>
      <c r="C1590" t="n">
        <v>335000</v>
      </c>
    </row>
    <row r="1591">
      <c r="A1591" s="62" t="n">
        <v>35602</v>
      </c>
      <c r="B1591" t="n">
        <v>2303000</v>
      </c>
      <c r="C1591" t="n">
        <v>316000</v>
      </c>
    </row>
    <row r="1592">
      <c r="A1592" s="62" t="n">
        <v>35609</v>
      </c>
      <c r="B1592" t="n">
        <v>2338000</v>
      </c>
      <c r="C1592" t="n">
        <v>322000</v>
      </c>
    </row>
    <row r="1593">
      <c r="A1593" s="62" t="n">
        <v>35616</v>
      </c>
      <c r="B1593" t="n">
        <v>2289000</v>
      </c>
      <c r="C1593" t="n">
        <v>346000</v>
      </c>
    </row>
    <row r="1594">
      <c r="A1594" s="62" t="n">
        <v>35623</v>
      </c>
      <c r="B1594" t="n">
        <v>2262000</v>
      </c>
      <c r="C1594" t="n">
        <v>328000</v>
      </c>
    </row>
    <row r="1595">
      <c r="A1595" s="62" t="n">
        <v>35630</v>
      </c>
      <c r="B1595" t="n">
        <v>2268000</v>
      </c>
      <c r="C1595" t="n">
        <v>301000</v>
      </c>
    </row>
    <row r="1596">
      <c r="A1596" s="62" t="n">
        <v>35637</v>
      </c>
      <c r="B1596" t="n">
        <v>2259000</v>
      </c>
      <c r="C1596" t="n">
        <v>306000</v>
      </c>
    </row>
    <row r="1597">
      <c r="A1597" s="62" t="n">
        <v>35644</v>
      </c>
      <c r="B1597" t="n">
        <v>2235000</v>
      </c>
      <c r="C1597" t="n">
        <v>320000</v>
      </c>
    </row>
    <row r="1598">
      <c r="A1598" s="62" t="n">
        <v>35651</v>
      </c>
      <c r="B1598" t="n">
        <v>2270000</v>
      </c>
      <c r="C1598" t="n">
        <v>329000</v>
      </c>
    </row>
    <row r="1599">
      <c r="A1599" s="62" t="n">
        <v>35658</v>
      </c>
      <c r="B1599" t="n">
        <v>2290000</v>
      </c>
      <c r="C1599" t="n">
        <v>343000</v>
      </c>
    </row>
    <row r="1600">
      <c r="A1600" s="62" t="n">
        <v>35665</v>
      </c>
      <c r="B1600" t="n">
        <v>2283000</v>
      </c>
      <c r="C1600" t="n">
        <v>327000</v>
      </c>
    </row>
    <row r="1601">
      <c r="A1601" s="62" t="n">
        <v>35672</v>
      </c>
      <c r="B1601" t="n">
        <v>2284000</v>
      </c>
      <c r="C1601" t="n">
        <v>332000</v>
      </c>
    </row>
    <row r="1602">
      <c r="A1602" s="62" t="n">
        <v>35679</v>
      </c>
      <c r="B1602" t="n">
        <v>2265000</v>
      </c>
      <c r="C1602" t="n">
        <v>313000</v>
      </c>
    </row>
    <row r="1603">
      <c r="A1603" s="62" t="n">
        <v>35686</v>
      </c>
      <c r="B1603" t="n">
        <v>2200000</v>
      </c>
      <c r="C1603" t="n">
        <v>314000</v>
      </c>
    </row>
    <row r="1604">
      <c r="A1604" s="62" t="n">
        <v>35693</v>
      </c>
      <c r="B1604" t="n">
        <v>2241000</v>
      </c>
      <c r="C1604" t="n">
        <v>317000</v>
      </c>
    </row>
    <row r="1605">
      <c r="A1605" s="62" t="n">
        <v>35700</v>
      </c>
      <c r="B1605" t="n">
        <v>2233000</v>
      </c>
      <c r="C1605" t="n">
        <v>317000</v>
      </c>
    </row>
    <row r="1606">
      <c r="A1606" s="62" t="n">
        <v>35707</v>
      </c>
      <c r="B1606" t="n">
        <v>2239000</v>
      </c>
      <c r="C1606" t="n">
        <v>311000</v>
      </c>
    </row>
    <row r="1607">
      <c r="A1607" s="62" t="n">
        <v>35714</v>
      </c>
      <c r="B1607" t="n">
        <v>2213000</v>
      </c>
      <c r="C1607" t="n">
        <v>305000</v>
      </c>
    </row>
    <row r="1608">
      <c r="A1608" s="62" t="n">
        <v>35721</v>
      </c>
      <c r="B1608" t="n">
        <v>2182000</v>
      </c>
      <c r="C1608" t="n">
        <v>318000</v>
      </c>
    </row>
    <row r="1609">
      <c r="A1609" s="62" t="n">
        <v>35728</v>
      </c>
      <c r="B1609" t="n">
        <v>2228000</v>
      </c>
      <c r="C1609" t="n">
        <v>306000</v>
      </c>
    </row>
    <row r="1610">
      <c r="A1610" s="62" t="n">
        <v>35735</v>
      </c>
      <c r="B1610" t="n">
        <v>2201000</v>
      </c>
      <c r="C1610" t="n">
        <v>313000</v>
      </c>
    </row>
    <row r="1611">
      <c r="A1611" s="62" t="n">
        <v>35742</v>
      </c>
      <c r="B1611" t="n">
        <v>2207000</v>
      </c>
      <c r="C1611" t="n">
        <v>308000</v>
      </c>
    </row>
    <row r="1612">
      <c r="A1612" s="62" t="n">
        <v>35749</v>
      </c>
      <c r="B1612" t="n">
        <v>2209000</v>
      </c>
      <c r="C1612" t="n">
        <v>325000</v>
      </c>
    </row>
    <row r="1613">
      <c r="A1613" s="62" t="n">
        <v>35756</v>
      </c>
      <c r="B1613" t="n">
        <v>2216000</v>
      </c>
      <c r="C1613" t="n">
        <v>309000</v>
      </c>
    </row>
    <row r="1614">
      <c r="A1614" s="62" t="n">
        <v>35763</v>
      </c>
      <c r="B1614" t="n">
        <v>2242000</v>
      </c>
      <c r="C1614" t="n">
        <v>318000</v>
      </c>
    </row>
    <row r="1615">
      <c r="A1615" s="62" t="n">
        <v>35770</v>
      </c>
      <c r="B1615" t="n">
        <v>2230000</v>
      </c>
      <c r="C1615" t="n">
        <v>317000</v>
      </c>
    </row>
    <row r="1616">
      <c r="A1616" s="62" t="n">
        <v>35777</v>
      </c>
      <c r="B1616" t="n">
        <v>2231000</v>
      </c>
      <c r="C1616" t="n">
        <v>323000</v>
      </c>
    </row>
    <row r="1617">
      <c r="A1617" s="62" t="n">
        <v>35784</v>
      </c>
      <c r="B1617" t="n">
        <v>2189000</v>
      </c>
      <c r="C1617" t="n">
        <v>310000</v>
      </c>
    </row>
    <row r="1618">
      <c r="A1618" s="62" t="n">
        <v>35791</v>
      </c>
      <c r="B1618" t="n">
        <v>2291000</v>
      </c>
      <c r="C1618" t="n">
        <v>303000</v>
      </c>
    </row>
    <row r="1619">
      <c r="A1619" s="62" t="n">
        <v>35798</v>
      </c>
      <c r="B1619" t="n">
        <v>2369000</v>
      </c>
      <c r="C1619" t="n">
        <v>312000</v>
      </c>
    </row>
    <row r="1620">
      <c r="A1620" s="62" t="n">
        <v>35805</v>
      </c>
      <c r="B1620" t="n">
        <v>2291000</v>
      </c>
      <c r="C1620" t="n">
        <v>331000</v>
      </c>
    </row>
    <row r="1621">
      <c r="A1621" s="62" t="n">
        <v>35812</v>
      </c>
      <c r="B1621" t="n">
        <v>2241000</v>
      </c>
      <c r="C1621" t="n">
        <v>341000</v>
      </c>
    </row>
    <row r="1622">
      <c r="A1622" s="62" t="n">
        <v>35819</v>
      </c>
      <c r="B1622" t="n">
        <v>2275000</v>
      </c>
      <c r="C1622" t="n">
        <v>307000</v>
      </c>
    </row>
    <row r="1623">
      <c r="A1623" s="62" t="n">
        <v>35826</v>
      </c>
      <c r="B1623" t="n">
        <v>2200000</v>
      </c>
      <c r="C1623" t="n">
        <v>315000</v>
      </c>
    </row>
    <row r="1624">
      <c r="A1624" s="62" t="n">
        <v>35833</v>
      </c>
      <c r="B1624" t="n">
        <v>2253000</v>
      </c>
      <c r="C1624" t="n">
        <v>311000</v>
      </c>
    </row>
    <row r="1625">
      <c r="A1625" s="62" t="n">
        <v>35840</v>
      </c>
      <c r="B1625" t="n">
        <v>2227000</v>
      </c>
      <c r="C1625" t="n">
        <v>321000</v>
      </c>
    </row>
    <row r="1626">
      <c r="A1626" s="62" t="n">
        <v>35847</v>
      </c>
      <c r="B1626" t="n">
        <v>2208000</v>
      </c>
      <c r="C1626" t="n">
        <v>327000</v>
      </c>
    </row>
    <row r="1627">
      <c r="A1627" s="62" t="n">
        <v>35854</v>
      </c>
      <c r="B1627" t="n">
        <v>2209000</v>
      </c>
      <c r="C1627" t="n">
        <v>317000</v>
      </c>
    </row>
    <row r="1628">
      <c r="A1628" s="62" t="n">
        <v>35861</v>
      </c>
      <c r="B1628" t="n">
        <v>2208000</v>
      </c>
      <c r="C1628" t="n">
        <v>308000</v>
      </c>
    </row>
    <row r="1629">
      <c r="A1629" s="62" t="n">
        <v>35868</v>
      </c>
      <c r="B1629" t="n">
        <v>2237000</v>
      </c>
      <c r="C1629" t="n">
        <v>319000</v>
      </c>
    </row>
    <row r="1630">
      <c r="A1630" s="62" t="n">
        <v>35875</v>
      </c>
      <c r="B1630" t="n">
        <v>2227000</v>
      </c>
      <c r="C1630" t="n">
        <v>321000</v>
      </c>
    </row>
    <row r="1631">
      <c r="A1631" s="62" t="n">
        <v>35882</v>
      </c>
      <c r="B1631" t="n">
        <v>2215000</v>
      </c>
      <c r="C1631" t="n">
        <v>312000</v>
      </c>
    </row>
    <row r="1632">
      <c r="A1632" s="62" t="n">
        <v>35889</v>
      </c>
      <c r="B1632" t="n">
        <v>2166000</v>
      </c>
      <c r="C1632" t="n">
        <v>312000</v>
      </c>
    </row>
    <row r="1633">
      <c r="A1633" s="62" t="n">
        <v>35896</v>
      </c>
      <c r="B1633" t="n">
        <v>2202000</v>
      </c>
      <c r="C1633" t="n">
        <v>304000</v>
      </c>
    </row>
    <row r="1634">
      <c r="A1634" s="62" t="n">
        <v>35903</v>
      </c>
      <c r="B1634" t="n">
        <v>2210000</v>
      </c>
      <c r="C1634" t="n">
        <v>317000</v>
      </c>
    </row>
    <row r="1635">
      <c r="A1635" s="62" t="n">
        <v>35910</v>
      </c>
      <c r="B1635" t="n">
        <v>2152000</v>
      </c>
      <c r="C1635" t="n">
        <v>311000</v>
      </c>
    </row>
    <row r="1636">
      <c r="A1636" s="62" t="n">
        <v>35917</v>
      </c>
      <c r="B1636" t="n">
        <v>2135000</v>
      </c>
      <c r="C1636" t="n">
        <v>304000</v>
      </c>
    </row>
    <row r="1637">
      <c r="A1637" s="62" t="n">
        <v>35924</v>
      </c>
      <c r="B1637" t="n">
        <v>2140000</v>
      </c>
      <c r="C1637" t="n">
        <v>306000</v>
      </c>
    </row>
    <row r="1638">
      <c r="A1638" s="62" t="n">
        <v>35931</v>
      </c>
      <c r="B1638" t="n">
        <v>2118000</v>
      </c>
      <c r="C1638" t="n">
        <v>315000</v>
      </c>
    </row>
    <row r="1639">
      <c r="A1639" s="62" t="n">
        <v>35938</v>
      </c>
      <c r="B1639" t="n">
        <v>2134000</v>
      </c>
      <c r="C1639" t="n">
        <v>309000</v>
      </c>
    </row>
    <row r="1640">
      <c r="A1640" s="62" t="n">
        <v>35945</v>
      </c>
      <c r="B1640" t="n">
        <v>2146000</v>
      </c>
      <c r="C1640" t="n">
        <v>322000</v>
      </c>
    </row>
    <row r="1641">
      <c r="A1641" s="62" t="n">
        <v>35952</v>
      </c>
      <c r="B1641" t="n">
        <v>2122000</v>
      </c>
      <c r="C1641" t="n">
        <v>306000</v>
      </c>
    </row>
    <row r="1642">
      <c r="A1642" s="62" t="n">
        <v>35959</v>
      </c>
      <c r="B1642" t="n">
        <v>2159000</v>
      </c>
      <c r="C1642" t="n">
        <v>321000</v>
      </c>
    </row>
    <row r="1643">
      <c r="A1643" s="62" t="n">
        <v>35966</v>
      </c>
      <c r="B1643" t="n">
        <v>2188000</v>
      </c>
      <c r="C1643" t="n">
        <v>349000</v>
      </c>
    </row>
    <row r="1644">
      <c r="A1644" s="62" t="n">
        <v>35973</v>
      </c>
      <c r="B1644" t="n">
        <v>2388000</v>
      </c>
      <c r="C1644" t="n">
        <v>376000</v>
      </c>
    </row>
    <row r="1645">
      <c r="A1645" s="62" t="n">
        <v>35980</v>
      </c>
      <c r="B1645" t="n">
        <v>2290000</v>
      </c>
      <c r="C1645" t="n">
        <v>362000</v>
      </c>
    </row>
    <row r="1646">
      <c r="A1646" s="62" t="n">
        <v>35987</v>
      </c>
      <c r="B1646" t="n">
        <v>2323000</v>
      </c>
      <c r="C1646" t="n">
        <v>320000</v>
      </c>
    </row>
    <row r="1647">
      <c r="A1647" s="62" t="n">
        <v>35994</v>
      </c>
      <c r="B1647" t="n">
        <v>2339000</v>
      </c>
      <c r="C1647" t="n">
        <v>315000</v>
      </c>
    </row>
    <row r="1648">
      <c r="A1648" s="62" t="n">
        <v>36001</v>
      </c>
      <c r="B1648" t="n">
        <v>2383000</v>
      </c>
      <c r="C1648" t="n">
        <v>335000</v>
      </c>
    </row>
    <row r="1649">
      <c r="A1649" s="62" t="n">
        <v>36008</v>
      </c>
      <c r="B1649" t="n">
        <v>2336000</v>
      </c>
      <c r="C1649" t="n">
        <v>327000</v>
      </c>
    </row>
    <row r="1650">
      <c r="A1650" s="62" t="n">
        <v>36015</v>
      </c>
      <c r="B1650" t="n">
        <v>2258000</v>
      </c>
      <c r="C1650" t="n">
        <v>316000</v>
      </c>
    </row>
    <row r="1651">
      <c r="A1651" s="62" t="n">
        <v>36022</v>
      </c>
      <c r="B1651" t="n">
        <v>2210000</v>
      </c>
      <c r="C1651" t="n">
        <v>308000</v>
      </c>
    </row>
    <row r="1652">
      <c r="A1652" s="62" t="n">
        <v>36029</v>
      </c>
      <c r="B1652" t="n">
        <v>2202000</v>
      </c>
      <c r="C1652" t="n">
        <v>302000</v>
      </c>
    </row>
    <row r="1653">
      <c r="A1653" s="62" t="n">
        <v>36036</v>
      </c>
      <c r="B1653" t="n">
        <v>2182000</v>
      </c>
      <c r="C1653" t="n">
        <v>310000</v>
      </c>
    </row>
    <row r="1654">
      <c r="A1654" s="62" t="n">
        <v>36043</v>
      </c>
      <c r="B1654" t="n">
        <v>2160000</v>
      </c>
      <c r="C1654" t="n">
        <v>313000</v>
      </c>
    </row>
    <row r="1655">
      <c r="A1655" s="62" t="n">
        <v>36050</v>
      </c>
      <c r="B1655" t="n">
        <v>2190000</v>
      </c>
      <c r="C1655" t="n">
        <v>304000</v>
      </c>
    </row>
    <row r="1656">
      <c r="A1656" s="62" t="n">
        <v>36057</v>
      </c>
      <c r="B1656" t="n">
        <v>2114000</v>
      </c>
      <c r="C1656" t="n">
        <v>305000</v>
      </c>
    </row>
    <row r="1657">
      <c r="A1657" s="62" t="n">
        <v>36064</v>
      </c>
      <c r="B1657" t="n">
        <v>2148000</v>
      </c>
      <c r="C1657" t="n">
        <v>294000</v>
      </c>
    </row>
    <row r="1658">
      <c r="A1658" s="62" t="n">
        <v>36071</v>
      </c>
      <c r="B1658" t="n">
        <v>2156000</v>
      </c>
      <c r="C1658" t="n">
        <v>302000</v>
      </c>
    </row>
    <row r="1659">
      <c r="A1659" s="62" t="n">
        <v>36078</v>
      </c>
      <c r="B1659" t="n">
        <v>2167000</v>
      </c>
      <c r="C1659" t="n">
        <v>316000</v>
      </c>
    </row>
    <row r="1660">
      <c r="A1660" s="62" t="n">
        <v>36085</v>
      </c>
      <c r="B1660" t="n">
        <v>2168000</v>
      </c>
      <c r="C1660" t="n">
        <v>318000</v>
      </c>
    </row>
    <row r="1661">
      <c r="A1661" s="62" t="n">
        <v>36092</v>
      </c>
      <c r="B1661" t="n">
        <v>2169000</v>
      </c>
      <c r="C1661" t="n">
        <v>309000</v>
      </c>
    </row>
    <row r="1662">
      <c r="A1662" s="62" t="n">
        <v>36099</v>
      </c>
      <c r="B1662" t="n">
        <v>2162000</v>
      </c>
      <c r="C1662" t="n">
        <v>308000</v>
      </c>
    </row>
    <row r="1663">
      <c r="A1663" s="62" t="n">
        <v>36106</v>
      </c>
      <c r="B1663" t="n">
        <v>2195000</v>
      </c>
      <c r="C1663" t="n">
        <v>316000</v>
      </c>
    </row>
    <row r="1664">
      <c r="A1664" s="62" t="n">
        <v>36113</v>
      </c>
      <c r="B1664" t="n">
        <v>2177000</v>
      </c>
      <c r="C1664" t="n">
        <v>334000</v>
      </c>
    </row>
    <row r="1665">
      <c r="A1665" s="62" t="n">
        <v>36120</v>
      </c>
      <c r="B1665" t="n">
        <v>2207000</v>
      </c>
      <c r="C1665" t="n">
        <v>304000</v>
      </c>
    </row>
    <row r="1666">
      <c r="A1666" s="62" t="n">
        <v>36127</v>
      </c>
      <c r="B1666" t="n">
        <v>2236000</v>
      </c>
      <c r="C1666" t="n">
        <v>310000</v>
      </c>
    </row>
    <row r="1667">
      <c r="A1667" s="62" t="n">
        <v>36134</v>
      </c>
      <c r="B1667" t="n">
        <v>2239000</v>
      </c>
      <c r="C1667" t="n">
        <v>326000</v>
      </c>
    </row>
    <row r="1668">
      <c r="A1668" s="62" t="n">
        <v>36141</v>
      </c>
      <c r="B1668" t="n">
        <v>2205000</v>
      </c>
      <c r="C1668" t="n">
        <v>305000</v>
      </c>
    </row>
    <row r="1669">
      <c r="A1669" s="62" t="n">
        <v>36148</v>
      </c>
      <c r="B1669" t="n">
        <v>2171000</v>
      </c>
      <c r="C1669" t="n">
        <v>297000</v>
      </c>
    </row>
    <row r="1670">
      <c r="A1670" s="62" t="n">
        <v>36155</v>
      </c>
      <c r="B1670" t="n">
        <v>2266000</v>
      </c>
      <c r="C1670" t="n">
        <v>336000</v>
      </c>
    </row>
    <row r="1671">
      <c r="A1671" s="62" t="n">
        <v>36162</v>
      </c>
      <c r="B1671" t="n">
        <v>2303000</v>
      </c>
      <c r="C1671" t="n">
        <v>331000</v>
      </c>
    </row>
    <row r="1672">
      <c r="A1672" s="62" t="n">
        <v>36169</v>
      </c>
      <c r="B1672" t="n">
        <v>2289000</v>
      </c>
      <c r="C1672" t="n">
        <v>345000</v>
      </c>
    </row>
    <row r="1673">
      <c r="A1673" s="62" t="n">
        <v>36176</v>
      </c>
      <c r="B1673" t="n">
        <v>2316000</v>
      </c>
      <c r="C1673" t="n">
        <v>339000</v>
      </c>
    </row>
    <row r="1674">
      <c r="A1674" s="62" t="n">
        <v>36183</v>
      </c>
      <c r="B1674" t="n">
        <v>2269000</v>
      </c>
      <c r="C1674" t="n">
        <v>311000</v>
      </c>
    </row>
    <row r="1675">
      <c r="A1675" s="62" t="n">
        <v>36190</v>
      </c>
      <c r="B1675" t="n">
        <v>2259000</v>
      </c>
      <c r="C1675" t="n">
        <v>305000</v>
      </c>
    </row>
    <row r="1676">
      <c r="A1676" s="62" t="n">
        <v>36197</v>
      </c>
      <c r="B1676" t="n">
        <v>2253000</v>
      </c>
      <c r="C1676" t="n">
        <v>291000</v>
      </c>
    </row>
    <row r="1677">
      <c r="A1677" s="62" t="n">
        <v>36204</v>
      </c>
      <c r="B1677" t="n">
        <v>2253000</v>
      </c>
      <c r="C1677" t="n">
        <v>312000</v>
      </c>
    </row>
    <row r="1678">
      <c r="A1678" s="62" t="n">
        <v>36211</v>
      </c>
      <c r="B1678" t="n">
        <v>2237000</v>
      </c>
      <c r="C1678" t="n">
        <v>302000</v>
      </c>
    </row>
    <row r="1679">
      <c r="A1679" s="62" t="n">
        <v>36218</v>
      </c>
      <c r="B1679" t="n">
        <v>2219000</v>
      </c>
      <c r="C1679" t="n">
        <v>301000</v>
      </c>
    </row>
    <row r="1680">
      <c r="A1680" s="62" t="n">
        <v>36225</v>
      </c>
      <c r="B1680" t="n">
        <v>2238000</v>
      </c>
      <c r="C1680" t="n">
        <v>300000</v>
      </c>
    </row>
    <row r="1681">
      <c r="A1681" s="62" t="n">
        <v>36232</v>
      </c>
      <c r="B1681" t="n">
        <v>2232000</v>
      </c>
      <c r="C1681" t="n">
        <v>308000</v>
      </c>
    </row>
    <row r="1682">
      <c r="A1682" s="62" t="n">
        <v>36239</v>
      </c>
      <c r="B1682" t="n">
        <v>2247000</v>
      </c>
      <c r="C1682" t="n">
        <v>305000</v>
      </c>
    </row>
    <row r="1683">
      <c r="A1683" s="62" t="n">
        <v>36246</v>
      </c>
      <c r="B1683" t="n">
        <v>2191000</v>
      </c>
      <c r="C1683" t="n">
        <v>298000</v>
      </c>
    </row>
    <row r="1684">
      <c r="A1684" s="62" t="n">
        <v>36253</v>
      </c>
      <c r="B1684" t="n">
        <v>2280000</v>
      </c>
      <c r="C1684" t="n">
        <v>310000</v>
      </c>
    </row>
    <row r="1685">
      <c r="A1685" s="62" t="n">
        <v>36260</v>
      </c>
      <c r="B1685" t="n">
        <v>2247000</v>
      </c>
      <c r="C1685" t="n">
        <v>319000</v>
      </c>
    </row>
    <row r="1686">
      <c r="A1686" s="62" t="n">
        <v>36267</v>
      </c>
      <c r="B1686" t="n">
        <v>2230000</v>
      </c>
      <c r="C1686" t="n">
        <v>314000</v>
      </c>
    </row>
    <row r="1687">
      <c r="A1687" s="62" t="n">
        <v>36274</v>
      </c>
      <c r="B1687" t="n">
        <v>2193000</v>
      </c>
      <c r="C1687" t="n">
        <v>291000</v>
      </c>
    </row>
    <row r="1688">
      <c r="A1688" s="62" t="n">
        <v>36281</v>
      </c>
      <c r="B1688" t="n">
        <v>2226000</v>
      </c>
      <c r="C1688" t="n">
        <v>296000</v>
      </c>
    </row>
    <row r="1689">
      <c r="A1689" s="62" t="n">
        <v>36288</v>
      </c>
      <c r="B1689" t="n">
        <v>2200000</v>
      </c>
      <c r="C1689" t="n">
        <v>310000</v>
      </c>
    </row>
    <row r="1690">
      <c r="A1690" s="62" t="n">
        <v>36295</v>
      </c>
      <c r="B1690" t="n">
        <v>2232000</v>
      </c>
      <c r="C1690" t="n">
        <v>301000</v>
      </c>
    </row>
    <row r="1691">
      <c r="A1691" s="62" t="n">
        <v>36302</v>
      </c>
      <c r="B1691" t="n">
        <v>2223000</v>
      </c>
      <c r="C1691" t="n">
        <v>298000</v>
      </c>
    </row>
    <row r="1692">
      <c r="A1692" s="62" t="n">
        <v>36309</v>
      </c>
      <c r="B1692" t="n">
        <v>2191000</v>
      </c>
      <c r="C1692" t="n">
        <v>303000</v>
      </c>
    </row>
    <row r="1693">
      <c r="A1693" s="62" t="n">
        <v>36316</v>
      </c>
      <c r="B1693" t="n">
        <v>2194000</v>
      </c>
      <c r="C1693" t="n">
        <v>303000</v>
      </c>
    </row>
    <row r="1694">
      <c r="A1694" s="62" t="n">
        <v>36323</v>
      </c>
      <c r="B1694" t="n">
        <v>2215000</v>
      </c>
      <c r="C1694" t="n">
        <v>290000</v>
      </c>
    </row>
    <row r="1695">
      <c r="A1695" s="62" t="n">
        <v>36330</v>
      </c>
      <c r="B1695" t="n">
        <v>2183000</v>
      </c>
      <c r="C1695" t="n">
        <v>292000</v>
      </c>
    </row>
    <row r="1696">
      <c r="A1696" s="62" t="n">
        <v>36337</v>
      </c>
      <c r="B1696" t="n">
        <v>2177000</v>
      </c>
      <c r="C1696" t="n">
        <v>291000</v>
      </c>
    </row>
    <row r="1697">
      <c r="A1697" s="62" t="n">
        <v>36344</v>
      </c>
      <c r="B1697" t="n">
        <v>2202000</v>
      </c>
      <c r="C1697" t="n">
        <v>287000</v>
      </c>
    </row>
    <row r="1698">
      <c r="A1698" s="62" t="n">
        <v>36351</v>
      </c>
      <c r="B1698" t="n">
        <v>2171000</v>
      </c>
      <c r="C1698" t="n">
        <v>288000</v>
      </c>
    </row>
    <row r="1699">
      <c r="A1699" s="62" t="n">
        <v>36358</v>
      </c>
      <c r="B1699" t="n">
        <v>2226000</v>
      </c>
      <c r="C1699" t="n">
        <v>309000</v>
      </c>
    </row>
    <row r="1700">
      <c r="A1700" s="62" t="n">
        <v>36365</v>
      </c>
      <c r="B1700" t="n">
        <v>2203000</v>
      </c>
      <c r="C1700" t="n">
        <v>306000</v>
      </c>
    </row>
    <row r="1701">
      <c r="A1701" s="62" t="n">
        <v>36372</v>
      </c>
      <c r="B1701" t="n">
        <v>2164000</v>
      </c>
      <c r="C1701" t="n">
        <v>300000</v>
      </c>
    </row>
    <row r="1702">
      <c r="A1702" s="62" t="n">
        <v>36379</v>
      </c>
      <c r="B1702" t="n">
        <v>2192000</v>
      </c>
      <c r="C1702" t="n">
        <v>295000</v>
      </c>
    </row>
    <row r="1703">
      <c r="A1703" s="62" t="n">
        <v>36386</v>
      </c>
      <c r="B1703" t="n">
        <v>2176000</v>
      </c>
      <c r="C1703" t="n">
        <v>292000</v>
      </c>
    </row>
    <row r="1704">
      <c r="A1704" s="62" t="n">
        <v>36393</v>
      </c>
      <c r="B1704" t="n">
        <v>2185000</v>
      </c>
      <c r="C1704" t="n">
        <v>286000</v>
      </c>
    </row>
    <row r="1705">
      <c r="A1705" s="62" t="n">
        <v>36400</v>
      </c>
      <c r="B1705" t="n">
        <v>2168000</v>
      </c>
      <c r="C1705" t="n">
        <v>290000</v>
      </c>
    </row>
    <row r="1706">
      <c r="A1706" s="62" t="n">
        <v>36407</v>
      </c>
      <c r="B1706" t="n">
        <v>2157000</v>
      </c>
      <c r="C1706" t="n">
        <v>290000</v>
      </c>
    </row>
    <row r="1707">
      <c r="A1707" s="62" t="n">
        <v>36414</v>
      </c>
      <c r="B1707" t="n">
        <v>2163000</v>
      </c>
      <c r="C1707" t="n">
        <v>281000</v>
      </c>
    </row>
    <row r="1708">
      <c r="A1708" s="62" t="n">
        <v>36421</v>
      </c>
      <c r="B1708" t="n">
        <v>2170000</v>
      </c>
      <c r="C1708" t="n">
        <v>281000</v>
      </c>
    </row>
    <row r="1709">
      <c r="A1709" s="62" t="n">
        <v>36428</v>
      </c>
      <c r="B1709" t="n">
        <v>2158000</v>
      </c>
      <c r="C1709" t="n">
        <v>306000</v>
      </c>
    </row>
    <row r="1710">
      <c r="A1710" s="62" t="n">
        <v>36435</v>
      </c>
      <c r="B1710" t="n">
        <v>2139000</v>
      </c>
      <c r="C1710" t="n">
        <v>309000</v>
      </c>
    </row>
    <row r="1711">
      <c r="A1711" s="62" t="n">
        <v>36442</v>
      </c>
      <c r="B1711" t="n">
        <v>2105000</v>
      </c>
      <c r="C1711" t="n">
        <v>291000</v>
      </c>
    </row>
    <row r="1712">
      <c r="A1712" s="62" t="n">
        <v>36449</v>
      </c>
      <c r="B1712" t="n">
        <v>2102000</v>
      </c>
      <c r="C1712" t="n">
        <v>287000</v>
      </c>
    </row>
    <row r="1713">
      <c r="A1713" s="62" t="n">
        <v>36456</v>
      </c>
      <c r="B1713" t="n">
        <v>2086000</v>
      </c>
      <c r="C1713" t="n">
        <v>280000</v>
      </c>
    </row>
    <row r="1714">
      <c r="A1714" s="62" t="n">
        <v>36463</v>
      </c>
      <c r="B1714" t="n">
        <v>2082000</v>
      </c>
      <c r="C1714" t="n">
        <v>285000</v>
      </c>
    </row>
    <row r="1715">
      <c r="A1715" s="62" t="n">
        <v>36470</v>
      </c>
      <c r="B1715" t="n">
        <v>2099000</v>
      </c>
      <c r="C1715" t="n">
        <v>282000</v>
      </c>
    </row>
    <row r="1716">
      <c r="A1716" s="62" t="n">
        <v>36477</v>
      </c>
      <c r="B1716" t="n">
        <v>2035000</v>
      </c>
      <c r="C1716" t="n">
        <v>281000</v>
      </c>
    </row>
    <row r="1717">
      <c r="A1717" s="62" t="n">
        <v>36484</v>
      </c>
      <c r="B1717" t="n">
        <v>2111000</v>
      </c>
      <c r="C1717" t="n">
        <v>276000</v>
      </c>
    </row>
    <row r="1718">
      <c r="A1718" s="62" t="n">
        <v>36491</v>
      </c>
      <c r="B1718" t="n">
        <v>2098000</v>
      </c>
      <c r="C1718" t="n">
        <v>288000</v>
      </c>
    </row>
    <row r="1719">
      <c r="A1719" s="62" t="n">
        <v>36498</v>
      </c>
      <c r="B1719" t="n">
        <v>2094000</v>
      </c>
      <c r="C1719" t="n">
        <v>287000</v>
      </c>
    </row>
    <row r="1720">
      <c r="A1720" s="62" t="n">
        <v>36505</v>
      </c>
      <c r="B1720" t="n">
        <v>2070000</v>
      </c>
      <c r="C1720" t="n">
        <v>272000</v>
      </c>
    </row>
    <row r="1721">
      <c r="A1721" s="62" t="n">
        <v>36512</v>
      </c>
      <c r="B1721" t="n">
        <v>2123000</v>
      </c>
      <c r="C1721" t="n">
        <v>287000</v>
      </c>
    </row>
    <row r="1722">
      <c r="A1722" s="62" t="n">
        <v>36519</v>
      </c>
      <c r="B1722" t="n">
        <v>2102000</v>
      </c>
      <c r="C1722" t="n">
        <v>268000</v>
      </c>
    </row>
    <row r="1723">
      <c r="A1723" s="62" t="n">
        <v>36526</v>
      </c>
      <c r="B1723" t="n">
        <v>2102000</v>
      </c>
      <c r="C1723" t="n">
        <v>286000</v>
      </c>
    </row>
    <row r="1724">
      <c r="A1724" s="62" t="n">
        <v>36533</v>
      </c>
      <c r="B1724" t="n">
        <v>2107000</v>
      </c>
      <c r="C1724" t="n">
        <v>298000</v>
      </c>
    </row>
    <row r="1725">
      <c r="A1725" s="62" t="n">
        <v>36540</v>
      </c>
      <c r="B1725" t="n">
        <v>2115000</v>
      </c>
      <c r="C1725" t="n">
        <v>289000</v>
      </c>
    </row>
    <row r="1726">
      <c r="A1726" s="62" t="n">
        <v>36547</v>
      </c>
      <c r="B1726" t="n">
        <v>2061000</v>
      </c>
      <c r="C1726" t="n">
        <v>284000</v>
      </c>
    </row>
    <row r="1727">
      <c r="A1727" s="62" t="n">
        <v>36554</v>
      </c>
      <c r="B1727" t="n">
        <v>2164000</v>
      </c>
      <c r="C1727" t="n">
        <v>285000</v>
      </c>
    </row>
    <row r="1728">
      <c r="A1728" s="62" t="n">
        <v>36561</v>
      </c>
      <c r="B1728" t="n">
        <v>2160000</v>
      </c>
      <c r="C1728" t="n">
        <v>312000</v>
      </c>
    </row>
    <row r="1729">
      <c r="A1729" s="62" t="n">
        <v>36568</v>
      </c>
      <c r="B1729" t="n">
        <v>2141000</v>
      </c>
      <c r="C1729" t="n">
        <v>300000</v>
      </c>
    </row>
    <row r="1730">
      <c r="A1730" s="62" t="n">
        <v>36575</v>
      </c>
      <c r="B1730" t="n">
        <v>2132000</v>
      </c>
      <c r="C1730" t="n">
        <v>283000</v>
      </c>
    </row>
    <row r="1731">
      <c r="A1731" s="62" t="n">
        <v>36582</v>
      </c>
      <c r="B1731" t="n">
        <v>2157000</v>
      </c>
      <c r="C1731" t="n">
        <v>280000</v>
      </c>
    </row>
    <row r="1732">
      <c r="A1732" s="62" t="n">
        <v>36589</v>
      </c>
      <c r="B1732" t="n">
        <v>2098000</v>
      </c>
      <c r="C1732" t="n">
        <v>286000</v>
      </c>
    </row>
    <row r="1733">
      <c r="A1733" s="62" t="n">
        <v>36596</v>
      </c>
      <c r="B1733" t="n">
        <v>2099000</v>
      </c>
      <c r="C1733" t="n">
        <v>270000</v>
      </c>
    </row>
    <row r="1734">
      <c r="A1734" s="62" t="n">
        <v>36603</v>
      </c>
      <c r="B1734" t="n">
        <v>2051000</v>
      </c>
      <c r="C1734" t="n">
        <v>271000</v>
      </c>
    </row>
    <row r="1735">
      <c r="A1735" s="62" t="n">
        <v>36610</v>
      </c>
      <c r="B1735" t="n">
        <v>2068000</v>
      </c>
      <c r="C1735" t="n">
        <v>272000</v>
      </c>
    </row>
    <row r="1736">
      <c r="A1736" s="62" t="n">
        <v>36617</v>
      </c>
      <c r="B1736" t="n">
        <v>2026000</v>
      </c>
      <c r="C1736" t="n">
        <v>266000</v>
      </c>
    </row>
    <row r="1737">
      <c r="A1737" s="62" t="n">
        <v>36624</v>
      </c>
      <c r="B1737" t="n">
        <v>2027000</v>
      </c>
      <c r="C1737" t="n">
        <v>268000</v>
      </c>
    </row>
    <row r="1738">
      <c r="A1738" s="62" t="n">
        <v>36631</v>
      </c>
      <c r="B1738" t="n">
        <v>1962000</v>
      </c>
      <c r="C1738" t="n">
        <v>259000</v>
      </c>
    </row>
    <row r="1739">
      <c r="A1739" s="62" t="n">
        <v>36638</v>
      </c>
      <c r="B1739" t="n">
        <v>2035000</v>
      </c>
      <c r="C1739" t="n">
        <v>274000</v>
      </c>
    </row>
    <row r="1740">
      <c r="A1740" s="62" t="n">
        <v>36645</v>
      </c>
      <c r="B1740" t="n">
        <v>2027000</v>
      </c>
      <c r="C1740" t="n">
        <v>291000</v>
      </c>
    </row>
    <row r="1741">
      <c r="A1741" s="62" t="n">
        <v>36652</v>
      </c>
      <c r="B1741" t="n">
        <v>1991000</v>
      </c>
      <c r="C1741" t="n">
        <v>293000</v>
      </c>
    </row>
    <row r="1742">
      <c r="A1742" s="62" t="n">
        <v>36659</v>
      </c>
      <c r="B1742" t="n">
        <v>1982000</v>
      </c>
      <c r="C1742" t="n">
        <v>276000</v>
      </c>
    </row>
    <row r="1743">
      <c r="A1743" s="62" t="n">
        <v>36666</v>
      </c>
      <c r="B1743" t="n">
        <v>1998000</v>
      </c>
      <c r="C1743" t="n">
        <v>280000</v>
      </c>
    </row>
    <row r="1744">
      <c r="A1744" s="62" t="n">
        <v>36673</v>
      </c>
      <c r="B1744" t="n">
        <v>1987000</v>
      </c>
      <c r="C1744" t="n">
        <v>280000</v>
      </c>
    </row>
    <row r="1745">
      <c r="A1745" s="62" t="n">
        <v>36680</v>
      </c>
      <c r="B1745" t="n">
        <v>2019000</v>
      </c>
      <c r="C1745" t="n">
        <v>290000</v>
      </c>
    </row>
    <row r="1746">
      <c r="A1746" s="62" t="n">
        <v>36687</v>
      </c>
      <c r="B1746" t="n">
        <v>2020000</v>
      </c>
      <c r="C1746" t="n">
        <v>284000</v>
      </c>
    </row>
    <row r="1747">
      <c r="A1747" s="62" t="n">
        <v>36694</v>
      </c>
      <c r="B1747" t="n">
        <v>2041000</v>
      </c>
      <c r="C1747" t="n">
        <v>294000</v>
      </c>
    </row>
    <row r="1748">
      <c r="A1748" s="62" t="n">
        <v>36701</v>
      </c>
      <c r="B1748" t="n">
        <v>2033000</v>
      </c>
      <c r="C1748" t="n">
        <v>296000</v>
      </c>
    </row>
    <row r="1749">
      <c r="A1749" s="62" t="n">
        <v>36708</v>
      </c>
      <c r="B1749" t="n">
        <v>2052000</v>
      </c>
      <c r="C1749" t="n">
        <v>281000</v>
      </c>
    </row>
    <row r="1750">
      <c r="A1750" s="62" t="n">
        <v>36715</v>
      </c>
      <c r="B1750" t="n">
        <v>2099000</v>
      </c>
      <c r="C1750" t="n">
        <v>293000</v>
      </c>
    </row>
    <row r="1751">
      <c r="A1751" s="62" t="n">
        <v>36722</v>
      </c>
      <c r="B1751" t="n">
        <v>2122000</v>
      </c>
      <c r="C1751" t="n">
        <v>303000</v>
      </c>
    </row>
    <row r="1752">
      <c r="A1752" s="62" t="n">
        <v>36729</v>
      </c>
      <c r="B1752" t="n">
        <v>2070000</v>
      </c>
      <c r="C1752" t="n">
        <v>300000</v>
      </c>
    </row>
    <row r="1753">
      <c r="A1753" s="62" t="n">
        <v>36736</v>
      </c>
      <c r="B1753" t="n">
        <v>2085000</v>
      </c>
      <c r="C1753" t="n">
        <v>298000</v>
      </c>
    </row>
    <row r="1754">
      <c r="A1754" s="62" t="n">
        <v>36743</v>
      </c>
      <c r="B1754" t="n">
        <v>2096000</v>
      </c>
      <c r="C1754" t="n">
        <v>306000</v>
      </c>
    </row>
    <row r="1755">
      <c r="A1755" s="62" t="n">
        <v>36750</v>
      </c>
      <c r="B1755" t="n">
        <v>2109000</v>
      </c>
      <c r="C1755" t="n">
        <v>315000</v>
      </c>
    </row>
    <row r="1756">
      <c r="A1756" s="62" t="n">
        <v>36757</v>
      </c>
      <c r="B1756" t="n">
        <v>2145000</v>
      </c>
      <c r="C1756" t="n">
        <v>318000</v>
      </c>
    </row>
    <row r="1757">
      <c r="A1757" s="62" t="n">
        <v>36764</v>
      </c>
      <c r="B1757" t="n">
        <v>2119000</v>
      </c>
      <c r="C1757" t="n">
        <v>312000</v>
      </c>
    </row>
    <row r="1758">
      <c r="A1758" s="62" t="n">
        <v>36771</v>
      </c>
      <c r="B1758" t="n">
        <v>2169000</v>
      </c>
      <c r="C1758" t="n">
        <v>301000</v>
      </c>
    </row>
    <row r="1759">
      <c r="A1759" s="62" t="n">
        <v>36778</v>
      </c>
      <c r="B1759" t="n">
        <v>2139000</v>
      </c>
      <c r="C1759" t="n">
        <v>309000</v>
      </c>
    </row>
    <row r="1760">
      <c r="A1760" s="62" t="n">
        <v>36785</v>
      </c>
      <c r="B1760" t="n">
        <v>2115000</v>
      </c>
      <c r="C1760" t="n">
        <v>311000</v>
      </c>
    </row>
    <row r="1761">
      <c r="A1761" s="62" t="n">
        <v>36792</v>
      </c>
      <c r="B1761" t="n">
        <v>2098000</v>
      </c>
      <c r="C1761" t="n">
        <v>288000</v>
      </c>
    </row>
    <row r="1762">
      <c r="A1762" s="62" t="n">
        <v>36799</v>
      </c>
      <c r="B1762" t="n">
        <v>2077000</v>
      </c>
      <c r="C1762" t="n">
        <v>292000</v>
      </c>
    </row>
    <row r="1763">
      <c r="A1763" s="62" t="n">
        <v>36806</v>
      </c>
      <c r="B1763" t="n">
        <v>2133000</v>
      </c>
      <c r="C1763" t="n">
        <v>309000</v>
      </c>
    </row>
    <row r="1764">
      <c r="A1764" s="62" t="n">
        <v>36813</v>
      </c>
      <c r="B1764" t="n">
        <v>2124000</v>
      </c>
      <c r="C1764" t="n">
        <v>299000</v>
      </c>
    </row>
    <row r="1765">
      <c r="A1765" s="62" t="n">
        <v>36820</v>
      </c>
      <c r="B1765" t="n">
        <v>2082000</v>
      </c>
      <c r="C1765" t="n">
        <v>295000</v>
      </c>
    </row>
    <row r="1766">
      <c r="A1766" s="62" t="n">
        <v>36827</v>
      </c>
      <c r="B1766" t="n">
        <v>2126000</v>
      </c>
      <c r="C1766" t="n">
        <v>301000</v>
      </c>
    </row>
    <row r="1767">
      <c r="A1767" s="62" t="n">
        <v>36834</v>
      </c>
      <c r="B1767" t="n">
        <v>2110000</v>
      </c>
      <c r="C1767" t="n">
        <v>331000</v>
      </c>
    </row>
    <row r="1768">
      <c r="A1768" s="62" t="n">
        <v>36841</v>
      </c>
      <c r="B1768" t="n">
        <v>2161000</v>
      </c>
      <c r="C1768" t="n">
        <v>318000</v>
      </c>
    </row>
    <row r="1769">
      <c r="A1769" s="62" t="n">
        <v>36848</v>
      </c>
      <c r="B1769" t="n">
        <v>2279000</v>
      </c>
      <c r="C1769" t="n">
        <v>332000</v>
      </c>
    </row>
    <row r="1770">
      <c r="A1770" s="62" t="n">
        <v>36855</v>
      </c>
      <c r="B1770" t="n">
        <v>2295000</v>
      </c>
      <c r="C1770" t="n">
        <v>356000</v>
      </c>
    </row>
    <row r="1771">
      <c r="A1771" s="62" t="n">
        <v>36862</v>
      </c>
      <c r="B1771" t="n">
        <v>2229000</v>
      </c>
      <c r="C1771" t="n">
        <v>338000</v>
      </c>
    </row>
    <row r="1772">
      <c r="A1772" s="62" t="n">
        <v>36869</v>
      </c>
      <c r="B1772" t="n">
        <v>2263000</v>
      </c>
      <c r="C1772" t="n">
        <v>321000</v>
      </c>
    </row>
    <row r="1773">
      <c r="A1773" s="62" t="n">
        <v>36876</v>
      </c>
      <c r="B1773" t="n">
        <v>2322000</v>
      </c>
      <c r="C1773" t="n">
        <v>354000</v>
      </c>
    </row>
    <row r="1774">
      <c r="A1774" s="62" t="n">
        <v>36883</v>
      </c>
      <c r="B1774" t="n">
        <v>2340000</v>
      </c>
      <c r="C1774" t="n">
        <v>364000</v>
      </c>
    </row>
    <row r="1775">
      <c r="A1775" s="62" t="n">
        <v>36890</v>
      </c>
      <c r="B1775" t="n">
        <v>2378000</v>
      </c>
      <c r="C1775" t="n">
        <v>353000</v>
      </c>
    </row>
    <row r="1776">
      <c r="A1776" s="62" t="n">
        <v>36897</v>
      </c>
      <c r="B1776" t="n">
        <v>2357000</v>
      </c>
      <c r="C1776" t="n">
        <v>337000</v>
      </c>
    </row>
    <row r="1777">
      <c r="A1777" s="62" t="n">
        <v>36904</v>
      </c>
      <c r="B1777" t="n">
        <v>2367000</v>
      </c>
      <c r="C1777" t="n">
        <v>318000</v>
      </c>
    </row>
    <row r="1778">
      <c r="A1778" s="62" t="n">
        <v>36911</v>
      </c>
      <c r="B1778" t="n">
        <v>2419000</v>
      </c>
      <c r="C1778" t="n">
        <v>343000</v>
      </c>
    </row>
    <row r="1779">
      <c r="A1779" s="62" t="n">
        <v>36918</v>
      </c>
      <c r="B1779" t="n">
        <v>2440000</v>
      </c>
      <c r="C1779" t="n">
        <v>362000</v>
      </c>
    </row>
    <row r="1780">
      <c r="A1780" s="62" t="n">
        <v>36925</v>
      </c>
      <c r="B1780" t="n">
        <v>2489000</v>
      </c>
      <c r="C1780" t="n">
        <v>376000</v>
      </c>
    </row>
    <row r="1781">
      <c r="A1781" s="62" t="n">
        <v>36932</v>
      </c>
      <c r="B1781" t="n">
        <v>2435000</v>
      </c>
      <c r="C1781" t="n">
        <v>365000</v>
      </c>
    </row>
    <row r="1782">
      <c r="A1782" s="62" t="n">
        <v>36939</v>
      </c>
      <c r="B1782" t="n">
        <v>2516000</v>
      </c>
      <c r="C1782" t="n">
        <v>358000</v>
      </c>
    </row>
    <row r="1783">
      <c r="A1783" s="62" t="n">
        <v>36946</v>
      </c>
      <c r="B1783" t="n">
        <v>2506000</v>
      </c>
      <c r="C1783" t="n">
        <v>386000</v>
      </c>
    </row>
    <row r="1784">
      <c r="A1784" s="62" t="n">
        <v>36953</v>
      </c>
      <c r="B1784" t="n">
        <v>2558000</v>
      </c>
      <c r="C1784" t="n">
        <v>384000</v>
      </c>
    </row>
    <row r="1785">
      <c r="A1785" s="62" t="n">
        <v>36960</v>
      </c>
      <c r="B1785" t="n">
        <v>2557000</v>
      </c>
      <c r="C1785" t="n">
        <v>393000</v>
      </c>
    </row>
    <row r="1786">
      <c r="A1786" s="62" t="n">
        <v>36967</v>
      </c>
      <c r="B1786" t="n">
        <v>2605000</v>
      </c>
      <c r="C1786" t="n">
        <v>393000</v>
      </c>
    </row>
    <row r="1787">
      <c r="A1787" s="62" t="n">
        <v>36974</v>
      </c>
      <c r="B1787" t="n">
        <v>2587000</v>
      </c>
      <c r="C1787" t="n">
        <v>378000</v>
      </c>
    </row>
    <row r="1788">
      <c r="A1788" s="62" t="n">
        <v>36981</v>
      </c>
      <c r="B1788" t="n">
        <v>2620000</v>
      </c>
      <c r="C1788" t="n">
        <v>388000</v>
      </c>
    </row>
    <row r="1789">
      <c r="A1789" s="62" t="n">
        <v>36988</v>
      </c>
      <c r="B1789" t="n">
        <v>2582000</v>
      </c>
      <c r="C1789" t="n">
        <v>398000</v>
      </c>
    </row>
    <row r="1790">
      <c r="A1790" s="62" t="n">
        <v>36995</v>
      </c>
      <c r="B1790" t="n">
        <v>2742000</v>
      </c>
      <c r="C1790" t="n">
        <v>383000</v>
      </c>
    </row>
    <row r="1791">
      <c r="A1791" s="62" t="n">
        <v>37002</v>
      </c>
      <c r="B1791" t="n">
        <v>2737000</v>
      </c>
      <c r="C1791" t="n">
        <v>400000</v>
      </c>
    </row>
    <row r="1792">
      <c r="A1792" s="62" t="n">
        <v>37009</v>
      </c>
      <c r="B1792" t="n">
        <v>2728000</v>
      </c>
      <c r="C1792" t="n">
        <v>406000</v>
      </c>
    </row>
    <row r="1793">
      <c r="A1793" s="62" t="n">
        <v>37016</v>
      </c>
      <c r="B1793" t="n">
        <v>2732000</v>
      </c>
      <c r="C1793" t="n">
        <v>381000</v>
      </c>
    </row>
    <row r="1794">
      <c r="A1794" s="62" t="n">
        <v>37023</v>
      </c>
      <c r="B1794" t="n">
        <v>2800000</v>
      </c>
      <c r="C1794" t="n">
        <v>390000</v>
      </c>
    </row>
    <row r="1795">
      <c r="A1795" s="62" t="n">
        <v>37030</v>
      </c>
      <c r="B1795" t="n">
        <v>2819000</v>
      </c>
      <c r="C1795" t="n">
        <v>402000</v>
      </c>
    </row>
    <row r="1796">
      <c r="A1796" s="62" t="n">
        <v>37037</v>
      </c>
      <c r="B1796" t="n">
        <v>2926000</v>
      </c>
      <c r="C1796" t="n">
        <v>405000</v>
      </c>
    </row>
    <row r="1797">
      <c r="A1797" s="62" t="n">
        <v>37044</v>
      </c>
      <c r="B1797" t="n">
        <v>2919000</v>
      </c>
      <c r="C1797" t="n">
        <v>406000</v>
      </c>
    </row>
    <row r="1798">
      <c r="A1798" s="62" t="n">
        <v>37051</v>
      </c>
      <c r="B1798" t="n">
        <v>2948000</v>
      </c>
      <c r="C1798" t="n">
        <v>411000</v>
      </c>
    </row>
    <row r="1799">
      <c r="A1799" s="62" t="n">
        <v>37058</v>
      </c>
      <c r="B1799" t="n">
        <v>2939000</v>
      </c>
      <c r="C1799" t="n">
        <v>394000</v>
      </c>
    </row>
    <row r="1800">
      <c r="A1800" s="62" t="n">
        <v>37065</v>
      </c>
      <c r="B1800" t="n">
        <v>2972000</v>
      </c>
      <c r="C1800" t="n">
        <v>381000</v>
      </c>
    </row>
    <row r="1801">
      <c r="A1801" s="62" t="n">
        <v>37072</v>
      </c>
      <c r="B1801" t="n">
        <v>2959000</v>
      </c>
      <c r="C1801" t="n">
        <v>394000</v>
      </c>
    </row>
    <row r="1802">
      <c r="A1802" s="62" t="n">
        <v>37079</v>
      </c>
      <c r="B1802" t="n">
        <v>3063000</v>
      </c>
      <c r="C1802" t="n">
        <v>401000</v>
      </c>
    </row>
    <row r="1803">
      <c r="A1803" s="62" t="n">
        <v>37086</v>
      </c>
      <c r="B1803" t="n">
        <v>3029000</v>
      </c>
      <c r="C1803" t="n">
        <v>405000</v>
      </c>
    </row>
    <row r="1804">
      <c r="A1804" s="62" t="n">
        <v>37093</v>
      </c>
      <c r="B1804" t="n">
        <v>2975000</v>
      </c>
      <c r="C1804" t="n">
        <v>398000</v>
      </c>
    </row>
    <row r="1805">
      <c r="A1805" s="62" t="n">
        <v>37100</v>
      </c>
      <c r="B1805" t="n">
        <v>3056000</v>
      </c>
      <c r="C1805" t="n">
        <v>388000</v>
      </c>
    </row>
    <row r="1806">
      <c r="A1806" s="62" t="n">
        <v>37107</v>
      </c>
      <c r="B1806" t="n">
        <v>3079000</v>
      </c>
      <c r="C1806" t="n">
        <v>401000</v>
      </c>
    </row>
    <row r="1807">
      <c r="A1807" s="62" t="n">
        <v>37114</v>
      </c>
      <c r="B1807" t="n">
        <v>3125000</v>
      </c>
      <c r="C1807" t="n">
        <v>394000</v>
      </c>
    </row>
    <row r="1808">
      <c r="A1808" s="62" t="n">
        <v>37121</v>
      </c>
      <c r="B1808" t="n">
        <v>3113000</v>
      </c>
      <c r="C1808" t="n">
        <v>402000</v>
      </c>
    </row>
    <row r="1809">
      <c r="A1809" s="62" t="n">
        <v>37128</v>
      </c>
      <c r="B1809" t="n">
        <v>3163000</v>
      </c>
      <c r="C1809" t="n">
        <v>395000</v>
      </c>
    </row>
    <row r="1810">
      <c r="A1810" s="62" t="n">
        <v>37135</v>
      </c>
      <c r="B1810" t="n">
        <v>3213000</v>
      </c>
      <c r="C1810" t="n">
        <v>402000</v>
      </c>
    </row>
    <row r="1811">
      <c r="A1811" s="62" t="n">
        <v>37142</v>
      </c>
      <c r="B1811" t="n">
        <v>3197000</v>
      </c>
      <c r="C1811" t="n">
        <v>408000</v>
      </c>
    </row>
    <row r="1812">
      <c r="A1812" s="62" t="n">
        <v>37149</v>
      </c>
      <c r="B1812" t="n">
        <v>3214000</v>
      </c>
      <c r="C1812" t="n">
        <v>395000</v>
      </c>
    </row>
    <row r="1813">
      <c r="A1813" s="62" t="n">
        <v>37156</v>
      </c>
      <c r="B1813" t="n">
        <v>3302000</v>
      </c>
      <c r="C1813" t="n">
        <v>453000</v>
      </c>
    </row>
    <row r="1814">
      <c r="A1814" s="62" t="n">
        <v>37163</v>
      </c>
      <c r="B1814" t="n">
        <v>3385000</v>
      </c>
      <c r="C1814" t="n">
        <v>517000</v>
      </c>
    </row>
    <row r="1815">
      <c r="A1815" s="62" t="n">
        <v>37170</v>
      </c>
      <c r="B1815" t="n">
        <v>3432000</v>
      </c>
      <c r="C1815" t="n">
        <v>476000</v>
      </c>
    </row>
    <row r="1816">
      <c r="A1816" s="62" t="n">
        <v>37177</v>
      </c>
      <c r="B1816" t="n">
        <v>3521000</v>
      </c>
      <c r="C1816" t="n">
        <v>482000</v>
      </c>
    </row>
    <row r="1817">
      <c r="A1817" s="62" t="n">
        <v>37184</v>
      </c>
      <c r="B1817" t="n">
        <v>3557000</v>
      </c>
      <c r="C1817" t="n">
        <v>482000</v>
      </c>
    </row>
    <row r="1818">
      <c r="A1818" s="62" t="n">
        <v>37191</v>
      </c>
      <c r="B1818" t="n">
        <v>3600000</v>
      </c>
      <c r="C1818" t="n">
        <v>483000</v>
      </c>
    </row>
    <row r="1819">
      <c r="A1819" s="62" t="n">
        <v>37198</v>
      </c>
      <c r="B1819" t="n">
        <v>3616000</v>
      </c>
      <c r="C1819" t="n">
        <v>440000</v>
      </c>
    </row>
    <row r="1820">
      <c r="A1820" s="62" t="n">
        <v>37205</v>
      </c>
      <c r="B1820" t="n">
        <v>3627000</v>
      </c>
      <c r="C1820" t="n">
        <v>428000</v>
      </c>
    </row>
    <row r="1821">
      <c r="A1821" s="62" t="n">
        <v>37212</v>
      </c>
      <c r="B1821" t="n">
        <v>3790000</v>
      </c>
      <c r="C1821" t="n">
        <v>431000</v>
      </c>
    </row>
    <row r="1822">
      <c r="A1822" s="62" t="n">
        <v>37219</v>
      </c>
      <c r="B1822" t="n">
        <v>3593000</v>
      </c>
      <c r="C1822" t="n">
        <v>491000</v>
      </c>
    </row>
    <row r="1823">
      <c r="A1823" s="62" t="n">
        <v>37226</v>
      </c>
      <c r="B1823" t="n">
        <v>3619000</v>
      </c>
      <c r="C1823" t="n">
        <v>465000</v>
      </c>
    </row>
    <row r="1824">
      <c r="A1824" s="62" t="n">
        <v>37233</v>
      </c>
      <c r="B1824" t="n">
        <v>3626000</v>
      </c>
      <c r="C1824" t="n">
        <v>393000</v>
      </c>
    </row>
    <row r="1825">
      <c r="A1825" s="62" t="n">
        <v>37240</v>
      </c>
      <c r="B1825" t="n">
        <v>3637000</v>
      </c>
      <c r="C1825" t="n">
        <v>389000</v>
      </c>
    </row>
    <row r="1826">
      <c r="A1826" s="62" t="n">
        <v>37247</v>
      </c>
      <c r="B1826" t="n">
        <v>3591000</v>
      </c>
      <c r="C1826" t="n">
        <v>416000</v>
      </c>
    </row>
    <row r="1827">
      <c r="A1827" s="62" t="n">
        <v>37254</v>
      </c>
      <c r="B1827" t="n">
        <v>3474000</v>
      </c>
      <c r="C1827" t="n">
        <v>421000</v>
      </c>
    </row>
    <row r="1828">
      <c r="A1828" s="62" t="n">
        <v>37261</v>
      </c>
      <c r="B1828" t="n">
        <v>3587000</v>
      </c>
      <c r="C1828" t="n">
        <v>397000</v>
      </c>
    </row>
    <row r="1829">
      <c r="A1829" s="62" t="n">
        <v>37268</v>
      </c>
      <c r="B1829" t="n">
        <v>3500000</v>
      </c>
      <c r="C1829" t="n">
        <v>418000</v>
      </c>
    </row>
    <row r="1830">
      <c r="A1830" s="62" t="n">
        <v>37275</v>
      </c>
      <c r="B1830" t="n">
        <v>3557000</v>
      </c>
      <c r="C1830" t="n">
        <v>405000</v>
      </c>
    </row>
    <row r="1831">
      <c r="A1831" s="62" t="n">
        <v>37282</v>
      </c>
      <c r="B1831" t="n">
        <v>3558000</v>
      </c>
      <c r="C1831" t="n">
        <v>414000</v>
      </c>
    </row>
    <row r="1832">
      <c r="A1832" s="62" t="n">
        <v>37289</v>
      </c>
      <c r="B1832" t="n">
        <v>3537000</v>
      </c>
      <c r="C1832" t="n">
        <v>404000</v>
      </c>
    </row>
    <row r="1833">
      <c r="A1833" s="62" t="n">
        <v>37296</v>
      </c>
      <c r="B1833" t="n">
        <v>3562000</v>
      </c>
      <c r="C1833" t="n">
        <v>397000</v>
      </c>
    </row>
    <row r="1834">
      <c r="A1834" s="62" t="n">
        <v>37303</v>
      </c>
      <c r="B1834" t="n">
        <v>3580000</v>
      </c>
      <c r="C1834" t="n">
        <v>397000</v>
      </c>
    </row>
    <row r="1835">
      <c r="A1835" s="62" t="n">
        <v>37310</v>
      </c>
      <c r="B1835" t="n">
        <v>3538000</v>
      </c>
      <c r="C1835" t="n">
        <v>398000</v>
      </c>
    </row>
    <row r="1836">
      <c r="A1836" s="62" t="n">
        <v>37317</v>
      </c>
      <c r="B1836" t="n">
        <v>3567000</v>
      </c>
      <c r="C1836" t="n">
        <v>392000</v>
      </c>
    </row>
    <row r="1837">
      <c r="A1837" s="62" t="n">
        <v>37324</v>
      </c>
      <c r="B1837" t="n">
        <v>3567000</v>
      </c>
      <c r="C1837" t="n">
        <v>399000</v>
      </c>
    </row>
    <row r="1838">
      <c r="A1838" s="62" t="n">
        <v>37331</v>
      </c>
      <c r="B1838" t="n">
        <v>3598000</v>
      </c>
      <c r="C1838" t="n">
        <v>392000</v>
      </c>
    </row>
    <row r="1839">
      <c r="A1839" s="62" t="n">
        <v>37338</v>
      </c>
      <c r="B1839" t="n">
        <v>3599000</v>
      </c>
      <c r="C1839" t="n">
        <v>415000</v>
      </c>
    </row>
    <row r="1840">
      <c r="A1840" s="62" t="n">
        <v>37345</v>
      </c>
      <c r="B1840" t="n">
        <v>3723000</v>
      </c>
      <c r="C1840" t="n">
        <v>479000</v>
      </c>
    </row>
    <row r="1841">
      <c r="A1841" s="62" t="n">
        <v>37352</v>
      </c>
      <c r="B1841" t="n">
        <v>3732000</v>
      </c>
      <c r="C1841" t="n">
        <v>445000</v>
      </c>
    </row>
    <row r="1842">
      <c r="A1842" s="62" t="n">
        <v>37359</v>
      </c>
      <c r="B1842" t="n">
        <v>3650000</v>
      </c>
      <c r="C1842" t="n">
        <v>442000</v>
      </c>
    </row>
    <row r="1843">
      <c r="A1843" s="62" t="n">
        <v>37366</v>
      </c>
      <c r="B1843" t="n">
        <v>3675000</v>
      </c>
      <c r="C1843" t="n">
        <v>416000</v>
      </c>
    </row>
    <row r="1844">
      <c r="A1844" s="62" t="n">
        <v>37373</v>
      </c>
      <c r="B1844" t="n">
        <v>3700000</v>
      </c>
      <c r="C1844" t="n">
        <v>414000</v>
      </c>
    </row>
    <row r="1845">
      <c r="A1845" s="62" t="n">
        <v>37380</v>
      </c>
      <c r="B1845" t="n">
        <v>3712000</v>
      </c>
      <c r="C1845" t="n">
        <v>409000</v>
      </c>
    </row>
    <row r="1846">
      <c r="A1846" s="62" t="n">
        <v>37387</v>
      </c>
      <c r="B1846" t="n">
        <v>3729000</v>
      </c>
      <c r="C1846" t="n">
        <v>413000</v>
      </c>
    </row>
    <row r="1847">
      <c r="A1847" s="62" t="n">
        <v>37394</v>
      </c>
      <c r="B1847" t="n">
        <v>3695000</v>
      </c>
      <c r="C1847" t="n">
        <v>411000</v>
      </c>
    </row>
    <row r="1848">
      <c r="A1848" s="62" t="n">
        <v>37401</v>
      </c>
      <c r="B1848" t="n">
        <v>3712000</v>
      </c>
      <c r="C1848" t="n">
        <v>403000</v>
      </c>
    </row>
    <row r="1849">
      <c r="A1849" s="62" t="n">
        <v>37408</v>
      </c>
      <c r="B1849" t="n">
        <v>3664000</v>
      </c>
      <c r="C1849" t="n">
        <v>378000</v>
      </c>
    </row>
    <row r="1850">
      <c r="A1850" s="62" t="n">
        <v>37415</v>
      </c>
      <c r="B1850" t="n">
        <v>3681000</v>
      </c>
      <c r="C1850" t="n">
        <v>388000</v>
      </c>
    </row>
    <row r="1851">
      <c r="A1851" s="62" t="n">
        <v>37422</v>
      </c>
      <c r="B1851" t="n">
        <v>3604000</v>
      </c>
      <c r="C1851" t="n">
        <v>396000</v>
      </c>
    </row>
    <row r="1852">
      <c r="A1852" s="62" t="n">
        <v>37429</v>
      </c>
      <c r="B1852" t="n">
        <v>3639000</v>
      </c>
      <c r="C1852" t="n">
        <v>388000</v>
      </c>
    </row>
    <row r="1853">
      <c r="A1853" s="62" t="n">
        <v>37436</v>
      </c>
      <c r="B1853" t="n">
        <v>3588000</v>
      </c>
      <c r="C1853" t="n">
        <v>386000</v>
      </c>
    </row>
    <row r="1854">
      <c r="A1854" s="62" t="n">
        <v>37443</v>
      </c>
      <c r="B1854" t="n">
        <v>3554000</v>
      </c>
      <c r="C1854" t="n">
        <v>391000</v>
      </c>
    </row>
    <row r="1855">
      <c r="A1855" s="62" t="n">
        <v>37450</v>
      </c>
      <c r="B1855" t="n">
        <v>3495000</v>
      </c>
      <c r="C1855" t="n">
        <v>384000</v>
      </c>
    </row>
    <row r="1856">
      <c r="A1856" s="62" t="n">
        <v>37457</v>
      </c>
      <c r="B1856" t="n">
        <v>3473000</v>
      </c>
      <c r="C1856" t="n">
        <v>379000</v>
      </c>
    </row>
    <row r="1857">
      <c r="A1857" s="62" t="n">
        <v>37464</v>
      </c>
      <c r="B1857" t="n">
        <v>3495000</v>
      </c>
      <c r="C1857" t="n">
        <v>390000</v>
      </c>
    </row>
    <row r="1858">
      <c r="A1858" s="62" t="n">
        <v>37471</v>
      </c>
      <c r="B1858" t="n">
        <v>3498000</v>
      </c>
      <c r="C1858" t="n">
        <v>388000</v>
      </c>
    </row>
    <row r="1859">
      <c r="A1859" s="62" t="n">
        <v>37478</v>
      </c>
      <c r="B1859" t="n">
        <v>3485000</v>
      </c>
      <c r="C1859" t="n">
        <v>389000</v>
      </c>
    </row>
    <row r="1860">
      <c r="A1860" s="62" t="n">
        <v>37485</v>
      </c>
      <c r="B1860" t="n">
        <v>3531000</v>
      </c>
      <c r="C1860" t="n">
        <v>399000</v>
      </c>
    </row>
    <row r="1861">
      <c r="A1861" s="62" t="n">
        <v>37492</v>
      </c>
      <c r="B1861" t="n">
        <v>3521000</v>
      </c>
      <c r="C1861" t="n">
        <v>398000</v>
      </c>
    </row>
    <row r="1862">
      <c r="A1862" s="62" t="n">
        <v>37499</v>
      </c>
      <c r="B1862" t="n">
        <v>3549000</v>
      </c>
      <c r="C1862" t="n">
        <v>394000</v>
      </c>
    </row>
    <row r="1863">
      <c r="A1863" s="62" t="n">
        <v>37506</v>
      </c>
      <c r="B1863" t="n">
        <v>3532000</v>
      </c>
      <c r="C1863" t="n">
        <v>416000</v>
      </c>
    </row>
    <row r="1864">
      <c r="A1864" s="62" t="n">
        <v>37513</v>
      </c>
      <c r="B1864" t="n">
        <v>3554000</v>
      </c>
      <c r="C1864" t="n">
        <v>412000</v>
      </c>
    </row>
    <row r="1865">
      <c r="A1865" s="62" t="n">
        <v>37520</v>
      </c>
      <c r="B1865" t="n">
        <v>3579000</v>
      </c>
      <c r="C1865" t="n">
        <v>401000</v>
      </c>
    </row>
    <row r="1866">
      <c r="A1866" s="62" t="n">
        <v>37527</v>
      </c>
      <c r="B1866" t="n">
        <v>3555000</v>
      </c>
      <c r="C1866" t="n">
        <v>409000</v>
      </c>
    </row>
    <row r="1867">
      <c r="A1867" s="62" t="n">
        <v>37534</v>
      </c>
      <c r="B1867" t="n">
        <v>3619000</v>
      </c>
      <c r="C1867" t="n">
        <v>404000</v>
      </c>
    </row>
    <row r="1868">
      <c r="A1868" s="62" t="n">
        <v>37541</v>
      </c>
      <c r="B1868" t="n">
        <v>3529000</v>
      </c>
      <c r="C1868" t="n">
        <v>405000</v>
      </c>
    </row>
    <row r="1869">
      <c r="A1869" s="62" t="n">
        <v>37548</v>
      </c>
      <c r="B1869" t="n">
        <v>3518000</v>
      </c>
      <c r="C1869" t="n">
        <v>412000</v>
      </c>
    </row>
    <row r="1870">
      <c r="A1870" s="62" t="n">
        <v>37555</v>
      </c>
      <c r="B1870" t="n">
        <v>3557000</v>
      </c>
      <c r="C1870" t="n">
        <v>409000</v>
      </c>
    </row>
    <row r="1871">
      <c r="A1871" s="62" t="n">
        <v>37562</v>
      </c>
      <c r="B1871" t="n">
        <v>3557000</v>
      </c>
      <c r="C1871" t="n">
        <v>405000</v>
      </c>
    </row>
    <row r="1872">
      <c r="A1872" s="62" t="n">
        <v>37569</v>
      </c>
      <c r="B1872" t="n">
        <v>3539000</v>
      </c>
      <c r="C1872" t="n">
        <v>400000</v>
      </c>
    </row>
    <row r="1873">
      <c r="A1873" s="62" t="n">
        <v>37576</v>
      </c>
      <c r="B1873" t="n">
        <v>3438000</v>
      </c>
      <c r="C1873" t="n">
        <v>389000</v>
      </c>
    </row>
    <row r="1874">
      <c r="A1874" s="62" t="n">
        <v>37583</v>
      </c>
      <c r="B1874" t="n">
        <v>3474000</v>
      </c>
      <c r="C1874" t="n">
        <v>390000</v>
      </c>
    </row>
    <row r="1875">
      <c r="A1875" s="62" t="n">
        <v>37590</v>
      </c>
      <c r="B1875" t="n">
        <v>3404000</v>
      </c>
      <c r="C1875" t="n">
        <v>377000</v>
      </c>
    </row>
    <row r="1876">
      <c r="A1876" s="62" t="n">
        <v>37597</v>
      </c>
      <c r="B1876" t="n">
        <v>3537000</v>
      </c>
      <c r="C1876" t="n">
        <v>425000</v>
      </c>
    </row>
    <row r="1877">
      <c r="A1877" s="62" t="n">
        <v>37604</v>
      </c>
      <c r="B1877" t="n">
        <v>3497000</v>
      </c>
      <c r="C1877" t="n">
        <v>429000</v>
      </c>
    </row>
    <row r="1878">
      <c r="A1878" s="62" t="n">
        <v>37611</v>
      </c>
      <c r="B1878" t="n">
        <v>3435000</v>
      </c>
      <c r="C1878" t="n">
        <v>394000</v>
      </c>
    </row>
    <row r="1879">
      <c r="A1879" s="62" t="n">
        <v>37618</v>
      </c>
      <c r="B1879" t="n">
        <v>3462000</v>
      </c>
      <c r="C1879" t="n">
        <v>409000</v>
      </c>
    </row>
    <row r="1880">
      <c r="A1880" s="62" t="n">
        <v>37625</v>
      </c>
      <c r="B1880" t="n">
        <v>3438000</v>
      </c>
      <c r="C1880" t="n">
        <v>393000</v>
      </c>
    </row>
    <row r="1881">
      <c r="A1881" s="62" t="n">
        <v>37632</v>
      </c>
      <c r="B1881" t="n">
        <v>3388000</v>
      </c>
      <c r="C1881" t="n">
        <v>378000</v>
      </c>
    </row>
    <row r="1882">
      <c r="A1882" s="62" t="n">
        <v>37639</v>
      </c>
      <c r="B1882" t="n">
        <v>3357000</v>
      </c>
      <c r="C1882" t="n">
        <v>402000</v>
      </c>
    </row>
    <row r="1883">
      <c r="A1883" s="62" t="n">
        <v>37646</v>
      </c>
      <c r="B1883" t="n">
        <v>3475000</v>
      </c>
      <c r="C1883" t="n">
        <v>407000</v>
      </c>
    </row>
    <row r="1884">
      <c r="A1884" s="62" t="n">
        <v>37653</v>
      </c>
      <c r="B1884" t="n">
        <v>3368000</v>
      </c>
      <c r="C1884" t="n">
        <v>413000</v>
      </c>
    </row>
    <row r="1885">
      <c r="A1885" s="62" t="n">
        <v>37660</v>
      </c>
      <c r="B1885" t="n">
        <v>3457000</v>
      </c>
      <c r="C1885" t="n">
        <v>390000</v>
      </c>
    </row>
    <row r="1886">
      <c r="A1886" s="62" t="n">
        <v>37667</v>
      </c>
      <c r="B1886" t="n">
        <v>3423000</v>
      </c>
      <c r="C1886" t="n">
        <v>420000</v>
      </c>
    </row>
    <row r="1887">
      <c r="A1887" s="62" t="n">
        <v>37674</v>
      </c>
      <c r="B1887" t="n">
        <v>3500000</v>
      </c>
      <c r="C1887" t="n">
        <v>421000</v>
      </c>
    </row>
    <row r="1888">
      <c r="A1888" s="62" t="n">
        <v>37681</v>
      </c>
      <c r="B1888" t="n">
        <v>3496000</v>
      </c>
      <c r="C1888" t="n">
        <v>436000</v>
      </c>
    </row>
    <row r="1889">
      <c r="A1889" s="62" t="n">
        <v>37688</v>
      </c>
      <c r="B1889" t="n">
        <v>3559000</v>
      </c>
      <c r="C1889" t="n">
        <v>424000</v>
      </c>
    </row>
    <row r="1890">
      <c r="A1890" s="62" t="n">
        <v>37695</v>
      </c>
      <c r="B1890" t="n">
        <v>3528000</v>
      </c>
      <c r="C1890" t="n">
        <v>430000</v>
      </c>
    </row>
    <row r="1891">
      <c r="A1891" s="62" t="n">
        <v>37702</v>
      </c>
      <c r="B1891" t="n">
        <v>3585000</v>
      </c>
      <c r="C1891" t="n">
        <v>411000</v>
      </c>
    </row>
    <row r="1892">
      <c r="A1892" s="62" t="n">
        <v>37709</v>
      </c>
      <c r="B1892" t="n">
        <v>3536000</v>
      </c>
      <c r="C1892" t="n">
        <v>436000</v>
      </c>
    </row>
    <row r="1893">
      <c r="A1893" s="62" t="n">
        <v>37716</v>
      </c>
      <c r="B1893" t="n">
        <v>3583000</v>
      </c>
      <c r="C1893" t="n">
        <v>417000</v>
      </c>
    </row>
    <row r="1894">
      <c r="A1894" s="62" t="n">
        <v>37723</v>
      </c>
      <c r="B1894" t="n">
        <v>3586000</v>
      </c>
      <c r="C1894" t="n">
        <v>434000</v>
      </c>
    </row>
    <row r="1895">
      <c r="A1895" s="62" t="n">
        <v>37730</v>
      </c>
      <c r="B1895" t="n">
        <v>3674000</v>
      </c>
      <c r="C1895" t="n">
        <v>450000</v>
      </c>
    </row>
    <row r="1896">
      <c r="A1896" s="62" t="n">
        <v>37737</v>
      </c>
      <c r="B1896" t="n">
        <v>3676000</v>
      </c>
      <c r="C1896" t="n">
        <v>444000</v>
      </c>
    </row>
    <row r="1897">
      <c r="A1897" s="62" t="n">
        <v>37744</v>
      </c>
      <c r="B1897" t="n">
        <v>3730000</v>
      </c>
      <c r="C1897" t="n">
        <v>428000</v>
      </c>
    </row>
    <row r="1898">
      <c r="A1898" s="62" t="n">
        <v>37751</v>
      </c>
      <c r="B1898" t="n">
        <v>3704000</v>
      </c>
      <c r="C1898" t="n">
        <v>417000</v>
      </c>
    </row>
    <row r="1899">
      <c r="A1899" s="62" t="n">
        <v>37758</v>
      </c>
      <c r="B1899" t="n">
        <v>3716000</v>
      </c>
      <c r="C1899" t="n">
        <v>425000</v>
      </c>
    </row>
    <row r="1900">
      <c r="A1900" s="62" t="n">
        <v>37765</v>
      </c>
      <c r="B1900" t="n">
        <v>3672000</v>
      </c>
      <c r="C1900" t="n">
        <v>419000</v>
      </c>
    </row>
    <row r="1901">
      <c r="A1901" s="62" t="n">
        <v>37772</v>
      </c>
      <c r="B1901" t="n">
        <v>3774000</v>
      </c>
      <c r="C1901" t="n">
        <v>431000</v>
      </c>
    </row>
    <row r="1902">
      <c r="A1902" s="62" t="n">
        <v>37779</v>
      </c>
      <c r="B1902" t="n">
        <v>3682000</v>
      </c>
      <c r="C1902" t="n">
        <v>429000</v>
      </c>
    </row>
    <row r="1903">
      <c r="A1903" s="62" t="n">
        <v>37786</v>
      </c>
      <c r="B1903" t="n">
        <v>3695000</v>
      </c>
      <c r="C1903" t="n">
        <v>421000</v>
      </c>
    </row>
    <row r="1904">
      <c r="A1904" s="62" t="n">
        <v>37793</v>
      </c>
      <c r="B1904" t="n">
        <v>3692000</v>
      </c>
      <c r="C1904" t="n">
        <v>408000</v>
      </c>
    </row>
    <row r="1905">
      <c r="A1905" s="62" t="n">
        <v>37800</v>
      </c>
      <c r="B1905" t="n">
        <v>3737000</v>
      </c>
      <c r="C1905" t="n">
        <v>429000</v>
      </c>
    </row>
    <row r="1906">
      <c r="A1906" s="62" t="n">
        <v>37807</v>
      </c>
      <c r="B1906" t="n">
        <v>3627000</v>
      </c>
      <c r="C1906" t="n">
        <v>433000</v>
      </c>
    </row>
    <row r="1907">
      <c r="A1907" s="62" t="n">
        <v>37814</v>
      </c>
      <c r="B1907" t="n">
        <v>3599000</v>
      </c>
      <c r="C1907" t="n">
        <v>412000</v>
      </c>
    </row>
    <row r="1908">
      <c r="A1908" s="62" t="n">
        <v>37821</v>
      </c>
      <c r="B1908" t="n">
        <v>3592000</v>
      </c>
      <c r="C1908" t="n">
        <v>403000</v>
      </c>
    </row>
    <row r="1909">
      <c r="A1909" s="62" t="n">
        <v>37828</v>
      </c>
      <c r="B1909" t="n">
        <v>3647000</v>
      </c>
      <c r="C1909" t="n">
        <v>398000</v>
      </c>
    </row>
    <row r="1910">
      <c r="A1910" s="62" t="n">
        <v>37835</v>
      </c>
      <c r="B1910" t="n">
        <v>3601000</v>
      </c>
      <c r="C1910" t="n">
        <v>401000</v>
      </c>
    </row>
    <row r="1911">
      <c r="A1911" s="62" t="n">
        <v>37842</v>
      </c>
      <c r="B1911" t="n">
        <v>3596000</v>
      </c>
      <c r="C1911" t="n">
        <v>404000</v>
      </c>
    </row>
    <row r="1912">
      <c r="A1912" s="62" t="n">
        <v>37849</v>
      </c>
      <c r="B1912" t="n">
        <v>3603000</v>
      </c>
      <c r="C1912" t="n">
        <v>398000</v>
      </c>
    </row>
    <row r="1913">
      <c r="A1913" s="62" t="n">
        <v>37856</v>
      </c>
      <c r="B1913" t="n">
        <v>3574000</v>
      </c>
      <c r="C1913" t="n">
        <v>391000</v>
      </c>
    </row>
    <row r="1914">
      <c r="A1914" s="62" t="n">
        <v>37863</v>
      </c>
      <c r="B1914" t="n">
        <v>3608000</v>
      </c>
      <c r="C1914" t="n">
        <v>407000</v>
      </c>
    </row>
    <row r="1915">
      <c r="A1915" s="62" t="n">
        <v>37870</v>
      </c>
      <c r="B1915" t="n">
        <v>3598000</v>
      </c>
      <c r="C1915" t="n">
        <v>422000</v>
      </c>
    </row>
    <row r="1916">
      <c r="A1916" s="62" t="n">
        <v>37877</v>
      </c>
      <c r="B1916" t="n">
        <v>3559000</v>
      </c>
      <c r="C1916" t="n">
        <v>394000</v>
      </c>
    </row>
    <row r="1917">
      <c r="A1917" s="62" t="n">
        <v>37884</v>
      </c>
      <c r="B1917" t="n">
        <v>3588000</v>
      </c>
      <c r="C1917" t="n">
        <v>379000</v>
      </c>
    </row>
    <row r="1918">
      <c r="A1918" s="62" t="n">
        <v>37891</v>
      </c>
      <c r="B1918" t="n">
        <v>3558000</v>
      </c>
      <c r="C1918" t="n">
        <v>387000</v>
      </c>
    </row>
    <row r="1919">
      <c r="A1919" s="62" t="n">
        <v>37898</v>
      </c>
      <c r="B1919" t="n">
        <v>3570000</v>
      </c>
      <c r="C1919" t="n">
        <v>386000</v>
      </c>
    </row>
    <row r="1920">
      <c r="A1920" s="62" t="n">
        <v>37905</v>
      </c>
      <c r="B1920" t="n">
        <v>3468000</v>
      </c>
      <c r="C1920" t="n">
        <v>376000</v>
      </c>
    </row>
    <row r="1921">
      <c r="A1921" s="62" t="n">
        <v>37912</v>
      </c>
      <c r="B1921" t="n">
        <v>3466000</v>
      </c>
      <c r="C1921" t="n">
        <v>387000</v>
      </c>
    </row>
    <row r="1922">
      <c r="A1922" s="62" t="n">
        <v>37919</v>
      </c>
      <c r="B1922" t="n">
        <v>3441000</v>
      </c>
      <c r="C1922" t="n">
        <v>379000</v>
      </c>
    </row>
    <row r="1923">
      <c r="A1923" s="62" t="n">
        <v>37926</v>
      </c>
      <c r="B1923" t="n">
        <v>3427000</v>
      </c>
      <c r="C1923" t="n">
        <v>363000</v>
      </c>
    </row>
    <row r="1924">
      <c r="A1924" s="62" t="n">
        <v>37933</v>
      </c>
      <c r="B1924" t="n">
        <v>3441000</v>
      </c>
      <c r="C1924" t="n">
        <v>371000</v>
      </c>
    </row>
    <row r="1925">
      <c r="A1925" s="62" t="n">
        <v>37940</v>
      </c>
      <c r="B1925" t="n">
        <v>3331000</v>
      </c>
      <c r="C1925" t="n">
        <v>370000</v>
      </c>
    </row>
    <row r="1926">
      <c r="A1926" s="62" t="n">
        <v>37947</v>
      </c>
      <c r="B1926" t="n">
        <v>3337000</v>
      </c>
      <c r="C1926" t="n">
        <v>354000</v>
      </c>
    </row>
    <row r="1927">
      <c r="A1927" s="62" t="n">
        <v>37954</v>
      </c>
      <c r="B1927" t="n">
        <v>3331000</v>
      </c>
      <c r="C1927" t="n">
        <v>357000</v>
      </c>
    </row>
    <row r="1928">
      <c r="A1928" s="62" t="n">
        <v>37961</v>
      </c>
      <c r="B1928" t="n">
        <v>3318000</v>
      </c>
      <c r="C1928" t="n">
        <v>367000</v>
      </c>
    </row>
    <row r="1929">
      <c r="A1929" s="62" t="n">
        <v>37968</v>
      </c>
      <c r="B1929" t="n">
        <v>3251000</v>
      </c>
      <c r="C1929" t="n">
        <v>363000</v>
      </c>
    </row>
    <row r="1930">
      <c r="A1930" s="62" t="n">
        <v>37975</v>
      </c>
      <c r="B1930" t="n">
        <v>3254000</v>
      </c>
      <c r="C1930" t="n">
        <v>354000</v>
      </c>
    </row>
    <row r="1931">
      <c r="A1931" s="62" t="n">
        <v>37982</v>
      </c>
      <c r="B1931" t="n">
        <v>3258000</v>
      </c>
      <c r="C1931" t="n">
        <v>349000</v>
      </c>
    </row>
    <row r="1932">
      <c r="A1932" s="62" t="n">
        <v>37989</v>
      </c>
      <c r="B1932" t="n">
        <v>3188000</v>
      </c>
      <c r="C1932" t="n">
        <v>356000</v>
      </c>
    </row>
    <row r="1933">
      <c r="A1933" s="62" t="n">
        <v>37996</v>
      </c>
      <c r="B1933" t="n">
        <v>3154000</v>
      </c>
      <c r="C1933" t="n">
        <v>354000</v>
      </c>
    </row>
    <row r="1934">
      <c r="A1934" s="62" t="n">
        <v>38003</v>
      </c>
      <c r="B1934" t="n">
        <v>3139000</v>
      </c>
      <c r="C1934" t="n">
        <v>362000</v>
      </c>
    </row>
    <row r="1935">
      <c r="A1935" s="62" t="n">
        <v>38010</v>
      </c>
      <c r="B1935" t="n">
        <v>3142000</v>
      </c>
      <c r="C1935" t="n">
        <v>353000</v>
      </c>
    </row>
    <row r="1936">
      <c r="A1936" s="62" t="n">
        <v>38017</v>
      </c>
      <c r="B1936" t="n">
        <v>3118000</v>
      </c>
      <c r="C1936" t="n">
        <v>376000</v>
      </c>
    </row>
    <row r="1937">
      <c r="A1937" s="62" t="n">
        <v>38024</v>
      </c>
      <c r="B1937" t="n">
        <v>3179000</v>
      </c>
      <c r="C1937" t="n">
        <v>380000</v>
      </c>
    </row>
    <row r="1938">
      <c r="A1938" s="62" t="n">
        <v>38031</v>
      </c>
      <c r="B1938" t="n">
        <v>3131000</v>
      </c>
      <c r="C1938" t="n">
        <v>356000</v>
      </c>
    </row>
    <row r="1939">
      <c r="A1939" s="62" t="n">
        <v>38038</v>
      </c>
      <c r="B1939" t="n">
        <v>3092000</v>
      </c>
      <c r="C1939" t="n">
        <v>359000</v>
      </c>
    </row>
    <row r="1940">
      <c r="A1940" s="62" t="n">
        <v>38045</v>
      </c>
      <c r="B1940" t="n">
        <v>3057000</v>
      </c>
      <c r="C1940" t="n">
        <v>348000</v>
      </c>
    </row>
    <row r="1941">
      <c r="A1941" s="62" t="n">
        <v>38052</v>
      </c>
      <c r="B1941" t="n">
        <v>3072000</v>
      </c>
      <c r="C1941" t="n">
        <v>344000</v>
      </c>
    </row>
    <row r="1942">
      <c r="A1942" s="62" t="n">
        <v>38059</v>
      </c>
      <c r="B1942" t="n">
        <v>3040000</v>
      </c>
      <c r="C1942" t="n">
        <v>338000</v>
      </c>
    </row>
    <row r="1943">
      <c r="A1943" s="62" t="n">
        <v>38066</v>
      </c>
      <c r="B1943" t="n">
        <v>3066000</v>
      </c>
      <c r="C1943" t="n">
        <v>346000</v>
      </c>
    </row>
    <row r="1944">
      <c r="A1944" s="62" t="n">
        <v>38073</v>
      </c>
      <c r="B1944" t="n">
        <v>3007000</v>
      </c>
      <c r="C1944" t="n">
        <v>340000</v>
      </c>
    </row>
    <row r="1945">
      <c r="A1945" s="62" t="n">
        <v>38080</v>
      </c>
      <c r="B1945" t="n">
        <v>2990000</v>
      </c>
      <c r="C1945" t="n">
        <v>335000</v>
      </c>
    </row>
    <row r="1946">
      <c r="A1946" s="62" t="n">
        <v>38087</v>
      </c>
      <c r="B1946" t="n">
        <v>3022000</v>
      </c>
      <c r="C1946" t="n">
        <v>355000</v>
      </c>
    </row>
    <row r="1947">
      <c r="A1947" s="62" t="n">
        <v>38094</v>
      </c>
      <c r="B1947" t="n">
        <v>3031000</v>
      </c>
      <c r="C1947" t="n">
        <v>364000</v>
      </c>
    </row>
    <row r="1948">
      <c r="A1948" s="62" t="n">
        <v>38101</v>
      </c>
      <c r="B1948" t="n">
        <v>2960000</v>
      </c>
      <c r="C1948" t="n">
        <v>339000</v>
      </c>
    </row>
    <row r="1949">
      <c r="A1949" s="62" t="n">
        <v>38108</v>
      </c>
      <c r="B1949" t="n">
        <v>2998000</v>
      </c>
      <c r="C1949" t="n">
        <v>324000</v>
      </c>
    </row>
    <row r="1950">
      <c r="A1950" s="62" t="n">
        <v>38115</v>
      </c>
      <c r="B1950" t="n">
        <v>2978000</v>
      </c>
      <c r="C1950" t="n">
        <v>329000</v>
      </c>
    </row>
    <row r="1951">
      <c r="A1951" s="62" t="n">
        <v>38122</v>
      </c>
      <c r="B1951" t="n">
        <v>2976000</v>
      </c>
      <c r="C1951" t="n">
        <v>349000</v>
      </c>
    </row>
    <row r="1952">
      <c r="A1952" s="62" t="n">
        <v>38129</v>
      </c>
      <c r="B1952" t="n">
        <v>3010000</v>
      </c>
      <c r="C1952" t="n">
        <v>342000</v>
      </c>
    </row>
    <row r="1953">
      <c r="A1953" s="62" t="n">
        <v>38136</v>
      </c>
      <c r="B1953" t="n">
        <v>2916000</v>
      </c>
      <c r="C1953" t="n">
        <v>337000</v>
      </c>
    </row>
    <row r="1954">
      <c r="A1954" s="62" t="n">
        <v>38143</v>
      </c>
      <c r="B1954" t="n">
        <v>2923000</v>
      </c>
      <c r="C1954" t="n">
        <v>355000</v>
      </c>
    </row>
    <row r="1955">
      <c r="A1955" s="62" t="n">
        <v>38150</v>
      </c>
      <c r="B1955" t="n">
        <v>2990000</v>
      </c>
      <c r="C1955" t="n">
        <v>339000</v>
      </c>
    </row>
    <row r="1956">
      <c r="A1956" s="62" t="n">
        <v>38157</v>
      </c>
      <c r="B1956" t="n">
        <v>2973000</v>
      </c>
      <c r="C1956" t="n">
        <v>354000</v>
      </c>
    </row>
    <row r="1957">
      <c r="A1957" s="62" t="n">
        <v>38164</v>
      </c>
      <c r="B1957" t="n">
        <v>2917000</v>
      </c>
      <c r="C1957" t="n">
        <v>348000</v>
      </c>
    </row>
    <row r="1958">
      <c r="A1958" s="62" t="n">
        <v>38171</v>
      </c>
      <c r="B1958" t="n">
        <v>2948000</v>
      </c>
      <c r="C1958" t="n">
        <v>326000</v>
      </c>
    </row>
    <row r="1959">
      <c r="A1959" s="62" t="n">
        <v>38178</v>
      </c>
      <c r="B1959" t="n">
        <v>2852000</v>
      </c>
      <c r="C1959" t="n">
        <v>345000</v>
      </c>
    </row>
    <row r="1960">
      <c r="A1960" s="62" t="n">
        <v>38185</v>
      </c>
      <c r="B1960" t="n">
        <v>2956000</v>
      </c>
      <c r="C1960" t="n">
        <v>355000</v>
      </c>
    </row>
    <row r="1961">
      <c r="A1961" s="62" t="n">
        <v>38192</v>
      </c>
      <c r="B1961" t="n">
        <v>2935000</v>
      </c>
      <c r="C1961" t="n">
        <v>348000</v>
      </c>
    </row>
    <row r="1962">
      <c r="A1962" s="62" t="n">
        <v>38199</v>
      </c>
      <c r="B1962" t="n">
        <v>2894000</v>
      </c>
      <c r="C1962" t="n">
        <v>341000</v>
      </c>
    </row>
    <row r="1963">
      <c r="A1963" s="62" t="n">
        <v>38206</v>
      </c>
      <c r="B1963" t="n">
        <v>2920000</v>
      </c>
      <c r="C1963" t="n">
        <v>336000</v>
      </c>
    </row>
    <row r="1964">
      <c r="A1964" s="62" t="n">
        <v>38213</v>
      </c>
      <c r="B1964" t="n">
        <v>2889000</v>
      </c>
      <c r="C1964" t="n">
        <v>332000</v>
      </c>
    </row>
    <row r="1965">
      <c r="A1965" s="62" t="n">
        <v>38220</v>
      </c>
      <c r="B1965" t="n">
        <v>2877000</v>
      </c>
      <c r="C1965" t="n">
        <v>343000</v>
      </c>
    </row>
    <row r="1966">
      <c r="A1966" s="62" t="n">
        <v>38227</v>
      </c>
      <c r="B1966" t="n">
        <v>2880000</v>
      </c>
      <c r="C1966" t="n">
        <v>352000</v>
      </c>
    </row>
    <row r="1967">
      <c r="A1967" s="62" t="n">
        <v>38234</v>
      </c>
      <c r="B1967" t="n">
        <v>2872000</v>
      </c>
      <c r="C1967" t="n">
        <v>326000</v>
      </c>
    </row>
    <row r="1968">
      <c r="A1968" s="62" t="n">
        <v>38241</v>
      </c>
      <c r="B1968" t="n">
        <v>2875000</v>
      </c>
      <c r="C1968" t="n">
        <v>331000</v>
      </c>
    </row>
    <row r="1969">
      <c r="A1969" s="62" t="n">
        <v>38248</v>
      </c>
      <c r="B1969" t="n">
        <v>2865000</v>
      </c>
      <c r="C1969" t="n">
        <v>341000</v>
      </c>
    </row>
    <row r="1970">
      <c r="A1970" s="62" t="n">
        <v>38255</v>
      </c>
      <c r="B1970" t="n">
        <v>2839000</v>
      </c>
      <c r="C1970" t="n">
        <v>351000</v>
      </c>
    </row>
    <row r="1971">
      <c r="A1971" s="62" t="n">
        <v>38262</v>
      </c>
      <c r="B1971" t="n">
        <v>2799000</v>
      </c>
      <c r="C1971" t="n">
        <v>335000</v>
      </c>
    </row>
    <row r="1972">
      <c r="A1972" s="62" t="n">
        <v>38269</v>
      </c>
      <c r="B1972" t="n">
        <v>2773000</v>
      </c>
      <c r="C1972" t="n">
        <v>338000</v>
      </c>
    </row>
    <row r="1973">
      <c r="A1973" s="62" t="n">
        <v>38276</v>
      </c>
      <c r="B1973" t="n">
        <v>2781000</v>
      </c>
      <c r="C1973" t="n">
        <v>327000</v>
      </c>
    </row>
    <row r="1974">
      <c r="A1974" s="62" t="n">
        <v>38283</v>
      </c>
      <c r="B1974" t="n">
        <v>2774000</v>
      </c>
      <c r="C1974" t="n">
        <v>338000</v>
      </c>
    </row>
    <row r="1975">
      <c r="A1975" s="62" t="n">
        <v>38290</v>
      </c>
      <c r="B1975" t="n">
        <v>2763000</v>
      </c>
      <c r="C1975" t="n">
        <v>332000</v>
      </c>
    </row>
    <row r="1976">
      <c r="A1976" s="62" t="n">
        <v>38297</v>
      </c>
      <c r="B1976" t="n">
        <v>2765000</v>
      </c>
      <c r="C1976" t="n">
        <v>330000</v>
      </c>
    </row>
    <row r="1977">
      <c r="A1977" s="62" t="n">
        <v>38304</v>
      </c>
      <c r="B1977" t="n">
        <v>2707000</v>
      </c>
      <c r="C1977" t="n">
        <v>337000</v>
      </c>
    </row>
    <row r="1978">
      <c r="A1978" s="62" t="n">
        <v>38311</v>
      </c>
      <c r="B1978" t="n">
        <v>2705000</v>
      </c>
      <c r="C1978" t="n">
        <v>313000</v>
      </c>
    </row>
    <row r="1979">
      <c r="A1979" s="62" t="n">
        <v>38318</v>
      </c>
      <c r="B1979" t="n">
        <v>2761000</v>
      </c>
      <c r="C1979" t="n">
        <v>335000</v>
      </c>
    </row>
    <row r="1980">
      <c r="A1980" s="62" t="n">
        <v>38325</v>
      </c>
      <c r="B1980" t="n">
        <v>2725000</v>
      </c>
      <c r="C1980" t="n">
        <v>343000</v>
      </c>
    </row>
    <row r="1981">
      <c r="A1981" s="62" t="n">
        <v>38332</v>
      </c>
      <c r="B1981" t="n">
        <v>2692000</v>
      </c>
      <c r="C1981" t="n">
        <v>316000</v>
      </c>
    </row>
    <row r="1982">
      <c r="A1982" s="62" t="n">
        <v>38339</v>
      </c>
      <c r="B1982" t="n">
        <v>2688000</v>
      </c>
      <c r="C1982" t="n">
        <v>322000</v>
      </c>
    </row>
    <row r="1983">
      <c r="A1983" s="62" t="n">
        <v>38346</v>
      </c>
      <c r="B1983" t="n">
        <v>2771000</v>
      </c>
      <c r="C1983" t="n">
        <v>320000</v>
      </c>
    </row>
    <row r="1984">
      <c r="A1984" s="62" t="n">
        <v>38353</v>
      </c>
      <c r="B1984" t="n">
        <v>2672000</v>
      </c>
      <c r="C1984" t="n">
        <v>356000</v>
      </c>
    </row>
    <row r="1985">
      <c r="A1985" s="62" t="n">
        <v>38360</v>
      </c>
      <c r="B1985" t="n">
        <v>2720000</v>
      </c>
      <c r="C1985" t="n">
        <v>369000</v>
      </c>
    </row>
    <row r="1986">
      <c r="A1986" s="62" t="n">
        <v>38367</v>
      </c>
      <c r="B1986" t="n">
        <v>2790000</v>
      </c>
      <c r="C1986" t="n">
        <v>332000</v>
      </c>
    </row>
    <row r="1987">
      <c r="A1987" s="62" t="n">
        <v>38374</v>
      </c>
      <c r="B1987" t="n">
        <v>2706000</v>
      </c>
      <c r="C1987" t="n">
        <v>329000</v>
      </c>
    </row>
    <row r="1988">
      <c r="A1988" s="62" t="n">
        <v>38381</v>
      </c>
      <c r="B1988" t="n">
        <v>2731000</v>
      </c>
      <c r="C1988" t="n">
        <v>331000</v>
      </c>
    </row>
    <row r="1989">
      <c r="A1989" s="62" t="n">
        <v>38388</v>
      </c>
      <c r="B1989" t="n">
        <v>2710000</v>
      </c>
      <c r="C1989" t="n">
        <v>307000</v>
      </c>
    </row>
    <row r="1990">
      <c r="A1990" s="62" t="n">
        <v>38395</v>
      </c>
      <c r="B1990" t="n">
        <v>2666000</v>
      </c>
      <c r="C1990" t="n">
        <v>308000</v>
      </c>
    </row>
    <row r="1991">
      <c r="A1991" s="62" t="n">
        <v>38402</v>
      </c>
      <c r="B1991" t="n">
        <v>2667000</v>
      </c>
      <c r="C1991" t="n">
        <v>318000</v>
      </c>
    </row>
    <row r="1992">
      <c r="A1992" s="62" t="n">
        <v>38409</v>
      </c>
      <c r="B1992" t="n">
        <v>2703000</v>
      </c>
      <c r="C1992" t="n">
        <v>314000</v>
      </c>
    </row>
    <row r="1993">
      <c r="A1993" s="62" t="n">
        <v>38416</v>
      </c>
      <c r="B1993" t="n">
        <v>2658000</v>
      </c>
      <c r="C1993" t="n">
        <v>333000</v>
      </c>
    </row>
    <row r="1994">
      <c r="A1994" s="62" t="n">
        <v>38423</v>
      </c>
      <c r="B1994" t="n">
        <v>2681000</v>
      </c>
      <c r="C1994" t="n">
        <v>324000</v>
      </c>
    </row>
    <row r="1995">
      <c r="A1995" s="62" t="n">
        <v>38430</v>
      </c>
      <c r="B1995" t="n">
        <v>2616000</v>
      </c>
      <c r="C1995" t="n">
        <v>329000</v>
      </c>
    </row>
    <row r="1996">
      <c r="A1996" s="62" t="n">
        <v>38437</v>
      </c>
      <c r="B1996" t="n">
        <v>2683000</v>
      </c>
      <c r="C1996" t="n">
        <v>342000</v>
      </c>
    </row>
    <row r="1997">
      <c r="A1997" s="62" t="n">
        <v>38444</v>
      </c>
      <c r="B1997" t="n">
        <v>2653000</v>
      </c>
      <c r="C1997" t="n">
        <v>335000</v>
      </c>
    </row>
    <row r="1998">
      <c r="A1998" s="62" t="n">
        <v>38451</v>
      </c>
      <c r="B1998" t="n">
        <v>2626000</v>
      </c>
      <c r="C1998" t="n">
        <v>323000</v>
      </c>
    </row>
    <row r="1999">
      <c r="A1999" s="62" t="n">
        <v>38458</v>
      </c>
      <c r="B1999" t="n">
        <v>2559000</v>
      </c>
      <c r="C1999" t="n">
        <v>307000</v>
      </c>
    </row>
    <row r="2000">
      <c r="A2000" s="62" t="n">
        <v>38465</v>
      </c>
      <c r="B2000" t="n">
        <v>2588000</v>
      </c>
      <c r="C2000" t="n">
        <v>317000</v>
      </c>
    </row>
    <row r="2001">
      <c r="A2001" s="62" t="n">
        <v>38472</v>
      </c>
      <c r="B2001" t="n">
        <v>2596000</v>
      </c>
      <c r="C2001" t="n">
        <v>334000</v>
      </c>
    </row>
    <row r="2002">
      <c r="A2002" s="62" t="n">
        <v>38479</v>
      </c>
      <c r="B2002" t="n">
        <v>2605000</v>
      </c>
      <c r="C2002" t="n">
        <v>327000</v>
      </c>
    </row>
    <row r="2003">
      <c r="A2003" s="62" t="n">
        <v>38486</v>
      </c>
      <c r="B2003" t="n">
        <v>2568000</v>
      </c>
      <c r="C2003" t="n">
        <v>321000</v>
      </c>
    </row>
    <row r="2004">
      <c r="A2004" s="62" t="n">
        <v>38493</v>
      </c>
      <c r="B2004" t="n">
        <v>2595000</v>
      </c>
      <c r="C2004" t="n">
        <v>320000</v>
      </c>
    </row>
    <row r="2005">
      <c r="A2005" s="62" t="n">
        <v>38500</v>
      </c>
      <c r="B2005" t="n">
        <v>2577000</v>
      </c>
      <c r="C2005" t="n">
        <v>340000</v>
      </c>
    </row>
    <row r="2006">
      <c r="A2006" s="62" t="n">
        <v>38507</v>
      </c>
      <c r="B2006" t="n">
        <v>2630000</v>
      </c>
      <c r="C2006" t="n">
        <v>338000</v>
      </c>
    </row>
    <row r="2007">
      <c r="A2007" s="62" t="n">
        <v>38514</v>
      </c>
      <c r="B2007" t="n">
        <v>2599000</v>
      </c>
      <c r="C2007" t="n">
        <v>333000</v>
      </c>
    </row>
    <row r="2008">
      <c r="A2008" s="62" t="n">
        <v>38521</v>
      </c>
      <c r="B2008" t="n">
        <v>2602000</v>
      </c>
      <c r="C2008" t="n">
        <v>321000</v>
      </c>
    </row>
    <row r="2009">
      <c r="A2009" s="62" t="n">
        <v>38528</v>
      </c>
      <c r="B2009" t="n">
        <v>2569000</v>
      </c>
      <c r="C2009" t="n">
        <v>311000</v>
      </c>
    </row>
    <row r="2010">
      <c r="A2010" s="62" t="n">
        <v>38535</v>
      </c>
      <c r="B2010" t="n">
        <v>2612000</v>
      </c>
      <c r="C2010" t="n">
        <v>327000</v>
      </c>
    </row>
    <row r="2011">
      <c r="A2011" s="62" t="n">
        <v>38542</v>
      </c>
      <c r="B2011" t="n">
        <v>2583000</v>
      </c>
      <c r="C2011" t="n">
        <v>338000</v>
      </c>
    </row>
    <row r="2012">
      <c r="A2012" s="62" t="n">
        <v>38549</v>
      </c>
      <c r="B2012" t="n">
        <v>2619000</v>
      </c>
      <c r="C2012" t="n">
        <v>323000</v>
      </c>
    </row>
    <row r="2013">
      <c r="A2013" s="62" t="n">
        <v>38556</v>
      </c>
      <c r="B2013" t="n">
        <v>2592000</v>
      </c>
      <c r="C2013" t="n">
        <v>318000</v>
      </c>
    </row>
    <row r="2014">
      <c r="A2014" s="62" t="n">
        <v>38563</v>
      </c>
      <c r="B2014" t="n">
        <v>2570000</v>
      </c>
      <c r="C2014" t="n">
        <v>316000</v>
      </c>
    </row>
    <row r="2015">
      <c r="A2015" s="62" t="n">
        <v>38570</v>
      </c>
      <c r="B2015" t="n">
        <v>2584000</v>
      </c>
      <c r="C2015" t="n">
        <v>311000</v>
      </c>
    </row>
    <row r="2016">
      <c r="A2016" s="62" t="n">
        <v>38577</v>
      </c>
      <c r="B2016" t="n">
        <v>2573000</v>
      </c>
      <c r="C2016" t="n">
        <v>319000</v>
      </c>
    </row>
    <row r="2017">
      <c r="A2017" s="62" t="n">
        <v>38584</v>
      </c>
      <c r="B2017" t="n">
        <v>2598000</v>
      </c>
      <c r="C2017" t="n">
        <v>315000</v>
      </c>
    </row>
    <row r="2018">
      <c r="A2018" s="62" t="n">
        <v>38591</v>
      </c>
      <c r="B2018" t="n">
        <v>2568000</v>
      </c>
      <c r="C2018" t="n">
        <v>318000</v>
      </c>
    </row>
    <row r="2019">
      <c r="A2019" s="62" t="n">
        <v>38598</v>
      </c>
      <c r="B2019" t="n">
        <v>2575000</v>
      </c>
      <c r="C2019" t="n">
        <v>326000</v>
      </c>
    </row>
    <row r="2020">
      <c r="A2020" s="62" t="n">
        <v>38605</v>
      </c>
      <c r="B2020" t="n">
        <v>2651000</v>
      </c>
      <c r="C2020" t="n">
        <v>422000</v>
      </c>
    </row>
    <row r="2021">
      <c r="A2021" s="62" t="n">
        <v>38612</v>
      </c>
      <c r="B2021" t="n">
        <v>2787000</v>
      </c>
      <c r="C2021" t="n">
        <v>424000</v>
      </c>
    </row>
    <row r="2022">
      <c r="A2022" s="62" t="n">
        <v>38619</v>
      </c>
      <c r="B2022" t="n">
        <v>2853000</v>
      </c>
      <c r="C2022" t="n">
        <v>359000</v>
      </c>
    </row>
    <row r="2023">
      <c r="A2023" s="62" t="n">
        <v>38626</v>
      </c>
      <c r="B2023" t="n">
        <v>2841000</v>
      </c>
      <c r="C2023" t="n">
        <v>384000</v>
      </c>
    </row>
    <row r="2024">
      <c r="A2024" s="62" t="n">
        <v>38633</v>
      </c>
      <c r="B2024" t="n">
        <v>2831000</v>
      </c>
      <c r="C2024" t="n">
        <v>383000</v>
      </c>
    </row>
    <row r="2025">
      <c r="A2025" s="62" t="n">
        <v>38640</v>
      </c>
      <c r="B2025" t="n">
        <v>2821000</v>
      </c>
      <c r="C2025" t="n">
        <v>348000</v>
      </c>
    </row>
    <row r="2026">
      <c r="A2026" s="62" t="n">
        <v>38647</v>
      </c>
      <c r="B2026" t="n">
        <v>2772000</v>
      </c>
      <c r="C2026" t="n">
        <v>324000</v>
      </c>
    </row>
    <row r="2027">
      <c r="A2027" s="62" t="n">
        <v>38654</v>
      </c>
      <c r="B2027" t="n">
        <v>2752000</v>
      </c>
      <c r="C2027" t="n">
        <v>322000</v>
      </c>
    </row>
    <row r="2028">
      <c r="A2028" s="62" t="n">
        <v>38661</v>
      </c>
      <c r="B2028" t="n">
        <v>2746000</v>
      </c>
      <c r="C2028" t="n">
        <v>325000</v>
      </c>
    </row>
    <row r="2029">
      <c r="A2029" s="62" t="n">
        <v>38668</v>
      </c>
      <c r="B2029" t="n">
        <v>2760000</v>
      </c>
      <c r="C2029" t="n">
        <v>309000</v>
      </c>
    </row>
    <row r="2030">
      <c r="A2030" s="62" t="n">
        <v>38675</v>
      </c>
      <c r="B2030" t="n">
        <v>2712000</v>
      </c>
      <c r="C2030" t="n">
        <v>324000</v>
      </c>
    </row>
    <row r="2031">
      <c r="A2031" s="62" t="n">
        <v>38682</v>
      </c>
      <c r="B2031" t="n">
        <v>2587000</v>
      </c>
      <c r="C2031" t="n">
        <v>311000</v>
      </c>
    </row>
    <row r="2032">
      <c r="A2032" s="62" t="n">
        <v>38689</v>
      </c>
      <c r="B2032" t="n">
        <v>2589000</v>
      </c>
      <c r="C2032" t="n">
        <v>321000</v>
      </c>
    </row>
    <row r="2033">
      <c r="A2033" s="62" t="n">
        <v>38696</v>
      </c>
      <c r="B2033" t="n">
        <v>2620000</v>
      </c>
      <c r="C2033" t="n">
        <v>327000</v>
      </c>
    </row>
    <row r="2034">
      <c r="A2034" s="62" t="n">
        <v>38703</v>
      </c>
      <c r="B2034" t="n">
        <v>2660000</v>
      </c>
      <c r="C2034" t="n">
        <v>312000</v>
      </c>
    </row>
    <row r="2035">
      <c r="A2035" s="62" t="n">
        <v>38710</v>
      </c>
      <c r="B2035" t="n">
        <v>2668000</v>
      </c>
      <c r="C2035" t="n">
        <v>320000</v>
      </c>
    </row>
    <row r="2036">
      <c r="A2036" s="62" t="n">
        <v>38717</v>
      </c>
      <c r="B2036" t="n">
        <v>2660000</v>
      </c>
      <c r="C2036" t="n">
        <v>302000</v>
      </c>
    </row>
    <row r="2037">
      <c r="A2037" s="62" t="n">
        <v>38724</v>
      </c>
      <c r="B2037" t="n">
        <v>2561000</v>
      </c>
      <c r="C2037" t="n">
        <v>326000</v>
      </c>
    </row>
    <row r="2038">
      <c r="A2038" s="62" t="n">
        <v>38731</v>
      </c>
      <c r="B2038" t="n">
        <v>2586000</v>
      </c>
      <c r="C2038" t="n">
        <v>285000</v>
      </c>
    </row>
    <row r="2039">
      <c r="A2039" s="62" t="n">
        <v>38738</v>
      </c>
      <c r="B2039" t="n">
        <v>2516000</v>
      </c>
      <c r="C2039" t="n">
        <v>290000</v>
      </c>
    </row>
    <row r="2040">
      <c r="A2040" s="62" t="n">
        <v>38745</v>
      </c>
      <c r="B2040" t="n">
        <v>2565000</v>
      </c>
      <c r="C2040" t="n">
        <v>282000</v>
      </c>
    </row>
    <row r="2041">
      <c r="A2041" s="62" t="n">
        <v>38752</v>
      </c>
      <c r="B2041" t="n">
        <v>2520000</v>
      </c>
      <c r="C2041" t="n">
        <v>289000</v>
      </c>
    </row>
    <row r="2042">
      <c r="A2042" s="62" t="n">
        <v>38759</v>
      </c>
      <c r="B2042" t="n">
        <v>2517000</v>
      </c>
      <c r="C2042" t="n">
        <v>298000</v>
      </c>
    </row>
    <row r="2043">
      <c r="A2043" s="62" t="n">
        <v>38766</v>
      </c>
      <c r="B2043" t="n">
        <v>2488000</v>
      </c>
      <c r="C2043" t="n">
        <v>283000</v>
      </c>
    </row>
    <row r="2044">
      <c r="A2044" s="62" t="n">
        <v>38773</v>
      </c>
      <c r="B2044" t="n">
        <v>2504000</v>
      </c>
      <c r="C2044" t="n">
        <v>293000</v>
      </c>
    </row>
    <row r="2045">
      <c r="A2045" s="62" t="n">
        <v>38780</v>
      </c>
      <c r="B2045" t="n">
        <v>2453000</v>
      </c>
      <c r="C2045" t="n">
        <v>302000</v>
      </c>
    </row>
    <row r="2046">
      <c r="A2046" s="62" t="n">
        <v>38787</v>
      </c>
      <c r="B2046" t="n">
        <v>2474000</v>
      </c>
      <c r="C2046" t="n">
        <v>307000</v>
      </c>
    </row>
    <row r="2047">
      <c r="A2047" s="62" t="n">
        <v>38794</v>
      </c>
      <c r="B2047" t="n">
        <v>2456000</v>
      </c>
      <c r="C2047" t="n">
        <v>303000</v>
      </c>
    </row>
    <row r="2048">
      <c r="A2048" s="62" t="n">
        <v>38801</v>
      </c>
      <c r="B2048" t="n">
        <v>2439000</v>
      </c>
      <c r="C2048" t="n">
        <v>295000</v>
      </c>
    </row>
    <row r="2049">
      <c r="A2049" s="62" t="n">
        <v>38808</v>
      </c>
      <c r="B2049" t="n">
        <v>2405000</v>
      </c>
      <c r="C2049" t="n">
        <v>291000</v>
      </c>
    </row>
    <row r="2050">
      <c r="A2050" s="62" t="n">
        <v>38815</v>
      </c>
      <c r="B2050" t="n">
        <v>2411000</v>
      </c>
      <c r="C2050" t="n">
        <v>299000</v>
      </c>
    </row>
    <row r="2051">
      <c r="A2051" s="62" t="n">
        <v>38822</v>
      </c>
      <c r="B2051" t="n">
        <v>2408000</v>
      </c>
      <c r="C2051" t="n">
        <v>299000</v>
      </c>
    </row>
    <row r="2052">
      <c r="A2052" s="62" t="n">
        <v>38829</v>
      </c>
      <c r="B2052" t="n">
        <v>2424000</v>
      </c>
      <c r="C2052" t="n">
        <v>308000</v>
      </c>
    </row>
    <row r="2053">
      <c r="A2053" s="62" t="n">
        <v>38836</v>
      </c>
      <c r="B2053" t="n">
        <v>2357000</v>
      </c>
      <c r="C2053" t="n">
        <v>321000</v>
      </c>
    </row>
    <row r="2054">
      <c r="A2054" s="62" t="n">
        <v>38843</v>
      </c>
      <c r="B2054" t="n">
        <v>2372000</v>
      </c>
      <c r="C2054" t="n">
        <v>347000</v>
      </c>
    </row>
    <row r="2055">
      <c r="A2055" s="62" t="n">
        <v>38850</v>
      </c>
      <c r="B2055" t="n">
        <v>2383000</v>
      </c>
      <c r="C2055" t="n">
        <v>335000</v>
      </c>
    </row>
    <row r="2056">
      <c r="A2056" s="62" t="n">
        <v>38857</v>
      </c>
      <c r="B2056" t="n">
        <v>2399000</v>
      </c>
      <c r="C2056" t="n">
        <v>319000</v>
      </c>
    </row>
    <row r="2057">
      <c r="A2057" s="62" t="n">
        <v>38864</v>
      </c>
      <c r="B2057" t="n">
        <v>2381000</v>
      </c>
      <c r="C2057" t="n">
        <v>330000</v>
      </c>
    </row>
    <row r="2058">
      <c r="A2058" s="62" t="n">
        <v>38871</v>
      </c>
      <c r="B2058" t="n">
        <v>2408000</v>
      </c>
      <c r="C2058" t="n">
        <v>307000</v>
      </c>
    </row>
    <row r="2059">
      <c r="A2059" s="62" t="n">
        <v>38878</v>
      </c>
      <c r="B2059" t="n">
        <v>2412000</v>
      </c>
      <c r="C2059" t="n">
        <v>298000</v>
      </c>
    </row>
    <row r="2060">
      <c r="A2060" s="62" t="n">
        <v>38885</v>
      </c>
      <c r="B2060" t="n">
        <v>2395000</v>
      </c>
      <c r="C2060" t="n">
        <v>308000</v>
      </c>
    </row>
    <row r="2061">
      <c r="A2061" s="62" t="n">
        <v>38892</v>
      </c>
      <c r="B2061" t="n">
        <v>2419000</v>
      </c>
      <c r="C2061" t="n">
        <v>309000</v>
      </c>
    </row>
    <row r="2062">
      <c r="A2062" s="62" t="n">
        <v>38899</v>
      </c>
      <c r="B2062" t="n">
        <v>2399000</v>
      </c>
      <c r="C2062" t="n">
        <v>316000</v>
      </c>
    </row>
    <row r="2063">
      <c r="A2063" s="62" t="n">
        <v>38906</v>
      </c>
      <c r="B2063" t="n">
        <v>2491000</v>
      </c>
      <c r="C2063" t="n">
        <v>343000</v>
      </c>
    </row>
    <row r="2064">
      <c r="A2064" s="62" t="n">
        <v>38913</v>
      </c>
      <c r="B2064" t="n">
        <v>2475000</v>
      </c>
      <c r="C2064" t="n">
        <v>318000</v>
      </c>
    </row>
    <row r="2065">
      <c r="A2065" s="62" t="n">
        <v>38920</v>
      </c>
      <c r="B2065" t="n">
        <v>2422000</v>
      </c>
      <c r="C2065" t="n">
        <v>306000</v>
      </c>
    </row>
    <row r="2066">
      <c r="A2066" s="62" t="n">
        <v>38927</v>
      </c>
      <c r="B2066" t="n">
        <v>2460000</v>
      </c>
      <c r="C2066" t="n">
        <v>311000</v>
      </c>
    </row>
    <row r="2067">
      <c r="A2067" s="62" t="n">
        <v>38934</v>
      </c>
      <c r="B2067" t="n">
        <v>2477000</v>
      </c>
      <c r="C2067" t="n">
        <v>318000</v>
      </c>
    </row>
    <row r="2068">
      <c r="A2068" s="62" t="n">
        <v>38941</v>
      </c>
      <c r="B2068" t="n">
        <v>2467000</v>
      </c>
      <c r="C2068" t="n">
        <v>310000</v>
      </c>
    </row>
    <row r="2069">
      <c r="A2069" s="62" t="n">
        <v>38948</v>
      </c>
      <c r="B2069" t="n">
        <v>2464000</v>
      </c>
      <c r="C2069" t="n">
        <v>315000</v>
      </c>
    </row>
    <row r="2070">
      <c r="A2070" s="62" t="n">
        <v>38955</v>
      </c>
      <c r="B2070" t="n">
        <v>2457000</v>
      </c>
      <c r="C2070" t="n">
        <v>314000</v>
      </c>
    </row>
    <row r="2071">
      <c r="A2071" s="62" t="n">
        <v>38962</v>
      </c>
      <c r="B2071" t="n">
        <v>2467000</v>
      </c>
      <c r="C2071" t="n">
        <v>315000</v>
      </c>
    </row>
    <row r="2072">
      <c r="A2072" s="62" t="n">
        <v>38969</v>
      </c>
      <c r="B2072" t="n">
        <v>2449000</v>
      </c>
      <c r="C2072" t="n">
        <v>314000</v>
      </c>
    </row>
    <row r="2073">
      <c r="A2073" s="62" t="n">
        <v>38976</v>
      </c>
      <c r="B2073" t="n">
        <v>2438000</v>
      </c>
      <c r="C2073" t="n">
        <v>324000</v>
      </c>
    </row>
    <row r="2074">
      <c r="A2074" s="62" t="n">
        <v>38983</v>
      </c>
      <c r="B2074" t="n">
        <v>2440000</v>
      </c>
      <c r="C2074" t="n">
        <v>319000</v>
      </c>
    </row>
    <row r="2075">
      <c r="A2075" s="62" t="n">
        <v>38990</v>
      </c>
      <c r="B2075" t="n">
        <v>2437000</v>
      </c>
      <c r="C2075" t="n">
        <v>309000</v>
      </c>
    </row>
    <row r="2076">
      <c r="A2076" s="62" t="n">
        <v>38997</v>
      </c>
      <c r="B2076" t="n">
        <v>2449000</v>
      </c>
      <c r="C2076" t="n">
        <v>316000</v>
      </c>
    </row>
    <row r="2077">
      <c r="A2077" s="62" t="n">
        <v>39004</v>
      </c>
      <c r="B2077" t="n">
        <v>2459000</v>
      </c>
      <c r="C2077" t="n">
        <v>305000</v>
      </c>
    </row>
    <row r="2078">
      <c r="A2078" s="62" t="n">
        <v>39011</v>
      </c>
      <c r="B2078" t="n">
        <v>2428000</v>
      </c>
      <c r="C2078" t="n">
        <v>313000</v>
      </c>
    </row>
    <row r="2079">
      <c r="A2079" s="62" t="n">
        <v>39018</v>
      </c>
      <c r="B2079" t="n">
        <v>2449000</v>
      </c>
      <c r="C2079" t="n">
        <v>328000</v>
      </c>
    </row>
    <row r="2080">
      <c r="A2080" s="62" t="n">
        <v>39025</v>
      </c>
      <c r="B2080" t="n">
        <v>2414000</v>
      </c>
      <c r="C2080" t="n">
        <v>319000</v>
      </c>
    </row>
    <row r="2081">
      <c r="A2081" s="62" t="n">
        <v>39032</v>
      </c>
      <c r="B2081" t="n">
        <v>2467000</v>
      </c>
      <c r="C2081" t="n">
        <v>311000</v>
      </c>
    </row>
    <row r="2082">
      <c r="A2082" s="62" t="n">
        <v>39039</v>
      </c>
      <c r="B2082" t="n">
        <v>2506000</v>
      </c>
      <c r="C2082" t="n">
        <v>326000</v>
      </c>
    </row>
    <row r="2083">
      <c r="A2083" s="62" t="n">
        <v>39046</v>
      </c>
      <c r="B2083" t="n">
        <v>2517000</v>
      </c>
      <c r="C2083" t="n">
        <v>349000</v>
      </c>
    </row>
    <row r="2084">
      <c r="A2084" s="62" t="n">
        <v>39053</v>
      </c>
      <c r="B2084" t="n">
        <v>2472000</v>
      </c>
      <c r="C2084" t="n">
        <v>327000</v>
      </c>
    </row>
    <row r="2085">
      <c r="A2085" s="62" t="n">
        <v>39060</v>
      </c>
      <c r="B2085" t="n">
        <v>2517000</v>
      </c>
      <c r="C2085" t="n">
        <v>311000</v>
      </c>
    </row>
    <row r="2086">
      <c r="A2086" s="62" t="n">
        <v>39067</v>
      </c>
      <c r="B2086" t="n">
        <v>2513000</v>
      </c>
      <c r="C2086" t="n">
        <v>318000</v>
      </c>
    </row>
    <row r="2087">
      <c r="A2087" s="62" t="n">
        <v>39074</v>
      </c>
      <c r="B2087" t="n">
        <v>2449000</v>
      </c>
      <c r="C2087" t="n">
        <v>323000</v>
      </c>
    </row>
    <row r="2088">
      <c r="A2088" s="62" t="n">
        <v>39081</v>
      </c>
      <c r="B2088" t="n">
        <v>2455000</v>
      </c>
      <c r="C2088" t="n">
        <v>341000</v>
      </c>
    </row>
    <row r="2089">
      <c r="A2089" s="62" t="n">
        <v>39088</v>
      </c>
      <c r="B2089" t="n">
        <v>2518000</v>
      </c>
      <c r="C2089" t="n">
        <v>330000</v>
      </c>
    </row>
    <row r="2090">
      <c r="A2090" s="62" t="n">
        <v>39095</v>
      </c>
      <c r="B2090" t="n">
        <v>2507000</v>
      </c>
      <c r="C2090" t="n">
        <v>296000</v>
      </c>
    </row>
    <row r="2091">
      <c r="A2091" s="62" t="n">
        <v>39102</v>
      </c>
      <c r="B2091" t="n">
        <v>2552000</v>
      </c>
      <c r="C2091" t="n">
        <v>335000</v>
      </c>
    </row>
    <row r="2092">
      <c r="A2092" s="62" t="n">
        <v>39109</v>
      </c>
      <c r="B2092" t="n">
        <v>2520000</v>
      </c>
      <c r="C2092" t="n">
        <v>308000</v>
      </c>
    </row>
    <row r="2093">
      <c r="A2093" s="62" t="n">
        <v>39116</v>
      </c>
      <c r="B2093" t="n">
        <v>2575000</v>
      </c>
      <c r="C2093" t="n">
        <v>310000</v>
      </c>
    </row>
    <row r="2094">
      <c r="A2094" s="62" t="n">
        <v>39123</v>
      </c>
      <c r="B2094" t="n">
        <v>2527000</v>
      </c>
      <c r="C2094" t="n">
        <v>338000</v>
      </c>
    </row>
    <row r="2095">
      <c r="A2095" s="62" t="n">
        <v>39130</v>
      </c>
      <c r="B2095" t="n">
        <v>2626000</v>
      </c>
      <c r="C2095" t="n">
        <v>321000</v>
      </c>
    </row>
    <row r="2096">
      <c r="A2096" s="62" t="n">
        <v>39137</v>
      </c>
      <c r="B2096" t="n">
        <v>2549000</v>
      </c>
      <c r="C2096" t="n">
        <v>322000</v>
      </c>
    </row>
    <row r="2097">
      <c r="A2097" s="62" t="n">
        <v>39144</v>
      </c>
      <c r="B2097" t="n">
        <v>2581000</v>
      </c>
      <c r="C2097" t="n">
        <v>320000</v>
      </c>
    </row>
    <row r="2098">
      <c r="A2098" s="62" t="n">
        <v>39151</v>
      </c>
      <c r="B2098" t="n">
        <v>2511000</v>
      </c>
      <c r="C2098" t="n">
        <v>308000</v>
      </c>
    </row>
    <row r="2099">
      <c r="A2099" s="62" t="n">
        <v>39158</v>
      </c>
      <c r="B2099" t="n">
        <v>2515000</v>
      </c>
      <c r="C2099" t="n">
        <v>309000</v>
      </c>
    </row>
    <row r="2100">
      <c r="A2100" s="62" t="n">
        <v>39165</v>
      </c>
      <c r="B2100" t="n">
        <v>2489000</v>
      </c>
      <c r="C2100" t="n">
        <v>303000</v>
      </c>
    </row>
    <row r="2101">
      <c r="A2101" s="62" t="n">
        <v>39172</v>
      </c>
      <c r="B2101" t="n">
        <v>2499000</v>
      </c>
      <c r="C2101" t="n">
        <v>307000</v>
      </c>
    </row>
    <row r="2102">
      <c r="A2102" s="62" t="n">
        <v>39179</v>
      </c>
      <c r="B2102" t="n">
        <v>2497000</v>
      </c>
      <c r="C2102" t="n">
        <v>332000</v>
      </c>
    </row>
    <row r="2103">
      <c r="A2103" s="62" t="n">
        <v>39186</v>
      </c>
      <c r="B2103" t="n">
        <v>2538000</v>
      </c>
      <c r="C2103" t="n">
        <v>327000</v>
      </c>
    </row>
    <row r="2104">
      <c r="A2104" s="62" t="n">
        <v>39193</v>
      </c>
      <c r="B2104" t="n">
        <v>2463000</v>
      </c>
      <c r="C2104" t="n">
        <v>321000</v>
      </c>
    </row>
    <row r="2105">
      <c r="A2105" s="62" t="n">
        <v>39200</v>
      </c>
      <c r="B2105" t="n">
        <v>2486000</v>
      </c>
      <c r="C2105" t="n">
        <v>301000</v>
      </c>
    </row>
    <row r="2106">
      <c r="A2106" s="62" t="n">
        <v>39207</v>
      </c>
      <c r="B2106" t="n">
        <v>2429000</v>
      </c>
      <c r="C2106" t="n">
        <v>300000</v>
      </c>
    </row>
    <row r="2107">
      <c r="A2107" s="62" t="n">
        <v>39214</v>
      </c>
      <c r="B2107" t="n">
        <v>2465000</v>
      </c>
      <c r="C2107" t="n">
        <v>297000</v>
      </c>
    </row>
    <row r="2108">
      <c r="A2108" s="62" t="n">
        <v>39221</v>
      </c>
      <c r="B2108" t="n">
        <v>2417000</v>
      </c>
      <c r="C2108" t="n">
        <v>310000</v>
      </c>
    </row>
    <row r="2109">
      <c r="A2109" s="62" t="n">
        <v>39228</v>
      </c>
      <c r="B2109" t="n">
        <v>2480000</v>
      </c>
      <c r="C2109" t="n">
        <v>310000</v>
      </c>
    </row>
    <row r="2110">
      <c r="A2110" s="62" t="n">
        <v>39235</v>
      </c>
      <c r="B2110" t="n">
        <v>2452000</v>
      </c>
      <c r="C2110" t="n">
        <v>313000</v>
      </c>
    </row>
    <row r="2111">
      <c r="A2111" s="62" t="n">
        <v>39242</v>
      </c>
      <c r="B2111" t="n">
        <v>2484000</v>
      </c>
      <c r="C2111" t="n">
        <v>313000</v>
      </c>
    </row>
    <row r="2112">
      <c r="A2112" s="62" t="n">
        <v>39249</v>
      </c>
      <c r="B2112" t="n">
        <v>2453000</v>
      </c>
      <c r="C2112" t="n">
        <v>320000</v>
      </c>
    </row>
    <row r="2113">
      <c r="A2113" s="62" t="n">
        <v>39256</v>
      </c>
      <c r="B2113" t="n">
        <v>2520000</v>
      </c>
      <c r="C2113" t="n">
        <v>313000</v>
      </c>
    </row>
    <row r="2114">
      <c r="A2114" s="62" t="n">
        <v>39263</v>
      </c>
      <c r="B2114" t="n">
        <v>2501000</v>
      </c>
      <c r="C2114" t="n">
        <v>317000</v>
      </c>
    </row>
    <row r="2115">
      <c r="A2115" s="62" t="n">
        <v>39270</v>
      </c>
      <c r="B2115" t="n">
        <v>2563000</v>
      </c>
      <c r="C2115" t="n">
        <v>321000</v>
      </c>
    </row>
    <row r="2116">
      <c r="A2116" s="62" t="n">
        <v>39277</v>
      </c>
      <c r="B2116" t="n">
        <v>2555000</v>
      </c>
      <c r="C2116" t="n">
        <v>317000</v>
      </c>
    </row>
    <row r="2117">
      <c r="A2117" s="62" t="n">
        <v>39284</v>
      </c>
      <c r="B2117" t="n">
        <v>2514000</v>
      </c>
      <c r="C2117" t="n">
        <v>310000</v>
      </c>
    </row>
    <row r="2118">
      <c r="A2118" s="62" t="n">
        <v>39291</v>
      </c>
      <c r="B2118" t="n">
        <v>2537000</v>
      </c>
      <c r="C2118" t="n">
        <v>305000</v>
      </c>
    </row>
    <row r="2119">
      <c r="A2119" s="62" t="n">
        <v>39298</v>
      </c>
      <c r="B2119" t="n">
        <v>2531000</v>
      </c>
      <c r="C2119" t="n">
        <v>314000</v>
      </c>
    </row>
    <row r="2120">
      <c r="A2120" s="62" t="n">
        <v>39305</v>
      </c>
      <c r="B2120" t="n">
        <v>2556000</v>
      </c>
      <c r="C2120" t="n">
        <v>316000</v>
      </c>
    </row>
    <row r="2121">
      <c r="A2121" s="62" t="n">
        <v>39312</v>
      </c>
      <c r="B2121" t="n">
        <v>2556000</v>
      </c>
      <c r="C2121" t="n">
        <v>321000</v>
      </c>
    </row>
    <row r="2122">
      <c r="A2122" s="62" t="n">
        <v>39319</v>
      </c>
      <c r="B2122" t="n">
        <v>2569000</v>
      </c>
      <c r="C2122" t="n">
        <v>329000</v>
      </c>
    </row>
    <row r="2123">
      <c r="A2123" s="62" t="n">
        <v>39326</v>
      </c>
      <c r="B2123" t="n">
        <v>2565000</v>
      </c>
      <c r="C2123" t="n">
        <v>314000</v>
      </c>
    </row>
    <row r="2124">
      <c r="A2124" s="62" t="n">
        <v>39333</v>
      </c>
      <c r="B2124" t="n">
        <v>2537000</v>
      </c>
      <c r="C2124" t="n">
        <v>321000</v>
      </c>
    </row>
    <row r="2125">
      <c r="A2125" s="62" t="n">
        <v>39340</v>
      </c>
      <c r="B2125" t="n">
        <v>2536000</v>
      </c>
      <c r="C2125" t="n">
        <v>313000</v>
      </c>
    </row>
    <row r="2126">
      <c r="A2126" s="62" t="n">
        <v>39347</v>
      </c>
      <c r="B2126" t="n">
        <v>2530000</v>
      </c>
      <c r="C2126" t="n">
        <v>302000</v>
      </c>
    </row>
    <row r="2127">
      <c r="A2127" s="62" t="n">
        <v>39354</v>
      </c>
      <c r="B2127" t="n">
        <v>2518000</v>
      </c>
      <c r="C2127" t="n">
        <v>317000</v>
      </c>
    </row>
    <row r="2128">
      <c r="A2128" s="62" t="n">
        <v>39361</v>
      </c>
      <c r="B2128" t="n">
        <v>2521000</v>
      </c>
      <c r="C2128" t="n">
        <v>316000</v>
      </c>
    </row>
    <row r="2129">
      <c r="A2129" s="62" t="n">
        <v>39368</v>
      </c>
      <c r="B2129" t="n">
        <v>2541000</v>
      </c>
      <c r="C2129" t="n">
        <v>335000</v>
      </c>
    </row>
    <row r="2130">
      <c r="A2130" s="62" t="n">
        <v>39375</v>
      </c>
      <c r="B2130" t="n">
        <v>2598000</v>
      </c>
      <c r="C2130" t="n">
        <v>334000</v>
      </c>
    </row>
    <row r="2131">
      <c r="A2131" s="62" t="n">
        <v>39382</v>
      </c>
      <c r="B2131" t="n">
        <v>2587000</v>
      </c>
      <c r="C2131" t="n">
        <v>328000</v>
      </c>
    </row>
    <row r="2132">
      <c r="A2132" s="62" t="n">
        <v>39389</v>
      </c>
      <c r="B2132" t="n">
        <v>2617000</v>
      </c>
      <c r="C2132" t="n">
        <v>327000</v>
      </c>
    </row>
    <row r="2133">
      <c r="A2133" s="62" t="n">
        <v>39396</v>
      </c>
      <c r="B2133" t="n">
        <v>2607000</v>
      </c>
      <c r="C2133" t="n">
        <v>333000</v>
      </c>
    </row>
    <row r="2134">
      <c r="A2134" s="62" t="n">
        <v>39403</v>
      </c>
      <c r="B2134" t="n">
        <v>2609000</v>
      </c>
      <c r="C2134" t="n">
        <v>332000</v>
      </c>
    </row>
    <row r="2135">
      <c r="A2135" s="62" t="n">
        <v>39410</v>
      </c>
      <c r="B2135" t="n">
        <v>2634000</v>
      </c>
      <c r="C2135" t="n">
        <v>352000</v>
      </c>
    </row>
    <row r="2136">
      <c r="A2136" s="62" t="n">
        <v>39417</v>
      </c>
      <c r="B2136" t="n">
        <v>2639000</v>
      </c>
      <c r="C2136" t="n">
        <v>344000</v>
      </c>
    </row>
    <row r="2137">
      <c r="A2137" s="62" t="n">
        <v>39424</v>
      </c>
      <c r="B2137" t="n">
        <v>2672000</v>
      </c>
      <c r="C2137" t="n">
        <v>332000</v>
      </c>
    </row>
    <row r="2138">
      <c r="A2138" s="62" t="n">
        <v>39431</v>
      </c>
      <c r="B2138" t="n">
        <v>2737000</v>
      </c>
      <c r="C2138" t="n">
        <v>350000</v>
      </c>
    </row>
    <row r="2139">
      <c r="A2139" s="62" t="n">
        <v>39438</v>
      </c>
      <c r="B2139" t="n">
        <v>2752000</v>
      </c>
      <c r="C2139" t="n">
        <v>355000</v>
      </c>
    </row>
    <row r="2140">
      <c r="A2140" s="62" t="n">
        <v>39445</v>
      </c>
      <c r="B2140" t="n">
        <v>2760000</v>
      </c>
      <c r="C2140" t="n">
        <v>360000</v>
      </c>
    </row>
    <row r="2141">
      <c r="A2141" s="62" t="n">
        <v>39452</v>
      </c>
      <c r="B2141" t="n">
        <v>2828000</v>
      </c>
      <c r="C2141" t="n">
        <v>346000</v>
      </c>
    </row>
    <row r="2142">
      <c r="A2142" s="62" t="n">
        <v>39459</v>
      </c>
      <c r="B2142" t="n">
        <v>2752000</v>
      </c>
      <c r="C2142" t="n">
        <v>322000</v>
      </c>
    </row>
    <row r="2143">
      <c r="A2143" s="62" t="n">
        <v>39466</v>
      </c>
      <c r="B2143" t="n">
        <v>2770000</v>
      </c>
      <c r="C2143" t="n">
        <v>321000</v>
      </c>
    </row>
    <row r="2144">
      <c r="A2144" s="62" t="n">
        <v>39473</v>
      </c>
      <c r="B2144" t="n">
        <v>2845000</v>
      </c>
      <c r="C2144" t="n">
        <v>366000</v>
      </c>
    </row>
    <row r="2145">
      <c r="A2145" s="62" t="n">
        <v>39480</v>
      </c>
      <c r="B2145" t="n">
        <v>2810000</v>
      </c>
      <c r="C2145" t="n">
        <v>350000</v>
      </c>
    </row>
    <row r="2146">
      <c r="A2146" s="62" t="n">
        <v>39487</v>
      </c>
      <c r="B2146" t="n">
        <v>2846000</v>
      </c>
      <c r="C2146" t="n">
        <v>344000</v>
      </c>
    </row>
    <row r="2147">
      <c r="A2147" s="62" t="n">
        <v>39494</v>
      </c>
      <c r="B2147" t="n">
        <v>2837000</v>
      </c>
      <c r="C2147" t="n">
        <v>339000</v>
      </c>
    </row>
    <row r="2148">
      <c r="A2148" s="62" t="n">
        <v>39501</v>
      </c>
      <c r="B2148" t="n">
        <v>2884000</v>
      </c>
      <c r="C2148" t="n">
        <v>354000</v>
      </c>
    </row>
    <row r="2149">
      <c r="A2149" s="62" t="n">
        <v>39508</v>
      </c>
      <c r="B2149" t="n">
        <v>2867000</v>
      </c>
      <c r="C2149" t="n">
        <v>345000</v>
      </c>
    </row>
    <row r="2150">
      <c r="A2150" s="62" t="n">
        <v>39515</v>
      </c>
      <c r="B2150" t="n">
        <v>2895000</v>
      </c>
      <c r="C2150" t="n">
        <v>348000</v>
      </c>
    </row>
    <row r="2151">
      <c r="A2151" s="62" t="n">
        <v>39522</v>
      </c>
      <c r="B2151" t="n">
        <v>2897000</v>
      </c>
      <c r="C2151" t="n">
        <v>369000</v>
      </c>
    </row>
    <row r="2152">
      <c r="A2152" s="62" t="n">
        <v>39529</v>
      </c>
      <c r="B2152" t="n">
        <v>2938000</v>
      </c>
      <c r="C2152" t="n">
        <v>368000</v>
      </c>
    </row>
    <row r="2153">
      <c r="A2153" s="62" t="n">
        <v>39536</v>
      </c>
      <c r="B2153" t="n">
        <v>2967000</v>
      </c>
      <c r="C2153" t="n">
        <v>387000</v>
      </c>
    </row>
    <row r="2154">
      <c r="A2154" s="62" t="n">
        <v>39543</v>
      </c>
      <c r="B2154" t="n">
        <v>2969000</v>
      </c>
      <c r="C2154" t="n">
        <v>354000</v>
      </c>
    </row>
    <row r="2155">
      <c r="A2155" s="62" t="n">
        <v>39550</v>
      </c>
      <c r="B2155" t="n">
        <v>2937000</v>
      </c>
      <c r="C2155" t="n">
        <v>365000</v>
      </c>
    </row>
    <row r="2156">
      <c r="A2156" s="62" t="n">
        <v>39557</v>
      </c>
      <c r="B2156" t="n">
        <v>2964000</v>
      </c>
      <c r="C2156" t="n">
        <v>349000</v>
      </c>
    </row>
    <row r="2157">
      <c r="A2157" s="62" t="n">
        <v>39564</v>
      </c>
      <c r="B2157" t="n">
        <v>2986000</v>
      </c>
      <c r="C2157" t="n">
        <v>370000</v>
      </c>
    </row>
    <row r="2158">
      <c r="A2158" s="62" t="n">
        <v>39571</v>
      </c>
      <c r="B2158" t="n">
        <v>2993000</v>
      </c>
      <c r="C2158" t="n">
        <v>370000</v>
      </c>
    </row>
    <row r="2159">
      <c r="A2159" s="62" t="n">
        <v>39578</v>
      </c>
      <c r="B2159" t="n">
        <v>2997000</v>
      </c>
      <c r="C2159" t="n">
        <v>366000</v>
      </c>
    </row>
    <row r="2160">
      <c r="A2160" s="62" t="n">
        <v>39585</v>
      </c>
      <c r="B2160" t="n">
        <v>3016000</v>
      </c>
      <c r="C2160" t="n">
        <v>367000</v>
      </c>
    </row>
    <row r="2161">
      <c r="A2161" s="62" t="n">
        <v>39592</v>
      </c>
      <c r="B2161" t="n">
        <v>3007000</v>
      </c>
      <c r="C2161" t="n">
        <v>369000</v>
      </c>
    </row>
    <row r="2162">
      <c r="A2162" s="62" t="n">
        <v>39599</v>
      </c>
      <c r="B2162" t="n">
        <v>3055000</v>
      </c>
      <c r="C2162" t="n">
        <v>362000</v>
      </c>
    </row>
    <row r="2163">
      <c r="A2163" s="62" t="n">
        <v>39606</v>
      </c>
      <c r="B2163" t="n">
        <v>3010000</v>
      </c>
      <c r="C2163" t="n">
        <v>382000</v>
      </c>
    </row>
    <row r="2164">
      <c r="A2164" s="62" t="n">
        <v>39613</v>
      </c>
      <c r="B2164" t="n">
        <v>3057000</v>
      </c>
      <c r="C2164" t="n">
        <v>378000</v>
      </c>
    </row>
    <row r="2165">
      <c r="A2165" s="62" t="n">
        <v>39620</v>
      </c>
      <c r="B2165" t="n">
        <v>3054000</v>
      </c>
      <c r="C2165" t="n">
        <v>381000</v>
      </c>
    </row>
    <row r="2166">
      <c r="A2166" s="62" t="n">
        <v>39627</v>
      </c>
      <c r="B2166" t="n">
        <v>3110000</v>
      </c>
      <c r="C2166" t="n">
        <v>392000</v>
      </c>
    </row>
    <row r="2167">
      <c r="A2167" s="62" t="n">
        <v>39634</v>
      </c>
      <c r="B2167" t="n">
        <v>3113000</v>
      </c>
      <c r="C2167" t="n">
        <v>371000</v>
      </c>
    </row>
    <row r="2168">
      <c r="A2168" s="62" t="n">
        <v>39641</v>
      </c>
      <c r="B2168" t="n">
        <v>3104000</v>
      </c>
      <c r="C2168" t="n">
        <v>385000</v>
      </c>
    </row>
    <row r="2169">
      <c r="A2169" s="62" t="n">
        <v>39648</v>
      </c>
      <c r="B2169" t="n">
        <v>3227000</v>
      </c>
      <c r="C2169" t="n">
        <v>402000</v>
      </c>
    </row>
    <row r="2170">
      <c r="A2170" s="62" t="n">
        <v>39655</v>
      </c>
      <c r="B2170" t="n">
        <v>3261000</v>
      </c>
      <c r="C2170" t="n">
        <v>434000</v>
      </c>
    </row>
    <row r="2171">
      <c r="A2171" s="62" t="n">
        <v>39662</v>
      </c>
      <c r="B2171" t="n">
        <v>3330000</v>
      </c>
      <c r="C2171" t="n">
        <v>448000</v>
      </c>
    </row>
    <row r="2172">
      <c r="A2172" s="62" t="n">
        <v>39669</v>
      </c>
      <c r="B2172" t="n">
        <v>3327000</v>
      </c>
      <c r="C2172" t="n">
        <v>430000</v>
      </c>
    </row>
    <row r="2173">
      <c r="A2173" s="62" t="n">
        <v>39676</v>
      </c>
      <c r="B2173" t="n">
        <v>3385000</v>
      </c>
      <c r="C2173" t="n">
        <v>424000</v>
      </c>
    </row>
    <row r="2174">
      <c r="A2174" s="62" t="n">
        <v>39683</v>
      </c>
      <c r="B2174" t="n">
        <v>3384000</v>
      </c>
      <c r="C2174" t="n">
        <v>421000</v>
      </c>
    </row>
    <row r="2175">
      <c r="A2175" s="62" t="n">
        <v>39690</v>
      </c>
      <c r="B2175" t="n">
        <v>3464000</v>
      </c>
      <c r="C2175" t="n">
        <v>442000</v>
      </c>
    </row>
    <row r="2176">
      <c r="A2176" s="62" t="n">
        <v>39697</v>
      </c>
      <c r="B2176" t="n">
        <v>3420000</v>
      </c>
      <c r="C2176" t="n">
        <v>441000</v>
      </c>
    </row>
    <row r="2177">
      <c r="A2177" s="62" t="n">
        <v>39704</v>
      </c>
      <c r="B2177" t="n">
        <v>3493000</v>
      </c>
      <c r="C2177" t="n">
        <v>449000</v>
      </c>
    </row>
    <row r="2178">
      <c r="A2178" s="62" t="n">
        <v>39711</v>
      </c>
      <c r="B2178" t="n">
        <v>3551000</v>
      </c>
      <c r="C2178" t="n">
        <v>483000</v>
      </c>
    </row>
    <row r="2179">
      <c r="A2179" s="62" t="n">
        <v>39718</v>
      </c>
      <c r="B2179" t="n">
        <v>3623000</v>
      </c>
      <c r="C2179" t="n">
        <v>483000</v>
      </c>
    </row>
    <row r="2180">
      <c r="A2180" s="62" t="n">
        <v>39725</v>
      </c>
      <c r="B2180" t="n">
        <v>3676000</v>
      </c>
      <c r="C2180" t="n">
        <v>482000</v>
      </c>
    </row>
    <row r="2181">
      <c r="A2181" s="62" t="n">
        <v>39732</v>
      </c>
      <c r="B2181" t="n">
        <v>3696000</v>
      </c>
      <c r="C2181" t="n">
        <v>461000</v>
      </c>
    </row>
    <row r="2182">
      <c r="A2182" s="62" t="n">
        <v>39739</v>
      </c>
      <c r="B2182" t="n">
        <v>3729000</v>
      </c>
      <c r="C2182" t="n">
        <v>478000</v>
      </c>
    </row>
    <row r="2183">
      <c r="A2183" s="62" t="n">
        <v>39746</v>
      </c>
      <c r="B2183" t="n">
        <v>3823000</v>
      </c>
      <c r="C2183" t="n">
        <v>480000</v>
      </c>
    </row>
    <row r="2184">
      <c r="A2184" s="62" t="n">
        <v>39753</v>
      </c>
      <c r="B2184" t="n">
        <v>3928000</v>
      </c>
      <c r="C2184" t="n">
        <v>490000</v>
      </c>
    </row>
    <row r="2185">
      <c r="A2185" s="62" t="n">
        <v>39760</v>
      </c>
      <c r="B2185" t="n">
        <v>4011000</v>
      </c>
      <c r="C2185" t="n">
        <v>512000</v>
      </c>
    </row>
    <row r="2186">
      <c r="A2186" s="62" t="n">
        <v>39767</v>
      </c>
      <c r="B2186" t="n">
        <v>4002000</v>
      </c>
      <c r="C2186" t="n">
        <v>536000</v>
      </c>
    </row>
    <row r="2187">
      <c r="A2187" s="62" t="n">
        <v>39774</v>
      </c>
      <c r="B2187" t="n">
        <v>4095000</v>
      </c>
      <c r="C2187" t="n">
        <v>532000</v>
      </c>
    </row>
    <row r="2188">
      <c r="A2188" s="62" t="n">
        <v>39781</v>
      </c>
      <c r="B2188" t="n">
        <v>4447000</v>
      </c>
      <c r="C2188" t="n">
        <v>529000</v>
      </c>
    </row>
    <row r="2189">
      <c r="A2189" s="62" t="n">
        <v>39788</v>
      </c>
      <c r="B2189" t="n">
        <v>4417000</v>
      </c>
      <c r="C2189" t="n">
        <v>570000</v>
      </c>
    </row>
    <row r="2190">
      <c r="A2190" s="62" t="n">
        <v>39795</v>
      </c>
      <c r="B2190" t="n">
        <v>4445000</v>
      </c>
      <c r="C2190" t="n">
        <v>566000</v>
      </c>
    </row>
    <row r="2191">
      <c r="A2191" s="62" t="n">
        <v>39802</v>
      </c>
      <c r="B2191" t="n">
        <v>4548000</v>
      </c>
      <c r="C2191" t="n">
        <v>587000</v>
      </c>
    </row>
    <row r="2192">
      <c r="A2192" s="62" t="n">
        <v>39809</v>
      </c>
      <c r="B2192" t="n">
        <v>4679000</v>
      </c>
      <c r="C2192" t="n">
        <v>533000</v>
      </c>
    </row>
    <row r="2193">
      <c r="A2193" s="62" t="n">
        <v>39816</v>
      </c>
      <c r="B2193" t="n">
        <v>4692000</v>
      </c>
      <c r="C2193" t="n">
        <v>503000</v>
      </c>
    </row>
    <row r="2194">
      <c r="A2194" s="62" t="n">
        <v>39823</v>
      </c>
      <c r="B2194" t="n">
        <v>4760000</v>
      </c>
      <c r="C2194" t="n">
        <v>551000</v>
      </c>
    </row>
    <row r="2195">
      <c r="A2195" s="62" t="n">
        <v>39830</v>
      </c>
      <c r="B2195" t="n">
        <v>4864000</v>
      </c>
      <c r="C2195" t="n">
        <v>591000</v>
      </c>
    </row>
    <row r="2196">
      <c r="A2196" s="62" t="n">
        <v>39837</v>
      </c>
      <c r="B2196" t="n">
        <v>4980000</v>
      </c>
      <c r="C2196" t="n">
        <v>586000</v>
      </c>
    </row>
    <row r="2197">
      <c r="A2197" s="62" t="n">
        <v>39844</v>
      </c>
      <c r="B2197" t="n">
        <v>5010000</v>
      </c>
      <c r="C2197" t="n">
        <v>629000</v>
      </c>
    </row>
    <row r="2198">
      <c r="A2198" s="62" t="n">
        <v>39851</v>
      </c>
      <c r="B2198" t="n">
        <v>5157000</v>
      </c>
      <c r="C2198" t="n">
        <v>637000</v>
      </c>
    </row>
    <row r="2199">
      <c r="A2199" s="62" t="n">
        <v>39858</v>
      </c>
      <c r="B2199" t="n">
        <v>5279000</v>
      </c>
      <c r="C2199" t="n">
        <v>632000</v>
      </c>
    </row>
    <row r="2200">
      <c r="A2200" s="62" t="n">
        <v>39865</v>
      </c>
      <c r="B2200" t="n">
        <v>5307000</v>
      </c>
      <c r="C2200" t="n">
        <v>655000</v>
      </c>
    </row>
    <row r="2201">
      <c r="A2201" s="62" t="n">
        <v>39872</v>
      </c>
      <c r="B2201" t="n">
        <v>5445000</v>
      </c>
      <c r="C2201" t="n">
        <v>652000</v>
      </c>
    </row>
    <row r="2202">
      <c r="A2202" s="62" t="n">
        <v>39879</v>
      </c>
      <c r="B2202" t="n">
        <v>5600000</v>
      </c>
      <c r="C2202" t="n">
        <v>660000</v>
      </c>
    </row>
    <row r="2203">
      <c r="A2203" s="62" t="n">
        <v>39886</v>
      </c>
      <c r="B2203" t="n">
        <v>5699000</v>
      </c>
      <c r="C2203" t="n">
        <v>651000</v>
      </c>
    </row>
    <row r="2204">
      <c r="A2204" s="62" t="n">
        <v>39893</v>
      </c>
      <c r="B2204" t="n">
        <v>5829000</v>
      </c>
      <c r="C2204" t="n">
        <v>661000</v>
      </c>
    </row>
    <row r="2205">
      <c r="A2205" s="62" t="n">
        <v>39900</v>
      </c>
      <c r="B2205" t="n">
        <v>5935000</v>
      </c>
      <c r="C2205" t="n">
        <v>665000</v>
      </c>
    </row>
    <row r="2206">
      <c r="A2206" s="62" t="n">
        <v>39907</v>
      </c>
      <c r="B2206" t="n">
        <v>6044000</v>
      </c>
      <c r="C2206" t="n">
        <v>653000</v>
      </c>
    </row>
    <row r="2207">
      <c r="A2207" s="62" t="n">
        <v>39914</v>
      </c>
      <c r="B2207" t="n">
        <v>6130000</v>
      </c>
      <c r="C2207" t="n">
        <v>599000</v>
      </c>
    </row>
    <row r="2208">
      <c r="A2208" s="62" t="n">
        <v>39921</v>
      </c>
      <c r="B2208" t="n">
        <v>6264000</v>
      </c>
      <c r="C2208" t="n">
        <v>639000</v>
      </c>
    </row>
    <row r="2209">
      <c r="A2209" s="62" t="n">
        <v>39928</v>
      </c>
      <c r="B2209" t="n">
        <v>6300000</v>
      </c>
      <c r="C2209" t="n">
        <v>620000</v>
      </c>
    </row>
    <row r="2210">
      <c r="A2210" s="62" t="n">
        <v>39935</v>
      </c>
      <c r="B2210" t="n">
        <v>6416000</v>
      </c>
      <c r="C2210" t="n">
        <v>602000</v>
      </c>
    </row>
    <row r="2211">
      <c r="A2211" s="62" t="n">
        <v>39942</v>
      </c>
      <c r="B2211" t="n">
        <v>6516000</v>
      </c>
      <c r="C2211" t="n">
        <v>625000</v>
      </c>
    </row>
    <row r="2212">
      <c r="A2212" s="62" t="n">
        <v>39949</v>
      </c>
      <c r="B2212" t="n">
        <v>6539000</v>
      </c>
      <c r="C2212" t="n">
        <v>620000</v>
      </c>
    </row>
    <row r="2213">
      <c r="A2213" s="62" t="n">
        <v>39956</v>
      </c>
      <c r="B2213" t="n">
        <v>6522000</v>
      </c>
      <c r="C2213" t="n">
        <v>606000</v>
      </c>
    </row>
    <row r="2214">
      <c r="A2214" s="62" t="n">
        <v>39963</v>
      </c>
      <c r="B2214" t="n">
        <v>6635000</v>
      </c>
      <c r="C2214" t="n">
        <v>607000</v>
      </c>
    </row>
    <row r="2215">
      <c r="A2215" s="62" t="n">
        <v>39970</v>
      </c>
      <c r="B2215" t="n">
        <v>6506000</v>
      </c>
      <c r="C2215" t="n">
        <v>596000</v>
      </c>
    </row>
    <row r="2216">
      <c r="A2216" s="62" t="n">
        <v>39977</v>
      </c>
      <c r="B2216" t="n">
        <v>6525000</v>
      </c>
      <c r="C2216" t="n">
        <v>595000</v>
      </c>
    </row>
    <row r="2217">
      <c r="A2217" s="62" t="n">
        <v>39984</v>
      </c>
      <c r="B2217" t="n">
        <v>6488000</v>
      </c>
      <c r="C2217" t="n">
        <v>608000</v>
      </c>
    </row>
    <row r="2218">
      <c r="A2218" s="62" t="n">
        <v>39991</v>
      </c>
      <c r="B2218" t="n">
        <v>6618000</v>
      </c>
      <c r="C2218" t="n">
        <v>594000</v>
      </c>
    </row>
    <row r="2219">
      <c r="A2219" s="62" t="n">
        <v>39998</v>
      </c>
      <c r="B2219" t="n">
        <v>6145000</v>
      </c>
      <c r="C2219" t="n">
        <v>573000</v>
      </c>
    </row>
    <row r="2220">
      <c r="A2220" s="62" t="n">
        <v>40005</v>
      </c>
      <c r="B2220" t="n">
        <v>6136000</v>
      </c>
      <c r="C2220" t="n">
        <v>546000</v>
      </c>
    </row>
    <row r="2221">
      <c r="A2221" s="62" t="n">
        <v>40012</v>
      </c>
      <c r="B2221" t="n">
        <v>6118000</v>
      </c>
      <c r="C2221" t="n">
        <v>560000</v>
      </c>
    </row>
    <row r="2222">
      <c r="A2222" s="62" t="n">
        <v>40019</v>
      </c>
      <c r="B2222" t="n">
        <v>6157000</v>
      </c>
      <c r="C2222" t="n">
        <v>587000</v>
      </c>
    </row>
    <row r="2223">
      <c r="A2223" s="62" t="n">
        <v>40026</v>
      </c>
      <c r="B2223" t="n">
        <v>6111000</v>
      </c>
      <c r="C2223" t="n">
        <v>555000</v>
      </c>
    </row>
    <row r="2224">
      <c r="A2224" s="62" t="n">
        <v>40033</v>
      </c>
      <c r="B2224" t="n">
        <v>6090000</v>
      </c>
      <c r="C2224" t="n">
        <v>555000</v>
      </c>
    </row>
    <row r="2225">
      <c r="A2225" s="62" t="n">
        <v>40040</v>
      </c>
      <c r="B2225" t="n">
        <v>6008000</v>
      </c>
      <c r="C2225" t="n">
        <v>562000</v>
      </c>
    </row>
    <row r="2226">
      <c r="A2226" s="62" t="n">
        <v>40047</v>
      </c>
      <c r="B2226" t="n">
        <v>6060000</v>
      </c>
      <c r="C2226" t="n">
        <v>560000</v>
      </c>
    </row>
    <row r="2227">
      <c r="A2227" s="62" t="n">
        <v>40054</v>
      </c>
      <c r="B2227" t="n">
        <v>5970000</v>
      </c>
      <c r="C2227" t="n">
        <v>564000</v>
      </c>
    </row>
    <row r="2228">
      <c r="A2228" s="62" t="n">
        <v>40061</v>
      </c>
      <c r="B2228" t="n">
        <v>6079000</v>
      </c>
      <c r="C2228" t="n">
        <v>558000</v>
      </c>
    </row>
    <row r="2229">
      <c r="A2229" s="62" t="n">
        <v>40068</v>
      </c>
      <c r="B2229" t="n">
        <v>6006000</v>
      </c>
      <c r="C2229" t="n">
        <v>542000</v>
      </c>
    </row>
    <row r="2230">
      <c r="A2230" s="62" t="n">
        <v>40075</v>
      </c>
      <c r="B2230" t="n">
        <v>5942000</v>
      </c>
      <c r="C2230" t="n">
        <v>536000</v>
      </c>
    </row>
    <row r="2231">
      <c r="A2231" s="62" t="n">
        <v>40082</v>
      </c>
      <c r="B2231" t="n">
        <v>5912000</v>
      </c>
      <c r="C2231" t="n">
        <v>554000</v>
      </c>
    </row>
    <row r="2232">
      <c r="A2232" s="62" t="n">
        <v>40089</v>
      </c>
      <c r="B2232" t="n">
        <v>5900000</v>
      </c>
      <c r="C2232" t="n">
        <v>533000</v>
      </c>
    </row>
    <row r="2233">
      <c r="A2233" s="62" t="n">
        <v>40096</v>
      </c>
      <c r="B2233" t="n">
        <v>5828000</v>
      </c>
      <c r="C2233" t="n">
        <v>511000</v>
      </c>
    </row>
    <row r="2234">
      <c r="A2234" s="62" t="n">
        <v>40103</v>
      </c>
      <c r="B2234" t="n">
        <v>5746000</v>
      </c>
      <c r="C2234" t="n">
        <v>531000</v>
      </c>
    </row>
    <row r="2235">
      <c r="A2235" s="62" t="n">
        <v>40110</v>
      </c>
      <c r="B2235" t="n">
        <v>5705000</v>
      </c>
      <c r="C2235" t="n">
        <v>530000</v>
      </c>
    </row>
    <row r="2236">
      <c r="A2236" s="62" t="n">
        <v>40117</v>
      </c>
      <c r="B2236" t="n">
        <v>5649000</v>
      </c>
      <c r="C2236" t="n">
        <v>522000</v>
      </c>
    </row>
    <row r="2237">
      <c r="A2237" s="62" t="n">
        <v>40124</v>
      </c>
      <c r="B2237" t="n">
        <v>5568000</v>
      </c>
      <c r="C2237" t="n">
        <v>512000</v>
      </c>
    </row>
    <row r="2238">
      <c r="A2238" s="62" t="n">
        <v>40131</v>
      </c>
      <c r="B2238" t="n">
        <v>5462000</v>
      </c>
      <c r="C2238" t="n">
        <v>507000</v>
      </c>
    </row>
    <row r="2239">
      <c r="A2239" s="62" t="n">
        <v>40138</v>
      </c>
      <c r="B2239" t="n">
        <v>5489000</v>
      </c>
      <c r="C2239" t="n">
        <v>482000</v>
      </c>
    </row>
    <row r="2240">
      <c r="A2240" s="62" t="n">
        <v>40145</v>
      </c>
      <c r="B2240" t="n">
        <v>5323000</v>
      </c>
      <c r="C2240" t="n">
        <v>475000</v>
      </c>
    </row>
    <row r="2241">
      <c r="A2241" s="62" t="n">
        <v>40152</v>
      </c>
      <c r="B2241" t="n">
        <v>5289000</v>
      </c>
      <c r="C2241" t="n">
        <v>497000</v>
      </c>
    </row>
    <row r="2242">
      <c r="A2242" s="62" t="n">
        <v>40159</v>
      </c>
      <c r="B2242" t="n">
        <v>5191000</v>
      </c>
      <c r="C2242" t="n">
        <v>498000</v>
      </c>
    </row>
    <row r="2243">
      <c r="A2243" s="62" t="n">
        <v>40166</v>
      </c>
      <c r="B2243" t="n">
        <v>5100000</v>
      </c>
      <c r="C2243" t="n">
        <v>479000</v>
      </c>
    </row>
    <row r="2244">
      <c r="A2244" s="62" t="n">
        <v>40173</v>
      </c>
      <c r="B2244" t="n">
        <v>4987000</v>
      </c>
      <c r="C2244" t="n">
        <v>468000</v>
      </c>
    </row>
    <row r="2245">
      <c r="A2245" s="62" t="n">
        <v>40180</v>
      </c>
      <c r="B2245" t="n">
        <v>4870000</v>
      </c>
      <c r="C2245" t="n">
        <v>456000</v>
      </c>
    </row>
    <row r="2246">
      <c r="A2246" s="62" t="n">
        <v>40187</v>
      </c>
      <c r="B2246" t="n">
        <v>4879000</v>
      </c>
      <c r="C2246" t="n">
        <v>469000</v>
      </c>
    </row>
    <row r="2247">
      <c r="A2247" s="62" t="n">
        <v>40194</v>
      </c>
      <c r="B2247" t="n">
        <v>4809000</v>
      </c>
      <c r="C2247" t="n">
        <v>507000</v>
      </c>
    </row>
    <row r="2248">
      <c r="A2248" s="62" t="n">
        <v>40201</v>
      </c>
      <c r="B2248" t="n">
        <v>4841000</v>
      </c>
      <c r="C2248" t="n">
        <v>471000</v>
      </c>
    </row>
    <row r="2249">
      <c r="A2249" s="62" t="n">
        <v>40208</v>
      </c>
      <c r="B2249" t="n">
        <v>4796000</v>
      </c>
      <c r="C2249" t="n">
        <v>496000</v>
      </c>
    </row>
    <row r="2250">
      <c r="A2250" s="62" t="n">
        <v>40215</v>
      </c>
      <c r="B2250" t="n">
        <v>4838000</v>
      </c>
      <c r="C2250" t="n">
        <v>466000</v>
      </c>
    </row>
    <row r="2251">
      <c r="A2251" s="62" t="n">
        <v>40222</v>
      </c>
      <c r="B2251" t="n">
        <v>4815000</v>
      </c>
      <c r="C2251" t="n">
        <v>489000</v>
      </c>
    </row>
    <row r="2252">
      <c r="A2252" s="62" t="n">
        <v>40229</v>
      </c>
      <c r="B2252" t="n">
        <v>4767000</v>
      </c>
      <c r="C2252" t="n">
        <v>500000</v>
      </c>
    </row>
    <row r="2253">
      <c r="A2253" s="62" t="n">
        <v>40236</v>
      </c>
      <c r="B2253" t="n">
        <v>4755000</v>
      </c>
      <c r="C2253" t="n">
        <v>488000</v>
      </c>
    </row>
    <row r="2254">
      <c r="A2254" s="62" t="n">
        <v>40243</v>
      </c>
      <c r="B2254" t="n">
        <v>4766000</v>
      </c>
      <c r="C2254" t="n">
        <v>472000</v>
      </c>
    </row>
    <row r="2255">
      <c r="A2255" s="62" t="n">
        <v>40250</v>
      </c>
      <c r="B2255" t="n">
        <v>4750000</v>
      </c>
      <c r="C2255" t="n">
        <v>478000</v>
      </c>
    </row>
    <row r="2256">
      <c r="A2256" s="62" t="n">
        <v>40257</v>
      </c>
      <c r="B2256" t="n">
        <v>4743000</v>
      </c>
      <c r="C2256" t="n">
        <v>472000</v>
      </c>
    </row>
    <row r="2257">
      <c r="A2257" s="62" t="n">
        <v>40264</v>
      </c>
      <c r="B2257" t="n">
        <v>4668000</v>
      </c>
      <c r="C2257" t="n">
        <v>459000</v>
      </c>
    </row>
    <row r="2258">
      <c r="A2258" s="62" t="n">
        <v>40271</v>
      </c>
      <c r="B2258" t="n">
        <v>4755000</v>
      </c>
      <c r="C2258" t="n">
        <v>479000</v>
      </c>
    </row>
    <row r="2259">
      <c r="A2259" s="62" t="n">
        <v>40278</v>
      </c>
      <c r="B2259" t="n">
        <v>4746000</v>
      </c>
      <c r="C2259" t="n">
        <v>479000</v>
      </c>
    </row>
    <row r="2260">
      <c r="A2260" s="62" t="n">
        <v>40285</v>
      </c>
      <c r="B2260" t="n">
        <v>4721000</v>
      </c>
      <c r="C2260" t="n">
        <v>469000</v>
      </c>
    </row>
    <row r="2261">
      <c r="A2261" s="62" t="n">
        <v>40292</v>
      </c>
      <c r="B2261" t="n">
        <v>4690000</v>
      </c>
      <c r="C2261" t="n">
        <v>449000</v>
      </c>
    </row>
    <row r="2262">
      <c r="A2262" s="62" t="n">
        <v>40299</v>
      </c>
      <c r="B2262" t="n">
        <v>4695000</v>
      </c>
      <c r="C2262" t="n">
        <v>451000</v>
      </c>
    </row>
    <row r="2263">
      <c r="A2263" s="62" t="n">
        <v>40306</v>
      </c>
      <c r="B2263" t="n">
        <v>4707000</v>
      </c>
      <c r="C2263" t="n">
        <v>451000</v>
      </c>
    </row>
    <row r="2264">
      <c r="A2264" s="62" t="n">
        <v>40313</v>
      </c>
      <c r="B2264" t="n">
        <v>4688000</v>
      </c>
      <c r="C2264" t="n">
        <v>474000</v>
      </c>
    </row>
    <row r="2265">
      <c r="A2265" s="62" t="n">
        <v>40320</v>
      </c>
      <c r="B2265" t="n">
        <v>4731000</v>
      </c>
      <c r="C2265" t="n">
        <v>463000</v>
      </c>
    </row>
    <row r="2266">
      <c r="A2266" s="62" t="n">
        <v>40327</v>
      </c>
      <c r="B2266" t="n">
        <v>4553000</v>
      </c>
      <c r="C2266" t="n">
        <v>458000</v>
      </c>
    </row>
    <row r="2267">
      <c r="A2267" s="62" t="n">
        <v>40334</v>
      </c>
      <c r="B2267" t="n">
        <v>4624000</v>
      </c>
      <c r="C2267" t="n">
        <v>459000</v>
      </c>
    </row>
    <row r="2268">
      <c r="A2268" s="62" t="n">
        <v>40341</v>
      </c>
      <c r="B2268" t="n">
        <v>4606000</v>
      </c>
      <c r="C2268" t="n">
        <v>467000</v>
      </c>
    </row>
    <row r="2269">
      <c r="A2269" s="62" t="n">
        <v>40348</v>
      </c>
      <c r="B2269" t="n">
        <v>4619000</v>
      </c>
      <c r="C2269" t="n">
        <v>452000</v>
      </c>
    </row>
    <row r="2270">
      <c r="A2270" s="62" t="n">
        <v>40355</v>
      </c>
      <c r="B2270" t="n">
        <v>4484000</v>
      </c>
      <c r="C2270" t="n">
        <v>464000</v>
      </c>
    </row>
    <row r="2271">
      <c r="A2271" s="62" t="n">
        <v>40362</v>
      </c>
      <c r="B2271" t="n">
        <v>4620000</v>
      </c>
      <c r="C2271" t="n">
        <v>454000</v>
      </c>
    </row>
    <row r="2272">
      <c r="A2272" s="62" t="n">
        <v>40369</v>
      </c>
      <c r="B2272" t="n">
        <v>4482000</v>
      </c>
      <c r="C2272" t="n">
        <v>439000</v>
      </c>
    </row>
    <row r="2273">
      <c r="A2273" s="62" t="n">
        <v>40376</v>
      </c>
      <c r="B2273" t="n">
        <v>4545000</v>
      </c>
      <c r="C2273" t="n">
        <v>462000</v>
      </c>
    </row>
    <row r="2274">
      <c r="A2274" s="62" t="n">
        <v>40383</v>
      </c>
      <c r="B2274" t="n">
        <v>4529000</v>
      </c>
      <c r="C2274" t="n">
        <v>465000</v>
      </c>
    </row>
    <row r="2275">
      <c r="A2275" s="62" t="n">
        <v>40390</v>
      </c>
      <c r="B2275" t="n">
        <v>4467000</v>
      </c>
      <c r="C2275" t="n">
        <v>476000</v>
      </c>
    </row>
    <row r="2276">
      <c r="A2276" s="62" t="n">
        <v>40397</v>
      </c>
      <c r="B2276" t="n">
        <v>4478000</v>
      </c>
      <c r="C2276" t="n">
        <v>483000</v>
      </c>
    </row>
    <row r="2277">
      <c r="A2277" s="62" t="n">
        <v>40404</v>
      </c>
      <c r="B2277" t="n">
        <v>4432000</v>
      </c>
      <c r="C2277" t="n">
        <v>486000</v>
      </c>
    </row>
    <row r="2278">
      <c r="A2278" s="62" t="n">
        <v>40411</v>
      </c>
      <c r="B2278" t="n">
        <v>4426000</v>
      </c>
      <c r="C2278" t="n">
        <v>464000</v>
      </c>
    </row>
    <row r="2279">
      <c r="A2279" s="62" t="n">
        <v>40418</v>
      </c>
      <c r="B2279" t="n">
        <v>4509000</v>
      </c>
      <c r="C2279" t="n">
        <v>467000</v>
      </c>
    </row>
    <row r="2280">
      <c r="A2280" s="62" t="n">
        <v>40425</v>
      </c>
      <c r="B2280" t="n">
        <v>4501000</v>
      </c>
      <c r="C2280" t="n">
        <v>452000</v>
      </c>
    </row>
    <row r="2281">
      <c r="A2281" s="62" t="n">
        <v>40432</v>
      </c>
      <c r="B2281" t="n">
        <v>4487000</v>
      </c>
      <c r="C2281" t="n">
        <v>444000</v>
      </c>
    </row>
    <row r="2282">
      <c r="A2282" s="62" t="n">
        <v>40439</v>
      </c>
      <c r="B2282" t="n">
        <v>4452000</v>
      </c>
      <c r="C2282" t="n">
        <v>459000</v>
      </c>
    </row>
    <row r="2283">
      <c r="A2283" s="62" t="n">
        <v>40446</v>
      </c>
      <c r="B2283" t="n">
        <v>4431000</v>
      </c>
      <c r="C2283" t="n">
        <v>459000</v>
      </c>
    </row>
    <row r="2284">
      <c r="A2284" s="62" t="n">
        <v>40453</v>
      </c>
      <c r="B2284" t="n">
        <v>4407000</v>
      </c>
      <c r="C2284" t="n">
        <v>446000</v>
      </c>
    </row>
    <row r="2285">
      <c r="A2285" s="62" t="n">
        <v>40460</v>
      </c>
      <c r="B2285" t="n">
        <v>4403000</v>
      </c>
      <c r="C2285" t="n">
        <v>459000</v>
      </c>
    </row>
    <row r="2286">
      <c r="A2286" s="62" t="n">
        <v>40467</v>
      </c>
      <c r="B2286" t="n">
        <v>4348000</v>
      </c>
      <c r="C2286" t="n">
        <v>444000</v>
      </c>
    </row>
    <row r="2287">
      <c r="A2287" s="62" t="n">
        <v>40474</v>
      </c>
      <c r="B2287" t="n">
        <v>4331000</v>
      </c>
      <c r="C2287" t="n">
        <v>432000</v>
      </c>
    </row>
    <row r="2288">
      <c r="A2288" s="62" t="n">
        <v>40481</v>
      </c>
      <c r="B2288" t="n">
        <v>4328000</v>
      </c>
      <c r="C2288" t="n">
        <v>453000</v>
      </c>
    </row>
    <row r="2289">
      <c r="A2289" s="62" t="n">
        <v>40488</v>
      </c>
      <c r="B2289" t="n">
        <v>4270000</v>
      </c>
      <c r="C2289" t="n">
        <v>434000</v>
      </c>
    </row>
    <row r="2290">
      <c r="A2290" s="62" t="n">
        <v>40495</v>
      </c>
      <c r="B2290" t="n">
        <v>4176000</v>
      </c>
      <c r="C2290" t="n">
        <v>432000</v>
      </c>
    </row>
    <row r="2291">
      <c r="A2291" s="62" t="n">
        <v>40502</v>
      </c>
      <c r="B2291" t="n">
        <v>4218000</v>
      </c>
      <c r="C2291" t="n">
        <v>407000</v>
      </c>
    </row>
    <row r="2292">
      <c r="A2292" s="62" t="n">
        <v>40509</v>
      </c>
      <c r="B2292" t="n">
        <v>4118000</v>
      </c>
      <c r="C2292" t="n">
        <v>432000</v>
      </c>
    </row>
    <row r="2293">
      <c r="A2293" s="62" t="n">
        <v>40516</v>
      </c>
      <c r="B2293" t="n">
        <v>4137000</v>
      </c>
      <c r="C2293" t="n">
        <v>428000</v>
      </c>
    </row>
    <row r="2294">
      <c r="A2294" s="62" t="n">
        <v>40523</v>
      </c>
      <c r="B2294" t="n">
        <v>4062000</v>
      </c>
      <c r="C2294" t="n">
        <v>425000</v>
      </c>
    </row>
    <row r="2295">
      <c r="A2295" s="62" t="n">
        <v>40530</v>
      </c>
      <c r="B2295" t="n">
        <v>4113000</v>
      </c>
      <c r="C2295" t="n">
        <v>424000</v>
      </c>
    </row>
    <row r="2296">
      <c r="A2296" s="62" t="n">
        <v>40537</v>
      </c>
      <c r="B2296" t="n">
        <v>4088000</v>
      </c>
      <c r="C2296" t="n">
        <v>404000</v>
      </c>
    </row>
    <row r="2297">
      <c r="A2297" s="62" t="n">
        <v>40544</v>
      </c>
      <c r="B2297" t="n">
        <v>3898000</v>
      </c>
      <c r="C2297" t="n">
        <v>413000</v>
      </c>
    </row>
    <row r="2298">
      <c r="A2298" s="62" t="n">
        <v>40551</v>
      </c>
      <c r="B2298" t="n">
        <v>3907000</v>
      </c>
      <c r="C2298" t="n">
        <v>434000</v>
      </c>
    </row>
    <row r="2299">
      <c r="A2299" s="62" t="n">
        <v>40558</v>
      </c>
      <c r="B2299" t="n">
        <v>3974000</v>
      </c>
      <c r="C2299" t="n">
        <v>421000</v>
      </c>
    </row>
    <row r="2300">
      <c r="A2300" s="62" t="n">
        <v>40565</v>
      </c>
      <c r="B2300" t="n">
        <v>3926000</v>
      </c>
      <c r="C2300" t="n">
        <v>446000</v>
      </c>
    </row>
    <row r="2301">
      <c r="A2301" s="62" t="n">
        <v>40572</v>
      </c>
      <c r="B2301" t="n">
        <v>3887000</v>
      </c>
      <c r="C2301" t="n">
        <v>420000</v>
      </c>
    </row>
    <row r="2302">
      <c r="A2302" s="62" t="n">
        <v>40579</v>
      </c>
      <c r="B2302" t="n">
        <v>3928000</v>
      </c>
      <c r="C2302" t="n">
        <v>402000</v>
      </c>
    </row>
    <row r="2303">
      <c r="A2303" s="62" t="n">
        <v>40586</v>
      </c>
      <c r="B2303" t="n">
        <v>3839000</v>
      </c>
      <c r="C2303" t="n">
        <v>425000</v>
      </c>
    </row>
    <row r="2304">
      <c r="A2304" s="62" t="n">
        <v>40593</v>
      </c>
      <c r="B2304" t="n">
        <v>3821000</v>
      </c>
      <c r="C2304" t="n">
        <v>394000</v>
      </c>
    </row>
    <row r="2305">
      <c r="A2305" s="62" t="n">
        <v>40600</v>
      </c>
      <c r="B2305" t="n">
        <v>3809000</v>
      </c>
      <c r="C2305" t="n">
        <v>385000</v>
      </c>
    </row>
    <row r="2306">
      <c r="A2306" s="62" t="n">
        <v>40607</v>
      </c>
      <c r="B2306" t="n">
        <v>3772000</v>
      </c>
      <c r="C2306" t="n">
        <v>414000</v>
      </c>
    </row>
    <row r="2307">
      <c r="A2307" s="62" t="n">
        <v>40614</v>
      </c>
      <c r="B2307" t="n">
        <v>3772000</v>
      </c>
      <c r="C2307" t="n">
        <v>404000</v>
      </c>
    </row>
    <row r="2308">
      <c r="A2308" s="62" t="n">
        <v>40621</v>
      </c>
      <c r="B2308" t="n">
        <v>3752000</v>
      </c>
      <c r="C2308" t="n">
        <v>407000</v>
      </c>
    </row>
    <row r="2309">
      <c r="A2309" s="62" t="n">
        <v>40628</v>
      </c>
      <c r="B2309" t="n">
        <v>3766000</v>
      </c>
      <c r="C2309" t="n">
        <v>399000</v>
      </c>
    </row>
    <row r="2310">
      <c r="A2310" s="62" t="n">
        <v>40635</v>
      </c>
      <c r="B2310" t="n">
        <v>3756000</v>
      </c>
      <c r="C2310" t="n">
        <v>395000</v>
      </c>
    </row>
    <row r="2311">
      <c r="A2311" s="62" t="n">
        <v>40642</v>
      </c>
      <c r="B2311" t="n">
        <v>3751000</v>
      </c>
      <c r="C2311" t="n">
        <v>416000</v>
      </c>
    </row>
    <row r="2312">
      <c r="A2312" s="62" t="n">
        <v>40649</v>
      </c>
      <c r="B2312" t="n">
        <v>3717000</v>
      </c>
      <c r="C2312" t="n">
        <v>402000</v>
      </c>
    </row>
    <row r="2313">
      <c r="A2313" s="62" t="n">
        <v>40656</v>
      </c>
      <c r="B2313" t="n">
        <v>3796000</v>
      </c>
      <c r="C2313" t="n">
        <v>422000</v>
      </c>
    </row>
    <row r="2314">
      <c r="A2314" s="62" t="n">
        <v>40663</v>
      </c>
      <c r="B2314" t="n">
        <v>3834000</v>
      </c>
      <c r="C2314" t="n">
        <v>468000</v>
      </c>
    </row>
    <row r="2315">
      <c r="A2315" s="62" t="n">
        <v>40670</v>
      </c>
      <c r="B2315" t="n">
        <v>3787000</v>
      </c>
      <c r="C2315" t="n">
        <v>435000</v>
      </c>
    </row>
    <row r="2316">
      <c r="A2316" s="62" t="n">
        <v>40677</v>
      </c>
      <c r="B2316" t="n">
        <v>3781000</v>
      </c>
      <c r="C2316" t="n">
        <v>414000</v>
      </c>
    </row>
    <row r="2317">
      <c r="A2317" s="62" t="n">
        <v>40684</v>
      </c>
      <c r="B2317" t="n">
        <v>3799000</v>
      </c>
      <c r="C2317" t="n">
        <v>423000</v>
      </c>
    </row>
    <row r="2318">
      <c r="A2318" s="62" t="n">
        <v>40691</v>
      </c>
      <c r="B2318" t="n">
        <v>3728000</v>
      </c>
      <c r="C2318" t="n">
        <v>418000</v>
      </c>
    </row>
    <row r="2319">
      <c r="A2319" s="62" t="n">
        <v>40698</v>
      </c>
      <c r="B2319" t="n">
        <v>3750000</v>
      </c>
      <c r="C2319" t="n">
        <v>423000</v>
      </c>
    </row>
    <row r="2320">
      <c r="A2320" s="62" t="n">
        <v>40705</v>
      </c>
      <c r="B2320" t="n">
        <v>3746000</v>
      </c>
      <c r="C2320" t="n">
        <v>413000</v>
      </c>
    </row>
    <row r="2321">
      <c r="A2321" s="62" t="n">
        <v>40712</v>
      </c>
      <c r="B2321" t="n">
        <v>3752000</v>
      </c>
      <c r="C2321" t="n">
        <v>416000</v>
      </c>
    </row>
    <row r="2322">
      <c r="A2322" s="62" t="n">
        <v>40719</v>
      </c>
      <c r="B2322" t="n">
        <v>3719000</v>
      </c>
      <c r="C2322" t="n">
        <v>421000</v>
      </c>
    </row>
    <row r="2323">
      <c r="A2323" s="62" t="n">
        <v>40726</v>
      </c>
      <c r="B2323" t="n">
        <v>3733000</v>
      </c>
      <c r="C2323" t="n">
        <v>418000</v>
      </c>
    </row>
    <row r="2324">
      <c r="A2324" s="62" t="n">
        <v>40733</v>
      </c>
      <c r="B2324" t="n">
        <v>3724000</v>
      </c>
      <c r="C2324" t="n">
        <v>408000</v>
      </c>
    </row>
    <row r="2325">
      <c r="A2325" s="62" t="n">
        <v>40740</v>
      </c>
      <c r="B2325" t="n">
        <v>3734000</v>
      </c>
      <c r="C2325" t="n">
        <v>420000</v>
      </c>
    </row>
    <row r="2326">
      <c r="A2326" s="62" t="n">
        <v>40747</v>
      </c>
      <c r="B2326" t="n">
        <v>3741000</v>
      </c>
      <c r="C2326" t="n">
        <v>411000</v>
      </c>
    </row>
    <row r="2327">
      <c r="A2327" s="62" t="n">
        <v>40754</v>
      </c>
      <c r="B2327" t="n">
        <v>3676000</v>
      </c>
      <c r="C2327" t="n">
        <v>406000</v>
      </c>
    </row>
    <row r="2328">
      <c r="A2328" s="62" t="n">
        <v>40761</v>
      </c>
      <c r="B2328" t="n">
        <v>3709000</v>
      </c>
      <c r="C2328" t="n">
        <v>405000</v>
      </c>
    </row>
    <row r="2329">
      <c r="A2329" s="62" t="n">
        <v>40768</v>
      </c>
      <c r="B2329" t="n">
        <v>3717000</v>
      </c>
      <c r="C2329" t="n">
        <v>409000</v>
      </c>
    </row>
    <row r="2330">
      <c r="A2330" s="62" t="n">
        <v>40775</v>
      </c>
      <c r="B2330" t="n">
        <v>3715000</v>
      </c>
      <c r="C2330" t="n">
        <v>415000</v>
      </c>
    </row>
    <row r="2331">
      <c r="A2331" s="62" t="n">
        <v>40782</v>
      </c>
      <c r="B2331" t="n">
        <v>3723000</v>
      </c>
      <c r="C2331" t="n">
        <v>409000</v>
      </c>
    </row>
    <row r="2332">
      <c r="A2332" s="62" t="n">
        <v>40789</v>
      </c>
      <c r="B2332" t="n">
        <v>3759000</v>
      </c>
      <c r="C2332" t="n">
        <v>414000</v>
      </c>
    </row>
    <row r="2333">
      <c r="A2333" s="62" t="n">
        <v>40796</v>
      </c>
      <c r="B2333" t="n">
        <v>3758000</v>
      </c>
      <c r="C2333" t="n">
        <v>429000</v>
      </c>
    </row>
    <row r="2334">
      <c r="A2334" s="62" t="n">
        <v>40803</v>
      </c>
      <c r="B2334" t="n">
        <v>3747000</v>
      </c>
      <c r="C2334" t="n">
        <v>422000</v>
      </c>
    </row>
    <row r="2335">
      <c r="A2335" s="62" t="n">
        <v>40810</v>
      </c>
      <c r="B2335" t="n">
        <v>3707000</v>
      </c>
      <c r="C2335" t="n">
        <v>406000</v>
      </c>
    </row>
    <row r="2336">
      <c r="A2336" s="62" t="n">
        <v>40817</v>
      </c>
      <c r="B2336" t="n">
        <v>3697000</v>
      </c>
      <c r="C2336" t="n">
        <v>405000</v>
      </c>
    </row>
    <row r="2337">
      <c r="A2337" s="62" t="n">
        <v>40824</v>
      </c>
      <c r="B2337" t="n">
        <v>3731000</v>
      </c>
      <c r="C2337" t="n">
        <v>410000</v>
      </c>
    </row>
    <row r="2338">
      <c r="A2338" s="62" t="n">
        <v>40831</v>
      </c>
      <c r="B2338" t="n">
        <v>3704000</v>
      </c>
      <c r="C2338" t="n">
        <v>395000</v>
      </c>
    </row>
    <row r="2339">
      <c r="A2339" s="62" t="n">
        <v>40838</v>
      </c>
      <c r="B2339" t="n">
        <v>3699000</v>
      </c>
      <c r="C2339" t="n">
        <v>403000</v>
      </c>
    </row>
    <row r="2340">
      <c r="A2340" s="62" t="n">
        <v>40845</v>
      </c>
      <c r="B2340" t="n">
        <v>3677000</v>
      </c>
      <c r="C2340" t="n">
        <v>399000</v>
      </c>
    </row>
    <row r="2341">
      <c r="A2341" s="62" t="n">
        <v>40852</v>
      </c>
      <c r="B2341" t="n">
        <v>3603000</v>
      </c>
      <c r="C2341" t="n">
        <v>392000</v>
      </c>
    </row>
    <row r="2342">
      <c r="A2342" s="62" t="n">
        <v>40859</v>
      </c>
      <c r="B2342" t="n">
        <v>3676000</v>
      </c>
      <c r="C2342" t="n">
        <v>383000</v>
      </c>
    </row>
    <row r="2343">
      <c r="A2343" s="62" t="n">
        <v>40866</v>
      </c>
      <c r="B2343" t="n">
        <v>3739000</v>
      </c>
      <c r="C2343" t="n">
        <v>385000</v>
      </c>
    </row>
    <row r="2344">
      <c r="A2344" s="62" t="n">
        <v>40873</v>
      </c>
      <c r="B2344" t="n">
        <v>3592000</v>
      </c>
      <c r="C2344" t="n">
        <v>397000</v>
      </c>
    </row>
    <row r="2345">
      <c r="A2345" s="62" t="n">
        <v>40880</v>
      </c>
      <c r="B2345" t="n">
        <v>3595000</v>
      </c>
      <c r="C2345" t="n">
        <v>387000</v>
      </c>
    </row>
    <row r="2346">
      <c r="A2346" s="62" t="n">
        <v>40887</v>
      </c>
      <c r="B2346" t="n">
        <v>3543000</v>
      </c>
      <c r="C2346" t="n">
        <v>368000</v>
      </c>
    </row>
    <row r="2347">
      <c r="A2347" s="62" t="n">
        <v>40894</v>
      </c>
      <c r="B2347" t="n">
        <v>3588000</v>
      </c>
      <c r="C2347" t="n">
        <v>368000</v>
      </c>
    </row>
    <row r="2348">
      <c r="A2348" s="62" t="n">
        <v>40901</v>
      </c>
      <c r="B2348" t="n">
        <v>3575000</v>
      </c>
      <c r="C2348" t="n">
        <v>386000</v>
      </c>
    </row>
    <row r="2349">
      <c r="A2349" s="62" t="n">
        <v>40908</v>
      </c>
      <c r="B2349" t="n">
        <v>3566000</v>
      </c>
      <c r="C2349" t="n">
        <v>376000</v>
      </c>
    </row>
    <row r="2350">
      <c r="A2350" s="62" t="n">
        <v>40915</v>
      </c>
      <c r="B2350" t="n">
        <v>3421000</v>
      </c>
      <c r="C2350" t="n">
        <v>391000</v>
      </c>
    </row>
    <row r="2351">
      <c r="A2351" s="62" t="n">
        <v>40922</v>
      </c>
      <c r="B2351" t="n">
        <v>3511000</v>
      </c>
      <c r="C2351" t="n">
        <v>367000</v>
      </c>
    </row>
    <row r="2352">
      <c r="A2352" s="62" t="n">
        <v>40929</v>
      </c>
      <c r="B2352" t="n">
        <v>3419000</v>
      </c>
      <c r="C2352" t="n">
        <v>381000</v>
      </c>
    </row>
    <row r="2353">
      <c r="A2353" s="62" t="n">
        <v>40936</v>
      </c>
      <c r="B2353" t="n">
        <v>3454000</v>
      </c>
      <c r="C2353" t="n">
        <v>372000</v>
      </c>
    </row>
    <row r="2354">
      <c r="A2354" s="62" t="n">
        <v>40943</v>
      </c>
      <c r="B2354" t="n">
        <v>3391000</v>
      </c>
      <c r="C2354" t="n">
        <v>368000</v>
      </c>
    </row>
    <row r="2355">
      <c r="A2355" s="62" t="n">
        <v>40950</v>
      </c>
      <c r="B2355" t="n">
        <v>3362000</v>
      </c>
      <c r="C2355" t="n">
        <v>361000</v>
      </c>
    </row>
    <row r="2356">
      <c r="A2356" s="62" t="n">
        <v>40957</v>
      </c>
      <c r="B2356" t="n">
        <v>3382000</v>
      </c>
      <c r="C2356" t="n">
        <v>359000</v>
      </c>
    </row>
    <row r="2357">
      <c r="A2357" s="62" t="n">
        <v>40964</v>
      </c>
      <c r="B2357" t="n">
        <v>3392000</v>
      </c>
      <c r="C2357" t="n">
        <v>365000</v>
      </c>
    </row>
    <row r="2358">
      <c r="A2358" s="62" t="n">
        <v>40971</v>
      </c>
      <c r="B2358" t="n">
        <v>3367000</v>
      </c>
      <c r="C2358" t="n">
        <v>375000</v>
      </c>
    </row>
    <row r="2359">
      <c r="A2359" s="62" t="n">
        <v>40978</v>
      </c>
      <c r="B2359" t="n">
        <v>3353000</v>
      </c>
      <c r="C2359" t="n">
        <v>369000</v>
      </c>
    </row>
    <row r="2360">
      <c r="A2360" s="62" t="n">
        <v>40985</v>
      </c>
      <c r="B2360" t="n">
        <v>3342000</v>
      </c>
      <c r="C2360" t="n">
        <v>368000</v>
      </c>
    </row>
    <row r="2361">
      <c r="A2361" s="62" t="n">
        <v>40992</v>
      </c>
      <c r="B2361" t="n">
        <v>3336000</v>
      </c>
      <c r="C2361" t="n">
        <v>363000</v>
      </c>
    </row>
    <row r="2362">
      <c r="A2362" s="62" t="n">
        <v>40999</v>
      </c>
      <c r="B2362" t="n">
        <v>3286000</v>
      </c>
      <c r="C2362" t="n">
        <v>358000</v>
      </c>
    </row>
    <row r="2363">
      <c r="A2363" s="62" t="n">
        <v>41006</v>
      </c>
      <c r="B2363" t="n">
        <v>3325000</v>
      </c>
      <c r="C2363" t="n">
        <v>387000</v>
      </c>
    </row>
    <row r="2364">
      <c r="A2364" s="62" t="n">
        <v>41013</v>
      </c>
      <c r="B2364" t="n">
        <v>3355000</v>
      </c>
      <c r="C2364" t="n">
        <v>381000</v>
      </c>
    </row>
    <row r="2365">
      <c r="A2365" s="62" t="n">
        <v>41020</v>
      </c>
      <c r="B2365" t="n">
        <v>3316000</v>
      </c>
      <c r="C2365" t="n">
        <v>387000</v>
      </c>
    </row>
    <row r="2366">
      <c r="A2366" s="62" t="n">
        <v>41027</v>
      </c>
      <c r="B2366" t="n">
        <v>3296000</v>
      </c>
      <c r="C2366" t="n">
        <v>372000</v>
      </c>
    </row>
    <row r="2367">
      <c r="A2367" s="62" t="n">
        <v>41034</v>
      </c>
      <c r="B2367" t="n">
        <v>3326000</v>
      </c>
      <c r="C2367" t="n">
        <v>373000</v>
      </c>
    </row>
    <row r="2368">
      <c r="A2368" s="62" t="n">
        <v>41041</v>
      </c>
      <c r="B2368" t="n">
        <v>3334000</v>
      </c>
      <c r="C2368" t="n">
        <v>369000</v>
      </c>
    </row>
    <row r="2369">
      <c r="A2369" s="62" t="n">
        <v>41048</v>
      </c>
      <c r="B2369" t="n">
        <v>3301000</v>
      </c>
      <c r="C2369" t="n">
        <v>371000</v>
      </c>
    </row>
    <row r="2370">
      <c r="A2370" s="62" t="n">
        <v>41055</v>
      </c>
      <c r="B2370" t="n">
        <v>3351000</v>
      </c>
      <c r="C2370" t="n">
        <v>381000</v>
      </c>
    </row>
    <row r="2371">
      <c r="A2371" s="62" t="n">
        <v>41062</v>
      </c>
      <c r="B2371" t="n">
        <v>3327000</v>
      </c>
      <c r="C2371" t="n">
        <v>377000</v>
      </c>
    </row>
    <row r="2372">
      <c r="A2372" s="62" t="n">
        <v>41069</v>
      </c>
      <c r="B2372" t="n">
        <v>3343000</v>
      </c>
      <c r="C2372" t="n">
        <v>383000</v>
      </c>
    </row>
    <row r="2373">
      <c r="A2373" s="62" t="n">
        <v>41076</v>
      </c>
      <c r="B2373" t="n">
        <v>3323000</v>
      </c>
      <c r="C2373" t="n">
        <v>384000</v>
      </c>
    </row>
    <row r="2374">
      <c r="A2374" s="62" t="n">
        <v>41083</v>
      </c>
      <c r="B2374" t="n">
        <v>3325000</v>
      </c>
      <c r="C2374" t="n">
        <v>380000</v>
      </c>
    </row>
    <row r="2375">
      <c r="A2375" s="62" t="n">
        <v>41090</v>
      </c>
      <c r="B2375" t="n">
        <v>3304000</v>
      </c>
      <c r="C2375" t="n">
        <v>372000</v>
      </c>
    </row>
    <row r="2376">
      <c r="A2376" s="62" t="n">
        <v>41097</v>
      </c>
      <c r="B2376" t="n">
        <v>3314000</v>
      </c>
      <c r="C2376" t="n">
        <v>360000</v>
      </c>
    </row>
    <row r="2377">
      <c r="A2377" s="62" t="n">
        <v>41104</v>
      </c>
      <c r="B2377" t="n">
        <v>3307000</v>
      </c>
      <c r="C2377" t="n">
        <v>390000</v>
      </c>
    </row>
    <row r="2378">
      <c r="A2378" s="62" t="n">
        <v>41111</v>
      </c>
      <c r="B2378" t="n">
        <v>3290000</v>
      </c>
      <c r="C2378" t="n">
        <v>368000</v>
      </c>
    </row>
    <row r="2379">
      <c r="A2379" s="62" t="n">
        <v>41118</v>
      </c>
      <c r="B2379" t="n">
        <v>3312000</v>
      </c>
      <c r="C2379" t="n">
        <v>372000</v>
      </c>
    </row>
    <row r="2380">
      <c r="A2380" s="62" t="n">
        <v>41125</v>
      </c>
      <c r="B2380" t="n">
        <v>3302000</v>
      </c>
      <c r="C2380" t="n">
        <v>371000</v>
      </c>
    </row>
    <row r="2381">
      <c r="A2381" s="62" t="n">
        <v>41132</v>
      </c>
      <c r="B2381" t="n">
        <v>3296000</v>
      </c>
      <c r="C2381" t="n">
        <v>369000</v>
      </c>
    </row>
    <row r="2382">
      <c r="A2382" s="62" t="n">
        <v>41139</v>
      </c>
      <c r="B2382" t="n">
        <v>3306000</v>
      </c>
      <c r="C2382" t="n">
        <v>376000</v>
      </c>
    </row>
    <row r="2383">
      <c r="A2383" s="62" t="n">
        <v>41146</v>
      </c>
      <c r="B2383" t="n">
        <v>3321000</v>
      </c>
      <c r="C2383" t="n">
        <v>377000</v>
      </c>
    </row>
    <row r="2384">
      <c r="A2384" s="62" t="n">
        <v>41153</v>
      </c>
      <c r="B2384" t="n">
        <v>3327000</v>
      </c>
      <c r="C2384" t="n">
        <v>371000</v>
      </c>
    </row>
    <row r="2385">
      <c r="A2385" s="62" t="n">
        <v>41160</v>
      </c>
      <c r="B2385" t="n">
        <v>3312000</v>
      </c>
      <c r="C2385" t="n">
        <v>393000</v>
      </c>
    </row>
    <row r="2386">
      <c r="A2386" s="62" t="n">
        <v>41167</v>
      </c>
      <c r="B2386" t="n">
        <v>3316000</v>
      </c>
      <c r="C2386" t="n">
        <v>392000</v>
      </c>
    </row>
    <row r="2387">
      <c r="A2387" s="62" t="n">
        <v>41174</v>
      </c>
      <c r="B2387" t="n">
        <v>3308000</v>
      </c>
      <c r="C2387" t="n">
        <v>377000</v>
      </c>
    </row>
    <row r="2388">
      <c r="A2388" s="62" t="n">
        <v>41181</v>
      </c>
      <c r="B2388" t="n">
        <v>3309000</v>
      </c>
      <c r="C2388" t="n">
        <v>376000</v>
      </c>
    </row>
    <row r="2389">
      <c r="A2389" s="62" t="n">
        <v>41188</v>
      </c>
      <c r="B2389" t="n">
        <v>3295000</v>
      </c>
      <c r="C2389" t="n">
        <v>350000</v>
      </c>
    </row>
    <row r="2390">
      <c r="A2390" s="62" t="n">
        <v>41195</v>
      </c>
      <c r="B2390" t="n">
        <v>3302000</v>
      </c>
      <c r="C2390" t="n">
        <v>386000</v>
      </c>
    </row>
    <row r="2391">
      <c r="A2391" s="62" t="n">
        <v>41202</v>
      </c>
      <c r="B2391" t="n">
        <v>3285000</v>
      </c>
      <c r="C2391" t="n">
        <v>374000</v>
      </c>
    </row>
    <row r="2392">
      <c r="A2392" s="62" t="n">
        <v>41209</v>
      </c>
      <c r="B2392" t="n">
        <v>3223000</v>
      </c>
      <c r="C2392" t="n">
        <v>364000</v>
      </c>
    </row>
    <row r="2393">
      <c r="A2393" s="62" t="n">
        <v>41216</v>
      </c>
      <c r="B2393" t="n">
        <v>3368000</v>
      </c>
      <c r="C2393" t="n">
        <v>365000</v>
      </c>
    </row>
    <row r="2394">
      <c r="A2394" s="62" t="n">
        <v>41223</v>
      </c>
      <c r="B2394" t="n">
        <v>3364000</v>
      </c>
      <c r="C2394" t="n">
        <v>446000</v>
      </c>
    </row>
    <row r="2395">
      <c r="A2395" s="62" t="n">
        <v>41230</v>
      </c>
      <c r="B2395" t="n">
        <v>3325000</v>
      </c>
      <c r="C2395" t="n">
        <v>406000</v>
      </c>
    </row>
    <row r="2396">
      <c r="A2396" s="62" t="n">
        <v>41237</v>
      </c>
      <c r="B2396" t="n">
        <v>3248000</v>
      </c>
      <c r="C2396" t="n">
        <v>388000</v>
      </c>
    </row>
    <row r="2397">
      <c r="A2397" s="62" t="n">
        <v>41244</v>
      </c>
      <c r="B2397" t="n">
        <v>3195000</v>
      </c>
      <c r="C2397" t="n">
        <v>375000</v>
      </c>
    </row>
    <row r="2398">
      <c r="A2398" s="62" t="n">
        <v>41251</v>
      </c>
      <c r="B2398" t="n">
        <v>3229000</v>
      </c>
      <c r="C2398" t="n">
        <v>340000</v>
      </c>
    </row>
    <row r="2399">
      <c r="A2399" s="62" t="n">
        <v>41258</v>
      </c>
      <c r="B2399" t="n">
        <v>3179000</v>
      </c>
      <c r="C2399" t="n">
        <v>356000</v>
      </c>
    </row>
    <row r="2400">
      <c r="A2400" s="62" t="n">
        <v>41265</v>
      </c>
      <c r="B2400" t="n">
        <v>3221000</v>
      </c>
      <c r="C2400" t="n">
        <v>362000</v>
      </c>
    </row>
    <row r="2401">
      <c r="A2401" s="62" t="n">
        <v>41272</v>
      </c>
      <c r="B2401" t="n">
        <v>3127000</v>
      </c>
      <c r="C2401" t="n">
        <v>362000</v>
      </c>
    </row>
    <row r="2402">
      <c r="A2402" s="62" t="n">
        <v>41279</v>
      </c>
      <c r="B2402" t="n">
        <v>3147000</v>
      </c>
      <c r="C2402" t="n">
        <v>363000</v>
      </c>
    </row>
    <row r="2403">
      <c r="A2403" s="62" t="n">
        <v>41286</v>
      </c>
      <c r="B2403" t="n">
        <v>3108000</v>
      </c>
      <c r="C2403" t="n">
        <v>344000</v>
      </c>
    </row>
    <row r="2404">
      <c r="A2404" s="62" t="n">
        <v>41293</v>
      </c>
      <c r="B2404" t="n">
        <v>3138000</v>
      </c>
      <c r="C2404" t="n">
        <v>339000</v>
      </c>
    </row>
    <row r="2405">
      <c r="A2405" s="62" t="n">
        <v>41300</v>
      </c>
      <c r="B2405" t="n">
        <v>3138000</v>
      </c>
      <c r="C2405" t="n">
        <v>366000</v>
      </c>
    </row>
    <row r="2406">
      <c r="A2406" s="62" t="n">
        <v>41307</v>
      </c>
      <c r="B2406" t="n">
        <v>3075000</v>
      </c>
      <c r="C2406" t="n">
        <v>361000</v>
      </c>
    </row>
    <row r="2407">
      <c r="A2407" s="62" t="n">
        <v>41314</v>
      </c>
      <c r="B2407" t="n">
        <v>3081000</v>
      </c>
      <c r="C2407" t="n">
        <v>347000</v>
      </c>
    </row>
    <row r="2408">
      <c r="A2408" s="62" t="n">
        <v>41321</v>
      </c>
      <c r="B2408" t="n">
        <v>3036000</v>
      </c>
      <c r="C2408" t="n">
        <v>362000</v>
      </c>
    </row>
    <row r="2409">
      <c r="A2409" s="62" t="n">
        <v>41328</v>
      </c>
      <c r="B2409" t="n">
        <v>3043000</v>
      </c>
      <c r="C2409" t="n">
        <v>342000</v>
      </c>
    </row>
    <row r="2410">
      <c r="A2410" s="62" t="n">
        <v>41335</v>
      </c>
      <c r="B2410" t="n">
        <v>3011000</v>
      </c>
      <c r="C2410" t="n">
        <v>340000</v>
      </c>
    </row>
    <row r="2411">
      <c r="A2411" s="62" t="n">
        <v>41342</v>
      </c>
      <c r="B2411" t="n">
        <v>3024000</v>
      </c>
      <c r="C2411" t="n">
        <v>343000</v>
      </c>
    </row>
    <row r="2412">
      <c r="A2412" s="62" t="n">
        <v>41349</v>
      </c>
      <c r="B2412" t="n">
        <v>3028000</v>
      </c>
      <c r="C2412" t="n">
        <v>343000</v>
      </c>
    </row>
    <row r="2413">
      <c r="A2413" s="62" t="n">
        <v>41356</v>
      </c>
      <c r="B2413" t="n">
        <v>3046000</v>
      </c>
      <c r="C2413" t="n">
        <v>358000</v>
      </c>
    </row>
    <row r="2414">
      <c r="A2414" s="62" t="n">
        <v>41363</v>
      </c>
      <c r="B2414" t="n">
        <v>3080000</v>
      </c>
      <c r="C2414" t="n">
        <v>375000</v>
      </c>
    </row>
    <row r="2415">
      <c r="A2415" s="62" t="n">
        <v>41370</v>
      </c>
      <c r="B2415" t="n">
        <v>3076000</v>
      </c>
      <c r="C2415" t="n">
        <v>359000</v>
      </c>
    </row>
    <row r="2416">
      <c r="A2416" s="62" t="n">
        <v>41377</v>
      </c>
      <c r="B2416" t="n">
        <v>3024000</v>
      </c>
      <c r="C2416" t="n">
        <v>356000</v>
      </c>
    </row>
    <row r="2417">
      <c r="A2417" s="62" t="n">
        <v>41384</v>
      </c>
      <c r="B2417" t="n">
        <v>3027000</v>
      </c>
      <c r="C2417" t="n">
        <v>343000</v>
      </c>
    </row>
    <row r="2418">
      <c r="A2418" s="62" t="n">
        <v>41391</v>
      </c>
      <c r="B2418" t="n">
        <v>3039000</v>
      </c>
      <c r="C2418" t="n">
        <v>331000</v>
      </c>
    </row>
    <row r="2419">
      <c r="A2419" s="62" t="n">
        <v>41398</v>
      </c>
      <c r="B2419" t="n">
        <v>3042000</v>
      </c>
      <c r="C2419" t="n">
        <v>335000</v>
      </c>
    </row>
    <row r="2420">
      <c r="A2420" s="62" t="n">
        <v>41405</v>
      </c>
      <c r="B2420" t="n">
        <v>2975000</v>
      </c>
      <c r="C2420" t="n">
        <v>360000</v>
      </c>
    </row>
    <row r="2421">
      <c r="A2421" s="62" t="n">
        <v>41412</v>
      </c>
      <c r="B2421" t="n">
        <v>3020000</v>
      </c>
      <c r="C2421" t="n">
        <v>343000</v>
      </c>
    </row>
    <row r="2422">
      <c r="A2422" s="62" t="n">
        <v>41419</v>
      </c>
      <c r="B2422" t="n">
        <v>3012000</v>
      </c>
      <c r="C2422" t="n">
        <v>353000</v>
      </c>
    </row>
    <row r="2423">
      <c r="A2423" s="62" t="n">
        <v>41426</v>
      </c>
      <c r="B2423" t="n">
        <v>2999000</v>
      </c>
      <c r="C2423" t="n">
        <v>346000</v>
      </c>
    </row>
    <row r="2424">
      <c r="A2424" s="62" t="n">
        <v>41433</v>
      </c>
      <c r="B2424" t="n">
        <v>3004000</v>
      </c>
      <c r="C2424" t="n">
        <v>337000</v>
      </c>
    </row>
    <row r="2425">
      <c r="A2425" s="62" t="n">
        <v>41440</v>
      </c>
      <c r="B2425" t="n">
        <v>2996000</v>
      </c>
      <c r="C2425" t="n">
        <v>353000</v>
      </c>
    </row>
    <row r="2426">
      <c r="A2426" s="62" t="n">
        <v>41447</v>
      </c>
      <c r="B2426" t="n">
        <v>2962000</v>
      </c>
      <c r="C2426" t="n">
        <v>347000</v>
      </c>
    </row>
    <row r="2427">
      <c r="A2427" s="62" t="n">
        <v>41454</v>
      </c>
      <c r="B2427" t="n">
        <v>3003000</v>
      </c>
      <c r="C2427" t="n">
        <v>340000</v>
      </c>
    </row>
    <row r="2428">
      <c r="A2428" s="62" t="n">
        <v>41461</v>
      </c>
      <c r="B2428" t="n">
        <v>3113000</v>
      </c>
      <c r="C2428" t="n">
        <v>351000</v>
      </c>
    </row>
    <row r="2429">
      <c r="A2429" s="62" t="n">
        <v>41468</v>
      </c>
      <c r="B2429" t="n">
        <v>3011000</v>
      </c>
      <c r="C2429" t="n">
        <v>344000</v>
      </c>
    </row>
    <row r="2430">
      <c r="A2430" s="62" t="n">
        <v>41475</v>
      </c>
      <c r="B2430" t="n">
        <v>2947000</v>
      </c>
      <c r="C2430" t="n">
        <v>355000</v>
      </c>
    </row>
    <row r="2431">
      <c r="A2431" s="62" t="n">
        <v>41482</v>
      </c>
      <c r="B2431" t="n">
        <v>3010000</v>
      </c>
      <c r="C2431" t="n">
        <v>334000</v>
      </c>
    </row>
    <row r="2432">
      <c r="A2432" s="62" t="n">
        <v>41489</v>
      </c>
      <c r="B2432" t="n">
        <v>2944000</v>
      </c>
      <c r="C2432" t="n">
        <v>339000</v>
      </c>
    </row>
    <row r="2433">
      <c r="A2433" s="62" t="n">
        <v>41496</v>
      </c>
      <c r="B2433" t="n">
        <v>2987000</v>
      </c>
      <c r="C2433" t="n">
        <v>327000</v>
      </c>
    </row>
    <row r="2434">
      <c r="A2434" s="62" t="n">
        <v>41503</v>
      </c>
      <c r="B2434" t="n">
        <v>2968000</v>
      </c>
      <c r="C2434" t="n">
        <v>340000</v>
      </c>
    </row>
    <row r="2435">
      <c r="A2435" s="62" t="n">
        <v>41510</v>
      </c>
      <c r="B2435" t="n">
        <v>2934000</v>
      </c>
      <c r="C2435" t="n">
        <v>336000</v>
      </c>
    </row>
    <row r="2436">
      <c r="A2436" s="62" t="n">
        <v>41517</v>
      </c>
      <c r="B2436" t="n">
        <v>2839000</v>
      </c>
      <c r="C2436" t="n">
        <v>325000</v>
      </c>
    </row>
    <row r="2437">
      <c r="A2437" s="62" t="n">
        <v>41524</v>
      </c>
      <c r="B2437" t="n">
        <v>2822000</v>
      </c>
      <c r="C2437" t="n">
        <v>300000</v>
      </c>
    </row>
    <row r="2438">
      <c r="A2438" s="62" t="n">
        <v>41531</v>
      </c>
      <c r="B2438" t="n">
        <v>2863000</v>
      </c>
      <c r="C2438" t="n">
        <v>323000</v>
      </c>
    </row>
    <row r="2439">
      <c r="A2439" s="62" t="n">
        <v>41538</v>
      </c>
      <c r="B2439" t="n">
        <v>2954000</v>
      </c>
      <c r="C2439" t="n">
        <v>314000</v>
      </c>
    </row>
    <row r="2440">
      <c r="A2440" s="62" t="n">
        <v>41545</v>
      </c>
      <c r="B2440" t="n">
        <v>2944000</v>
      </c>
      <c r="C2440" t="n">
        <v>319000</v>
      </c>
    </row>
    <row r="2441">
      <c r="A2441" s="62" t="n">
        <v>41552</v>
      </c>
      <c r="B2441" t="n">
        <v>2929000</v>
      </c>
      <c r="C2441" t="n">
        <v>368000</v>
      </c>
    </row>
    <row r="2442">
      <c r="A2442" s="62" t="n">
        <v>41559</v>
      </c>
      <c r="B2442" t="n">
        <v>2925000</v>
      </c>
      <c r="C2442" t="n">
        <v>368000</v>
      </c>
    </row>
    <row r="2443">
      <c r="A2443" s="62" t="n">
        <v>41566</v>
      </c>
      <c r="B2443" t="n">
        <v>2933000</v>
      </c>
      <c r="C2443" t="n">
        <v>351000</v>
      </c>
    </row>
    <row r="2444">
      <c r="A2444" s="62" t="n">
        <v>41573</v>
      </c>
      <c r="B2444" t="n">
        <v>2927000</v>
      </c>
      <c r="C2444" t="n">
        <v>347000</v>
      </c>
    </row>
    <row r="2445">
      <c r="A2445" s="62" t="n">
        <v>41580</v>
      </c>
      <c r="B2445" t="n">
        <v>2873000</v>
      </c>
      <c r="C2445" t="n">
        <v>342000</v>
      </c>
    </row>
    <row r="2446">
      <c r="A2446" s="62" t="n">
        <v>41587</v>
      </c>
      <c r="B2446" t="n">
        <v>2925000</v>
      </c>
      <c r="C2446" t="n">
        <v>340000</v>
      </c>
    </row>
    <row r="2447">
      <c r="A2447" s="62" t="n">
        <v>41594</v>
      </c>
      <c r="B2447" t="n">
        <v>2837000</v>
      </c>
      <c r="C2447" t="n">
        <v>331000</v>
      </c>
    </row>
    <row r="2448">
      <c r="A2448" s="62" t="n">
        <v>41601</v>
      </c>
      <c r="B2448" t="n">
        <v>2813000</v>
      </c>
      <c r="C2448" t="n">
        <v>316000</v>
      </c>
    </row>
    <row r="2449">
      <c r="A2449" s="62" t="n">
        <v>41608</v>
      </c>
      <c r="B2449" t="n">
        <v>2808000</v>
      </c>
      <c r="C2449" t="n">
        <v>312000</v>
      </c>
    </row>
    <row r="2450">
      <c r="A2450" s="62" t="n">
        <v>41615</v>
      </c>
      <c r="B2450" t="n">
        <v>2892000</v>
      </c>
      <c r="C2450" t="n">
        <v>354000</v>
      </c>
    </row>
    <row r="2451">
      <c r="A2451" s="62" t="n">
        <v>41622</v>
      </c>
      <c r="B2451" t="n">
        <v>2903000</v>
      </c>
      <c r="C2451" t="n">
        <v>364000</v>
      </c>
    </row>
    <row r="2452">
      <c r="A2452" s="62" t="n">
        <v>41629</v>
      </c>
      <c r="B2452" t="n">
        <v>2832000</v>
      </c>
      <c r="C2452" t="n">
        <v>334000</v>
      </c>
    </row>
    <row r="2453">
      <c r="A2453" s="62" t="n">
        <v>41636</v>
      </c>
      <c r="B2453" t="n">
        <v>2807000</v>
      </c>
      <c r="C2453" t="n">
        <v>332000</v>
      </c>
    </row>
    <row r="2454">
      <c r="A2454" s="62" t="n">
        <v>41643</v>
      </c>
      <c r="B2454" t="n">
        <v>2903000</v>
      </c>
      <c r="C2454" t="n">
        <v>322000</v>
      </c>
    </row>
    <row r="2455">
      <c r="A2455" s="62" t="n">
        <v>41650</v>
      </c>
      <c r="B2455" t="n">
        <v>2907000</v>
      </c>
      <c r="C2455" t="n">
        <v>318000</v>
      </c>
    </row>
    <row r="2456">
      <c r="A2456" s="62" t="n">
        <v>41657</v>
      </c>
      <c r="B2456" t="n">
        <v>2847000</v>
      </c>
      <c r="C2456" t="n">
        <v>327000</v>
      </c>
    </row>
    <row r="2457">
      <c r="A2457" s="62" t="n">
        <v>41664</v>
      </c>
      <c r="B2457" t="n">
        <v>2850000</v>
      </c>
      <c r="C2457" t="n">
        <v>340000</v>
      </c>
    </row>
    <row r="2458">
      <c r="A2458" s="62" t="n">
        <v>41671</v>
      </c>
      <c r="B2458" t="n">
        <v>2852000</v>
      </c>
      <c r="C2458" t="n">
        <v>331000</v>
      </c>
    </row>
    <row r="2459">
      <c r="A2459" s="62" t="n">
        <v>41678</v>
      </c>
      <c r="B2459" t="n">
        <v>2859000</v>
      </c>
      <c r="C2459" t="n">
        <v>337000</v>
      </c>
    </row>
    <row r="2460">
      <c r="A2460" s="62" t="n">
        <v>41685</v>
      </c>
      <c r="B2460" t="n">
        <v>2861000</v>
      </c>
      <c r="C2460" t="n">
        <v>332000</v>
      </c>
    </row>
    <row r="2461">
      <c r="A2461" s="62" t="n">
        <v>41692</v>
      </c>
      <c r="B2461" t="n">
        <v>2823000</v>
      </c>
      <c r="C2461" t="n">
        <v>341000</v>
      </c>
    </row>
    <row r="2462">
      <c r="A2462" s="62" t="n">
        <v>41699</v>
      </c>
      <c r="B2462" t="n">
        <v>2787000</v>
      </c>
      <c r="C2462" t="n">
        <v>319000</v>
      </c>
    </row>
    <row r="2463">
      <c r="A2463" s="62" t="n">
        <v>41706</v>
      </c>
      <c r="B2463" t="n">
        <v>2816000</v>
      </c>
      <c r="C2463" t="n">
        <v>322000</v>
      </c>
    </row>
    <row r="2464">
      <c r="A2464" s="62" t="n">
        <v>41713</v>
      </c>
      <c r="B2464" t="n">
        <v>2764000</v>
      </c>
      <c r="C2464" t="n">
        <v>321000</v>
      </c>
    </row>
    <row r="2465">
      <c r="A2465" s="62" t="n">
        <v>41720</v>
      </c>
      <c r="B2465" t="n">
        <v>2800000</v>
      </c>
      <c r="C2465" t="n">
        <v>313000</v>
      </c>
    </row>
    <row r="2466">
      <c r="A2466" s="62" t="n">
        <v>41727</v>
      </c>
      <c r="B2466" t="n">
        <v>2729000</v>
      </c>
      <c r="C2466" t="n">
        <v>330000</v>
      </c>
    </row>
    <row r="2467">
      <c r="A2467" s="62" t="n">
        <v>41734</v>
      </c>
      <c r="B2467" t="n">
        <v>2730000</v>
      </c>
      <c r="C2467" t="n">
        <v>311000</v>
      </c>
    </row>
    <row r="2468">
      <c r="A2468" s="62" t="n">
        <v>41741</v>
      </c>
      <c r="B2468" t="n">
        <v>2680000</v>
      </c>
      <c r="C2468" t="n">
        <v>308000</v>
      </c>
    </row>
    <row r="2469">
      <c r="A2469" s="62" t="n">
        <v>41748</v>
      </c>
      <c r="B2469" t="n">
        <v>2767000</v>
      </c>
      <c r="C2469" t="n">
        <v>327000</v>
      </c>
    </row>
    <row r="2470">
      <c r="A2470" s="62" t="n">
        <v>41755</v>
      </c>
      <c r="B2470" t="n">
        <v>2707000</v>
      </c>
      <c r="C2470" t="n">
        <v>345000</v>
      </c>
    </row>
    <row r="2471">
      <c r="A2471" s="62" t="n">
        <v>41762</v>
      </c>
      <c r="B2471" t="n">
        <v>2702000</v>
      </c>
      <c r="C2471" t="n">
        <v>325000</v>
      </c>
    </row>
    <row r="2472">
      <c r="A2472" s="62" t="n">
        <v>41769</v>
      </c>
      <c r="B2472" t="n">
        <v>2691000</v>
      </c>
      <c r="C2472" t="n">
        <v>303000</v>
      </c>
    </row>
    <row r="2473">
      <c r="A2473" s="62" t="n">
        <v>41776</v>
      </c>
      <c r="B2473" t="n">
        <v>2657000</v>
      </c>
      <c r="C2473" t="n">
        <v>324000</v>
      </c>
    </row>
    <row r="2474">
      <c r="A2474" s="62" t="n">
        <v>41783</v>
      </c>
      <c r="B2474" t="n">
        <v>2646000</v>
      </c>
      <c r="C2474" t="n">
        <v>305000</v>
      </c>
    </row>
    <row r="2475">
      <c r="A2475" s="62" t="n">
        <v>41790</v>
      </c>
      <c r="B2475" t="n">
        <v>2641000</v>
      </c>
      <c r="C2475" t="n">
        <v>312000</v>
      </c>
    </row>
    <row r="2476">
      <c r="A2476" s="62" t="n">
        <v>41797</v>
      </c>
      <c r="B2476" t="n">
        <v>2598000</v>
      </c>
      <c r="C2476" t="n">
        <v>317000</v>
      </c>
    </row>
    <row r="2477">
      <c r="A2477" s="62" t="n">
        <v>41804</v>
      </c>
      <c r="B2477" t="n">
        <v>2595000</v>
      </c>
      <c r="C2477" t="n">
        <v>314000</v>
      </c>
    </row>
    <row r="2478">
      <c r="A2478" s="62" t="n">
        <v>41811</v>
      </c>
      <c r="B2478" t="n">
        <v>2583000</v>
      </c>
      <c r="C2478" t="n">
        <v>315000</v>
      </c>
    </row>
    <row r="2479">
      <c r="A2479" s="62" t="n">
        <v>41818</v>
      </c>
      <c r="B2479" t="n">
        <v>2579000</v>
      </c>
      <c r="C2479" t="n">
        <v>308000</v>
      </c>
    </row>
    <row r="2480">
      <c r="A2480" s="62" t="n">
        <v>41825</v>
      </c>
      <c r="B2480" t="n">
        <v>2540000</v>
      </c>
      <c r="C2480" t="n">
        <v>302000</v>
      </c>
    </row>
    <row r="2481">
      <c r="A2481" s="62" t="n">
        <v>41832</v>
      </c>
      <c r="B2481" t="n">
        <v>2528000</v>
      </c>
      <c r="C2481" t="n">
        <v>308000</v>
      </c>
    </row>
    <row r="2482">
      <c r="A2482" s="62" t="n">
        <v>41839</v>
      </c>
      <c r="B2482" t="n">
        <v>2542000</v>
      </c>
      <c r="C2482" t="n">
        <v>294000</v>
      </c>
    </row>
    <row r="2483">
      <c r="A2483" s="62" t="n">
        <v>41846</v>
      </c>
      <c r="B2483" t="n">
        <v>2524000</v>
      </c>
      <c r="C2483" t="n">
        <v>303000</v>
      </c>
    </row>
    <row r="2484">
      <c r="A2484" s="62" t="n">
        <v>41853</v>
      </c>
      <c r="B2484" t="n">
        <v>2530000</v>
      </c>
      <c r="C2484" t="n">
        <v>295000</v>
      </c>
    </row>
    <row r="2485">
      <c r="A2485" s="62" t="n">
        <v>41860</v>
      </c>
      <c r="B2485" t="n">
        <v>2508000</v>
      </c>
      <c r="C2485" t="n">
        <v>309000</v>
      </c>
    </row>
    <row r="2486">
      <c r="A2486" s="62" t="n">
        <v>41867</v>
      </c>
      <c r="B2486" t="n">
        <v>2517000</v>
      </c>
      <c r="C2486" t="n">
        <v>303000</v>
      </c>
    </row>
    <row r="2487">
      <c r="A2487" s="62" t="n">
        <v>41874</v>
      </c>
      <c r="B2487" t="n">
        <v>2483000</v>
      </c>
      <c r="C2487" t="n">
        <v>300000</v>
      </c>
    </row>
    <row r="2488">
      <c r="A2488" s="62" t="n">
        <v>41881</v>
      </c>
      <c r="B2488" t="n">
        <v>2486000</v>
      </c>
      <c r="C2488" t="n">
        <v>303000</v>
      </c>
    </row>
    <row r="2489">
      <c r="A2489" s="62" t="n">
        <v>41888</v>
      </c>
      <c r="B2489" t="n">
        <v>2452000</v>
      </c>
      <c r="C2489" t="n">
        <v>307000</v>
      </c>
    </row>
    <row r="2490">
      <c r="A2490" s="62" t="n">
        <v>41895</v>
      </c>
      <c r="B2490" t="n">
        <v>2465000</v>
      </c>
      <c r="C2490" t="n">
        <v>288000</v>
      </c>
    </row>
    <row r="2491">
      <c r="A2491" s="62" t="n">
        <v>41902</v>
      </c>
      <c r="B2491" t="n">
        <v>2447000</v>
      </c>
      <c r="C2491" t="n">
        <v>295000</v>
      </c>
    </row>
    <row r="2492">
      <c r="A2492" s="62" t="n">
        <v>41909</v>
      </c>
      <c r="B2492" t="n">
        <v>2427000</v>
      </c>
      <c r="C2492" t="n">
        <v>290000</v>
      </c>
    </row>
    <row r="2493">
      <c r="A2493" s="62" t="n">
        <v>41916</v>
      </c>
      <c r="B2493" t="n">
        <v>2441000</v>
      </c>
      <c r="C2493" t="n">
        <v>293000</v>
      </c>
    </row>
    <row r="2494">
      <c r="A2494" s="62" t="n">
        <v>41923</v>
      </c>
      <c r="B2494" t="n">
        <v>2409000</v>
      </c>
      <c r="C2494" t="n">
        <v>281000</v>
      </c>
    </row>
    <row r="2495">
      <c r="A2495" s="62" t="n">
        <v>41930</v>
      </c>
      <c r="B2495" t="n">
        <v>2437000</v>
      </c>
      <c r="C2495" t="n">
        <v>290000</v>
      </c>
    </row>
    <row r="2496">
      <c r="A2496" s="62" t="n">
        <v>41937</v>
      </c>
      <c r="B2496" t="n">
        <v>2406000</v>
      </c>
      <c r="C2496" t="n">
        <v>291000</v>
      </c>
    </row>
    <row r="2497">
      <c r="A2497" s="62" t="n">
        <v>41944</v>
      </c>
      <c r="B2497" t="n">
        <v>2436000</v>
      </c>
      <c r="C2497" t="n">
        <v>280000</v>
      </c>
    </row>
    <row r="2498">
      <c r="A2498" s="62" t="n">
        <v>41951</v>
      </c>
      <c r="B2498" t="n">
        <v>2384000</v>
      </c>
      <c r="C2498" t="n">
        <v>291000</v>
      </c>
    </row>
    <row r="2499">
      <c r="A2499" s="62" t="n">
        <v>41958</v>
      </c>
      <c r="B2499" t="n">
        <v>2351000</v>
      </c>
      <c r="C2499" t="n">
        <v>293000</v>
      </c>
    </row>
    <row r="2500">
      <c r="A2500" s="62" t="n">
        <v>41965</v>
      </c>
      <c r="B2500" t="n">
        <v>2389000</v>
      </c>
      <c r="C2500" t="n">
        <v>303000</v>
      </c>
    </row>
    <row r="2501">
      <c r="A2501" s="62" t="n">
        <v>41972</v>
      </c>
      <c r="B2501" t="n">
        <v>2484000</v>
      </c>
      <c r="C2501" t="n">
        <v>291000</v>
      </c>
    </row>
    <row r="2502">
      <c r="A2502" s="62" t="n">
        <v>41979</v>
      </c>
      <c r="B2502" t="n">
        <v>2381000</v>
      </c>
      <c r="C2502" t="n">
        <v>291000</v>
      </c>
    </row>
    <row r="2503">
      <c r="A2503" s="62" t="n">
        <v>41986</v>
      </c>
      <c r="B2503" t="n">
        <v>2379000</v>
      </c>
      <c r="C2503" t="n">
        <v>286000</v>
      </c>
    </row>
    <row r="2504">
      <c r="A2504" s="62" t="n">
        <v>41993</v>
      </c>
      <c r="B2504" t="n">
        <v>2338000</v>
      </c>
      <c r="C2504" t="n">
        <v>276000</v>
      </c>
    </row>
    <row r="2505">
      <c r="A2505" s="62" t="n">
        <v>42000</v>
      </c>
      <c r="B2505" t="n">
        <v>2422000</v>
      </c>
      <c r="C2505" t="n">
        <v>285000</v>
      </c>
    </row>
    <row r="2506">
      <c r="A2506" s="62" t="n">
        <v>42007</v>
      </c>
      <c r="B2506" t="n">
        <v>2381000</v>
      </c>
      <c r="C2506" t="n">
        <v>294000</v>
      </c>
    </row>
    <row r="2507">
      <c r="A2507" s="62" t="n">
        <v>42014</v>
      </c>
      <c r="B2507" t="n">
        <v>2400000</v>
      </c>
      <c r="C2507" t="n">
        <v>304000</v>
      </c>
    </row>
    <row r="2508">
      <c r="A2508" s="62" t="n">
        <v>42021</v>
      </c>
      <c r="B2508" t="n">
        <v>2336000</v>
      </c>
      <c r="C2508" t="n">
        <v>298000</v>
      </c>
    </row>
    <row r="2509">
      <c r="A2509" s="62" t="n">
        <v>42028</v>
      </c>
      <c r="B2509" t="n">
        <v>2335000</v>
      </c>
      <c r="C2509" t="n">
        <v>261000</v>
      </c>
    </row>
    <row r="2510">
      <c r="A2510" s="62" t="n">
        <v>42035</v>
      </c>
      <c r="B2510" t="n">
        <v>2297000</v>
      </c>
      <c r="C2510" t="n">
        <v>281000</v>
      </c>
    </row>
    <row r="2511">
      <c r="A2511" s="62" t="n">
        <v>42042</v>
      </c>
      <c r="B2511" t="n">
        <v>2344000</v>
      </c>
      <c r="C2511" t="n">
        <v>298000</v>
      </c>
    </row>
    <row r="2512">
      <c r="A2512" s="62" t="n">
        <v>42049</v>
      </c>
      <c r="B2512" t="n">
        <v>2319000</v>
      </c>
      <c r="C2512" t="n">
        <v>285000</v>
      </c>
    </row>
    <row r="2513">
      <c r="A2513" s="62" t="n">
        <v>42056</v>
      </c>
      <c r="B2513" t="n">
        <v>2341000</v>
      </c>
      <c r="C2513" t="n">
        <v>305000</v>
      </c>
    </row>
    <row r="2514">
      <c r="A2514" s="62" t="n">
        <v>42063</v>
      </c>
      <c r="B2514" t="n">
        <v>2357000</v>
      </c>
      <c r="C2514" t="n">
        <v>317000</v>
      </c>
    </row>
    <row r="2515">
      <c r="A2515" s="62" t="n">
        <v>42070</v>
      </c>
      <c r="B2515" t="n">
        <v>2361000</v>
      </c>
      <c r="C2515" t="n">
        <v>293000</v>
      </c>
    </row>
    <row r="2516">
      <c r="A2516" s="62" t="n">
        <v>42077</v>
      </c>
      <c r="B2516" t="n">
        <v>2361000</v>
      </c>
      <c r="C2516" t="n">
        <v>290000</v>
      </c>
    </row>
    <row r="2517">
      <c r="A2517" s="62" t="n">
        <v>42084</v>
      </c>
      <c r="B2517" t="n">
        <v>2306000</v>
      </c>
      <c r="C2517" t="n">
        <v>284000</v>
      </c>
    </row>
    <row r="2518">
      <c r="A2518" s="62" t="n">
        <v>42091</v>
      </c>
      <c r="B2518" t="n">
        <v>2278000</v>
      </c>
      <c r="C2518" t="n">
        <v>269000</v>
      </c>
    </row>
    <row r="2519">
      <c r="A2519" s="62" t="n">
        <v>42098</v>
      </c>
      <c r="B2519" t="n">
        <v>2273000</v>
      </c>
      <c r="C2519" t="n">
        <v>282000</v>
      </c>
    </row>
    <row r="2520">
      <c r="A2520" s="62" t="n">
        <v>42105</v>
      </c>
      <c r="B2520" t="n">
        <v>2320000</v>
      </c>
      <c r="C2520" t="n">
        <v>298000</v>
      </c>
    </row>
    <row r="2521">
      <c r="A2521" s="62" t="n">
        <v>42112</v>
      </c>
      <c r="B2521" t="n">
        <v>2279000</v>
      </c>
      <c r="C2521" t="n">
        <v>295000</v>
      </c>
    </row>
    <row r="2522">
      <c r="A2522" s="62" t="n">
        <v>42119</v>
      </c>
      <c r="B2522" t="n">
        <v>2254000</v>
      </c>
      <c r="C2522" t="n">
        <v>269000</v>
      </c>
    </row>
    <row r="2523">
      <c r="A2523" s="62" t="n">
        <v>42126</v>
      </c>
      <c r="B2523" t="n">
        <v>2261000</v>
      </c>
      <c r="C2523" t="n">
        <v>267000</v>
      </c>
    </row>
    <row r="2524">
      <c r="A2524" s="62" t="n">
        <v>42133</v>
      </c>
      <c r="B2524" t="n">
        <v>2253000</v>
      </c>
      <c r="C2524" t="n">
        <v>271000</v>
      </c>
    </row>
    <row r="2525">
      <c r="A2525" s="62" t="n">
        <v>42140</v>
      </c>
      <c r="B2525" t="n">
        <v>2258000</v>
      </c>
      <c r="C2525" t="n">
        <v>276000</v>
      </c>
    </row>
    <row r="2526">
      <c r="A2526" s="62" t="n">
        <v>42147</v>
      </c>
      <c r="B2526" t="n">
        <v>2236000</v>
      </c>
      <c r="C2526" t="n">
        <v>281000</v>
      </c>
    </row>
    <row r="2527">
      <c r="A2527" s="62" t="n">
        <v>42154</v>
      </c>
      <c r="B2527" t="n">
        <v>2294000</v>
      </c>
      <c r="C2527" t="n">
        <v>275000</v>
      </c>
    </row>
    <row r="2528">
      <c r="A2528" s="62" t="n">
        <v>42161</v>
      </c>
      <c r="B2528" t="n">
        <v>2250000</v>
      </c>
      <c r="C2528" t="n">
        <v>278000</v>
      </c>
    </row>
    <row r="2529">
      <c r="A2529" s="62" t="n">
        <v>42168</v>
      </c>
      <c r="B2529" t="n">
        <v>2268000</v>
      </c>
      <c r="C2529" t="n">
        <v>269000</v>
      </c>
    </row>
    <row r="2530">
      <c r="A2530" s="62" t="n">
        <v>42175</v>
      </c>
      <c r="B2530" t="n">
        <v>2265000</v>
      </c>
      <c r="C2530" t="n">
        <v>273000</v>
      </c>
    </row>
    <row r="2531">
      <c r="A2531" s="62" t="n">
        <v>42182</v>
      </c>
      <c r="B2531" t="n">
        <v>2312000</v>
      </c>
      <c r="C2531" t="n">
        <v>275000</v>
      </c>
    </row>
    <row r="2532">
      <c r="A2532" s="62" t="n">
        <v>42189</v>
      </c>
      <c r="B2532" t="n">
        <v>2233000</v>
      </c>
      <c r="C2532" t="n">
        <v>292000</v>
      </c>
    </row>
    <row r="2533">
      <c r="A2533" s="62" t="n">
        <v>42196</v>
      </c>
      <c r="B2533" t="n">
        <v>2226000</v>
      </c>
      <c r="C2533" t="n">
        <v>285000</v>
      </c>
    </row>
    <row r="2534">
      <c r="A2534" s="62" t="n">
        <v>42203</v>
      </c>
      <c r="B2534" t="n">
        <v>2267000</v>
      </c>
      <c r="C2534" t="n">
        <v>265000</v>
      </c>
    </row>
    <row r="2535">
      <c r="A2535" s="62" t="n">
        <v>42210</v>
      </c>
      <c r="B2535" t="n">
        <v>2253000</v>
      </c>
      <c r="C2535" t="n">
        <v>269000</v>
      </c>
    </row>
    <row r="2536">
      <c r="A2536" s="62" t="n">
        <v>42217</v>
      </c>
      <c r="B2536" t="n">
        <v>2257000</v>
      </c>
      <c r="C2536" t="n">
        <v>270000</v>
      </c>
    </row>
    <row r="2537">
      <c r="A2537" s="62" t="n">
        <v>42224</v>
      </c>
      <c r="B2537" t="n">
        <v>2247000</v>
      </c>
      <c r="C2537" t="n">
        <v>274000</v>
      </c>
    </row>
    <row r="2538">
      <c r="A2538" s="62" t="n">
        <v>42231</v>
      </c>
      <c r="B2538" t="n">
        <v>2256000</v>
      </c>
      <c r="C2538" t="n">
        <v>279000</v>
      </c>
    </row>
    <row r="2539">
      <c r="A2539" s="62" t="n">
        <v>42238</v>
      </c>
      <c r="B2539" t="n">
        <v>2252000</v>
      </c>
      <c r="C2539" t="n">
        <v>274000</v>
      </c>
    </row>
    <row r="2540">
      <c r="A2540" s="62" t="n">
        <v>42245</v>
      </c>
      <c r="B2540" t="n">
        <v>2258000</v>
      </c>
      <c r="C2540" t="n">
        <v>279000</v>
      </c>
    </row>
    <row r="2541">
      <c r="A2541" s="62" t="n">
        <v>42252</v>
      </c>
      <c r="B2541" t="n">
        <v>2243000</v>
      </c>
      <c r="C2541" t="n">
        <v>273000</v>
      </c>
    </row>
    <row r="2542">
      <c r="A2542" s="62" t="n">
        <v>42259</v>
      </c>
      <c r="B2542" t="n">
        <v>2255000</v>
      </c>
      <c r="C2542" t="n">
        <v>264000</v>
      </c>
    </row>
    <row r="2543">
      <c r="A2543" s="62" t="n">
        <v>42266</v>
      </c>
      <c r="B2543" t="n">
        <v>2234000</v>
      </c>
      <c r="C2543" t="n">
        <v>269000</v>
      </c>
    </row>
    <row r="2544">
      <c r="A2544" s="62" t="n">
        <v>42273</v>
      </c>
      <c r="B2544" t="n">
        <v>2240000</v>
      </c>
      <c r="C2544" t="n">
        <v>272000</v>
      </c>
    </row>
    <row r="2545">
      <c r="A2545" s="62" t="n">
        <v>42280</v>
      </c>
      <c r="B2545" t="n">
        <v>2207000</v>
      </c>
      <c r="C2545" t="n">
        <v>267000</v>
      </c>
    </row>
    <row r="2546">
      <c r="A2546" s="62" t="n">
        <v>42287</v>
      </c>
      <c r="B2546" t="n">
        <v>2214000</v>
      </c>
      <c r="C2546" t="n">
        <v>265000</v>
      </c>
    </row>
    <row r="2547">
      <c r="A2547" s="62" t="n">
        <v>42294</v>
      </c>
      <c r="B2547" t="n">
        <v>2194000</v>
      </c>
      <c r="C2547" t="n">
        <v>264000</v>
      </c>
    </row>
    <row r="2548">
      <c r="A2548" s="62" t="n">
        <v>42301</v>
      </c>
      <c r="B2548" t="n">
        <v>2218000</v>
      </c>
      <c r="C2548" t="n">
        <v>264000</v>
      </c>
    </row>
    <row r="2549">
      <c r="A2549" s="62" t="n">
        <v>42308</v>
      </c>
      <c r="B2549" t="n">
        <v>2205000</v>
      </c>
      <c r="C2549" t="n">
        <v>275000</v>
      </c>
    </row>
    <row r="2550">
      <c r="A2550" s="62" t="n">
        <v>42315</v>
      </c>
      <c r="B2550" t="n">
        <v>2209000</v>
      </c>
      <c r="C2550" t="n">
        <v>276000</v>
      </c>
    </row>
    <row r="2551">
      <c r="A2551" s="62" t="n">
        <v>42322</v>
      </c>
      <c r="B2551" t="n">
        <v>2185000</v>
      </c>
      <c r="C2551" t="n">
        <v>272000</v>
      </c>
    </row>
    <row r="2552">
      <c r="A2552" s="62" t="n">
        <v>42329</v>
      </c>
      <c r="B2552" t="n">
        <v>2181000</v>
      </c>
      <c r="C2552" t="n">
        <v>261000</v>
      </c>
    </row>
    <row r="2553">
      <c r="A2553" s="62" t="n">
        <v>42336</v>
      </c>
      <c r="B2553" t="n">
        <v>2259000</v>
      </c>
      <c r="C2553" t="n">
        <v>265000</v>
      </c>
    </row>
    <row r="2554">
      <c r="A2554" s="62" t="n">
        <v>42343</v>
      </c>
      <c r="B2554" t="n">
        <v>2242000</v>
      </c>
      <c r="C2554" t="n">
        <v>280000</v>
      </c>
    </row>
    <row r="2555">
      <c r="A2555" s="62" t="n">
        <v>42350</v>
      </c>
      <c r="B2555" t="n">
        <v>2190000</v>
      </c>
      <c r="C2555" t="n">
        <v>268000</v>
      </c>
    </row>
    <row r="2556">
      <c r="A2556" s="62" t="n">
        <v>42357</v>
      </c>
      <c r="B2556" t="n">
        <v>2176000</v>
      </c>
      <c r="C2556" t="n">
        <v>260000</v>
      </c>
    </row>
    <row r="2557">
      <c r="A2557" s="62" t="n">
        <v>42364</v>
      </c>
      <c r="B2557" t="n">
        <v>2207000</v>
      </c>
      <c r="C2557" t="n">
        <v>276000</v>
      </c>
    </row>
    <row r="2558">
      <c r="A2558" s="62" t="n">
        <v>42371</v>
      </c>
      <c r="B2558" t="n">
        <v>2218000</v>
      </c>
      <c r="C2558" t="n">
        <v>273000</v>
      </c>
    </row>
    <row r="2559">
      <c r="A2559" s="62" t="n">
        <v>42378</v>
      </c>
      <c r="B2559" t="n">
        <v>2190000</v>
      </c>
      <c r="C2559" t="n">
        <v>284000</v>
      </c>
    </row>
    <row r="2560">
      <c r="A2560" s="62" t="n">
        <v>42385</v>
      </c>
      <c r="B2560" t="n">
        <v>2221000</v>
      </c>
      <c r="C2560" t="n">
        <v>290000</v>
      </c>
    </row>
    <row r="2561">
      <c r="A2561" s="62" t="n">
        <v>42392</v>
      </c>
      <c r="B2561" t="n">
        <v>2199000</v>
      </c>
      <c r="C2561" t="n">
        <v>269000</v>
      </c>
    </row>
    <row r="2562">
      <c r="A2562" s="62" t="n">
        <v>42399</v>
      </c>
      <c r="B2562" t="n">
        <v>2210000</v>
      </c>
      <c r="C2562" t="n">
        <v>282000</v>
      </c>
    </row>
    <row r="2563">
      <c r="A2563" s="62" t="n">
        <v>42406</v>
      </c>
      <c r="B2563" t="n">
        <v>2213000</v>
      </c>
      <c r="C2563" t="n">
        <v>266000</v>
      </c>
    </row>
    <row r="2564">
      <c r="A2564" s="62" t="n">
        <v>42413</v>
      </c>
      <c r="B2564" t="n">
        <v>2206000</v>
      </c>
      <c r="C2564" t="n">
        <v>262000</v>
      </c>
    </row>
    <row r="2565">
      <c r="A2565" s="62" t="n">
        <v>42420</v>
      </c>
      <c r="B2565" t="n">
        <v>2203000</v>
      </c>
      <c r="C2565" t="n">
        <v>270000</v>
      </c>
    </row>
    <row r="2566">
      <c r="A2566" s="62" t="n">
        <v>42427</v>
      </c>
      <c r="B2566" t="n">
        <v>2180000</v>
      </c>
      <c r="C2566" t="n">
        <v>269000</v>
      </c>
    </row>
    <row r="2567">
      <c r="A2567" s="62" t="n">
        <v>42434</v>
      </c>
      <c r="B2567" t="n">
        <v>2203000</v>
      </c>
      <c r="C2567" t="n">
        <v>255000</v>
      </c>
    </row>
    <row r="2568">
      <c r="A2568" s="62" t="n">
        <v>42441</v>
      </c>
      <c r="B2568" t="n">
        <v>2163000</v>
      </c>
      <c r="C2568" t="n">
        <v>263000</v>
      </c>
    </row>
    <row r="2569">
      <c r="A2569" s="62" t="n">
        <v>42448</v>
      </c>
      <c r="B2569" t="n">
        <v>2138000</v>
      </c>
      <c r="C2569" t="n">
        <v>264000</v>
      </c>
    </row>
    <row r="2570">
      <c r="A2570" s="62" t="n">
        <v>42455</v>
      </c>
      <c r="B2570" t="n">
        <v>2165000</v>
      </c>
      <c r="C2570" t="n">
        <v>271000</v>
      </c>
    </row>
    <row r="2571">
      <c r="A2571" s="62" t="n">
        <v>42462</v>
      </c>
      <c r="B2571" t="n">
        <v>2151000</v>
      </c>
      <c r="C2571" t="n">
        <v>273000</v>
      </c>
    </row>
    <row r="2572">
      <c r="A2572" s="62" t="n">
        <v>42469</v>
      </c>
      <c r="B2572" t="n">
        <v>2139000</v>
      </c>
      <c r="C2572" t="n">
        <v>263000</v>
      </c>
    </row>
    <row r="2573">
      <c r="A2573" s="62" t="n">
        <v>42476</v>
      </c>
      <c r="B2573" t="n">
        <v>2135000</v>
      </c>
      <c r="C2573" t="n">
        <v>257000</v>
      </c>
    </row>
    <row r="2574">
      <c r="A2574" s="62" t="n">
        <v>42483</v>
      </c>
      <c r="B2574" t="n">
        <v>2137000</v>
      </c>
      <c r="C2574" t="n">
        <v>259000</v>
      </c>
    </row>
    <row r="2575">
      <c r="A2575" s="62" t="n">
        <v>42490</v>
      </c>
      <c r="B2575" t="n">
        <v>2183000</v>
      </c>
      <c r="C2575" t="n">
        <v>278000</v>
      </c>
    </row>
    <row r="2576">
      <c r="A2576" s="62" t="n">
        <v>42497</v>
      </c>
      <c r="B2576" t="n">
        <v>2185000</v>
      </c>
      <c r="C2576" t="n">
        <v>289000</v>
      </c>
    </row>
    <row r="2577">
      <c r="A2577" s="62" t="n">
        <v>42504</v>
      </c>
      <c r="B2577" t="n">
        <v>2177000</v>
      </c>
      <c r="C2577" t="n">
        <v>279000</v>
      </c>
    </row>
    <row r="2578">
      <c r="A2578" s="62" t="n">
        <v>42511</v>
      </c>
      <c r="B2578" t="n">
        <v>2186000</v>
      </c>
      <c r="C2578" t="n">
        <v>267000</v>
      </c>
    </row>
    <row r="2579">
      <c r="A2579" s="62" t="n">
        <v>42518</v>
      </c>
      <c r="B2579" t="n">
        <v>2131000</v>
      </c>
      <c r="C2579" t="n">
        <v>263000</v>
      </c>
    </row>
    <row r="2580">
      <c r="A2580" s="62" t="n">
        <v>42525</v>
      </c>
      <c r="B2580" t="n">
        <v>2170000</v>
      </c>
      <c r="C2580" t="n">
        <v>265000</v>
      </c>
    </row>
    <row r="2581">
      <c r="A2581" s="62" t="n">
        <v>42532</v>
      </c>
      <c r="B2581" t="n">
        <v>2158000</v>
      </c>
      <c r="C2581" t="n">
        <v>273000</v>
      </c>
    </row>
    <row r="2582">
      <c r="A2582" s="62" t="n">
        <v>42539</v>
      </c>
      <c r="B2582" t="n">
        <v>2160000</v>
      </c>
      <c r="C2582" t="n">
        <v>261000</v>
      </c>
    </row>
    <row r="2583">
      <c r="A2583" s="62" t="n">
        <v>42546</v>
      </c>
      <c r="B2583" t="n">
        <v>2139000</v>
      </c>
      <c r="C2583" t="n">
        <v>262000</v>
      </c>
    </row>
    <row r="2584">
      <c r="A2584" s="62" t="n">
        <v>42553</v>
      </c>
      <c r="B2584" t="n">
        <v>2131000</v>
      </c>
      <c r="C2584" t="n">
        <v>255000</v>
      </c>
    </row>
    <row r="2585">
      <c r="A2585" s="62" t="n">
        <v>42560</v>
      </c>
      <c r="B2585" t="n">
        <v>2125000</v>
      </c>
      <c r="C2585" t="n">
        <v>252000</v>
      </c>
    </row>
    <row r="2586">
      <c r="A2586" s="62" t="n">
        <v>42567</v>
      </c>
      <c r="B2586" t="n">
        <v>2140000</v>
      </c>
      <c r="C2586" t="n">
        <v>260000</v>
      </c>
    </row>
    <row r="2587">
      <c r="A2587" s="62" t="n">
        <v>42574</v>
      </c>
      <c r="B2587" t="n">
        <v>2134000</v>
      </c>
      <c r="C2587" t="n">
        <v>264000</v>
      </c>
    </row>
    <row r="2588">
      <c r="A2588" s="62" t="n">
        <v>42581</v>
      </c>
      <c r="B2588" t="n">
        <v>2143000</v>
      </c>
      <c r="C2588" t="n">
        <v>266000</v>
      </c>
    </row>
    <row r="2589">
      <c r="A2589" s="62" t="n">
        <v>42588</v>
      </c>
      <c r="B2589" t="n">
        <v>2157000</v>
      </c>
      <c r="C2589" t="n">
        <v>265000</v>
      </c>
    </row>
    <row r="2590">
      <c r="A2590" s="62" t="n">
        <v>42595</v>
      </c>
      <c r="B2590" t="n">
        <v>2137000</v>
      </c>
      <c r="C2590" t="n">
        <v>264000</v>
      </c>
    </row>
    <row r="2591">
      <c r="A2591" s="62" t="n">
        <v>42602</v>
      </c>
      <c r="B2591" t="n">
        <v>2148000</v>
      </c>
      <c r="C2591" t="n">
        <v>264000</v>
      </c>
    </row>
    <row r="2592">
      <c r="A2592" s="62" t="n">
        <v>42609</v>
      </c>
      <c r="B2592" t="n">
        <v>2138000</v>
      </c>
      <c r="C2592" t="n">
        <v>261000</v>
      </c>
    </row>
    <row r="2593">
      <c r="A2593" s="62" t="n">
        <v>42616</v>
      </c>
      <c r="B2593" t="n">
        <v>2149000</v>
      </c>
      <c r="C2593" t="n">
        <v>257000</v>
      </c>
    </row>
    <row r="2594">
      <c r="A2594" s="62" t="n">
        <v>42623</v>
      </c>
      <c r="B2594" t="n">
        <v>2110000</v>
      </c>
      <c r="C2594" t="n">
        <v>252000</v>
      </c>
    </row>
    <row r="2595">
      <c r="A2595" s="62" t="n">
        <v>42630</v>
      </c>
      <c r="B2595" t="n">
        <v>2098000</v>
      </c>
      <c r="C2595" t="n">
        <v>250000</v>
      </c>
    </row>
    <row r="2596">
      <c r="A2596" s="62" t="n">
        <v>42637</v>
      </c>
      <c r="B2596" t="n">
        <v>2081000</v>
      </c>
      <c r="C2596" t="n">
        <v>247000</v>
      </c>
    </row>
    <row r="2597">
      <c r="A2597" s="62" t="n">
        <v>42644</v>
      </c>
      <c r="B2597" t="n">
        <v>2080000</v>
      </c>
      <c r="C2597" t="n">
        <v>245000</v>
      </c>
    </row>
    <row r="2598">
      <c r="A2598" s="62" t="n">
        <v>42651</v>
      </c>
      <c r="B2598" t="n">
        <v>2081000</v>
      </c>
      <c r="C2598" t="n">
        <v>250000</v>
      </c>
    </row>
    <row r="2599">
      <c r="A2599" s="62" t="n">
        <v>42658</v>
      </c>
      <c r="B2599" t="n">
        <v>2069000</v>
      </c>
      <c r="C2599" t="n">
        <v>263000</v>
      </c>
    </row>
    <row r="2600">
      <c r="A2600" s="62" t="n">
        <v>42665</v>
      </c>
      <c r="B2600" t="n">
        <v>2066000</v>
      </c>
      <c r="C2600" t="n">
        <v>256000</v>
      </c>
    </row>
    <row r="2601">
      <c r="A2601" s="62" t="n">
        <v>42672</v>
      </c>
      <c r="B2601" t="n">
        <v>2067000</v>
      </c>
      <c r="C2601" t="n">
        <v>265000</v>
      </c>
    </row>
    <row r="2602">
      <c r="A2602" s="62" t="n">
        <v>42679</v>
      </c>
      <c r="B2602" t="n">
        <v>2046000</v>
      </c>
      <c r="C2602" t="n">
        <v>250000</v>
      </c>
    </row>
    <row r="2603">
      <c r="A2603" s="62" t="n">
        <v>42686</v>
      </c>
      <c r="B2603" t="n">
        <v>2045000</v>
      </c>
      <c r="C2603" t="n">
        <v>232000</v>
      </c>
    </row>
    <row r="2604">
      <c r="A2604" s="62" t="n">
        <v>42693</v>
      </c>
      <c r="B2604" t="n">
        <v>2050000</v>
      </c>
      <c r="C2604" t="n">
        <v>246000</v>
      </c>
    </row>
    <row r="2605">
      <c r="A2605" s="62" t="n">
        <v>42700</v>
      </c>
      <c r="B2605" t="n">
        <v>2038000</v>
      </c>
      <c r="C2605" t="n">
        <v>255000</v>
      </c>
    </row>
    <row r="2606">
      <c r="A2606" s="62" t="n">
        <v>42707</v>
      </c>
      <c r="B2606" t="n">
        <v>2029000</v>
      </c>
      <c r="C2606" t="n">
        <v>248000</v>
      </c>
    </row>
    <row r="2607">
      <c r="A2607" s="62" t="n">
        <v>42714</v>
      </c>
      <c r="B2607" t="n">
        <v>2030000</v>
      </c>
      <c r="C2607" t="n">
        <v>252000</v>
      </c>
    </row>
    <row r="2608">
      <c r="A2608" s="62" t="n">
        <v>42721</v>
      </c>
      <c r="B2608" t="n">
        <v>2078000</v>
      </c>
      <c r="C2608" t="n">
        <v>260000</v>
      </c>
    </row>
    <row r="2609">
      <c r="A2609" s="62" t="n">
        <v>42728</v>
      </c>
      <c r="B2609" t="n">
        <v>2077000</v>
      </c>
      <c r="C2609" t="n">
        <v>257000</v>
      </c>
    </row>
    <row r="2610">
      <c r="A2610" s="62" t="n">
        <v>42735</v>
      </c>
      <c r="B2610" t="n">
        <v>2028000</v>
      </c>
      <c r="C2610" t="n">
        <v>244000</v>
      </c>
    </row>
    <row r="2611">
      <c r="A2611" s="62" t="n">
        <v>42742</v>
      </c>
      <c r="B2611" t="n">
        <v>2020000</v>
      </c>
      <c r="C2611" t="n">
        <v>243000</v>
      </c>
    </row>
    <row r="2612">
      <c r="A2612" s="62" t="n">
        <v>42749</v>
      </c>
      <c r="B2612" t="n">
        <v>2060000</v>
      </c>
      <c r="C2612" t="n">
        <v>244000</v>
      </c>
    </row>
    <row r="2613">
      <c r="A2613" s="62" t="n">
        <v>42756</v>
      </c>
      <c r="B2613" t="n">
        <v>2030000</v>
      </c>
      <c r="C2613" t="n">
        <v>254000</v>
      </c>
    </row>
    <row r="2614">
      <c r="A2614" s="62" t="n">
        <v>42763</v>
      </c>
      <c r="B2614" t="n">
        <v>2045000</v>
      </c>
      <c r="C2614" t="n">
        <v>245000</v>
      </c>
    </row>
    <row r="2615">
      <c r="A2615" s="62" t="n">
        <v>42770</v>
      </c>
      <c r="B2615" t="n">
        <v>2030000</v>
      </c>
      <c r="C2615" t="n">
        <v>237000</v>
      </c>
    </row>
    <row r="2616">
      <c r="A2616" s="62" t="n">
        <v>42777</v>
      </c>
      <c r="B2616" t="n">
        <v>2049000</v>
      </c>
      <c r="C2616" t="n">
        <v>243000</v>
      </c>
    </row>
    <row r="2617">
      <c r="A2617" s="62" t="n">
        <v>42784</v>
      </c>
      <c r="B2617" t="n">
        <v>2009000</v>
      </c>
      <c r="C2617" t="n">
        <v>248000</v>
      </c>
    </row>
    <row r="2618">
      <c r="A2618" s="62" t="n">
        <v>42791</v>
      </c>
      <c r="B2618" t="n">
        <v>2040000</v>
      </c>
      <c r="C2618" t="n">
        <v>231000</v>
      </c>
    </row>
    <row r="2619">
      <c r="A2619" s="62" t="n">
        <v>42798</v>
      </c>
      <c r="B2619" t="n">
        <v>2005000</v>
      </c>
      <c r="C2619" t="n">
        <v>246000</v>
      </c>
    </row>
    <row r="2620">
      <c r="A2620" s="62" t="n">
        <v>42805</v>
      </c>
      <c r="B2620" t="n">
        <v>1984000</v>
      </c>
      <c r="C2620" t="n">
        <v>244000</v>
      </c>
    </row>
    <row r="2621">
      <c r="A2621" s="62" t="n">
        <v>42812</v>
      </c>
      <c r="B2621" t="n">
        <v>1993000</v>
      </c>
      <c r="C2621" t="n">
        <v>255000</v>
      </c>
    </row>
    <row r="2622">
      <c r="A2622" s="62" t="n">
        <v>42819</v>
      </c>
      <c r="B2622" t="n">
        <v>2011000</v>
      </c>
      <c r="C2622" t="n">
        <v>256000</v>
      </c>
    </row>
    <row r="2623">
      <c r="A2623" s="62" t="n">
        <v>42826</v>
      </c>
      <c r="B2623" t="n">
        <v>1982000</v>
      </c>
      <c r="C2623" t="n">
        <v>237000</v>
      </c>
    </row>
    <row r="2624">
      <c r="A2624" s="62" t="n">
        <v>42833</v>
      </c>
      <c r="B2624" t="n">
        <v>1970000</v>
      </c>
      <c r="C2624" t="n">
        <v>238000</v>
      </c>
    </row>
    <row r="2625">
      <c r="A2625" s="62" t="n">
        <v>42840</v>
      </c>
      <c r="B2625" t="n">
        <v>1973000</v>
      </c>
      <c r="C2625" t="n">
        <v>242000</v>
      </c>
    </row>
    <row r="2626">
      <c r="A2626" s="62" t="n">
        <v>42847</v>
      </c>
      <c r="B2626" t="n">
        <v>1984000</v>
      </c>
      <c r="C2626" t="n">
        <v>252000</v>
      </c>
    </row>
    <row r="2627">
      <c r="A2627" s="62" t="n">
        <v>42854</v>
      </c>
      <c r="B2627" t="n">
        <v>1925000</v>
      </c>
      <c r="C2627" t="n">
        <v>241000</v>
      </c>
    </row>
    <row r="2628">
      <c r="A2628" s="62" t="n">
        <v>42861</v>
      </c>
      <c r="B2628" t="n">
        <v>1935000</v>
      </c>
      <c r="C2628" t="n">
        <v>237000</v>
      </c>
    </row>
    <row r="2629">
      <c r="A2629" s="62" t="n">
        <v>42868</v>
      </c>
      <c r="B2629" t="n">
        <v>1935000</v>
      </c>
      <c r="C2629" t="n">
        <v>237000</v>
      </c>
    </row>
    <row r="2630">
      <c r="A2630" s="62" t="n">
        <v>42875</v>
      </c>
      <c r="B2630" t="n">
        <v>1944000</v>
      </c>
      <c r="C2630" t="n">
        <v>234000</v>
      </c>
    </row>
    <row r="2631">
      <c r="A2631" s="62" t="n">
        <v>42882</v>
      </c>
      <c r="B2631" t="n">
        <v>1935000</v>
      </c>
      <c r="C2631" t="n">
        <v>251000</v>
      </c>
    </row>
    <row r="2632">
      <c r="A2632" s="62" t="n">
        <v>42889</v>
      </c>
      <c r="B2632" t="n">
        <v>1955000</v>
      </c>
      <c r="C2632" t="n">
        <v>244000</v>
      </c>
    </row>
    <row r="2633">
      <c r="A2633" s="62" t="n">
        <v>42896</v>
      </c>
      <c r="B2633" t="n">
        <v>1953000</v>
      </c>
      <c r="C2633" t="n">
        <v>237000</v>
      </c>
    </row>
    <row r="2634">
      <c r="A2634" s="62" t="n">
        <v>42903</v>
      </c>
      <c r="B2634" t="n">
        <v>1956000</v>
      </c>
      <c r="C2634" t="n">
        <v>243000</v>
      </c>
    </row>
    <row r="2635">
      <c r="A2635" s="62" t="n">
        <v>42910</v>
      </c>
      <c r="B2635" t="n">
        <v>1966000</v>
      </c>
      <c r="C2635" t="n">
        <v>237000</v>
      </c>
    </row>
    <row r="2636">
      <c r="A2636" s="62" t="n">
        <v>42917</v>
      </c>
      <c r="B2636" t="n">
        <v>1941000</v>
      </c>
      <c r="C2636" t="n">
        <v>247000</v>
      </c>
    </row>
    <row r="2637">
      <c r="A2637" s="62" t="n">
        <v>42924</v>
      </c>
      <c r="B2637" t="n">
        <v>1965000</v>
      </c>
      <c r="C2637" t="n">
        <v>243000</v>
      </c>
    </row>
    <row r="2638">
      <c r="A2638" s="62" t="n">
        <v>42931</v>
      </c>
      <c r="B2638" t="n">
        <v>1964000</v>
      </c>
      <c r="C2638" t="n">
        <v>241000</v>
      </c>
    </row>
    <row r="2639">
      <c r="A2639" s="62" t="n">
        <v>42938</v>
      </c>
      <c r="B2639" t="n">
        <v>1961000</v>
      </c>
      <c r="C2639" t="n">
        <v>245000</v>
      </c>
    </row>
    <row r="2640">
      <c r="A2640" s="62" t="n">
        <v>42945</v>
      </c>
      <c r="B2640" t="n">
        <v>1946000</v>
      </c>
      <c r="C2640" t="n">
        <v>242000</v>
      </c>
    </row>
    <row r="2641">
      <c r="A2641" s="62" t="n">
        <v>42952</v>
      </c>
      <c r="B2641" t="n">
        <v>1948000</v>
      </c>
      <c r="C2641" t="n">
        <v>245000</v>
      </c>
    </row>
    <row r="2642">
      <c r="A2642" s="62" t="n">
        <v>42959</v>
      </c>
      <c r="B2642" t="n">
        <v>1952000</v>
      </c>
      <c r="C2642" t="n">
        <v>236000</v>
      </c>
    </row>
    <row r="2643">
      <c r="A2643" s="62" t="n">
        <v>42966</v>
      </c>
      <c r="B2643" t="n">
        <v>1949000</v>
      </c>
      <c r="C2643" t="n">
        <v>240000</v>
      </c>
    </row>
    <row r="2644">
      <c r="A2644" s="62" t="n">
        <v>42973</v>
      </c>
      <c r="B2644" t="n">
        <v>1951000</v>
      </c>
      <c r="C2644" t="n">
        <v>238000</v>
      </c>
    </row>
    <row r="2645">
      <c r="A2645" s="62" t="n">
        <v>42980</v>
      </c>
      <c r="B2645" t="n">
        <v>1951000</v>
      </c>
      <c r="C2645" t="n">
        <v>298000</v>
      </c>
    </row>
    <row r="2646">
      <c r="A2646" s="62" t="n">
        <v>42987</v>
      </c>
      <c r="B2646" t="n">
        <v>1990000</v>
      </c>
      <c r="C2646" t="n">
        <v>274000</v>
      </c>
    </row>
    <row r="2647">
      <c r="A2647" s="62" t="n">
        <v>42994</v>
      </c>
      <c r="B2647" t="n">
        <v>1941000</v>
      </c>
      <c r="C2647" t="n">
        <v>259000</v>
      </c>
    </row>
    <row r="2648">
      <c r="A2648" s="62" t="n">
        <v>43001</v>
      </c>
      <c r="B2648" t="n">
        <v>1932000</v>
      </c>
      <c r="C2648" t="n">
        <v>262000</v>
      </c>
    </row>
    <row r="2649">
      <c r="A2649" s="62" t="n">
        <v>43008</v>
      </c>
      <c r="B2649" t="n">
        <v>1928000</v>
      </c>
      <c r="C2649" t="n">
        <v>254000</v>
      </c>
    </row>
    <row r="2650">
      <c r="A2650" s="62" t="n">
        <v>43015</v>
      </c>
      <c r="B2650" t="n">
        <v>1922000</v>
      </c>
      <c r="C2650" t="n">
        <v>245000</v>
      </c>
    </row>
    <row r="2651">
      <c r="A2651" s="62" t="n">
        <v>43022</v>
      </c>
      <c r="B2651" t="n">
        <v>1923000</v>
      </c>
      <c r="C2651" t="n">
        <v>230000</v>
      </c>
    </row>
    <row r="2652">
      <c r="A2652" s="62" t="n">
        <v>43029</v>
      </c>
      <c r="B2652" t="n">
        <v>1917000</v>
      </c>
      <c r="C2652" t="n">
        <v>235000</v>
      </c>
    </row>
    <row r="2653">
      <c r="A2653" s="62" t="n">
        <v>43036</v>
      </c>
      <c r="B2653" t="n">
        <v>1927000</v>
      </c>
      <c r="C2653" t="n">
        <v>235000</v>
      </c>
    </row>
    <row r="2654">
      <c r="A2654" s="62" t="n">
        <v>43043</v>
      </c>
      <c r="B2654" t="n">
        <v>1926000</v>
      </c>
      <c r="C2654" t="n">
        <v>239000</v>
      </c>
    </row>
    <row r="2655">
      <c r="A2655" s="62" t="n">
        <v>43050</v>
      </c>
      <c r="B2655" t="n">
        <v>1914000</v>
      </c>
      <c r="C2655" t="n">
        <v>247000</v>
      </c>
    </row>
    <row r="2656">
      <c r="A2656" s="62" t="n">
        <v>43057</v>
      </c>
      <c r="B2656" t="n">
        <v>1922000</v>
      </c>
      <c r="C2656" t="n">
        <v>235000</v>
      </c>
    </row>
    <row r="2657">
      <c r="A2657" s="62" t="n">
        <v>43064</v>
      </c>
      <c r="B2657" t="n">
        <v>1940000</v>
      </c>
      <c r="C2657" t="n">
        <v>233000</v>
      </c>
    </row>
    <row r="2658">
      <c r="A2658" s="62" t="n">
        <v>43071</v>
      </c>
      <c r="B2658" t="n">
        <v>1892000</v>
      </c>
      <c r="C2658" t="n">
        <v>230000</v>
      </c>
    </row>
    <row r="2659">
      <c r="A2659" s="62" t="n">
        <v>43078</v>
      </c>
      <c r="B2659" t="n">
        <v>1926000</v>
      </c>
      <c r="C2659" t="n">
        <v>226000</v>
      </c>
    </row>
    <row r="2660">
      <c r="A2660" s="62" t="n">
        <v>43085</v>
      </c>
      <c r="B2660" t="n">
        <v>1928000</v>
      </c>
      <c r="C2660" t="n">
        <v>239000</v>
      </c>
    </row>
    <row r="2661">
      <c r="A2661" s="62" t="n">
        <v>43092</v>
      </c>
      <c r="B2661" t="n">
        <v>1908000</v>
      </c>
      <c r="C2661" t="n">
        <v>243000</v>
      </c>
    </row>
    <row r="2662">
      <c r="A2662" s="62" t="n">
        <v>43099</v>
      </c>
      <c r="B2662" t="n">
        <v>1862000</v>
      </c>
      <c r="C2662" t="n">
        <v>241000</v>
      </c>
    </row>
    <row r="2663">
      <c r="A2663" s="62" t="n">
        <v>43106</v>
      </c>
      <c r="B2663" t="n">
        <v>1919000</v>
      </c>
      <c r="C2663" t="n">
        <v>249000</v>
      </c>
    </row>
    <row r="2664">
      <c r="A2664" s="62" t="n">
        <v>43113</v>
      </c>
      <c r="B2664" t="n">
        <v>1908000</v>
      </c>
      <c r="C2664" t="n">
        <v>228000</v>
      </c>
    </row>
    <row r="2665">
      <c r="A2665" s="62" t="n">
        <v>43120</v>
      </c>
      <c r="B2665" t="n">
        <v>1921000</v>
      </c>
      <c r="C2665" t="n">
        <v>233000</v>
      </c>
    </row>
    <row r="2666">
      <c r="A2666" s="62" t="n">
        <v>43127</v>
      </c>
      <c r="B2666" t="n">
        <v>1899000</v>
      </c>
      <c r="C2666" t="n">
        <v>227000</v>
      </c>
    </row>
    <row r="2667">
      <c r="A2667" s="62" t="n">
        <v>43134</v>
      </c>
      <c r="B2667" t="n">
        <v>1900000</v>
      </c>
      <c r="C2667" t="n">
        <v>224000</v>
      </c>
    </row>
    <row r="2668">
      <c r="A2668" s="62" t="n">
        <v>43141</v>
      </c>
      <c r="B2668" t="n">
        <v>1865000</v>
      </c>
      <c r="C2668" t="n">
        <v>227000</v>
      </c>
    </row>
    <row r="2669">
      <c r="A2669" s="62" t="n">
        <v>43148</v>
      </c>
      <c r="B2669" t="n">
        <v>1879000</v>
      </c>
      <c r="C2669" t="n">
        <v>220000</v>
      </c>
    </row>
    <row r="2670">
      <c r="A2670" s="62" t="n">
        <v>43155</v>
      </c>
      <c r="B2670" t="n">
        <v>1854000</v>
      </c>
      <c r="C2670" t="n">
        <v>215000</v>
      </c>
    </row>
    <row r="2671">
      <c r="A2671" s="62" t="n">
        <v>43162</v>
      </c>
      <c r="B2671" t="n">
        <v>1853000</v>
      </c>
      <c r="C2671" t="n">
        <v>226000</v>
      </c>
    </row>
    <row r="2672">
      <c r="A2672" s="62" t="n">
        <v>43169</v>
      </c>
      <c r="B2672" t="n">
        <v>1833000</v>
      </c>
      <c r="C2672" t="n">
        <v>223000</v>
      </c>
    </row>
    <row r="2673">
      <c r="A2673" s="62" t="n">
        <v>43176</v>
      </c>
      <c r="B2673" t="n">
        <v>1821000</v>
      </c>
      <c r="C2673" t="n">
        <v>224000</v>
      </c>
    </row>
    <row r="2674">
      <c r="A2674" s="62" t="n">
        <v>43183</v>
      </c>
      <c r="B2674" t="n">
        <v>1805000</v>
      </c>
      <c r="C2674" t="n">
        <v>220000</v>
      </c>
    </row>
    <row r="2675">
      <c r="A2675" s="62" t="n">
        <v>43190</v>
      </c>
      <c r="B2675" t="n">
        <v>1835000</v>
      </c>
      <c r="C2675" t="n">
        <v>235000</v>
      </c>
    </row>
    <row r="2676">
      <c r="A2676" s="62" t="n">
        <v>43197</v>
      </c>
      <c r="B2676" t="n">
        <v>1856000</v>
      </c>
      <c r="C2676" t="n">
        <v>235000</v>
      </c>
    </row>
    <row r="2677">
      <c r="A2677" s="62" t="n">
        <v>43204</v>
      </c>
      <c r="B2677" t="n">
        <v>1815000</v>
      </c>
      <c r="C2677" t="n">
        <v>235000</v>
      </c>
    </row>
    <row r="2678">
      <c r="A2678" s="62" t="n">
        <v>43211</v>
      </c>
      <c r="B2678" t="n">
        <v>1769000</v>
      </c>
      <c r="C2678" t="n">
        <v>208000</v>
      </c>
    </row>
    <row r="2679">
      <c r="A2679" s="62" t="n">
        <v>43218</v>
      </c>
      <c r="B2679" t="n">
        <v>1780000</v>
      </c>
      <c r="C2679" t="n">
        <v>212000</v>
      </c>
    </row>
    <row r="2680">
      <c r="A2680" s="62" t="n">
        <v>43225</v>
      </c>
      <c r="B2680" t="n">
        <v>1734000</v>
      </c>
      <c r="C2680" t="n">
        <v>210000</v>
      </c>
    </row>
    <row r="2681">
      <c r="A2681" s="62" t="n">
        <v>43232</v>
      </c>
      <c r="B2681" t="n">
        <v>1742000</v>
      </c>
      <c r="C2681" t="n">
        <v>224000</v>
      </c>
    </row>
    <row r="2682">
      <c r="A2682" s="62" t="n">
        <v>43239</v>
      </c>
      <c r="B2682" t="n">
        <v>1739000</v>
      </c>
      <c r="C2682" t="n">
        <v>230000</v>
      </c>
    </row>
    <row r="2683">
      <c r="A2683" s="62" t="n">
        <v>43246</v>
      </c>
      <c r="B2683" t="n">
        <v>1742000</v>
      </c>
      <c r="C2683" t="n">
        <v>221000</v>
      </c>
    </row>
    <row r="2684">
      <c r="A2684" s="62" t="n">
        <v>43253</v>
      </c>
      <c r="B2684" t="n">
        <v>1714000</v>
      </c>
      <c r="C2684" t="n">
        <v>221000</v>
      </c>
    </row>
    <row r="2685">
      <c r="A2685" s="62" t="n">
        <v>43260</v>
      </c>
      <c r="B2685" t="n">
        <v>1736000</v>
      </c>
      <c r="C2685" t="n">
        <v>218000</v>
      </c>
    </row>
    <row r="2686">
      <c r="A2686" s="62" t="n">
        <v>43267</v>
      </c>
      <c r="B2686" t="n">
        <v>1716000</v>
      </c>
      <c r="C2686" t="n">
        <v>220000</v>
      </c>
    </row>
    <row r="2687">
      <c r="A2687" s="62" t="n">
        <v>43274</v>
      </c>
      <c r="B2687" t="n">
        <v>1740000</v>
      </c>
      <c r="C2687" t="n">
        <v>220000</v>
      </c>
    </row>
    <row r="2688">
      <c r="A2688" s="62" t="n">
        <v>43281</v>
      </c>
      <c r="B2688" t="n">
        <v>1734000</v>
      </c>
      <c r="C2688" t="n">
        <v>229000</v>
      </c>
    </row>
    <row r="2689">
      <c r="A2689" s="62" t="n">
        <v>43288</v>
      </c>
      <c r="B2689" t="n">
        <v>1750000</v>
      </c>
      <c r="C2689" t="n">
        <v>229000</v>
      </c>
    </row>
    <row r="2690">
      <c r="A2690" s="62" t="n">
        <v>43295</v>
      </c>
      <c r="B2690" t="n">
        <v>1747000</v>
      </c>
      <c r="C2690" t="n">
        <v>212000</v>
      </c>
    </row>
    <row r="2691">
      <c r="A2691" s="62" t="n">
        <v>43302</v>
      </c>
      <c r="B2691" t="n">
        <v>1726000</v>
      </c>
      <c r="C2691" t="n">
        <v>220000</v>
      </c>
    </row>
    <row r="2692">
      <c r="A2692" s="62" t="n">
        <v>43309</v>
      </c>
      <c r="B2692" t="n">
        <v>1753000</v>
      </c>
      <c r="C2692" t="n">
        <v>218000</v>
      </c>
    </row>
    <row r="2693">
      <c r="A2693" s="62" t="n">
        <v>43316</v>
      </c>
      <c r="B2693" t="n">
        <v>1722000</v>
      </c>
      <c r="C2693" t="n">
        <v>217000</v>
      </c>
    </row>
    <row r="2694">
      <c r="A2694" s="62" t="n">
        <v>43323</v>
      </c>
      <c r="B2694" t="n">
        <v>1729000</v>
      </c>
      <c r="C2694" t="n">
        <v>212000</v>
      </c>
    </row>
    <row r="2695">
      <c r="A2695" s="62" t="n">
        <v>43330</v>
      </c>
      <c r="B2695" t="n">
        <v>1713000</v>
      </c>
      <c r="C2695" t="n">
        <v>215000</v>
      </c>
    </row>
    <row r="2696">
      <c r="A2696" s="62" t="n">
        <v>43337</v>
      </c>
      <c r="B2696" t="n">
        <v>1717000</v>
      </c>
      <c r="C2696" t="n">
        <v>214000</v>
      </c>
    </row>
    <row r="2697">
      <c r="A2697" s="62" t="n">
        <v>43344</v>
      </c>
      <c r="B2697" t="n">
        <v>1710000</v>
      </c>
      <c r="C2697" t="n">
        <v>209000</v>
      </c>
    </row>
    <row r="2698">
      <c r="A2698" s="62" t="n">
        <v>43351</v>
      </c>
      <c r="B2698" t="n">
        <v>1670000</v>
      </c>
      <c r="C2698" t="n">
        <v>210000</v>
      </c>
    </row>
    <row r="2699">
      <c r="A2699" s="62" t="n">
        <v>43358</v>
      </c>
      <c r="B2699" t="n">
        <v>1690000</v>
      </c>
      <c r="C2699" t="n">
        <v>212000</v>
      </c>
    </row>
    <row r="2700">
      <c r="A2700" s="62" t="n">
        <v>43365</v>
      </c>
      <c r="B2700" t="n">
        <v>1675000</v>
      </c>
      <c r="C2700" t="n">
        <v>212000</v>
      </c>
    </row>
    <row r="2701">
      <c r="A2701" s="62" t="n">
        <v>43372</v>
      </c>
      <c r="B2701" t="n">
        <v>1670000</v>
      </c>
      <c r="C2701" t="n">
        <v>216000</v>
      </c>
    </row>
    <row r="2702">
      <c r="A2702" s="62" t="n">
        <v>43379</v>
      </c>
      <c r="B2702" t="n">
        <v>1664000</v>
      </c>
      <c r="C2702" t="n">
        <v>212000</v>
      </c>
    </row>
    <row r="2703">
      <c r="A2703" s="62" t="n">
        <v>43386</v>
      </c>
      <c r="B2703" t="n">
        <v>1656000</v>
      </c>
      <c r="C2703" t="n">
        <v>212000</v>
      </c>
    </row>
    <row r="2704">
      <c r="A2704" s="62" t="n">
        <v>43393</v>
      </c>
      <c r="B2704" t="n">
        <v>1657000</v>
      </c>
      <c r="C2704" t="n">
        <v>219000</v>
      </c>
    </row>
    <row r="2705">
      <c r="A2705" s="62" t="n">
        <v>43400</v>
      </c>
      <c r="B2705" t="n">
        <v>1651000</v>
      </c>
      <c r="C2705" t="n">
        <v>216000</v>
      </c>
    </row>
    <row r="2706">
      <c r="A2706" s="62" t="n">
        <v>43407</v>
      </c>
      <c r="B2706" t="n">
        <v>1663000</v>
      </c>
      <c r="C2706" t="n">
        <v>216000</v>
      </c>
    </row>
    <row r="2707">
      <c r="A2707" s="62" t="n">
        <v>43414</v>
      </c>
      <c r="B2707" t="n">
        <v>1671000</v>
      </c>
      <c r="C2707" t="n">
        <v>217000</v>
      </c>
    </row>
    <row r="2708">
      <c r="A2708" s="62" t="n">
        <v>43421</v>
      </c>
      <c r="B2708" t="n">
        <v>1726000</v>
      </c>
      <c r="C2708" t="n">
        <v>220000</v>
      </c>
    </row>
    <row r="2709">
      <c r="A2709" s="62" t="n">
        <v>43428</v>
      </c>
      <c r="B2709" t="n">
        <v>1664000</v>
      </c>
      <c r="C2709" t="n">
        <v>230000</v>
      </c>
    </row>
    <row r="2710">
      <c r="A2710" s="62" t="n">
        <v>43435</v>
      </c>
      <c r="B2710" t="n">
        <v>1663000</v>
      </c>
      <c r="C2710" t="n">
        <v>225000</v>
      </c>
    </row>
    <row r="2711">
      <c r="A2711" s="62" t="n">
        <v>43442</v>
      </c>
      <c r="B2711" t="n">
        <v>1703000</v>
      </c>
      <c r="C2711" t="n">
        <v>203000</v>
      </c>
    </row>
    <row r="2712">
      <c r="A2712" s="62" t="n">
        <v>43449</v>
      </c>
      <c r="B2712" t="n">
        <v>1697000</v>
      </c>
      <c r="C2712" t="n">
        <v>214000</v>
      </c>
    </row>
    <row r="2713">
      <c r="A2713" s="62" t="n">
        <v>43456</v>
      </c>
      <c r="B2713" t="n">
        <v>1723000</v>
      </c>
      <c r="C2713" t="n">
        <v>220000</v>
      </c>
    </row>
    <row r="2714">
      <c r="A2714" s="62" t="n">
        <v>43463</v>
      </c>
      <c r="B2714" t="n">
        <v>1697000</v>
      </c>
      <c r="C2714" t="n">
        <v>226000</v>
      </c>
    </row>
    <row r="2715">
      <c r="A2715" s="62" t="n">
        <v>43470</v>
      </c>
      <c r="B2715" t="n">
        <v>1713000</v>
      </c>
      <c r="C2715" t="n">
        <v>218000</v>
      </c>
    </row>
    <row r="2716">
      <c r="A2716" s="62" t="n">
        <v>43477</v>
      </c>
      <c r="B2716" t="n">
        <v>1709000</v>
      </c>
      <c r="C2716" t="n">
        <v>215000</v>
      </c>
    </row>
    <row r="2717">
      <c r="A2717" s="62" t="n">
        <v>43484</v>
      </c>
      <c r="B2717" t="n">
        <v>1740000</v>
      </c>
      <c r="C2717" t="n">
        <v>211000</v>
      </c>
    </row>
    <row r="2718">
      <c r="A2718" s="62" t="n">
        <v>43491</v>
      </c>
      <c r="B2718" t="n">
        <v>1717000</v>
      </c>
      <c r="C2718" t="n">
        <v>236000</v>
      </c>
    </row>
    <row r="2719">
      <c r="A2719" s="62" t="n">
        <v>43498</v>
      </c>
      <c r="B2719" t="n">
        <v>1743000</v>
      </c>
      <c r="C2719" t="n">
        <v>233000</v>
      </c>
    </row>
    <row r="2720">
      <c r="A2720" s="62" t="n">
        <v>43505</v>
      </c>
      <c r="B2720" t="n">
        <v>1723000</v>
      </c>
      <c r="C2720" t="n">
        <v>232000</v>
      </c>
    </row>
    <row r="2721">
      <c r="A2721" s="62" t="n">
        <v>43512</v>
      </c>
      <c r="B2721" t="n">
        <v>1758000</v>
      </c>
      <c r="C2721" t="n">
        <v>218000</v>
      </c>
    </row>
    <row r="2722">
      <c r="A2722" s="62" t="n">
        <v>43519</v>
      </c>
      <c r="B2722" t="n">
        <v>1747000</v>
      </c>
      <c r="C2722" t="n">
        <v>223000</v>
      </c>
    </row>
    <row r="2723">
      <c r="A2723" s="62" t="n">
        <v>43526</v>
      </c>
      <c r="B2723" t="n">
        <v>1748000</v>
      </c>
      <c r="C2723" t="n">
        <v>220000</v>
      </c>
    </row>
    <row r="2724">
      <c r="A2724" s="62" t="n">
        <v>43533</v>
      </c>
      <c r="B2724" t="n">
        <v>1745000</v>
      </c>
      <c r="C2724" t="n">
        <v>225000</v>
      </c>
    </row>
    <row r="2725">
      <c r="A2725" s="62" t="n">
        <v>43540</v>
      </c>
      <c r="B2725" t="n">
        <v>1719000</v>
      </c>
      <c r="C2725" t="n">
        <v>218000</v>
      </c>
    </row>
    <row r="2726">
      <c r="A2726" s="62" t="n">
        <v>43547</v>
      </c>
      <c r="B2726" t="n">
        <v>1710000</v>
      </c>
      <c r="C2726" t="n">
        <v>215000</v>
      </c>
    </row>
    <row r="2727">
      <c r="A2727" s="62" t="n">
        <v>43554</v>
      </c>
      <c r="B2727" t="n">
        <v>1692000</v>
      </c>
      <c r="C2727" t="n">
        <v>211000</v>
      </c>
    </row>
    <row r="2728">
      <c r="A2728" s="62" t="n">
        <v>43561</v>
      </c>
      <c r="B2728" t="n">
        <v>1659000</v>
      </c>
      <c r="C2728" t="n">
        <v>203000</v>
      </c>
    </row>
    <row r="2729">
      <c r="A2729" s="62" t="n">
        <v>43568</v>
      </c>
      <c r="B2729" t="n">
        <v>1649000</v>
      </c>
      <c r="C2729" t="n">
        <v>203000</v>
      </c>
    </row>
    <row r="2730">
      <c r="A2730" s="62" t="n">
        <v>43575</v>
      </c>
      <c r="B2730" t="n">
        <v>1671000</v>
      </c>
      <c r="C2730" t="n">
        <v>224000</v>
      </c>
    </row>
    <row r="2731">
      <c r="A2731" s="62" t="n">
        <v>43582</v>
      </c>
      <c r="B2731" t="n">
        <v>1675000</v>
      </c>
      <c r="C2731" t="n">
        <v>230000</v>
      </c>
    </row>
    <row r="2732">
      <c r="A2732" s="62" t="n">
        <v>43589</v>
      </c>
      <c r="B2732" t="n">
        <v>1667000</v>
      </c>
      <c r="C2732" t="n">
        <v>225000</v>
      </c>
    </row>
    <row r="2733">
      <c r="A2733" s="62" t="n">
        <v>43596</v>
      </c>
      <c r="B2733" t="n">
        <v>1676000</v>
      </c>
      <c r="C2733" t="n">
        <v>216000</v>
      </c>
    </row>
    <row r="2734">
      <c r="A2734" s="62" t="n">
        <v>43603</v>
      </c>
      <c r="B2734" t="n">
        <v>1666000</v>
      </c>
      <c r="C2734" t="n">
        <v>213000</v>
      </c>
    </row>
    <row r="2735">
      <c r="A2735" s="62" t="n">
        <v>43610</v>
      </c>
      <c r="B2735" t="n">
        <v>1687000</v>
      </c>
      <c r="C2735" t="n">
        <v>218000</v>
      </c>
    </row>
    <row r="2736">
      <c r="A2736" s="62" t="n">
        <v>43617</v>
      </c>
      <c r="B2736" t="n">
        <v>1692000</v>
      </c>
      <c r="C2736" t="n">
        <v>220000</v>
      </c>
    </row>
    <row r="2737">
      <c r="A2737" s="62" t="n">
        <v>43624</v>
      </c>
      <c r="B2737" t="n">
        <v>1668000</v>
      </c>
      <c r="C2737" t="n">
        <v>220000</v>
      </c>
    </row>
    <row r="2738">
      <c r="A2738" s="62" t="n">
        <v>43631</v>
      </c>
      <c r="B2738" t="n">
        <v>1689000</v>
      </c>
      <c r="C2738" t="n">
        <v>219000</v>
      </c>
    </row>
    <row r="2739">
      <c r="A2739" s="62" t="n">
        <v>43638</v>
      </c>
      <c r="B2739" t="n">
        <v>1689000</v>
      </c>
      <c r="C2739" t="n">
        <v>224000</v>
      </c>
    </row>
    <row r="2740">
      <c r="A2740" s="62" t="n">
        <v>43645</v>
      </c>
      <c r="B2740" t="n">
        <v>1712000</v>
      </c>
      <c r="C2740" t="n">
        <v>223000</v>
      </c>
    </row>
    <row r="2741">
      <c r="A2741" s="62" t="n">
        <v>43652</v>
      </c>
      <c r="B2741" t="n">
        <v>1688000</v>
      </c>
      <c r="C2741" t="n">
        <v>205000</v>
      </c>
    </row>
    <row r="2742">
      <c r="A2742" s="62" t="n">
        <v>43659</v>
      </c>
      <c r="B2742" t="n">
        <v>1679000</v>
      </c>
      <c r="C2742" t="n">
        <v>217000</v>
      </c>
    </row>
    <row r="2743">
      <c r="A2743" s="62" t="n">
        <v>43666</v>
      </c>
      <c r="B2743" t="n">
        <v>1692000</v>
      </c>
      <c r="C2743" t="n">
        <v>210000</v>
      </c>
    </row>
    <row r="2744">
      <c r="A2744" s="62" t="n">
        <v>43673</v>
      </c>
      <c r="B2744" t="n">
        <v>1689000</v>
      </c>
      <c r="C2744" t="n">
        <v>216000</v>
      </c>
    </row>
    <row r="2745">
      <c r="A2745" s="62" t="n">
        <v>43680</v>
      </c>
      <c r="B2745" t="n">
        <v>1714000</v>
      </c>
      <c r="C2745" t="n">
        <v>214000</v>
      </c>
    </row>
    <row r="2746">
      <c r="A2746" s="62" t="n">
        <v>43687</v>
      </c>
      <c r="B2746" t="n">
        <v>1682000</v>
      </c>
      <c r="C2746" t="n">
        <v>218000</v>
      </c>
    </row>
    <row r="2747">
      <c r="A2747" s="62" t="n">
        <v>43694</v>
      </c>
      <c r="B2747" t="n">
        <v>1697000</v>
      </c>
      <c r="C2747" t="n">
        <v>214000</v>
      </c>
    </row>
    <row r="2748">
      <c r="A2748" s="62" t="n">
        <v>43701</v>
      </c>
      <c r="B2748" t="n">
        <v>1678000</v>
      </c>
      <c r="C2748" t="n">
        <v>215000</v>
      </c>
    </row>
    <row r="2749">
      <c r="A2749" s="62" t="n">
        <v>43708</v>
      </c>
      <c r="B2749" t="n">
        <v>1679000</v>
      </c>
      <c r="C2749" t="n">
        <v>218000</v>
      </c>
    </row>
    <row r="2750">
      <c r="A2750" s="62" t="n">
        <v>43715</v>
      </c>
      <c r="B2750" t="n">
        <v>1673000</v>
      </c>
      <c r="C2750" t="n">
        <v>208000</v>
      </c>
    </row>
    <row r="2751">
      <c r="A2751" s="62" t="n">
        <v>43722</v>
      </c>
      <c r="B2751" t="n">
        <v>1668000</v>
      </c>
      <c r="C2751" t="n">
        <v>211000</v>
      </c>
    </row>
    <row r="2752">
      <c r="A2752" s="62" t="n">
        <v>43729</v>
      </c>
      <c r="B2752" t="n">
        <v>1665000</v>
      </c>
      <c r="C2752" t="n">
        <v>215000</v>
      </c>
    </row>
    <row r="2753">
      <c r="A2753" s="62" t="n">
        <v>43736</v>
      </c>
      <c r="B2753" t="n">
        <v>1696000</v>
      </c>
      <c r="C2753" t="n">
        <v>217000</v>
      </c>
    </row>
    <row r="2754">
      <c r="A2754" s="62" t="n">
        <v>43743</v>
      </c>
      <c r="B2754" t="n">
        <v>1687000</v>
      </c>
      <c r="C2754" t="n">
        <v>212000</v>
      </c>
    </row>
    <row r="2755">
      <c r="A2755" s="62" t="n">
        <v>43750</v>
      </c>
      <c r="B2755" t="n">
        <v>1693000</v>
      </c>
      <c r="C2755" t="n">
        <v>217000</v>
      </c>
    </row>
    <row r="2756">
      <c r="A2756" s="62" t="n">
        <v>43757</v>
      </c>
      <c r="B2756" t="n">
        <v>1694000</v>
      </c>
      <c r="C2756" t="n">
        <v>212000</v>
      </c>
    </row>
    <row r="2757">
      <c r="A2757" s="62" t="n">
        <v>43764</v>
      </c>
      <c r="B2757" t="n">
        <v>1695000</v>
      </c>
      <c r="C2757" t="n">
        <v>216000</v>
      </c>
    </row>
    <row r="2758">
      <c r="A2758" s="62" t="n">
        <v>43771</v>
      </c>
      <c r="B2758" t="n">
        <v>1692000</v>
      </c>
      <c r="C2758" t="n">
        <v>211000</v>
      </c>
    </row>
    <row r="2759">
      <c r="A2759" s="62" t="n">
        <v>43778</v>
      </c>
      <c r="B2759" t="n">
        <v>1695000</v>
      </c>
      <c r="C2759" t="n">
        <v>222000</v>
      </c>
    </row>
    <row r="2760">
      <c r="A2760" s="62" t="n">
        <v>43785</v>
      </c>
      <c r="B2760" t="n">
        <v>1678000</v>
      </c>
      <c r="C2760" t="n">
        <v>221000</v>
      </c>
    </row>
    <row r="2761">
      <c r="A2761" s="62" t="n">
        <v>43792</v>
      </c>
      <c r="B2761" t="n">
        <v>1699000</v>
      </c>
      <c r="C2761" t="n">
        <v>215000</v>
      </c>
    </row>
    <row r="2762">
      <c r="A2762" s="62" t="n">
        <v>43799</v>
      </c>
      <c r="B2762" t="n">
        <v>1705000</v>
      </c>
      <c r="C2762" t="n">
        <v>219000</v>
      </c>
    </row>
    <row r="2763">
      <c r="A2763" s="62" t="n">
        <v>43806</v>
      </c>
      <c r="B2763" t="n">
        <v>1726000</v>
      </c>
      <c r="C2763" t="n">
        <v>238000</v>
      </c>
    </row>
    <row r="2764">
      <c r="A2764" s="62" t="n">
        <v>43813</v>
      </c>
      <c r="B2764" t="n">
        <v>1718000</v>
      </c>
      <c r="C2764" t="n">
        <v>227000</v>
      </c>
    </row>
    <row r="2765">
      <c r="A2765" s="62" t="n">
        <v>43820</v>
      </c>
      <c r="B2765" t="n">
        <v>1725000</v>
      </c>
      <c r="C2765" t="n">
        <v>218000</v>
      </c>
    </row>
    <row r="2766">
      <c r="A2766" s="62" t="n">
        <v>43827</v>
      </c>
      <c r="B2766" t="n">
        <v>1779000</v>
      </c>
      <c r="C2766" t="n">
        <v>218000</v>
      </c>
    </row>
    <row r="2767">
      <c r="A2767" s="62" t="n">
        <v>43834</v>
      </c>
      <c r="B2767" t="n">
        <v>1766000</v>
      </c>
      <c r="C2767" t="n">
        <v>210000</v>
      </c>
    </row>
    <row r="2768">
      <c r="A2768" s="62" t="n">
        <v>43841</v>
      </c>
      <c r="B2768" t="n">
        <v>1739000</v>
      </c>
      <c r="C2768" t="n">
        <v>206000</v>
      </c>
    </row>
    <row r="2769">
      <c r="A2769" s="62" t="n">
        <v>43848</v>
      </c>
      <c r="B2769" t="n">
        <v>1709000</v>
      </c>
      <c r="C2769" t="n">
        <v>219000</v>
      </c>
    </row>
    <row r="2770">
      <c r="A2770" s="62" t="n">
        <v>43855</v>
      </c>
      <c r="B2770" t="n">
        <v>1752000</v>
      </c>
      <c r="C2770" t="n">
        <v>210000</v>
      </c>
    </row>
    <row r="2771">
      <c r="A2771" s="62" t="n">
        <v>43862</v>
      </c>
      <c r="B2771" t="n">
        <v>1698000</v>
      </c>
      <c r="C2771" t="n">
        <v>205000</v>
      </c>
    </row>
    <row r="2772">
      <c r="A2772" s="62" t="n">
        <v>43869</v>
      </c>
      <c r="B2772" t="n">
        <v>1734000</v>
      </c>
      <c r="C2772" t="n">
        <v>207000</v>
      </c>
    </row>
    <row r="2773">
      <c r="A2773" s="62" t="n">
        <v>43876</v>
      </c>
      <c r="B2773" t="n">
        <v>1705000</v>
      </c>
      <c r="C2773" t="n">
        <v>215000</v>
      </c>
    </row>
    <row r="2774">
      <c r="A2774" s="62" t="n">
        <v>43883</v>
      </c>
      <c r="B2774" t="n">
        <v>1730000</v>
      </c>
      <c r="C2774" t="n">
        <v>218000</v>
      </c>
    </row>
    <row r="2775">
      <c r="A2775" s="62" t="n">
        <v>43890</v>
      </c>
      <c r="B2775" t="n">
        <v>1708000</v>
      </c>
      <c r="C2775" t="n">
        <v>216000</v>
      </c>
    </row>
    <row r="2776">
      <c r="A2776" s="62" t="n">
        <v>43897</v>
      </c>
      <c r="B2776" t="n">
        <v>1715000</v>
      </c>
      <c r="C2776" t="n">
        <v>212000</v>
      </c>
    </row>
    <row r="2777">
      <c r="A2777" s="62" t="n">
        <v>43904</v>
      </c>
      <c r="B2777" t="n">
        <v>1770000</v>
      </c>
      <c r="C2777" t="n">
        <v>256000</v>
      </c>
    </row>
    <row r="2778">
      <c r="A2778" s="62" t="n">
        <v>43911</v>
      </c>
      <c r="B2778" t="n">
        <v>3094000</v>
      </c>
      <c r="C2778" t="n">
        <v>2923000</v>
      </c>
    </row>
    <row r="2779">
      <c r="A2779" s="62" t="n">
        <v>43918</v>
      </c>
      <c r="B2779" t="n">
        <v>7868000</v>
      </c>
      <c r="C2779" t="n">
        <v>5985000</v>
      </c>
    </row>
    <row r="2780">
      <c r="A2780" s="62" t="n">
        <v>43925</v>
      </c>
      <c r="B2780" t="n">
        <v>12261000</v>
      </c>
      <c r="C2780" t="n">
        <v>6149000</v>
      </c>
    </row>
    <row r="2781">
      <c r="A2781" s="62" t="n">
        <v>43932</v>
      </c>
      <c r="B2781" t="n">
        <v>16070000</v>
      </c>
      <c r="C2781" t="n">
        <v>4869000</v>
      </c>
    </row>
    <row r="2782">
      <c r="A2782" s="62" t="n">
        <v>43939</v>
      </c>
      <c r="B2782" t="n">
        <v>17656000</v>
      </c>
      <c r="C2782" t="n">
        <v>4202000</v>
      </c>
    </row>
    <row r="2783">
      <c r="A2783" s="62" t="n">
        <v>43946</v>
      </c>
      <c r="B2783" t="n">
        <v>21664000</v>
      </c>
      <c r="C2783" t="n">
        <v>3451000</v>
      </c>
    </row>
    <row r="2784">
      <c r="A2784" s="62" t="n">
        <v>43953</v>
      </c>
      <c r="B2784" t="n">
        <v>20823000</v>
      </c>
      <c r="C2784" t="n">
        <v>2784000</v>
      </c>
    </row>
    <row r="2785">
      <c r="A2785" s="62" t="n">
        <v>43960</v>
      </c>
      <c r="B2785" t="n">
        <v>23128000</v>
      </c>
      <c r="C2785" t="n">
        <v>2315000</v>
      </c>
    </row>
    <row r="2786">
      <c r="A2786" s="62" t="n">
        <v>43967</v>
      </c>
      <c r="B2786" t="n">
        <v>19181000</v>
      </c>
      <c r="C2786" t="n">
        <v>2149000</v>
      </c>
    </row>
    <row r="2787">
      <c r="A2787" s="62" t="n">
        <v>43974</v>
      </c>
      <c r="B2787" t="n">
        <v>19396000</v>
      </c>
      <c r="C2787" t="n">
        <v>1887000</v>
      </c>
    </row>
    <row r="2788">
      <c r="A2788" s="62" t="n">
        <v>43981</v>
      </c>
      <c r="B2788" t="n">
        <v>19287000</v>
      </c>
      <c r="C2788" t="n">
        <v>1605000</v>
      </c>
    </row>
    <row r="2789">
      <c r="A2789" s="62" t="n">
        <v>43988</v>
      </c>
      <c r="B2789" t="n">
        <v>18927000</v>
      </c>
      <c r="C2789" t="n">
        <v>1537000</v>
      </c>
    </row>
    <row r="2790">
      <c r="A2790" s="62" t="n">
        <v>43995</v>
      </c>
      <c r="B2790" t="n">
        <v>17993000</v>
      </c>
      <c r="C2790" t="n">
        <v>1472000</v>
      </c>
    </row>
    <row r="2791">
      <c r="A2791" s="62" t="n">
        <v>44002</v>
      </c>
      <c r="B2791" t="n">
        <v>17713000</v>
      </c>
      <c r="C2791" t="n">
        <v>1460000</v>
      </c>
    </row>
    <row r="2792">
      <c r="A2792" s="62" t="n">
        <v>44009</v>
      </c>
      <c r="B2792" t="n">
        <v>16780000</v>
      </c>
      <c r="C2792" t="n">
        <v>1436000</v>
      </c>
    </row>
    <row r="2793">
      <c r="A2793" s="62" t="n">
        <v>44016</v>
      </c>
      <c r="B2793" t="n">
        <v>17413000</v>
      </c>
      <c r="C2793" t="n">
        <v>1398000</v>
      </c>
    </row>
    <row r="2794">
      <c r="A2794" s="62" t="n">
        <v>44023</v>
      </c>
      <c r="B2794" t="n">
        <v>16385000</v>
      </c>
      <c r="C2794" t="n">
        <v>1479000</v>
      </c>
    </row>
    <row r="2795">
      <c r="A2795" s="62" t="n">
        <v>44030</v>
      </c>
      <c r="B2795" t="n">
        <v>16913000</v>
      </c>
      <c r="C2795" t="n">
        <v>1398000</v>
      </c>
    </row>
    <row r="2796">
      <c r="A2796" s="62" t="n">
        <v>44037</v>
      </c>
      <c r="B2796" t="n">
        <v>15964000</v>
      </c>
      <c r="C2796" t="n">
        <v>1262000</v>
      </c>
    </row>
    <row r="2797">
      <c r="A2797" s="62" t="n">
        <v>44044</v>
      </c>
      <c r="B2797" t="n">
        <v>15303000</v>
      </c>
      <c r="C2797" t="n">
        <v>1043000</v>
      </c>
    </row>
    <row r="2798">
      <c r="A2798" s="62" t="n">
        <v>44051</v>
      </c>
      <c r="B2798" t="n">
        <v>14217000</v>
      </c>
      <c r="C2798" t="n">
        <v>883000</v>
      </c>
    </row>
    <row r="2799">
      <c r="A2799" s="62" t="n">
        <v>44058</v>
      </c>
      <c r="B2799" t="n">
        <v>13948000</v>
      </c>
      <c r="C2799" t="n">
        <v>920000</v>
      </c>
    </row>
    <row r="2800">
      <c r="A2800" s="62" t="n">
        <v>44065</v>
      </c>
      <c r="B2800" t="n">
        <v>13246000</v>
      </c>
      <c r="C2800" t="n">
        <v>872000</v>
      </c>
    </row>
    <row r="2801">
      <c r="A2801" s="62" t="n">
        <v>44072</v>
      </c>
      <c r="B2801" t="n">
        <v>13528000</v>
      </c>
      <c r="C2801" t="n">
        <v>875000</v>
      </c>
    </row>
    <row r="2802">
      <c r="A2802" s="62" t="n">
        <v>44079</v>
      </c>
      <c r="B2802" t="n">
        <v>12755000</v>
      </c>
      <c r="C2802" t="n">
        <v>881000</v>
      </c>
    </row>
    <row r="2803">
      <c r="A2803" s="62" t="n">
        <v>44086</v>
      </c>
      <c r="B2803" t="n">
        <v>12706000</v>
      </c>
      <c r="C2803" t="n">
        <v>860000</v>
      </c>
    </row>
    <row r="2804">
      <c r="A2804" s="62" t="n">
        <v>44093</v>
      </c>
      <c r="B2804" t="n">
        <v>11381000</v>
      </c>
      <c r="C2804" t="n">
        <v>860000</v>
      </c>
    </row>
    <row r="2805">
      <c r="A2805" s="62" t="n">
        <v>44100</v>
      </c>
      <c r="B2805" t="n">
        <v>10477000</v>
      </c>
      <c r="C2805" t="n">
        <v>803000</v>
      </c>
    </row>
    <row r="2806">
      <c r="A2806" s="62" t="n">
        <v>44107</v>
      </c>
      <c r="B2806" t="n">
        <v>9259000</v>
      </c>
      <c r="C2806" t="n">
        <v>782000</v>
      </c>
    </row>
    <row r="2807">
      <c r="A2807" s="62" t="n">
        <v>44114</v>
      </c>
      <c r="B2807" t="n">
        <v>8384000</v>
      </c>
      <c r="C2807" t="n">
        <v>833000</v>
      </c>
    </row>
    <row r="2808">
      <c r="A2808" s="62" t="n">
        <v>44121</v>
      </c>
      <c r="B2808" t="n">
        <v>7699000</v>
      </c>
      <c r="C2808" t="n">
        <v>798000</v>
      </c>
    </row>
    <row r="2809">
      <c r="A2809" s="62" t="n">
        <v>44128</v>
      </c>
      <c r="B2809" t="n">
        <v>7076000</v>
      </c>
      <c r="C2809" t="n">
        <v>768000</v>
      </c>
    </row>
    <row r="2810">
      <c r="A2810" s="62" t="n">
        <v>44135</v>
      </c>
      <c r="B2810" t="n">
        <v>6724000</v>
      </c>
      <c r="C2810" t="n">
        <v>765000</v>
      </c>
    </row>
    <row r="2811">
      <c r="A2811" s="62" t="n">
        <v>44142</v>
      </c>
      <c r="B2811" t="n">
        <v>6389000</v>
      </c>
      <c r="C2811" t="n">
        <v>728000</v>
      </c>
    </row>
    <row r="2812">
      <c r="A2812" s="62" t="n">
        <v>44149</v>
      </c>
      <c r="B2812" t="n">
        <v>6138000</v>
      </c>
      <c r="C2812" t="n">
        <v>732000</v>
      </c>
    </row>
    <row r="2813">
      <c r="A2813" s="62" t="n">
        <v>44156</v>
      </c>
      <c r="B2813" t="n">
        <v>5606000</v>
      </c>
      <c r="C2813" t="n">
        <v>762000</v>
      </c>
    </row>
    <row r="2814">
      <c r="A2814" s="62" t="n">
        <v>44163</v>
      </c>
      <c r="B2814" t="n">
        <v>5829000</v>
      </c>
      <c r="C2814" t="n">
        <v>719000</v>
      </c>
    </row>
    <row r="2815">
      <c r="A2815" s="62" t="n">
        <v>44170</v>
      </c>
      <c r="B2815" t="n">
        <v>5614000</v>
      </c>
      <c r="C2815" t="n">
        <v>853000</v>
      </c>
    </row>
    <row r="2816">
      <c r="A2816" s="62" t="n">
        <v>44177</v>
      </c>
      <c r="B2816" t="n">
        <v>5433000</v>
      </c>
      <c r="C2816" t="n">
        <v>873000</v>
      </c>
    </row>
    <row r="2817">
      <c r="A2817" s="62" t="n">
        <v>44184</v>
      </c>
      <c r="B2817" t="n">
        <v>5311000</v>
      </c>
      <c r="C2817" t="n">
        <v>803000</v>
      </c>
    </row>
    <row r="2818">
      <c r="A2818" s="62" t="n">
        <v>44191</v>
      </c>
      <c r="B2818" t="n">
        <v>5180000</v>
      </c>
      <c r="C2818" t="n">
        <v>763000</v>
      </c>
    </row>
    <row r="2819">
      <c r="A2819" s="62" t="n">
        <v>44198</v>
      </c>
      <c r="B2819" t="n">
        <v>5240000</v>
      </c>
      <c r="C2819" t="n">
        <v>781000</v>
      </c>
    </row>
    <row r="2820">
      <c r="A2820" s="62" t="n">
        <v>44205</v>
      </c>
      <c r="B2820" t="n">
        <v>5061000</v>
      </c>
      <c r="C2820" t="n">
        <v>904000</v>
      </c>
    </row>
    <row r="2821">
      <c r="A2821" s="62" t="n">
        <v>44212</v>
      </c>
      <c r="B2821" t="n">
        <v>4878000</v>
      </c>
      <c r="C2821" t="n">
        <v>886000</v>
      </c>
    </row>
    <row r="2822">
      <c r="A2822" s="62" t="n">
        <v>44219</v>
      </c>
      <c r="B2822" t="n">
        <v>4791000</v>
      </c>
      <c r="C2822" t="n">
        <v>836000</v>
      </c>
    </row>
    <row r="2823">
      <c r="A2823" s="62" t="n">
        <v>44226</v>
      </c>
      <c r="B2823" t="n">
        <v>4655000</v>
      </c>
      <c r="C2823" t="n">
        <v>837000</v>
      </c>
    </row>
    <row r="2824">
      <c r="A2824" s="62" t="n">
        <v>44233</v>
      </c>
      <c r="B2824" t="n">
        <v>4592000</v>
      </c>
      <c r="C2824" t="n">
        <v>863000</v>
      </c>
    </row>
    <row r="2825">
      <c r="A2825" s="62" t="n">
        <v>44240</v>
      </c>
      <c r="B2825" t="n">
        <v>4469000</v>
      </c>
      <c r="C2825" t="n">
        <v>847000</v>
      </c>
    </row>
    <row r="2826">
      <c r="A2826" s="62" t="n">
        <v>44247</v>
      </c>
      <c r="B2826" t="n">
        <v>4383000</v>
      </c>
      <c r="C2826" t="n">
        <v>747000</v>
      </c>
    </row>
    <row r="2827">
      <c r="A2827" s="62" t="n">
        <v>44254</v>
      </c>
      <c r="B2827" t="n">
        <v>4157000</v>
      </c>
      <c r="C2827" t="n">
        <v>761000</v>
      </c>
    </row>
    <row r="2828">
      <c r="A2828" s="62" t="n">
        <v>44261</v>
      </c>
      <c r="B2828" t="n">
        <v>4123000</v>
      </c>
      <c r="C2828" t="n">
        <v>734000</v>
      </c>
    </row>
    <row r="2829">
      <c r="A2829" s="62" t="n">
        <v>44268</v>
      </c>
      <c r="B2829" t="n">
        <v>3841000</v>
      </c>
      <c r="C2829" t="n">
        <v>765000</v>
      </c>
    </row>
    <row r="2830">
      <c r="A2830" s="62" t="n">
        <v>44275</v>
      </c>
      <c r="B2830" t="n">
        <v>3753000</v>
      </c>
      <c r="C2830" t="n">
        <v>658000</v>
      </c>
    </row>
    <row r="2831">
      <c r="A2831" s="62" t="n">
        <v>44282</v>
      </c>
      <c r="B2831" t="n">
        <v>3717000</v>
      </c>
      <c r="C2831" t="n">
        <v>729000</v>
      </c>
    </row>
    <row r="2832">
      <c r="A2832" s="62" t="n">
        <v>44289</v>
      </c>
      <c r="B2832" t="n">
        <v>3708000</v>
      </c>
      <c r="C2832" t="n">
        <v>742000</v>
      </c>
    </row>
    <row r="2833">
      <c r="A2833" s="62" t="n">
        <v>44296</v>
      </c>
      <c r="B2833" t="n">
        <v>3652000</v>
      </c>
      <c r="C2833" t="n">
        <v>586000</v>
      </c>
    </row>
    <row r="2834">
      <c r="A2834" s="62" t="n">
        <v>44303</v>
      </c>
      <c r="B2834" t="n">
        <v>3653000</v>
      </c>
      <c r="C2834" t="n">
        <v>566000</v>
      </c>
    </row>
    <row r="2835">
      <c r="A2835" s="62" t="n">
        <v>44310</v>
      </c>
      <c r="B2835" t="n">
        <v>3680000</v>
      </c>
      <c r="C2835" t="n">
        <v>590000</v>
      </c>
    </row>
    <row r="2836">
      <c r="A2836" s="62" t="n">
        <v>44317</v>
      </c>
      <c r="B2836" t="n">
        <v>3640000</v>
      </c>
      <c r="C2836" t="n">
        <v>507000</v>
      </c>
    </row>
    <row r="2837">
      <c r="A2837" s="62" t="n">
        <v>44324</v>
      </c>
      <c r="B2837" t="n">
        <v>3738000</v>
      </c>
      <c r="C2837" t="n">
        <v>478000</v>
      </c>
    </row>
    <row r="2838">
      <c r="A2838" s="62" t="n">
        <v>44331</v>
      </c>
      <c r="B2838" t="n">
        <v>3611000</v>
      </c>
      <c r="C2838" t="n">
        <v>444000</v>
      </c>
    </row>
    <row r="2839">
      <c r="A2839" s="62" t="n">
        <v>44338</v>
      </c>
      <c r="B2839" t="n">
        <v>3769000</v>
      </c>
      <c r="C2839" t="n">
        <v>405000</v>
      </c>
    </row>
    <row r="2840">
      <c r="A2840" s="62" t="n">
        <v>44345</v>
      </c>
      <c r="B2840" t="n">
        <v>3517000</v>
      </c>
      <c r="C2840" t="n">
        <v>388000</v>
      </c>
    </row>
    <row r="2841">
      <c r="A2841" s="62" t="n">
        <v>44352</v>
      </c>
      <c r="B2841" t="n">
        <v>3528000</v>
      </c>
      <c r="C2841" t="n">
        <v>374000</v>
      </c>
    </row>
    <row r="2842">
      <c r="A2842" s="62" t="n">
        <v>44359</v>
      </c>
      <c r="B2842" t="n">
        <v>3412000</v>
      </c>
      <c r="C2842" t="n">
        <v>418000</v>
      </c>
    </row>
    <row r="2843">
      <c r="A2843" s="62" t="n">
        <v>44366</v>
      </c>
      <c r="B2843" t="n">
        <v>3484000</v>
      </c>
      <c r="C2843" t="n">
        <v>416000</v>
      </c>
    </row>
    <row r="2844">
      <c r="A2844" s="62" t="n">
        <v>44373</v>
      </c>
      <c r="B2844" t="n">
        <v>3367000</v>
      </c>
      <c r="C2844" t="n">
        <v>368000</v>
      </c>
    </row>
    <row r="2845">
      <c r="A2845" s="62" t="n">
        <v>44380</v>
      </c>
      <c r="B2845" t="n">
        <v>3265000</v>
      </c>
      <c r="C2845" t="n">
        <v>386000</v>
      </c>
    </row>
    <row r="2846">
      <c r="A2846" s="62" t="n">
        <v>44387</v>
      </c>
      <c r="B2846" t="n">
        <v>3262000</v>
      </c>
      <c r="C2846" t="n">
        <v>368000</v>
      </c>
    </row>
    <row r="2847">
      <c r="A2847" s="62" t="n">
        <v>44394</v>
      </c>
      <c r="B2847" t="n">
        <v>3296000</v>
      </c>
      <c r="C2847" t="n">
        <v>424000</v>
      </c>
    </row>
    <row r="2848">
      <c r="A2848" s="62" t="n">
        <v>44401</v>
      </c>
      <c r="B2848" t="n">
        <v>2980000</v>
      </c>
      <c r="C2848" t="n">
        <v>399000</v>
      </c>
    </row>
    <row r="2849">
      <c r="A2849" s="62" t="n">
        <v>44408</v>
      </c>
      <c r="B2849" t="n">
        <v>2899000</v>
      </c>
      <c r="C2849" t="n">
        <v>387000</v>
      </c>
    </row>
    <row r="2850">
      <c r="A2850" s="62" t="n">
        <v>44415</v>
      </c>
      <c r="B2850" t="n">
        <v>2865000</v>
      </c>
      <c r="C2850" t="n">
        <v>377000</v>
      </c>
    </row>
    <row r="2851">
      <c r="A2851" s="62" t="n">
        <v>44422</v>
      </c>
      <c r="B2851" t="n">
        <v>2908000</v>
      </c>
      <c r="C2851" t="n">
        <v>349000</v>
      </c>
    </row>
    <row r="2852">
      <c r="A2852" s="62" t="n">
        <v>44429</v>
      </c>
      <c r="B2852" t="n">
        <v>2805000</v>
      </c>
      <c r="C2852" t="n">
        <v>354000</v>
      </c>
    </row>
    <row r="2853">
      <c r="A2853" s="62" t="n">
        <v>44436</v>
      </c>
      <c r="B2853" t="n">
        <v>2852000</v>
      </c>
      <c r="C2853" t="n">
        <v>345000</v>
      </c>
    </row>
    <row r="2854">
      <c r="A2854" s="62" t="n">
        <v>44443</v>
      </c>
      <c r="B2854" t="n">
        <v>2715000</v>
      </c>
      <c r="C2854" t="n">
        <v>312000</v>
      </c>
    </row>
    <row r="2855">
      <c r="A2855" s="62" t="n">
        <v>44450</v>
      </c>
      <c r="B2855" t="n">
        <v>2820000</v>
      </c>
      <c r="C2855" t="n">
        <v>335000</v>
      </c>
    </row>
    <row r="2856">
      <c r="A2856" s="62" t="n">
        <v>44457</v>
      </c>
      <c r="B2856" t="n">
        <v>2811000</v>
      </c>
      <c r="C2856" t="n">
        <v>351000</v>
      </c>
    </row>
    <row r="2857">
      <c r="A2857" s="62" t="n">
        <v>44464</v>
      </c>
      <c r="B2857" t="n">
        <v>2727000</v>
      </c>
      <c r="C2857" t="n">
        <v>364000</v>
      </c>
    </row>
    <row r="2858">
      <c r="A2858" s="62" t="n">
        <v>44471</v>
      </c>
      <c r="B2858" t="n">
        <v>2603000</v>
      </c>
      <c r="C2858" t="n">
        <v>329000</v>
      </c>
    </row>
    <row r="2859">
      <c r="A2859" s="62" t="n">
        <v>44478</v>
      </c>
      <c r="B2859" t="n">
        <v>2480000</v>
      </c>
      <c r="C2859" t="n">
        <v>296000</v>
      </c>
    </row>
    <row r="2860">
      <c r="A2860" s="62" t="n">
        <v>44485</v>
      </c>
      <c r="B2860" t="n">
        <v>2239000</v>
      </c>
      <c r="C2860" t="n">
        <v>291000</v>
      </c>
    </row>
    <row r="2861">
      <c r="A2861" s="62" t="n">
        <v>44492</v>
      </c>
      <c r="B2861" t="n">
        <v>2101000</v>
      </c>
      <c r="C2861" t="n">
        <v>283000</v>
      </c>
    </row>
    <row r="2862">
      <c r="A2862" s="62" t="n">
        <v>44499</v>
      </c>
      <c r="B2862" t="n">
        <v>2209000</v>
      </c>
      <c r="C2862" t="n">
        <v>271000</v>
      </c>
    </row>
    <row r="2863">
      <c r="A2863" s="62" t="n">
        <v>44506</v>
      </c>
      <c r="B2863" t="n">
        <v>2109000</v>
      </c>
      <c r="C2863" t="n">
        <v>269000</v>
      </c>
    </row>
    <row r="2864">
      <c r="A2864" s="62" t="n">
        <v>44513</v>
      </c>
      <c r="B2864" t="n">
        <v>2055000</v>
      </c>
      <c r="C2864" t="n">
        <v>270000</v>
      </c>
    </row>
    <row r="2865">
      <c r="A2865" s="62" t="n">
        <v>44520</v>
      </c>
      <c r="B2865" t="n">
        <v>1954000</v>
      </c>
      <c r="C2865" t="n">
        <v>194000</v>
      </c>
    </row>
    <row r="2866">
      <c r="A2866" s="62" t="n">
        <v>44527</v>
      </c>
      <c r="B2866" t="n">
        <v>1999000</v>
      </c>
      <c r="C2866" t="n">
        <v>227000</v>
      </c>
    </row>
    <row r="2867">
      <c r="A2867" s="62" t="n">
        <v>44534</v>
      </c>
      <c r="B2867" t="n">
        <v>1845000</v>
      </c>
      <c r="C2867" t="n">
        <v>188000</v>
      </c>
    </row>
    <row r="2868">
      <c r="A2868" s="62" t="n">
        <v>44541</v>
      </c>
      <c r="C2868" t="n">
        <v>206000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48"/>
  <sheetViews>
    <sheetView tabSelected="1" workbookViewId="0">
      <pane ySplit="1" topLeftCell="A218" activePane="bottomLeft" state="frozen"/>
      <selection activeCell="A2" sqref="A2"/>
      <selection pane="bottomLeft" activeCell="F235" sqref="F235"/>
    </sheetView>
  </sheetViews>
  <sheetFormatPr baseColWidth="10" defaultColWidth="8.83203125" defaultRowHeight="15"/>
  <cols>
    <col width="16.33203125" customWidth="1" style="50" min="1" max="1"/>
    <col width="10.6640625" customWidth="1" style="50" min="2" max="2"/>
    <col width="8.83203125" customWidth="1" style="50" min="3" max="9"/>
    <col width="8.83203125" customWidth="1" style="50" min="10" max="16384"/>
  </cols>
  <sheetData>
    <row r="1">
      <c r="A1" t="inlineStr">
        <is>
          <t>DATE</t>
        </is>
      </c>
      <c r="B1" t="inlineStr">
        <is>
          <t>ADP</t>
        </is>
      </c>
    </row>
    <row r="2">
      <c r="A2" s="79" t="n">
        <v>37043</v>
      </c>
      <c r="B2" t="n">
        <v>-175</v>
      </c>
    </row>
    <row r="3">
      <c r="A3" s="79" t="n">
        <v>37073</v>
      </c>
      <c r="B3" t="n">
        <v>-230</v>
      </c>
    </row>
    <row r="4">
      <c r="A4" s="79" t="n">
        <v>37104</v>
      </c>
      <c r="B4" t="n">
        <v>-203</v>
      </c>
    </row>
    <row r="5">
      <c r="A5" s="79" t="n">
        <v>37135</v>
      </c>
      <c r="B5" t="n">
        <v>-246</v>
      </c>
    </row>
    <row r="6">
      <c r="A6" s="79" t="n">
        <v>37165</v>
      </c>
      <c r="B6" t="n">
        <v>-261</v>
      </c>
    </row>
    <row r="7">
      <c r="A7" s="79" t="n">
        <v>37196</v>
      </c>
      <c r="B7" t="n">
        <v>-380</v>
      </c>
    </row>
    <row r="8">
      <c r="A8" s="79" t="n">
        <v>37226</v>
      </c>
      <c r="B8" t="n">
        <v>-361</v>
      </c>
    </row>
    <row r="9">
      <c r="A9" s="79" t="n">
        <v>37257</v>
      </c>
      <c r="B9" t="n">
        <v>-223</v>
      </c>
    </row>
    <row r="10">
      <c r="A10" s="79" t="n">
        <v>37288</v>
      </c>
      <c r="B10" t="n">
        <v>-69</v>
      </c>
    </row>
    <row r="11">
      <c r="A11" s="79" t="n">
        <v>37316</v>
      </c>
      <c r="B11" t="n">
        <v>-91</v>
      </c>
    </row>
    <row r="12">
      <c r="A12" s="79" t="n">
        <v>37347</v>
      </c>
      <c r="B12" t="n">
        <v>-70</v>
      </c>
    </row>
    <row r="13">
      <c r="A13" s="79" t="n">
        <v>37377</v>
      </c>
      <c r="B13" t="n">
        <v>-70</v>
      </c>
    </row>
    <row r="14">
      <c r="A14" s="79" t="n">
        <v>37408</v>
      </c>
      <c r="B14" t="n">
        <v>-138</v>
      </c>
    </row>
    <row r="15">
      <c r="A15" s="79" t="n">
        <v>37438</v>
      </c>
      <c r="B15" t="n">
        <v>-41</v>
      </c>
    </row>
    <row r="16">
      <c r="A16" s="79" t="n">
        <v>37469</v>
      </c>
      <c r="B16" t="n">
        <v>-21</v>
      </c>
    </row>
    <row r="17">
      <c r="A17" s="79" t="n">
        <v>37500</v>
      </c>
      <c r="B17" t="n">
        <v>12</v>
      </c>
    </row>
    <row r="18">
      <c r="A18" s="79" t="n">
        <v>37530</v>
      </c>
      <c r="B18" t="n">
        <v>-150</v>
      </c>
    </row>
    <row r="19">
      <c r="A19" s="79" t="n">
        <v>37561</v>
      </c>
      <c r="B19" t="n">
        <v>47</v>
      </c>
    </row>
    <row r="20">
      <c r="A20" s="79" t="n">
        <v>37591</v>
      </c>
      <c r="B20" t="n">
        <v>-11</v>
      </c>
    </row>
    <row r="21">
      <c r="A21" s="79" t="n">
        <v>37622</v>
      </c>
      <c r="B21" t="n">
        <v>-79</v>
      </c>
    </row>
    <row r="22">
      <c r="A22" s="79" t="n">
        <v>37653</v>
      </c>
      <c r="B22" t="n">
        <v>-113</v>
      </c>
    </row>
    <row r="23">
      <c r="A23" s="79" t="n">
        <v>37681</v>
      </c>
      <c r="B23" t="n">
        <v>26</v>
      </c>
    </row>
    <row r="24">
      <c r="A24" s="79" t="n">
        <v>37712</v>
      </c>
      <c r="B24" t="n">
        <v>-42</v>
      </c>
    </row>
    <row r="25">
      <c r="A25" s="79" t="n">
        <v>37742</v>
      </c>
      <c r="B25" t="n">
        <v>-8</v>
      </c>
    </row>
    <row r="26">
      <c r="A26" s="79" t="n">
        <v>37773</v>
      </c>
      <c r="B26" t="n">
        <v>-75</v>
      </c>
    </row>
    <row r="27">
      <c r="A27" s="79" t="n">
        <v>37803</v>
      </c>
      <c r="B27" t="n">
        <v>-25</v>
      </c>
    </row>
    <row r="28">
      <c r="A28" s="79" t="n">
        <v>37834</v>
      </c>
      <c r="B28" t="n">
        <v>28</v>
      </c>
    </row>
    <row r="29">
      <c r="A29" s="79" t="n">
        <v>37865</v>
      </c>
      <c r="B29" t="n">
        <v>-66</v>
      </c>
    </row>
    <row r="30">
      <c r="A30" s="79" t="n">
        <v>37895</v>
      </c>
      <c r="B30" t="n">
        <v>69</v>
      </c>
    </row>
    <row r="31">
      <c r="A31" s="79" t="n">
        <v>37926</v>
      </c>
      <c r="B31" t="n">
        <v>174</v>
      </c>
    </row>
    <row r="32">
      <c r="A32" s="79" t="n">
        <v>37956</v>
      </c>
      <c r="B32" t="n">
        <v>247</v>
      </c>
    </row>
    <row r="33">
      <c r="A33" s="79" t="n">
        <v>37987</v>
      </c>
      <c r="B33" t="n">
        <v>167</v>
      </c>
    </row>
    <row r="34">
      <c r="A34" s="79" t="n">
        <v>38018</v>
      </c>
      <c r="B34" t="n">
        <v>68</v>
      </c>
    </row>
    <row r="35">
      <c r="A35" s="79" t="n">
        <v>38047</v>
      </c>
      <c r="B35" t="n">
        <v>166</v>
      </c>
    </row>
    <row r="36">
      <c r="A36" s="79" t="n">
        <v>38078</v>
      </c>
      <c r="B36" t="n">
        <v>188</v>
      </c>
    </row>
    <row r="37">
      <c r="A37" s="79" t="n">
        <v>38108</v>
      </c>
      <c r="B37" t="n">
        <v>170</v>
      </c>
    </row>
    <row r="38">
      <c r="A38" s="79" t="n">
        <v>38139</v>
      </c>
      <c r="B38" t="n">
        <v>54</v>
      </c>
    </row>
    <row r="39">
      <c r="A39" s="79" t="n">
        <v>38169</v>
      </c>
      <c r="B39" t="n">
        <v>169</v>
      </c>
    </row>
    <row r="40">
      <c r="A40" s="79" t="n">
        <v>38200</v>
      </c>
      <c r="B40" t="n">
        <v>80</v>
      </c>
    </row>
    <row r="41">
      <c r="A41" s="79" t="n">
        <v>38231</v>
      </c>
      <c r="B41" t="n">
        <v>187</v>
      </c>
    </row>
    <row r="42">
      <c r="A42" s="79" t="n">
        <v>38261</v>
      </c>
      <c r="B42" t="n">
        <v>170</v>
      </c>
    </row>
    <row r="43">
      <c r="A43" s="79" t="n">
        <v>38292</v>
      </c>
      <c r="B43" t="n">
        <v>136</v>
      </c>
    </row>
    <row r="44">
      <c r="A44" s="79" t="n">
        <v>38322</v>
      </c>
      <c r="B44" t="n">
        <v>178</v>
      </c>
    </row>
    <row r="45">
      <c r="A45" s="79" t="n">
        <v>38353</v>
      </c>
      <c r="B45" t="n">
        <v>254</v>
      </c>
    </row>
    <row r="46">
      <c r="A46" s="79" t="n">
        <v>38384</v>
      </c>
      <c r="B46" t="n">
        <v>158</v>
      </c>
    </row>
    <row r="47">
      <c r="A47" s="79" t="n">
        <v>38412</v>
      </c>
      <c r="B47" t="n">
        <v>145</v>
      </c>
    </row>
    <row r="48">
      <c r="A48" s="79" t="n">
        <v>38443</v>
      </c>
      <c r="B48" t="n">
        <v>164</v>
      </c>
    </row>
    <row r="49">
      <c r="A49" s="79" t="n">
        <v>38473</v>
      </c>
      <c r="B49" t="n">
        <v>300</v>
      </c>
    </row>
    <row r="50">
      <c r="A50" s="79" t="n">
        <v>38504</v>
      </c>
      <c r="B50" t="n">
        <v>243</v>
      </c>
    </row>
    <row r="51">
      <c r="A51" s="79" t="n">
        <v>38534</v>
      </c>
      <c r="B51" t="n">
        <v>273</v>
      </c>
    </row>
    <row r="52">
      <c r="A52" s="79" t="n">
        <v>38565</v>
      </c>
      <c r="B52" t="n">
        <v>281</v>
      </c>
    </row>
    <row r="53">
      <c r="A53" s="79" t="n">
        <v>38596</v>
      </c>
      <c r="B53" t="n">
        <v>190</v>
      </c>
    </row>
    <row r="54">
      <c r="A54" s="79" t="n">
        <v>38626</v>
      </c>
      <c r="B54" t="n">
        <v>-35</v>
      </c>
    </row>
    <row r="55">
      <c r="A55" s="79" t="n">
        <v>38657</v>
      </c>
      <c r="B55" t="n">
        <v>134</v>
      </c>
    </row>
    <row r="56">
      <c r="A56" s="79" t="n">
        <v>38687</v>
      </c>
      <c r="B56" t="n">
        <v>253</v>
      </c>
    </row>
    <row r="57">
      <c r="A57" s="79" t="n">
        <v>38718</v>
      </c>
      <c r="B57" t="n">
        <v>225</v>
      </c>
    </row>
    <row r="58">
      <c r="A58" s="79" t="n">
        <v>38749</v>
      </c>
      <c r="B58" t="n">
        <v>296</v>
      </c>
    </row>
    <row r="59">
      <c r="A59" s="79" t="n">
        <v>38777</v>
      </c>
      <c r="B59" t="n">
        <v>360</v>
      </c>
    </row>
    <row r="60">
      <c r="A60" s="79" t="n">
        <v>38808</v>
      </c>
      <c r="B60" t="n">
        <v>208</v>
      </c>
    </row>
    <row r="61">
      <c r="A61" s="79" t="n">
        <v>38838</v>
      </c>
      <c r="B61" t="n">
        <v>80</v>
      </c>
    </row>
    <row r="62">
      <c r="A62" s="79" t="n">
        <v>38869</v>
      </c>
      <c r="B62" t="n">
        <v>175</v>
      </c>
    </row>
    <row r="63">
      <c r="A63" s="79" t="n">
        <v>38899</v>
      </c>
      <c r="B63" t="n">
        <v>106</v>
      </c>
    </row>
    <row r="64">
      <c r="A64" s="79" t="n">
        <v>38930</v>
      </c>
      <c r="B64" t="n">
        <v>123</v>
      </c>
    </row>
    <row r="65">
      <c r="A65" s="79" t="n">
        <v>38961</v>
      </c>
      <c r="B65" t="n">
        <v>185</v>
      </c>
    </row>
    <row r="66">
      <c r="A66" s="79" t="n">
        <v>38991</v>
      </c>
      <c r="B66" t="n">
        <v>58</v>
      </c>
    </row>
    <row r="67">
      <c r="A67" s="79" t="n">
        <v>39022</v>
      </c>
      <c r="B67" t="n">
        <v>109</v>
      </c>
    </row>
    <row r="68">
      <c r="A68" s="79" t="n">
        <v>39052</v>
      </c>
      <c r="B68" t="n">
        <v>-13</v>
      </c>
    </row>
    <row r="69">
      <c r="A69" s="79" t="n">
        <v>39083</v>
      </c>
      <c r="B69" t="n">
        <v>171</v>
      </c>
    </row>
    <row r="70">
      <c r="A70" s="79" t="n">
        <v>39114</v>
      </c>
      <c r="B70" t="n">
        <v>241</v>
      </c>
    </row>
    <row r="71">
      <c r="A71" s="79" t="n">
        <v>39142</v>
      </c>
      <c r="B71" t="n">
        <v>111</v>
      </c>
    </row>
    <row r="72">
      <c r="A72" s="79" t="n">
        <v>39173</v>
      </c>
      <c r="B72" t="n">
        <v>154</v>
      </c>
    </row>
    <row r="73">
      <c r="A73" s="79" t="n">
        <v>39203</v>
      </c>
      <c r="B73" t="n">
        <v>39</v>
      </c>
    </row>
    <row r="74">
      <c r="A74" s="79" t="n">
        <v>39234</v>
      </c>
      <c r="B74" t="n">
        <v>82</v>
      </c>
    </row>
    <row r="75">
      <c r="A75" s="79" t="n">
        <v>39264</v>
      </c>
      <c r="B75" t="n">
        <v>15</v>
      </c>
    </row>
    <row r="76">
      <c r="A76" s="79" t="n">
        <v>39295</v>
      </c>
      <c r="B76" t="n">
        <v>47</v>
      </c>
    </row>
    <row r="77">
      <c r="A77" s="79" t="n">
        <v>39326</v>
      </c>
      <c r="B77" t="n">
        <v>-27</v>
      </c>
    </row>
    <row r="78">
      <c r="A78" s="79" t="n">
        <v>39356</v>
      </c>
      <c r="B78" t="n">
        <v>23</v>
      </c>
    </row>
    <row r="79">
      <c r="A79" s="79" t="n">
        <v>39387</v>
      </c>
      <c r="B79" t="n">
        <v>44</v>
      </c>
    </row>
    <row r="80">
      <c r="A80" s="79" t="n">
        <v>39417</v>
      </c>
      <c r="B80" t="n">
        <v>58</v>
      </c>
    </row>
    <row r="81">
      <c r="A81" s="79" t="n">
        <v>39448</v>
      </c>
      <c r="B81" t="n">
        <v>47</v>
      </c>
    </row>
    <row r="82">
      <c r="A82" s="79" t="n">
        <v>39479</v>
      </c>
      <c r="B82" t="n">
        <v>118</v>
      </c>
    </row>
    <row r="83">
      <c r="A83" s="79" t="n">
        <v>39508</v>
      </c>
      <c r="B83" t="n">
        <v>-78</v>
      </c>
    </row>
    <row r="84">
      <c r="A84" s="79" t="n">
        <v>39539</v>
      </c>
      <c r="B84" t="n">
        <v>-181</v>
      </c>
    </row>
    <row r="85">
      <c r="A85" s="79" t="n">
        <v>39569</v>
      </c>
      <c r="B85" t="n">
        <v>-406</v>
      </c>
    </row>
    <row r="86">
      <c r="A86" s="79" t="n">
        <v>39600</v>
      </c>
      <c r="B86" t="n">
        <v>-409</v>
      </c>
    </row>
    <row r="87">
      <c r="A87" s="79" t="n">
        <v>39630</v>
      </c>
      <c r="B87" t="n">
        <v>-465</v>
      </c>
    </row>
    <row r="88">
      <c r="A88" s="79" t="n">
        <v>39661</v>
      </c>
      <c r="B88" t="n">
        <v>-416</v>
      </c>
    </row>
    <row r="89">
      <c r="A89" s="79" t="n">
        <v>39692</v>
      </c>
      <c r="B89" t="n">
        <v>-430</v>
      </c>
    </row>
    <row r="90">
      <c r="A90" s="79" t="n">
        <v>39722</v>
      </c>
      <c r="B90" t="n">
        <v>-489</v>
      </c>
    </row>
    <row r="91">
      <c r="A91" s="79" t="n">
        <v>39753</v>
      </c>
      <c r="B91" t="n">
        <v>-430</v>
      </c>
    </row>
    <row r="92">
      <c r="A92" s="79" t="n">
        <v>39783</v>
      </c>
      <c r="B92" t="n">
        <v>-620</v>
      </c>
    </row>
    <row r="93">
      <c r="A93" s="79" t="n">
        <v>39814</v>
      </c>
      <c r="B93" t="n">
        <v>-510</v>
      </c>
    </row>
    <row r="94">
      <c r="A94" s="79" t="n">
        <v>39845</v>
      </c>
      <c r="B94" t="n">
        <v>-584</v>
      </c>
    </row>
    <row r="95">
      <c r="A95" s="79" t="n">
        <v>39873</v>
      </c>
      <c r="B95" t="n">
        <v>-706</v>
      </c>
    </row>
    <row r="96">
      <c r="A96" s="79" t="n">
        <v>39904</v>
      </c>
      <c r="B96" t="n">
        <v>-417</v>
      </c>
    </row>
    <row r="97">
      <c r="A97" s="79" t="n">
        <v>39934</v>
      </c>
      <c r="B97" t="n">
        <v>-325</v>
      </c>
    </row>
    <row r="98">
      <c r="A98" s="79" t="n">
        <v>39965</v>
      </c>
      <c r="B98" t="n">
        <v>-244</v>
      </c>
    </row>
    <row r="99">
      <c r="A99" s="79" t="n">
        <v>39995</v>
      </c>
      <c r="B99" t="n">
        <v>-334</v>
      </c>
    </row>
    <row r="100">
      <c r="A100" s="79" t="n">
        <v>40026</v>
      </c>
      <c r="B100" t="n">
        <v>-180</v>
      </c>
    </row>
    <row r="101">
      <c r="A101" s="79" t="n">
        <v>40057</v>
      </c>
      <c r="B101" t="n">
        <v>-212</v>
      </c>
    </row>
    <row r="102">
      <c r="A102" s="79" t="n">
        <v>40087</v>
      </c>
      <c r="B102" t="n">
        <v>-126</v>
      </c>
    </row>
    <row r="103">
      <c r="A103" s="79" t="n">
        <v>40118</v>
      </c>
      <c r="B103" t="n">
        <v>-114</v>
      </c>
    </row>
    <row r="104">
      <c r="A104" s="79" t="n">
        <v>40148</v>
      </c>
      <c r="B104" t="n">
        <v>-374</v>
      </c>
    </row>
    <row r="105">
      <c r="A105" s="79" t="n">
        <v>40179</v>
      </c>
      <c r="B105" t="n">
        <v>-212</v>
      </c>
    </row>
    <row r="106">
      <c r="A106" s="79" t="n">
        <v>40210</v>
      </c>
      <c r="B106" t="n">
        <v>-137</v>
      </c>
    </row>
    <row r="107">
      <c r="A107" s="79" t="n">
        <v>40238</v>
      </c>
      <c r="B107" t="n">
        <v>-219</v>
      </c>
    </row>
    <row r="108">
      <c r="A108" s="79" t="n">
        <v>40269</v>
      </c>
      <c r="B108" t="n">
        <v>-113</v>
      </c>
    </row>
    <row r="109">
      <c r="A109" s="79" t="n">
        <v>40299</v>
      </c>
      <c r="B109" t="n">
        <v>147</v>
      </c>
    </row>
    <row r="110">
      <c r="A110" s="79" t="n">
        <v>40330</v>
      </c>
      <c r="B110" t="n">
        <v>152</v>
      </c>
    </row>
    <row r="111">
      <c r="A111" s="79" t="n">
        <v>40360</v>
      </c>
      <c r="B111" t="n">
        <v>102</v>
      </c>
    </row>
    <row r="112">
      <c r="A112" s="79" t="n">
        <v>40391</v>
      </c>
      <c r="B112" t="n">
        <v>159</v>
      </c>
    </row>
    <row r="113">
      <c r="A113" s="79" t="n">
        <v>40422</v>
      </c>
      <c r="B113" t="n">
        <v>99</v>
      </c>
    </row>
    <row r="114">
      <c r="A114" s="79" t="n">
        <v>40452</v>
      </c>
      <c r="B114" t="n">
        <v>117</v>
      </c>
    </row>
    <row r="115">
      <c r="A115" s="79" t="n">
        <v>40483</v>
      </c>
      <c r="B115" t="n">
        <v>219</v>
      </c>
    </row>
    <row r="116">
      <c r="A116" s="79" t="n">
        <v>40513</v>
      </c>
      <c r="B116" t="n">
        <v>141</v>
      </c>
    </row>
    <row r="117">
      <c r="A117" s="79" t="n">
        <v>40544</v>
      </c>
      <c r="B117" t="n">
        <v>85</v>
      </c>
    </row>
    <row r="118">
      <c r="A118" s="79" t="n">
        <v>40575</v>
      </c>
      <c r="B118" t="n">
        <v>137</v>
      </c>
    </row>
    <row r="119">
      <c r="A119" s="79" t="n">
        <v>40603</v>
      </c>
      <c r="B119" t="n">
        <v>164</v>
      </c>
    </row>
    <row r="120">
      <c r="A120" s="79" t="n">
        <v>40634</v>
      </c>
      <c r="B120" t="n">
        <v>213</v>
      </c>
    </row>
    <row r="121">
      <c r="A121" s="79" t="n">
        <v>40664</v>
      </c>
      <c r="B121" t="n">
        <v>299</v>
      </c>
    </row>
    <row r="122">
      <c r="A122" s="79" t="n">
        <v>40695</v>
      </c>
      <c r="B122" t="n">
        <v>254</v>
      </c>
    </row>
    <row r="123">
      <c r="A123" s="79" t="n">
        <v>40725</v>
      </c>
      <c r="B123" t="n">
        <v>263</v>
      </c>
    </row>
    <row r="124">
      <c r="A124" s="79" t="n">
        <v>40756</v>
      </c>
      <c r="B124" t="n">
        <v>213</v>
      </c>
    </row>
    <row r="125">
      <c r="A125" s="79" t="n">
        <v>40787</v>
      </c>
      <c r="B125" t="n">
        <v>216</v>
      </c>
    </row>
    <row r="126">
      <c r="A126" s="79" t="n">
        <v>40817</v>
      </c>
      <c r="B126" t="n">
        <v>227</v>
      </c>
    </row>
    <row r="127">
      <c r="A127" s="79" t="n">
        <v>40848</v>
      </c>
      <c r="B127" t="n">
        <v>191</v>
      </c>
    </row>
    <row r="128">
      <c r="A128" s="79" t="n">
        <v>40878</v>
      </c>
      <c r="B128" t="n">
        <v>127</v>
      </c>
    </row>
    <row r="129">
      <c r="A129" s="79" t="n">
        <v>40909</v>
      </c>
      <c r="B129" t="n">
        <v>194</v>
      </c>
    </row>
    <row r="130">
      <c r="A130" s="79" t="n">
        <v>40940</v>
      </c>
      <c r="B130" t="n">
        <v>199</v>
      </c>
    </row>
    <row r="131">
      <c r="A131" s="79" t="n">
        <v>40969</v>
      </c>
      <c r="B131" t="n">
        <v>281</v>
      </c>
    </row>
    <row r="132">
      <c r="A132" s="79" t="n">
        <v>41000</v>
      </c>
      <c r="B132" t="n">
        <v>250</v>
      </c>
    </row>
    <row r="133">
      <c r="A133" s="79" t="n">
        <v>41030</v>
      </c>
      <c r="B133" t="n">
        <v>83</v>
      </c>
    </row>
    <row r="134">
      <c r="A134" s="79" t="n">
        <v>41061</v>
      </c>
      <c r="B134" t="n">
        <v>153</v>
      </c>
    </row>
    <row r="135">
      <c r="A135" s="79" t="n">
        <v>41091</v>
      </c>
      <c r="B135" t="n">
        <v>79</v>
      </c>
    </row>
    <row r="136">
      <c r="A136" s="79" t="n">
        <v>41122</v>
      </c>
      <c r="B136" t="n">
        <v>142</v>
      </c>
    </row>
    <row r="137">
      <c r="A137" s="79" t="n">
        <v>41153</v>
      </c>
      <c r="B137" t="n">
        <v>184</v>
      </c>
    </row>
    <row r="138">
      <c r="A138" s="79" t="n">
        <v>41183</v>
      </c>
      <c r="B138" t="n">
        <v>150</v>
      </c>
    </row>
    <row r="139">
      <c r="A139" s="79" t="n">
        <v>41214</v>
      </c>
      <c r="B139" t="n">
        <v>227</v>
      </c>
    </row>
    <row r="140">
      <c r="A140" s="79" t="n">
        <v>41244</v>
      </c>
      <c r="B140" t="n">
        <v>159</v>
      </c>
    </row>
    <row r="141">
      <c r="A141" s="79" t="n">
        <v>41275</v>
      </c>
      <c r="B141" t="n">
        <v>231</v>
      </c>
    </row>
    <row r="142">
      <c r="A142" s="79" t="n">
        <v>41306</v>
      </c>
      <c r="B142" t="n">
        <v>208</v>
      </c>
    </row>
    <row r="143">
      <c r="A143" s="79" t="n">
        <v>41334</v>
      </c>
      <c r="B143" t="n">
        <v>203</v>
      </c>
    </row>
    <row r="144">
      <c r="A144" s="79" t="n">
        <v>41365</v>
      </c>
      <c r="B144" t="n">
        <v>181</v>
      </c>
    </row>
    <row r="145">
      <c r="A145" s="79" t="n">
        <v>41395</v>
      </c>
      <c r="B145" t="n">
        <v>126</v>
      </c>
    </row>
    <row r="146">
      <c r="A146" s="79" t="n">
        <v>41426</v>
      </c>
      <c r="B146" t="n">
        <v>210</v>
      </c>
    </row>
    <row r="147">
      <c r="A147" s="79" t="n">
        <v>41456</v>
      </c>
      <c r="B147" t="n">
        <v>217</v>
      </c>
    </row>
    <row r="148">
      <c r="A148" s="79" t="n">
        <v>41487</v>
      </c>
      <c r="B148" t="n">
        <v>157</v>
      </c>
    </row>
    <row r="149">
      <c r="A149" s="79" t="n">
        <v>41518</v>
      </c>
      <c r="B149" t="n">
        <v>206</v>
      </c>
    </row>
    <row r="150">
      <c r="A150" s="79" t="n">
        <v>41548</v>
      </c>
      <c r="B150" t="n">
        <v>243</v>
      </c>
    </row>
    <row r="151">
      <c r="A151" s="79" t="n">
        <v>41579</v>
      </c>
      <c r="B151" t="n">
        <v>211</v>
      </c>
    </row>
    <row r="152">
      <c r="A152" s="79" t="n">
        <v>41609</v>
      </c>
      <c r="B152" t="n">
        <v>195</v>
      </c>
    </row>
    <row r="153">
      <c r="A153" s="79" t="n">
        <v>41640</v>
      </c>
      <c r="B153" t="n">
        <v>178</v>
      </c>
    </row>
    <row r="154">
      <c r="A154" s="79" t="n">
        <v>41671</v>
      </c>
      <c r="B154" t="n">
        <v>212</v>
      </c>
    </row>
    <row r="155">
      <c r="A155" s="79" t="n">
        <v>41699</v>
      </c>
      <c r="B155" t="n">
        <v>190</v>
      </c>
    </row>
    <row r="156">
      <c r="A156" s="79" t="n">
        <v>41730</v>
      </c>
      <c r="B156" t="n">
        <v>179</v>
      </c>
    </row>
    <row r="157">
      <c r="A157" s="79" t="n">
        <v>41760</v>
      </c>
      <c r="B157" t="n">
        <v>278</v>
      </c>
    </row>
    <row r="158">
      <c r="A158" s="79" t="n">
        <v>41791</v>
      </c>
      <c r="B158" t="n">
        <v>202</v>
      </c>
    </row>
    <row r="159">
      <c r="A159" s="79" t="n">
        <v>41821</v>
      </c>
      <c r="B159" t="n">
        <v>292</v>
      </c>
    </row>
    <row r="160">
      <c r="A160" s="79" t="n">
        <v>41852</v>
      </c>
      <c r="B160" t="n">
        <v>223</v>
      </c>
    </row>
    <row r="161">
      <c r="A161" s="79" t="n">
        <v>41883</v>
      </c>
      <c r="B161" t="n">
        <v>230</v>
      </c>
    </row>
    <row r="162">
      <c r="A162" s="79" t="n">
        <v>41913</v>
      </c>
      <c r="B162" t="n">
        <v>251</v>
      </c>
    </row>
    <row r="163">
      <c r="A163" s="79" t="n">
        <v>41944</v>
      </c>
      <c r="B163" t="n">
        <v>252</v>
      </c>
    </row>
    <row r="164">
      <c r="A164" s="79" t="n">
        <v>41974</v>
      </c>
      <c r="B164" t="n">
        <v>195</v>
      </c>
    </row>
    <row r="165">
      <c r="A165" s="79" t="n">
        <v>42005</v>
      </c>
      <c r="B165" t="n">
        <v>292</v>
      </c>
    </row>
    <row r="166">
      <c r="A166" s="79" t="n">
        <v>42036</v>
      </c>
      <c r="B166" t="n">
        <v>191</v>
      </c>
    </row>
    <row r="167">
      <c r="A167" s="79" t="n">
        <v>42064</v>
      </c>
      <c r="B167" t="n">
        <v>226</v>
      </c>
    </row>
    <row r="168">
      <c r="A168" s="79" t="n">
        <v>42095</v>
      </c>
      <c r="B168" t="n">
        <v>178</v>
      </c>
    </row>
    <row r="169">
      <c r="A169" s="79" t="n">
        <v>42125</v>
      </c>
      <c r="B169" t="n">
        <v>179</v>
      </c>
    </row>
    <row r="170">
      <c r="A170" s="79" t="n">
        <v>42156</v>
      </c>
      <c r="B170" t="n">
        <v>296</v>
      </c>
    </row>
    <row r="171">
      <c r="A171" s="79" t="n">
        <v>42186</v>
      </c>
      <c r="B171" t="n">
        <v>219</v>
      </c>
    </row>
    <row r="172">
      <c r="A172" s="79" t="n">
        <v>42217</v>
      </c>
      <c r="B172" t="n">
        <v>190</v>
      </c>
    </row>
    <row r="173">
      <c r="A173" s="79" t="n">
        <v>42248</v>
      </c>
      <c r="B173" t="n">
        <v>190</v>
      </c>
    </row>
    <row r="174">
      <c r="A174" s="79" t="n">
        <v>42278</v>
      </c>
      <c r="B174" t="n">
        <v>204</v>
      </c>
    </row>
    <row r="175">
      <c r="A175" s="79" t="n">
        <v>42309</v>
      </c>
      <c r="B175" t="n">
        <v>186</v>
      </c>
    </row>
    <row r="176">
      <c r="A176" s="79" t="n">
        <v>42339</v>
      </c>
      <c r="B176" t="n">
        <v>223</v>
      </c>
    </row>
    <row r="177">
      <c r="A177" s="79" t="n">
        <v>42370</v>
      </c>
      <c r="B177" t="n">
        <v>271</v>
      </c>
    </row>
    <row r="178">
      <c r="A178" s="79" t="n">
        <v>42401</v>
      </c>
      <c r="B178" t="n">
        <v>130</v>
      </c>
    </row>
    <row r="179">
      <c r="A179" s="79" t="n">
        <v>42430</v>
      </c>
      <c r="B179" t="n">
        <v>241</v>
      </c>
    </row>
    <row r="180">
      <c r="A180" s="79" t="n">
        <v>42461</v>
      </c>
      <c r="B180" t="n">
        <v>205</v>
      </c>
    </row>
    <row r="181">
      <c r="A181" s="79" t="n">
        <v>42491</v>
      </c>
      <c r="B181" t="n">
        <v>170</v>
      </c>
    </row>
    <row r="182">
      <c r="A182" s="79" t="n">
        <v>42522</v>
      </c>
      <c r="B182" t="n">
        <v>84</v>
      </c>
    </row>
    <row r="183">
      <c r="A183" s="79" t="n">
        <v>42552</v>
      </c>
      <c r="B183" t="n">
        <v>255</v>
      </c>
    </row>
    <row r="184">
      <c r="A184" s="79" t="n">
        <v>42583</v>
      </c>
      <c r="B184" t="n">
        <v>152</v>
      </c>
    </row>
    <row r="185">
      <c r="A185" s="79" t="n">
        <v>42614</v>
      </c>
      <c r="B185" t="n">
        <v>192</v>
      </c>
    </row>
    <row r="186">
      <c r="A186" s="79" t="n">
        <v>42644</v>
      </c>
      <c r="B186" t="n">
        <v>181</v>
      </c>
    </row>
    <row r="187">
      <c r="A187" s="79" t="n">
        <v>42675</v>
      </c>
      <c r="B187" t="n">
        <v>91</v>
      </c>
    </row>
    <row r="188">
      <c r="A188" s="79" t="n">
        <v>42705</v>
      </c>
      <c r="B188" t="n">
        <v>236</v>
      </c>
    </row>
    <row r="189">
      <c r="A189" s="79" t="n">
        <v>42736</v>
      </c>
      <c r="B189" t="n">
        <v>105</v>
      </c>
    </row>
    <row r="190">
      <c r="A190" s="79" t="n">
        <v>42767</v>
      </c>
      <c r="B190" t="n">
        <v>224</v>
      </c>
    </row>
    <row r="191">
      <c r="A191" s="79" t="n">
        <v>42795</v>
      </c>
      <c r="B191" t="n">
        <v>237</v>
      </c>
    </row>
    <row r="192">
      <c r="A192" s="79" t="n">
        <v>42826</v>
      </c>
      <c r="B192" t="n">
        <v>209</v>
      </c>
    </row>
    <row r="193">
      <c r="A193" s="79" t="n">
        <v>42856</v>
      </c>
      <c r="B193" t="n">
        <v>173</v>
      </c>
    </row>
    <row r="194">
      <c r="A194" s="79" t="n">
        <v>42887</v>
      </c>
      <c r="B194" t="n">
        <v>170</v>
      </c>
    </row>
    <row r="195">
      <c r="A195" s="79" t="n">
        <v>42917</v>
      </c>
      <c r="B195" t="n">
        <v>135</v>
      </c>
    </row>
    <row r="196">
      <c r="A196" s="79" t="n">
        <v>42948</v>
      </c>
      <c r="B196" t="n">
        <v>183</v>
      </c>
    </row>
    <row r="197">
      <c r="A197" s="79" t="n">
        <v>42979</v>
      </c>
      <c r="B197" t="n">
        <v>174</v>
      </c>
    </row>
    <row r="198">
      <c r="A198" s="79" t="n">
        <v>43009</v>
      </c>
      <c r="B198" t="n">
        <v>111</v>
      </c>
    </row>
    <row r="199">
      <c r="A199" s="79" t="n">
        <v>43040</v>
      </c>
      <c r="B199" t="n">
        <v>158</v>
      </c>
    </row>
    <row r="200">
      <c r="A200" s="79" t="n">
        <v>43070</v>
      </c>
      <c r="B200" t="n">
        <v>207</v>
      </c>
    </row>
    <row r="201">
      <c r="A201" s="79" t="n">
        <v>43101</v>
      </c>
      <c r="B201" t="n">
        <v>241</v>
      </c>
    </row>
    <row r="202">
      <c r="A202" s="79" t="n">
        <v>43132</v>
      </c>
      <c r="B202" t="n">
        <v>252</v>
      </c>
    </row>
    <row r="203">
      <c r="A203" s="79" t="n">
        <v>43160</v>
      </c>
      <c r="B203" t="n">
        <v>219</v>
      </c>
    </row>
    <row r="204">
      <c r="A204" s="79" t="n">
        <v>43191</v>
      </c>
      <c r="B204" t="n">
        <v>213</v>
      </c>
    </row>
    <row r="205">
      <c r="A205" s="79" t="n">
        <v>43221</v>
      </c>
      <c r="B205" t="n">
        <v>178</v>
      </c>
    </row>
    <row r="206">
      <c r="A206" s="79" t="n">
        <v>43252</v>
      </c>
      <c r="B206" t="n">
        <v>276</v>
      </c>
    </row>
    <row r="207">
      <c r="A207" s="79" t="n">
        <v>43282</v>
      </c>
      <c r="B207" t="n">
        <v>221</v>
      </c>
    </row>
    <row r="208">
      <c r="A208" s="79" t="n">
        <v>43313</v>
      </c>
      <c r="B208" t="n">
        <v>284</v>
      </c>
    </row>
    <row r="209">
      <c r="A209" s="79" t="n">
        <v>43344</v>
      </c>
      <c r="B209" t="n">
        <v>159</v>
      </c>
    </row>
    <row r="210">
      <c r="A210" s="79" t="n">
        <v>43374</v>
      </c>
      <c r="B210" t="n">
        <v>199</v>
      </c>
    </row>
    <row r="211">
      <c r="A211" s="79" t="n">
        <v>43405</v>
      </c>
      <c r="B211" t="n">
        <v>238</v>
      </c>
    </row>
    <row r="212">
      <c r="A212" s="79" t="n">
        <v>43435</v>
      </c>
      <c r="B212" t="n">
        <v>136</v>
      </c>
    </row>
    <row r="213">
      <c r="A213" s="79" t="n">
        <v>43466</v>
      </c>
      <c r="B213" t="n">
        <v>249</v>
      </c>
    </row>
    <row r="214">
      <c r="A214" s="79" t="n">
        <v>43497</v>
      </c>
      <c r="B214" t="n">
        <v>264</v>
      </c>
    </row>
    <row r="215">
      <c r="A215" s="79" t="n">
        <v>43525</v>
      </c>
      <c r="B215" t="n">
        <v>220</v>
      </c>
    </row>
    <row r="216">
      <c r="A216" s="79" t="n">
        <v>43556</v>
      </c>
      <c r="B216" t="n">
        <v>158</v>
      </c>
    </row>
    <row r="217">
      <c r="A217" s="79" t="n">
        <v>43586</v>
      </c>
      <c r="B217" t="n">
        <v>255</v>
      </c>
    </row>
    <row r="218">
      <c r="A218" s="79" t="n">
        <v>43617</v>
      </c>
      <c r="B218" t="n">
        <v>46</v>
      </c>
    </row>
    <row r="219">
      <c r="A219" s="79" t="n">
        <v>43647</v>
      </c>
      <c r="B219" t="n">
        <v>107</v>
      </c>
    </row>
    <row r="220">
      <c r="A220" s="79" t="n">
        <v>43678</v>
      </c>
      <c r="B220" t="n">
        <v>143</v>
      </c>
    </row>
    <row r="221">
      <c r="A221" s="79" t="n">
        <v>43709</v>
      </c>
      <c r="B221" t="n">
        <v>159</v>
      </c>
    </row>
    <row r="222">
      <c r="A222" s="79" t="n">
        <v>43739</v>
      </c>
      <c r="B222" t="n">
        <v>124</v>
      </c>
    </row>
    <row r="223">
      <c r="A223" s="79" t="n">
        <v>43770</v>
      </c>
      <c r="B223" t="n">
        <v>151</v>
      </c>
    </row>
    <row r="224">
      <c r="A224" s="79" t="n">
        <v>43800</v>
      </c>
      <c r="B224" t="n">
        <v>124</v>
      </c>
    </row>
    <row r="225">
      <c r="A225" s="79" t="n">
        <v>43831</v>
      </c>
      <c r="B225" t="n">
        <v>199</v>
      </c>
    </row>
    <row r="226">
      <c r="A226" s="79" t="n">
        <v>43862</v>
      </c>
      <c r="B226" t="n">
        <v>209</v>
      </c>
    </row>
    <row r="227">
      <c r="A227" s="79" t="n">
        <v>43891</v>
      </c>
      <c r="B227" t="n">
        <v>183</v>
      </c>
    </row>
    <row r="228">
      <c r="A228" s="79" t="n">
        <v>43922</v>
      </c>
      <c r="B228" t="n">
        <v>-149</v>
      </c>
    </row>
    <row r="229">
      <c r="A229" s="79" t="n">
        <v>43952</v>
      </c>
      <c r="B229" t="n">
        <v>-19557</v>
      </c>
    </row>
    <row r="230">
      <c r="A230" s="79" t="n">
        <v>43983</v>
      </c>
      <c r="B230" t="n">
        <v>3065</v>
      </c>
    </row>
    <row r="231">
      <c r="A231" s="79" t="n">
        <v>44013</v>
      </c>
      <c r="B231" t="n">
        <v>2369</v>
      </c>
    </row>
    <row r="232">
      <c r="A232" s="79" t="n">
        <v>44044</v>
      </c>
      <c r="B232" t="n">
        <v>167</v>
      </c>
    </row>
    <row r="233">
      <c r="A233" s="79" t="n">
        <v>44075</v>
      </c>
      <c r="B233" t="n">
        <v>428</v>
      </c>
    </row>
    <row r="234">
      <c r="A234" s="79" t="n">
        <v>44105</v>
      </c>
      <c r="B234" t="n">
        <v>749</v>
      </c>
    </row>
    <row r="235">
      <c r="A235" s="79" t="n">
        <v>44136</v>
      </c>
      <c r="B235" t="n">
        <v>365</v>
      </c>
    </row>
    <row r="236">
      <c r="A236" s="79" t="n">
        <v>44166</v>
      </c>
      <c r="B236" t="n">
        <v>307</v>
      </c>
    </row>
    <row r="237">
      <c r="A237" s="79" t="n">
        <v>44197</v>
      </c>
      <c r="B237" t="n">
        <v>-123</v>
      </c>
    </row>
    <row r="238">
      <c r="A238" s="79" t="n">
        <v>44228</v>
      </c>
      <c r="B238" t="n">
        <v>174</v>
      </c>
    </row>
    <row r="239">
      <c r="A239" s="79" t="n">
        <v>44256</v>
      </c>
      <c r="B239" t="n">
        <v>117</v>
      </c>
    </row>
    <row r="240">
      <c r="A240" s="79" t="n">
        <v>44287</v>
      </c>
      <c r="B240" t="n">
        <v>517</v>
      </c>
    </row>
    <row r="241">
      <c r="A241" s="79" t="n">
        <v>44317</v>
      </c>
      <c r="B241" t="n">
        <v>742</v>
      </c>
    </row>
    <row r="242">
      <c r="A242" s="79" t="n">
        <v>44348</v>
      </c>
      <c r="B242" t="n">
        <v>978</v>
      </c>
    </row>
    <row r="243">
      <c r="A243" s="79" t="n">
        <v>44378</v>
      </c>
      <c r="B243" t="n">
        <v>692</v>
      </c>
    </row>
    <row r="244">
      <c r="A244" s="79" t="n">
        <v>44409</v>
      </c>
      <c r="B244" t="n">
        <v>330</v>
      </c>
    </row>
    <row r="245">
      <c r="A245" s="79" t="n">
        <v>44440</v>
      </c>
      <c r="B245" t="n">
        <v>374</v>
      </c>
    </row>
    <row r="246">
      <c r="A246" s="79" t="n">
        <v>44470</v>
      </c>
      <c r="B246" t="n">
        <v>568</v>
      </c>
    </row>
    <row r="247">
      <c r="A247" s="79" t="n">
        <v>44503</v>
      </c>
      <c r="B247" t="n">
        <v>571</v>
      </c>
    </row>
    <row r="248">
      <c r="A248" s="79" t="n">
        <v>44531</v>
      </c>
      <c r="B248" t="n">
        <v>534</v>
      </c>
    </row>
  </sheetData>
  <pageMargins left="0.7" right="0.7" top="0.75" bottom="0.75" header="0.3" footer="0.3"/>
</worksheet>
</file>

<file path=xl/worksheets/sheet5.xml><?xml version="1.0" encoding="utf-8"?>
<worksheet xmlns="http://schemas.openxmlformats.org/spreadsheetml/2006/main">
  <sheetPr codeName="Sheet2">
    <tabColor rgb="FF00B050"/>
    <outlinePr summaryBelow="1" summaryRight="1"/>
    <pageSetUpPr/>
  </sheetPr>
  <dimension ref="A1:AJ1003"/>
  <sheetViews>
    <sheetView zoomScale="120" zoomScaleNormal="120" workbookViewId="0">
      <pane ySplit="11" topLeftCell="A956" activePane="bottomLeft" state="frozen"/>
      <selection activeCell="F8" sqref="F8"/>
      <selection pane="bottomLeft" activeCell="F8" sqref="F8"/>
    </sheetView>
  </sheetViews>
  <sheetFormatPr baseColWidth="10" defaultColWidth="8.83203125" defaultRowHeight="15"/>
  <cols>
    <col width="14" customWidth="1" style="50" min="1" max="1"/>
    <col width="12.6640625" customWidth="1" style="3" min="2" max="2"/>
    <col width="15" customWidth="1" style="3" min="3" max="3"/>
    <col width="13" customWidth="1" style="3" min="4" max="4"/>
    <col width="16.1640625" customWidth="1" style="3" min="5" max="5"/>
    <col width="14.33203125" customWidth="1" style="3" min="6" max="6"/>
    <col width="9.1640625" customWidth="1" style="70" min="7" max="36"/>
  </cols>
  <sheetData>
    <row r="1" customFormat="1" s="70">
      <c r="A1" s="70" t="inlineStr">
        <is>
          <t>PAYEMS</t>
        </is>
      </c>
      <c r="B1" s="15" t="inlineStr">
        <is>
          <t>All Employees: Total Nonfarm Payrolls, Thousands of Persons, Monthly, Seasonally Adjusted</t>
        </is>
      </c>
      <c r="C1" s="15" t="n"/>
      <c r="D1" s="15" t="n"/>
      <c r="E1" s="15" t="n"/>
      <c r="F1" s="15" t="n"/>
    </row>
    <row r="2" ht="16" customFormat="1" customHeight="1" s="70" thickBot="1">
      <c r="B2" s="15" t="n"/>
      <c r="C2" s="15" t="n"/>
      <c r="D2" s="15" t="n"/>
      <c r="E2" s="15" t="n"/>
      <c r="F2" s="15" t="n"/>
    </row>
    <row r="3" customFormat="1" s="70">
      <c r="B3" s="15" t="n"/>
      <c r="C3" s="22" t="inlineStr">
        <is>
          <t>Max</t>
        </is>
      </c>
      <c r="D3" s="18">
        <f>MAX(C13:C1026)</f>
        <v/>
      </c>
      <c r="E3" s="15" t="n"/>
      <c r="F3" s="16" t="n"/>
    </row>
    <row r="4" customFormat="1" s="70">
      <c r="A4" s="17" t="n"/>
      <c r="B4" s="15" t="n"/>
      <c r="C4" s="23" t="inlineStr">
        <is>
          <t>Min</t>
        </is>
      </c>
      <c r="D4" s="19">
        <f>MIN(C13:C1026)</f>
        <v/>
      </c>
      <c r="E4" s="15" t="n"/>
      <c r="F4" s="15" t="n"/>
    </row>
    <row r="5" customFormat="1" s="70">
      <c r="B5" s="15" t="n"/>
      <c r="C5" s="23" t="inlineStr">
        <is>
          <t>Average</t>
        </is>
      </c>
      <c r="D5" s="20">
        <f>AVERAGE(C13:C1526)</f>
        <v/>
      </c>
      <c r="E5" s="15" t="n"/>
      <c r="F5" s="15" t="n"/>
    </row>
    <row r="6" ht="16" customFormat="1" customHeight="1" s="70" thickBot="1">
      <c r="B6" s="15" t="n"/>
      <c r="C6" s="24" t="inlineStr">
        <is>
          <t>Avg. since 2010</t>
        </is>
      </c>
      <c r="D6" s="21">
        <f>AVERAGE(C864:C1026)</f>
        <v/>
      </c>
      <c r="E6" s="15" t="n"/>
      <c r="F6" s="15" t="n"/>
    </row>
    <row r="7" customFormat="1" s="70">
      <c r="B7" s="15" t="n"/>
      <c r="C7" s="15" t="n"/>
      <c r="D7" s="15" t="n"/>
      <c r="E7" s="15" t="n"/>
      <c r="F7" s="15" t="n"/>
    </row>
    <row r="8" customFormat="1" s="70">
      <c r="C8" s="15" t="n"/>
      <c r="D8" s="15" t="n"/>
      <c r="E8" s="15" t="n"/>
      <c r="F8" s="15" t="n"/>
    </row>
    <row r="9" customFormat="1" s="70">
      <c r="B9" s="15" t="n"/>
      <c r="C9" s="15" t="n"/>
      <c r="D9" s="15" t="n"/>
      <c r="E9" s="15" t="n"/>
      <c r="F9" s="15" t="n"/>
    </row>
    <row r="10" customFormat="1" s="70">
      <c r="A10" s="70" t="inlineStr">
        <is>
          <t>Frequency: Monthly</t>
        </is>
      </c>
      <c r="B10" s="15" t="n"/>
      <c r="C10" s="15" t="n"/>
      <c r="D10" s="15" t="n"/>
      <c r="E10" s="15" t="n"/>
      <c r="F10" s="15" t="n"/>
    </row>
    <row r="11" ht="32" customFormat="1" customHeight="1" s="49">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7" t="n"/>
      <c r="H11" s="77" t="n"/>
      <c r="I11" s="77" t="n"/>
      <c r="J11" s="77" t="n"/>
      <c r="K11" s="77" t="n"/>
      <c r="L11" s="77" t="n"/>
      <c r="M11" s="77" t="n"/>
      <c r="N11" s="77" t="n"/>
      <c r="O11" s="77" t="n"/>
      <c r="P11" s="77" t="n"/>
      <c r="Q11" s="77" t="n"/>
      <c r="R11" s="77" t="n"/>
      <c r="S11" s="77" t="n"/>
      <c r="T11" s="77" t="n"/>
      <c r="U11" s="77" t="n"/>
      <c r="V11" s="77" t="n"/>
      <c r="W11" s="77" t="n"/>
      <c r="X11" s="77" t="n"/>
      <c r="Y11" s="77" t="n"/>
      <c r="Z11" s="77" t="n"/>
      <c r="AA11" s="77" t="n"/>
      <c r="AB11" s="77" t="n"/>
      <c r="AC11" s="77" t="n"/>
      <c r="AD11" s="77" t="n"/>
      <c r="AE11" s="77" t="n"/>
      <c r="AF11" s="77" t="n"/>
      <c r="AG11" s="77" t="n"/>
      <c r="AH11" s="77" t="n"/>
      <c r="AI11" s="77" t="n"/>
      <c r="AJ11" s="77" t="n"/>
    </row>
    <row r="12">
      <c r="A12" s="55" t="n">
        <v>14246</v>
      </c>
      <c r="B12" s="25">
        <f>VLOOKUP(Table1[[#This Row],[Date]],Database!A:D,3,)</f>
        <v/>
      </c>
      <c r="C12" s="26" t="n"/>
      <c r="D12" s="26" t="n"/>
      <c r="E12" s="59" t="n"/>
      <c r="F12" s="59" t="n"/>
    </row>
    <row r="13">
      <c r="A13" s="55" t="n">
        <v>14277</v>
      </c>
      <c r="B13" s="25">
        <f>VLOOKUP(Table1[[#This Row],[Date]],Database!A:D,3,)</f>
        <v/>
      </c>
      <c r="C13" s="26">
        <f>B13-B12</f>
        <v/>
      </c>
      <c r="D13" s="26" t="n"/>
      <c r="E13" s="59" t="n"/>
      <c r="F13" s="59" t="n"/>
    </row>
    <row r="14">
      <c r="A14" s="55" t="n">
        <v>14305</v>
      </c>
      <c r="B14" s="25">
        <f>VLOOKUP(Table1[[#This Row],[Date]],Database!A:D,3,)</f>
        <v/>
      </c>
      <c r="C14" s="26">
        <f>B14-B13</f>
        <v/>
      </c>
      <c r="D14" s="26" t="n"/>
      <c r="E14" s="59" t="n"/>
      <c r="F14" s="59" t="n"/>
    </row>
    <row r="15">
      <c r="A15" s="55" t="n">
        <v>14336</v>
      </c>
      <c r="B15" s="25">
        <f>VLOOKUP(Table1[[#This Row],[Date]],Database!A:D,3,)</f>
        <v/>
      </c>
      <c r="C15" s="26">
        <f>B15-B14</f>
        <v/>
      </c>
      <c r="D15" s="26">
        <f>AVERAGE(C13:C15)</f>
        <v/>
      </c>
      <c r="E15" s="59" t="n"/>
      <c r="F15" s="59" t="n"/>
    </row>
    <row r="16">
      <c r="A16" s="55" t="n">
        <v>14366</v>
      </c>
      <c r="B16" s="25">
        <f>VLOOKUP(Table1[[#This Row],[Date]],Database!A:D,3,)</f>
        <v/>
      </c>
      <c r="C16" s="26">
        <f>B16-B15</f>
        <v/>
      </c>
      <c r="D16" s="26">
        <f>AVERAGE(C14:C16)</f>
        <v/>
      </c>
      <c r="E16" s="59" t="n"/>
      <c r="F16" s="59" t="n"/>
    </row>
    <row r="17">
      <c r="A17" s="55" t="n">
        <v>14397</v>
      </c>
      <c r="B17" s="25">
        <f>VLOOKUP(Table1[[#This Row],[Date]],Database!A:D,3,)</f>
        <v/>
      </c>
      <c r="C17" s="26">
        <f>B17-B16</f>
        <v/>
      </c>
      <c r="D17" s="26">
        <f>AVERAGE(C15:C17)</f>
        <v/>
      </c>
      <c r="E17" s="59" t="n"/>
      <c r="F17" s="59" t="n"/>
    </row>
    <row r="18">
      <c r="A18" s="55" t="n">
        <v>14427</v>
      </c>
      <c r="B18" s="25">
        <f>VLOOKUP(Table1[[#This Row],[Date]],Database!A:D,3,)</f>
        <v/>
      </c>
      <c r="C18" s="26">
        <f>B18-B17</f>
        <v/>
      </c>
      <c r="D18" s="26">
        <f>AVERAGE(C16:C18)</f>
        <v/>
      </c>
      <c r="E18" s="59" t="n"/>
      <c r="F18" s="59" t="n"/>
    </row>
    <row r="19">
      <c r="A19" s="55" t="n">
        <v>14458</v>
      </c>
      <c r="B19" s="25">
        <f>VLOOKUP(Table1[[#This Row],[Date]],Database!A:D,3,)</f>
        <v/>
      </c>
      <c r="C19" s="26">
        <f>B19-B18</f>
        <v/>
      </c>
      <c r="D19" s="26">
        <f>AVERAGE(C17:C19)</f>
        <v/>
      </c>
      <c r="E19" s="59" t="n"/>
      <c r="F19" s="59" t="n"/>
    </row>
    <row r="20">
      <c r="A20" s="55" t="n">
        <v>14489</v>
      </c>
      <c r="B20" s="25">
        <f>VLOOKUP(Table1[[#This Row],[Date]],Database!A:D,3,)</f>
        <v/>
      </c>
      <c r="C20" s="26">
        <f>B20-B19</f>
        <v/>
      </c>
      <c r="D20" s="26">
        <f>AVERAGE(C18:C20)</f>
        <v/>
      </c>
      <c r="E20" s="59" t="n"/>
      <c r="F20" s="59" t="n"/>
    </row>
    <row r="21">
      <c r="A21" s="55" t="n">
        <v>14519</v>
      </c>
      <c r="B21" s="25">
        <f>VLOOKUP(Table1[[#This Row],[Date]],Database!A:D,3,)</f>
        <v/>
      </c>
      <c r="C21" s="26">
        <f>B21-B20</f>
        <v/>
      </c>
      <c r="D21" s="26">
        <f>AVERAGE(C19:C21)</f>
        <v/>
      </c>
      <c r="E21" s="59" t="n"/>
      <c r="F21" s="59" t="n"/>
    </row>
    <row r="22">
      <c r="A22" s="55" t="n">
        <v>14550</v>
      </c>
      <c r="B22" s="25">
        <f>VLOOKUP(Table1[[#This Row],[Date]],Database!A:D,3,)</f>
        <v/>
      </c>
      <c r="C22" s="26">
        <f>B22-B21</f>
        <v/>
      </c>
      <c r="D22" s="26">
        <f>AVERAGE(C20:C22)</f>
        <v/>
      </c>
      <c r="E22" s="59" t="n"/>
      <c r="F22" s="59" t="n"/>
    </row>
    <row r="23">
      <c r="A23" s="55" t="n">
        <v>14580</v>
      </c>
      <c r="B23" s="25">
        <f>VLOOKUP(Table1[[#This Row],[Date]],Database!A:D,3,)</f>
        <v/>
      </c>
      <c r="C23" s="26">
        <f>B23-B22</f>
        <v/>
      </c>
      <c r="D23" s="26">
        <f>AVERAGE(C21:C23)</f>
        <v/>
      </c>
      <c r="E23" s="59" t="n"/>
      <c r="F23" s="59" t="n"/>
    </row>
    <row r="24">
      <c r="A24" s="55" t="n">
        <v>14611</v>
      </c>
      <c r="B24" s="25">
        <f>VLOOKUP(Table1[[#This Row],[Date]],Database!A:D,3,)</f>
        <v/>
      </c>
      <c r="C24" s="26">
        <f>B24-B23</f>
        <v/>
      </c>
      <c r="D24" s="26">
        <f>AVERAGE(C22:C24)</f>
        <v/>
      </c>
      <c r="E24" s="59" t="n"/>
      <c r="F24" s="59" t="n"/>
    </row>
    <row r="25">
      <c r="A25" s="55" t="n">
        <v>14642</v>
      </c>
      <c r="B25" s="25">
        <f>VLOOKUP(Table1[[#This Row],[Date]],Database!A:D,3,)</f>
        <v/>
      </c>
      <c r="C25" s="26">
        <f>B25-B24</f>
        <v/>
      </c>
      <c r="D25" s="26">
        <f>AVERAGE(C23:C25)</f>
        <v/>
      </c>
      <c r="E25" s="59" t="n"/>
      <c r="F25" s="59" t="n"/>
    </row>
    <row r="26">
      <c r="A26" s="55" t="n">
        <v>14671</v>
      </c>
      <c r="B26" s="25">
        <f>VLOOKUP(Table1[[#This Row],[Date]],Database!A:D,3,)</f>
        <v/>
      </c>
      <c r="C26" s="26">
        <f>B26-B25</f>
        <v/>
      </c>
      <c r="D26" s="26">
        <f>AVERAGE(C24:C26)</f>
        <v/>
      </c>
      <c r="E26" s="59" t="n"/>
      <c r="F26" s="59" t="n"/>
    </row>
    <row r="27">
      <c r="A27" s="55" t="n">
        <v>14702</v>
      </c>
      <c r="B27" s="25">
        <f>VLOOKUP(Table1[[#This Row],[Date]],Database!A:D,3,)</f>
        <v/>
      </c>
      <c r="C27" s="26">
        <f>B27-B26</f>
        <v/>
      </c>
      <c r="D27" s="26">
        <f>AVERAGE(C25:C27)</f>
        <v/>
      </c>
      <c r="E27" s="59" t="n"/>
      <c r="F27" s="59" t="n"/>
    </row>
    <row r="28">
      <c r="A28" s="55" t="n">
        <v>14732</v>
      </c>
      <c r="B28" s="25">
        <f>VLOOKUP(Table1[[#This Row],[Date]],Database!A:D,3,)</f>
        <v/>
      </c>
      <c r="C28" s="26">
        <f>B28-B27</f>
        <v/>
      </c>
      <c r="D28" s="26">
        <f>AVERAGE(C26:C28)</f>
        <v/>
      </c>
      <c r="E28" s="59" t="n"/>
      <c r="F28" s="59" t="n"/>
    </row>
    <row r="29">
      <c r="A29" s="55" t="n">
        <v>14763</v>
      </c>
      <c r="B29" s="25">
        <f>VLOOKUP(Table1[[#This Row],[Date]],Database!A:D,3,)</f>
        <v/>
      </c>
      <c r="C29" s="26">
        <f>B29-B28</f>
        <v/>
      </c>
      <c r="D29" s="26">
        <f>AVERAGE(C27:C29)</f>
        <v/>
      </c>
      <c r="E29" s="59" t="n"/>
      <c r="F29" s="59" t="n"/>
    </row>
    <row r="30">
      <c r="A30" s="55" t="n">
        <v>14793</v>
      </c>
      <c r="B30" s="25">
        <f>VLOOKUP(Table1[[#This Row],[Date]],Database!A:D,3,)</f>
        <v/>
      </c>
      <c r="C30" s="26">
        <f>B30-B29</f>
        <v/>
      </c>
      <c r="D30" s="26">
        <f>AVERAGE(C28:C30)</f>
        <v/>
      </c>
      <c r="E30" s="59" t="n"/>
      <c r="F30" s="59" t="n"/>
    </row>
    <row r="31">
      <c r="A31" s="55" t="n">
        <v>14824</v>
      </c>
      <c r="B31" s="25">
        <f>VLOOKUP(Table1[[#This Row],[Date]],Database!A:D,3,)</f>
        <v/>
      </c>
      <c r="C31" s="26">
        <f>B31-B30</f>
        <v/>
      </c>
      <c r="D31" s="26">
        <f>AVERAGE(C29:C31)</f>
        <v/>
      </c>
      <c r="E31" s="59" t="n"/>
      <c r="F31" s="59" t="n"/>
    </row>
    <row r="32">
      <c r="A32" s="55" t="n">
        <v>14855</v>
      </c>
      <c r="B32" s="25">
        <f>VLOOKUP(Table1[[#This Row],[Date]],Database!A:D,3,)</f>
        <v/>
      </c>
      <c r="C32" s="26">
        <f>B32-B31</f>
        <v/>
      </c>
      <c r="D32" s="26">
        <f>AVERAGE(C30:C32)</f>
        <v/>
      </c>
      <c r="E32" s="59" t="n"/>
      <c r="F32" s="59" t="n"/>
    </row>
    <row r="33">
      <c r="A33" s="55" t="n">
        <v>14885</v>
      </c>
      <c r="B33" s="25">
        <f>VLOOKUP(Table1[[#This Row],[Date]],Database!A:D,3,)</f>
        <v/>
      </c>
      <c r="C33" s="26">
        <f>B33-B32</f>
        <v/>
      </c>
      <c r="D33" s="26">
        <f>AVERAGE(C31:C33)</f>
        <v/>
      </c>
      <c r="E33" s="59" t="n"/>
      <c r="F33" s="59" t="n"/>
    </row>
    <row r="34">
      <c r="A34" s="55" t="n">
        <v>14916</v>
      </c>
      <c r="B34" s="25">
        <f>VLOOKUP(Table1[[#This Row],[Date]],Database!A:D,3,)</f>
        <v/>
      </c>
      <c r="C34" s="26">
        <f>B34-B33</f>
        <v/>
      </c>
      <c r="D34" s="26">
        <f>AVERAGE(C32:C34)</f>
        <v/>
      </c>
      <c r="E34" s="59" t="n"/>
      <c r="F34" s="59" t="n"/>
    </row>
    <row r="35">
      <c r="A35" s="55" t="n">
        <v>14946</v>
      </c>
      <c r="B35" s="25">
        <f>VLOOKUP(Table1[[#This Row],[Date]],Database!A:D,3,)</f>
        <v/>
      </c>
      <c r="C35" s="26">
        <f>B35-B34</f>
        <v/>
      </c>
      <c r="D35" s="26">
        <f>AVERAGE(C33:C35)</f>
        <v/>
      </c>
      <c r="E35" s="59" t="n"/>
      <c r="F35" s="59" t="n"/>
    </row>
    <row r="36">
      <c r="A36" s="55" t="n">
        <v>14977</v>
      </c>
      <c r="B36" s="25">
        <f>VLOOKUP(Table1[[#This Row],[Date]],Database!A:D,3,)</f>
        <v/>
      </c>
      <c r="C36" s="26">
        <f>B36-B35</f>
        <v/>
      </c>
      <c r="D36" s="26">
        <f>AVERAGE(C34:C36)</f>
        <v/>
      </c>
      <c r="E36" s="59" t="n"/>
      <c r="F36" s="59" t="n"/>
    </row>
    <row r="37">
      <c r="A37" s="55" t="n">
        <v>15008</v>
      </c>
      <c r="B37" s="25">
        <f>VLOOKUP(Table1[[#This Row],[Date]],Database!A:D,3,)</f>
        <v/>
      </c>
      <c r="C37" s="26">
        <f>B37-B36</f>
        <v/>
      </c>
      <c r="D37" s="26">
        <f>AVERAGE(C35:C37)</f>
        <v/>
      </c>
      <c r="E37" s="59" t="n"/>
      <c r="F37" s="59" t="n"/>
    </row>
    <row r="38">
      <c r="A38" s="55" t="n">
        <v>15036</v>
      </c>
      <c r="B38" s="25">
        <f>VLOOKUP(Table1[[#This Row],[Date]],Database!A:D,3,)</f>
        <v/>
      </c>
      <c r="C38" s="26">
        <f>B38-B37</f>
        <v/>
      </c>
      <c r="D38" s="26">
        <f>AVERAGE(C36:C38)</f>
        <v/>
      </c>
      <c r="E38" s="59" t="n"/>
      <c r="F38" s="59" t="n"/>
    </row>
    <row r="39">
      <c r="A39" s="55" t="n">
        <v>15067</v>
      </c>
      <c r="B39" s="25">
        <f>VLOOKUP(Table1[[#This Row],[Date]],Database!A:D,3,)</f>
        <v/>
      </c>
      <c r="C39" s="26">
        <f>B39-B38</f>
        <v/>
      </c>
      <c r="D39" s="26">
        <f>AVERAGE(C37:C39)</f>
        <v/>
      </c>
      <c r="E39" s="59" t="n"/>
      <c r="F39" s="59" t="n"/>
    </row>
    <row r="40">
      <c r="A40" s="55" t="n">
        <v>15097</v>
      </c>
      <c r="B40" s="25">
        <f>VLOOKUP(Table1[[#This Row],[Date]],Database!A:D,3,)</f>
        <v/>
      </c>
      <c r="C40" s="26">
        <f>B40-B39</f>
        <v/>
      </c>
      <c r="D40" s="26">
        <f>AVERAGE(C38:C40)</f>
        <v/>
      </c>
      <c r="E40" s="59" t="n"/>
      <c r="F40" s="59" t="n"/>
    </row>
    <row r="41">
      <c r="A41" s="55" t="n">
        <v>15128</v>
      </c>
      <c r="B41" s="25">
        <f>VLOOKUP(Table1[[#This Row],[Date]],Database!A:D,3,)</f>
        <v/>
      </c>
      <c r="C41" s="26">
        <f>B41-B40</f>
        <v/>
      </c>
      <c r="D41" s="26">
        <f>AVERAGE(C39:C41)</f>
        <v/>
      </c>
      <c r="E41" s="59" t="n"/>
      <c r="F41" s="59" t="n"/>
    </row>
    <row r="42">
      <c r="A42" s="55" t="n">
        <v>15158</v>
      </c>
      <c r="B42" s="25">
        <f>VLOOKUP(Table1[[#This Row],[Date]],Database!A:D,3,)</f>
        <v/>
      </c>
      <c r="C42" s="26">
        <f>B42-B41</f>
        <v/>
      </c>
      <c r="D42" s="26">
        <f>AVERAGE(C40:C42)</f>
        <v/>
      </c>
      <c r="E42" s="59" t="n"/>
      <c r="F42" s="59" t="n"/>
    </row>
    <row r="43">
      <c r="A43" s="55" t="n">
        <v>15189</v>
      </c>
      <c r="B43" s="25">
        <f>VLOOKUP(Table1[[#This Row],[Date]],Database!A:D,3,)</f>
        <v/>
      </c>
      <c r="C43" s="26">
        <f>B43-B42</f>
        <v/>
      </c>
      <c r="D43" s="26">
        <f>AVERAGE(C41:C43)</f>
        <v/>
      </c>
      <c r="E43" s="59" t="n"/>
      <c r="F43" s="59" t="n"/>
    </row>
    <row r="44">
      <c r="A44" s="55" t="n">
        <v>15220</v>
      </c>
      <c r="B44" s="25">
        <f>VLOOKUP(Table1[[#This Row],[Date]],Database!A:D,3,)</f>
        <v/>
      </c>
      <c r="C44" s="26">
        <f>B44-B43</f>
        <v/>
      </c>
      <c r="D44" s="26">
        <f>AVERAGE(C42:C44)</f>
        <v/>
      </c>
      <c r="E44" s="59" t="n"/>
      <c r="F44" s="59" t="n"/>
    </row>
    <row r="45">
      <c r="A45" s="55" t="n">
        <v>15250</v>
      </c>
      <c r="B45" s="25">
        <f>VLOOKUP(Table1[[#This Row],[Date]],Database!A:D,3,)</f>
        <v/>
      </c>
      <c r="C45" s="26">
        <f>B45-B44</f>
        <v/>
      </c>
      <c r="D45" s="26">
        <f>AVERAGE(C43:C45)</f>
        <v/>
      </c>
      <c r="E45" s="59" t="n"/>
      <c r="F45" s="59" t="n"/>
    </row>
    <row r="46">
      <c r="A46" s="55" t="n">
        <v>15281</v>
      </c>
      <c r="B46" s="25">
        <f>VLOOKUP(Table1[[#This Row],[Date]],Database!A:D,3,)</f>
        <v/>
      </c>
      <c r="C46" s="26">
        <f>B46-B45</f>
        <v/>
      </c>
      <c r="D46" s="26">
        <f>AVERAGE(C44:C46)</f>
        <v/>
      </c>
      <c r="E46" s="59" t="n"/>
      <c r="F46" s="59" t="n"/>
    </row>
    <row r="47">
      <c r="A47" s="55" t="n">
        <v>15311</v>
      </c>
      <c r="B47" s="25">
        <f>VLOOKUP(Table1[[#This Row],[Date]],Database!A:D,3,)</f>
        <v/>
      </c>
      <c r="C47" s="26">
        <f>B47-B46</f>
        <v/>
      </c>
      <c r="D47" s="26">
        <f>AVERAGE(C45:C47)</f>
        <v/>
      </c>
      <c r="E47" s="59" t="n"/>
      <c r="F47" s="59" t="n"/>
    </row>
    <row r="48">
      <c r="A48" s="55" t="n">
        <v>15342</v>
      </c>
      <c r="B48" s="25">
        <f>VLOOKUP(Table1[[#This Row],[Date]],Database!A:D,3,)</f>
        <v/>
      </c>
      <c r="C48" s="26">
        <f>B48-B47</f>
        <v/>
      </c>
      <c r="D48" s="26">
        <f>AVERAGE(C46:C48)</f>
        <v/>
      </c>
      <c r="E48" s="59" t="n"/>
      <c r="F48" s="59" t="n"/>
    </row>
    <row r="49">
      <c r="A49" s="55" t="n">
        <v>15373</v>
      </c>
      <c r="B49" s="25">
        <f>VLOOKUP(Table1[[#This Row],[Date]],Database!A:D,3,)</f>
        <v/>
      </c>
      <c r="C49" s="26">
        <f>B49-B48</f>
        <v/>
      </c>
      <c r="D49" s="26">
        <f>AVERAGE(C47:C49)</f>
        <v/>
      </c>
      <c r="E49" s="59" t="n"/>
      <c r="F49" s="59" t="n"/>
    </row>
    <row r="50">
      <c r="A50" s="55" t="n">
        <v>15401</v>
      </c>
      <c r="B50" s="25">
        <f>VLOOKUP(Table1[[#This Row],[Date]],Database!A:D,3,)</f>
        <v/>
      </c>
      <c r="C50" s="26">
        <f>B50-B49</f>
        <v/>
      </c>
      <c r="D50" s="26">
        <f>AVERAGE(C48:C50)</f>
        <v/>
      </c>
      <c r="E50" s="59" t="n"/>
      <c r="F50" s="59" t="n"/>
    </row>
    <row r="51">
      <c r="A51" s="55" t="n">
        <v>15432</v>
      </c>
      <c r="B51" s="25">
        <f>VLOOKUP(Table1[[#This Row],[Date]],Database!A:D,3,)</f>
        <v/>
      </c>
      <c r="C51" s="26">
        <f>B51-B50</f>
        <v/>
      </c>
      <c r="D51" s="26">
        <f>AVERAGE(C49:C51)</f>
        <v/>
      </c>
      <c r="E51" s="59" t="n"/>
      <c r="F51" s="59" t="n"/>
    </row>
    <row r="52">
      <c r="A52" s="55" t="n">
        <v>15462</v>
      </c>
      <c r="B52" s="25">
        <f>VLOOKUP(Table1[[#This Row],[Date]],Database!A:D,3,)</f>
        <v/>
      </c>
      <c r="C52" s="26">
        <f>B52-B51</f>
        <v/>
      </c>
      <c r="D52" s="26">
        <f>AVERAGE(C50:C52)</f>
        <v/>
      </c>
      <c r="E52" s="59" t="n"/>
      <c r="F52" s="59" t="n"/>
    </row>
    <row r="53">
      <c r="A53" s="55" t="n">
        <v>15493</v>
      </c>
      <c r="B53" s="25">
        <f>VLOOKUP(Table1[[#This Row],[Date]],Database!A:D,3,)</f>
        <v/>
      </c>
      <c r="C53" s="26">
        <f>B53-B52</f>
        <v/>
      </c>
      <c r="D53" s="26">
        <f>AVERAGE(C51:C53)</f>
        <v/>
      </c>
      <c r="E53" s="59" t="n"/>
      <c r="F53" s="59" t="n"/>
    </row>
    <row r="54">
      <c r="A54" s="55" t="n">
        <v>15523</v>
      </c>
      <c r="B54" s="25">
        <f>VLOOKUP(Table1[[#This Row],[Date]],Database!A:D,3,)</f>
        <v/>
      </c>
      <c r="C54" s="26">
        <f>B54-B53</f>
        <v/>
      </c>
      <c r="D54" s="26">
        <f>AVERAGE(C52:C54)</f>
        <v/>
      </c>
      <c r="E54" s="59" t="n"/>
      <c r="F54" s="59" t="n"/>
    </row>
    <row r="55">
      <c r="A55" s="55" t="n">
        <v>15554</v>
      </c>
      <c r="B55" s="25">
        <f>VLOOKUP(Table1[[#This Row],[Date]],Database!A:D,3,)</f>
        <v/>
      </c>
      <c r="C55" s="26">
        <f>B55-B54</f>
        <v/>
      </c>
      <c r="D55" s="26">
        <f>AVERAGE(C53:C55)</f>
        <v/>
      </c>
      <c r="E55" s="59" t="n"/>
      <c r="F55" s="59" t="n"/>
    </row>
    <row r="56">
      <c r="A56" s="55" t="n">
        <v>15585</v>
      </c>
      <c r="B56" s="25">
        <f>VLOOKUP(Table1[[#This Row],[Date]],Database!A:D,3,)</f>
        <v/>
      </c>
      <c r="C56" s="26">
        <f>B56-B55</f>
        <v/>
      </c>
      <c r="D56" s="26">
        <f>AVERAGE(C54:C56)</f>
        <v/>
      </c>
      <c r="E56" s="59" t="n"/>
      <c r="F56" s="59" t="n"/>
    </row>
    <row r="57">
      <c r="A57" s="55" t="n">
        <v>15615</v>
      </c>
      <c r="B57" s="25">
        <f>VLOOKUP(Table1[[#This Row],[Date]],Database!A:D,3,)</f>
        <v/>
      </c>
      <c r="C57" s="26">
        <f>B57-B56</f>
        <v/>
      </c>
      <c r="D57" s="26">
        <f>AVERAGE(C55:C57)</f>
        <v/>
      </c>
      <c r="E57" s="59" t="n"/>
      <c r="F57" s="59" t="n"/>
    </row>
    <row r="58">
      <c r="A58" s="55" t="n">
        <v>15646</v>
      </c>
      <c r="B58" s="25">
        <f>VLOOKUP(Table1[[#This Row],[Date]],Database!A:D,3,)</f>
        <v/>
      </c>
      <c r="C58" s="26">
        <f>B58-B57</f>
        <v/>
      </c>
      <c r="D58" s="26">
        <f>AVERAGE(C56:C58)</f>
        <v/>
      </c>
      <c r="E58" s="59" t="n"/>
      <c r="F58" s="59" t="n"/>
    </row>
    <row r="59">
      <c r="A59" s="55" t="n">
        <v>15676</v>
      </c>
      <c r="B59" s="25">
        <f>VLOOKUP(Table1[[#This Row],[Date]],Database!A:D,3,)</f>
        <v/>
      </c>
      <c r="C59" s="26">
        <f>B59-B58</f>
        <v/>
      </c>
      <c r="D59" s="26">
        <f>AVERAGE(C57:C59)</f>
        <v/>
      </c>
      <c r="E59" s="59" t="n"/>
      <c r="F59" s="59" t="n"/>
    </row>
    <row r="60">
      <c r="A60" s="55" t="n">
        <v>15707</v>
      </c>
      <c r="B60" s="25">
        <f>VLOOKUP(Table1[[#This Row],[Date]],Database!A:D,3,)</f>
        <v/>
      </c>
      <c r="C60" s="26">
        <f>B60-B59</f>
        <v/>
      </c>
      <c r="D60" s="26">
        <f>AVERAGE(C58:C60)</f>
        <v/>
      </c>
      <c r="E60" s="59" t="n"/>
      <c r="F60" s="59" t="n"/>
    </row>
    <row r="61">
      <c r="A61" s="55" t="n">
        <v>15738</v>
      </c>
      <c r="B61" s="25">
        <f>VLOOKUP(Table1[[#This Row],[Date]],Database!A:D,3,)</f>
        <v/>
      </c>
      <c r="C61" s="26">
        <f>B61-B60</f>
        <v/>
      </c>
      <c r="D61" s="26">
        <f>AVERAGE(C59:C61)</f>
        <v/>
      </c>
      <c r="E61" s="59" t="n"/>
      <c r="F61" s="59" t="n"/>
    </row>
    <row r="62">
      <c r="A62" s="55" t="n">
        <v>15766</v>
      </c>
      <c r="B62" s="25">
        <f>VLOOKUP(Table1[[#This Row],[Date]],Database!A:D,3,)</f>
        <v/>
      </c>
      <c r="C62" s="26">
        <f>B62-B61</f>
        <v/>
      </c>
      <c r="D62" s="26">
        <f>AVERAGE(C60:C62)</f>
        <v/>
      </c>
      <c r="E62" s="59" t="n"/>
      <c r="F62" s="59" t="n"/>
    </row>
    <row r="63">
      <c r="A63" s="55" t="n">
        <v>15797</v>
      </c>
      <c r="B63" s="25">
        <f>VLOOKUP(Table1[[#This Row],[Date]],Database!A:D,3,)</f>
        <v/>
      </c>
      <c r="C63" s="26">
        <f>B63-B62</f>
        <v/>
      </c>
      <c r="D63" s="26">
        <f>AVERAGE(C61:C63)</f>
        <v/>
      </c>
      <c r="E63" s="59" t="n"/>
      <c r="F63" s="59" t="n"/>
    </row>
    <row r="64">
      <c r="A64" s="55" t="n">
        <v>15827</v>
      </c>
      <c r="B64" s="25">
        <f>VLOOKUP(Table1[[#This Row],[Date]],Database!A:D,3,)</f>
        <v/>
      </c>
      <c r="C64" s="26">
        <f>B64-B63</f>
        <v/>
      </c>
      <c r="D64" s="26">
        <f>AVERAGE(C62:C64)</f>
        <v/>
      </c>
      <c r="E64" s="59" t="n"/>
      <c r="F64" s="59" t="n"/>
    </row>
    <row r="65">
      <c r="A65" s="55" t="n">
        <v>15858</v>
      </c>
      <c r="B65" s="25">
        <f>VLOOKUP(Table1[[#This Row],[Date]],Database!A:D,3,)</f>
        <v/>
      </c>
      <c r="C65" s="26">
        <f>B65-B64</f>
        <v/>
      </c>
      <c r="D65" s="26">
        <f>AVERAGE(C63:C65)</f>
        <v/>
      </c>
      <c r="E65" s="59" t="n"/>
      <c r="F65" s="59" t="n"/>
    </row>
    <row r="66">
      <c r="A66" s="55" t="n">
        <v>15888</v>
      </c>
      <c r="B66" s="25">
        <f>VLOOKUP(Table1[[#This Row],[Date]],Database!A:D,3,)</f>
        <v/>
      </c>
      <c r="C66" s="26">
        <f>B66-B65</f>
        <v/>
      </c>
      <c r="D66" s="26">
        <f>AVERAGE(C64:C66)</f>
        <v/>
      </c>
      <c r="E66" s="59" t="n"/>
      <c r="F66" s="59" t="n"/>
    </row>
    <row r="67">
      <c r="A67" s="55" t="n">
        <v>15919</v>
      </c>
      <c r="B67" s="25">
        <f>VLOOKUP(Table1[[#This Row],[Date]],Database!A:D,3,)</f>
        <v/>
      </c>
      <c r="C67" s="26">
        <f>B67-B66</f>
        <v/>
      </c>
      <c r="D67" s="26">
        <f>AVERAGE(C65:C67)</f>
        <v/>
      </c>
      <c r="E67" s="59" t="n"/>
      <c r="F67" s="59" t="n"/>
    </row>
    <row r="68">
      <c r="A68" s="55" t="n">
        <v>15950</v>
      </c>
      <c r="B68" s="25">
        <f>VLOOKUP(Table1[[#This Row],[Date]],Database!A:D,3,)</f>
        <v/>
      </c>
      <c r="C68" s="26">
        <f>B68-B67</f>
        <v/>
      </c>
      <c r="D68" s="26">
        <f>AVERAGE(C66:C68)</f>
        <v/>
      </c>
      <c r="E68" s="59" t="n"/>
      <c r="F68" s="59" t="n"/>
    </row>
    <row r="69">
      <c r="A69" s="55" t="n">
        <v>15980</v>
      </c>
      <c r="B69" s="25">
        <f>VLOOKUP(Table1[[#This Row],[Date]],Database!A:D,3,)</f>
        <v/>
      </c>
      <c r="C69" s="26">
        <f>B69-B68</f>
        <v/>
      </c>
      <c r="D69" s="26">
        <f>AVERAGE(C67:C69)</f>
        <v/>
      </c>
      <c r="E69" s="59" t="n"/>
      <c r="F69" s="59" t="n"/>
    </row>
    <row r="70">
      <c r="A70" s="55" t="n">
        <v>16011</v>
      </c>
      <c r="B70" s="25">
        <f>VLOOKUP(Table1[[#This Row],[Date]],Database!A:D,3,)</f>
        <v/>
      </c>
      <c r="C70" s="26">
        <f>B70-B69</f>
        <v/>
      </c>
      <c r="D70" s="26">
        <f>AVERAGE(C68:C70)</f>
        <v/>
      </c>
      <c r="E70" s="59" t="n"/>
      <c r="F70" s="59" t="n"/>
    </row>
    <row r="71">
      <c r="A71" s="55" t="n">
        <v>16041</v>
      </c>
      <c r="B71" s="25">
        <f>VLOOKUP(Table1[[#This Row],[Date]],Database!A:D,3,)</f>
        <v/>
      </c>
      <c r="C71" s="26">
        <f>B71-B70</f>
        <v/>
      </c>
      <c r="D71" s="26">
        <f>AVERAGE(C69:C71)</f>
        <v/>
      </c>
      <c r="E71" s="59" t="n"/>
      <c r="F71" s="59" t="n"/>
    </row>
    <row r="72">
      <c r="A72" s="55" t="n">
        <v>16072</v>
      </c>
      <c r="B72" s="25">
        <f>VLOOKUP(Table1[[#This Row],[Date]],Database!A:D,3,)</f>
        <v/>
      </c>
      <c r="C72" s="26">
        <f>B72-B71</f>
        <v/>
      </c>
      <c r="D72" s="26">
        <f>AVERAGE(C70:C72)</f>
        <v/>
      </c>
      <c r="E72" s="59" t="n"/>
      <c r="F72" s="59" t="n"/>
    </row>
    <row r="73">
      <c r="A73" s="55" t="n">
        <v>16103</v>
      </c>
      <c r="B73" s="25">
        <f>VLOOKUP(Table1[[#This Row],[Date]],Database!A:D,3,)</f>
        <v/>
      </c>
      <c r="C73" s="26">
        <f>B73-B72</f>
        <v/>
      </c>
      <c r="D73" s="26">
        <f>AVERAGE(C71:C73)</f>
        <v/>
      </c>
      <c r="E73" s="59" t="n"/>
      <c r="F73" s="59" t="n"/>
    </row>
    <row r="74">
      <c r="A74" s="55" t="n">
        <v>16132</v>
      </c>
      <c r="B74" s="25">
        <f>VLOOKUP(Table1[[#This Row],[Date]],Database!A:D,3,)</f>
        <v/>
      </c>
      <c r="C74" s="26">
        <f>B74-B73</f>
        <v/>
      </c>
      <c r="D74" s="26">
        <f>AVERAGE(C72:C74)</f>
        <v/>
      </c>
      <c r="E74" s="59" t="n"/>
      <c r="F74" s="59" t="n"/>
    </row>
    <row r="75">
      <c r="A75" s="55" t="n">
        <v>16163</v>
      </c>
      <c r="B75" s="25">
        <f>VLOOKUP(Table1[[#This Row],[Date]],Database!A:D,3,)</f>
        <v/>
      </c>
      <c r="C75" s="26">
        <f>B75-B74</f>
        <v/>
      </c>
      <c r="D75" s="26">
        <f>AVERAGE(C73:C75)</f>
        <v/>
      </c>
      <c r="E75" s="59" t="n"/>
      <c r="F75" s="59" t="n"/>
    </row>
    <row r="76">
      <c r="A76" s="55" t="n">
        <v>16193</v>
      </c>
      <c r="B76" s="25">
        <f>VLOOKUP(Table1[[#This Row],[Date]],Database!A:D,3,)</f>
        <v/>
      </c>
      <c r="C76" s="26">
        <f>B76-B75</f>
        <v/>
      </c>
      <c r="D76" s="26">
        <f>AVERAGE(C74:C76)</f>
        <v/>
      </c>
      <c r="E76" s="59" t="n"/>
      <c r="F76" s="59" t="n"/>
    </row>
    <row r="77">
      <c r="A77" s="55" t="n">
        <v>16224</v>
      </c>
      <c r="B77" s="25">
        <f>VLOOKUP(Table1[[#This Row],[Date]],Database!A:D,3,)</f>
        <v/>
      </c>
      <c r="C77" s="26">
        <f>B77-B76</f>
        <v/>
      </c>
      <c r="D77" s="26">
        <f>AVERAGE(C75:C77)</f>
        <v/>
      </c>
      <c r="E77" s="59" t="n"/>
      <c r="F77" s="59" t="n"/>
    </row>
    <row r="78">
      <c r="A78" s="55" t="n">
        <v>16254</v>
      </c>
      <c r="B78" s="25">
        <f>VLOOKUP(Table1[[#This Row],[Date]],Database!A:D,3,)</f>
        <v/>
      </c>
      <c r="C78" s="26">
        <f>B78-B77</f>
        <v/>
      </c>
      <c r="D78" s="26">
        <f>AVERAGE(C76:C78)</f>
        <v/>
      </c>
      <c r="E78" s="59" t="n"/>
      <c r="F78" s="59" t="n"/>
    </row>
    <row r="79">
      <c r="A79" s="55" t="n">
        <v>16285</v>
      </c>
      <c r="B79" s="25">
        <f>VLOOKUP(Table1[[#This Row],[Date]],Database!A:D,3,)</f>
        <v/>
      </c>
      <c r="C79" s="26">
        <f>B79-B78</f>
        <v/>
      </c>
      <c r="D79" s="26">
        <f>AVERAGE(C77:C79)</f>
        <v/>
      </c>
      <c r="E79" s="59" t="n"/>
      <c r="F79" s="59" t="n"/>
    </row>
    <row r="80">
      <c r="A80" s="55" t="n">
        <v>16316</v>
      </c>
      <c r="B80" s="25">
        <f>VLOOKUP(Table1[[#This Row],[Date]],Database!A:D,3,)</f>
        <v/>
      </c>
      <c r="C80" s="26">
        <f>B80-B79</f>
        <v/>
      </c>
      <c r="D80" s="26">
        <f>AVERAGE(C78:C80)</f>
        <v/>
      </c>
      <c r="E80" s="59" t="n"/>
      <c r="F80" s="59" t="n"/>
    </row>
    <row r="81">
      <c r="A81" s="55" t="n">
        <v>16346</v>
      </c>
      <c r="B81" s="25">
        <f>VLOOKUP(Table1[[#This Row],[Date]],Database!A:D,3,)</f>
        <v/>
      </c>
      <c r="C81" s="26">
        <f>B81-B80</f>
        <v/>
      </c>
      <c r="D81" s="26">
        <f>AVERAGE(C79:C81)</f>
        <v/>
      </c>
      <c r="E81" s="59" t="n"/>
      <c r="F81" s="59" t="n"/>
    </row>
    <row r="82">
      <c r="A82" s="55" t="n">
        <v>16377</v>
      </c>
      <c r="B82" s="25">
        <f>VLOOKUP(Table1[[#This Row],[Date]],Database!A:D,3,)</f>
        <v/>
      </c>
      <c r="C82" s="26">
        <f>B82-B81</f>
        <v/>
      </c>
      <c r="D82" s="26">
        <f>AVERAGE(C80:C82)</f>
        <v/>
      </c>
      <c r="E82" s="59" t="n"/>
      <c r="F82" s="59" t="n"/>
    </row>
    <row r="83">
      <c r="A83" s="55" t="n">
        <v>16407</v>
      </c>
      <c r="B83" s="25">
        <f>VLOOKUP(Table1[[#This Row],[Date]],Database!A:D,3,)</f>
        <v/>
      </c>
      <c r="C83" s="26">
        <f>B83-B82</f>
        <v/>
      </c>
      <c r="D83" s="26">
        <f>AVERAGE(C81:C83)</f>
        <v/>
      </c>
      <c r="E83" s="59" t="n"/>
      <c r="F83" s="59" t="n"/>
    </row>
    <row r="84">
      <c r="A84" s="55" t="n">
        <v>16438</v>
      </c>
      <c r="B84" s="25">
        <f>VLOOKUP(Table1[[#This Row],[Date]],Database!A:D,3,)</f>
        <v/>
      </c>
      <c r="C84" s="26">
        <f>B84-B83</f>
        <v/>
      </c>
      <c r="D84" s="26">
        <f>AVERAGE(C82:C84)</f>
        <v/>
      </c>
      <c r="E84" s="59" t="n"/>
      <c r="F84" s="59" t="n"/>
    </row>
    <row r="85">
      <c r="A85" s="55" t="n">
        <v>16469</v>
      </c>
      <c r="B85" s="25">
        <f>VLOOKUP(Table1[[#This Row],[Date]],Database!A:D,3,)</f>
        <v/>
      </c>
      <c r="C85" s="26">
        <f>B85-B84</f>
        <v/>
      </c>
      <c r="D85" s="26">
        <f>AVERAGE(C83:C85)</f>
        <v/>
      </c>
      <c r="E85" s="59" t="n"/>
      <c r="F85" s="59" t="n"/>
    </row>
    <row r="86">
      <c r="A86" s="55" t="n">
        <v>16497</v>
      </c>
      <c r="B86" s="25">
        <f>VLOOKUP(Table1[[#This Row],[Date]],Database!A:D,3,)</f>
        <v/>
      </c>
      <c r="C86" s="26">
        <f>B86-B85</f>
        <v/>
      </c>
      <c r="D86" s="26">
        <f>AVERAGE(C84:C86)</f>
        <v/>
      </c>
      <c r="E86" s="59" t="n"/>
      <c r="F86" s="59" t="n"/>
    </row>
    <row r="87">
      <c r="A87" s="55" t="n">
        <v>16528</v>
      </c>
      <c r="B87" s="25">
        <f>VLOOKUP(Table1[[#This Row],[Date]],Database!A:D,3,)</f>
        <v/>
      </c>
      <c r="C87" s="26">
        <f>B87-B86</f>
        <v/>
      </c>
      <c r="D87" s="26">
        <f>AVERAGE(C85:C87)</f>
        <v/>
      </c>
      <c r="E87" s="59" t="n"/>
      <c r="F87" s="59" t="n"/>
    </row>
    <row r="88">
      <c r="A88" s="55" t="n">
        <v>16558</v>
      </c>
      <c r="B88" s="25">
        <f>VLOOKUP(Table1[[#This Row],[Date]],Database!A:D,3,)</f>
        <v/>
      </c>
      <c r="C88" s="26">
        <f>B88-B87</f>
        <v/>
      </c>
      <c r="D88" s="26">
        <f>AVERAGE(C86:C88)</f>
        <v/>
      </c>
      <c r="E88" s="59" t="n"/>
      <c r="F88" s="59" t="n"/>
    </row>
    <row r="89">
      <c r="A89" s="55" t="n">
        <v>16589</v>
      </c>
      <c r="B89" s="25">
        <f>VLOOKUP(Table1[[#This Row],[Date]],Database!A:D,3,)</f>
        <v/>
      </c>
      <c r="C89" s="26">
        <f>B89-B88</f>
        <v/>
      </c>
      <c r="D89" s="26">
        <f>AVERAGE(C87:C89)</f>
        <v/>
      </c>
      <c r="E89" s="59" t="n"/>
      <c r="F89" s="59" t="n"/>
    </row>
    <row r="90">
      <c r="A90" s="55" t="n">
        <v>16619</v>
      </c>
      <c r="B90" s="25">
        <f>VLOOKUP(Table1[[#This Row],[Date]],Database!A:D,3,)</f>
        <v/>
      </c>
      <c r="C90" s="26">
        <f>B90-B89</f>
        <v/>
      </c>
      <c r="D90" s="26">
        <f>AVERAGE(C88:C90)</f>
        <v/>
      </c>
      <c r="E90" s="59" t="n"/>
      <c r="F90" s="59" t="n"/>
    </row>
    <row r="91">
      <c r="A91" s="55" t="n">
        <v>16650</v>
      </c>
      <c r="B91" s="25">
        <f>VLOOKUP(Table1[[#This Row],[Date]],Database!A:D,3,)</f>
        <v/>
      </c>
      <c r="C91" s="26">
        <f>B91-B90</f>
        <v/>
      </c>
      <c r="D91" s="26">
        <f>AVERAGE(C89:C91)</f>
        <v/>
      </c>
      <c r="E91" s="59" t="n"/>
      <c r="F91" s="59" t="n"/>
    </row>
    <row r="92">
      <c r="A92" s="55" t="n">
        <v>16681</v>
      </c>
      <c r="B92" s="25">
        <f>VLOOKUP(Table1[[#This Row],[Date]],Database!A:D,3,)</f>
        <v/>
      </c>
      <c r="C92" s="26">
        <f>B92-B91</f>
        <v/>
      </c>
      <c r="D92" s="26">
        <f>AVERAGE(C90:C92)</f>
        <v/>
      </c>
      <c r="E92" s="59" t="n"/>
      <c r="F92" s="59" t="n"/>
    </row>
    <row r="93">
      <c r="A93" s="55" t="n">
        <v>16711</v>
      </c>
      <c r="B93" s="25">
        <f>VLOOKUP(Table1[[#This Row],[Date]],Database!A:D,3,)</f>
        <v/>
      </c>
      <c r="C93" s="26">
        <f>B93-B92</f>
        <v/>
      </c>
      <c r="D93" s="26">
        <f>AVERAGE(C91:C93)</f>
        <v/>
      </c>
      <c r="E93" s="59" t="n"/>
      <c r="F93" s="59" t="n"/>
    </row>
    <row r="94">
      <c r="A94" s="55" t="n">
        <v>16742</v>
      </c>
      <c r="B94" s="25">
        <f>VLOOKUP(Table1[[#This Row],[Date]],Database!A:D,3,)</f>
        <v/>
      </c>
      <c r="C94" s="26">
        <f>B94-B93</f>
        <v/>
      </c>
      <c r="D94" s="26">
        <f>AVERAGE(C92:C94)</f>
        <v/>
      </c>
      <c r="E94" s="59" t="n"/>
      <c r="F94" s="59" t="n"/>
    </row>
    <row r="95">
      <c r="A95" s="55" t="n">
        <v>16772</v>
      </c>
      <c r="B95" s="25">
        <f>VLOOKUP(Table1[[#This Row],[Date]],Database!A:D,3,)</f>
        <v/>
      </c>
      <c r="C95" s="26">
        <f>B95-B94</f>
        <v/>
      </c>
      <c r="D95" s="26">
        <f>AVERAGE(C93:C95)</f>
        <v/>
      </c>
      <c r="E95" s="59" t="n"/>
      <c r="F95" s="59" t="n"/>
    </row>
    <row r="96">
      <c r="A96" s="55" t="n">
        <v>16803</v>
      </c>
      <c r="B96" s="25">
        <f>VLOOKUP(Table1[[#This Row],[Date]],Database!A:D,3,)</f>
        <v/>
      </c>
      <c r="C96" s="26">
        <f>B96-B95</f>
        <v/>
      </c>
      <c r="D96" s="26">
        <f>AVERAGE(C94:C96)</f>
        <v/>
      </c>
      <c r="E96" s="59" t="n"/>
      <c r="F96" s="59" t="n"/>
    </row>
    <row r="97">
      <c r="A97" s="55" t="n">
        <v>16834</v>
      </c>
      <c r="B97" s="25">
        <f>VLOOKUP(Table1[[#This Row],[Date]],Database!A:D,3,)</f>
        <v/>
      </c>
      <c r="C97" s="26">
        <f>B97-B96</f>
        <v/>
      </c>
      <c r="D97" s="26">
        <f>AVERAGE(C95:C97)</f>
        <v/>
      </c>
      <c r="E97" s="59" t="n"/>
      <c r="F97" s="59" t="n"/>
    </row>
    <row r="98">
      <c r="A98" s="55" t="n">
        <v>16862</v>
      </c>
      <c r="B98" s="25">
        <f>VLOOKUP(Table1[[#This Row],[Date]],Database!A:D,3,)</f>
        <v/>
      </c>
      <c r="C98" s="26">
        <f>B98-B97</f>
        <v/>
      </c>
      <c r="D98" s="26">
        <f>AVERAGE(C96:C98)</f>
        <v/>
      </c>
      <c r="E98" s="59" t="n"/>
      <c r="F98" s="59" t="n"/>
    </row>
    <row r="99">
      <c r="A99" s="55" t="n">
        <v>16893</v>
      </c>
      <c r="B99" s="25">
        <f>VLOOKUP(Table1[[#This Row],[Date]],Database!A:D,3,)</f>
        <v/>
      </c>
      <c r="C99" s="26">
        <f>B99-B98</f>
        <v/>
      </c>
      <c r="D99" s="26">
        <f>AVERAGE(C97:C99)</f>
        <v/>
      </c>
      <c r="E99" s="59" t="n"/>
      <c r="F99" s="59" t="n"/>
    </row>
    <row r="100">
      <c r="A100" s="55" t="n">
        <v>16923</v>
      </c>
      <c r="B100" s="25">
        <f>VLOOKUP(Table1[[#This Row],[Date]],Database!A:D,3,)</f>
        <v/>
      </c>
      <c r="C100" s="26">
        <f>B100-B99</f>
        <v/>
      </c>
      <c r="D100" s="26">
        <f>AVERAGE(C98:C100)</f>
        <v/>
      </c>
      <c r="E100" s="59" t="n"/>
      <c r="F100" s="59" t="n"/>
    </row>
    <row r="101">
      <c r="A101" s="55" t="n">
        <v>16954</v>
      </c>
      <c r="B101" s="25">
        <f>VLOOKUP(Table1[[#This Row],[Date]],Database!A:D,3,)</f>
        <v/>
      </c>
      <c r="C101" s="26">
        <f>B101-B100</f>
        <v/>
      </c>
      <c r="D101" s="26">
        <f>AVERAGE(C99:C101)</f>
        <v/>
      </c>
      <c r="E101" s="59" t="n"/>
      <c r="F101" s="59" t="n"/>
    </row>
    <row r="102">
      <c r="A102" s="55" t="n">
        <v>16984</v>
      </c>
      <c r="B102" s="25">
        <f>VLOOKUP(Table1[[#This Row],[Date]],Database!A:D,3,)</f>
        <v/>
      </c>
      <c r="C102" s="26">
        <f>B102-B101</f>
        <v/>
      </c>
      <c r="D102" s="26">
        <f>AVERAGE(C100:C102)</f>
        <v/>
      </c>
      <c r="E102" s="59" t="n"/>
      <c r="F102" s="59" t="n"/>
    </row>
    <row r="103">
      <c r="A103" s="55" t="n">
        <v>17015</v>
      </c>
      <c r="B103" s="25">
        <f>VLOOKUP(Table1[[#This Row],[Date]],Database!A:D,3,)</f>
        <v/>
      </c>
      <c r="C103" s="26">
        <f>B103-B102</f>
        <v/>
      </c>
      <c r="D103" s="26">
        <f>AVERAGE(C101:C103)</f>
        <v/>
      </c>
      <c r="E103" s="59" t="n"/>
      <c r="F103" s="59" t="n"/>
    </row>
    <row r="104">
      <c r="A104" s="55" t="n">
        <v>17046</v>
      </c>
      <c r="B104" s="25">
        <f>VLOOKUP(Table1[[#This Row],[Date]],Database!A:D,3,)</f>
        <v/>
      </c>
      <c r="C104" s="26">
        <f>B104-B103</f>
        <v/>
      </c>
      <c r="D104" s="26">
        <f>AVERAGE(C102:C104)</f>
        <v/>
      </c>
      <c r="E104" s="59" t="n"/>
      <c r="F104" s="59" t="n"/>
    </row>
    <row r="105">
      <c r="A105" s="55" t="n">
        <v>17076</v>
      </c>
      <c r="B105" s="25">
        <f>VLOOKUP(Table1[[#This Row],[Date]],Database!A:D,3,)</f>
        <v/>
      </c>
      <c r="C105" s="26">
        <f>B105-B104</f>
        <v/>
      </c>
      <c r="D105" s="26">
        <f>AVERAGE(C103:C105)</f>
        <v/>
      </c>
      <c r="E105" s="59" t="n"/>
      <c r="F105" s="59" t="n"/>
    </row>
    <row r="106">
      <c r="A106" s="55" t="n">
        <v>17107</v>
      </c>
      <c r="B106" s="25">
        <f>VLOOKUP(Table1[[#This Row],[Date]],Database!A:D,3,)</f>
        <v/>
      </c>
      <c r="C106" s="26">
        <f>B106-B105</f>
        <v/>
      </c>
      <c r="D106" s="26">
        <f>AVERAGE(C104:C106)</f>
        <v/>
      </c>
      <c r="E106" s="59" t="n"/>
      <c r="F106" s="59" t="n"/>
    </row>
    <row r="107">
      <c r="A107" s="55" t="n">
        <v>17137</v>
      </c>
      <c r="B107" s="25">
        <f>VLOOKUP(Table1[[#This Row],[Date]],Database!A:D,3,)</f>
        <v/>
      </c>
      <c r="C107" s="26">
        <f>B107-B106</f>
        <v/>
      </c>
      <c r="D107" s="26">
        <f>AVERAGE(C105:C107)</f>
        <v/>
      </c>
      <c r="E107" s="59" t="n"/>
      <c r="F107" s="59" t="n"/>
    </row>
    <row r="108">
      <c r="A108" s="55" t="n">
        <v>17168</v>
      </c>
      <c r="B108" s="25">
        <f>VLOOKUP(Table1[[#This Row],[Date]],Database!A:D,3,)</f>
        <v/>
      </c>
      <c r="C108" s="26">
        <f>B108-B107</f>
        <v/>
      </c>
      <c r="D108" s="26">
        <f>AVERAGE(C106:C108)</f>
        <v/>
      </c>
      <c r="E108" s="59" t="n"/>
      <c r="F108" s="59" t="n"/>
    </row>
    <row r="109">
      <c r="A109" s="55" t="n">
        <v>17199</v>
      </c>
      <c r="B109" s="25">
        <f>VLOOKUP(Table1[[#This Row],[Date]],Database!A:D,3,)</f>
        <v/>
      </c>
      <c r="C109" s="26">
        <f>B109-B108</f>
        <v/>
      </c>
      <c r="D109" s="26">
        <f>AVERAGE(C107:C109)</f>
        <v/>
      </c>
      <c r="E109" s="59" t="n"/>
      <c r="F109" s="59" t="n"/>
    </row>
    <row r="110">
      <c r="A110" s="55" t="n">
        <v>17227</v>
      </c>
      <c r="B110" s="25">
        <f>VLOOKUP(Table1[[#This Row],[Date]],Database!A:D,3,)</f>
        <v/>
      </c>
      <c r="C110" s="26">
        <f>B110-B109</f>
        <v/>
      </c>
      <c r="D110" s="26">
        <f>AVERAGE(C108:C110)</f>
        <v/>
      </c>
      <c r="E110" s="59" t="n"/>
      <c r="F110" s="59" t="n"/>
    </row>
    <row r="111">
      <c r="A111" s="55" t="n">
        <v>17258</v>
      </c>
      <c r="B111" s="25">
        <f>VLOOKUP(Table1[[#This Row],[Date]],Database!A:D,3,)</f>
        <v/>
      </c>
      <c r="C111" s="26">
        <f>B111-B110</f>
        <v/>
      </c>
      <c r="D111" s="26">
        <f>AVERAGE(C109:C111)</f>
        <v/>
      </c>
      <c r="E111" s="59" t="n"/>
      <c r="F111" s="59" t="n"/>
    </row>
    <row r="112">
      <c r="A112" s="55" t="n">
        <v>17288</v>
      </c>
      <c r="B112" s="25">
        <f>VLOOKUP(Table1[[#This Row],[Date]],Database!A:D,3,)</f>
        <v/>
      </c>
      <c r="C112" s="26">
        <f>B112-B111</f>
        <v/>
      </c>
      <c r="D112" s="26">
        <f>AVERAGE(C110:C112)</f>
        <v/>
      </c>
      <c r="E112" s="59" t="n"/>
      <c r="F112" s="59" t="n"/>
    </row>
    <row r="113">
      <c r="A113" s="55" t="n">
        <v>17319</v>
      </c>
      <c r="B113" s="25">
        <f>VLOOKUP(Table1[[#This Row],[Date]],Database!A:D,3,)</f>
        <v/>
      </c>
      <c r="C113" s="26">
        <f>B113-B112</f>
        <v/>
      </c>
      <c r="D113" s="26">
        <f>AVERAGE(C111:C113)</f>
        <v/>
      </c>
      <c r="E113" s="59" t="n"/>
      <c r="F113" s="59" t="n"/>
    </row>
    <row r="114">
      <c r="A114" s="55" t="n">
        <v>17349</v>
      </c>
      <c r="B114" s="25">
        <f>VLOOKUP(Table1[[#This Row],[Date]],Database!A:D,3,)</f>
        <v/>
      </c>
      <c r="C114" s="26">
        <f>B114-B113</f>
        <v/>
      </c>
      <c r="D114" s="26">
        <f>AVERAGE(C112:C114)</f>
        <v/>
      </c>
      <c r="E114" s="59" t="n"/>
      <c r="F114" s="59" t="n"/>
    </row>
    <row r="115">
      <c r="A115" s="55" t="n">
        <v>17380</v>
      </c>
      <c r="B115" s="25">
        <f>VLOOKUP(Table1[[#This Row],[Date]],Database!A:D,3,)</f>
        <v/>
      </c>
      <c r="C115" s="26">
        <f>B115-B114</f>
        <v/>
      </c>
      <c r="D115" s="26">
        <f>AVERAGE(C113:C115)</f>
        <v/>
      </c>
      <c r="E115" s="59" t="n"/>
      <c r="F115" s="59" t="n"/>
    </row>
    <row r="116">
      <c r="A116" s="55" t="n">
        <v>17411</v>
      </c>
      <c r="B116" s="25">
        <f>VLOOKUP(Table1[[#This Row],[Date]],Database!A:D,3,)</f>
        <v/>
      </c>
      <c r="C116" s="26">
        <f>B116-B115</f>
        <v/>
      </c>
      <c r="D116" s="26">
        <f>AVERAGE(C114:C116)</f>
        <v/>
      </c>
      <c r="E116" s="59" t="n"/>
      <c r="F116" s="59" t="n"/>
    </row>
    <row r="117">
      <c r="A117" s="55" t="n">
        <v>17441</v>
      </c>
      <c r="B117" s="25">
        <f>VLOOKUP(Table1[[#This Row],[Date]],Database!A:D,3,)</f>
        <v/>
      </c>
      <c r="C117" s="26">
        <f>B117-B116</f>
        <v/>
      </c>
      <c r="D117" s="26">
        <f>AVERAGE(C115:C117)</f>
        <v/>
      </c>
      <c r="E117" s="59" t="n"/>
      <c r="F117" s="59" t="n"/>
    </row>
    <row r="118">
      <c r="A118" s="55" t="n">
        <v>17472</v>
      </c>
      <c r="B118" s="25">
        <f>VLOOKUP(Table1[[#This Row],[Date]],Database!A:D,3,)</f>
        <v/>
      </c>
      <c r="C118" s="26">
        <f>B118-B117</f>
        <v/>
      </c>
      <c r="D118" s="26">
        <f>AVERAGE(C116:C118)</f>
        <v/>
      </c>
      <c r="E118" s="59" t="n"/>
      <c r="F118" s="59" t="n"/>
    </row>
    <row r="119">
      <c r="A119" s="55" t="n">
        <v>17502</v>
      </c>
      <c r="B119" s="25">
        <f>VLOOKUP(Table1[[#This Row],[Date]],Database!A:D,3,)</f>
        <v/>
      </c>
      <c r="C119" s="26">
        <f>B119-B118</f>
        <v/>
      </c>
      <c r="D119" s="26">
        <f>AVERAGE(C117:C119)</f>
        <v/>
      </c>
      <c r="E119" s="59" t="n"/>
      <c r="F119" s="59" t="n"/>
      <c r="G119" s="56" t="n"/>
    </row>
    <row r="120">
      <c r="A120" s="55" t="n">
        <v>17533</v>
      </c>
      <c r="B120" s="25">
        <f>VLOOKUP(Table1[[#This Row],[Date]],Database!A:D,3,)</f>
        <v/>
      </c>
      <c r="C120" s="26">
        <f>B120-B119</f>
        <v/>
      </c>
      <c r="D120" s="26">
        <f>AVERAGE(C118:C120)</f>
        <v/>
      </c>
      <c r="E120" s="59">
        <f>VLOOKUP(Table1[[#This Row],[Date]],Database!A:D,4,)</f>
        <v/>
      </c>
      <c r="F120" s="59">
        <f>VLOOKUP(Table1[[#This Row],[Date]],Database!A:D,2,)</f>
        <v/>
      </c>
      <c r="G120" s="56" t="n"/>
    </row>
    <row r="121">
      <c r="A121" s="55" t="n">
        <v>17564</v>
      </c>
      <c r="B121" s="25">
        <f>VLOOKUP(Table1[[#This Row],[Date]],Database!A:D,3,)</f>
        <v/>
      </c>
      <c r="C121" s="26">
        <f>B121-B120</f>
        <v/>
      </c>
      <c r="D121" s="26">
        <f>AVERAGE(C119:C121)</f>
        <v/>
      </c>
      <c r="E121" s="59">
        <f>VLOOKUP(Table1[[#This Row],[Date]],Database!A:D,4,)</f>
        <v/>
      </c>
      <c r="F121" s="59">
        <f>VLOOKUP(Table1[[#This Row],[Date]],Database!A:D,2,)</f>
        <v/>
      </c>
      <c r="G121" s="56" t="n"/>
    </row>
    <row r="122">
      <c r="A122" s="55" t="n">
        <v>17593</v>
      </c>
      <c r="B122" s="25">
        <f>VLOOKUP(Table1[[#This Row],[Date]],Database!A:D,3,)</f>
        <v/>
      </c>
      <c r="C122" s="26">
        <f>B122-B121</f>
        <v/>
      </c>
      <c r="D122" s="26">
        <f>AVERAGE(C120:C122)</f>
        <v/>
      </c>
      <c r="E122" s="59">
        <f>VLOOKUP(Table1[[#This Row],[Date]],Database!A:D,4,)</f>
        <v/>
      </c>
      <c r="F122" s="59">
        <f>VLOOKUP(Table1[[#This Row],[Date]],Database!A:D,2,)</f>
        <v/>
      </c>
      <c r="G122" s="56" t="n"/>
    </row>
    <row r="123">
      <c r="A123" s="55" t="n">
        <v>17624</v>
      </c>
      <c r="B123" s="25">
        <f>VLOOKUP(Table1[[#This Row],[Date]],Database!A:D,3,)</f>
        <v/>
      </c>
      <c r="C123" s="26">
        <f>B123-B122</f>
        <v/>
      </c>
      <c r="D123" s="26">
        <f>AVERAGE(C121:C123)</f>
        <v/>
      </c>
      <c r="E123" s="59">
        <f>VLOOKUP(Table1[[#This Row],[Date]],Database!A:D,4,)</f>
        <v/>
      </c>
      <c r="F123" s="59">
        <f>VLOOKUP(Table1[[#This Row],[Date]],Database!A:D,2,)</f>
        <v/>
      </c>
      <c r="G123" s="56" t="n"/>
    </row>
    <row r="124">
      <c r="A124" s="55" t="n">
        <v>17654</v>
      </c>
      <c r="B124" s="25">
        <f>VLOOKUP(Table1[[#This Row],[Date]],Database!A:D,3,)</f>
        <v/>
      </c>
      <c r="C124" s="26">
        <f>B124-B123</f>
        <v/>
      </c>
      <c r="D124" s="26">
        <f>AVERAGE(C122:C124)</f>
        <v/>
      </c>
      <c r="E124" s="59">
        <f>VLOOKUP(Table1[[#This Row],[Date]],Database!A:D,4,)</f>
        <v/>
      </c>
      <c r="F124" s="59">
        <f>VLOOKUP(Table1[[#This Row],[Date]],Database!A:D,2,)</f>
        <v/>
      </c>
      <c r="G124" s="56" t="n"/>
    </row>
    <row r="125">
      <c r="A125" s="55" t="n">
        <v>17685</v>
      </c>
      <c r="B125" s="25">
        <f>VLOOKUP(Table1[[#This Row],[Date]],Database!A:D,3,)</f>
        <v/>
      </c>
      <c r="C125" s="26">
        <f>B125-B124</f>
        <v/>
      </c>
      <c r="D125" s="26">
        <f>AVERAGE(C123:C125)</f>
        <v/>
      </c>
      <c r="E125" s="59">
        <f>VLOOKUP(Table1[[#This Row],[Date]],Database!A:D,4,)</f>
        <v/>
      </c>
      <c r="F125" s="59">
        <f>VLOOKUP(Table1[[#This Row],[Date]],Database!A:D,2,)</f>
        <v/>
      </c>
      <c r="G125" s="56" t="n"/>
    </row>
    <row r="126">
      <c r="A126" s="55" t="n">
        <v>17715</v>
      </c>
      <c r="B126" s="25">
        <f>VLOOKUP(Table1[[#This Row],[Date]],Database!A:D,3,)</f>
        <v/>
      </c>
      <c r="C126" s="26">
        <f>B126-B125</f>
        <v/>
      </c>
      <c r="D126" s="26">
        <f>AVERAGE(C124:C126)</f>
        <v/>
      </c>
      <c r="E126" s="59">
        <f>VLOOKUP(Table1[[#This Row],[Date]],Database!A:D,4,)</f>
        <v/>
      </c>
      <c r="F126" s="59">
        <f>VLOOKUP(Table1[[#This Row],[Date]],Database!A:D,2,)</f>
        <v/>
      </c>
      <c r="G126" s="56" t="n"/>
    </row>
    <row r="127">
      <c r="A127" s="55" t="n">
        <v>17746</v>
      </c>
      <c r="B127" s="25">
        <f>VLOOKUP(Table1[[#This Row],[Date]],Database!A:D,3,)</f>
        <v/>
      </c>
      <c r="C127" s="26">
        <f>B127-B126</f>
        <v/>
      </c>
      <c r="D127" s="26">
        <f>AVERAGE(C125:C127)</f>
        <v/>
      </c>
      <c r="E127" s="59">
        <f>VLOOKUP(Table1[[#This Row],[Date]],Database!A:D,4,)</f>
        <v/>
      </c>
      <c r="F127" s="59">
        <f>VLOOKUP(Table1[[#This Row],[Date]],Database!A:D,2,)</f>
        <v/>
      </c>
      <c r="G127" s="56" t="n"/>
    </row>
    <row r="128">
      <c r="A128" s="55" t="n">
        <v>17777</v>
      </c>
      <c r="B128" s="25">
        <f>VLOOKUP(Table1[[#This Row],[Date]],Database!A:D,3,)</f>
        <v/>
      </c>
      <c r="C128" s="26">
        <f>B128-B127</f>
        <v/>
      </c>
      <c r="D128" s="26">
        <f>AVERAGE(C126:C128)</f>
        <v/>
      </c>
      <c r="E128" s="59">
        <f>VLOOKUP(Table1[[#This Row],[Date]],Database!A:D,4,)</f>
        <v/>
      </c>
      <c r="F128" s="59">
        <f>VLOOKUP(Table1[[#This Row],[Date]],Database!A:D,2,)</f>
        <v/>
      </c>
      <c r="G128" s="56" t="n"/>
    </row>
    <row r="129">
      <c r="A129" s="55" t="n">
        <v>17807</v>
      </c>
      <c r="B129" s="25">
        <f>VLOOKUP(Table1[[#This Row],[Date]],Database!A:D,3,)</f>
        <v/>
      </c>
      <c r="C129" s="26">
        <f>B129-B128</f>
        <v/>
      </c>
      <c r="D129" s="26">
        <f>AVERAGE(C127:C129)</f>
        <v/>
      </c>
      <c r="E129" s="59">
        <f>VLOOKUP(Table1[[#This Row],[Date]],Database!A:D,4,)</f>
        <v/>
      </c>
      <c r="F129" s="59">
        <f>VLOOKUP(Table1[[#This Row],[Date]],Database!A:D,2,)</f>
        <v/>
      </c>
      <c r="G129" s="56" t="n"/>
    </row>
    <row r="130">
      <c r="A130" s="55" t="n">
        <v>17838</v>
      </c>
      <c r="B130" s="25">
        <f>VLOOKUP(Table1[[#This Row],[Date]],Database!A:D,3,)</f>
        <v/>
      </c>
      <c r="C130" s="26">
        <f>B130-B129</f>
        <v/>
      </c>
      <c r="D130" s="26">
        <f>AVERAGE(C128:C130)</f>
        <v/>
      </c>
      <c r="E130" s="59">
        <f>VLOOKUP(Table1[[#This Row],[Date]],Database!A:D,4,)</f>
        <v/>
      </c>
      <c r="F130" s="59">
        <f>VLOOKUP(Table1[[#This Row],[Date]],Database!A:D,2,)</f>
        <v/>
      </c>
      <c r="G130" s="56" t="n"/>
    </row>
    <row r="131">
      <c r="A131" s="55" t="n">
        <v>17868</v>
      </c>
      <c r="B131" s="25">
        <f>VLOOKUP(Table1[[#This Row],[Date]],Database!A:D,3,)</f>
        <v/>
      </c>
      <c r="C131" s="26">
        <f>B131-B130</f>
        <v/>
      </c>
      <c r="D131" s="26">
        <f>AVERAGE(C129:C131)</f>
        <v/>
      </c>
      <c r="E131" s="59">
        <f>VLOOKUP(Table1[[#This Row],[Date]],Database!A:D,4,)</f>
        <v/>
      </c>
      <c r="F131" s="59">
        <f>VLOOKUP(Table1[[#This Row],[Date]],Database!A:D,2,)</f>
        <v/>
      </c>
      <c r="G131" s="56" t="n"/>
    </row>
    <row r="132">
      <c r="A132" s="55" t="n">
        <v>17899</v>
      </c>
      <c r="B132" s="25">
        <f>VLOOKUP(Table1[[#This Row],[Date]],Database!A:D,3,)</f>
        <v/>
      </c>
      <c r="C132" s="26">
        <f>B132-B131</f>
        <v/>
      </c>
      <c r="D132" s="26">
        <f>AVERAGE(C130:C132)</f>
        <v/>
      </c>
      <c r="E132" s="59">
        <f>VLOOKUP(Table1[[#This Row],[Date]],Database!A:D,4,)</f>
        <v/>
      </c>
      <c r="F132" s="59">
        <f>VLOOKUP(Table1[[#This Row],[Date]],Database!A:D,2,)</f>
        <v/>
      </c>
      <c r="G132" s="56" t="n"/>
    </row>
    <row r="133">
      <c r="A133" s="55" t="n">
        <v>17930</v>
      </c>
      <c r="B133" s="25">
        <f>VLOOKUP(Table1[[#This Row],[Date]],Database!A:D,3,)</f>
        <v/>
      </c>
      <c r="C133" s="26">
        <f>B133-B132</f>
        <v/>
      </c>
      <c r="D133" s="26">
        <f>AVERAGE(C131:C133)</f>
        <v/>
      </c>
      <c r="E133" s="59">
        <f>VLOOKUP(Table1[[#This Row],[Date]],Database!A:D,4,)</f>
        <v/>
      </c>
      <c r="F133" s="59">
        <f>VLOOKUP(Table1[[#This Row],[Date]],Database!A:D,2,)</f>
        <v/>
      </c>
      <c r="G133" s="56" t="n"/>
    </row>
    <row r="134">
      <c r="A134" s="55" t="n">
        <v>17958</v>
      </c>
      <c r="B134" s="25">
        <f>VLOOKUP(Table1[[#This Row],[Date]],Database!A:D,3,)</f>
        <v/>
      </c>
      <c r="C134" s="26">
        <f>B134-B133</f>
        <v/>
      </c>
      <c r="D134" s="26">
        <f>AVERAGE(C132:C134)</f>
        <v/>
      </c>
      <c r="E134" s="59">
        <f>VLOOKUP(Table1[[#This Row],[Date]],Database!A:D,4,)</f>
        <v/>
      </c>
      <c r="F134" s="59">
        <f>VLOOKUP(Table1[[#This Row],[Date]],Database!A:D,2,)</f>
        <v/>
      </c>
      <c r="G134" s="56" t="n"/>
    </row>
    <row r="135">
      <c r="A135" s="55" t="n">
        <v>17989</v>
      </c>
      <c r="B135" s="25">
        <f>VLOOKUP(Table1[[#This Row],[Date]],Database!A:D,3,)</f>
        <v/>
      </c>
      <c r="C135" s="26">
        <f>B135-B134</f>
        <v/>
      </c>
      <c r="D135" s="26">
        <f>AVERAGE(C133:C135)</f>
        <v/>
      </c>
      <c r="E135" s="59">
        <f>VLOOKUP(Table1[[#This Row],[Date]],Database!A:D,4,)</f>
        <v/>
      </c>
      <c r="F135" s="59">
        <f>VLOOKUP(Table1[[#This Row],[Date]],Database!A:D,2,)</f>
        <v/>
      </c>
      <c r="G135" s="56" t="n"/>
    </row>
    <row r="136">
      <c r="A136" s="55" t="n">
        <v>18019</v>
      </c>
      <c r="B136" s="25">
        <f>VLOOKUP(Table1[[#This Row],[Date]],Database!A:D,3,)</f>
        <v/>
      </c>
      <c r="C136" s="26">
        <f>B136-B135</f>
        <v/>
      </c>
      <c r="D136" s="26">
        <f>AVERAGE(C134:C136)</f>
        <v/>
      </c>
      <c r="E136" s="59">
        <f>VLOOKUP(Table1[[#This Row],[Date]],Database!A:D,4,)</f>
        <v/>
      </c>
      <c r="F136" s="59">
        <f>VLOOKUP(Table1[[#This Row],[Date]],Database!A:D,2,)</f>
        <v/>
      </c>
      <c r="G136" s="56" t="n"/>
    </row>
    <row r="137">
      <c r="A137" s="55" t="n">
        <v>18050</v>
      </c>
      <c r="B137" s="25">
        <f>VLOOKUP(Table1[[#This Row],[Date]],Database!A:D,3,)</f>
        <v/>
      </c>
      <c r="C137" s="26">
        <f>B137-B136</f>
        <v/>
      </c>
      <c r="D137" s="26">
        <f>AVERAGE(C135:C137)</f>
        <v/>
      </c>
      <c r="E137" s="59">
        <f>VLOOKUP(Table1[[#This Row],[Date]],Database!A:D,4,)</f>
        <v/>
      </c>
      <c r="F137" s="59">
        <f>VLOOKUP(Table1[[#This Row],[Date]],Database!A:D,2,)</f>
        <v/>
      </c>
      <c r="G137" s="56" t="n"/>
    </row>
    <row r="138">
      <c r="A138" s="55" t="n">
        <v>18080</v>
      </c>
      <c r="B138" s="25">
        <f>VLOOKUP(Table1[[#This Row],[Date]],Database!A:D,3,)</f>
        <v/>
      </c>
      <c r="C138" s="26">
        <f>B138-B137</f>
        <v/>
      </c>
      <c r="D138" s="26">
        <f>AVERAGE(C136:C138)</f>
        <v/>
      </c>
      <c r="E138" s="59">
        <f>VLOOKUP(Table1[[#This Row],[Date]],Database!A:D,4,)</f>
        <v/>
      </c>
      <c r="F138" s="59">
        <f>VLOOKUP(Table1[[#This Row],[Date]],Database!A:D,2,)</f>
        <v/>
      </c>
      <c r="G138" s="56" t="n"/>
    </row>
    <row r="139">
      <c r="A139" s="55" t="n">
        <v>18111</v>
      </c>
      <c r="B139" s="25">
        <f>VLOOKUP(Table1[[#This Row],[Date]],Database!A:D,3,)</f>
        <v/>
      </c>
      <c r="C139" s="26">
        <f>B139-B138</f>
        <v/>
      </c>
      <c r="D139" s="26">
        <f>AVERAGE(C137:C139)</f>
        <v/>
      </c>
      <c r="E139" s="59">
        <f>VLOOKUP(Table1[[#This Row],[Date]],Database!A:D,4,)</f>
        <v/>
      </c>
      <c r="F139" s="59">
        <f>VLOOKUP(Table1[[#This Row],[Date]],Database!A:D,2,)</f>
        <v/>
      </c>
      <c r="G139" s="56" t="n"/>
    </row>
    <row r="140">
      <c r="A140" s="55" t="n">
        <v>18142</v>
      </c>
      <c r="B140" s="25">
        <f>VLOOKUP(Table1[[#This Row],[Date]],Database!A:D,3,)</f>
        <v/>
      </c>
      <c r="C140" s="26">
        <f>B140-B139</f>
        <v/>
      </c>
      <c r="D140" s="26">
        <f>AVERAGE(C138:C140)</f>
        <v/>
      </c>
      <c r="E140" s="59">
        <f>VLOOKUP(Table1[[#This Row],[Date]],Database!A:D,4,)</f>
        <v/>
      </c>
      <c r="F140" s="59">
        <f>VLOOKUP(Table1[[#This Row],[Date]],Database!A:D,2,)</f>
        <v/>
      </c>
      <c r="G140" s="56" t="n"/>
    </row>
    <row r="141">
      <c r="A141" s="55" t="n">
        <v>18172</v>
      </c>
      <c r="B141" s="25">
        <f>VLOOKUP(Table1[[#This Row],[Date]],Database!A:D,3,)</f>
        <v/>
      </c>
      <c r="C141" s="26">
        <f>B141-B140</f>
        <v/>
      </c>
      <c r="D141" s="26">
        <f>AVERAGE(C139:C141)</f>
        <v/>
      </c>
      <c r="E141" s="59">
        <f>VLOOKUP(Table1[[#This Row],[Date]],Database!A:D,4,)</f>
        <v/>
      </c>
      <c r="F141" s="59">
        <f>VLOOKUP(Table1[[#This Row],[Date]],Database!A:D,2,)</f>
        <v/>
      </c>
      <c r="G141" s="56" t="n"/>
    </row>
    <row r="142">
      <c r="A142" s="55" t="n">
        <v>18203</v>
      </c>
      <c r="B142" s="25">
        <f>VLOOKUP(Table1[[#This Row],[Date]],Database!A:D,3,)</f>
        <v/>
      </c>
      <c r="C142" s="26">
        <f>B142-B141</f>
        <v/>
      </c>
      <c r="D142" s="26">
        <f>AVERAGE(C140:C142)</f>
        <v/>
      </c>
      <c r="E142" s="59">
        <f>VLOOKUP(Table1[[#This Row],[Date]],Database!A:D,4,)</f>
        <v/>
      </c>
      <c r="F142" s="59">
        <f>VLOOKUP(Table1[[#This Row],[Date]],Database!A:D,2,)</f>
        <v/>
      </c>
      <c r="G142" s="56" t="n"/>
    </row>
    <row r="143">
      <c r="A143" s="55" t="n">
        <v>18233</v>
      </c>
      <c r="B143" s="25">
        <f>VLOOKUP(Table1[[#This Row],[Date]],Database!A:D,3,)</f>
        <v/>
      </c>
      <c r="C143" s="26">
        <f>B143-B142</f>
        <v/>
      </c>
      <c r="D143" s="26">
        <f>AVERAGE(C141:C143)</f>
        <v/>
      </c>
      <c r="E143" s="59">
        <f>VLOOKUP(Table1[[#This Row],[Date]],Database!A:D,4,)</f>
        <v/>
      </c>
      <c r="F143" s="59">
        <f>VLOOKUP(Table1[[#This Row],[Date]],Database!A:D,2,)</f>
        <v/>
      </c>
      <c r="G143" s="56" t="n"/>
    </row>
    <row r="144">
      <c r="A144" s="55" t="n">
        <v>18264</v>
      </c>
      <c r="B144" s="25">
        <f>VLOOKUP(Table1[[#This Row],[Date]],Database!A:D,3,)</f>
        <v/>
      </c>
      <c r="C144" s="26">
        <f>B144-B143</f>
        <v/>
      </c>
      <c r="D144" s="26">
        <f>AVERAGE(C142:C144)</f>
        <v/>
      </c>
      <c r="E144" s="59">
        <f>VLOOKUP(Table1[[#This Row],[Date]],Database!A:D,4,)</f>
        <v/>
      </c>
      <c r="F144" s="59">
        <f>VLOOKUP(Table1[[#This Row],[Date]],Database!A:D,2,)</f>
        <v/>
      </c>
      <c r="G144" s="56" t="n"/>
    </row>
    <row r="145">
      <c r="A145" s="55" t="n">
        <v>18295</v>
      </c>
      <c r="B145" s="25">
        <f>VLOOKUP(Table1[[#This Row],[Date]],Database!A:D,3,)</f>
        <v/>
      </c>
      <c r="C145" s="26">
        <f>B145-B144</f>
        <v/>
      </c>
      <c r="D145" s="26">
        <f>AVERAGE(C143:C145)</f>
        <v/>
      </c>
      <c r="E145" s="59">
        <f>VLOOKUP(Table1[[#This Row],[Date]],Database!A:D,4,)</f>
        <v/>
      </c>
      <c r="F145" s="59">
        <f>VLOOKUP(Table1[[#This Row],[Date]],Database!A:D,2,)</f>
        <v/>
      </c>
      <c r="G145" s="56" t="n"/>
    </row>
    <row r="146">
      <c r="A146" s="55" t="n">
        <v>18323</v>
      </c>
      <c r="B146" s="25">
        <f>VLOOKUP(Table1[[#This Row],[Date]],Database!A:D,3,)</f>
        <v/>
      </c>
      <c r="C146" s="26">
        <f>B146-B145</f>
        <v/>
      </c>
      <c r="D146" s="26">
        <f>AVERAGE(C144:C146)</f>
        <v/>
      </c>
      <c r="E146" s="59">
        <f>VLOOKUP(Table1[[#This Row],[Date]],Database!A:D,4,)</f>
        <v/>
      </c>
      <c r="F146" s="59">
        <f>VLOOKUP(Table1[[#This Row],[Date]],Database!A:D,2,)</f>
        <v/>
      </c>
      <c r="G146" s="56" t="n"/>
    </row>
    <row r="147">
      <c r="A147" s="55" t="n">
        <v>18354</v>
      </c>
      <c r="B147" s="25">
        <f>VLOOKUP(Table1[[#This Row],[Date]],Database!A:D,3,)</f>
        <v/>
      </c>
      <c r="C147" s="26">
        <f>B147-B146</f>
        <v/>
      </c>
      <c r="D147" s="26">
        <f>AVERAGE(C145:C147)</f>
        <v/>
      </c>
      <c r="E147" s="59">
        <f>VLOOKUP(Table1[[#This Row],[Date]],Database!A:D,4,)</f>
        <v/>
      </c>
      <c r="F147" s="59">
        <f>VLOOKUP(Table1[[#This Row],[Date]],Database!A:D,2,)</f>
        <v/>
      </c>
      <c r="G147" s="56" t="n"/>
    </row>
    <row r="148">
      <c r="A148" s="55" t="n">
        <v>18384</v>
      </c>
      <c r="B148" s="25">
        <f>VLOOKUP(Table1[[#This Row],[Date]],Database!A:D,3,)</f>
        <v/>
      </c>
      <c r="C148" s="26">
        <f>B148-B147</f>
        <v/>
      </c>
      <c r="D148" s="26">
        <f>AVERAGE(C146:C148)</f>
        <v/>
      </c>
      <c r="E148" s="59">
        <f>VLOOKUP(Table1[[#This Row],[Date]],Database!A:D,4,)</f>
        <v/>
      </c>
      <c r="F148" s="59">
        <f>VLOOKUP(Table1[[#This Row],[Date]],Database!A:D,2,)</f>
        <v/>
      </c>
      <c r="G148" s="56" t="n"/>
    </row>
    <row r="149">
      <c r="A149" s="55" t="n">
        <v>18415</v>
      </c>
      <c r="B149" s="25">
        <f>VLOOKUP(Table1[[#This Row],[Date]],Database!A:D,3,)</f>
        <v/>
      </c>
      <c r="C149" s="26">
        <f>B149-B148</f>
        <v/>
      </c>
      <c r="D149" s="26">
        <f>AVERAGE(C147:C149)</f>
        <v/>
      </c>
      <c r="E149" s="59">
        <f>VLOOKUP(Table1[[#This Row],[Date]],Database!A:D,4,)</f>
        <v/>
      </c>
      <c r="F149" s="59">
        <f>VLOOKUP(Table1[[#This Row],[Date]],Database!A:D,2,)</f>
        <v/>
      </c>
      <c r="G149" s="56" t="n"/>
    </row>
    <row r="150">
      <c r="A150" s="55" t="n">
        <v>18445</v>
      </c>
      <c r="B150" s="25">
        <f>VLOOKUP(Table1[[#This Row],[Date]],Database!A:D,3,)</f>
        <v/>
      </c>
      <c r="C150" s="26">
        <f>B150-B149</f>
        <v/>
      </c>
      <c r="D150" s="26">
        <f>AVERAGE(C148:C150)</f>
        <v/>
      </c>
      <c r="E150" s="59">
        <f>VLOOKUP(Table1[[#This Row],[Date]],Database!A:D,4,)</f>
        <v/>
      </c>
      <c r="F150" s="59">
        <f>VLOOKUP(Table1[[#This Row],[Date]],Database!A:D,2,)</f>
        <v/>
      </c>
      <c r="G150" s="56" t="n"/>
    </row>
    <row r="151">
      <c r="A151" s="55" t="n">
        <v>18476</v>
      </c>
      <c r="B151" s="25">
        <f>VLOOKUP(Table1[[#This Row],[Date]],Database!A:D,3,)</f>
        <v/>
      </c>
      <c r="C151" s="26">
        <f>B151-B150</f>
        <v/>
      </c>
      <c r="D151" s="26">
        <f>AVERAGE(C149:C151)</f>
        <v/>
      </c>
      <c r="E151" s="59">
        <f>VLOOKUP(Table1[[#This Row],[Date]],Database!A:D,4,)</f>
        <v/>
      </c>
      <c r="F151" s="59">
        <f>VLOOKUP(Table1[[#This Row],[Date]],Database!A:D,2,)</f>
        <v/>
      </c>
      <c r="G151" s="56" t="n"/>
    </row>
    <row r="152">
      <c r="A152" s="55" t="n">
        <v>18507</v>
      </c>
      <c r="B152" s="25">
        <f>VLOOKUP(Table1[[#This Row],[Date]],Database!A:D,3,)</f>
        <v/>
      </c>
      <c r="C152" s="26">
        <f>B152-B151</f>
        <v/>
      </c>
      <c r="D152" s="26">
        <f>AVERAGE(C150:C152)</f>
        <v/>
      </c>
      <c r="E152" s="59">
        <f>VLOOKUP(Table1[[#This Row],[Date]],Database!A:D,4,)</f>
        <v/>
      </c>
      <c r="F152" s="59">
        <f>VLOOKUP(Table1[[#This Row],[Date]],Database!A:D,2,)</f>
        <v/>
      </c>
      <c r="G152" s="56" t="n"/>
    </row>
    <row r="153">
      <c r="A153" s="55" t="n">
        <v>18537</v>
      </c>
      <c r="B153" s="25">
        <f>VLOOKUP(Table1[[#This Row],[Date]],Database!A:D,3,)</f>
        <v/>
      </c>
      <c r="C153" s="26">
        <f>B153-B152</f>
        <v/>
      </c>
      <c r="D153" s="26">
        <f>AVERAGE(C151:C153)</f>
        <v/>
      </c>
      <c r="E153" s="59">
        <f>VLOOKUP(Table1[[#This Row],[Date]],Database!A:D,4,)</f>
        <v/>
      </c>
      <c r="F153" s="59">
        <f>VLOOKUP(Table1[[#This Row],[Date]],Database!A:D,2,)</f>
        <v/>
      </c>
      <c r="G153" s="56" t="n"/>
    </row>
    <row r="154">
      <c r="A154" s="55" t="n">
        <v>18568</v>
      </c>
      <c r="B154" s="25">
        <f>VLOOKUP(Table1[[#This Row],[Date]],Database!A:D,3,)</f>
        <v/>
      </c>
      <c r="C154" s="26">
        <f>B154-B153</f>
        <v/>
      </c>
      <c r="D154" s="26">
        <f>AVERAGE(C152:C154)</f>
        <v/>
      </c>
      <c r="E154" s="59">
        <f>VLOOKUP(Table1[[#This Row],[Date]],Database!A:D,4,)</f>
        <v/>
      </c>
      <c r="F154" s="59">
        <f>VLOOKUP(Table1[[#This Row],[Date]],Database!A:D,2,)</f>
        <v/>
      </c>
      <c r="G154" s="56" t="n"/>
    </row>
    <row r="155">
      <c r="A155" s="55" t="n">
        <v>18598</v>
      </c>
      <c r="B155" s="25">
        <f>VLOOKUP(Table1[[#This Row],[Date]],Database!A:D,3,)</f>
        <v/>
      </c>
      <c r="C155" s="26">
        <f>B155-B154</f>
        <v/>
      </c>
      <c r="D155" s="26">
        <f>AVERAGE(C153:C155)</f>
        <v/>
      </c>
      <c r="E155" s="59">
        <f>VLOOKUP(Table1[[#This Row],[Date]],Database!A:D,4,)</f>
        <v/>
      </c>
      <c r="F155" s="59">
        <f>VLOOKUP(Table1[[#This Row],[Date]],Database!A:D,2,)</f>
        <v/>
      </c>
      <c r="G155" s="56" t="n"/>
    </row>
    <row r="156">
      <c r="A156" s="55" t="n">
        <v>18629</v>
      </c>
      <c r="B156" s="25">
        <f>VLOOKUP(Table1[[#This Row],[Date]],Database!A:D,3,)</f>
        <v/>
      </c>
      <c r="C156" s="26">
        <f>B156-B155</f>
        <v/>
      </c>
      <c r="D156" s="26">
        <f>AVERAGE(C154:C156)</f>
        <v/>
      </c>
      <c r="E156" s="59">
        <f>VLOOKUP(Table1[[#This Row],[Date]],Database!A:D,4,)</f>
        <v/>
      </c>
      <c r="F156" s="59">
        <f>VLOOKUP(Table1[[#This Row],[Date]],Database!A:D,2,)</f>
        <v/>
      </c>
      <c r="G156" s="56" t="n"/>
    </row>
    <row r="157">
      <c r="A157" s="55" t="n">
        <v>18660</v>
      </c>
      <c r="B157" s="25">
        <f>VLOOKUP(Table1[[#This Row],[Date]],Database!A:D,3,)</f>
        <v/>
      </c>
      <c r="C157" s="26">
        <f>B157-B156</f>
        <v/>
      </c>
      <c r="D157" s="26">
        <f>AVERAGE(C155:C157)</f>
        <v/>
      </c>
      <c r="E157" s="59">
        <f>VLOOKUP(Table1[[#This Row],[Date]],Database!A:D,4,)</f>
        <v/>
      </c>
      <c r="F157" s="59">
        <f>VLOOKUP(Table1[[#This Row],[Date]],Database!A:D,2,)</f>
        <v/>
      </c>
      <c r="G157" s="56" t="n"/>
    </row>
    <row r="158">
      <c r="A158" s="55" t="n">
        <v>18688</v>
      </c>
      <c r="B158" s="25">
        <f>VLOOKUP(Table1[[#This Row],[Date]],Database!A:D,3,)</f>
        <v/>
      </c>
      <c r="C158" s="26">
        <f>B158-B157</f>
        <v/>
      </c>
      <c r="D158" s="26">
        <f>AVERAGE(C156:C158)</f>
        <v/>
      </c>
      <c r="E158" s="59">
        <f>VLOOKUP(Table1[[#This Row],[Date]],Database!A:D,4,)</f>
        <v/>
      </c>
      <c r="F158" s="59">
        <f>VLOOKUP(Table1[[#This Row],[Date]],Database!A:D,2,)</f>
        <v/>
      </c>
      <c r="G158" s="56" t="n"/>
    </row>
    <row r="159">
      <c r="A159" s="55" t="n">
        <v>18719</v>
      </c>
      <c r="B159" s="25">
        <f>VLOOKUP(Table1[[#This Row],[Date]],Database!A:D,3,)</f>
        <v/>
      </c>
      <c r="C159" s="26">
        <f>B159-B158</f>
        <v/>
      </c>
      <c r="D159" s="26">
        <f>AVERAGE(C157:C159)</f>
        <v/>
      </c>
      <c r="E159" s="59">
        <f>VLOOKUP(Table1[[#This Row],[Date]],Database!A:D,4,)</f>
        <v/>
      </c>
      <c r="F159" s="59">
        <f>VLOOKUP(Table1[[#This Row],[Date]],Database!A:D,2,)</f>
        <v/>
      </c>
      <c r="G159" s="56" t="n"/>
    </row>
    <row r="160">
      <c r="A160" s="55" t="n">
        <v>18749</v>
      </c>
      <c r="B160" s="25">
        <f>VLOOKUP(Table1[[#This Row],[Date]],Database!A:D,3,)</f>
        <v/>
      </c>
      <c r="C160" s="26">
        <f>B160-B159</f>
        <v/>
      </c>
      <c r="D160" s="26">
        <f>AVERAGE(C158:C160)</f>
        <v/>
      </c>
      <c r="E160" s="59">
        <f>VLOOKUP(Table1[[#This Row],[Date]],Database!A:D,4,)</f>
        <v/>
      </c>
      <c r="F160" s="59">
        <f>VLOOKUP(Table1[[#This Row],[Date]],Database!A:D,2,)</f>
        <v/>
      </c>
      <c r="G160" s="56" t="n"/>
    </row>
    <row r="161">
      <c r="A161" s="55" t="n">
        <v>18780</v>
      </c>
      <c r="B161" s="25">
        <f>VLOOKUP(Table1[[#This Row],[Date]],Database!A:D,3,)</f>
        <v/>
      </c>
      <c r="C161" s="26">
        <f>B161-B160</f>
        <v/>
      </c>
      <c r="D161" s="26">
        <f>AVERAGE(C159:C161)</f>
        <v/>
      </c>
      <c r="E161" s="59">
        <f>VLOOKUP(Table1[[#This Row],[Date]],Database!A:D,4,)</f>
        <v/>
      </c>
      <c r="F161" s="59">
        <f>VLOOKUP(Table1[[#This Row],[Date]],Database!A:D,2,)</f>
        <v/>
      </c>
      <c r="G161" s="56" t="n"/>
    </row>
    <row r="162">
      <c r="A162" s="55" t="n">
        <v>18810</v>
      </c>
      <c r="B162" s="25">
        <f>VLOOKUP(Table1[[#This Row],[Date]],Database!A:D,3,)</f>
        <v/>
      </c>
      <c r="C162" s="26">
        <f>B162-B161</f>
        <v/>
      </c>
      <c r="D162" s="26">
        <f>AVERAGE(C160:C162)</f>
        <v/>
      </c>
      <c r="E162" s="59">
        <f>VLOOKUP(Table1[[#This Row],[Date]],Database!A:D,4,)</f>
        <v/>
      </c>
      <c r="F162" s="59">
        <f>VLOOKUP(Table1[[#This Row],[Date]],Database!A:D,2,)</f>
        <v/>
      </c>
      <c r="G162" s="56" t="n"/>
    </row>
    <row r="163">
      <c r="A163" s="55" t="n">
        <v>18841</v>
      </c>
      <c r="B163" s="25">
        <f>VLOOKUP(Table1[[#This Row],[Date]],Database!A:D,3,)</f>
        <v/>
      </c>
      <c r="C163" s="26">
        <f>B163-B162</f>
        <v/>
      </c>
      <c r="D163" s="26">
        <f>AVERAGE(C161:C163)</f>
        <v/>
      </c>
      <c r="E163" s="59">
        <f>VLOOKUP(Table1[[#This Row],[Date]],Database!A:D,4,)</f>
        <v/>
      </c>
      <c r="F163" s="59">
        <f>VLOOKUP(Table1[[#This Row],[Date]],Database!A:D,2,)</f>
        <v/>
      </c>
      <c r="G163" s="56" t="n"/>
    </row>
    <row r="164">
      <c r="A164" s="55" t="n">
        <v>18872</v>
      </c>
      <c r="B164" s="25">
        <f>VLOOKUP(Table1[[#This Row],[Date]],Database!A:D,3,)</f>
        <v/>
      </c>
      <c r="C164" s="26">
        <f>B164-B163</f>
        <v/>
      </c>
      <c r="D164" s="26">
        <f>AVERAGE(C162:C164)</f>
        <v/>
      </c>
      <c r="E164" s="59">
        <f>VLOOKUP(Table1[[#This Row],[Date]],Database!A:D,4,)</f>
        <v/>
      </c>
      <c r="F164" s="59">
        <f>VLOOKUP(Table1[[#This Row],[Date]],Database!A:D,2,)</f>
        <v/>
      </c>
      <c r="G164" s="56" t="n"/>
    </row>
    <row r="165">
      <c r="A165" s="55" t="n">
        <v>18902</v>
      </c>
      <c r="B165" s="25">
        <f>VLOOKUP(Table1[[#This Row],[Date]],Database!A:D,3,)</f>
        <v/>
      </c>
      <c r="C165" s="26">
        <f>B165-B164</f>
        <v/>
      </c>
      <c r="D165" s="26">
        <f>AVERAGE(C163:C165)</f>
        <v/>
      </c>
      <c r="E165" s="59">
        <f>VLOOKUP(Table1[[#This Row],[Date]],Database!A:D,4,)</f>
        <v/>
      </c>
      <c r="F165" s="59">
        <f>VLOOKUP(Table1[[#This Row],[Date]],Database!A:D,2,)</f>
        <v/>
      </c>
      <c r="G165" s="56" t="n"/>
    </row>
    <row r="166">
      <c r="A166" s="55" t="n">
        <v>18933</v>
      </c>
      <c r="B166" s="25">
        <f>VLOOKUP(Table1[[#This Row],[Date]],Database!A:D,3,)</f>
        <v/>
      </c>
      <c r="C166" s="26">
        <f>B166-B165</f>
        <v/>
      </c>
      <c r="D166" s="26">
        <f>AVERAGE(C164:C166)</f>
        <v/>
      </c>
      <c r="E166" s="59">
        <f>VLOOKUP(Table1[[#This Row],[Date]],Database!A:D,4,)</f>
        <v/>
      </c>
      <c r="F166" s="59">
        <f>VLOOKUP(Table1[[#This Row],[Date]],Database!A:D,2,)</f>
        <v/>
      </c>
      <c r="G166" s="56" t="n"/>
    </row>
    <row r="167">
      <c r="A167" s="55" t="n">
        <v>18963</v>
      </c>
      <c r="B167" s="25">
        <f>VLOOKUP(Table1[[#This Row],[Date]],Database!A:D,3,)</f>
        <v/>
      </c>
      <c r="C167" s="26">
        <f>B167-B166</f>
        <v/>
      </c>
      <c r="D167" s="26">
        <f>AVERAGE(C165:C167)</f>
        <v/>
      </c>
      <c r="E167" s="59">
        <f>VLOOKUP(Table1[[#This Row],[Date]],Database!A:D,4,)</f>
        <v/>
      </c>
      <c r="F167" s="59">
        <f>VLOOKUP(Table1[[#This Row],[Date]],Database!A:D,2,)</f>
        <v/>
      </c>
      <c r="G167" s="56" t="n"/>
    </row>
    <row r="168">
      <c r="A168" s="55" t="n">
        <v>18994</v>
      </c>
      <c r="B168" s="25">
        <f>VLOOKUP(Table1[[#This Row],[Date]],Database!A:D,3,)</f>
        <v/>
      </c>
      <c r="C168" s="26">
        <f>B168-B167</f>
        <v/>
      </c>
      <c r="D168" s="26">
        <f>AVERAGE(C166:C168)</f>
        <v/>
      </c>
      <c r="E168" s="59">
        <f>VLOOKUP(Table1[[#This Row],[Date]],Database!A:D,4,)</f>
        <v/>
      </c>
      <c r="F168" s="59">
        <f>VLOOKUP(Table1[[#This Row],[Date]],Database!A:D,2,)</f>
        <v/>
      </c>
      <c r="G168" s="56" t="n"/>
    </row>
    <row r="169">
      <c r="A169" s="55" t="n">
        <v>19025</v>
      </c>
      <c r="B169" s="25">
        <f>VLOOKUP(Table1[[#This Row],[Date]],Database!A:D,3,)</f>
        <v/>
      </c>
      <c r="C169" s="26">
        <f>B169-B168</f>
        <v/>
      </c>
      <c r="D169" s="26">
        <f>AVERAGE(C167:C169)</f>
        <v/>
      </c>
      <c r="E169" s="59">
        <f>VLOOKUP(Table1[[#This Row],[Date]],Database!A:D,4,)</f>
        <v/>
      </c>
      <c r="F169" s="59">
        <f>VLOOKUP(Table1[[#This Row],[Date]],Database!A:D,2,)</f>
        <v/>
      </c>
      <c r="G169" s="56" t="n"/>
    </row>
    <row r="170">
      <c r="A170" s="55" t="n">
        <v>19054</v>
      </c>
      <c r="B170" s="25">
        <f>VLOOKUP(Table1[[#This Row],[Date]],Database!A:D,3,)</f>
        <v/>
      </c>
      <c r="C170" s="26">
        <f>B170-B169</f>
        <v/>
      </c>
      <c r="D170" s="26">
        <f>AVERAGE(C168:C170)</f>
        <v/>
      </c>
      <c r="E170" s="59">
        <f>VLOOKUP(Table1[[#This Row],[Date]],Database!A:D,4,)</f>
        <v/>
      </c>
      <c r="F170" s="59">
        <f>VLOOKUP(Table1[[#This Row],[Date]],Database!A:D,2,)</f>
        <v/>
      </c>
      <c r="G170" s="56" t="n"/>
    </row>
    <row r="171">
      <c r="A171" s="55" t="n">
        <v>19085</v>
      </c>
      <c r="B171" s="25">
        <f>VLOOKUP(Table1[[#This Row],[Date]],Database!A:D,3,)</f>
        <v/>
      </c>
      <c r="C171" s="26">
        <f>B171-B170</f>
        <v/>
      </c>
      <c r="D171" s="26">
        <f>AVERAGE(C169:C171)</f>
        <v/>
      </c>
      <c r="E171" s="59">
        <f>VLOOKUP(Table1[[#This Row],[Date]],Database!A:D,4,)</f>
        <v/>
      </c>
      <c r="F171" s="59">
        <f>VLOOKUP(Table1[[#This Row],[Date]],Database!A:D,2,)</f>
        <v/>
      </c>
      <c r="G171" s="56" t="n"/>
    </row>
    <row r="172">
      <c r="A172" s="55" t="n">
        <v>19115</v>
      </c>
      <c r="B172" s="25">
        <f>VLOOKUP(Table1[[#This Row],[Date]],Database!A:D,3,)</f>
        <v/>
      </c>
      <c r="C172" s="26">
        <f>B172-B171</f>
        <v/>
      </c>
      <c r="D172" s="26">
        <f>AVERAGE(C170:C172)</f>
        <v/>
      </c>
      <c r="E172" s="59">
        <f>VLOOKUP(Table1[[#This Row],[Date]],Database!A:D,4,)</f>
        <v/>
      </c>
      <c r="F172" s="59">
        <f>VLOOKUP(Table1[[#This Row],[Date]],Database!A:D,2,)</f>
        <v/>
      </c>
      <c r="G172" s="56" t="n"/>
    </row>
    <row r="173">
      <c r="A173" s="55" t="n">
        <v>19146</v>
      </c>
      <c r="B173" s="25">
        <f>VLOOKUP(Table1[[#This Row],[Date]],Database!A:D,3,)</f>
        <v/>
      </c>
      <c r="C173" s="26">
        <f>B173-B172</f>
        <v/>
      </c>
      <c r="D173" s="26">
        <f>AVERAGE(C171:C173)</f>
        <v/>
      </c>
      <c r="E173" s="59">
        <f>VLOOKUP(Table1[[#This Row],[Date]],Database!A:D,4,)</f>
        <v/>
      </c>
      <c r="F173" s="59">
        <f>VLOOKUP(Table1[[#This Row],[Date]],Database!A:D,2,)</f>
        <v/>
      </c>
      <c r="G173" s="56" t="n"/>
    </row>
    <row r="174">
      <c r="A174" s="55" t="n">
        <v>19176</v>
      </c>
      <c r="B174" s="25">
        <f>VLOOKUP(Table1[[#This Row],[Date]],Database!A:D,3,)</f>
        <v/>
      </c>
      <c r="C174" s="26">
        <f>B174-B173</f>
        <v/>
      </c>
      <c r="D174" s="26">
        <f>AVERAGE(C172:C174)</f>
        <v/>
      </c>
      <c r="E174" s="59">
        <f>VLOOKUP(Table1[[#This Row],[Date]],Database!A:D,4,)</f>
        <v/>
      </c>
      <c r="F174" s="59">
        <f>VLOOKUP(Table1[[#This Row],[Date]],Database!A:D,2,)</f>
        <v/>
      </c>
      <c r="G174" s="56" t="n"/>
    </row>
    <row r="175">
      <c r="A175" s="55" t="n">
        <v>19207</v>
      </c>
      <c r="B175" s="25">
        <f>VLOOKUP(Table1[[#This Row],[Date]],Database!A:D,3,)</f>
        <v/>
      </c>
      <c r="C175" s="26">
        <f>B175-B174</f>
        <v/>
      </c>
      <c r="D175" s="26">
        <f>AVERAGE(C173:C175)</f>
        <v/>
      </c>
      <c r="E175" s="59">
        <f>VLOOKUP(Table1[[#This Row],[Date]],Database!A:D,4,)</f>
        <v/>
      </c>
      <c r="F175" s="59">
        <f>VLOOKUP(Table1[[#This Row],[Date]],Database!A:D,2,)</f>
        <v/>
      </c>
      <c r="G175" s="56" t="n"/>
    </row>
    <row r="176">
      <c r="A176" s="55" t="n">
        <v>19238</v>
      </c>
      <c r="B176" s="25">
        <f>VLOOKUP(Table1[[#This Row],[Date]],Database!A:D,3,)</f>
        <v/>
      </c>
      <c r="C176" s="26">
        <f>B176-B175</f>
        <v/>
      </c>
      <c r="D176" s="26">
        <f>AVERAGE(C174:C176)</f>
        <v/>
      </c>
      <c r="E176" s="59">
        <f>VLOOKUP(Table1[[#This Row],[Date]],Database!A:D,4,)</f>
        <v/>
      </c>
      <c r="F176" s="59">
        <f>VLOOKUP(Table1[[#This Row],[Date]],Database!A:D,2,)</f>
        <v/>
      </c>
      <c r="G176" s="56" t="n"/>
    </row>
    <row r="177">
      <c r="A177" s="55" t="n">
        <v>19268</v>
      </c>
      <c r="B177" s="25">
        <f>VLOOKUP(Table1[[#This Row],[Date]],Database!A:D,3,)</f>
        <v/>
      </c>
      <c r="C177" s="26">
        <f>B177-B176</f>
        <v/>
      </c>
      <c r="D177" s="26">
        <f>AVERAGE(C175:C177)</f>
        <v/>
      </c>
      <c r="E177" s="59">
        <f>VLOOKUP(Table1[[#This Row],[Date]],Database!A:D,4,)</f>
        <v/>
      </c>
      <c r="F177" s="59">
        <f>VLOOKUP(Table1[[#This Row],[Date]],Database!A:D,2,)</f>
        <v/>
      </c>
      <c r="G177" s="56" t="n"/>
    </row>
    <row r="178">
      <c r="A178" s="55" t="n">
        <v>19299</v>
      </c>
      <c r="B178" s="25">
        <f>VLOOKUP(Table1[[#This Row],[Date]],Database!A:D,3,)</f>
        <v/>
      </c>
      <c r="C178" s="26">
        <f>B178-B177</f>
        <v/>
      </c>
      <c r="D178" s="26">
        <f>AVERAGE(C176:C178)</f>
        <v/>
      </c>
      <c r="E178" s="59">
        <f>VLOOKUP(Table1[[#This Row],[Date]],Database!A:D,4,)</f>
        <v/>
      </c>
      <c r="F178" s="59">
        <f>VLOOKUP(Table1[[#This Row],[Date]],Database!A:D,2,)</f>
        <v/>
      </c>
      <c r="G178" s="56" t="n"/>
    </row>
    <row r="179">
      <c r="A179" s="55" t="n">
        <v>19329</v>
      </c>
      <c r="B179" s="25">
        <f>VLOOKUP(Table1[[#This Row],[Date]],Database!A:D,3,)</f>
        <v/>
      </c>
      <c r="C179" s="26">
        <f>B179-B178</f>
        <v/>
      </c>
      <c r="D179" s="26">
        <f>AVERAGE(C177:C179)</f>
        <v/>
      </c>
      <c r="E179" s="59">
        <f>VLOOKUP(Table1[[#This Row],[Date]],Database!A:D,4,)</f>
        <v/>
      </c>
      <c r="F179" s="59">
        <f>VLOOKUP(Table1[[#This Row],[Date]],Database!A:D,2,)</f>
        <v/>
      </c>
      <c r="G179" s="56" t="n"/>
    </row>
    <row r="180">
      <c r="A180" s="55" t="n">
        <v>19360</v>
      </c>
      <c r="B180" s="25">
        <f>VLOOKUP(Table1[[#This Row],[Date]],Database!A:D,3,)</f>
        <v/>
      </c>
      <c r="C180" s="26">
        <f>B180-B179</f>
        <v/>
      </c>
      <c r="D180" s="26">
        <f>AVERAGE(C178:C180)</f>
        <v/>
      </c>
      <c r="E180" s="59">
        <f>VLOOKUP(Table1[[#This Row],[Date]],Database!A:D,4,)</f>
        <v/>
      </c>
      <c r="F180" s="59">
        <f>VLOOKUP(Table1[[#This Row],[Date]],Database!A:D,2,)</f>
        <v/>
      </c>
      <c r="G180" s="56" t="n"/>
    </row>
    <row r="181">
      <c r="A181" s="55" t="n">
        <v>19391</v>
      </c>
      <c r="B181" s="25">
        <f>VLOOKUP(Table1[[#This Row],[Date]],Database!A:D,3,)</f>
        <v/>
      </c>
      <c r="C181" s="26">
        <f>B181-B180</f>
        <v/>
      </c>
      <c r="D181" s="26">
        <f>AVERAGE(C179:C181)</f>
        <v/>
      </c>
      <c r="E181" s="59">
        <f>VLOOKUP(Table1[[#This Row],[Date]],Database!A:D,4,)</f>
        <v/>
      </c>
      <c r="F181" s="59">
        <f>VLOOKUP(Table1[[#This Row],[Date]],Database!A:D,2,)</f>
        <v/>
      </c>
      <c r="G181" s="56" t="n"/>
    </row>
    <row r="182">
      <c r="A182" s="55" t="n">
        <v>19419</v>
      </c>
      <c r="B182" s="25">
        <f>VLOOKUP(Table1[[#This Row],[Date]],Database!A:D,3,)</f>
        <v/>
      </c>
      <c r="C182" s="26">
        <f>B182-B181</f>
        <v/>
      </c>
      <c r="D182" s="26">
        <f>AVERAGE(C180:C182)</f>
        <v/>
      </c>
      <c r="E182" s="59">
        <f>VLOOKUP(Table1[[#This Row],[Date]],Database!A:D,4,)</f>
        <v/>
      </c>
      <c r="F182" s="59">
        <f>VLOOKUP(Table1[[#This Row],[Date]],Database!A:D,2,)</f>
        <v/>
      </c>
      <c r="G182" s="56" t="n"/>
    </row>
    <row r="183">
      <c r="A183" s="55" t="n">
        <v>19450</v>
      </c>
      <c r="B183" s="25">
        <f>VLOOKUP(Table1[[#This Row],[Date]],Database!A:D,3,)</f>
        <v/>
      </c>
      <c r="C183" s="26">
        <f>B183-B182</f>
        <v/>
      </c>
      <c r="D183" s="26">
        <f>AVERAGE(C181:C183)</f>
        <v/>
      </c>
      <c r="E183" s="59">
        <f>VLOOKUP(Table1[[#This Row],[Date]],Database!A:D,4,)</f>
        <v/>
      </c>
      <c r="F183" s="59">
        <f>VLOOKUP(Table1[[#This Row],[Date]],Database!A:D,2,)</f>
        <v/>
      </c>
      <c r="G183" s="56" t="n"/>
    </row>
    <row r="184">
      <c r="A184" s="55" t="n">
        <v>19480</v>
      </c>
      <c r="B184" s="25">
        <f>VLOOKUP(Table1[[#This Row],[Date]],Database!A:D,3,)</f>
        <v/>
      </c>
      <c r="C184" s="26">
        <f>B184-B183</f>
        <v/>
      </c>
      <c r="D184" s="26">
        <f>AVERAGE(C182:C184)</f>
        <v/>
      </c>
      <c r="E184" s="59">
        <f>VLOOKUP(Table1[[#This Row],[Date]],Database!A:D,4,)</f>
        <v/>
      </c>
      <c r="F184" s="59">
        <f>VLOOKUP(Table1[[#This Row],[Date]],Database!A:D,2,)</f>
        <v/>
      </c>
      <c r="G184" s="56" t="n"/>
    </row>
    <row r="185">
      <c r="A185" s="55" t="n">
        <v>19511</v>
      </c>
      <c r="B185" s="25">
        <f>VLOOKUP(Table1[[#This Row],[Date]],Database!A:D,3,)</f>
        <v/>
      </c>
      <c r="C185" s="26">
        <f>B185-B184</f>
        <v/>
      </c>
      <c r="D185" s="26">
        <f>AVERAGE(C183:C185)</f>
        <v/>
      </c>
      <c r="E185" s="59">
        <f>VLOOKUP(Table1[[#This Row],[Date]],Database!A:D,4,)</f>
        <v/>
      </c>
      <c r="F185" s="59">
        <f>VLOOKUP(Table1[[#This Row],[Date]],Database!A:D,2,)</f>
        <v/>
      </c>
      <c r="G185" s="56" t="n"/>
    </row>
    <row r="186">
      <c r="A186" s="55" t="n">
        <v>19541</v>
      </c>
      <c r="B186" s="25">
        <f>VLOOKUP(Table1[[#This Row],[Date]],Database!A:D,3,)</f>
        <v/>
      </c>
      <c r="C186" s="26">
        <f>B186-B185</f>
        <v/>
      </c>
      <c r="D186" s="26">
        <f>AVERAGE(C184:C186)</f>
        <v/>
      </c>
      <c r="E186" s="59">
        <f>VLOOKUP(Table1[[#This Row],[Date]],Database!A:D,4,)</f>
        <v/>
      </c>
      <c r="F186" s="59">
        <f>VLOOKUP(Table1[[#This Row],[Date]],Database!A:D,2,)</f>
        <v/>
      </c>
      <c r="G186" s="56" t="n"/>
    </row>
    <row r="187">
      <c r="A187" s="55" t="n">
        <v>19572</v>
      </c>
      <c r="B187" s="25">
        <f>VLOOKUP(Table1[[#This Row],[Date]],Database!A:D,3,)</f>
        <v/>
      </c>
      <c r="C187" s="26">
        <f>B187-B186</f>
        <v/>
      </c>
      <c r="D187" s="26">
        <f>AVERAGE(C185:C187)</f>
        <v/>
      </c>
      <c r="E187" s="59">
        <f>VLOOKUP(Table1[[#This Row],[Date]],Database!A:D,4,)</f>
        <v/>
      </c>
      <c r="F187" s="59">
        <f>VLOOKUP(Table1[[#This Row],[Date]],Database!A:D,2,)</f>
        <v/>
      </c>
      <c r="G187" s="56" t="n"/>
    </row>
    <row r="188">
      <c r="A188" s="55" t="n">
        <v>19603</v>
      </c>
      <c r="B188" s="25">
        <f>VLOOKUP(Table1[[#This Row],[Date]],Database!A:D,3,)</f>
        <v/>
      </c>
      <c r="C188" s="26">
        <f>B188-B187</f>
        <v/>
      </c>
      <c r="D188" s="26">
        <f>AVERAGE(C186:C188)</f>
        <v/>
      </c>
      <c r="E188" s="59">
        <f>VLOOKUP(Table1[[#This Row],[Date]],Database!A:D,4,)</f>
        <v/>
      </c>
      <c r="F188" s="59">
        <f>VLOOKUP(Table1[[#This Row],[Date]],Database!A:D,2,)</f>
        <v/>
      </c>
      <c r="G188" s="56" t="n"/>
    </row>
    <row r="189">
      <c r="A189" s="55" t="n">
        <v>19633</v>
      </c>
      <c r="B189" s="25">
        <f>VLOOKUP(Table1[[#This Row],[Date]],Database!A:D,3,)</f>
        <v/>
      </c>
      <c r="C189" s="26">
        <f>B189-B188</f>
        <v/>
      </c>
      <c r="D189" s="26">
        <f>AVERAGE(C187:C189)</f>
        <v/>
      </c>
      <c r="E189" s="59">
        <f>VLOOKUP(Table1[[#This Row],[Date]],Database!A:D,4,)</f>
        <v/>
      </c>
      <c r="F189" s="59">
        <f>VLOOKUP(Table1[[#This Row],[Date]],Database!A:D,2,)</f>
        <v/>
      </c>
      <c r="G189" s="56" t="n"/>
    </row>
    <row r="190">
      <c r="A190" s="55" t="n">
        <v>19664</v>
      </c>
      <c r="B190" s="25">
        <f>VLOOKUP(Table1[[#This Row],[Date]],Database!A:D,3,)</f>
        <v/>
      </c>
      <c r="C190" s="26">
        <f>B190-B189</f>
        <v/>
      </c>
      <c r="D190" s="26">
        <f>AVERAGE(C188:C190)</f>
        <v/>
      </c>
      <c r="E190" s="59">
        <f>VLOOKUP(Table1[[#This Row],[Date]],Database!A:D,4,)</f>
        <v/>
      </c>
      <c r="F190" s="59">
        <f>VLOOKUP(Table1[[#This Row],[Date]],Database!A:D,2,)</f>
        <v/>
      </c>
      <c r="G190" s="56" t="n"/>
    </row>
    <row r="191">
      <c r="A191" s="55" t="n">
        <v>19694</v>
      </c>
      <c r="B191" s="25">
        <f>VLOOKUP(Table1[[#This Row],[Date]],Database!A:D,3,)</f>
        <v/>
      </c>
      <c r="C191" s="26">
        <f>B191-B190</f>
        <v/>
      </c>
      <c r="D191" s="26">
        <f>AVERAGE(C189:C191)</f>
        <v/>
      </c>
      <c r="E191" s="59">
        <f>VLOOKUP(Table1[[#This Row],[Date]],Database!A:D,4,)</f>
        <v/>
      </c>
      <c r="F191" s="59">
        <f>VLOOKUP(Table1[[#This Row],[Date]],Database!A:D,2,)</f>
        <v/>
      </c>
      <c r="G191" s="56" t="n"/>
    </row>
    <row r="192">
      <c r="A192" s="55" t="n">
        <v>19725</v>
      </c>
      <c r="B192" s="25">
        <f>VLOOKUP(Table1[[#This Row],[Date]],Database!A:D,3,)</f>
        <v/>
      </c>
      <c r="C192" s="26">
        <f>B192-B191</f>
        <v/>
      </c>
      <c r="D192" s="26">
        <f>AVERAGE(C190:C192)</f>
        <v/>
      </c>
      <c r="E192" s="59">
        <f>VLOOKUP(Table1[[#This Row],[Date]],Database!A:D,4,)</f>
        <v/>
      </c>
      <c r="F192" s="59">
        <f>VLOOKUP(Table1[[#This Row],[Date]],Database!A:D,2,)</f>
        <v/>
      </c>
      <c r="G192" s="56" t="n"/>
    </row>
    <row r="193">
      <c r="A193" s="55" t="n">
        <v>19756</v>
      </c>
      <c r="B193" s="25">
        <f>VLOOKUP(Table1[[#This Row],[Date]],Database!A:D,3,)</f>
        <v/>
      </c>
      <c r="C193" s="26">
        <f>B193-B192</f>
        <v/>
      </c>
      <c r="D193" s="26">
        <f>AVERAGE(C191:C193)</f>
        <v/>
      </c>
      <c r="E193" s="59">
        <f>VLOOKUP(Table1[[#This Row],[Date]],Database!A:D,4,)</f>
        <v/>
      </c>
      <c r="F193" s="59">
        <f>VLOOKUP(Table1[[#This Row],[Date]],Database!A:D,2,)</f>
        <v/>
      </c>
      <c r="G193" s="56" t="n"/>
    </row>
    <row r="194">
      <c r="A194" s="55" t="n">
        <v>19784</v>
      </c>
      <c r="B194" s="25">
        <f>VLOOKUP(Table1[[#This Row],[Date]],Database!A:D,3,)</f>
        <v/>
      </c>
      <c r="C194" s="26">
        <f>B194-B193</f>
        <v/>
      </c>
      <c r="D194" s="26">
        <f>AVERAGE(C192:C194)</f>
        <v/>
      </c>
      <c r="E194" s="59">
        <f>VLOOKUP(Table1[[#This Row],[Date]],Database!A:D,4,)</f>
        <v/>
      </c>
      <c r="F194" s="59">
        <f>VLOOKUP(Table1[[#This Row],[Date]],Database!A:D,2,)</f>
        <v/>
      </c>
      <c r="G194" s="56" t="n"/>
    </row>
    <row r="195">
      <c r="A195" s="55" t="n">
        <v>19815</v>
      </c>
      <c r="B195" s="25">
        <f>VLOOKUP(Table1[[#This Row],[Date]],Database!A:D,3,)</f>
        <v/>
      </c>
      <c r="C195" s="26">
        <f>B195-B194</f>
        <v/>
      </c>
      <c r="D195" s="26">
        <f>AVERAGE(C193:C195)</f>
        <v/>
      </c>
      <c r="E195" s="59">
        <f>VLOOKUP(Table1[[#This Row],[Date]],Database!A:D,4,)</f>
        <v/>
      </c>
      <c r="F195" s="59">
        <f>VLOOKUP(Table1[[#This Row],[Date]],Database!A:D,2,)</f>
        <v/>
      </c>
      <c r="G195" s="56" t="n"/>
    </row>
    <row r="196">
      <c r="A196" s="55" t="n">
        <v>19845</v>
      </c>
      <c r="B196" s="25">
        <f>VLOOKUP(Table1[[#This Row],[Date]],Database!A:D,3,)</f>
        <v/>
      </c>
      <c r="C196" s="26">
        <f>B196-B195</f>
        <v/>
      </c>
      <c r="D196" s="26">
        <f>AVERAGE(C194:C196)</f>
        <v/>
      </c>
      <c r="E196" s="59">
        <f>VLOOKUP(Table1[[#This Row],[Date]],Database!A:D,4,)</f>
        <v/>
      </c>
      <c r="F196" s="59">
        <f>VLOOKUP(Table1[[#This Row],[Date]],Database!A:D,2,)</f>
        <v/>
      </c>
      <c r="G196" s="56" t="n"/>
    </row>
    <row r="197">
      <c r="A197" s="55" t="n">
        <v>19876</v>
      </c>
      <c r="B197" s="25">
        <f>VLOOKUP(Table1[[#This Row],[Date]],Database!A:D,3,)</f>
        <v/>
      </c>
      <c r="C197" s="26">
        <f>B197-B196</f>
        <v/>
      </c>
      <c r="D197" s="26">
        <f>AVERAGE(C195:C197)</f>
        <v/>
      </c>
      <c r="E197" s="59">
        <f>VLOOKUP(Table1[[#This Row],[Date]],Database!A:D,4,)</f>
        <v/>
      </c>
      <c r="F197" s="59">
        <f>VLOOKUP(Table1[[#This Row],[Date]],Database!A:D,2,)</f>
        <v/>
      </c>
      <c r="G197" s="56" t="n"/>
    </row>
    <row r="198">
      <c r="A198" s="55" t="n">
        <v>19906</v>
      </c>
      <c r="B198" s="25">
        <f>VLOOKUP(Table1[[#This Row],[Date]],Database!A:D,3,)</f>
        <v/>
      </c>
      <c r="C198" s="26">
        <f>B198-B197</f>
        <v/>
      </c>
      <c r="D198" s="26">
        <f>AVERAGE(C196:C198)</f>
        <v/>
      </c>
      <c r="E198" s="59">
        <f>VLOOKUP(Table1[[#This Row],[Date]],Database!A:D,4,)</f>
        <v/>
      </c>
      <c r="F198" s="59">
        <f>VLOOKUP(Table1[[#This Row],[Date]],Database!A:D,2,)</f>
        <v/>
      </c>
      <c r="G198" s="56" t="n"/>
    </row>
    <row r="199">
      <c r="A199" s="55" t="n">
        <v>19937</v>
      </c>
      <c r="B199" s="25">
        <f>VLOOKUP(Table1[[#This Row],[Date]],Database!A:D,3,)</f>
        <v/>
      </c>
      <c r="C199" s="26">
        <f>B199-B198</f>
        <v/>
      </c>
      <c r="D199" s="26">
        <f>AVERAGE(C197:C199)</f>
        <v/>
      </c>
      <c r="E199" s="59">
        <f>VLOOKUP(Table1[[#This Row],[Date]],Database!A:D,4,)</f>
        <v/>
      </c>
      <c r="F199" s="59">
        <f>VLOOKUP(Table1[[#This Row],[Date]],Database!A:D,2,)</f>
        <v/>
      </c>
      <c r="G199" s="56" t="n"/>
    </row>
    <row r="200">
      <c r="A200" s="55" t="n">
        <v>19968</v>
      </c>
      <c r="B200" s="25">
        <f>VLOOKUP(Table1[[#This Row],[Date]],Database!A:D,3,)</f>
        <v/>
      </c>
      <c r="C200" s="26">
        <f>B200-B199</f>
        <v/>
      </c>
      <c r="D200" s="26">
        <f>AVERAGE(C198:C200)</f>
        <v/>
      </c>
      <c r="E200" s="59">
        <f>VLOOKUP(Table1[[#This Row],[Date]],Database!A:D,4,)</f>
        <v/>
      </c>
      <c r="F200" s="59">
        <f>VLOOKUP(Table1[[#This Row],[Date]],Database!A:D,2,)</f>
        <v/>
      </c>
      <c r="G200" s="56" t="n"/>
    </row>
    <row r="201">
      <c r="A201" s="55" t="n">
        <v>19998</v>
      </c>
      <c r="B201" s="25">
        <f>VLOOKUP(Table1[[#This Row],[Date]],Database!A:D,3,)</f>
        <v/>
      </c>
      <c r="C201" s="26">
        <f>B201-B200</f>
        <v/>
      </c>
      <c r="D201" s="26">
        <f>AVERAGE(C199:C201)</f>
        <v/>
      </c>
      <c r="E201" s="59">
        <f>VLOOKUP(Table1[[#This Row],[Date]],Database!A:D,4,)</f>
        <v/>
      </c>
      <c r="F201" s="59">
        <f>VLOOKUP(Table1[[#This Row],[Date]],Database!A:D,2,)</f>
        <v/>
      </c>
      <c r="G201" s="56" t="n"/>
    </row>
    <row r="202">
      <c r="A202" s="55" t="n">
        <v>20029</v>
      </c>
      <c r="B202" s="25">
        <f>VLOOKUP(Table1[[#This Row],[Date]],Database!A:D,3,)</f>
        <v/>
      </c>
      <c r="C202" s="26">
        <f>B202-B201</f>
        <v/>
      </c>
      <c r="D202" s="26">
        <f>AVERAGE(C200:C202)</f>
        <v/>
      </c>
      <c r="E202" s="59">
        <f>VLOOKUP(Table1[[#This Row],[Date]],Database!A:D,4,)</f>
        <v/>
      </c>
      <c r="F202" s="59">
        <f>VLOOKUP(Table1[[#This Row],[Date]],Database!A:D,2,)</f>
        <v/>
      </c>
      <c r="G202" s="56" t="n"/>
    </row>
    <row r="203">
      <c r="A203" s="55" t="n">
        <v>20059</v>
      </c>
      <c r="B203" s="25">
        <f>VLOOKUP(Table1[[#This Row],[Date]],Database!A:D,3,)</f>
        <v/>
      </c>
      <c r="C203" s="26">
        <f>B203-B202</f>
        <v/>
      </c>
      <c r="D203" s="26">
        <f>AVERAGE(C201:C203)</f>
        <v/>
      </c>
      <c r="E203" s="59">
        <f>VLOOKUP(Table1[[#This Row],[Date]],Database!A:D,4,)</f>
        <v/>
      </c>
      <c r="F203" s="59">
        <f>VLOOKUP(Table1[[#This Row],[Date]],Database!A:D,2,)</f>
        <v/>
      </c>
      <c r="G203" s="56" t="n"/>
    </row>
    <row r="204">
      <c r="A204" s="55" t="n">
        <v>20090</v>
      </c>
      <c r="B204" s="25">
        <f>VLOOKUP(Table1[[#This Row],[Date]],Database!A:D,3,)</f>
        <v/>
      </c>
      <c r="C204" s="26">
        <f>B204-B203</f>
        <v/>
      </c>
      <c r="D204" s="26">
        <f>AVERAGE(C202:C204)</f>
        <v/>
      </c>
      <c r="E204" s="59">
        <f>VLOOKUP(Table1[[#This Row],[Date]],Database!A:D,4,)</f>
        <v/>
      </c>
      <c r="F204" s="59">
        <f>VLOOKUP(Table1[[#This Row],[Date]],Database!A:D,2,)</f>
        <v/>
      </c>
      <c r="G204" s="56" t="n"/>
    </row>
    <row r="205">
      <c r="A205" s="55" t="n">
        <v>20121</v>
      </c>
      <c r="B205" s="25">
        <f>VLOOKUP(Table1[[#This Row],[Date]],Database!A:D,3,)</f>
        <v/>
      </c>
      <c r="C205" s="26">
        <f>B205-B204</f>
        <v/>
      </c>
      <c r="D205" s="26">
        <f>AVERAGE(C203:C205)</f>
        <v/>
      </c>
      <c r="E205" s="59">
        <f>VLOOKUP(Table1[[#This Row],[Date]],Database!A:D,4,)</f>
        <v/>
      </c>
      <c r="F205" s="59">
        <f>VLOOKUP(Table1[[#This Row],[Date]],Database!A:D,2,)</f>
        <v/>
      </c>
      <c r="G205" s="56" t="n"/>
    </row>
    <row r="206">
      <c r="A206" s="55" t="n">
        <v>20149</v>
      </c>
      <c r="B206" s="25">
        <f>VLOOKUP(Table1[[#This Row],[Date]],Database!A:D,3,)</f>
        <v/>
      </c>
      <c r="C206" s="26">
        <f>B206-B205</f>
        <v/>
      </c>
      <c r="D206" s="26">
        <f>AVERAGE(C204:C206)</f>
        <v/>
      </c>
      <c r="E206" s="59">
        <f>VLOOKUP(Table1[[#This Row],[Date]],Database!A:D,4,)</f>
        <v/>
      </c>
      <c r="F206" s="59">
        <f>VLOOKUP(Table1[[#This Row],[Date]],Database!A:D,2,)</f>
        <v/>
      </c>
      <c r="G206" s="56" t="n"/>
    </row>
    <row r="207">
      <c r="A207" s="55" t="n">
        <v>20180</v>
      </c>
      <c r="B207" s="25">
        <f>VLOOKUP(Table1[[#This Row],[Date]],Database!A:D,3,)</f>
        <v/>
      </c>
      <c r="C207" s="26">
        <f>B207-B206</f>
        <v/>
      </c>
      <c r="D207" s="26">
        <f>AVERAGE(C205:C207)</f>
        <v/>
      </c>
      <c r="E207" s="59">
        <f>VLOOKUP(Table1[[#This Row],[Date]],Database!A:D,4,)</f>
        <v/>
      </c>
      <c r="F207" s="59">
        <f>VLOOKUP(Table1[[#This Row],[Date]],Database!A:D,2,)</f>
        <v/>
      </c>
      <c r="G207" s="56" t="n"/>
    </row>
    <row r="208">
      <c r="A208" s="55" t="n">
        <v>20210</v>
      </c>
      <c r="B208" s="25">
        <f>VLOOKUP(Table1[[#This Row],[Date]],Database!A:D,3,)</f>
        <v/>
      </c>
      <c r="C208" s="26">
        <f>B208-B207</f>
        <v/>
      </c>
      <c r="D208" s="26">
        <f>AVERAGE(C206:C208)</f>
        <v/>
      </c>
      <c r="E208" s="59">
        <f>VLOOKUP(Table1[[#This Row],[Date]],Database!A:D,4,)</f>
        <v/>
      </c>
      <c r="F208" s="59">
        <f>VLOOKUP(Table1[[#This Row],[Date]],Database!A:D,2,)</f>
        <v/>
      </c>
      <c r="G208" s="56" t="n"/>
    </row>
    <row r="209">
      <c r="A209" s="55" t="n">
        <v>20241</v>
      </c>
      <c r="B209" s="25">
        <f>VLOOKUP(Table1[[#This Row],[Date]],Database!A:D,3,)</f>
        <v/>
      </c>
      <c r="C209" s="26">
        <f>B209-B208</f>
        <v/>
      </c>
      <c r="D209" s="26">
        <f>AVERAGE(C207:C209)</f>
        <v/>
      </c>
      <c r="E209" s="59">
        <f>VLOOKUP(Table1[[#This Row],[Date]],Database!A:D,4,)</f>
        <v/>
      </c>
      <c r="F209" s="59">
        <f>VLOOKUP(Table1[[#This Row],[Date]],Database!A:D,2,)</f>
        <v/>
      </c>
      <c r="G209" s="56" t="n"/>
    </row>
    <row r="210">
      <c r="A210" s="55" t="n">
        <v>20271</v>
      </c>
      <c r="B210" s="25">
        <f>VLOOKUP(Table1[[#This Row],[Date]],Database!A:D,3,)</f>
        <v/>
      </c>
      <c r="C210" s="26">
        <f>B210-B209</f>
        <v/>
      </c>
      <c r="D210" s="26">
        <f>AVERAGE(C208:C210)</f>
        <v/>
      </c>
      <c r="E210" s="59">
        <f>VLOOKUP(Table1[[#This Row],[Date]],Database!A:D,4,)</f>
        <v/>
      </c>
      <c r="F210" s="59">
        <f>VLOOKUP(Table1[[#This Row],[Date]],Database!A:D,2,)</f>
        <v/>
      </c>
      <c r="G210" s="56" t="n"/>
    </row>
    <row r="211">
      <c r="A211" s="55" t="n">
        <v>20302</v>
      </c>
      <c r="B211" s="25">
        <f>VLOOKUP(Table1[[#This Row],[Date]],Database!A:D,3,)</f>
        <v/>
      </c>
      <c r="C211" s="26">
        <f>B211-B210</f>
        <v/>
      </c>
      <c r="D211" s="26">
        <f>AVERAGE(C209:C211)</f>
        <v/>
      </c>
      <c r="E211" s="59">
        <f>VLOOKUP(Table1[[#This Row],[Date]],Database!A:D,4,)</f>
        <v/>
      </c>
      <c r="F211" s="59">
        <f>VLOOKUP(Table1[[#This Row],[Date]],Database!A:D,2,)</f>
        <v/>
      </c>
      <c r="G211" s="56" t="n"/>
    </row>
    <row r="212">
      <c r="A212" s="55" t="n">
        <v>20333</v>
      </c>
      <c r="B212" s="25">
        <f>VLOOKUP(Table1[[#This Row],[Date]],Database!A:D,3,)</f>
        <v/>
      </c>
      <c r="C212" s="26">
        <f>B212-B211</f>
        <v/>
      </c>
      <c r="D212" s="26">
        <f>AVERAGE(C210:C212)</f>
        <v/>
      </c>
      <c r="E212" s="59">
        <f>VLOOKUP(Table1[[#This Row],[Date]],Database!A:D,4,)</f>
        <v/>
      </c>
      <c r="F212" s="59">
        <f>VLOOKUP(Table1[[#This Row],[Date]],Database!A:D,2,)</f>
        <v/>
      </c>
      <c r="G212" s="56" t="n"/>
    </row>
    <row r="213">
      <c r="A213" s="55" t="n">
        <v>20363</v>
      </c>
      <c r="B213" s="25">
        <f>VLOOKUP(Table1[[#This Row],[Date]],Database!A:D,3,)</f>
        <v/>
      </c>
      <c r="C213" s="26">
        <f>B213-B212</f>
        <v/>
      </c>
      <c r="D213" s="26">
        <f>AVERAGE(C211:C213)</f>
        <v/>
      </c>
      <c r="E213" s="59">
        <f>VLOOKUP(Table1[[#This Row],[Date]],Database!A:D,4,)</f>
        <v/>
      </c>
      <c r="F213" s="59">
        <f>VLOOKUP(Table1[[#This Row],[Date]],Database!A:D,2,)</f>
        <v/>
      </c>
      <c r="G213" s="56" t="n"/>
    </row>
    <row r="214">
      <c r="A214" s="55" t="n">
        <v>20394</v>
      </c>
      <c r="B214" s="25">
        <f>VLOOKUP(Table1[[#This Row],[Date]],Database!A:D,3,)</f>
        <v/>
      </c>
      <c r="C214" s="26">
        <f>B214-B213</f>
        <v/>
      </c>
      <c r="D214" s="26">
        <f>AVERAGE(C212:C214)</f>
        <v/>
      </c>
      <c r="E214" s="59">
        <f>VLOOKUP(Table1[[#This Row],[Date]],Database!A:D,4,)</f>
        <v/>
      </c>
      <c r="F214" s="59">
        <f>VLOOKUP(Table1[[#This Row],[Date]],Database!A:D,2,)</f>
        <v/>
      </c>
      <c r="G214" s="56" t="n"/>
    </row>
    <row r="215">
      <c r="A215" s="55" t="n">
        <v>20424</v>
      </c>
      <c r="B215" s="25">
        <f>VLOOKUP(Table1[[#This Row],[Date]],Database!A:D,3,)</f>
        <v/>
      </c>
      <c r="C215" s="26">
        <f>B215-B214</f>
        <v/>
      </c>
      <c r="D215" s="26">
        <f>AVERAGE(C213:C215)</f>
        <v/>
      </c>
      <c r="E215" s="59">
        <f>VLOOKUP(Table1[[#This Row],[Date]],Database!A:D,4,)</f>
        <v/>
      </c>
      <c r="F215" s="59">
        <f>VLOOKUP(Table1[[#This Row],[Date]],Database!A:D,2,)</f>
        <v/>
      </c>
      <c r="G215" s="56" t="n"/>
    </row>
    <row r="216">
      <c r="A216" s="55" t="n">
        <v>20455</v>
      </c>
      <c r="B216" s="25">
        <f>VLOOKUP(Table1[[#This Row],[Date]],Database!A:D,3,)</f>
        <v/>
      </c>
      <c r="C216" s="26">
        <f>B216-B215</f>
        <v/>
      </c>
      <c r="D216" s="26">
        <f>AVERAGE(C214:C216)</f>
        <v/>
      </c>
      <c r="E216" s="59">
        <f>VLOOKUP(Table1[[#This Row],[Date]],Database!A:D,4,)</f>
        <v/>
      </c>
      <c r="F216" s="59">
        <f>VLOOKUP(Table1[[#This Row],[Date]],Database!A:D,2,)</f>
        <v/>
      </c>
      <c r="G216" s="56" t="n"/>
    </row>
    <row r="217">
      <c r="A217" s="55" t="n">
        <v>20486</v>
      </c>
      <c r="B217" s="25">
        <f>VLOOKUP(Table1[[#This Row],[Date]],Database!A:D,3,)</f>
        <v/>
      </c>
      <c r="C217" s="26">
        <f>B217-B216</f>
        <v/>
      </c>
      <c r="D217" s="26">
        <f>AVERAGE(C215:C217)</f>
        <v/>
      </c>
      <c r="E217" s="59">
        <f>VLOOKUP(Table1[[#This Row],[Date]],Database!A:D,4,)</f>
        <v/>
      </c>
      <c r="F217" s="59">
        <f>VLOOKUP(Table1[[#This Row],[Date]],Database!A:D,2,)</f>
        <v/>
      </c>
      <c r="G217" s="56" t="n"/>
    </row>
    <row r="218">
      <c r="A218" s="55" t="n">
        <v>20515</v>
      </c>
      <c r="B218" s="25">
        <f>VLOOKUP(Table1[[#This Row],[Date]],Database!A:D,3,)</f>
        <v/>
      </c>
      <c r="C218" s="26">
        <f>B218-B217</f>
        <v/>
      </c>
      <c r="D218" s="26">
        <f>AVERAGE(C216:C218)</f>
        <v/>
      </c>
      <c r="E218" s="59">
        <f>VLOOKUP(Table1[[#This Row],[Date]],Database!A:D,4,)</f>
        <v/>
      </c>
      <c r="F218" s="59">
        <f>VLOOKUP(Table1[[#This Row],[Date]],Database!A:D,2,)</f>
        <v/>
      </c>
      <c r="G218" s="56" t="n"/>
    </row>
    <row r="219">
      <c r="A219" s="55" t="n">
        <v>20546</v>
      </c>
      <c r="B219" s="25">
        <f>VLOOKUP(Table1[[#This Row],[Date]],Database!A:D,3,)</f>
        <v/>
      </c>
      <c r="C219" s="26">
        <f>B219-B218</f>
        <v/>
      </c>
      <c r="D219" s="26">
        <f>AVERAGE(C217:C219)</f>
        <v/>
      </c>
      <c r="E219" s="59">
        <f>VLOOKUP(Table1[[#This Row],[Date]],Database!A:D,4,)</f>
        <v/>
      </c>
      <c r="F219" s="59">
        <f>VLOOKUP(Table1[[#This Row],[Date]],Database!A:D,2,)</f>
        <v/>
      </c>
      <c r="G219" s="56" t="n"/>
    </row>
    <row r="220">
      <c r="A220" s="55" t="n">
        <v>20576</v>
      </c>
      <c r="B220" s="25">
        <f>VLOOKUP(Table1[[#This Row],[Date]],Database!A:D,3,)</f>
        <v/>
      </c>
      <c r="C220" s="26">
        <f>B220-B219</f>
        <v/>
      </c>
      <c r="D220" s="26">
        <f>AVERAGE(C218:C220)</f>
        <v/>
      </c>
      <c r="E220" s="59">
        <f>VLOOKUP(Table1[[#This Row],[Date]],Database!A:D,4,)</f>
        <v/>
      </c>
      <c r="F220" s="59">
        <f>VLOOKUP(Table1[[#This Row],[Date]],Database!A:D,2,)</f>
        <v/>
      </c>
      <c r="G220" s="56" t="n"/>
    </row>
    <row r="221">
      <c r="A221" s="55" t="n">
        <v>20607</v>
      </c>
      <c r="B221" s="25">
        <f>VLOOKUP(Table1[[#This Row],[Date]],Database!A:D,3,)</f>
        <v/>
      </c>
      <c r="C221" s="26">
        <f>B221-B220</f>
        <v/>
      </c>
      <c r="D221" s="26">
        <f>AVERAGE(C219:C221)</f>
        <v/>
      </c>
      <c r="E221" s="59">
        <f>VLOOKUP(Table1[[#This Row],[Date]],Database!A:D,4,)</f>
        <v/>
      </c>
      <c r="F221" s="59">
        <f>VLOOKUP(Table1[[#This Row],[Date]],Database!A:D,2,)</f>
        <v/>
      </c>
      <c r="G221" s="56" t="n"/>
    </row>
    <row r="222">
      <c r="A222" s="55" t="n">
        <v>20637</v>
      </c>
      <c r="B222" s="25">
        <f>VLOOKUP(Table1[[#This Row],[Date]],Database!A:D,3,)</f>
        <v/>
      </c>
      <c r="C222" s="26">
        <f>B222-B221</f>
        <v/>
      </c>
      <c r="D222" s="26">
        <f>AVERAGE(C220:C222)</f>
        <v/>
      </c>
      <c r="E222" s="59">
        <f>VLOOKUP(Table1[[#This Row],[Date]],Database!A:D,4,)</f>
        <v/>
      </c>
      <c r="F222" s="59">
        <f>VLOOKUP(Table1[[#This Row],[Date]],Database!A:D,2,)</f>
        <v/>
      </c>
      <c r="G222" s="56" t="n"/>
    </row>
    <row r="223">
      <c r="A223" s="55" t="n">
        <v>20668</v>
      </c>
      <c r="B223" s="25">
        <f>VLOOKUP(Table1[[#This Row],[Date]],Database!A:D,3,)</f>
        <v/>
      </c>
      <c r="C223" s="26">
        <f>B223-B222</f>
        <v/>
      </c>
      <c r="D223" s="26">
        <f>AVERAGE(C221:C223)</f>
        <v/>
      </c>
      <c r="E223" s="59">
        <f>VLOOKUP(Table1[[#This Row],[Date]],Database!A:D,4,)</f>
        <v/>
      </c>
      <c r="F223" s="59">
        <f>VLOOKUP(Table1[[#This Row],[Date]],Database!A:D,2,)</f>
        <v/>
      </c>
      <c r="G223" s="56" t="n"/>
    </row>
    <row r="224">
      <c r="A224" s="55" t="n">
        <v>20699</v>
      </c>
      <c r="B224" s="25">
        <f>VLOOKUP(Table1[[#This Row],[Date]],Database!A:D,3,)</f>
        <v/>
      </c>
      <c r="C224" s="26">
        <f>B224-B223</f>
        <v/>
      </c>
      <c r="D224" s="26">
        <f>AVERAGE(C222:C224)</f>
        <v/>
      </c>
      <c r="E224" s="59">
        <f>VLOOKUP(Table1[[#This Row],[Date]],Database!A:D,4,)</f>
        <v/>
      </c>
      <c r="F224" s="59">
        <f>VLOOKUP(Table1[[#This Row],[Date]],Database!A:D,2,)</f>
        <v/>
      </c>
      <c r="G224" s="56" t="n"/>
    </row>
    <row r="225">
      <c r="A225" s="55" t="n">
        <v>20729</v>
      </c>
      <c r="B225" s="25">
        <f>VLOOKUP(Table1[[#This Row],[Date]],Database!A:D,3,)</f>
        <v/>
      </c>
      <c r="C225" s="26">
        <f>B225-B224</f>
        <v/>
      </c>
      <c r="D225" s="26">
        <f>AVERAGE(C223:C225)</f>
        <v/>
      </c>
      <c r="E225" s="59">
        <f>VLOOKUP(Table1[[#This Row],[Date]],Database!A:D,4,)</f>
        <v/>
      </c>
      <c r="F225" s="59">
        <f>VLOOKUP(Table1[[#This Row],[Date]],Database!A:D,2,)</f>
        <v/>
      </c>
      <c r="G225" s="56" t="n"/>
    </row>
    <row r="226">
      <c r="A226" s="55" t="n">
        <v>20760</v>
      </c>
      <c r="B226" s="25">
        <f>VLOOKUP(Table1[[#This Row],[Date]],Database!A:D,3,)</f>
        <v/>
      </c>
      <c r="C226" s="26">
        <f>B226-B225</f>
        <v/>
      </c>
      <c r="D226" s="26">
        <f>AVERAGE(C224:C226)</f>
        <v/>
      </c>
      <c r="E226" s="59">
        <f>VLOOKUP(Table1[[#This Row],[Date]],Database!A:D,4,)</f>
        <v/>
      </c>
      <c r="F226" s="59">
        <f>VLOOKUP(Table1[[#This Row],[Date]],Database!A:D,2,)</f>
        <v/>
      </c>
      <c r="G226" s="56" t="n"/>
    </row>
    <row r="227">
      <c r="A227" s="55" t="n">
        <v>20790</v>
      </c>
      <c r="B227" s="25">
        <f>VLOOKUP(Table1[[#This Row],[Date]],Database!A:D,3,)</f>
        <v/>
      </c>
      <c r="C227" s="26">
        <f>B227-B226</f>
        <v/>
      </c>
      <c r="D227" s="26">
        <f>AVERAGE(C225:C227)</f>
        <v/>
      </c>
      <c r="E227" s="59">
        <f>VLOOKUP(Table1[[#This Row],[Date]],Database!A:D,4,)</f>
        <v/>
      </c>
      <c r="F227" s="59">
        <f>VLOOKUP(Table1[[#This Row],[Date]],Database!A:D,2,)</f>
        <v/>
      </c>
      <c r="G227" s="56" t="n"/>
    </row>
    <row r="228">
      <c r="A228" s="55" t="n">
        <v>20821</v>
      </c>
      <c r="B228" s="25">
        <f>VLOOKUP(Table1[[#This Row],[Date]],Database!A:D,3,)</f>
        <v/>
      </c>
      <c r="C228" s="26">
        <f>B228-B227</f>
        <v/>
      </c>
      <c r="D228" s="26">
        <f>AVERAGE(C226:C228)</f>
        <v/>
      </c>
      <c r="E228" s="59">
        <f>VLOOKUP(Table1[[#This Row],[Date]],Database!A:D,4,)</f>
        <v/>
      </c>
      <c r="F228" s="59">
        <f>VLOOKUP(Table1[[#This Row],[Date]],Database!A:D,2,)</f>
        <v/>
      </c>
      <c r="G228" s="56" t="n"/>
    </row>
    <row r="229">
      <c r="A229" s="55" t="n">
        <v>20852</v>
      </c>
      <c r="B229" s="25">
        <f>VLOOKUP(Table1[[#This Row],[Date]],Database!A:D,3,)</f>
        <v/>
      </c>
      <c r="C229" s="26">
        <f>B229-B228</f>
        <v/>
      </c>
      <c r="D229" s="26">
        <f>AVERAGE(C227:C229)</f>
        <v/>
      </c>
      <c r="E229" s="59">
        <f>VLOOKUP(Table1[[#This Row],[Date]],Database!A:D,4,)</f>
        <v/>
      </c>
      <c r="F229" s="59">
        <f>VLOOKUP(Table1[[#This Row],[Date]],Database!A:D,2,)</f>
        <v/>
      </c>
      <c r="G229" s="56" t="n"/>
    </row>
    <row r="230">
      <c r="A230" s="55" t="n">
        <v>20880</v>
      </c>
      <c r="B230" s="25">
        <f>VLOOKUP(Table1[[#This Row],[Date]],Database!A:D,3,)</f>
        <v/>
      </c>
      <c r="C230" s="26">
        <f>B230-B229</f>
        <v/>
      </c>
      <c r="D230" s="26">
        <f>AVERAGE(C228:C230)</f>
        <v/>
      </c>
      <c r="E230" s="59">
        <f>VLOOKUP(Table1[[#This Row],[Date]],Database!A:D,4,)</f>
        <v/>
      </c>
      <c r="F230" s="59">
        <f>VLOOKUP(Table1[[#This Row],[Date]],Database!A:D,2,)</f>
        <v/>
      </c>
      <c r="G230" s="56" t="n"/>
    </row>
    <row r="231">
      <c r="A231" s="55" t="n">
        <v>20911</v>
      </c>
      <c r="B231" s="25">
        <f>VLOOKUP(Table1[[#This Row],[Date]],Database!A:D,3,)</f>
        <v/>
      </c>
      <c r="C231" s="26">
        <f>B231-B230</f>
        <v/>
      </c>
      <c r="D231" s="26">
        <f>AVERAGE(C229:C231)</f>
        <v/>
      </c>
      <c r="E231" s="59">
        <f>VLOOKUP(Table1[[#This Row],[Date]],Database!A:D,4,)</f>
        <v/>
      </c>
      <c r="F231" s="59">
        <f>VLOOKUP(Table1[[#This Row],[Date]],Database!A:D,2,)</f>
        <v/>
      </c>
      <c r="G231" s="56" t="n"/>
    </row>
    <row r="232">
      <c r="A232" s="55" t="n">
        <v>20941</v>
      </c>
      <c r="B232" s="25">
        <f>VLOOKUP(Table1[[#This Row],[Date]],Database!A:D,3,)</f>
        <v/>
      </c>
      <c r="C232" s="26">
        <f>B232-B231</f>
        <v/>
      </c>
      <c r="D232" s="26">
        <f>AVERAGE(C230:C232)</f>
        <v/>
      </c>
      <c r="E232" s="59">
        <f>VLOOKUP(Table1[[#This Row],[Date]],Database!A:D,4,)</f>
        <v/>
      </c>
      <c r="F232" s="59">
        <f>VLOOKUP(Table1[[#This Row],[Date]],Database!A:D,2,)</f>
        <v/>
      </c>
      <c r="G232" s="56" t="n"/>
    </row>
    <row r="233">
      <c r="A233" s="55" t="n">
        <v>20972</v>
      </c>
      <c r="B233" s="25">
        <f>VLOOKUP(Table1[[#This Row],[Date]],Database!A:D,3,)</f>
        <v/>
      </c>
      <c r="C233" s="26">
        <f>B233-B232</f>
        <v/>
      </c>
      <c r="D233" s="26">
        <f>AVERAGE(C231:C233)</f>
        <v/>
      </c>
      <c r="E233" s="59">
        <f>VLOOKUP(Table1[[#This Row],[Date]],Database!A:D,4,)</f>
        <v/>
      </c>
      <c r="F233" s="59">
        <f>VLOOKUP(Table1[[#This Row],[Date]],Database!A:D,2,)</f>
        <v/>
      </c>
      <c r="G233" s="56" t="n"/>
    </row>
    <row r="234">
      <c r="A234" s="55" t="n">
        <v>21002</v>
      </c>
      <c r="B234" s="25">
        <f>VLOOKUP(Table1[[#This Row],[Date]],Database!A:D,3,)</f>
        <v/>
      </c>
      <c r="C234" s="26">
        <f>B234-B233</f>
        <v/>
      </c>
      <c r="D234" s="26">
        <f>AVERAGE(C232:C234)</f>
        <v/>
      </c>
      <c r="E234" s="59">
        <f>VLOOKUP(Table1[[#This Row],[Date]],Database!A:D,4,)</f>
        <v/>
      </c>
      <c r="F234" s="59">
        <f>VLOOKUP(Table1[[#This Row],[Date]],Database!A:D,2,)</f>
        <v/>
      </c>
      <c r="G234" s="56" t="n"/>
    </row>
    <row r="235">
      <c r="A235" s="55" t="n">
        <v>21033</v>
      </c>
      <c r="B235" s="25">
        <f>VLOOKUP(Table1[[#This Row],[Date]],Database!A:D,3,)</f>
        <v/>
      </c>
      <c r="C235" s="26">
        <f>B235-B234</f>
        <v/>
      </c>
      <c r="D235" s="26">
        <f>AVERAGE(C233:C235)</f>
        <v/>
      </c>
      <c r="E235" s="59">
        <f>VLOOKUP(Table1[[#This Row],[Date]],Database!A:D,4,)</f>
        <v/>
      </c>
      <c r="F235" s="59">
        <f>VLOOKUP(Table1[[#This Row],[Date]],Database!A:D,2,)</f>
        <v/>
      </c>
      <c r="G235" s="56" t="n"/>
    </row>
    <row r="236">
      <c r="A236" s="55" t="n">
        <v>21064</v>
      </c>
      <c r="B236" s="25">
        <f>VLOOKUP(Table1[[#This Row],[Date]],Database!A:D,3,)</f>
        <v/>
      </c>
      <c r="C236" s="26">
        <f>B236-B235</f>
        <v/>
      </c>
      <c r="D236" s="26">
        <f>AVERAGE(C234:C236)</f>
        <v/>
      </c>
      <c r="E236" s="59">
        <f>VLOOKUP(Table1[[#This Row],[Date]],Database!A:D,4,)</f>
        <v/>
      </c>
      <c r="F236" s="59">
        <f>VLOOKUP(Table1[[#This Row],[Date]],Database!A:D,2,)</f>
        <v/>
      </c>
      <c r="G236" s="56" t="n"/>
    </row>
    <row r="237">
      <c r="A237" s="55" t="n">
        <v>21094</v>
      </c>
      <c r="B237" s="25">
        <f>VLOOKUP(Table1[[#This Row],[Date]],Database!A:D,3,)</f>
        <v/>
      </c>
      <c r="C237" s="26">
        <f>B237-B236</f>
        <v/>
      </c>
      <c r="D237" s="26">
        <f>AVERAGE(C235:C237)</f>
        <v/>
      </c>
      <c r="E237" s="59">
        <f>VLOOKUP(Table1[[#This Row],[Date]],Database!A:D,4,)</f>
        <v/>
      </c>
      <c r="F237" s="59">
        <f>VLOOKUP(Table1[[#This Row],[Date]],Database!A:D,2,)</f>
        <v/>
      </c>
      <c r="G237" s="56" t="n"/>
    </row>
    <row r="238">
      <c r="A238" s="55" t="n">
        <v>21125</v>
      </c>
      <c r="B238" s="25">
        <f>VLOOKUP(Table1[[#This Row],[Date]],Database!A:D,3,)</f>
        <v/>
      </c>
      <c r="C238" s="26">
        <f>B238-B237</f>
        <v/>
      </c>
      <c r="D238" s="26">
        <f>AVERAGE(C236:C238)</f>
        <v/>
      </c>
      <c r="E238" s="59">
        <f>VLOOKUP(Table1[[#This Row],[Date]],Database!A:D,4,)</f>
        <v/>
      </c>
      <c r="F238" s="59">
        <f>VLOOKUP(Table1[[#This Row],[Date]],Database!A:D,2,)</f>
        <v/>
      </c>
      <c r="G238" s="56" t="n"/>
    </row>
    <row r="239">
      <c r="A239" s="55" t="n">
        <v>21155</v>
      </c>
      <c r="B239" s="25">
        <f>VLOOKUP(Table1[[#This Row],[Date]],Database!A:D,3,)</f>
        <v/>
      </c>
      <c r="C239" s="26">
        <f>B239-B238</f>
        <v/>
      </c>
      <c r="D239" s="26">
        <f>AVERAGE(C237:C239)</f>
        <v/>
      </c>
      <c r="E239" s="59">
        <f>VLOOKUP(Table1[[#This Row],[Date]],Database!A:D,4,)</f>
        <v/>
      </c>
      <c r="F239" s="59">
        <f>VLOOKUP(Table1[[#This Row],[Date]],Database!A:D,2,)</f>
        <v/>
      </c>
      <c r="G239" s="56" t="n"/>
    </row>
    <row r="240">
      <c r="A240" s="55" t="n">
        <v>21186</v>
      </c>
      <c r="B240" s="25">
        <f>VLOOKUP(Table1[[#This Row],[Date]],Database!A:D,3,)</f>
        <v/>
      </c>
      <c r="C240" s="26">
        <f>B240-B239</f>
        <v/>
      </c>
      <c r="D240" s="26">
        <f>AVERAGE(C238:C240)</f>
        <v/>
      </c>
      <c r="E240" s="59">
        <f>VLOOKUP(Table1[[#This Row],[Date]],Database!A:D,4,)</f>
        <v/>
      </c>
      <c r="F240" s="59">
        <f>VLOOKUP(Table1[[#This Row],[Date]],Database!A:D,2,)</f>
        <v/>
      </c>
      <c r="G240" s="56" t="n"/>
    </row>
    <row r="241">
      <c r="A241" s="55" t="n">
        <v>21217</v>
      </c>
      <c r="B241" s="25">
        <f>VLOOKUP(Table1[[#This Row],[Date]],Database!A:D,3,)</f>
        <v/>
      </c>
      <c r="C241" s="26">
        <f>B241-B240</f>
        <v/>
      </c>
      <c r="D241" s="26">
        <f>AVERAGE(C239:C241)</f>
        <v/>
      </c>
      <c r="E241" s="59">
        <f>VLOOKUP(Table1[[#This Row],[Date]],Database!A:D,4,)</f>
        <v/>
      </c>
      <c r="F241" s="59">
        <f>VLOOKUP(Table1[[#This Row],[Date]],Database!A:D,2,)</f>
        <v/>
      </c>
      <c r="G241" s="56" t="n"/>
    </row>
    <row r="242">
      <c r="A242" s="55" t="n">
        <v>21245</v>
      </c>
      <c r="B242" s="25">
        <f>VLOOKUP(Table1[[#This Row],[Date]],Database!A:D,3,)</f>
        <v/>
      </c>
      <c r="C242" s="26">
        <f>B242-B241</f>
        <v/>
      </c>
      <c r="D242" s="26">
        <f>AVERAGE(C240:C242)</f>
        <v/>
      </c>
      <c r="E242" s="59">
        <f>VLOOKUP(Table1[[#This Row],[Date]],Database!A:D,4,)</f>
        <v/>
      </c>
      <c r="F242" s="59">
        <f>VLOOKUP(Table1[[#This Row],[Date]],Database!A:D,2,)</f>
        <v/>
      </c>
      <c r="G242" s="56" t="n"/>
    </row>
    <row r="243">
      <c r="A243" s="55" t="n">
        <v>21276</v>
      </c>
      <c r="B243" s="25">
        <f>VLOOKUP(Table1[[#This Row],[Date]],Database!A:D,3,)</f>
        <v/>
      </c>
      <c r="C243" s="26">
        <f>B243-B242</f>
        <v/>
      </c>
      <c r="D243" s="26">
        <f>AVERAGE(C241:C243)</f>
        <v/>
      </c>
      <c r="E243" s="59">
        <f>VLOOKUP(Table1[[#This Row],[Date]],Database!A:D,4,)</f>
        <v/>
      </c>
      <c r="F243" s="59">
        <f>VLOOKUP(Table1[[#This Row],[Date]],Database!A:D,2,)</f>
        <v/>
      </c>
      <c r="G243" s="56" t="n"/>
    </row>
    <row r="244">
      <c r="A244" s="55" t="n">
        <v>21306</v>
      </c>
      <c r="B244" s="25">
        <f>VLOOKUP(Table1[[#This Row],[Date]],Database!A:D,3,)</f>
        <v/>
      </c>
      <c r="C244" s="26">
        <f>B244-B243</f>
        <v/>
      </c>
      <c r="D244" s="26">
        <f>AVERAGE(C242:C244)</f>
        <v/>
      </c>
      <c r="E244" s="59">
        <f>VLOOKUP(Table1[[#This Row],[Date]],Database!A:D,4,)</f>
        <v/>
      </c>
      <c r="F244" s="59">
        <f>VLOOKUP(Table1[[#This Row],[Date]],Database!A:D,2,)</f>
        <v/>
      </c>
      <c r="G244" s="56" t="n"/>
    </row>
    <row r="245">
      <c r="A245" s="55" t="n">
        <v>21337</v>
      </c>
      <c r="B245" s="25">
        <f>VLOOKUP(Table1[[#This Row],[Date]],Database!A:D,3,)</f>
        <v/>
      </c>
      <c r="C245" s="26">
        <f>B245-B244</f>
        <v/>
      </c>
      <c r="D245" s="26">
        <f>AVERAGE(C243:C245)</f>
        <v/>
      </c>
      <c r="E245" s="59">
        <f>VLOOKUP(Table1[[#This Row],[Date]],Database!A:D,4,)</f>
        <v/>
      </c>
      <c r="F245" s="59">
        <f>VLOOKUP(Table1[[#This Row],[Date]],Database!A:D,2,)</f>
        <v/>
      </c>
      <c r="G245" s="56" t="n"/>
    </row>
    <row r="246">
      <c r="A246" s="55" t="n">
        <v>21367</v>
      </c>
      <c r="B246" s="25">
        <f>VLOOKUP(Table1[[#This Row],[Date]],Database!A:D,3,)</f>
        <v/>
      </c>
      <c r="C246" s="26">
        <f>B246-B245</f>
        <v/>
      </c>
      <c r="D246" s="26">
        <f>AVERAGE(C244:C246)</f>
        <v/>
      </c>
      <c r="E246" s="59">
        <f>VLOOKUP(Table1[[#This Row],[Date]],Database!A:D,4,)</f>
        <v/>
      </c>
      <c r="F246" s="59">
        <f>VLOOKUP(Table1[[#This Row],[Date]],Database!A:D,2,)</f>
        <v/>
      </c>
      <c r="G246" s="56" t="n"/>
    </row>
    <row r="247">
      <c r="A247" s="55" t="n">
        <v>21398</v>
      </c>
      <c r="B247" s="25">
        <f>VLOOKUP(Table1[[#This Row],[Date]],Database!A:D,3,)</f>
        <v/>
      </c>
      <c r="C247" s="26">
        <f>B247-B246</f>
        <v/>
      </c>
      <c r="D247" s="26">
        <f>AVERAGE(C245:C247)</f>
        <v/>
      </c>
      <c r="E247" s="59">
        <f>VLOOKUP(Table1[[#This Row],[Date]],Database!A:D,4,)</f>
        <v/>
      </c>
      <c r="F247" s="59">
        <f>VLOOKUP(Table1[[#This Row],[Date]],Database!A:D,2,)</f>
        <v/>
      </c>
      <c r="G247" s="56" t="n"/>
    </row>
    <row r="248">
      <c r="A248" s="55" t="n">
        <v>21429</v>
      </c>
      <c r="B248" s="25">
        <f>VLOOKUP(Table1[[#This Row],[Date]],Database!A:D,3,)</f>
        <v/>
      </c>
      <c r="C248" s="26">
        <f>B248-B247</f>
        <v/>
      </c>
      <c r="D248" s="26">
        <f>AVERAGE(C246:C248)</f>
        <v/>
      </c>
      <c r="E248" s="59">
        <f>VLOOKUP(Table1[[#This Row],[Date]],Database!A:D,4,)</f>
        <v/>
      </c>
      <c r="F248" s="59">
        <f>VLOOKUP(Table1[[#This Row],[Date]],Database!A:D,2,)</f>
        <v/>
      </c>
      <c r="G248" s="56" t="n"/>
    </row>
    <row r="249">
      <c r="A249" s="55" t="n">
        <v>21459</v>
      </c>
      <c r="B249" s="25">
        <f>VLOOKUP(Table1[[#This Row],[Date]],Database!A:D,3,)</f>
        <v/>
      </c>
      <c r="C249" s="26">
        <f>B249-B248</f>
        <v/>
      </c>
      <c r="D249" s="26">
        <f>AVERAGE(C247:C249)</f>
        <v/>
      </c>
      <c r="E249" s="59">
        <f>VLOOKUP(Table1[[#This Row],[Date]],Database!A:D,4,)</f>
        <v/>
      </c>
      <c r="F249" s="59">
        <f>VLOOKUP(Table1[[#This Row],[Date]],Database!A:D,2,)</f>
        <v/>
      </c>
      <c r="G249" s="56" t="n"/>
    </row>
    <row r="250">
      <c r="A250" s="55" t="n">
        <v>21490</v>
      </c>
      <c r="B250" s="25">
        <f>VLOOKUP(Table1[[#This Row],[Date]],Database!A:D,3,)</f>
        <v/>
      </c>
      <c r="C250" s="26">
        <f>B250-B249</f>
        <v/>
      </c>
      <c r="D250" s="26">
        <f>AVERAGE(C248:C250)</f>
        <v/>
      </c>
      <c r="E250" s="59">
        <f>VLOOKUP(Table1[[#This Row],[Date]],Database!A:D,4,)</f>
        <v/>
      </c>
      <c r="F250" s="59">
        <f>VLOOKUP(Table1[[#This Row],[Date]],Database!A:D,2,)</f>
        <v/>
      </c>
      <c r="G250" s="56" t="n"/>
    </row>
    <row r="251">
      <c r="A251" s="55" t="n">
        <v>21520</v>
      </c>
      <c r="B251" s="25">
        <f>VLOOKUP(Table1[[#This Row],[Date]],Database!A:D,3,)</f>
        <v/>
      </c>
      <c r="C251" s="26">
        <f>B251-B250</f>
        <v/>
      </c>
      <c r="D251" s="26">
        <f>AVERAGE(C249:C251)</f>
        <v/>
      </c>
      <c r="E251" s="59">
        <f>VLOOKUP(Table1[[#This Row],[Date]],Database!A:D,4,)</f>
        <v/>
      </c>
      <c r="F251" s="59">
        <f>VLOOKUP(Table1[[#This Row],[Date]],Database!A:D,2,)</f>
        <v/>
      </c>
      <c r="G251" s="56" t="n"/>
    </row>
    <row r="252">
      <c r="A252" s="55" t="n">
        <v>21551</v>
      </c>
      <c r="B252" s="25">
        <f>VLOOKUP(Table1[[#This Row],[Date]],Database!A:D,3,)</f>
        <v/>
      </c>
      <c r="C252" s="26">
        <f>B252-B251</f>
        <v/>
      </c>
      <c r="D252" s="26">
        <f>AVERAGE(C250:C252)</f>
        <v/>
      </c>
      <c r="E252" s="59">
        <f>VLOOKUP(Table1[[#This Row],[Date]],Database!A:D,4,)</f>
        <v/>
      </c>
      <c r="F252" s="59">
        <f>VLOOKUP(Table1[[#This Row],[Date]],Database!A:D,2,)</f>
        <v/>
      </c>
      <c r="G252" s="56" t="n"/>
    </row>
    <row r="253">
      <c r="A253" s="55" t="n">
        <v>21582</v>
      </c>
      <c r="B253" s="25">
        <f>VLOOKUP(Table1[[#This Row],[Date]],Database!A:D,3,)</f>
        <v/>
      </c>
      <c r="C253" s="26">
        <f>B253-B252</f>
        <v/>
      </c>
      <c r="D253" s="26">
        <f>AVERAGE(C251:C253)</f>
        <v/>
      </c>
      <c r="E253" s="59">
        <f>VLOOKUP(Table1[[#This Row],[Date]],Database!A:D,4,)</f>
        <v/>
      </c>
      <c r="F253" s="59">
        <f>VLOOKUP(Table1[[#This Row],[Date]],Database!A:D,2,)</f>
        <v/>
      </c>
      <c r="G253" s="56" t="n"/>
    </row>
    <row r="254">
      <c r="A254" s="55" t="n">
        <v>21610</v>
      </c>
      <c r="B254" s="25">
        <f>VLOOKUP(Table1[[#This Row],[Date]],Database!A:D,3,)</f>
        <v/>
      </c>
      <c r="C254" s="26">
        <f>B254-B253</f>
        <v/>
      </c>
      <c r="D254" s="26">
        <f>AVERAGE(C252:C254)</f>
        <v/>
      </c>
      <c r="E254" s="59">
        <f>VLOOKUP(Table1[[#This Row],[Date]],Database!A:D,4,)</f>
        <v/>
      </c>
      <c r="F254" s="59">
        <f>VLOOKUP(Table1[[#This Row],[Date]],Database!A:D,2,)</f>
        <v/>
      </c>
      <c r="G254" s="56" t="n"/>
    </row>
    <row r="255">
      <c r="A255" s="55" t="n">
        <v>21641</v>
      </c>
      <c r="B255" s="25">
        <f>VLOOKUP(Table1[[#This Row],[Date]],Database!A:D,3,)</f>
        <v/>
      </c>
      <c r="C255" s="26">
        <f>B255-B254</f>
        <v/>
      </c>
      <c r="D255" s="26">
        <f>AVERAGE(C253:C255)</f>
        <v/>
      </c>
      <c r="E255" s="59">
        <f>VLOOKUP(Table1[[#This Row],[Date]],Database!A:D,4,)</f>
        <v/>
      </c>
      <c r="F255" s="59">
        <f>VLOOKUP(Table1[[#This Row],[Date]],Database!A:D,2,)</f>
        <v/>
      </c>
      <c r="G255" s="56" t="n"/>
    </row>
    <row r="256">
      <c r="A256" s="55" t="n">
        <v>21671</v>
      </c>
      <c r="B256" s="25">
        <f>VLOOKUP(Table1[[#This Row],[Date]],Database!A:D,3,)</f>
        <v/>
      </c>
      <c r="C256" s="26">
        <f>B256-B255</f>
        <v/>
      </c>
      <c r="D256" s="26">
        <f>AVERAGE(C254:C256)</f>
        <v/>
      </c>
      <c r="E256" s="59">
        <f>VLOOKUP(Table1[[#This Row],[Date]],Database!A:D,4,)</f>
        <v/>
      </c>
      <c r="F256" s="59">
        <f>VLOOKUP(Table1[[#This Row],[Date]],Database!A:D,2,)</f>
        <v/>
      </c>
      <c r="G256" s="56" t="n"/>
    </row>
    <row r="257">
      <c r="A257" s="55" t="n">
        <v>21702</v>
      </c>
      <c r="B257" s="25">
        <f>VLOOKUP(Table1[[#This Row],[Date]],Database!A:D,3,)</f>
        <v/>
      </c>
      <c r="C257" s="26">
        <f>B257-B256</f>
        <v/>
      </c>
      <c r="D257" s="26">
        <f>AVERAGE(C255:C257)</f>
        <v/>
      </c>
      <c r="E257" s="59">
        <f>VLOOKUP(Table1[[#This Row],[Date]],Database!A:D,4,)</f>
        <v/>
      </c>
      <c r="F257" s="59">
        <f>VLOOKUP(Table1[[#This Row],[Date]],Database!A:D,2,)</f>
        <v/>
      </c>
      <c r="G257" s="56" t="n"/>
    </row>
    <row r="258">
      <c r="A258" s="55" t="n">
        <v>21732</v>
      </c>
      <c r="B258" s="25">
        <f>VLOOKUP(Table1[[#This Row],[Date]],Database!A:D,3,)</f>
        <v/>
      </c>
      <c r="C258" s="26">
        <f>B258-B257</f>
        <v/>
      </c>
      <c r="D258" s="26">
        <f>AVERAGE(C256:C258)</f>
        <v/>
      </c>
      <c r="E258" s="59">
        <f>VLOOKUP(Table1[[#This Row],[Date]],Database!A:D,4,)</f>
        <v/>
      </c>
      <c r="F258" s="59">
        <f>VLOOKUP(Table1[[#This Row],[Date]],Database!A:D,2,)</f>
        <v/>
      </c>
      <c r="G258" s="56" t="n"/>
    </row>
    <row r="259">
      <c r="A259" s="55" t="n">
        <v>21763</v>
      </c>
      <c r="B259" s="25">
        <f>VLOOKUP(Table1[[#This Row],[Date]],Database!A:D,3,)</f>
        <v/>
      </c>
      <c r="C259" s="26">
        <f>B259-B258</f>
        <v/>
      </c>
      <c r="D259" s="26">
        <f>AVERAGE(C257:C259)</f>
        <v/>
      </c>
      <c r="E259" s="59">
        <f>VLOOKUP(Table1[[#This Row],[Date]],Database!A:D,4,)</f>
        <v/>
      </c>
      <c r="F259" s="59">
        <f>VLOOKUP(Table1[[#This Row],[Date]],Database!A:D,2,)</f>
        <v/>
      </c>
      <c r="G259" s="56" t="n"/>
    </row>
    <row r="260">
      <c r="A260" s="55" t="n">
        <v>21794</v>
      </c>
      <c r="B260" s="25">
        <f>VLOOKUP(Table1[[#This Row],[Date]],Database!A:D,3,)</f>
        <v/>
      </c>
      <c r="C260" s="26">
        <f>B260-B259</f>
        <v/>
      </c>
      <c r="D260" s="26">
        <f>AVERAGE(C258:C260)</f>
        <v/>
      </c>
      <c r="E260" s="59">
        <f>VLOOKUP(Table1[[#This Row],[Date]],Database!A:D,4,)</f>
        <v/>
      </c>
      <c r="F260" s="59">
        <f>VLOOKUP(Table1[[#This Row],[Date]],Database!A:D,2,)</f>
        <v/>
      </c>
      <c r="G260" s="56" t="n"/>
    </row>
    <row r="261">
      <c r="A261" s="55" t="n">
        <v>21824</v>
      </c>
      <c r="B261" s="25">
        <f>VLOOKUP(Table1[[#This Row],[Date]],Database!A:D,3,)</f>
        <v/>
      </c>
      <c r="C261" s="26">
        <f>B261-B260</f>
        <v/>
      </c>
      <c r="D261" s="26">
        <f>AVERAGE(C259:C261)</f>
        <v/>
      </c>
      <c r="E261" s="59">
        <f>VLOOKUP(Table1[[#This Row],[Date]],Database!A:D,4,)</f>
        <v/>
      </c>
      <c r="F261" s="59">
        <f>VLOOKUP(Table1[[#This Row],[Date]],Database!A:D,2,)</f>
        <v/>
      </c>
      <c r="G261" s="56" t="n"/>
    </row>
    <row r="262">
      <c r="A262" s="55" t="n">
        <v>21855</v>
      </c>
      <c r="B262" s="25">
        <f>VLOOKUP(Table1[[#This Row],[Date]],Database!A:D,3,)</f>
        <v/>
      </c>
      <c r="C262" s="26">
        <f>B262-B261</f>
        <v/>
      </c>
      <c r="D262" s="26">
        <f>AVERAGE(C260:C262)</f>
        <v/>
      </c>
      <c r="E262" s="59">
        <f>VLOOKUP(Table1[[#This Row],[Date]],Database!A:D,4,)</f>
        <v/>
      </c>
      <c r="F262" s="59">
        <f>VLOOKUP(Table1[[#This Row],[Date]],Database!A:D,2,)</f>
        <v/>
      </c>
      <c r="G262" s="56" t="n"/>
    </row>
    <row r="263">
      <c r="A263" s="55" t="n">
        <v>21885</v>
      </c>
      <c r="B263" s="25">
        <f>VLOOKUP(Table1[[#This Row],[Date]],Database!A:D,3,)</f>
        <v/>
      </c>
      <c r="C263" s="26">
        <f>B263-B262</f>
        <v/>
      </c>
      <c r="D263" s="26">
        <f>AVERAGE(C261:C263)</f>
        <v/>
      </c>
      <c r="E263" s="59">
        <f>VLOOKUP(Table1[[#This Row],[Date]],Database!A:D,4,)</f>
        <v/>
      </c>
      <c r="F263" s="59">
        <f>VLOOKUP(Table1[[#This Row],[Date]],Database!A:D,2,)</f>
        <v/>
      </c>
      <c r="G263" s="56" t="n"/>
    </row>
    <row r="264">
      <c r="A264" s="55" t="n">
        <v>21916</v>
      </c>
      <c r="B264" s="25">
        <f>VLOOKUP(Table1[[#This Row],[Date]],Database!A:D,3,)</f>
        <v/>
      </c>
      <c r="C264" s="26">
        <f>B264-B263</f>
        <v/>
      </c>
      <c r="D264" s="26">
        <f>AVERAGE(C262:C264)</f>
        <v/>
      </c>
      <c r="E264" s="59">
        <f>VLOOKUP(Table1[[#This Row],[Date]],Database!A:D,4,)</f>
        <v/>
      </c>
      <c r="F264" s="59">
        <f>VLOOKUP(Table1[[#This Row],[Date]],Database!A:D,2,)</f>
        <v/>
      </c>
      <c r="G264" s="56" t="n"/>
    </row>
    <row r="265">
      <c r="A265" s="55" t="n">
        <v>21947</v>
      </c>
      <c r="B265" s="25">
        <f>VLOOKUP(Table1[[#This Row],[Date]],Database!A:D,3,)</f>
        <v/>
      </c>
      <c r="C265" s="26">
        <f>B265-B264</f>
        <v/>
      </c>
      <c r="D265" s="26">
        <f>AVERAGE(C263:C265)</f>
        <v/>
      </c>
      <c r="E265" s="59">
        <f>VLOOKUP(Table1[[#This Row],[Date]],Database!A:D,4,)</f>
        <v/>
      </c>
      <c r="F265" s="59">
        <f>VLOOKUP(Table1[[#This Row],[Date]],Database!A:D,2,)</f>
        <v/>
      </c>
      <c r="G265" s="56" t="n"/>
    </row>
    <row r="266">
      <c r="A266" s="55" t="n">
        <v>21976</v>
      </c>
      <c r="B266" s="25">
        <f>VLOOKUP(Table1[[#This Row],[Date]],Database!A:D,3,)</f>
        <v/>
      </c>
      <c r="C266" s="26">
        <f>B266-B265</f>
        <v/>
      </c>
      <c r="D266" s="26">
        <f>AVERAGE(C264:C266)</f>
        <v/>
      </c>
      <c r="E266" s="59">
        <f>VLOOKUP(Table1[[#This Row],[Date]],Database!A:D,4,)</f>
        <v/>
      </c>
      <c r="F266" s="59">
        <f>VLOOKUP(Table1[[#This Row],[Date]],Database!A:D,2,)</f>
        <v/>
      </c>
      <c r="G266" s="56" t="n"/>
    </row>
    <row r="267">
      <c r="A267" s="55" t="n">
        <v>22007</v>
      </c>
      <c r="B267" s="25">
        <f>VLOOKUP(Table1[[#This Row],[Date]],Database!A:D,3,)</f>
        <v/>
      </c>
      <c r="C267" s="26">
        <f>B267-B266</f>
        <v/>
      </c>
      <c r="D267" s="26">
        <f>AVERAGE(C265:C267)</f>
        <v/>
      </c>
      <c r="E267" s="59">
        <f>VLOOKUP(Table1[[#This Row],[Date]],Database!A:D,4,)</f>
        <v/>
      </c>
      <c r="F267" s="59">
        <f>VLOOKUP(Table1[[#This Row],[Date]],Database!A:D,2,)</f>
        <v/>
      </c>
      <c r="G267" s="56" t="n"/>
    </row>
    <row r="268">
      <c r="A268" s="55" t="n">
        <v>22037</v>
      </c>
      <c r="B268" s="25">
        <f>VLOOKUP(Table1[[#This Row],[Date]],Database!A:D,3,)</f>
        <v/>
      </c>
      <c r="C268" s="26">
        <f>B268-B267</f>
        <v/>
      </c>
      <c r="D268" s="26">
        <f>AVERAGE(C266:C268)</f>
        <v/>
      </c>
      <c r="E268" s="59">
        <f>VLOOKUP(Table1[[#This Row],[Date]],Database!A:D,4,)</f>
        <v/>
      </c>
      <c r="F268" s="59">
        <f>VLOOKUP(Table1[[#This Row],[Date]],Database!A:D,2,)</f>
        <v/>
      </c>
      <c r="G268" s="56" t="n"/>
    </row>
    <row r="269">
      <c r="A269" s="55" t="n">
        <v>22068</v>
      </c>
      <c r="B269" s="25">
        <f>VLOOKUP(Table1[[#This Row],[Date]],Database!A:D,3,)</f>
        <v/>
      </c>
      <c r="C269" s="26">
        <f>B269-B268</f>
        <v/>
      </c>
      <c r="D269" s="26">
        <f>AVERAGE(C267:C269)</f>
        <v/>
      </c>
      <c r="E269" s="59">
        <f>VLOOKUP(Table1[[#This Row],[Date]],Database!A:D,4,)</f>
        <v/>
      </c>
      <c r="F269" s="59">
        <f>VLOOKUP(Table1[[#This Row],[Date]],Database!A:D,2,)</f>
        <v/>
      </c>
      <c r="G269" s="56" t="n"/>
    </row>
    <row r="270">
      <c r="A270" s="55" t="n">
        <v>22098</v>
      </c>
      <c r="B270" s="25">
        <f>VLOOKUP(Table1[[#This Row],[Date]],Database!A:D,3,)</f>
        <v/>
      </c>
      <c r="C270" s="26">
        <f>B270-B269</f>
        <v/>
      </c>
      <c r="D270" s="26">
        <f>AVERAGE(C268:C270)</f>
        <v/>
      </c>
      <c r="E270" s="59">
        <f>VLOOKUP(Table1[[#This Row],[Date]],Database!A:D,4,)</f>
        <v/>
      </c>
      <c r="F270" s="59">
        <f>VLOOKUP(Table1[[#This Row],[Date]],Database!A:D,2,)</f>
        <v/>
      </c>
      <c r="G270" s="56" t="n"/>
    </row>
    <row r="271">
      <c r="A271" s="55" t="n">
        <v>22129</v>
      </c>
      <c r="B271" s="25">
        <f>VLOOKUP(Table1[[#This Row],[Date]],Database!A:D,3,)</f>
        <v/>
      </c>
      <c r="C271" s="26">
        <f>B271-B270</f>
        <v/>
      </c>
      <c r="D271" s="26">
        <f>AVERAGE(C269:C271)</f>
        <v/>
      </c>
      <c r="E271" s="59">
        <f>VLOOKUP(Table1[[#This Row],[Date]],Database!A:D,4,)</f>
        <v/>
      </c>
      <c r="F271" s="59">
        <f>VLOOKUP(Table1[[#This Row],[Date]],Database!A:D,2,)</f>
        <v/>
      </c>
      <c r="G271" s="56" t="n"/>
    </row>
    <row r="272">
      <c r="A272" s="55" t="n">
        <v>22160</v>
      </c>
      <c r="B272" s="25">
        <f>VLOOKUP(Table1[[#This Row],[Date]],Database!A:D,3,)</f>
        <v/>
      </c>
      <c r="C272" s="26">
        <f>B272-B271</f>
        <v/>
      </c>
      <c r="D272" s="26">
        <f>AVERAGE(C270:C272)</f>
        <v/>
      </c>
      <c r="E272" s="59">
        <f>VLOOKUP(Table1[[#This Row],[Date]],Database!A:D,4,)</f>
        <v/>
      </c>
      <c r="F272" s="59">
        <f>VLOOKUP(Table1[[#This Row],[Date]],Database!A:D,2,)</f>
        <v/>
      </c>
      <c r="G272" s="56" t="n"/>
    </row>
    <row r="273">
      <c r="A273" s="55" t="n">
        <v>22190</v>
      </c>
      <c r="B273" s="25">
        <f>VLOOKUP(Table1[[#This Row],[Date]],Database!A:D,3,)</f>
        <v/>
      </c>
      <c r="C273" s="26">
        <f>B273-B272</f>
        <v/>
      </c>
      <c r="D273" s="26">
        <f>AVERAGE(C271:C273)</f>
        <v/>
      </c>
      <c r="E273" s="59">
        <f>VLOOKUP(Table1[[#This Row],[Date]],Database!A:D,4,)</f>
        <v/>
      </c>
      <c r="F273" s="59">
        <f>VLOOKUP(Table1[[#This Row],[Date]],Database!A:D,2,)</f>
        <v/>
      </c>
      <c r="G273" s="56" t="n"/>
    </row>
    <row r="274">
      <c r="A274" s="55" t="n">
        <v>22221</v>
      </c>
      <c r="B274" s="25">
        <f>VLOOKUP(Table1[[#This Row],[Date]],Database!A:D,3,)</f>
        <v/>
      </c>
      <c r="C274" s="26">
        <f>B274-B273</f>
        <v/>
      </c>
      <c r="D274" s="26">
        <f>AVERAGE(C272:C274)</f>
        <v/>
      </c>
      <c r="E274" s="59">
        <f>VLOOKUP(Table1[[#This Row],[Date]],Database!A:D,4,)</f>
        <v/>
      </c>
      <c r="F274" s="59">
        <f>VLOOKUP(Table1[[#This Row],[Date]],Database!A:D,2,)</f>
        <v/>
      </c>
      <c r="G274" s="56" t="n"/>
    </row>
    <row r="275">
      <c r="A275" s="55" t="n">
        <v>22251</v>
      </c>
      <c r="B275" s="25">
        <f>VLOOKUP(Table1[[#This Row],[Date]],Database!A:D,3,)</f>
        <v/>
      </c>
      <c r="C275" s="26">
        <f>B275-B274</f>
        <v/>
      </c>
      <c r="D275" s="26">
        <f>AVERAGE(C273:C275)</f>
        <v/>
      </c>
      <c r="E275" s="59">
        <f>VLOOKUP(Table1[[#This Row],[Date]],Database!A:D,4,)</f>
        <v/>
      </c>
      <c r="F275" s="59">
        <f>VLOOKUP(Table1[[#This Row],[Date]],Database!A:D,2,)</f>
        <v/>
      </c>
      <c r="G275" s="56" t="n"/>
    </row>
    <row r="276">
      <c r="A276" s="55" t="n">
        <v>22282</v>
      </c>
      <c r="B276" s="25">
        <f>VLOOKUP(Table1[[#This Row],[Date]],Database!A:D,3,)</f>
        <v/>
      </c>
      <c r="C276" s="26">
        <f>B276-B275</f>
        <v/>
      </c>
      <c r="D276" s="26">
        <f>AVERAGE(C274:C276)</f>
        <v/>
      </c>
      <c r="E276" s="59">
        <f>VLOOKUP(Table1[[#This Row],[Date]],Database!A:D,4,)</f>
        <v/>
      </c>
      <c r="F276" s="59">
        <f>VLOOKUP(Table1[[#This Row],[Date]],Database!A:D,2,)</f>
        <v/>
      </c>
      <c r="G276" s="56" t="n"/>
    </row>
    <row r="277">
      <c r="A277" s="55" t="n">
        <v>22313</v>
      </c>
      <c r="B277" s="25">
        <f>VLOOKUP(Table1[[#This Row],[Date]],Database!A:D,3,)</f>
        <v/>
      </c>
      <c r="C277" s="26">
        <f>B277-B276</f>
        <v/>
      </c>
      <c r="D277" s="26">
        <f>AVERAGE(C275:C277)</f>
        <v/>
      </c>
      <c r="E277" s="59">
        <f>VLOOKUP(Table1[[#This Row],[Date]],Database!A:D,4,)</f>
        <v/>
      </c>
      <c r="F277" s="59">
        <f>VLOOKUP(Table1[[#This Row],[Date]],Database!A:D,2,)</f>
        <v/>
      </c>
      <c r="G277" s="56" t="n"/>
    </row>
    <row r="278">
      <c r="A278" s="55" t="n">
        <v>22341</v>
      </c>
      <c r="B278" s="25">
        <f>VLOOKUP(Table1[[#This Row],[Date]],Database!A:D,3,)</f>
        <v/>
      </c>
      <c r="C278" s="26">
        <f>B278-B277</f>
        <v/>
      </c>
      <c r="D278" s="26">
        <f>AVERAGE(C276:C278)</f>
        <v/>
      </c>
      <c r="E278" s="59">
        <f>VLOOKUP(Table1[[#This Row],[Date]],Database!A:D,4,)</f>
        <v/>
      </c>
      <c r="F278" s="59">
        <f>VLOOKUP(Table1[[#This Row],[Date]],Database!A:D,2,)</f>
        <v/>
      </c>
      <c r="G278" s="56" t="n"/>
    </row>
    <row r="279">
      <c r="A279" s="55" t="n">
        <v>22372</v>
      </c>
      <c r="B279" s="25">
        <f>VLOOKUP(Table1[[#This Row],[Date]],Database!A:D,3,)</f>
        <v/>
      </c>
      <c r="C279" s="26">
        <f>B279-B278</f>
        <v/>
      </c>
      <c r="D279" s="26">
        <f>AVERAGE(C277:C279)</f>
        <v/>
      </c>
      <c r="E279" s="59">
        <f>VLOOKUP(Table1[[#This Row],[Date]],Database!A:D,4,)</f>
        <v/>
      </c>
      <c r="F279" s="59">
        <f>VLOOKUP(Table1[[#This Row],[Date]],Database!A:D,2,)</f>
        <v/>
      </c>
      <c r="G279" s="56" t="n"/>
    </row>
    <row r="280">
      <c r="A280" s="55" t="n">
        <v>22402</v>
      </c>
      <c r="B280" s="25">
        <f>VLOOKUP(Table1[[#This Row],[Date]],Database!A:D,3,)</f>
        <v/>
      </c>
      <c r="C280" s="26">
        <f>B280-B279</f>
        <v/>
      </c>
      <c r="D280" s="26">
        <f>AVERAGE(C278:C280)</f>
        <v/>
      </c>
      <c r="E280" s="59">
        <f>VLOOKUP(Table1[[#This Row],[Date]],Database!A:D,4,)</f>
        <v/>
      </c>
      <c r="F280" s="59">
        <f>VLOOKUP(Table1[[#This Row],[Date]],Database!A:D,2,)</f>
        <v/>
      </c>
      <c r="G280" s="56" t="n"/>
    </row>
    <row r="281">
      <c r="A281" s="55" t="n">
        <v>22433</v>
      </c>
      <c r="B281" s="25">
        <f>VLOOKUP(Table1[[#This Row],[Date]],Database!A:D,3,)</f>
        <v/>
      </c>
      <c r="C281" s="26">
        <f>B281-B280</f>
        <v/>
      </c>
      <c r="D281" s="26">
        <f>AVERAGE(C279:C281)</f>
        <v/>
      </c>
      <c r="E281" s="59">
        <f>VLOOKUP(Table1[[#This Row],[Date]],Database!A:D,4,)</f>
        <v/>
      </c>
      <c r="F281" s="59">
        <f>VLOOKUP(Table1[[#This Row],[Date]],Database!A:D,2,)</f>
        <v/>
      </c>
      <c r="G281" s="56" t="n"/>
    </row>
    <row r="282">
      <c r="A282" s="55" t="n">
        <v>22463</v>
      </c>
      <c r="B282" s="25">
        <f>VLOOKUP(Table1[[#This Row],[Date]],Database!A:D,3,)</f>
        <v/>
      </c>
      <c r="C282" s="26">
        <f>B282-B281</f>
        <v/>
      </c>
      <c r="D282" s="26">
        <f>AVERAGE(C280:C282)</f>
        <v/>
      </c>
      <c r="E282" s="59">
        <f>VLOOKUP(Table1[[#This Row],[Date]],Database!A:D,4,)</f>
        <v/>
      </c>
      <c r="F282" s="59">
        <f>VLOOKUP(Table1[[#This Row],[Date]],Database!A:D,2,)</f>
        <v/>
      </c>
      <c r="G282" s="56" t="n"/>
    </row>
    <row r="283">
      <c r="A283" s="55" t="n">
        <v>22494</v>
      </c>
      <c r="B283" s="25">
        <f>VLOOKUP(Table1[[#This Row],[Date]],Database!A:D,3,)</f>
        <v/>
      </c>
      <c r="C283" s="26">
        <f>B283-B282</f>
        <v/>
      </c>
      <c r="D283" s="26">
        <f>AVERAGE(C281:C283)</f>
        <v/>
      </c>
      <c r="E283" s="59">
        <f>VLOOKUP(Table1[[#This Row],[Date]],Database!A:D,4,)</f>
        <v/>
      </c>
      <c r="F283" s="59">
        <f>VLOOKUP(Table1[[#This Row],[Date]],Database!A:D,2,)</f>
        <v/>
      </c>
      <c r="G283" s="56" t="n"/>
    </row>
    <row r="284">
      <c r="A284" s="55" t="n">
        <v>22525</v>
      </c>
      <c r="B284" s="25">
        <f>VLOOKUP(Table1[[#This Row],[Date]],Database!A:D,3,)</f>
        <v/>
      </c>
      <c r="C284" s="26">
        <f>B284-B283</f>
        <v/>
      </c>
      <c r="D284" s="26">
        <f>AVERAGE(C282:C284)</f>
        <v/>
      </c>
      <c r="E284" s="59">
        <f>VLOOKUP(Table1[[#This Row],[Date]],Database!A:D,4,)</f>
        <v/>
      </c>
      <c r="F284" s="59">
        <f>VLOOKUP(Table1[[#This Row],[Date]],Database!A:D,2,)</f>
        <v/>
      </c>
      <c r="G284" s="56" t="n"/>
    </row>
    <row r="285">
      <c r="A285" s="55" t="n">
        <v>22555</v>
      </c>
      <c r="B285" s="25">
        <f>VLOOKUP(Table1[[#This Row],[Date]],Database!A:D,3,)</f>
        <v/>
      </c>
      <c r="C285" s="26">
        <f>B285-B284</f>
        <v/>
      </c>
      <c r="D285" s="26">
        <f>AVERAGE(C283:C285)</f>
        <v/>
      </c>
      <c r="E285" s="59">
        <f>VLOOKUP(Table1[[#This Row],[Date]],Database!A:D,4,)</f>
        <v/>
      </c>
      <c r="F285" s="59">
        <f>VLOOKUP(Table1[[#This Row],[Date]],Database!A:D,2,)</f>
        <v/>
      </c>
      <c r="G285" s="56" t="n"/>
    </row>
    <row r="286">
      <c r="A286" s="55" t="n">
        <v>22586</v>
      </c>
      <c r="B286" s="25">
        <f>VLOOKUP(Table1[[#This Row],[Date]],Database!A:D,3,)</f>
        <v/>
      </c>
      <c r="C286" s="26">
        <f>B286-B285</f>
        <v/>
      </c>
      <c r="D286" s="26">
        <f>AVERAGE(C284:C286)</f>
        <v/>
      </c>
      <c r="E286" s="59">
        <f>VLOOKUP(Table1[[#This Row],[Date]],Database!A:D,4,)</f>
        <v/>
      </c>
      <c r="F286" s="59">
        <f>VLOOKUP(Table1[[#This Row],[Date]],Database!A:D,2,)</f>
        <v/>
      </c>
      <c r="G286" s="56" t="n"/>
    </row>
    <row r="287">
      <c r="A287" s="55" t="n">
        <v>22616</v>
      </c>
      <c r="B287" s="25">
        <f>VLOOKUP(Table1[[#This Row],[Date]],Database!A:D,3,)</f>
        <v/>
      </c>
      <c r="C287" s="26">
        <f>B287-B286</f>
        <v/>
      </c>
      <c r="D287" s="26">
        <f>AVERAGE(C285:C287)</f>
        <v/>
      </c>
      <c r="E287" s="59">
        <f>VLOOKUP(Table1[[#This Row],[Date]],Database!A:D,4,)</f>
        <v/>
      </c>
      <c r="F287" s="59">
        <f>VLOOKUP(Table1[[#This Row],[Date]],Database!A:D,2,)</f>
        <v/>
      </c>
      <c r="G287" s="56" t="n"/>
    </row>
    <row r="288">
      <c r="A288" s="55" t="n">
        <v>22647</v>
      </c>
      <c r="B288" s="25">
        <f>VLOOKUP(Table1[[#This Row],[Date]],Database!A:D,3,)</f>
        <v/>
      </c>
      <c r="C288" s="26">
        <f>B288-B287</f>
        <v/>
      </c>
      <c r="D288" s="26">
        <f>AVERAGE(C286:C288)</f>
        <v/>
      </c>
      <c r="E288" s="59">
        <f>VLOOKUP(Table1[[#This Row],[Date]],Database!A:D,4,)</f>
        <v/>
      </c>
      <c r="F288" s="59">
        <f>VLOOKUP(Table1[[#This Row],[Date]],Database!A:D,2,)</f>
        <v/>
      </c>
      <c r="G288" s="56" t="n"/>
    </row>
    <row r="289">
      <c r="A289" s="55" t="n">
        <v>22678</v>
      </c>
      <c r="B289" s="25">
        <f>VLOOKUP(Table1[[#This Row],[Date]],Database!A:D,3,)</f>
        <v/>
      </c>
      <c r="C289" s="26">
        <f>B289-B288</f>
        <v/>
      </c>
      <c r="D289" s="26">
        <f>AVERAGE(C287:C289)</f>
        <v/>
      </c>
      <c r="E289" s="59">
        <f>VLOOKUP(Table1[[#This Row],[Date]],Database!A:D,4,)</f>
        <v/>
      </c>
      <c r="F289" s="59">
        <f>VLOOKUP(Table1[[#This Row],[Date]],Database!A:D,2,)</f>
        <v/>
      </c>
      <c r="G289" s="56" t="n"/>
    </row>
    <row r="290">
      <c r="A290" s="55" t="n">
        <v>22706</v>
      </c>
      <c r="B290" s="25">
        <f>VLOOKUP(Table1[[#This Row],[Date]],Database!A:D,3,)</f>
        <v/>
      </c>
      <c r="C290" s="26">
        <f>B290-B289</f>
        <v/>
      </c>
      <c r="D290" s="26">
        <f>AVERAGE(C288:C290)</f>
        <v/>
      </c>
      <c r="E290" s="59">
        <f>VLOOKUP(Table1[[#This Row],[Date]],Database!A:D,4,)</f>
        <v/>
      </c>
      <c r="F290" s="59">
        <f>VLOOKUP(Table1[[#This Row],[Date]],Database!A:D,2,)</f>
        <v/>
      </c>
      <c r="G290" s="56" t="n"/>
    </row>
    <row r="291">
      <c r="A291" s="55" t="n">
        <v>22737</v>
      </c>
      <c r="B291" s="25">
        <f>VLOOKUP(Table1[[#This Row],[Date]],Database!A:D,3,)</f>
        <v/>
      </c>
      <c r="C291" s="26">
        <f>B291-B290</f>
        <v/>
      </c>
      <c r="D291" s="26">
        <f>AVERAGE(C289:C291)</f>
        <v/>
      </c>
      <c r="E291" s="59">
        <f>VLOOKUP(Table1[[#This Row],[Date]],Database!A:D,4,)</f>
        <v/>
      </c>
      <c r="F291" s="59">
        <f>VLOOKUP(Table1[[#This Row],[Date]],Database!A:D,2,)</f>
        <v/>
      </c>
      <c r="G291" s="56" t="n"/>
    </row>
    <row r="292">
      <c r="A292" s="55" t="n">
        <v>22767</v>
      </c>
      <c r="B292" s="25">
        <f>VLOOKUP(Table1[[#This Row],[Date]],Database!A:D,3,)</f>
        <v/>
      </c>
      <c r="C292" s="26">
        <f>B292-B291</f>
        <v/>
      </c>
      <c r="D292" s="26">
        <f>AVERAGE(C290:C292)</f>
        <v/>
      </c>
      <c r="E292" s="59">
        <f>VLOOKUP(Table1[[#This Row],[Date]],Database!A:D,4,)</f>
        <v/>
      </c>
      <c r="F292" s="59">
        <f>VLOOKUP(Table1[[#This Row],[Date]],Database!A:D,2,)</f>
        <v/>
      </c>
      <c r="G292" s="56" t="n"/>
    </row>
    <row r="293">
      <c r="A293" s="55" t="n">
        <v>22798</v>
      </c>
      <c r="B293" s="25">
        <f>VLOOKUP(Table1[[#This Row],[Date]],Database!A:D,3,)</f>
        <v/>
      </c>
      <c r="C293" s="26">
        <f>B293-B292</f>
        <v/>
      </c>
      <c r="D293" s="26">
        <f>AVERAGE(C291:C293)</f>
        <v/>
      </c>
      <c r="E293" s="59">
        <f>VLOOKUP(Table1[[#This Row],[Date]],Database!A:D,4,)</f>
        <v/>
      </c>
      <c r="F293" s="59">
        <f>VLOOKUP(Table1[[#This Row],[Date]],Database!A:D,2,)</f>
        <v/>
      </c>
      <c r="G293" s="56" t="n"/>
    </row>
    <row r="294">
      <c r="A294" s="55" t="n">
        <v>22828</v>
      </c>
      <c r="B294" s="25">
        <f>VLOOKUP(Table1[[#This Row],[Date]],Database!A:D,3,)</f>
        <v/>
      </c>
      <c r="C294" s="26">
        <f>B294-B293</f>
        <v/>
      </c>
      <c r="D294" s="26">
        <f>AVERAGE(C292:C294)</f>
        <v/>
      </c>
      <c r="E294" s="59">
        <f>VLOOKUP(Table1[[#This Row],[Date]],Database!A:D,4,)</f>
        <v/>
      </c>
      <c r="F294" s="59">
        <f>VLOOKUP(Table1[[#This Row],[Date]],Database!A:D,2,)</f>
        <v/>
      </c>
      <c r="G294" s="56" t="n"/>
    </row>
    <row r="295">
      <c r="A295" s="55" t="n">
        <v>22859</v>
      </c>
      <c r="B295" s="25">
        <f>VLOOKUP(Table1[[#This Row],[Date]],Database!A:D,3,)</f>
        <v/>
      </c>
      <c r="C295" s="26">
        <f>B295-B294</f>
        <v/>
      </c>
      <c r="D295" s="26">
        <f>AVERAGE(C293:C295)</f>
        <v/>
      </c>
      <c r="E295" s="59">
        <f>VLOOKUP(Table1[[#This Row],[Date]],Database!A:D,4,)</f>
        <v/>
      </c>
      <c r="F295" s="59">
        <f>VLOOKUP(Table1[[#This Row],[Date]],Database!A:D,2,)</f>
        <v/>
      </c>
      <c r="G295" s="56" t="n"/>
    </row>
    <row r="296">
      <c r="A296" s="55" t="n">
        <v>22890</v>
      </c>
      <c r="B296" s="25">
        <f>VLOOKUP(Table1[[#This Row],[Date]],Database!A:D,3,)</f>
        <v/>
      </c>
      <c r="C296" s="26">
        <f>B296-B295</f>
        <v/>
      </c>
      <c r="D296" s="26">
        <f>AVERAGE(C294:C296)</f>
        <v/>
      </c>
      <c r="E296" s="59">
        <f>VLOOKUP(Table1[[#This Row],[Date]],Database!A:D,4,)</f>
        <v/>
      </c>
      <c r="F296" s="59">
        <f>VLOOKUP(Table1[[#This Row],[Date]],Database!A:D,2,)</f>
        <v/>
      </c>
      <c r="G296" s="56" t="n"/>
    </row>
    <row r="297">
      <c r="A297" s="55" t="n">
        <v>22920</v>
      </c>
      <c r="B297" s="25">
        <f>VLOOKUP(Table1[[#This Row],[Date]],Database!A:D,3,)</f>
        <v/>
      </c>
      <c r="C297" s="26">
        <f>B297-B296</f>
        <v/>
      </c>
      <c r="D297" s="26">
        <f>AVERAGE(C295:C297)</f>
        <v/>
      </c>
      <c r="E297" s="59">
        <f>VLOOKUP(Table1[[#This Row],[Date]],Database!A:D,4,)</f>
        <v/>
      </c>
      <c r="F297" s="59">
        <f>VLOOKUP(Table1[[#This Row],[Date]],Database!A:D,2,)</f>
        <v/>
      </c>
      <c r="G297" s="56" t="n"/>
    </row>
    <row r="298">
      <c r="A298" s="55" t="n">
        <v>22951</v>
      </c>
      <c r="B298" s="25">
        <f>VLOOKUP(Table1[[#This Row],[Date]],Database!A:D,3,)</f>
        <v/>
      </c>
      <c r="C298" s="26">
        <f>B298-B297</f>
        <v/>
      </c>
      <c r="D298" s="26">
        <f>AVERAGE(C296:C298)</f>
        <v/>
      </c>
      <c r="E298" s="59">
        <f>VLOOKUP(Table1[[#This Row],[Date]],Database!A:D,4,)</f>
        <v/>
      </c>
      <c r="F298" s="59">
        <f>VLOOKUP(Table1[[#This Row],[Date]],Database!A:D,2,)</f>
        <v/>
      </c>
      <c r="G298" s="56" t="n"/>
    </row>
    <row r="299">
      <c r="A299" s="55" t="n">
        <v>22981</v>
      </c>
      <c r="B299" s="25">
        <f>VLOOKUP(Table1[[#This Row],[Date]],Database!A:D,3,)</f>
        <v/>
      </c>
      <c r="C299" s="26">
        <f>B299-B298</f>
        <v/>
      </c>
      <c r="D299" s="26">
        <f>AVERAGE(C297:C299)</f>
        <v/>
      </c>
      <c r="E299" s="59">
        <f>VLOOKUP(Table1[[#This Row],[Date]],Database!A:D,4,)</f>
        <v/>
      </c>
      <c r="F299" s="59">
        <f>VLOOKUP(Table1[[#This Row],[Date]],Database!A:D,2,)</f>
        <v/>
      </c>
      <c r="G299" s="56" t="n"/>
    </row>
    <row r="300">
      <c r="A300" s="55" t="n">
        <v>23012</v>
      </c>
      <c r="B300" s="25">
        <f>VLOOKUP(Table1[[#This Row],[Date]],Database!A:D,3,)</f>
        <v/>
      </c>
      <c r="C300" s="26">
        <f>B300-B299</f>
        <v/>
      </c>
      <c r="D300" s="26">
        <f>AVERAGE(C298:C300)</f>
        <v/>
      </c>
      <c r="E300" s="59">
        <f>VLOOKUP(Table1[[#This Row],[Date]],Database!A:D,4,)</f>
        <v/>
      </c>
      <c r="F300" s="59">
        <f>VLOOKUP(Table1[[#This Row],[Date]],Database!A:D,2,)</f>
        <v/>
      </c>
      <c r="G300" s="56" t="n"/>
    </row>
    <row r="301">
      <c r="A301" s="55" t="n">
        <v>23043</v>
      </c>
      <c r="B301" s="25">
        <f>VLOOKUP(Table1[[#This Row],[Date]],Database!A:D,3,)</f>
        <v/>
      </c>
      <c r="C301" s="26">
        <f>B301-B300</f>
        <v/>
      </c>
      <c r="D301" s="26">
        <f>AVERAGE(C299:C301)</f>
        <v/>
      </c>
      <c r="E301" s="59">
        <f>VLOOKUP(Table1[[#This Row],[Date]],Database!A:D,4,)</f>
        <v/>
      </c>
      <c r="F301" s="59">
        <f>VLOOKUP(Table1[[#This Row],[Date]],Database!A:D,2,)</f>
        <v/>
      </c>
      <c r="G301" s="56" t="n"/>
    </row>
    <row r="302">
      <c r="A302" s="55" t="n">
        <v>23071</v>
      </c>
      <c r="B302" s="25">
        <f>VLOOKUP(Table1[[#This Row],[Date]],Database!A:D,3,)</f>
        <v/>
      </c>
      <c r="C302" s="26">
        <f>B302-B301</f>
        <v/>
      </c>
      <c r="D302" s="26">
        <f>AVERAGE(C300:C302)</f>
        <v/>
      </c>
      <c r="E302" s="59">
        <f>VLOOKUP(Table1[[#This Row],[Date]],Database!A:D,4,)</f>
        <v/>
      </c>
      <c r="F302" s="59">
        <f>VLOOKUP(Table1[[#This Row],[Date]],Database!A:D,2,)</f>
        <v/>
      </c>
      <c r="G302" s="56" t="n"/>
    </row>
    <row r="303">
      <c r="A303" s="55" t="n">
        <v>23102</v>
      </c>
      <c r="B303" s="25">
        <f>VLOOKUP(Table1[[#This Row],[Date]],Database!A:D,3,)</f>
        <v/>
      </c>
      <c r="C303" s="26">
        <f>B303-B302</f>
        <v/>
      </c>
      <c r="D303" s="26">
        <f>AVERAGE(C301:C303)</f>
        <v/>
      </c>
      <c r="E303" s="59">
        <f>VLOOKUP(Table1[[#This Row],[Date]],Database!A:D,4,)</f>
        <v/>
      </c>
      <c r="F303" s="59">
        <f>VLOOKUP(Table1[[#This Row],[Date]],Database!A:D,2,)</f>
        <v/>
      </c>
      <c r="G303" s="56" t="n"/>
    </row>
    <row r="304">
      <c r="A304" s="55" t="n">
        <v>23132</v>
      </c>
      <c r="B304" s="25">
        <f>VLOOKUP(Table1[[#This Row],[Date]],Database!A:D,3,)</f>
        <v/>
      </c>
      <c r="C304" s="26">
        <f>B304-B303</f>
        <v/>
      </c>
      <c r="D304" s="26">
        <f>AVERAGE(C302:C304)</f>
        <v/>
      </c>
      <c r="E304" s="59">
        <f>VLOOKUP(Table1[[#This Row],[Date]],Database!A:D,4,)</f>
        <v/>
      </c>
      <c r="F304" s="59">
        <f>VLOOKUP(Table1[[#This Row],[Date]],Database!A:D,2,)</f>
        <v/>
      </c>
      <c r="G304" s="56" t="n"/>
    </row>
    <row r="305">
      <c r="A305" s="55" t="n">
        <v>23163</v>
      </c>
      <c r="B305" s="25">
        <f>VLOOKUP(Table1[[#This Row],[Date]],Database!A:D,3,)</f>
        <v/>
      </c>
      <c r="C305" s="26">
        <f>B305-B304</f>
        <v/>
      </c>
      <c r="D305" s="26">
        <f>AVERAGE(C303:C305)</f>
        <v/>
      </c>
      <c r="E305" s="59">
        <f>VLOOKUP(Table1[[#This Row],[Date]],Database!A:D,4,)</f>
        <v/>
      </c>
      <c r="F305" s="59">
        <f>VLOOKUP(Table1[[#This Row],[Date]],Database!A:D,2,)</f>
        <v/>
      </c>
      <c r="G305" s="56" t="n"/>
    </row>
    <row r="306">
      <c r="A306" s="55" t="n">
        <v>23193</v>
      </c>
      <c r="B306" s="25">
        <f>VLOOKUP(Table1[[#This Row],[Date]],Database!A:D,3,)</f>
        <v/>
      </c>
      <c r="C306" s="26">
        <f>B306-B305</f>
        <v/>
      </c>
      <c r="D306" s="26">
        <f>AVERAGE(C304:C306)</f>
        <v/>
      </c>
      <c r="E306" s="59">
        <f>VLOOKUP(Table1[[#This Row],[Date]],Database!A:D,4,)</f>
        <v/>
      </c>
      <c r="F306" s="59">
        <f>VLOOKUP(Table1[[#This Row],[Date]],Database!A:D,2,)</f>
        <v/>
      </c>
      <c r="G306" s="56" t="n"/>
    </row>
    <row r="307">
      <c r="A307" s="55" t="n">
        <v>23224</v>
      </c>
      <c r="B307" s="25">
        <f>VLOOKUP(Table1[[#This Row],[Date]],Database!A:D,3,)</f>
        <v/>
      </c>
      <c r="C307" s="26">
        <f>B307-B306</f>
        <v/>
      </c>
      <c r="D307" s="26">
        <f>AVERAGE(C305:C307)</f>
        <v/>
      </c>
      <c r="E307" s="59">
        <f>VLOOKUP(Table1[[#This Row],[Date]],Database!A:D,4,)</f>
        <v/>
      </c>
      <c r="F307" s="59">
        <f>VLOOKUP(Table1[[#This Row],[Date]],Database!A:D,2,)</f>
        <v/>
      </c>
      <c r="G307" s="56" t="n"/>
    </row>
    <row r="308">
      <c r="A308" s="55" t="n">
        <v>23255</v>
      </c>
      <c r="B308" s="25">
        <f>VLOOKUP(Table1[[#This Row],[Date]],Database!A:D,3,)</f>
        <v/>
      </c>
      <c r="C308" s="26">
        <f>B308-B307</f>
        <v/>
      </c>
      <c r="D308" s="26">
        <f>AVERAGE(C306:C308)</f>
        <v/>
      </c>
      <c r="E308" s="59">
        <f>VLOOKUP(Table1[[#This Row],[Date]],Database!A:D,4,)</f>
        <v/>
      </c>
      <c r="F308" s="59">
        <f>VLOOKUP(Table1[[#This Row],[Date]],Database!A:D,2,)</f>
        <v/>
      </c>
      <c r="G308" s="56" t="n"/>
    </row>
    <row r="309">
      <c r="A309" s="55" t="n">
        <v>23285</v>
      </c>
      <c r="B309" s="25">
        <f>VLOOKUP(Table1[[#This Row],[Date]],Database!A:D,3,)</f>
        <v/>
      </c>
      <c r="C309" s="26">
        <f>B309-B308</f>
        <v/>
      </c>
      <c r="D309" s="26">
        <f>AVERAGE(C307:C309)</f>
        <v/>
      </c>
      <c r="E309" s="59">
        <f>VLOOKUP(Table1[[#This Row],[Date]],Database!A:D,4,)</f>
        <v/>
      </c>
      <c r="F309" s="59">
        <f>VLOOKUP(Table1[[#This Row],[Date]],Database!A:D,2,)</f>
        <v/>
      </c>
      <c r="G309" s="56" t="n"/>
    </row>
    <row r="310">
      <c r="A310" s="55" t="n">
        <v>23316</v>
      </c>
      <c r="B310" s="25">
        <f>VLOOKUP(Table1[[#This Row],[Date]],Database!A:D,3,)</f>
        <v/>
      </c>
      <c r="C310" s="26">
        <f>B310-B309</f>
        <v/>
      </c>
      <c r="D310" s="26">
        <f>AVERAGE(C308:C310)</f>
        <v/>
      </c>
      <c r="E310" s="59">
        <f>VLOOKUP(Table1[[#This Row],[Date]],Database!A:D,4,)</f>
        <v/>
      </c>
      <c r="F310" s="59">
        <f>VLOOKUP(Table1[[#This Row],[Date]],Database!A:D,2,)</f>
        <v/>
      </c>
      <c r="G310" s="56" t="n"/>
    </row>
    <row r="311">
      <c r="A311" s="55" t="n">
        <v>23346</v>
      </c>
      <c r="B311" s="25">
        <f>VLOOKUP(Table1[[#This Row],[Date]],Database!A:D,3,)</f>
        <v/>
      </c>
      <c r="C311" s="26">
        <f>B311-B310</f>
        <v/>
      </c>
      <c r="D311" s="26">
        <f>AVERAGE(C309:C311)</f>
        <v/>
      </c>
      <c r="E311" s="59">
        <f>VLOOKUP(Table1[[#This Row],[Date]],Database!A:D,4,)</f>
        <v/>
      </c>
      <c r="F311" s="59">
        <f>VLOOKUP(Table1[[#This Row],[Date]],Database!A:D,2,)</f>
        <v/>
      </c>
      <c r="G311" s="56" t="n"/>
    </row>
    <row r="312">
      <c r="A312" s="55" t="n">
        <v>23377</v>
      </c>
      <c r="B312" s="25">
        <f>VLOOKUP(Table1[[#This Row],[Date]],Database!A:D,3,)</f>
        <v/>
      </c>
      <c r="C312" s="26">
        <f>B312-B311</f>
        <v/>
      </c>
      <c r="D312" s="26">
        <f>AVERAGE(C310:C312)</f>
        <v/>
      </c>
      <c r="E312" s="59">
        <f>VLOOKUP(Table1[[#This Row],[Date]],Database!A:D,4,)</f>
        <v/>
      </c>
      <c r="F312" s="59">
        <f>VLOOKUP(Table1[[#This Row],[Date]],Database!A:D,2,)</f>
        <v/>
      </c>
      <c r="G312" s="56" t="n"/>
    </row>
    <row r="313">
      <c r="A313" s="55" t="n">
        <v>23408</v>
      </c>
      <c r="B313" s="25">
        <f>VLOOKUP(Table1[[#This Row],[Date]],Database!A:D,3,)</f>
        <v/>
      </c>
      <c r="C313" s="26">
        <f>B313-B312</f>
        <v/>
      </c>
      <c r="D313" s="26">
        <f>AVERAGE(C311:C313)</f>
        <v/>
      </c>
      <c r="E313" s="59">
        <f>VLOOKUP(Table1[[#This Row],[Date]],Database!A:D,4,)</f>
        <v/>
      </c>
      <c r="F313" s="59">
        <f>VLOOKUP(Table1[[#This Row],[Date]],Database!A:D,2,)</f>
        <v/>
      </c>
      <c r="G313" s="56" t="n"/>
    </row>
    <row r="314">
      <c r="A314" s="55" t="n">
        <v>23437</v>
      </c>
      <c r="B314" s="25">
        <f>VLOOKUP(Table1[[#This Row],[Date]],Database!A:D,3,)</f>
        <v/>
      </c>
      <c r="C314" s="26">
        <f>B314-B313</f>
        <v/>
      </c>
      <c r="D314" s="26">
        <f>AVERAGE(C312:C314)</f>
        <v/>
      </c>
      <c r="E314" s="59">
        <f>VLOOKUP(Table1[[#This Row],[Date]],Database!A:D,4,)</f>
        <v/>
      </c>
      <c r="F314" s="59">
        <f>VLOOKUP(Table1[[#This Row],[Date]],Database!A:D,2,)</f>
        <v/>
      </c>
      <c r="G314" s="56" t="n"/>
    </row>
    <row r="315">
      <c r="A315" s="55" t="n">
        <v>23468</v>
      </c>
      <c r="B315" s="25">
        <f>VLOOKUP(Table1[[#This Row],[Date]],Database!A:D,3,)</f>
        <v/>
      </c>
      <c r="C315" s="26">
        <f>B315-B314</f>
        <v/>
      </c>
      <c r="D315" s="26">
        <f>AVERAGE(C313:C315)</f>
        <v/>
      </c>
      <c r="E315" s="59">
        <f>VLOOKUP(Table1[[#This Row],[Date]],Database!A:D,4,)</f>
        <v/>
      </c>
      <c r="F315" s="59">
        <f>VLOOKUP(Table1[[#This Row],[Date]],Database!A:D,2,)</f>
        <v/>
      </c>
      <c r="G315" s="56" t="n"/>
    </row>
    <row r="316">
      <c r="A316" s="55" t="n">
        <v>23498</v>
      </c>
      <c r="B316" s="25">
        <f>VLOOKUP(Table1[[#This Row],[Date]],Database!A:D,3,)</f>
        <v/>
      </c>
      <c r="C316" s="26">
        <f>B316-B315</f>
        <v/>
      </c>
      <c r="D316" s="26">
        <f>AVERAGE(C314:C316)</f>
        <v/>
      </c>
      <c r="E316" s="59">
        <f>VLOOKUP(Table1[[#This Row],[Date]],Database!A:D,4,)</f>
        <v/>
      </c>
      <c r="F316" s="59">
        <f>VLOOKUP(Table1[[#This Row],[Date]],Database!A:D,2,)</f>
        <v/>
      </c>
      <c r="G316" s="56" t="n"/>
    </row>
    <row r="317">
      <c r="A317" s="55" t="n">
        <v>23529</v>
      </c>
      <c r="B317" s="25">
        <f>VLOOKUP(Table1[[#This Row],[Date]],Database!A:D,3,)</f>
        <v/>
      </c>
      <c r="C317" s="26">
        <f>B317-B316</f>
        <v/>
      </c>
      <c r="D317" s="26">
        <f>AVERAGE(C315:C317)</f>
        <v/>
      </c>
      <c r="E317" s="59">
        <f>VLOOKUP(Table1[[#This Row],[Date]],Database!A:D,4,)</f>
        <v/>
      </c>
      <c r="F317" s="59">
        <f>VLOOKUP(Table1[[#This Row],[Date]],Database!A:D,2,)</f>
        <v/>
      </c>
      <c r="G317" s="56" t="n"/>
    </row>
    <row r="318">
      <c r="A318" s="55" t="n">
        <v>23559</v>
      </c>
      <c r="B318" s="25">
        <f>VLOOKUP(Table1[[#This Row],[Date]],Database!A:D,3,)</f>
        <v/>
      </c>
      <c r="C318" s="26">
        <f>B318-B317</f>
        <v/>
      </c>
      <c r="D318" s="26">
        <f>AVERAGE(C316:C318)</f>
        <v/>
      </c>
      <c r="E318" s="59">
        <f>VLOOKUP(Table1[[#This Row],[Date]],Database!A:D,4,)</f>
        <v/>
      </c>
      <c r="F318" s="59">
        <f>VLOOKUP(Table1[[#This Row],[Date]],Database!A:D,2,)</f>
        <v/>
      </c>
      <c r="G318" s="56" t="n"/>
    </row>
    <row r="319">
      <c r="A319" s="55" t="n">
        <v>23590</v>
      </c>
      <c r="B319" s="25">
        <f>VLOOKUP(Table1[[#This Row],[Date]],Database!A:D,3,)</f>
        <v/>
      </c>
      <c r="C319" s="26">
        <f>B319-B318</f>
        <v/>
      </c>
      <c r="D319" s="26">
        <f>AVERAGE(C317:C319)</f>
        <v/>
      </c>
      <c r="E319" s="59">
        <f>VLOOKUP(Table1[[#This Row],[Date]],Database!A:D,4,)</f>
        <v/>
      </c>
      <c r="F319" s="59">
        <f>VLOOKUP(Table1[[#This Row],[Date]],Database!A:D,2,)</f>
        <v/>
      </c>
      <c r="G319" s="56" t="n"/>
    </row>
    <row r="320">
      <c r="A320" s="55" t="n">
        <v>23621</v>
      </c>
      <c r="B320" s="25">
        <f>VLOOKUP(Table1[[#This Row],[Date]],Database!A:D,3,)</f>
        <v/>
      </c>
      <c r="C320" s="26">
        <f>B320-B319</f>
        <v/>
      </c>
      <c r="D320" s="26">
        <f>AVERAGE(C318:C320)</f>
        <v/>
      </c>
      <c r="E320" s="59">
        <f>VLOOKUP(Table1[[#This Row],[Date]],Database!A:D,4,)</f>
        <v/>
      </c>
      <c r="F320" s="59">
        <f>VLOOKUP(Table1[[#This Row],[Date]],Database!A:D,2,)</f>
        <v/>
      </c>
      <c r="G320" s="56" t="n"/>
    </row>
    <row r="321">
      <c r="A321" s="55" t="n">
        <v>23651</v>
      </c>
      <c r="B321" s="25">
        <f>VLOOKUP(Table1[[#This Row],[Date]],Database!A:D,3,)</f>
        <v/>
      </c>
      <c r="C321" s="26">
        <f>B321-B320</f>
        <v/>
      </c>
      <c r="D321" s="26">
        <f>AVERAGE(C319:C321)</f>
        <v/>
      </c>
      <c r="E321" s="59">
        <f>VLOOKUP(Table1[[#This Row],[Date]],Database!A:D,4,)</f>
        <v/>
      </c>
      <c r="F321" s="59">
        <f>VLOOKUP(Table1[[#This Row],[Date]],Database!A:D,2,)</f>
        <v/>
      </c>
      <c r="G321" s="56" t="n"/>
    </row>
    <row r="322">
      <c r="A322" s="55" t="n">
        <v>23682</v>
      </c>
      <c r="B322" s="25">
        <f>VLOOKUP(Table1[[#This Row],[Date]],Database!A:D,3,)</f>
        <v/>
      </c>
      <c r="C322" s="26">
        <f>B322-B321</f>
        <v/>
      </c>
      <c r="D322" s="26">
        <f>AVERAGE(C320:C322)</f>
        <v/>
      </c>
      <c r="E322" s="59">
        <f>VLOOKUP(Table1[[#This Row],[Date]],Database!A:D,4,)</f>
        <v/>
      </c>
      <c r="F322" s="59">
        <f>VLOOKUP(Table1[[#This Row],[Date]],Database!A:D,2,)</f>
        <v/>
      </c>
      <c r="G322" s="56" t="n"/>
    </row>
    <row r="323">
      <c r="A323" s="55" t="n">
        <v>23712</v>
      </c>
      <c r="B323" s="25">
        <f>VLOOKUP(Table1[[#This Row],[Date]],Database!A:D,3,)</f>
        <v/>
      </c>
      <c r="C323" s="26">
        <f>B323-B322</f>
        <v/>
      </c>
      <c r="D323" s="26">
        <f>AVERAGE(C321:C323)</f>
        <v/>
      </c>
      <c r="E323" s="59">
        <f>VLOOKUP(Table1[[#This Row],[Date]],Database!A:D,4,)</f>
        <v/>
      </c>
      <c r="F323" s="59">
        <f>VLOOKUP(Table1[[#This Row],[Date]],Database!A:D,2,)</f>
        <v/>
      </c>
      <c r="G323" s="56" t="n"/>
    </row>
    <row r="324">
      <c r="A324" s="55" t="n">
        <v>23743</v>
      </c>
      <c r="B324" s="25">
        <f>VLOOKUP(Table1[[#This Row],[Date]],Database!A:D,3,)</f>
        <v/>
      </c>
      <c r="C324" s="26">
        <f>B324-B323</f>
        <v/>
      </c>
      <c r="D324" s="26">
        <f>AVERAGE(C322:C324)</f>
        <v/>
      </c>
      <c r="E324" s="59">
        <f>VLOOKUP(Table1[[#This Row],[Date]],Database!A:D,4,)</f>
        <v/>
      </c>
      <c r="F324" s="59">
        <f>VLOOKUP(Table1[[#This Row],[Date]],Database!A:D,2,)</f>
        <v/>
      </c>
      <c r="G324" s="56" t="n"/>
    </row>
    <row r="325">
      <c r="A325" s="55" t="n">
        <v>23774</v>
      </c>
      <c r="B325" s="25">
        <f>VLOOKUP(Table1[[#This Row],[Date]],Database!A:D,3,)</f>
        <v/>
      </c>
      <c r="C325" s="26">
        <f>B325-B324</f>
        <v/>
      </c>
      <c r="D325" s="26">
        <f>AVERAGE(C323:C325)</f>
        <v/>
      </c>
      <c r="E325" s="59">
        <f>VLOOKUP(Table1[[#This Row],[Date]],Database!A:D,4,)</f>
        <v/>
      </c>
      <c r="F325" s="59">
        <f>VLOOKUP(Table1[[#This Row],[Date]],Database!A:D,2,)</f>
        <v/>
      </c>
      <c r="G325" s="56" t="n"/>
    </row>
    <row r="326">
      <c r="A326" s="55" t="n">
        <v>23802</v>
      </c>
      <c r="B326" s="25">
        <f>VLOOKUP(Table1[[#This Row],[Date]],Database!A:D,3,)</f>
        <v/>
      </c>
      <c r="C326" s="26">
        <f>B326-B325</f>
        <v/>
      </c>
      <c r="D326" s="26">
        <f>AVERAGE(C324:C326)</f>
        <v/>
      </c>
      <c r="E326" s="59">
        <f>VLOOKUP(Table1[[#This Row],[Date]],Database!A:D,4,)</f>
        <v/>
      </c>
      <c r="F326" s="59">
        <f>VLOOKUP(Table1[[#This Row],[Date]],Database!A:D,2,)</f>
        <v/>
      </c>
      <c r="G326" s="56" t="n"/>
    </row>
    <row r="327">
      <c r="A327" s="55" t="n">
        <v>23833</v>
      </c>
      <c r="B327" s="25">
        <f>VLOOKUP(Table1[[#This Row],[Date]],Database!A:D,3,)</f>
        <v/>
      </c>
      <c r="C327" s="26">
        <f>B327-B326</f>
        <v/>
      </c>
      <c r="D327" s="26">
        <f>AVERAGE(C325:C327)</f>
        <v/>
      </c>
      <c r="E327" s="59">
        <f>VLOOKUP(Table1[[#This Row],[Date]],Database!A:D,4,)</f>
        <v/>
      </c>
      <c r="F327" s="59">
        <f>VLOOKUP(Table1[[#This Row],[Date]],Database!A:D,2,)</f>
        <v/>
      </c>
      <c r="G327" s="56" t="n"/>
    </row>
    <row r="328">
      <c r="A328" s="55" t="n">
        <v>23863</v>
      </c>
      <c r="B328" s="25">
        <f>VLOOKUP(Table1[[#This Row],[Date]],Database!A:D,3,)</f>
        <v/>
      </c>
      <c r="C328" s="26">
        <f>B328-B327</f>
        <v/>
      </c>
      <c r="D328" s="26">
        <f>AVERAGE(C326:C328)</f>
        <v/>
      </c>
      <c r="E328" s="59">
        <f>VLOOKUP(Table1[[#This Row],[Date]],Database!A:D,4,)</f>
        <v/>
      </c>
      <c r="F328" s="59">
        <f>VLOOKUP(Table1[[#This Row],[Date]],Database!A:D,2,)</f>
        <v/>
      </c>
      <c r="G328" s="56" t="n"/>
    </row>
    <row r="329">
      <c r="A329" s="55" t="n">
        <v>23894</v>
      </c>
      <c r="B329" s="25">
        <f>VLOOKUP(Table1[[#This Row],[Date]],Database!A:D,3,)</f>
        <v/>
      </c>
      <c r="C329" s="26">
        <f>B329-B328</f>
        <v/>
      </c>
      <c r="D329" s="26">
        <f>AVERAGE(C327:C329)</f>
        <v/>
      </c>
      <c r="E329" s="59">
        <f>VLOOKUP(Table1[[#This Row],[Date]],Database!A:D,4,)</f>
        <v/>
      </c>
      <c r="F329" s="59">
        <f>VLOOKUP(Table1[[#This Row],[Date]],Database!A:D,2,)</f>
        <v/>
      </c>
      <c r="G329" s="56" t="n"/>
    </row>
    <row r="330">
      <c r="A330" s="55" t="n">
        <v>23924</v>
      </c>
      <c r="B330" s="25">
        <f>VLOOKUP(Table1[[#This Row],[Date]],Database!A:D,3,)</f>
        <v/>
      </c>
      <c r="C330" s="26">
        <f>B330-B329</f>
        <v/>
      </c>
      <c r="D330" s="26">
        <f>AVERAGE(C328:C330)</f>
        <v/>
      </c>
      <c r="E330" s="59">
        <f>VLOOKUP(Table1[[#This Row],[Date]],Database!A:D,4,)</f>
        <v/>
      </c>
      <c r="F330" s="59">
        <f>VLOOKUP(Table1[[#This Row],[Date]],Database!A:D,2,)</f>
        <v/>
      </c>
      <c r="G330" s="56" t="n"/>
    </row>
    <row r="331">
      <c r="A331" s="55" t="n">
        <v>23955</v>
      </c>
      <c r="B331" s="25">
        <f>VLOOKUP(Table1[[#This Row],[Date]],Database!A:D,3,)</f>
        <v/>
      </c>
      <c r="C331" s="26">
        <f>B331-B330</f>
        <v/>
      </c>
      <c r="D331" s="26">
        <f>AVERAGE(C329:C331)</f>
        <v/>
      </c>
      <c r="E331" s="59">
        <f>VLOOKUP(Table1[[#This Row],[Date]],Database!A:D,4,)</f>
        <v/>
      </c>
      <c r="F331" s="59">
        <f>VLOOKUP(Table1[[#This Row],[Date]],Database!A:D,2,)</f>
        <v/>
      </c>
      <c r="G331" s="56" t="n"/>
    </row>
    <row r="332">
      <c r="A332" s="55" t="n">
        <v>23986</v>
      </c>
      <c r="B332" s="25">
        <f>VLOOKUP(Table1[[#This Row],[Date]],Database!A:D,3,)</f>
        <v/>
      </c>
      <c r="C332" s="26">
        <f>B332-B331</f>
        <v/>
      </c>
      <c r="D332" s="26">
        <f>AVERAGE(C330:C332)</f>
        <v/>
      </c>
      <c r="E332" s="59">
        <f>VLOOKUP(Table1[[#This Row],[Date]],Database!A:D,4,)</f>
        <v/>
      </c>
      <c r="F332" s="59">
        <f>VLOOKUP(Table1[[#This Row],[Date]],Database!A:D,2,)</f>
        <v/>
      </c>
      <c r="G332" s="56" t="n"/>
    </row>
    <row r="333">
      <c r="A333" s="55" t="n">
        <v>24016</v>
      </c>
      <c r="B333" s="25">
        <f>VLOOKUP(Table1[[#This Row],[Date]],Database!A:D,3,)</f>
        <v/>
      </c>
      <c r="C333" s="26">
        <f>B333-B332</f>
        <v/>
      </c>
      <c r="D333" s="26">
        <f>AVERAGE(C331:C333)</f>
        <v/>
      </c>
      <c r="E333" s="59">
        <f>VLOOKUP(Table1[[#This Row],[Date]],Database!A:D,4,)</f>
        <v/>
      </c>
      <c r="F333" s="59">
        <f>VLOOKUP(Table1[[#This Row],[Date]],Database!A:D,2,)</f>
        <v/>
      </c>
      <c r="G333" s="56" t="n"/>
    </row>
    <row r="334">
      <c r="A334" s="55" t="n">
        <v>24047</v>
      </c>
      <c r="B334" s="25">
        <f>VLOOKUP(Table1[[#This Row],[Date]],Database!A:D,3,)</f>
        <v/>
      </c>
      <c r="C334" s="26">
        <f>B334-B333</f>
        <v/>
      </c>
      <c r="D334" s="26">
        <f>AVERAGE(C332:C334)</f>
        <v/>
      </c>
      <c r="E334" s="59">
        <f>VLOOKUP(Table1[[#This Row],[Date]],Database!A:D,4,)</f>
        <v/>
      </c>
      <c r="F334" s="59">
        <f>VLOOKUP(Table1[[#This Row],[Date]],Database!A:D,2,)</f>
        <v/>
      </c>
      <c r="G334" s="56" t="n"/>
    </row>
    <row r="335">
      <c r="A335" s="55" t="n">
        <v>24077</v>
      </c>
      <c r="B335" s="25">
        <f>VLOOKUP(Table1[[#This Row],[Date]],Database!A:D,3,)</f>
        <v/>
      </c>
      <c r="C335" s="26">
        <f>B335-B334</f>
        <v/>
      </c>
      <c r="D335" s="26">
        <f>AVERAGE(C333:C335)</f>
        <v/>
      </c>
      <c r="E335" s="59">
        <f>VLOOKUP(Table1[[#This Row],[Date]],Database!A:D,4,)</f>
        <v/>
      </c>
      <c r="F335" s="59">
        <f>VLOOKUP(Table1[[#This Row],[Date]],Database!A:D,2,)</f>
        <v/>
      </c>
      <c r="G335" s="56" t="n"/>
    </row>
    <row r="336">
      <c r="A336" s="55" t="n">
        <v>24108</v>
      </c>
      <c r="B336" s="25">
        <f>VLOOKUP(Table1[[#This Row],[Date]],Database!A:D,3,)</f>
        <v/>
      </c>
      <c r="C336" s="26">
        <f>B336-B335</f>
        <v/>
      </c>
      <c r="D336" s="26">
        <f>AVERAGE(C334:C336)</f>
        <v/>
      </c>
      <c r="E336" s="59">
        <f>VLOOKUP(Table1[[#This Row],[Date]],Database!A:D,4,)</f>
        <v/>
      </c>
      <c r="F336" s="59">
        <f>VLOOKUP(Table1[[#This Row],[Date]],Database!A:D,2,)</f>
        <v/>
      </c>
      <c r="G336" s="56" t="n"/>
    </row>
    <row r="337">
      <c r="A337" s="55" t="n">
        <v>24139</v>
      </c>
      <c r="B337" s="25">
        <f>VLOOKUP(Table1[[#This Row],[Date]],Database!A:D,3,)</f>
        <v/>
      </c>
      <c r="C337" s="26">
        <f>B337-B336</f>
        <v/>
      </c>
      <c r="D337" s="26">
        <f>AVERAGE(C335:C337)</f>
        <v/>
      </c>
      <c r="E337" s="59">
        <f>VLOOKUP(Table1[[#This Row],[Date]],Database!A:D,4,)</f>
        <v/>
      </c>
      <c r="F337" s="59">
        <f>VLOOKUP(Table1[[#This Row],[Date]],Database!A:D,2,)</f>
        <v/>
      </c>
      <c r="G337" s="56" t="n"/>
    </row>
    <row r="338">
      <c r="A338" s="55" t="n">
        <v>24167</v>
      </c>
      <c r="B338" s="25">
        <f>VLOOKUP(Table1[[#This Row],[Date]],Database!A:D,3,)</f>
        <v/>
      </c>
      <c r="C338" s="26">
        <f>B338-B337</f>
        <v/>
      </c>
      <c r="D338" s="26">
        <f>AVERAGE(C336:C338)</f>
        <v/>
      </c>
      <c r="E338" s="59">
        <f>VLOOKUP(Table1[[#This Row],[Date]],Database!A:D,4,)</f>
        <v/>
      </c>
      <c r="F338" s="59">
        <f>VLOOKUP(Table1[[#This Row],[Date]],Database!A:D,2,)</f>
        <v/>
      </c>
      <c r="G338" s="56" t="n"/>
    </row>
    <row r="339">
      <c r="A339" s="55" t="n">
        <v>24198</v>
      </c>
      <c r="B339" s="25">
        <f>VLOOKUP(Table1[[#This Row],[Date]],Database!A:D,3,)</f>
        <v/>
      </c>
      <c r="C339" s="26">
        <f>B339-B338</f>
        <v/>
      </c>
      <c r="D339" s="26">
        <f>AVERAGE(C337:C339)</f>
        <v/>
      </c>
      <c r="E339" s="59">
        <f>VLOOKUP(Table1[[#This Row],[Date]],Database!A:D,4,)</f>
        <v/>
      </c>
      <c r="F339" s="59">
        <f>VLOOKUP(Table1[[#This Row],[Date]],Database!A:D,2,)</f>
        <v/>
      </c>
      <c r="G339" s="56" t="n"/>
    </row>
    <row r="340">
      <c r="A340" s="55" t="n">
        <v>24228</v>
      </c>
      <c r="B340" s="25">
        <f>VLOOKUP(Table1[[#This Row],[Date]],Database!A:D,3,)</f>
        <v/>
      </c>
      <c r="C340" s="26">
        <f>B340-B339</f>
        <v/>
      </c>
      <c r="D340" s="26">
        <f>AVERAGE(C338:C340)</f>
        <v/>
      </c>
      <c r="E340" s="59">
        <f>VLOOKUP(Table1[[#This Row],[Date]],Database!A:D,4,)</f>
        <v/>
      </c>
      <c r="F340" s="59">
        <f>VLOOKUP(Table1[[#This Row],[Date]],Database!A:D,2,)</f>
        <v/>
      </c>
      <c r="G340" s="56" t="n"/>
    </row>
    <row r="341">
      <c r="A341" s="55" t="n">
        <v>24259</v>
      </c>
      <c r="B341" s="25">
        <f>VLOOKUP(Table1[[#This Row],[Date]],Database!A:D,3,)</f>
        <v/>
      </c>
      <c r="C341" s="26">
        <f>B341-B340</f>
        <v/>
      </c>
      <c r="D341" s="26">
        <f>AVERAGE(C339:C341)</f>
        <v/>
      </c>
      <c r="E341" s="59">
        <f>VLOOKUP(Table1[[#This Row],[Date]],Database!A:D,4,)</f>
        <v/>
      </c>
      <c r="F341" s="59">
        <f>VLOOKUP(Table1[[#This Row],[Date]],Database!A:D,2,)</f>
        <v/>
      </c>
      <c r="G341" s="56" t="n"/>
    </row>
    <row r="342">
      <c r="A342" s="55" t="n">
        <v>24289</v>
      </c>
      <c r="B342" s="25">
        <f>VLOOKUP(Table1[[#This Row],[Date]],Database!A:D,3,)</f>
        <v/>
      </c>
      <c r="C342" s="26">
        <f>B342-B341</f>
        <v/>
      </c>
      <c r="D342" s="26">
        <f>AVERAGE(C340:C342)</f>
        <v/>
      </c>
      <c r="E342" s="59">
        <f>VLOOKUP(Table1[[#This Row],[Date]],Database!A:D,4,)</f>
        <v/>
      </c>
      <c r="F342" s="59">
        <f>VLOOKUP(Table1[[#This Row],[Date]],Database!A:D,2,)</f>
        <v/>
      </c>
      <c r="G342" s="56" t="n"/>
    </row>
    <row r="343">
      <c r="A343" s="55" t="n">
        <v>24320</v>
      </c>
      <c r="B343" s="25">
        <f>VLOOKUP(Table1[[#This Row],[Date]],Database!A:D,3,)</f>
        <v/>
      </c>
      <c r="C343" s="26">
        <f>B343-B342</f>
        <v/>
      </c>
      <c r="D343" s="26">
        <f>AVERAGE(C341:C343)</f>
        <v/>
      </c>
      <c r="E343" s="59">
        <f>VLOOKUP(Table1[[#This Row],[Date]],Database!A:D,4,)</f>
        <v/>
      </c>
      <c r="F343" s="59">
        <f>VLOOKUP(Table1[[#This Row],[Date]],Database!A:D,2,)</f>
        <v/>
      </c>
      <c r="G343" s="56" t="n"/>
    </row>
    <row r="344">
      <c r="A344" s="55" t="n">
        <v>24351</v>
      </c>
      <c r="B344" s="25">
        <f>VLOOKUP(Table1[[#This Row],[Date]],Database!A:D,3,)</f>
        <v/>
      </c>
      <c r="C344" s="26">
        <f>B344-B343</f>
        <v/>
      </c>
      <c r="D344" s="26">
        <f>AVERAGE(C342:C344)</f>
        <v/>
      </c>
      <c r="E344" s="59">
        <f>VLOOKUP(Table1[[#This Row],[Date]],Database!A:D,4,)</f>
        <v/>
      </c>
      <c r="F344" s="59">
        <f>VLOOKUP(Table1[[#This Row],[Date]],Database!A:D,2,)</f>
        <v/>
      </c>
      <c r="G344" s="56" t="n"/>
    </row>
    <row r="345">
      <c r="A345" s="55" t="n">
        <v>24381</v>
      </c>
      <c r="B345" s="25">
        <f>VLOOKUP(Table1[[#This Row],[Date]],Database!A:D,3,)</f>
        <v/>
      </c>
      <c r="C345" s="26">
        <f>B345-B344</f>
        <v/>
      </c>
      <c r="D345" s="26">
        <f>AVERAGE(C343:C345)</f>
        <v/>
      </c>
      <c r="E345" s="59">
        <f>VLOOKUP(Table1[[#This Row],[Date]],Database!A:D,4,)</f>
        <v/>
      </c>
      <c r="F345" s="59">
        <f>VLOOKUP(Table1[[#This Row],[Date]],Database!A:D,2,)</f>
        <v/>
      </c>
      <c r="G345" s="56" t="n"/>
    </row>
    <row r="346">
      <c r="A346" s="55" t="n">
        <v>24412</v>
      </c>
      <c r="B346" s="25">
        <f>VLOOKUP(Table1[[#This Row],[Date]],Database!A:D,3,)</f>
        <v/>
      </c>
      <c r="C346" s="26">
        <f>B346-B345</f>
        <v/>
      </c>
      <c r="D346" s="26">
        <f>AVERAGE(C344:C346)</f>
        <v/>
      </c>
      <c r="E346" s="59">
        <f>VLOOKUP(Table1[[#This Row],[Date]],Database!A:D,4,)</f>
        <v/>
      </c>
      <c r="F346" s="59">
        <f>VLOOKUP(Table1[[#This Row],[Date]],Database!A:D,2,)</f>
        <v/>
      </c>
      <c r="G346" s="56" t="n"/>
    </row>
    <row r="347">
      <c r="A347" s="55" t="n">
        <v>24442</v>
      </c>
      <c r="B347" s="25">
        <f>VLOOKUP(Table1[[#This Row],[Date]],Database!A:D,3,)</f>
        <v/>
      </c>
      <c r="C347" s="26">
        <f>B347-B346</f>
        <v/>
      </c>
      <c r="D347" s="26">
        <f>AVERAGE(C345:C347)</f>
        <v/>
      </c>
      <c r="E347" s="59">
        <f>VLOOKUP(Table1[[#This Row],[Date]],Database!A:D,4,)</f>
        <v/>
      </c>
      <c r="F347" s="59">
        <f>VLOOKUP(Table1[[#This Row],[Date]],Database!A:D,2,)</f>
        <v/>
      </c>
      <c r="G347" s="56" t="n"/>
    </row>
    <row r="348">
      <c r="A348" s="55" t="n">
        <v>24473</v>
      </c>
      <c r="B348" s="25">
        <f>VLOOKUP(Table1[[#This Row],[Date]],Database!A:D,3,)</f>
        <v/>
      </c>
      <c r="C348" s="26">
        <f>B348-B347</f>
        <v/>
      </c>
      <c r="D348" s="26">
        <f>AVERAGE(C346:C348)</f>
        <v/>
      </c>
      <c r="E348" s="59">
        <f>VLOOKUP(Table1[[#This Row],[Date]],Database!A:D,4,)</f>
        <v/>
      </c>
      <c r="F348" s="59">
        <f>VLOOKUP(Table1[[#This Row],[Date]],Database!A:D,2,)</f>
        <v/>
      </c>
      <c r="G348" s="56" t="n"/>
    </row>
    <row r="349">
      <c r="A349" s="55" t="n">
        <v>24504</v>
      </c>
      <c r="B349" s="25">
        <f>VLOOKUP(Table1[[#This Row],[Date]],Database!A:D,3,)</f>
        <v/>
      </c>
      <c r="C349" s="26">
        <f>B349-B348</f>
        <v/>
      </c>
      <c r="D349" s="26">
        <f>AVERAGE(C347:C349)</f>
        <v/>
      </c>
      <c r="E349" s="59">
        <f>VLOOKUP(Table1[[#This Row],[Date]],Database!A:D,4,)</f>
        <v/>
      </c>
      <c r="F349" s="59">
        <f>VLOOKUP(Table1[[#This Row],[Date]],Database!A:D,2,)</f>
        <v/>
      </c>
      <c r="G349" s="56" t="n"/>
    </row>
    <row r="350">
      <c r="A350" s="55" t="n">
        <v>24532</v>
      </c>
      <c r="B350" s="25">
        <f>VLOOKUP(Table1[[#This Row],[Date]],Database!A:D,3,)</f>
        <v/>
      </c>
      <c r="C350" s="26">
        <f>B350-B349</f>
        <v/>
      </c>
      <c r="D350" s="26">
        <f>AVERAGE(C348:C350)</f>
        <v/>
      </c>
      <c r="E350" s="59">
        <f>VLOOKUP(Table1[[#This Row],[Date]],Database!A:D,4,)</f>
        <v/>
      </c>
      <c r="F350" s="59">
        <f>VLOOKUP(Table1[[#This Row],[Date]],Database!A:D,2,)</f>
        <v/>
      </c>
      <c r="G350" s="56" t="n"/>
    </row>
    <row r="351">
      <c r="A351" s="55" t="n">
        <v>24563</v>
      </c>
      <c r="B351" s="25">
        <f>VLOOKUP(Table1[[#This Row],[Date]],Database!A:D,3,)</f>
        <v/>
      </c>
      <c r="C351" s="26">
        <f>B351-B350</f>
        <v/>
      </c>
      <c r="D351" s="26">
        <f>AVERAGE(C349:C351)</f>
        <v/>
      </c>
      <c r="E351" s="59">
        <f>VLOOKUP(Table1[[#This Row],[Date]],Database!A:D,4,)</f>
        <v/>
      </c>
      <c r="F351" s="59">
        <f>VLOOKUP(Table1[[#This Row],[Date]],Database!A:D,2,)</f>
        <v/>
      </c>
      <c r="G351" s="56" t="n"/>
    </row>
    <row r="352">
      <c r="A352" s="55" t="n">
        <v>24593</v>
      </c>
      <c r="B352" s="25">
        <f>VLOOKUP(Table1[[#This Row],[Date]],Database!A:D,3,)</f>
        <v/>
      </c>
      <c r="C352" s="26">
        <f>B352-B351</f>
        <v/>
      </c>
      <c r="D352" s="26">
        <f>AVERAGE(C350:C352)</f>
        <v/>
      </c>
      <c r="E352" s="59">
        <f>VLOOKUP(Table1[[#This Row],[Date]],Database!A:D,4,)</f>
        <v/>
      </c>
      <c r="F352" s="59">
        <f>VLOOKUP(Table1[[#This Row],[Date]],Database!A:D,2,)</f>
        <v/>
      </c>
      <c r="G352" s="56" t="n"/>
    </row>
    <row r="353">
      <c r="A353" s="55" t="n">
        <v>24624</v>
      </c>
      <c r="B353" s="25">
        <f>VLOOKUP(Table1[[#This Row],[Date]],Database!A:D,3,)</f>
        <v/>
      </c>
      <c r="C353" s="26">
        <f>B353-B352</f>
        <v/>
      </c>
      <c r="D353" s="26">
        <f>AVERAGE(C351:C353)</f>
        <v/>
      </c>
      <c r="E353" s="59">
        <f>VLOOKUP(Table1[[#This Row],[Date]],Database!A:D,4,)</f>
        <v/>
      </c>
      <c r="F353" s="59">
        <f>VLOOKUP(Table1[[#This Row],[Date]],Database!A:D,2,)</f>
        <v/>
      </c>
      <c r="G353" s="56" t="n"/>
    </row>
    <row r="354">
      <c r="A354" s="55" t="n">
        <v>24654</v>
      </c>
      <c r="B354" s="25">
        <f>VLOOKUP(Table1[[#This Row],[Date]],Database!A:D,3,)</f>
        <v/>
      </c>
      <c r="C354" s="26">
        <f>B354-B353</f>
        <v/>
      </c>
      <c r="D354" s="26">
        <f>AVERAGE(C352:C354)</f>
        <v/>
      </c>
      <c r="E354" s="59">
        <f>VLOOKUP(Table1[[#This Row],[Date]],Database!A:D,4,)</f>
        <v/>
      </c>
      <c r="F354" s="59">
        <f>VLOOKUP(Table1[[#This Row],[Date]],Database!A:D,2,)</f>
        <v/>
      </c>
      <c r="G354" s="56" t="n"/>
    </row>
    <row r="355">
      <c r="A355" s="55" t="n">
        <v>24685</v>
      </c>
      <c r="B355" s="25">
        <f>VLOOKUP(Table1[[#This Row],[Date]],Database!A:D,3,)</f>
        <v/>
      </c>
      <c r="C355" s="26">
        <f>B355-B354</f>
        <v/>
      </c>
      <c r="D355" s="26">
        <f>AVERAGE(C353:C355)</f>
        <v/>
      </c>
      <c r="E355" s="59">
        <f>VLOOKUP(Table1[[#This Row],[Date]],Database!A:D,4,)</f>
        <v/>
      </c>
      <c r="F355" s="59">
        <f>VLOOKUP(Table1[[#This Row],[Date]],Database!A:D,2,)</f>
        <v/>
      </c>
      <c r="G355" s="56" t="n"/>
    </row>
    <row r="356">
      <c r="A356" s="55" t="n">
        <v>24716</v>
      </c>
      <c r="B356" s="25">
        <f>VLOOKUP(Table1[[#This Row],[Date]],Database!A:D,3,)</f>
        <v/>
      </c>
      <c r="C356" s="26">
        <f>B356-B355</f>
        <v/>
      </c>
      <c r="D356" s="26">
        <f>AVERAGE(C354:C356)</f>
        <v/>
      </c>
      <c r="E356" s="59">
        <f>VLOOKUP(Table1[[#This Row],[Date]],Database!A:D,4,)</f>
        <v/>
      </c>
      <c r="F356" s="59">
        <f>VLOOKUP(Table1[[#This Row],[Date]],Database!A:D,2,)</f>
        <v/>
      </c>
      <c r="G356" s="56" t="n"/>
    </row>
    <row r="357">
      <c r="A357" s="55" t="n">
        <v>24746</v>
      </c>
      <c r="B357" s="25">
        <f>VLOOKUP(Table1[[#This Row],[Date]],Database!A:D,3,)</f>
        <v/>
      </c>
      <c r="C357" s="26">
        <f>B357-B356</f>
        <v/>
      </c>
      <c r="D357" s="26">
        <f>AVERAGE(C355:C357)</f>
        <v/>
      </c>
      <c r="E357" s="59">
        <f>VLOOKUP(Table1[[#This Row],[Date]],Database!A:D,4,)</f>
        <v/>
      </c>
      <c r="F357" s="59">
        <f>VLOOKUP(Table1[[#This Row],[Date]],Database!A:D,2,)</f>
        <v/>
      </c>
      <c r="G357" s="56" t="n"/>
    </row>
    <row r="358">
      <c r="A358" s="55" t="n">
        <v>24777</v>
      </c>
      <c r="B358" s="25">
        <f>VLOOKUP(Table1[[#This Row],[Date]],Database!A:D,3,)</f>
        <v/>
      </c>
      <c r="C358" s="26">
        <f>B358-B357</f>
        <v/>
      </c>
      <c r="D358" s="26">
        <f>AVERAGE(C356:C358)</f>
        <v/>
      </c>
      <c r="E358" s="59">
        <f>VLOOKUP(Table1[[#This Row],[Date]],Database!A:D,4,)</f>
        <v/>
      </c>
      <c r="F358" s="59">
        <f>VLOOKUP(Table1[[#This Row],[Date]],Database!A:D,2,)</f>
        <v/>
      </c>
      <c r="G358" s="56" t="n"/>
    </row>
    <row r="359">
      <c r="A359" s="55" t="n">
        <v>24807</v>
      </c>
      <c r="B359" s="25">
        <f>VLOOKUP(Table1[[#This Row],[Date]],Database!A:D,3,)</f>
        <v/>
      </c>
      <c r="C359" s="26">
        <f>B359-B358</f>
        <v/>
      </c>
      <c r="D359" s="26">
        <f>AVERAGE(C357:C359)</f>
        <v/>
      </c>
      <c r="E359" s="59">
        <f>VLOOKUP(Table1[[#This Row],[Date]],Database!A:D,4,)</f>
        <v/>
      </c>
      <c r="F359" s="59">
        <f>VLOOKUP(Table1[[#This Row],[Date]],Database!A:D,2,)</f>
        <v/>
      </c>
      <c r="G359" s="56" t="n"/>
    </row>
    <row r="360">
      <c r="A360" s="55" t="n">
        <v>24838</v>
      </c>
      <c r="B360" s="25">
        <f>VLOOKUP(Table1[[#This Row],[Date]],Database!A:D,3,)</f>
        <v/>
      </c>
      <c r="C360" s="26">
        <f>B360-B359</f>
        <v/>
      </c>
      <c r="D360" s="26">
        <f>AVERAGE(C358:C360)</f>
        <v/>
      </c>
      <c r="E360" s="59">
        <f>VLOOKUP(Table1[[#This Row],[Date]],Database!A:D,4,)</f>
        <v/>
      </c>
      <c r="F360" s="59">
        <f>VLOOKUP(Table1[[#This Row],[Date]],Database!A:D,2,)</f>
        <v/>
      </c>
      <c r="G360" s="56" t="n"/>
    </row>
    <row r="361">
      <c r="A361" s="55" t="n">
        <v>24869</v>
      </c>
      <c r="B361" s="25">
        <f>VLOOKUP(Table1[[#This Row],[Date]],Database!A:D,3,)</f>
        <v/>
      </c>
      <c r="C361" s="26">
        <f>B361-B360</f>
        <v/>
      </c>
      <c r="D361" s="26">
        <f>AVERAGE(C359:C361)</f>
        <v/>
      </c>
      <c r="E361" s="59">
        <f>VLOOKUP(Table1[[#This Row],[Date]],Database!A:D,4,)</f>
        <v/>
      </c>
      <c r="F361" s="59">
        <f>VLOOKUP(Table1[[#This Row],[Date]],Database!A:D,2,)</f>
        <v/>
      </c>
      <c r="G361" s="56" t="n"/>
    </row>
    <row r="362">
      <c r="A362" s="55" t="n">
        <v>24898</v>
      </c>
      <c r="B362" s="25">
        <f>VLOOKUP(Table1[[#This Row],[Date]],Database!A:D,3,)</f>
        <v/>
      </c>
      <c r="C362" s="26">
        <f>B362-B361</f>
        <v/>
      </c>
      <c r="D362" s="26">
        <f>AVERAGE(C360:C362)</f>
        <v/>
      </c>
      <c r="E362" s="59">
        <f>VLOOKUP(Table1[[#This Row],[Date]],Database!A:D,4,)</f>
        <v/>
      </c>
      <c r="F362" s="59">
        <f>VLOOKUP(Table1[[#This Row],[Date]],Database!A:D,2,)</f>
        <v/>
      </c>
      <c r="G362" s="56" t="n"/>
    </row>
    <row r="363">
      <c r="A363" s="55" t="n">
        <v>24929</v>
      </c>
      <c r="B363" s="25">
        <f>VLOOKUP(Table1[[#This Row],[Date]],Database!A:D,3,)</f>
        <v/>
      </c>
      <c r="C363" s="26">
        <f>B363-B362</f>
        <v/>
      </c>
      <c r="D363" s="26">
        <f>AVERAGE(C361:C363)</f>
        <v/>
      </c>
      <c r="E363" s="59">
        <f>VLOOKUP(Table1[[#This Row],[Date]],Database!A:D,4,)</f>
        <v/>
      </c>
      <c r="F363" s="59">
        <f>VLOOKUP(Table1[[#This Row],[Date]],Database!A:D,2,)</f>
        <v/>
      </c>
      <c r="G363" s="56" t="n"/>
    </row>
    <row r="364">
      <c r="A364" s="55" t="n">
        <v>24959</v>
      </c>
      <c r="B364" s="25">
        <f>VLOOKUP(Table1[[#This Row],[Date]],Database!A:D,3,)</f>
        <v/>
      </c>
      <c r="C364" s="26">
        <f>B364-B363</f>
        <v/>
      </c>
      <c r="D364" s="26">
        <f>AVERAGE(C362:C364)</f>
        <v/>
      </c>
      <c r="E364" s="59">
        <f>VLOOKUP(Table1[[#This Row],[Date]],Database!A:D,4,)</f>
        <v/>
      </c>
      <c r="F364" s="59">
        <f>VLOOKUP(Table1[[#This Row],[Date]],Database!A:D,2,)</f>
        <v/>
      </c>
      <c r="G364" s="56" t="n"/>
    </row>
    <row r="365">
      <c r="A365" s="55" t="n">
        <v>24990</v>
      </c>
      <c r="B365" s="25">
        <f>VLOOKUP(Table1[[#This Row],[Date]],Database!A:D,3,)</f>
        <v/>
      </c>
      <c r="C365" s="26">
        <f>B365-B364</f>
        <v/>
      </c>
      <c r="D365" s="26">
        <f>AVERAGE(C363:C365)</f>
        <v/>
      </c>
      <c r="E365" s="59">
        <f>VLOOKUP(Table1[[#This Row],[Date]],Database!A:D,4,)</f>
        <v/>
      </c>
      <c r="F365" s="59">
        <f>VLOOKUP(Table1[[#This Row],[Date]],Database!A:D,2,)</f>
        <v/>
      </c>
      <c r="G365" s="56" t="n"/>
    </row>
    <row r="366">
      <c r="A366" s="55" t="n">
        <v>25020</v>
      </c>
      <c r="B366" s="25">
        <f>VLOOKUP(Table1[[#This Row],[Date]],Database!A:D,3,)</f>
        <v/>
      </c>
      <c r="C366" s="26">
        <f>B366-B365</f>
        <v/>
      </c>
      <c r="D366" s="26">
        <f>AVERAGE(C364:C366)</f>
        <v/>
      </c>
      <c r="E366" s="59">
        <f>VLOOKUP(Table1[[#This Row],[Date]],Database!A:D,4,)</f>
        <v/>
      </c>
      <c r="F366" s="59">
        <f>VLOOKUP(Table1[[#This Row],[Date]],Database!A:D,2,)</f>
        <v/>
      </c>
      <c r="G366" s="56" t="n"/>
    </row>
    <row r="367">
      <c r="A367" s="55" t="n">
        <v>25051</v>
      </c>
      <c r="B367" s="25">
        <f>VLOOKUP(Table1[[#This Row],[Date]],Database!A:D,3,)</f>
        <v/>
      </c>
      <c r="C367" s="26">
        <f>B367-B366</f>
        <v/>
      </c>
      <c r="D367" s="26">
        <f>AVERAGE(C365:C367)</f>
        <v/>
      </c>
      <c r="E367" s="59">
        <f>VLOOKUP(Table1[[#This Row],[Date]],Database!A:D,4,)</f>
        <v/>
      </c>
      <c r="F367" s="59">
        <f>VLOOKUP(Table1[[#This Row],[Date]],Database!A:D,2,)</f>
        <v/>
      </c>
      <c r="G367" s="56" t="n"/>
    </row>
    <row r="368">
      <c r="A368" s="55" t="n">
        <v>25082</v>
      </c>
      <c r="B368" s="25">
        <f>VLOOKUP(Table1[[#This Row],[Date]],Database!A:D,3,)</f>
        <v/>
      </c>
      <c r="C368" s="26">
        <f>B368-B367</f>
        <v/>
      </c>
      <c r="D368" s="26">
        <f>AVERAGE(C366:C368)</f>
        <v/>
      </c>
      <c r="E368" s="59">
        <f>VLOOKUP(Table1[[#This Row],[Date]],Database!A:D,4,)</f>
        <v/>
      </c>
      <c r="F368" s="59">
        <f>VLOOKUP(Table1[[#This Row],[Date]],Database!A:D,2,)</f>
        <v/>
      </c>
      <c r="G368" s="56" t="n"/>
    </row>
    <row r="369">
      <c r="A369" s="55" t="n">
        <v>25112</v>
      </c>
      <c r="B369" s="25">
        <f>VLOOKUP(Table1[[#This Row],[Date]],Database!A:D,3,)</f>
        <v/>
      </c>
      <c r="C369" s="26">
        <f>B369-B368</f>
        <v/>
      </c>
      <c r="D369" s="26">
        <f>AVERAGE(C367:C369)</f>
        <v/>
      </c>
      <c r="E369" s="59">
        <f>VLOOKUP(Table1[[#This Row],[Date]],Database!A:D,4,)</f>
        <v/>
      </c>
      <c r="F369" s="59">
        <f>VLOOKUP(Table1[[#This Row],[Date]],Database!A:D,2,)</f>
        <v/>
      </c>
      <c r="G369" s="56" t="n"/>
    </row>
    <row r="370">
      <c r="A370" s="55" t="n">
        <v>25143</v>
      </c>
      <c r="B370" s="25">
        <f>VLOOKUP(Table1[[#This Row],[Date]],Database!A:D,3,)</f>
        <v/>
      </c>
      <c r="C370" s="26">
        <f>B370-B369</f>
        <v/>
      </c>
      <c r="D370" s="26">
        <f>AVERAGE(C368:C370)</f>
        <v/>
      </c>
      <c r="E370" s="59">
        <f>VLOOKUP(Table1[[#This Row],[Date]],Database!A:D,4,)</f>
        <v/>
      </c>
      <c r="F370" s="59">
        <f>VLOOKUP(Table1[[#This Row],[Date]],Database!A:D,2,)</f>
        <v/>
      </c>
      <c r="G370" s="56" t="n"/>
    </row>
    <row r="371">
      <c r="A371" s="55" t="n">
        <v>25173</v>
      </c>
      <c r="B371" s="25">
        <f>VLOOKUP(Table1[[#This Row],[Date]],Database!A:D,3,)</f>
        <v/>
      </c>
      <c r="C371" s="26">
        <f>B371-B370</f>
        <v/>
      </c>
      <c r="D371" s="26">
        <f>AVERAGE(C369:C371)</f>
        <v/>
      </c>
      <c r="E371" s="59">
        <f>VLOOKUP(Table1[[#This Row],[Date]],Database!A:D,4,)</f>
        <v/>
      </c>
      <c r="F371" s="59">
        <f>VLOOKUP(Table1[[#This Row],[Date]],Database!A:D,2,)</f>
        <v/>
      </c>
      <c r="G371" s="56" t="n"/>
    </row>
    <row r="372">
      <c r="A372" s="55" t="n">
        <v>25204</v>
      </c>
      <c r="B372" s="25">
        <f>VLOOKUP(Table1[[#This Row],[Date]],Database!A:D,3,)</f>
        <v/>
      </c>
      <c r="C372" s="26">
        <f>B372-B371</f>
        <v/>
      </c>
      <c r="D372" s="26">
        <f>AVERAGE(C370:C372)</f>
        <v/>
      </c>
      <c r="E372" s="59">
        <f>VLOOKUP(Table1[[#This Row],[Date]],Database!A:D,4,)</f>
        <v/>
      </c>
      <c r="F372" s="59">
        <f>VLOOKUP(Table1[[#This Row],[Date]],Database!A:D,2,)</f>
        <v/>
      </c>
      <c r="G372" s="56" t="n"/>
    </row>
    <row r="373">
      <c r="A373" s="55" t="n">
        <v>25235</v>
      </c>
      <c r="B373" s="25">
        <f>VLOOKUP(Table1[[#This Row],[Date]],Database!A:D,3,)</f>
        <v/>
      </c>
      <c r="C373" s="26">
        <f>B373-B372</f>
        <v/>
      </c>
      <c r="D373" s="26">
        <f>AVERAGE(C371:C373)</f>
        <v/>
      </c>
      <c r="E373" s="59">
        <f>VLOOKUP(Table1[[#This Row],[Date]],Database!A:D,4,)</f>
        <v/>
      </c>
      <c r="F373" s="59">
        <f>VLOOKUP(Table1[[#This Row],[Date]],Database!A:D,2,)</f>
        <v/>
      </c>
      <c r="G373" s="56" t="n"/>
    </row>
    <row r="374">
      <c r="A374" s="55" t="n">
        <v>25263</v>
      </c>
      <c r="B374" s="25">
        <f>VLOOKUP(Table1[[#This Row],[Date]],Database!A:D,3,)</f>
        <v/>
      </c>
      <c r="C374" s="26">
        <f>B374-B373</f>
        <v/>
      </c>
      <c r="D374" s="26">
        <f>AVERAGE(C372:C374)</f>
        <v/>
      </c>
      <c r="E374" s="59">
        <f>VLOOKUP(Table1[[#This Row],[Date]],Database!A:D,4,)</f>
        <v/>
      </c>
      <c r="F374" s="59">
        <f>VLOOKUP(Table1[[#This Row],[Date]],Database!A:D,2,)</f>
        <v/>
      </c>
      <c r="G374" s="56" t="n"/>
    </row>
    <row r="375">
      <c r="A375" s="55" t="n">
        <v>25294</v>
      </c>
      <c r="B375" s="25">
        <f>VLOOKUP(Table1[[#This Row],[Date]],Database!A:D,3,)</f>
        <v/>
      </c>
      <c r="C375" s="26">
        <f>B375-B374</f>
        <v/>
      </c>
      <c r="D375" s="26">
        <f>AVERAGE(C373:C375)</f>
        <v/>
      </c>
      <c r="E375" s="59">
        <f>VLOOKUP(Table1[[#This Row],[Date]],Database!A:D,4,)</f>
        <v/>
      </c>
      <c r="F375" s="59">
        <f>VLOOKUP(Table1[[#This Row],[Date]],Database!A:D,2,)</f>
        <v/>
      </c>
      <c r="G375" s="56" t="n"/>
    </row>
    <row r="376">
      <c r="A376" s="55" t="n">
        <v>25324</v>
      </c>
      <c r="B376" s="25">
        <f>VLOOKUP(Table1[[#This Row],[Date]],Database!A:D,3,)</f>
        <v/>
      </c>
      <c r="C376" s="26">
        <f>B376-B375</f>
        <v/>
      </c>
      <c r="D376" s="26">
        <f>AVERAGE(C374:C376)</f>
        <v/>
      </c>
      <c r="E376" s="59">
        <f>VLOOKUP(Table1[[#This Row],[Date]],Database!A:D,4,)</f>
        <v/>
      </c>
      <c r="F376" s="59">
        <f>VLOOKUP(Table1[[#This Row],[Date]],Database!A:D,2,)</f>
        <v/>
      </c>
      <c r="G376" s="56" t="n"/>
    </row>
    <row r="377">
      <c r="A377" s="55" t="n">
        <v>25355</v>
      </c>
      <c r="B377" s="25">
        <f>VLOOKUP(Table1[[#This Row],[Date]],Database!A:D,3,)</f>
        <v/>
      </c>
      <c r="C377" s="26">
        <f>B377-B376</f>
        <v/>
      </c>
      <c r="D377" s="26">
        <f>AVERAGE(C375:C377)</f>
        <v/>
      </c>
      <c r="E377" s="59">
        <f>VLOOKUP(Table1[[#This Row],[Date]],Database!A:D,4,)</f>
        <v/>
      </c>
      <c r="F377" s="59">
        <f>VLOOKUP(Table1[[#This Row],[Date]],Database!A:D,2,)</f>
        <v/>
      </c>
      <c r="G377" s="56" t="n"/>
    </row>
    <row r="378">
      <c r="A378" s="55" t="n">
        <v>25385</v>
      </c>
      <c r="B378" s="25">
        <f>VLOOKUP(Table1[[#This Row],[Date]],Database!A:D,3,)</f>
        <v/>
      </c>
      <c r="C378" s="26">
        <f>B378-B377</f>
        <v/>
      </c>
      <c r="D378" s="26">
        <f>AVERAGE(C376:C378)</f>
        <v/>
      </c>
      <c r="E378" s="59">
        <f>VLOOKUP(Table1[[#This Row],[Date]],Database!A:D,4,)</f>
        <v/>
      </c>
      <c r="F378" s="59">
        <f>VLOOKUP(Table1[[#This Row],[Date]],Database!A:D,2,)</f>
        <v/>
      </c>
      <c r="G378" s="56" t="n"/>
    </row>
    <row r="379">
      <c r="A379" s="55" t="n">
        <v>25416</v>
      </c>
      <c r="B379" s="25">
        <f>VLOOKUP(Table1[[#This Row],[Date]],Database!A:D,3,)</f>
        <v/>
      </c>
      <c r="C379" s="26">
        <f>B379-B378</f>
        <v/>
      </c>
      <c r="D379" s="26">
        <f>AVERAGE(C377:C379)</f>
        <v/>
      </c>
      <c r="E379" s="59">
        <f>VLOOKUP(Table1[[#This Row],[Date]],Database!A:D,4,)</f>
        <v/>
      </c>
      <c r="F379" s="59">
        <f>VLOOKUP(Table1[[#This Row],[Date]],Database!A:D,2,)</f>
        <v/>
      </c>
      <c r="G379" s="56" t="n"/>
    </row>
    <row r="380">
      <c r="A380" s="55" t="n">
        <v>25447</v>
      </c>
      <c r="B380" s="25">
        <f>VLOOKUP(Table1[[#This Row],[Date]],Database!A:D,3,)</f>
        <v/>
      </c>
      <c r="C380" s="26">
        <f>B380-B379</f>
        <v/>
      </c>
      <c r="D380" s="26">
        <f>AVERAGE(C378:C380)</f>
        <v/>
      </c>
      <c r="E380" s="59">
        <f>VLOOKUP(Table1[[#This Row],[Date]],Database!A:D,4,)</f>
        <v/>
      </c>
      <c r="F380" s="59">
        <f>VLOOKUP(Table1[[#This Row],[Date]],Database!A:D,2,)</f>
        <v/>
      </c>
      <c r="G380" s="56" t="n"/>
    </row>
    <row r="381">
      <c r="A381" s="55" t="n">
        <v>25477</v>
      </c>
      <c r="B381" s="25">
        <f>VLOOKUP(Table1[[#This Row],[Date]],Database!A:D,3,)</f>
        <v/>
      </c>
      <c r="C381" s="26">
        <f>B381-B380</f>
        <v/>
      </c>
      <c r="D381" s="26">
        <f>AVERAGE(C379:C381)</f>
        <v/>
      </c>
      <c r="E381" s="59">
        <f>VLOOKUP(Table1[[#This Row],[Date]],Database!A:D,4,)</f>
        <v/>
      </c>
      <c r="F381" s="59">
        <f>VLOOKUP(Table1[[#This Row],[Date]],Database!A:D,2,)</f>
        <v/>
      </c>
      <c r="G381" s="56" t="n"/>
    </row>
    <row r="382">
      <c r="A382" s="55" t="n">
        <v>25508</v>
      </c>
      <c r="B382" s="25">
        <f>VLOOKUP(Table1[[#This Row],[Date]],Database!A:D,3,)</f>
        <v/>
      </c>
      <c r="C382" s="26">
        <f>B382-B381</f>
        <v/>
      </c>
      <c r="D382" s="26">
        <f>AVERAGE(C380:C382)</f>
        <v/>
      </c>
      <c r="E382" s="59">
        <f>VLOOKUP(Table1[[#This Row],[Date]],Database!A:D,4,)</f>
        <v/>
      </c>
      <c r="F382" s="59">
        <f>VLOOKUP(Table1[[#This Row],[Date]],Database!A:D,2,)</f>
        <v/>
      </c>
      <c r="G382" s="56" t="n"/>
    </row>
    <row r="383">
      <c r="A383" s="55" t="n">
        <v>25538</v>
      </c>
      <c r="B383" s="25">
        <f>VLOOKUP(Table1[[#This Row],[Date]],Database!A:D,3,)</f>
        <v/>
      </c>
      <c r="C383" s="26">
        <f>B383-B382</f>
        <v/>
      </c>
      <c r="D383" s="26">
        <f>AVERAGE(C381:C383)</f>
        <v/>
      </c>
      <c r="E383" s="59">
        <f>VLOOKUP(Table1[[#This Row],[Date]],Database!A:D,4,)</f>
        <v/>
      </c>
      <c r="F383" s="59">
        <f>VLOOKUP(Table1[[#This Row],[Date]],Database!A:D,2,)</f>
        <v/>
      </c>
      <c r="G383" s="56" t="n"/>
    </row>
    <row r="384">
      <c r="A384" s="55" t="n">
        <v>25569</v>
      </c>
      <c r="B384" s="25">
        <f>VLOOKUP(Table1[[#This Row],[Date]],Database!A:D,3,)</f>
        <v/>
      </c>
      <c r="C384" s="26">
        <f>B384-B383</f>
        <v/>
      </c>
      <c r="D384" s="26">
        <f>AVERAGE(C382:C384)</f>
        <v/>
      </c>
      <c r="E384" s="59">
        <f>VLOOKUP(Table1[[#This Row],[Date]],Database!A:D,4,)</f>
        <v/>
      </c>
      <c r="F384" s="59">
        <f>VLOOKUP(Table1[[#This Row],[Date]],Database!A:D,2,)</f>
        <v/>
      </c>
      <c r="G384" s="56" t="n"/>
    </row>
    <row r="385">
      <c r="A385" s="55" t="n">
        <v>25600</v>
      </c>
      <c r="B385" s="25">
        <f>VLOOKUP(Table1[[#This Row],[Date]],Database!A:D,3,)</f>
        <v/>
      </c>
      <c r="C385" s="26">
        <f>B385-B384</f>
        <v/>
      </c>
      <c r="D385" s="26">
        <f>AVERAGE(C383:C385)</f>
        <v/>
      </c>
      <c r="E385" s="59">
        <f>VLOOKUP(Table1[[#This Row],[Date]],Database!A:D,4,)</f>
        <v/>
      </c>
      <c r="F385" s="59">
        <f>VLOOKUP(Table1[[#This Row],[Date]],Database!A:D,2,)</f>
        <v/>
      </c>
      <c r="G385" s="56" t="n"/>
    </row>
    <row r="386">
      <c r="A386" s="55" t="n">
        <v>25628</v>
      </c>
      <c r="B386" s="25">
        <f>VLOOKUP(Table1[[#This Row],[Date]],Database!A:D,3,)</f>
        <v/>
      </c>
      <c r="C386" s="26">
        <f>B386-B385</f>
        <v/>
      </c>
      <c r="D386" s="26">
        <f>AVERAGE(C384:C386)</f>
        <v/>
      </c>
      <c r="E386" s="59">
        <f>VLOOKUP(Table1[[#This Row],[Date]],Database!A:D,4,)</f>
        <v/>
      </c>
      <c r="F386" s="59">
        <f>VLOOKUP(Table1[[#This Row],[Date]],Database!A:D,2,)</f>
        <v/>
      </c>
      <c r="G386" s="56" t="n"/>
    </row>
    <row r="387">
      <c r="A387" s="55" t="n">
        <v>25659</v>
      </c>
      <c r="B387" s="25">
        <f>VLOOKUP(Table1[[#This Row],[Date]],Database!A:D,3,)</f>
        <v/>
      </c>
      <c r="C387" s="26">
        <f>B387-B386</f>
        <v/>
      </c>
      <c r="D387" s="26">
        <f>AVERAGE(C385:C387)</f>
        <v/>
      </c>
      <c r="E387" s="59">
        <f>VLOOKUP(Table1[[#This Row],[Date]],Database!A:D,4,)</f>
        <v/>
      </c>
      <c r="F387" s="59">
        <f>VLOOKUP(Table1[[#This Row],[Date]],Database!A:D,2,)</f>
        <v/>
      </c>
      <c r="G387" s="56" t="n"/>
    </row>
    <row r="388">
      <c r="A388" s="55" t="n">
        <v>25689</v>
      </c>
      <c r="B388" s="25">
        <f>VLOOKUP(Table1[[#This Row],[Date]],Database!A:D,3,)</f>
        <v/>
      </c>
      <c r="C388" s="26">
        <f>B388-B387</f>
        <v/>
      </c>
      <c r="D388" s="26">
        <f>AVERAGE(C386:C388)</f>
        <v/>
      </c>
      <c r="E388" s="59">
        <f>VLOOKUP(Table1[[#This Row],[Date]],Database!A:D,4,)</f>
        <v/>
      </c>
      <c r="F388" s="59">
        <f>VLOOKUP(Table1[[#This Row],[Date]],Database!A:D,2,)</f>
        <v/>
      </c>
      <c r="G388" s="56" t="n"/>
    </row>
    <row r="389">
      <c r="A389" s="55" t="n">
        <v>25720</v>
      </c>
      <c r="B389" s="25">
        <f>VLOOKUP(Table1[[#This Row],[Date]],Database!A:D,3,)</f>
        <v/>
      </c>
      <c r="C389" s="26">
        <f>B389-B388</f>
        <v/>
      </c>
      <c r="D389" s="26">
        <f>AVERAGE(C387:C389)</f>
        <v/>
      </c>
      <c r="E389" s="59">
        <f>VLOOKUP(Table1[[#This Row],[Date]],Database!A:D,4,)</f>
        <v/>
      </c>
      <c r="F389" s="59">
        <f>VLOOKUP(Table1[[#This Row],[Date]],Database!A:D,2,)</f>
        <v/>
      </c>
      <c r="G389" s="56" t="n"/>
    </row>
    <row r="390">
      <c r="A390" s="55" t="n">
        <v>25750</v>
      </c>
      <c r="B390" s="25">
        <f>VLOOKUP(Table1[[#This Row],[Date]],Database!A:D,3,)</f>
        <v/>
      </c>
      <c r="C390" s="26">
        <f>B390-B389</f>
        <v/>
      </c>
      <c r="D390" s="26">
        <f>AVERAGE(C388:C390)</f>
        <v/>
      </c>
      <c r="E390" s="59">
        <f>VLOOKUP(Table1[[#This Row],[Date]],Database!A:D,4,)</f>
        <v/>
      </c>
      <c r="F390" s="59">
        <f>VLOOKUP(Table1[[#This Row],[Date]],Database!A:D,2,)</f>
        <v/>
      </c>
      <c r="G390" s="56" t="n"/>
    </row>
    <row r="391">
      <c r="A391" s="55" t="n">
        <v>25781</v>
      </c>
      <c r="B391" s="25">
        <f>VLOOKUP(Table1[[#This Row],[Date]],Database!A:D,3,)</f>
        <v/>
      </c>
      <c r="C391" s="26">
        <f>B391-B390</f>
        <v/>
      </c>
      <c r="D391" s="26">
        <f>AVERAGE(C389:C391)</f>
        <v/>
      </c>
      <c r="E391" s="59">
        <f>VLOOKUP(Table1[[#This Row],[Date]],Database!A:D,4,)</f>
        <v/>
      </c>
      <c r="F391" s="59">
        <f>VLOOKUP(Table1[[#This Row],[Date]],Database!A:D,2,)</f>
        <v/>
      </c>
      <c r="G391" s="56" t="n"/>
    </row>
    <row r="392">
      <c r="A392" s="55" t="n">
        <v>25812</v>
      </c>
      <c r="B392" s="25">
        <f>VLOOKUP(Table1[[#This Row],[Date]],Database!A:D,3,)</f>
        <v/>
      </c>
      <c r="C392" s="26">
        <f>B392-B391</f>
        <v/>
      </c>
      <c r="D392" s="26">
        <f>AVERAGE(C390:C392)</f>
        <v/>
      </c>
      <c r="E392" s="59">
        <f>VLOOKUP(Table1[[#This Row],[Date]],Database!A:D,4,)</f>
        <v/>
      </c>
      <c r="F392" s="59">
        <f>VLOOKUP(Table1[[#This Row],[Date]],Database!A:D,2,)</f>
        <v/>
      </c>
      <c r="G392" s="56" t="n"/>
    </row>
    <row r="393">
      <c r="A393" s="55" t="n">
        <v>25842</v>
      </c>
      <c r="B393" s="25">
        <f>VLOOKUP(Table1[[#This Row],[Date]],Database!A:D,3,)</f>
        <v/>
      </c>
      <c r="C393" s="26">
        <f>B393-B392</f>
        <v/>
      </c>
      <c r="D393" s="26">
        <f>AVERAGE(C391:C393)</f>
        <v/>
      </c>
      <c r="E393" s="59">
        <f>VLOOKUP(Table1[[#This Row],[Date]],Database!A:D,4,)</f>
        <v/>
      </c>
      <c r="F393" s="59">
        <f>VLOOKUP(Table1[[#This Row],[Date]],Database!A:D,2,)</f>
        <v/>
      </c>
      <c r="G393" s="56" t="n"/>
    </row>
    <row r="394">
      <c r="A394" s="55" t="n">
        <v>25873</v>
      </c>
      <c r="B394" s="25">
        <f>VLOOKUP(Table1[[#This Row],[Date]],Database!A:D,3,)</f>
        <v/>
      </c>
      <c r="C394" s="26">
        <f>B394-B393</f>
        <v/>
      </c>
      <c r="D394" s="26">
        <f>AVERAGE(C392:C394)</f>
        <v/>
      </c>
      <c r="E394" s="59">
        <f>VLOOKUP(Table1[[#This Row],[Date]],Database!A:D,4,)</f>
        <v/>
      </c>
      <c r="F394" s="59">
        <f>VLOOKUP(Table1[[#This Row],[Date]],Database!A:D,2,)</f>
        <v/>
      </c>
      <c r="G394" s="56" t="n"/>
    </row>
    <row r="395">
      <c r="A395" s="55" t="n">
        <v>25903</v>
      </c>
      <c r="B395" s="25">
        <f>VLOOKUP(Table1[[#This Row],[Date]],Database!A:D,3,)</f>
        <v/>
      </c>
      <c r="C395" s="26">
        <f>B395-B394</f>
        <v/>
      </c>
      <c r="D395" s="26">
        <f>AVERAGE(C393:C395)</f>
        <v/>
      </c>
      <c r="E395" s="59">
        <f>VLOOKUP(Table1[[#This Row],[Date]],Database!A:D,4,)</f>
        <v/>
      </c>
      <c r="F395" s="59">
        <f>VLOOKUP(Table1[[#This Row],[Date]],Database!A:D,2,)</f>
        <v/>
      </c>
      <c r="G395" s="56" t="n"/>
    </row>
    <row r="396">
      <c r="A396" s="55" t="n">
        <v>25934</v>
      </c>
      <c r="B396" s="25">
        <f>VLOOKUP(Table1[[#This Row],[Date]],Database!A:D,3,)</f>
        <v/>
      </c>
      <c r="C396" s="26">
        <f>B396-B395</f>
        <v/>
      </c>
      <c r="D396" s="26">
        <f>AVERAGE(C394:C396)</f>
        <v/>
      </c>
      <c r="E396" s="59">
        <f>VLOOKUP(Table1[[#This Row],[Date]],Database!A:D,4,)</f>
        <v/>
      </c>
      <c r="F396" s="59">
        <f>VLOOKUP(Table1[[#This Row],[Date]],Database!A:D,2,)</f>
        <v/>
      </c>
      <c r="G396" s="56" t="n"/>
    </row>
    <row r="397">
      <c r="A397" s="55" t="n">
        <v>25965</v>
      </c>
      <c r="B397" s="25">
        <f>VLOOKUP(Table1[[#This Row],[Date]],Database!A:D,3,)</f>
        <v/>
      </c>
      <c r="C397" s="26">
        <f>B397-B396</f>
        <v/>
      </c>
      <c r="D397" s="26">
        <f>AVERAGE(C395:C397)</f>
        <v/>
      </c>
      <c r="E397" s="59">
        <f>VLOOKUP(Table1[[#This Row],[Date]],Database!A:D,4,)</f>
        <v/>
      </c>
      <c r="F397" s="59">
        <f>VLOOKUP(Table1[[#This Row],[Date]],Database!A:D,2,)</f>
        <v/>
      </c>
      <c r="G397" s="56" t="n"/>
    </row>
    <row r="398">
      <c r="A398" s="55" t="n">
        <v>25993</v>
      </c>
      <c r="B398" s="25">
        <f>VLOOKUP(Table1[[#This Row],[Date]],Database!A:D,3,)</f>
        <v/>
      </c>
      <c r="C398" s="26">
        <f>B398-B397</f>
        <v/>
      </c>
      <c r="D398" s="26">
        <f>AVERAGE(C396:C398)</f>
        <v/>
      </c>
      <c r="E398" s="59">
        <f>VLOOKUP(Table1[[#This Row],[Date]],Database!A:D,4,)</f>
        <v/>
      </c>
      <c r="F398" s="59">
        <f>VLOOKUP(Table1[[#This Row],[Date]],Database!A:D,2,)</f>
        <v/>
      </c>
      <c r="G398" s="56" t="n"/>
    </row>
    <row r="399">
      <c r="A399" s="55" t="n">
        <v>26024</v>
      </c>
      <c r="B399" s="25">
        <f>VLOOKUP(Table1[[#This Row],[Date]],Database!A:D,3,)</f>
        <v/>
      </c>
      <c r="C399" s="26">
        <f>B399-B398</f>
        <v/>
      </c>
      <c r="D399" s="26">
        <f>AVERAGE(C397:C399)</f>
        <v/>
      </c>
      <c r="E399" s="59">
        <f>VLOOKUP(Table1[[#This Row],[Date]],Database!A:D,4,)</f>
        <v/>
      </c>
      <c r="F399" s="59">
        <f>VLOOKUP(Table1[[#This Row],[Date]],Database!A:D,2,)</f>
        <v/>
      </c>
      <c r="G399" s="56" t="n"/>
    </row>
    <row r="400">
      <c r="A400" s="55" t="n">
        <v>26054</v>
      </c>
      <c r="B400" s="25">
        <f>VLOOKUP(Table1[[#This Row],[Date]],Database!A:D,3,)</f>
        <v/>
      </c>
      <c r="C400" s="26">
        <f>B400-B399</f>
        <v/>
      </c>
      <c r="D400" s="26">
        <f>AVERAGE(C398:C400)</f>
        <v/>
      </c>
      <c r="E400" s="59">
        <f>VLOOKUP(Table1[[#This Row],[Date]],Database!A:D,4,)</f>
        <v/>
      </c>
      <c r="F400" s="59">
        <f>VLOOKUP(Table1[[#This Row],[Date]],Database!A:D,2,)</f>
        <v/>
      </c>
      <c r="G400" s="56" t="n"/>
    </row>
    <row r="401">
      <c r="A401" s="55" t="n">
        <v>26085</v>
      </c>
      <c r="B401" s="25">
        <f>VLOOKUP(Table1[[#This Row],[Date]],Database!A:D,3,)</f>
        <v/>
      </c>
      <c r="C401" s="26">
        <f>B401-B400</f>
        <v/>
      </c>
      <c r="D401" s="26">
        <f>AVERAGE(C399:C401)</f>
        <v/>
      </c>
      <c r="E401" s="59">
        <f>VLOOKUP(Table1[[#This Row],[Date]],Database!A:D,4,)</f>
        <v/>
      </c>
      <c r="F401" s="59">
        <f>VLOOKUP(Table1[[#This Row],[Date]],Database!A:D,2,)</f>
        <v/>
      </c>
      <c r="G401" s="56" t="n"/>
    </row>
    <row r="402">
      <c r="A402" s="55" t="n">
        <v>26115</v>
      </c>
      <c r="B402" s="25">
        <f>VLOOKUP(Table1[[#This Row],[Date]],Database!A:D,3,)</f>
        <v/>
      </c>
      <c r="C402" s="26">
        <f>B402-B401</f>
        <v/>
      </c>
      <c r="D402" s="26">
        <f>AVERAGE(C400:C402)</f>
        <v/>
      </c>
      <c r="E402" s="59">
        <f>VLOOKUP(Table1[[#This Row],[Date]],Database!A:D,4,)</f>
        <v/>
      </c>
      <c r="F402" s="59">
        <f>VLOOKUP(Table1[[#This Row],[Date]],Database!A:D,2,)</f>
        <v/>
      </c>
      <c r="G402" s="56" t="n"/>
    </row>
    <row r="403">
      <c r="A403" s="55" t="n">
        <v>26146</v>
      </c>
      <c r="B403" s="25">
        <f>VLOOKUP(Table1[[#This Row],[Date]],Database!A:D,3,)</f>
        <v/>
      </c>
      <c r="C403" s="26">
        <f>B403-B402</f>
        <v/>
      </c>
      <c r="D403" s="26">
        <f>AVERAGE(C401:C403)</f>
        <v/>
      </c>
      <c r="E403" s="59">
        <f>VLOOKUP(Table1[[#This Row],[Date]],Database!A:D,4,)</f>
        <v/>
      </c>
      <c r="F403" s="59">
        <f>VLOOKUP(Table1[[#This Row],[Date]],Database!A:D,2,)</f>
        <v/>
      </c>
      <c r="G403" s="56" t="n"/>
    </row>
    <row r="404">
      <c r="A404" s="55" t="n">
        <v>26177</v>
      </c>
      <c r="B404" s="25">
        <f>VLOOKUP(Table1[[#This Row],[Date]],Database!A:D,3,)</f>
        <v/>
      </c>
      <c r="C404" s="26">
        <f>B404-B403</f>
        <v/>
      </c>
      <c r="D404" s="26">
        <f>AVERAGE(C402:C404)</f>
        <v/>
      </c>
      <c r="E404" s="59">
        <f>VLOOKUP(Table1[[#This Row],[Date]],Database!A:D,4,)</f>
        <v/>
      </c>
      <c r="F404" s="59">
        <f>VLOOKUP(Table1[[#This Row],[Date]],Database!A:D,2,)</f>
        <v/>
      </c>
      <c r="G404" s="56" t="n"/>
    </row>
    <row r="405">
      <c r="A405" s="55" t="n">
        <v>26207</v>
      </c>
      <c r="B405" s="25">
        <f>VLOOKUP(Table1[[#This Row],[Date]],Database!A:D,3,)</f>
        <v/>
      </c>
      <c r="C405" s="26">
        <f>B405-B404</f>
        <v/>
      </c>
      <c r="D405" s="26">
        <f>AVERAGE(C403:C405)</f>
        <v/>
      </c>
      <c r="E405" s="59">
        <f>VLOOKUP(Table1[[#This Row],[Date]],Database!A:D,4,)</f>
        <v/>
      </c>
      <c r="F405" s="59">
        <f>VLOOKUP(Table1[[#This Row],[Date]],Database!A:D,2,)</f>
        <v/>
      </c>
      <c r="G405" s="56" t="n"/>
    </row>
    <row r="406">
      <c r="A406" s="55" t="n">
        <v>26238</v>
      </c>
      <c r="B406" s="25">
        <f>VLOOKUP(Table1[[#This Row],[Date]],Database!A:D,3,)</f>
        <v/>
      </c>
      <c r="C406" s="26">
        <f>B406-B405</f>
        <v/>
      </c>
      <c r="D406" s="26">
        <f>AVERAGE(C404:C406)</f>
        <v/>
      </c>
      <c r="E406" s="59">
        <f>VLOOKUP(Table1[[#This Row],[Date]],Database!A:D,4,)</f>
        <v/>
      </c>
      <c r="F406" s="59">
        <f>VLOOKUP(Table1[[#This Row],[Date]],Database!A:D,2,)</f>
        <v/>
      </c>
      <c r="G406" s="56" t="n"/>
    </row>
    <row r="407">
      <c r="A407" s="55" t="n">
        <v>26268</v>
      </c>
      <c r="B407" s="25">
        <f>VLOOKUP(Table1[[#This Row],[Date]],Database!A:D,3,)</f>
        <v/>
      </c>
      <c r="C407" s="26">
        <f>B407-B406</f>
        <v/>
      </c>
      <c r="D407" s="26">
        <f>AVERAGE(C405:C407)</f>
        <v/>
      </c>
      <c r="E407" s="59">
        <f>VLOOKUP(Table1[[#This Row],[Date]],Database!A:D,4,)</f>
        <v/>
      </c>
      <c r="F407" s="59">
        <f>VLOOKUP(Table1[[#This Row],[Date]],Database!A:D,2,)</f>
        <v/>
      </c>
      <c r="G407" s="56" t="n"/>
    </row>
    <row r="408">
      <c r="A408" s="55" t="n">
        <v>26299</v>
      </c>
      <c r="B408" s="25">
        <f>VLOOKUP(Table1[[#This Row],[Date]],Database!A:D,3,)</f>
        <v/>
      </c>
      <c r="C408" s="26">
        <f>B408-B407</f>
        <v/>
      </c>
      <c r="D408" s="26">
        <f>AVERAGE(C406:C408)</f>
        <v/>
      </c>
      <c r="E408" s="59">
        <f>VLOOKUP(Table1[[#This Row],[Date]],Database!A:D,4,)</f>
        <v/>
      </c>
      <c r="F408" s="59">
        <f>VLOOKUP(Table1[[#This Row],[Date]],Database!A:D,2,)</f>
        <v/>
      </c>
      <c r="G408" s="56" t="n"/>
    </row>
    <row r="409">
      <c r="A409" s="55" t="n">
        <v>26330</v>
      </c>
      <c r="B409" s="25">
        <f>VLOOKUP(Table1[[#This Row],[Date]],Database!A:D,3,)</f>
        <v/>
      </c>
      <c r="C409" s="26">
        <f>B409-B408</f>
        <v/>
      </c>
      <c r="D409" s="26">
        <f>AVERAGE(C407:C409)</f>
        <v/>
      </c>
      <c r="E409" s="59">
        <f>VLOOKUP(Table1[[#This Row],[Date]],Database!A:D,4,)</f>
        <v/>
      </c>
      <c r="F409" s="59">
        <f>VLOOKUP(Table1[[#This Row],[Date]],Database!A:D,2,)</f>
        <v/>
      </c>
      <c r="G409" s="56" t="n"/>
    </row>
    <row r="410">
      <c r="A410" s="55" t="n">
        <v>26359</v>
      </c>
      <c r="B410" s="25">
        <f>VLOOKUP(Table1[[#This Row],[Date]],Database!A:D,3,)</f>
        <v/>
      </c>
      <c r="C410" s="26">
        <f>B410-B409</f>
        <v/>
      </c>
      <c r="D410" s="26">
        <f>AVERAGE(C408:C410)</f>
        <v/>
      </c>
      <c r="E410" s="59">
        <f>VLOOKUP(Table1[[#This Row],[Date]],Database!A:D,4,)</f>
        <v/>
      </c>
      <c r="F410" s="59">
        <f>VLOOKUP(Table1[[#This Row],[Date]],Database!A:D,2,)</f>
        <v/>
      </c>
      <c r="G410" s="56" t="n"/>
    </row>
    <row r="411">
      <c r="A411" s="55" t="n">
        <v>26390</v>
      </c>
      <c r="B411" s="25">
        <f>VLOOKUP(Table1[[#This Row],[Date]],Database!A:D,3,)</f>
        <v/>
      </c>
      <c r="C411" s="26">
        <f>B411-B410</f>
        <v/>
      </c>
      <c r="D411" s="26">
        <f>AVERAGE(C409:C411)</f>
        <v/>
      </c>
      <c r="E411" s="59">
        <f>VLOOKUP(Table1[[#This Row],[Date]],Database!A:D,4,)</f>
        <v/>
      </c>
      <c r="F411" s="59">
        <f>VLOOKUP(Table1[[#This Row],[Date]],Database!A:D,2,)</f>
        <v/>
      </c>
      <c r="G411" s="56" t="n"/>
    </row>
    <row r="412">
      <c r="A412" s="55" t="n">
        <v>26420</v>
      </c>
      <c r="B412" s="25">
        <f>VLOOKUP(Table1[[#This Row],[Date]],Database!A:D,3,)</f>
        <v/>
      </c>
      <c r="C412" s="26">
        <f>B412-B411</f>
        <v/>
      </c>
      <c r="D412" s="26">
        <f>AVERAGE(C410:C412)</f>
        <v/>
      </c>
      <c r="E412" s="59">
        <f>VLOOKUP(Table1[[#This Row],[Date]],Database!A:D,4,)</f>
        <v/>
      </c>
      <c r="F412" s="59">
        <f>VLOOKUP(Table1[[#This Row],[Date]],Database!A:D,2,)</f>
        <v/>
      </c>
      <c r="G412" s="56" t="n"/>
    </row>
    <row r="413">
      <c r="A413" s="55" t="n">
        <v>26451</v>
      </c>
      <c r="B413" s="25">
        <f>VLOOKUP(Table1[[#This Row],[Date]],Database!A:D,3,)</f>
        <v/>
      </c>
      <c r="C413" s="26">
        <f>B413-B412</f>
        <v/>
      </c>
      <c r="D413" s="26">
        <f>AVERAGE(C411:C413)</f>
        <v/>
      </c>
      <c r="E413" s="59">
        <f>VLOOKUP(Table1[[#This Row],[Date]],Database!A:D,4,)</f>
        <v/>
      </c>
      <c r="F413" s="59">
        <f>VLOOKUP(Table1[[#This Row],[Date]],Database!A:D,2,)</f>
        <v/>
      </c>
      <c r="G413" s="56" t="n"/>
    </row>
    <row r="414">
      <c r="A414" s="55" t="n">
        <v>26481</v>
      </c>
      <c r="B414" s="25">
        <f>VLOOKUP(Table1[[#This Row],[Date]],Database!A:D,3,)</f>
        <v/>
      </c>
      <c r="C414" s="26">
        <f>B414-B413</f>
        <v/>
      </c>
      <c r="D414" s="26">
        <f>AVERAGE(C412:C414)</f>
        <v/>
      </c>
      <c r="E414" s="59">
        <f>VLOOKUP(Table1[[#This Row],[Date]],Database!A:D,4,)</f>
        <v/>
      </c>
      <c r="F414" s="59">
        <f>VLOOKUP(Table1[[#This Row],[Date]],Database!A:D,2,)</f>
        <v/>
      </c>
      <c r="G414" s="56" t="n"/>
    </row>
    <row r="415">
      <c r="A415" s="55" t="n">
        <v>26512</v>
      </c>
      <c r="B415" s="25">
        <f>VLOOKUP(Table1[[#This Row],[Date]],Database!A:D,3,)</f>
        <v/>
      </c>
      <c r="C415" s="26">
        <f>B415-B414</f>
        <v/>
      </c>
      <c r="D415" s="26">
        <f>AVERAGE(C413:C415)</f>
        <v/>
      </c>
      <c r="E415" s="59">
        <f>VLOOKUP(Table1[[#This Row],[Date]],Database!A:D,4,)</f>
        <v/>
      </c>
      <c r="F415" s="59">
        <f>VLOOKUP(Table1[[#This Row],[Date]],Database!A:D,2,)</f>
        <v/>
      </c>
      <c r="G415" s="56" t="n"/>
    </row>
    <row r="416">
      <c r="A416" s="55" t="n">
        <v>26543</v>
      </c>
      <c r="B416" s="25">
        <f>VLOOKUP(Table1[[#This Row],[Date]],Database!A:D,3,)</f>
        <v/>
      </c>
      <c r="C416" s="26">
        <f>B416-B415</f>
        <v/>
      </c>
      <c r="D416" s="26">
        <f>AVERAGE(C414:C416)</f>
        <v/>
      </c>
      <c r="E416" s="59">
        <f>VLOOKUP(Table1[[#This Row],[Date]],Database!A:D,4,)</f>
        <v/>
      </c>
      <c r="F416" s="59">
        <f>VLOOKUP(Table1[[#This Row],[Date]],Database!A:D,2,)</f>
        <v/>
      </c>
      <c r="G416" s="56" t="n"/>
    </row>
    <row r="417">
      <c r="A417" s="55" t="n">
        <v>26573</v>
      </c>
      <c r="B417" s="25">
        <f>VLOOKUP(Table1[[#This Row],[Date]],Database!A:D,3,)</f>
        <v/>
      </c>
      <c r="C417" s="26">
        <f>B417-B416</f>
        <v/>
      </c>
      <c r="D417" s="26">
        <f>AVERAGE(C415:C417)</f>
        <v/>
      </c>
      <c r="E417" s="59">
        <f>VLOOKUP(Table1[[#This Row],[Date]],Database!A:D,4,)</f>
        <v/>
      </c>
      <c r="F417" s="59">
        <f>VLOOKUP(Table1[[#This Row],[Date]],Database!A:D,2,)</f>
        <v/>
      </c>
      <c r="G417" s="56" t="n"/>
    </row>
    <row r="418">
      <c r="A418" s="55" t="n">
        <v>26604</v>
      </c>
      <c r="B418" s="25">
        <f>VLOOKUP(Table1[[#This Row],[Date]],Database!A:D,3,)</f>
        <v/>
      </c>
      <c r="C418" s="26">
        <f>B418-B417</f>
        <v/>
      </c>
      <c r="D418" s="26">
        <f>AVERAGE(C416:C418)</f>
        <v/>
      </c>
      <c r="E418" s="59">
        <f>VLOOKUP(Table1[[#This Row],[Date]],Database!A:D,4,)</f>
        <v/>
      </c>
      <c r="F418" s="59">
        <f>VLOOKUP(Table1[[#This Row],[Date]],Database!A:D,2,)</f>
        <v/>
      </c>
      <c r="G418" s="56" t="n"/>
    </row>
    <row r="419">
      <c r="A419" s="55" t="n">
        <v>26634</v>
      </c>
      <c r="B419" s="25">
        <f>VLOOKUP(Table1[[#This Row],[Date]],Database!A:D,3,)</f>
        <v/>
      </c>
      <c r="C419" s="26">
        <f>B419-B418</f>
        <v/>
      </c>
      <c r="D419" s="26">
        <f>AVERAGE(C417:C419)</f>
        <v/>
      </c>
      <c r="E419" s="59">
        <f>VLOOKUP(Table1[[#This Row],[Date]],Database!A:D,4,)</f>
        <v/>
      </c>
      <c r="F419" s="59">
        <f>VLOOKUP(Table1[[#This Row],[Date]],Database!A:D,2,)</f>
        <v/>
      </c>
      <c r="G419" s="56" t="n"/>
    </row>
    <row r="420">
      <c r="A420" s="55" t="n">
        <v>26665</v>
      </c>
      <c r="B420" s="25">
        <f>VLOOKUP(Table1[[#This Row],[Date]],Database!A:D,3,)</f>
        <v/>
      </c>
      <c r="C420" s="26">
        <f>B420-B419</f>
        <v/>
      </c>
      <c r="D420" s="26">
        <f>AVERAGE(C418:C420)</f>
        <v/>
      </c>
      <c r="E420" s="59">
        <f>VLOOKUP(Table1[[#This Row],[Date]],Database!A:D,4,)</f>
        <v/>
      </c>
      <c r="F420" s="59">
        <f>VLOOKUP(Table1[[#This Row],[Date]],Database!A:D,2,)</f>
        <v/>
      </c>
      <c r="G420" s="56" t="n"/>
    </row>
    <row r="421">
      <c r="A421" s="55" t="n">
        <v>26696</v>
      </c>
      <c r="B421" s="25">
        <f>VLOOKUP(Table1[[#This Row],[Date]],Database!A:D,3,)</f>
        <v/>
      </c>
      <c r="C421" s="26">
        <f>B421-B420</f>
        <v/>
      </c>
      <c r="D421" s="26">
        <f>AVERAGE(C419:C421)</f>
        <v/>
      </c>
      <c r="E421" s="59">
        <f>VLOOKUP(Table1[[#This Row],[Date]],Database!A:D,4,)</f>
        <v/>
      </c>
      <c r="F421" s="59">
        <f>VLOOKUP(Table1[[#This Row],[Date]],Database!A:D,2,)</f>
        <v/>
      </c>
      <c r="G421" s="56" t="n"/>
    </row>
    <row r="422">
      <c r="A422" s="55" t="n">
        <v>26724</v>
      </c>
      <c r="B422" s="25">
        <f>VLOOKUP(Table1[[#This Row],[Date]],Database!A:D,3,)</f>
        <v/>
      </c>
      <c r="C422" s="26">
        <f>B422-B421</f>
        <v/>
      </c>
      <c r="D422" s="26">
        <f>AVERAGE(C420:C422)</f>
        <v/>
      </c>
      <c r="E422" s="59">
        <f>VLOOKUP(Table1[[#This Row],[Date]],Database!A:D,4,)</f>
        <v/>
      </c>
      <c r="F422" s="59">
        <f>VLOOKUP(Table1[[#This Row],[Date]],Database!A:D,2,)</f>
        <v/>
      </c>
      <c r="G422" s="56" t="n"/>
    </row>
    <row r="423">
      <c r="A423" s="55" t="n">
        <v>26755</v>
      </c>
      <c r="B423" s="25">
        <f>VLOOKUP(Table1[[#This Row],[Date]],Database!A:D,3,)</f>
        <v/>
      </c>
      <c r="C423" s="26">
        <f>B423-B422</f>
        <v/>
      </c>
      <c r="D423" s="26">
        <f>AVERAGE(C421:C423)</f>
        <v/>
      </c>
      <c r="E423" s="59">
        <f>VLOOKUP(Table1[[#This Row],[Date]],Database!A:D,4,)</f>
        <v/>
      </c>
      <c r="F423" s="59">
        <f>VLOOKUP(Table1[[#This Row],[Date]],Database!A:D,2,)</f>
        <v/>
      </c>
      <c r="G423" s="56" t="n"/>
    </row>
    <row r="424">
      <c r="A424" s="55" t="n">
        <v>26785</v>
      </c>
      <c r="B424" s="25">
        <f>VLOOKUP(Table1[[#This Row],[Date]],Database!A:D,3,)</f>
        <v/>
      </c>
      <c r="C424" s="26">
        <f>B424-B423</f>
        <v/>
      </c>
      <c r="D424" s="26">
        <f>AVERAGE(C422:C424)</f>
        <v/>
      </c>
      <c r="E424" s="59">
        <f>VLOOKUP(Table1[[#This Row],[Date]],Database!A:D,4,)</f>
        <v/>
      </c>
      <c r="F424" s="59">
        <f>VLOOKUP(Table1[[#This Row],[Date]],Database!A:D,2,)</f>
        <v/>
      </c>
      <c r="G424" s="56" t="n"/>
    </row>
    <row r="425">
      <c r="A425" s="55" t="n">
        <v>26816</v>
      </c>
      <c r="B425" s="25">
        <f>VLOOKUP(Table1[[#This Row],[Date]],Database!A:D,3,)</f>
        <v/>
      </c>
      <c r="C425" s="26">
        <f>B425-B424</f>
        <v/>
      </c>
      <c r="D425" s="26">
        <f>AVERAGE(C423:C425)</f>
        <v/>
      </c>
      <c r="E425" s="59">
        <f>VLOOKUP(Table1[[#This Row],[Date]],Database!A:D,4,)</f>
        <v/>
      </c>
      <c r="F425" s="59">
        <f>VLOOKUP(Table1[[#This Row],[Date]],Database!A:D,2,)</f>
        <v/>
      </c>
      <c r="G425" s="56" t="n"/>
    </row>
    <row r="426">
      <c r="A426" s="55" t="n">
        <v>26846</v>
      </c>
      <c r="B426" s="25">
        <f>VLOOKUP(Table1[[#This Row],[Date]],Database!A:D,3,)</f>
        <v/>
      </c>
      <c r="C426" s="26">
        <f>B426-B425</f>
        <v/>
      </c>
      <c r="D426" s="26">
        <f>AVERAGE(C424:C426)</f>
        <v/>
      </c>
      <c r="E426" s="59">
        <f>VLOOKUP(Table1[[#This Row],[Date]],Database!A:D,4,)</f>
        <v/>
      </c>
      <c r="F426" s="59">
        <f>VLOOKUP(Table1[[#This Row],[Date]],Database!A:D,2,)</f>
        <v/>
      </c>
      <c r="G426" s="56" t="n"/>
    </row>
    <row r="427">
      <c r="A427" s="55" t="n">
        <v>26877</v>
      </c>
      <c r="B427" s="25">
        <f>VLOOKUP(Table1[[#This Row],[Date]],Database!A:D,3,)</f>
        <v/>
      </c>
      <c r="C427" s="26">
        <f>B427-B426</f>
        <v/>
      </c>
      <c r="D427" s="26">
        <f>AVERAGE(C425:C427)</f>
        <v/>
      </c>
      <c r="E427" s="59">
        <f>VLOOKUP(Table1[[#This Row],[Date]],Database!A:D,4,)</f>
        <v/>
      </c>
      <c r="F427" s="59">
        <f>VLOOKUP(Table1[[#This Row],[Date]],Database!A:D,2,)</f>
        <v/>
      </c>
      <c r="G427" s="56" t="n"/>
    </row>
    <row r="428">
      <c r="A428" s="55" t="n">
        <v>26908</v>
      </c>
      <c r="B428" s="25">
        <f>VLOOKUP(Table1[[#This Row],[Date]],Database!A:D,3,)</f>
        <v/>
      </c>
      <c r="C428" s="26">
        <f>B428-B427</f>
        <v/>
      </c>
      <c r="D428" s="26">
        <f>AVERAGE(C426:C428)</f>
        <v/>
      </c>
      <c r="E428" s="59">
        <f>VLOOKUP(Table1[[#This Row],[Date]],Database!A:D,4,)</f>
        <v/>
      </c>
      <c r="F428" s="59">
        <f>VLOOKUP(Table1[[#This Row],[Date]],Database!A:D,2,)</f>
        <v/>
      </c>
      <c r="G428" s="56" t="n"/>
    </row>
    <row r="429">
      <c r="A429" s="55" t="n">
        <v>26938</v>
      </c>
      <c r="B429" s="25">
        <f>VLOOKUP(Table1[[#This Row],[Date]],Database!A:D,3,)</f>
        <v/>
      </c>
      <c r="C429" s="26">
        <f>B429-B428</f>
        <v/>
      </c>
      <c r="D429" s="26">
        <f>AVERAGE(C427:C429)</f>
        <v/>
      </c>
      <c r="E429" s="59">
        <f>VLOOKUP(Table1[[#This Row],[Date]],Database!A:D,4,)</f>
        <v/>
      </c>
      <c r="F429" s="59">
        <f>VLOOKUP(Table1[[#This Row],[Date]],Database!A:D,2,)</f>
        <v/>
      </c>
      <c r="G429" s="56" t="n"/>
    </row>
    <row r="430">
      <c r="A430" s="55" t="n">
        <v>26969</v>
      </c>
      <c r="B430" s="25">
        <f>VLOOKUP(Table1[[#This Row],[Date]],Database!A:D,3,)</f>
        <v/>
      </c>
      <c r="C430" s="26">
        <f>B430-B429</f>
        <v/>
      </c>
      <c r="D430" s="26">
        <f>AVERAGE(C428:C430)</f>
        <v/>
      </c>
      <c r="E430" s="59">
        <f>VLOOKUP(Table1[[#This Row],[Date]],Database!A:D,4,)</f>
        <v/>
      </c>
      <c r="F430" s="59">
        <f>VLOOKUP(Table1[[#This Row],[Date]],Database!A:D,2,)</f>
        <v/>
      </c>
      <c r="G430" s="56" t="n"/>
    </row>
    <row r="431">
      <c r="A431" s="55" t="n">
        <v>26999</v>
      </c>
      <c r="B431" s="25">
        <f>VLOOKUP(Table1[[#This Row],[Date]],Database!A:D,3,)</f>
        <v/>
      </c>
      <c r="C431" s="26">
        <f>B431-B430</f>
        <v/>
      </c>
      <c r="D431" s="26">
        <f>AVERAGE(C429:C431)</f>
        <v/>
      </c>
      <c r="E431" s="59">
        <f>VLOOKUP(Table1[[#This Row],[Date]],Database!A:D,4,)</f>
        <v/>
      </c>
      <c r="F431" s="59">
        <f>VLOOKUP(Table1[[#This Row],[Date]],Database!A:D,2,)</f>
        <v/>
      </c>
      <c r="G431" s="56" t="n"/>
    </row>
    <row r="432">
      <c r="A432" s="55" t="n">
        <v>27030</v>
      </c>
      <c r="B432" s="25">
        <f>VLOOKUP(Table1[[#This Row],[Date]],Database!A:D,3,)</f>
        <v/>
      </c>
      <c r="C432" s="26">
        <f>B432-B431</f>
        <v/>
      </c>
      <c r="D432" s="26">
        <f>AVERAGE(C430:C432)</f>
        <v/>
      </c>
      <c r="E432" s="59">
        <f>VLOOKUP(Table1[[#This Row],[Date]],Database!A:D,4,)</f>
        <v/>
      </c>
      <c r="F432" s="59">
        <f>VLOOKUP(Table1[[#This Row],[Date]],Database!A:D,2,)</f>
        <v/>
      </c>
      <c r="G432" s="56" t="n"/>
    </row>
    <row r="433">
      <c r="A433" s="55" t="n">
        <v>27061</v>
      </c>
      <c r="B433" s="25">
        <f>VLOOKUP(Table1[[#This Row],[Date]],Database!A:D,3,)</f>
        <v/>
      </c>
      <c r="C433" s="26">
        <f>B433-B432</f>
        <v/>
      </c>
      <c r="D433" s="26">
        <f>AVERAGE(C431:C433)</f>
        <v/>
      </c>
      <c r="E433" s="59">
        <f>VLOOKUP(Table1[[#This Row],[Date]],Database!A:D,4,)</f>
        <v/>
      </c>
      <c r="F433" s="59">
        <f>VLOOKUP(Table1[[#This Row],[Date]],Database!A:D,2,)</f>
        <v/>
      </c>
      <c r="G433" s="56" t="n"/>
    </row>
    <row r="434">
      <c r="A434" s="55" t="n">
        <v>27089</v>
      </c>
      <c r="B434" s="25">
        <f>VLOOKUP(Table1[[#This Row],[Date]],Database!A:D,3,)</f>
        <v/>
      </c>
      <c r="C434" s="26">
        <f>B434-B433</f>
        <v/>
      </c>
      <c r="D434" s="26">
        <f>AVERAGE(C432:C434)</f>
        <v/>
      </c>
      <c r="E434" s="59">
        <f>VLOOKUP(Table1[[#This Row],[Date]],Database!A:D,4,)</f>
        <v/>
      </c>
      <c r="F434" s="59">
        <f>VLOOKUP(Table1[[#This Row],[Date]],Database!A:D,2,)</f>
        <v/>
      </c>
      <c r="G434" s="56" t="n"/>
    </row>
    <row r="435">
      <c r="A435" s="55" t="n">
        <v>27120</v>
      </c>
      <c r="B435" s="25">
        <f>VLOOKUP(Table1[[#This Row],[Date]],Database!A:D,3,)</f>
        <v/>
      </c>
      <c r="C435" s="26">
        <f>B435-B434</f>
        <v/>
      </c>
      <c r="D435" s="26">
        <f>AVERAGE(C433:C435)</f>
        <v/>
      </c>
      <c r="E435" s="59">
        <f>VLOOKUP(Table1[[#This Row],[Date]],Database!A:D,4,)</f>
        <v/>
      </c>
      <c r="F435" s="59">
        <f>VLOOKUP(Table1[[#This Row],[Date]],Database!A:D,2,)</f>
        <v/>
      </c>
      <c r="G435" s="56" t="n"/>
    </row>
    <row r="436">
      <c r="A436" s="55" t="n">
        <v>27150</v>
      </c>
      <c r="B436" s="25">
        <f>VLOOKUP(Table1[[#This Row],[Date]],Database!A:D,3,)</f>
        <v/>
      </c>
      <c r="C436" s="26">
        <f>B436-B435</f>
        <v/>
      </c>
      <c r="D436" s="26">
        <f>AVERAGE(C434:C436)</f>
        <v/>
      </c>
      <c r="E436" s="59">
        <f>VLOOKUP(Table1[[#This Row],[Date]],Database!A:D,4,)</f>
        <v/>
      </c>
      <c r="F436" s="59">
        <f>VLOOKUP(Table1[[#This Row],[Date]],Database!A:D,2,)</f>
        <v/>
      </c>
      <c r="G436" s="56" t="n"/>
    </row>
    <row r="437">
      <c r="A437" s="55" t="n">
        <v>27181</v>
      </c>
      <c r="B437" s="25">
        <f>VLOOKUP(Table1[[#This Row],[Date]],Database!A:D,3,)</f>
        <v/>
      </c>
      <c r="C437" s="26">
        <f>B437-B436</f>
        <v/>
      </c>
      <c r="D437" s="26">
        <f>AVERAGE(C435:C437)</f>
        <v/>
      </c>
      <c r="E437" s="59">
        <f>VLOOKUP(Table1[[#This Row],[Date]],Database!A:D,4,)</f>
        <v/>
      </c>
      <c r="F437" s="59">
        <f>VLOOKUP(Table1[[#This Row],[Date]],Database!A:D,2,)</f>
        <v/>
      </c>
      <c r="G437" s="56" t="n"/>
    </row>
    <row r="438">
      <c r="A438" s="55" t="n">
        <v>27211</v>
      </c>
      <c r="B438" s="25">
        <f>VLOOKUP(Table1[[#This Row],[Date]],Database!A:D,3,)</f>
        <v/>
      </c>
      <c r="C438" s="26">
        <f>B438-B437</f>
        <v/>
      </c>
      <c r="D438" s="26">
        <f>AVERAGE(C436:C438)</f>
        <v/>
      </c>
      <c r="E438" s="59">
        <f>VLOOKUP(Table1[[#This Row],[Date]],Database!A:D,4,)</f>
        <v/>
      </c>
      <c r="F438" s="59">
        <f>VLOOKUP(Table1[[#This Row],[Date]],Database!A:D,2,)</f>
        <v/>
      </c>
      <c r="G438" s="56" t="n"/>
    </row>
    <row r="439">
      <c r="A439" s="55" t="n">
        <v>27242</v>
      </c>
      <c r="B439" s="25">
        <f>VLOOKUP(Table1[[#This Row],[Date]],Database!A:D,3,)</f>
        <v/>
      </c>
      <c r="C439" s="26">
        <f>B439-B438</f>
        <v/>
      </c>
      <c r="D439" s="26">
        <f>AVERAGE(C437:C439)</f>
        <v/>
      </c>
      <c r="E439" s="59">
        <f>VLOOKUP(Table1[[#This Row],[Date]],Database!A:D,4,)</f>
        <v/>
      </c>
      <c r="F439" s="59">
        <f>VLOOKUP(Table1[[#This Row],[Date]],Database!A:D,2,)</f>
        <v/>
      </c>
      <c r="G439" s="56" t="n"/>
    </row>
    <row r="440">
      <c r="A440" s="55" t="n">
        <v>27273</v>
      </c>
      <c r="B440" s="25">
        <f>VLOOKUP(Table1[[#This Row],[Date]],Database!A:D,3,)</f>
        <v/>
      </c>
      <c r="C440" s="26">
        <f>B440-B439</f>
        <v/>
      </c>
      <c r="D440" s="26">
        <f>AVERAGE(C438:C440)</f>
        <v/>
      </c>
      <c r="E440" s="59">
        <f>VLOOKUP(Table1[[#This Row],[Date]],Database!A:D,4,)</f>
        <v/>
      </c>
      <c r="F440" s="59">
        <f>VLOOKUP(Table1[[#This Row],[Date]],Database!A:D,2,)</f>
        <v/>
      </c>
      <c r="G440" s="56" t="n"/>
    </row>
    <row r="441">
      <c r="A441" s="55" t="n">
        <v>27303</v>
      </c>
      <c r="B441" s="25">
        <f>VLOOKUP(Table1[[#This Row],[Date]],Database!A:D,3,)</f>
        <v/>
      </c>
      <c r="C441" s="26">
        <f>B441-B440</f>
        <v/>
      </c>
      <c r="D441" s="26">
        <f>AVERAGE(C439:C441)</f>
        <v/>
      </c>
      <c r="E441" s="59">
        <f>VLOOKUP(Table1[[#This Row],[Date]],Database!A:D,4,)</f>
        <v/>
      </c>
      <c r="F441" s="59">
        <f>VLOOKUP(Table1[[#This Row],[Date]],Database!A:D,2,)</f>
        <v/>
      </c>
      <c r="G441" s="56" t="n"/>
    </row>
    <row r="442">
      <c r="A442" s="55" t="n">
        <v>27334</v>
      </c>
      <c r="B442" s="25">
        <f>VLOOKUP(Table1[[#This Row],[Date]],Database!A:D,3,)</f>
        <v/>
      </c>
      <c r="C442" s="26">
        <f>B442-B441</f>
        <v/>
      </c>
      <c r="D442" s="26">
        <f>AVERAGE(C440:C442)</f>
        <v/>
      </c>
      <c r="E442" s="59">
        <f>VLOOKUP(Table1[[#This Row],[Date]],Database!A:D,4,)</f>
        <v/>
      </c>
      <c r="F442" s="59">
        <f>VLOOKUP(Table1[[#This Row],[Date]],Database!A:D,2,)</f>
        <v/>
      </c>
      <c r="G442" s="56" t="n"/>
    </row>
    <row r="443">
      <c r="A443" s="55" t="n">
        <v>27364</v>
      </c>
      <c r="B443" s="25">
        <f>VLOOKUP(Table1[[#This Row],[Date]],Database!A:D,3,)</f>
        <v/>
      </c>
      <c r="C443" s="26">
        <f>B443-B442</f>
        <v/>
      </c>
      <c r="D443" s="26">
        <f>AVERAGE(C441:C443)</f>
        <v/>
      </c>
      <c r="E443" s="59">
        <f>VLOOKUP(Table1[[#This Row],[Date]],Database!A:D,4,)</f>
        <v/>
      </c>
      <c r="F443" s="59">
        <f>VLOOKUP(Table1[[#This Row],[Date]],Database!A:D,2,)</f>
        <v/>
      </c>
      <c r="G443" s="56" t="n"/>
    </row>
    <row r="444">
      <c r="A444" s="55" t="n">
        <v>27395</v>
      </c>
      <c r="B444" s="25">
        <f>VLOOKUP(Table1[[#This Row],[Date]],Database!A:D,3,)</f>
        <v/>
      </c>
      <c r="C444" s="26">
        <f>B444-B443</f>
        <v/>
      </c>
      <c r="D444" s="26">
        <f>AVERAGE(C442:C444)</f>
        <v/>
      </c>
      <c r="E444" s="59">
        <f>VLOOKUP(Table1[[#This Row],[Date]],Database!A:D,4,)</f>
        <v/>
      </c>
      <c r="F444" s="59">
        <f>VLOOKUP(Table1[[#This Row],[Date]],Database!A:D,2,)</f>
        <v/>
      </c>
      <c r="G444" s="56" t="n"/>
    </row>
    <row r="445">
      <c r="A445" s="55" t="n">
        <v>27426</v>
      </c>
      <c r="B445" s="25">
        <f>VLOOKUP(Table1[[#This Row],[Date]],Database!A:D,3,)</f>
        <v/>
      </c>
      <c r="C445" s="26">
        <f>B445-B444</f>
        <v/>
      </c>
      <c r="D445" s="26">
        <f>AVERAGE(C443:C445)</f>
        <v/>
      </c>
      <c r="E445" s="59">
        <f>VLOOKUP(Table1[[#This Row],[Date]],Database!A:D,4,)</f>
        <v/>
      </c>
      <c r="F445" s="59">
        <f>VLOOKUP(Table1[[#This Row],[Date]],Database!A:D,2,)</f>
        <v/>
      </c>
      <c r="G445" s="56" t="n"/>
    </row>
    <row r="446">
      <c r="A446" s="55" t="n">
        <v>27454</v>
      </c>
      <c r="B446" s="25">
        <f>VLOOKUP(Table1[[#This Row],[Date]],Database!A:D,3,)</f>
        <v/>
      </c>
      <c r="C446" s="26">
        <f>B446-B445</f>
        <v/>
      </c>
      <c r="D446" s="26">
        <f>AVERAGE(C444:C446)</f>
        <v/>
      </c>
      <c r="E446" s="59">
        <f>VLOOKUP(Table1[[#This Row],[Date]],Database!A:D,4,)</f>
        <v/>
      </c>
      <c r="F446" s="59">
        <f>VLOOKUP(Table1[[#This Row],[Date]],Database!A:D,2,)</f>
        <v/>
      </c>
      <c r="G446" s="56" t="n"/>
    </row>
    <row r="447">
      <c r="A447" s="55" t="n">
        <v>27485</v>
      </c>
      <c r="B447" s="25">
        <f>VLOOKUP(Table1[[#This Row],[Date]],Database!A:D,3,)</f>
        <v/>
      </c>
      <c r="C447" s="26">
        <f>B447-B446</f>
        <v/>
      </c>
      <c r="D447" s="26">
        <f>AVERAGE(C445:C447)</f>
        <v/>
      </c>
      <c r="E447" s="59">
        <f>VLOOKUP(Table1[[#This Row],[Date]],Database!A:D,4,)</f>
        <v/>
      </c>
      <c r="F447" s="59">
        <f>VLOOKUP(Table1[[#This Row],[Date]],Database!A:D,2,)</f>
        <v/>
      </c>
      <c r="G447" s="56" t="n"/>
    </row>
    <row r="448">
      <c r="A448" s="55" t="n">
        <v>27515</v>
      </c>
      <c r="B448" s="25">
        <f>VLOOKUP(Table1[[#This Row],[Date]],Database!A:D,3,)</f>
        <v/>
      </c>
      <c r="C448" s="26">
        <f>B448-B447</f>
        <v/>
      </c>
      <c r="D448" s="26">
        <f>AVERAGE(C446:C448)</f>
        <v/>
      </c>
      <c r="E448" s="59">
        <f>VLOOKUP(Table1[[#This Row],[Date]],Database!A:D,4,)</f>
        <v/>
      </c>
      <c r="F448" s="59">
        <f>VLOOKUP(Table1[[#This Row],[Date]],Database!A:D,2,)</f>
        <v/>
      </c>
      <c r="G448" s="56" t="n"/>
    </row>
    <row r="449">
      <c r="A449" s="55" t="n">
        <v>27546</v>
      </c>
      <c r="B449" s="25">
        <f>VLOOKUP(Table1[[#This Row],[Date]],Database!A:D,3,)</f>
        <v/>
      </c>
      <c r="C449" s="26">
        <f>B449-B448</f>
        <v/>
      </c>
      <c r="D449" s="26">
        <f>AVERAGE(C447:C449)</f>
        <v/>
      </c>
      <c r="E449" s="59">
        <f>VLOOKUP(Table1[[#This Row],[Date]],Database!A:D,4,)</f>
        <v/>
      </c>
      <c r="F449" s="59">
        <f>VLOOKUP(Table1[[#This Row],[Date]],Database!A:D,2,)</f>
        <v/>
      </c>
      <c r="G449" s="56" t="n"/>
    </row>
    <row r="450">
      <c r="A450" s="55" t="n">
        <v>27576</v>
      </c>
      <c r="B450" s="25">
        <f>VLOOKUP(Table1[[#This Row],[Date]],Database!A:D,3,)</f>
        <v/>
      </c>
      <c r="C450" s="26">
        <f>B450-B449</f>
        <v/>
      </c>
      <c r="D450" s="26">
        <f>AVERAGE(C448:C450)</f>
        <v/>
      </c>
      <c r="E450" s="59">
        <f>VLOOKUP(Table1[[#This Row],[Date]],Database!A:D,4,)</f>
        <v/>
      </c>
      <c r="F450" s="59">
        <f>VLOOKUP(Table1[[#This Row],[Date]],Database!A:D,2,)</f>
        <v/>
      </c>
      <c r="G450" s="56" t="n"/>
    </row>
    <row r="451">
      <c r="A451" s="55" t="n">
        <v>27607</v>
      </c>
      <c r="B451" s="25">
        <f>VLOOKUP(Table1[[#This Row],[Date]],Database!A:D,3,)</f>
        <v/>
      </c>
      <c r="C451" s="26">
        <f>B451-B450</f>
        <v/>
      </c>
      <c r="D451" s="26">
        <f>AVERAGE(C449:C451)</f>
        <v/>
      </c>
      <c r="E451" s="59">
        <f>VLOOKUP(Table1[[#This Row],[Date]],Database!A:D,4,)</f>
        <v/>
      </c>
      <c r="F451" s="59">
        <f>VLOOKUP(Table1[[#This Row],[Date]],Database!A:D,2,)</f>
        <v/>
      </c>
      <c r="G451" s="56" t="n"/>
    </row>
    <row r="452">
      <c r="A452" s="55" t="n">
        <v>27638</v>
      </c>
      <c r="B452" s="25">
        <f>VLOOKUP(Table1[[#This Row],[Date]],Database!A:D,3,)</f>
        <v/>
      </c>
      <c r="C452" s="26">
        <f>B452-B451</f>
        <v/>
      </c>
      <c r="D452" s="26">
        <f>AVERAGE(C450:C452)</f>
        <v/>
      </c>
      <c r="E452" s="59">
        <f>VLOOKUP(Table1[[#This Row],[Date]],Database!A:D,4,)</f>
        <v/>
      </c>
      <c r="F452" s="59">
        <f>VLOOKUP(Table1[[#This Row],[Date]],Database!A:D,2,)</f>
        <v/>
      </c>
      <c r="G452" s="56" t="n"/>
    </row>
    <row r="453">
      <c r="A453" s="55" t="n">
        <v>27668</v>
      </c>
      <c r="B453" s="25">
        <f>VLOOKUP(Table1[[#This Row],[Date]],Database!A:D,3,)</f>
        <v/>
      </c>
      <c r="C453" s="26">
        <f>B453-B452</f>
        <v/>
      </c>
      <c r="D453" s="26">
        <f>AVERAGE(C451:C453)</f>
        <v/>
      </c>
      <c r="E453" s="59">
        <f>VLOOKUP(Table1[[#This Row],[Date]],Database!A:D,4,)</f>
        <v/>
      </c>
      <c r="F453" s="59">
        <f>VLOOKUP(Table1[[#This Row],[Date]],Database!A:D,2,)</f>
        <v/>
      </c>
      <c r="G453" s="56" t="n"/>
    </row>
    <row r="454">
      <c r="A454" s="55" t="n">
        <v>27699</v>
      </c>
      <c r="B454" s="25">
        <f>VLOOKUP(Table1[[#This Row],[Date]],Database!A:D,3,)</f>
        <v/>
      </c>
      <c r="C454" s="26">
        <f>B454-B453</f>
        <v/>
      </c>
      <c r="D454" s="26">
        <f>AVERAGE(C452:C454)</f>
        <v/>
      </c>
      <c r="E454" s="59">
        <f>VLOOKUP(Table1[[#This Row],[Date]],Database!A:D,4,)</f>
        <v/>
      </c>
      <c r="F454" s="59">
        <f>VLOOKUP(Table1[[#This Row],[Date]],Database!A:D,2,)</f>
        <v/>
      </c>
      <c r="G454" s="56" t="n"/>
    </row>
    <row r="455">
      <c r="A455" s="55" t="n">
        <v>27729</v>
      </c>
      <c r="B455" s="25">
        <f>VLOOKUP(Table1[[#This Row],[Date]],Database!A:D,3,)</f>
        <v/>
      </c>
      <c r="C455" s="26">
        <f>B455-B454</f>
        <v/>
      </c>
      <c r="D455" s="26">
        <f>AVERAGE(C453:C455)</f>
        <v/>
      </c>
      <c r="E455" s="59">
        <f>VLOOKUP(Table1[[#This Row],[Date]],Database!A:D,4,)</f>
        <v/>
      </c>
      <c r="F455" s="59">
        <f>VLOOKUP(Table1[[#This Row],[Date]],Database!A:D,2,)</f>
        <v/>
      </c>
      <c r="G455" s="56" t="n"/>
    </row>
    <row r="456">
      <c r="A456" s="55" t="n">
        <v>27760</v>
      </c>
      <c r="B456" s="25">
        <f>VLOOKUP(Table1[[#This Row],[Date]],Database!A:D,3,)</f>
        <v/>
      </c>
      <c r="C456" s="26">
        <f>B456-B455</f>
        <v/>
      </c>
      <c r="D456" s="26">
        <f>AVERAGE(C454:C456)</f>
        <v/>
      </c>
      <c r="E456" s="59">
        <f>VLOOKUP(Table1[[#This Row],[Date]],Database!A:D,4,)</f>
        <v/>
      </c>
      <c r="F456" s="59">
        <f>VLOOKUP(Table1[[#This Row],[Date]],Database!A:D,2,)</f>
        <v/>
      </c>
      <c r="G456" s="56" t="n"/>
    </row>
    <row r="457">
      <c r="A457" s="55" t="n">
        <v>27791</v>
      </c>
      <c r="B457" s="25">
        <f>VLOOKUP(Table1[[#This Row],[Date]],Database!A:D,3,)</f>
        <v/>
      </c>
      <c r="C457" s="26">
        <f>B457-B456</f>
        <v/>
      </c>
      <c r="D457" s="26">
        <f>AVERAGE(C455:C457)</f>
        <v/>
      </c>
      <c r="E457" s="59">
        <f>VLOOKUP(Table1[[#This Row],[Date]],Database!A:D,4,)</f>
        <v/>
      </c>
      <c r="F457" s="59">
        <f>VLOOKUP(Table1[[#This Row],[Date]],Database!A:D,2,)</f>
        <v/>
      </c>
      <c r="G457" s="56" t="n"/>
    </row>
    <row r="458">
      <c r="A458" s="55" t="n">
        <v>27820</v>
      </c>
      <c r="B458" s="25">
        <f>VLOOKUP(Table1[[#This Row],[Date]],Database!A:D,3,)</f>
        <v/>
      </c>
      <c r="C458" s="26">
        <f>B458-B457</f>
        <v/>
      </c>
      <c r="D458" s="26">
        <f>AVERAGE(C456:C458)</f>
        <v/>
      </c>
      <c r="E458" s="59">
        <f>VLOOKUP(Table1[[#This Row],[Date]],Database!A:D,4,)</f>
        <v/>
      </c>
      <c r="F458" s="59">
        <f>VLOOKUP(Table1[[#This Row],[Date]],Database!A:D,2,)</f>
        <v/>
      </c>
      <c r="G458" s="56" t="n"/>
    </row>
    <row r="459">
      <c r="A459" s="55" t="n">
        <v>27851</v>
      </c>
      <c r="B459" s="25">
        <f>VLOOKUP(Table1[[#This Row],[Date]],Database!A:D,3,)</f>
        <v/>
      </c>
      <c r="C459" s="26">
        <f>B459-B458</f>
        <v/>
      </c>
      <c r="D459" s="26">
        <f>AVERAGE(C457:C459)</f>
        <v/>
      </c>
      <c r="E459" s="59">
        <f>VLOOKUP(Table1[[#This Row],[Date]],Database!A:D,4,)</f>
        <v/>
      </c>
      <c r="F459" s="59">
        <f>VLOOKUP(Table1[[#This Row],[Date]],Database!A:D,2,)</f>
        <v/>
      </c>
      <c r="G459" s="56" t="n"/>
    </row>
    <row r="460">
      <c r="A460" s="55" t="n">
        <v>27881</v>
      </c>
      <c r="B460" s="25">
        <f>VLOOKUP(Table1[[#This Row],[Date]],Database!A:D,3,)</f>
        <v/>
      </c>
      <c r="C460" s="26">
        <f>B460-B459</f>
        <v/>
      </c>
      <c r="D460" s="26">
        <f>AVERAGE(C458:C460)</f>
        <v/>
      </c>
      <c r="E460" s="59">
        <f>VLOOKUP(Table1[[#This Row],[Date]],Database!A:D,4,)</f>
        <v/>
      </c>
      <c r="F460" s="59">
        <f>VLOOKUP(Table1[[#This Row],[Date]],Database!A:D,2,)</f>
        <v/>
      </c>
      <c r="G460" s="56" t="n"/>
    </row>
    <row r="461">
      <c r="A461" s="55" t="n">
        <v>27912</v>
      </c>
      <c r="B461" s="25">
        <f>VLOOKUP(Table1[[#This Row],[Date]],Database!A:D,3,)</f>
        <v/>
      </c>
      <c r="C461" s="26">
        <f>B461-B460</f>
        <v/>
      </c>
      <c r="D461" s="26">
        <f>AVERAGE(C459:C461)</f>
        <v/>
      </c>
      <c r="E461" s="59">
        <f>VLOOKUP(Table1[[#This Row],[Date]],Database!A:D,4,)</f>
        <v/>
      </c>
      <c r="F461" s="59">
        <f>VLOOKUP(Table1[[#This Row],[Date]],Database!A:D,2,)</f>
        <v/>
      </c>
      <c r="G461" s="56" t="n"/>
    </row>
    <row r="462">
      <c r="A462" s="55" t="n">
        <v>27942</v>
      </c>
      <c r="B462" s="25">
        <f>VLOOKUP(Table1[[#This Row],[Date]],Database!A:D,3,)</f>
        <v/>
      </c>
      <c r="C462" s="26">
        <f>B462-B461</f>
        <v/>
      </c>
      <c r="D462" s="26">
        <f>AVERAGE(C460:C462)</f>
        <v/>
      </c>
      <c r="E462" s="59">
        <f>VLOOKUP(Table1[[#This Row],[Date]],Database!A:D,4,)</f>
        <v/>
      </c>
      <c r="F462" s="59">
        <f>VLOOKUP(Table1[[#This Row],[Date]],Database!A:D,2,)</f>
        <v/>
      </c>
      <c r="G462" s="56" t="n"/>
    </row>
    <row r="463">
      <c r="A463" s="55" t="n">
        <v>27973</v>
      </c>
      <c r="B463" s="25">
        <f>VLOOKUP(Table1[[#This Row],[Date]],Database!A:D,3,)</f>
        <v/>
      </c>
      <c r="C463" s="26">
        <f>B463-B462</f>
        <v/>
      </c>
      <c r="D463" s="26">
        <f>AVERAGE(C461:C463)</f>
        <v/>
      </c>
      <c r="E463" s="59">
        <f>VLOOKUP(Table1[[#This Row],[Date]],Database!A:D,4,)</f>
        <v/>
      </c>
      <c r="F463" s="59">
        <f>VLOOKUP(Table1[[#This Row],[Date]],Database!A:D,2,)</f>
        <v/>
      </c>
      <c r="G463" s="56" t="n"/>
    </row>
    <row r="464">
      <c r="A464" s="55" t="n">
        <v>28004</v>
      </c>
      <c r="B464" s="25">
        <f>VLOOKUP(Table1[[#This Row],[Date]],Database!A:D,3,)</f>
        <v/>
      </c>
      <c r="C464" s="26">
        <f>B464-B463</f>
        <v/>
      </c>
      <c r="D464" s="26">
        <f>AVERAGE(C462:C464)</f>
        <v/>
      </c>
      <c r="E464" s="59">
        <f>VLOOKUP(Table1[[#This Row],[Date]],Database!A:D,4,)</f>
        <v/>
      </c>
      <c r="F464" s="59">
        <f>VLOOKUP(Table1[[#This Row],[Date]],Database!A:D,2,)</f>
        <v/>
      </c>
      <c r="G464" s="56" t="n"/>
    </row>
    <row r="465">
      <c r="A465" s="55" t="n">
        <v>28034</v>
      </c>
      <c r="B465" s="25">
        <f>VLOOKUP(Table1[[#This Row],[Date]],Database!A:D,3,)</f>
        <v/>
      </c>
      <c r="C465" s="26">
        <f>B465-B464</f>
        <v/>
      </c>
      <c r="D465" s="26">
        <f>AVERAGE(C463:C465)</f>
        <v/>
      </c>
      <c r="E465" s="59">
        <f>VLOOKUP(Table1[[#This Row],[Date]],Database!A:D,4,)</f>
        <v/>
      </c>
      <c r="F465" s="59">
        <f>VLOOKUP(Table1[[#This Row],[Date]],Database!A:D,2,)</f>
        <v/>
      </c>
      <c r="G465" s="56" t="n"/>
    </row>
    <row r="466">
      <c r="A466" s="55" t="n">
        <v>28065</v>
      </c>
      <c r="B466" s="25">
        <f>VLOOKUP(Table1[[#This Row],[Date]],Database!A:D,3,)</f>
        <v/>
      </c>
      <c r="C466" s="26">
        <f>B466-B465</f>
        <v/>
      </c>
      <c r="D466" s="26">
        <f>AVERAGE(C464:C466)</f>
        <v/>
      </c>
      <c r="E466" s="59">
        <f>VLOOKUP(Table1[[#This Row],[Date]],Database!A:D,4,)</f>
        <v/>
      </c>
      <c r="F466" s="59">
        <f>VLOOKUP(Table1[[#This Row],[Date]],Database!A:D,2,)</f>
        <v/>
      </c>
      <c r="G466" s="56" t="n"/>
    </row>
    <row r="467">
      <c r="A467" s="55" t="n">
        <v>28095</v>
      </c>
      <c r="B467" s="25">
        <f>VLOOKUP(Table1[[#This Row],[Date]],Database!A:D,3,)</f>
        <v/>
      </c>
      <c r="C467" s="26">
        <f>B467-B466</f>
        <v/>
      </c>
      <c r="D467" s="26">
        <f>AVERAGE(C465:C467)</f>
        <v/>
      </c>
      <c r="E467" s="59">
        <f>VLOOKUP(Table1[[#This Row],[Date]],Database!A:D,4,)</f>
        <v/>
      </c>
      <c r="F467" s="59">
        <f>VLOOKUP(Table1[[#This Row],[Date]],Database!A:D,2,)</f>
        <v/>
      </c>
      <c r="G467" s="56" t="n"/>
    </row>
    <row r="468">
      <c r="A468" s="55" t="n">
        <v>28126</v>
      </c>
      <c r="B468" s="25">
        <f>VLOOKUP(Table1[[#This Row],[Date]],Database!A:D,3,)</f>
        <v/>
      </c>
      <c r="C468" s="26">
        <f>B468-B467</f>
        <v/>
      </c>
      <c r="D468" s="26">
        <f>AVERAGE(C466:C468)</f>
        <v/>
      </c>
      <c r="E468" s="59">
        <f>VLOOKUP(Table1[[#This Row],[Date]],Database!A:D,4,)</f>
        <v/>
      </c>
      <c r="F468" s="59">
        <f>VLOOKUP(Table1[[#This Row],[Date]],Database!A:D,2,)</f>
        <v/>
      </c>
      <c r="G468" s="56" t="n"/>
    </row>
    <row r="469">
      <c r="A469" s="55" t="n">
        <v>28157</v>
      </c>
      <c r="B469" s="25">
        <f>VLOOKUP(Table1[[#This Row],[Date]],Database!A:D,3,)</f>
        <v/>
      </c>
      <c r="C469" s="26">
        <f>B469-B468</f>
        <v/>
      </c>
      <c r="D469" s="26">
        <f>AVERAGE(C467:C469)</f>
        <v/>
      </c>
      <c r="E469" s="59">
        <f>VLOOKUP(Table1[[#This Row],[Date]],Database!A:D,4,)</f>
        <v/>
      </c>
      <c r="F469" s="59">
        <f>VLOOKUP(Table1[[#This Row],[Date]],Database!A:D,2,)</f>
        <v/>
      </c>
      <c r="G469" s="56" t="n"/>
    </row>
    <row r="470">
      <c r="A470" s="55" t="n">
        <v>28185</v>
      </c>
      <c r="B470" s="25">
        <f>VLOOKUP(Table1[[#This Row],[Date]],Database!A:D,3,)</f>
        <v/>
      </c>
      <c r="C470" s="26">
        <f>B470-B469</f>
        <v/>
      </c>
      <c r="D470" s="26">
        <f>AVERAGE(C468:C470)</f>
        <v/>
      </c>
      <c r="E470" s="59">
        <f>VLOOKUP(Table1[[#This Row],[Date]],Database!A:D,4,)</f>
        <v/>
      </c>
      <c r="F470" s="59">
        <f>VLOOKUP(Table1[[#This Row],[Date]],Database!A:D,2,)</f>
        <v/>
      </c>
      <c r="G470" s="56" t="n"/>
    </row>
    <row r="471">
      <c r="A471" s="55" t="n">
        <v>28216</v>
      </c>
      <c r="B471" s="25">
        <f>VLOOKUP(Table1[[#This Row],[Date]],Database!A:D,3,)</f>
        <v/>
      </c>
      <c r="C471" s="26">
        <f>B471-B470</f>
        <v/>
      </c>
      <c r="D471" s="26">
        <f>AVERAGE(C469:C471)</f>
        <v/>
      </c>
      <c r="E471" s="59">
        <f>VLOOKUP(Table1[[#This Row],[Date]],Database!A:D,4,)</f>
        <v/>
      </c>
      <c r="F471" s="59">
        <f>VLOOKUP(Table1[[#This Row],[Date]],Database!A:D,2,)</f>
        <v/>
      </c>
      <c r="G471" s="56" t="n"/>
    </row>
    <row r="472">
      <c r="A472" s="55" t="n">
        <v>28246</v>
      </c>
      <c r="B472" s="25">
        <f>VLOOKUP(Table1[[#This Row],[Date]],Database!A:D,3,)</f>
        <v/>
      </c>
      <c r="C472" s="26">
        <f>B472-B471</f>
        <v/>
      </c>
      <c r="D472" s="26">
        <f>AVERAGE(C470:C472)</f>
        <v/>
      </c>
      <c r="E472" s="59">
        <f>VLOOKUP(Table1[[#This Row],[Date]],Database!A:D,4,)</f>
        <v/>
      </c>
      <c r="F472" s="59">
        <f>VLOOKUP(Table1[[#This Row],[Date]],Database!A:D,2,)</f>
        <v/>
      </c>
      <c r="G472" s="56" t="n"/>
    </row>
    <row r="473">
      <c r="A473" s="55" t="n">
        <v>28277</v>
      </c>
      <c r="B473" s="25">
        <f>VLOOKUP(Table1[[#This Row],[Date]],Database!A:D,3,)</f>
        <v/>
      </c>
      <c r="C473" s="26">
        <f>B473-B472</f>
        <v/>
      </c>
      <c r="D473" s="26">
        <f>AVERAGE(C471:C473)</f>
        <v/>
      </c>
      <c r="E473" s="59">
        <f>VLOOKUP(Table1[[#This Row],[Date]],Database!A:D,4,)</f>
        <v/>
      </c>
      <c r="F473" s="59">
        <f>VLOOKUP(Table1[[#This Row],[Date]],Database!A:D,2,)</f>
        <v/>
      </c>
      <c r="G473" s="56" t="n"/>
    </row>
    <row r="474">
      <c r="A474" s="55" t="n">
        <v>28307</v>
      </c>
      <c r="B474" s="25">
        <f>VLOOKUP(Table1[[#This Row],[Date]],Database!A:D,3,)</f>
        <v/>
      </c>
      <c r="C474" s="26">
        <f>B474-B473</f>
        <v/>
      </c>
      <c r="D474" s="26">
        <f>AVERAGE(C472:C474)</f>
        <v/>
      </c>
      <c r="E474" s="59">
        <f>VLOOKUP(Table1[[#This Row],[Date]],Database!A:D,4,)</f>
        <v/>
      </c>
      <c r="F474" s="59">
        <f>VLOOKUP(Table1[[#This Row],[Date]],Database!A:D,2,)</f>
        <v/>
      </c>
      <c r="G474" s="56" t="n"/>
    </row>
    <row r="475">
      <c r="A475" s="55" t="n">
        <v>28338</v>
      </c>
      <c r="B475" s="25">
        <f>VLOOKUP(Table1[[#This Row],[Date]],Database!A:D,3,)</f>
        <v/>
      </c>
      <c r="C475" s="26">
        <f>B475-B474</f>
        <v/>
      </c>
      <c r="D475" s="26">
        <f>AVERAGE(C473:C475)</f>
        <v/>
      </c>
      <c r="E475" s="59">
        <f>VLOOKUP(Table1[[#This Row],[Date]],Database!A:D,4,)</f>
        <v/>
      </c>
      <c r="F475" s="59">
        <f>VLOOKUP(Table1[[#This Row],[Date]],Database!A:D,2,)</f>
        <v/>
      </c>
      <c r="G475" s="56" t="n"/>
    </row>
    <row r="476">
      <c r="A476" s="55" t="n">
        <v>28369</v>
      </c>
      <c r="B476" s="25">
        <f>VLOOKUP(Table1[[#This Row],[Date]],Database!A:D,3,)</f>
        <v/>
      </c>
      <c r="C476" s="26">
        <f>B476-B475</f>
        <v/>
      </c>
      <c r="D476" s="26">
        <f>AVERAGE(C474:C476)</f>
        <v/>
      </c>
      <c r="E476" s="59">
        <f>VLOOKUP(Table1[[#This Row],[Date]],Database!A:D,4,)</f>
        <v/>
      </c>
      <c r="F476" s="59">
        <f>VLOOKUP(Table1[[#This Row],[Date]],Database!A:D,2,)</f>
        <v/>
      </c>
      <c r="G476" s="56" t="n"/>
    </row>
    <row r="477">
      <c r="A477" s="55" t="n">
        <v>28399</v>
      </c>
      <c r="B477" s="25">
        <f>VLOOKUP(Table1[[#This Row],[Date]],Database!A:D,3,)</f>
        <v/>
      </c>
      <c r="C477" s="26">
        <f>B477-B476</f>
        <v/>
      </c>
      <c r="D477" s="26">
        <f>AVERAGE(C475:C477)</f>
        <v/>
      </c>
      <c r="E477" s="59">
        <f>VLOOKUP(Table1[[#This Row],[Date]],Database!A:D,4,)</f>
        <v/>
      </c>
      <c r="F477" s="59">
        <f>VLOOKUP(Table1[[#This Row],[Date]],Database!A:D,2,)</f>
        <v/>
      </c>
      <c r="G477" s="56" t="n"/>
    </row>
    <row r="478">
      <c r="A478" s="55" t="n">
        <v>28430</v>
      </c>
      <c r="B478" s="25">
        <f>VLOOKUP(Table1[[#This Row],[Date]],Database!A:D,3,)</f>
        <v/>
      </c>
      <c r="C478" s="26">
        <f>B478-B477</f>
        <v/>
      </c>
      <c r="D478" s="26">
        <f>AVERAGE(C476:C478)</f>
        <v/>
      </c>
      <c r="E478" s="59">
        <f>VLOOKUP(Table1[[#This Row],[Date]],Database!A:D,4,)</f>
        <v/>
      </c>
      <c r="F478" s="59">
        <f>VLOOKUP(Table1[[#This Row],[Date]],Database!A:D,2,)</f>
        <v/>
      </c>
      <c r="G478" s="56" t="n"/>
    </row>
    <row r="479">
      <c r="A479" s="55" t="n">
        <v>28460</v>
      </c>
      <c r="B479" s="25">
        <f>VLOOKUP(Table1[[#This Row],[Date]],Database!A:D,3,)</f>
        <v/>
      </c>
      <c r="C479" s="26">
        <f>B479-B478</f>
        <v/>
      </c>
      <c r="D479" s="26">
        <f>AVERAGE(C477:C479)</f>
        <v/>
      </c>
      <c r="E479" s="59">
        <f>VLOOKUP(Table1[[#This Row],[Date]],Database!A:D,4,)</f>
        <v/>
      </c>
      <c r="F479" s="59">
        <f>VLOOKUP(Table1[[#This Row],[Date]],Database!A:D,2,)</f>
        <v/>
      </c>
      <c r="G479" s="56" t="n"/>
    </row>
    <row r="480">
      <c r="A480" s="55" t="n">
        <v>28491</v>
      </c>
      <c r="B480" s="25">
        <f>VLOOKUP(Table1[[#This Row],[Date]],Database!A:D,3,)</f>
        <v/>
      </c>
      <c r="C480" s="26">
        <f>B480-B479</f>
        <v/>
      </c>
      <c r="D480" s="26">
        <f>AVERAGE(C478:C480)</f>
        <v/>
      </c>
      <c r="E480" s="59">
        <f>VLOOKUP(Table1[[#This Row],[Date]],Database!A:D,4,)</f>
        <v/>
      </c>
      <c r="F480" s="59">
        <f>VLOOKUP(Table1[[#This Row],[Date]],Database!A:D,2,)</f>
        <v/>
      </c>
      <c r="G480" s="56" t="n"/>
    </row>
    <row r="481">
      <c r="A481" s="55" t="n">
        <v>28522</v>
      </c>
      <c r="B481" s="25">
        <f>VLOOKUP(Table1[[#This Row],[Date]],Database!A:D,3,)</f>
        <v/>
      </c>
      <c r="C481" s="26">
        <f>B481-B480</f>
        <v/>
      </c>
      <c r="D481" s="26">
        <f>AVERAGE(C479:C481)</f>
        <v/>
      </c>
      <c r="E481" s="59">
        <f>VLOOKUP(Table1[[#This Row],[Date]],Database!A:D,4,)</f>
        <v/>
      </c>
      <c r="F481" s="59">
        <f>VLOOKUP(Table1[[#This Row],[Date]],Database!A:D,2,)</f>
        <v/>
      </c>
      <c r="G481" s="56" t="n"/>
    </row>
    <row r="482">
      <c r="A482" s="55" t="n">
        <v>28550</v>
      </c>
      <c r="B482" s="25">
        <f>VLOOKUP(Table1[[#This Row],[Date]],Database!A:D,3,)</f>
        <v/>
      </c>
      <c r="C482" s="26">
        <f>B482-B481</f>
        <v/>
      </c>
      <c r="D482" s="26">
        <f>AVERAGE(C480:C482)</f>
        <v/>
      </c>
      <c r="E482" s="59">
        <f>VLOOKUP(Table1[[#This Row],[Date]],Database!A:D,4,)</f>
        <v/>
      </c>
      <c r="F482" s="59">
        <f>VLOOKUP(Table1[[#This Row],[Date]],Database!A:D,2,)</f>
        <v/>
      </c>
      <c r="G482" s="56" t="n"/>
    </row>
    <row r="483">
      <c r="A483" s="55" t="n">
        <v>28581</v>
      </c>
      <c r="B483" s="25">
        <f>VLOOKUP(Table1[[#This Row],[Date]],Database!A:D,3,)</f>
        <v/>
      </c>
      <c r="C483" s="26">
        <f>B483-B482</f>
        <v/>
      </c>
      <c r="D483" s="26">
        <f>AVERAGE(C481:C483)</f>
        <v/>
      </c>
      <c r="E483" s="59">
        <f>VLOOKUP(Table1[[#This Row],[Date]],Database!A:D,4,)</f>
        <v/>
      </c>
      <c r="F483" s="59">
        <f>VLOOKUP(Table1[[#This Row],[Date]],Database!A:D,2,)</f>
        <v/>
      </c>
      <c r="G483" s="56" t="n"/>
    </row>
    <row r="484">
      <c r="A484" s="55" t="n">
        <v>28611</v>
      </c>
      <c r="B484" s="25">
        <f>VLOOKUP(Table1[[#This Row],[Date]],Database!A:D,3,)</f>
        <v/>
      </c>
      <c r="C484" s="26">
        <f>B484-B483</f>
        <v/>
      </c>
      <c r="D484" s="26">
        <f>AVERAGE(C482:C484)</f>
        <v/>
      </c>
      <c r="E484" s="59">
        <f>VLOOKUP(Table1[[#This Row],[Date]],Database!A:D,4,)</f>
        <v/>
      </c>
      <c r="F484" s="59">
        <f>VLOOKUP(Table1[[#This Row],[Date]],Database!A:D,2,)</f>
        <v/>
      </c>
      <c r="G484" s="56" t="n"/>
    </row>
    <row r="485">
      <c r="A485" s="55" t="n">
        <v>28642</v>
      </c>
      <c r="B485" s="25">
        <f>VLOOKUP(Table1[[#This Row],[Date]],Database!A:D,3,)</f>
        <v/>
      </c>
      <c r="C485" s="26">
        <f>B485-B484</f>
        <v/>
      </c>
      <c r="D485" s="26">
        <f>AVERAGE(C483:C485)</f>
        <v/>
      </c>
      <c r="E485" s="59">
        <f>VLOOKUP(Table1[[#This Row],[Date]],Database!A:D,4,)</f>
        <v/>
      </c>
      <c r="F485" s="59">
        <f>VLOOKUP(Table1[[#This Row],[Date]],Database!A:D,2,)</f>
        <v/>
      </c>
      <c r="G485" s="56" t="n"/>
    </row>
    <row r="486">
      <c r="A486" s="55" t="n">
        <v>28672</v>
      </c>
      <c r="B486" s="25">
        <f>VLOOKUP(Table1[[#This Row],[Date]],Database!A:D,3,)</f>
        <v/>
      </c>
      <c r="C486" s="26">
        <f>B486-B485</f>
        <v/>
      </c>
      <c r="D486" s="26">
        <f>AVERAGE(C484:C486)</f>
        <v/>
      </c>
      <c r="E486" s="59">
        <f>VLOOKUP(Table1[[#This Row],[Date]],Database!A:D,4,)</f>
        <v/>
      </c>
      <c r="F486" s="59">
        <f>VLOOKUP(Table1[[#This Row],[Date]],Database!A:D,2,)</f>
        <v/>
      </c>
      <c r="G486" s="56" t="n"/>
    </row>
    <row r="487">
      <c r="A487" s="55" t="n">
        <v>28703</v>
      </c>
      <c r="B487" s="25">
        <f>VLOOKUP(Table1[[#This Row],[Date]],Database!A:D,3,)</f>
        <v/>
      </c>
      <c r="C487" s="26">
        <f>B487-B486</f>
        <v/>
      </c>
      <c r="D487" s="26">
        <f>AVERAGE(C485:C487)</f>
        <v/>
      </c>
      <c r="E487" s="59">
        <f>VLOOKUP(Table1[[#This Row],[Date]],Database!A:D,4,)</f>
        <v/>
      </c>
      <c r="F487" s="59">
        <f>VLOOKUP(Table1[[#This Row],[Date]],Database!A:D,2,)</f>
        <v/>
      </c>
      <c r="G487" s="56" t="n"/>
    </row>
    <row r="488">
      <c r="A488" s="55" t="n">
        <v>28734</v>
      </c>
      <c r="B488" s="25">
        <f>VLOOKUP(Table1[[#This Row],[Date]],Database!A:D,3,)</f>
        <v/>
      </c>
      <c r="C488" s="26">
        <f>B488-B487</f>
        <v/>
      </c>
      <c r="D488" s="26">
        <f>AVERAGE(C486:C488)</f>
        <v/>
      </c>
      <c r="E488" s="59">
        <f>VLOOKUP(Table1[[#This Row],[Date]],Database!A:D,4,)</f>
        <v/>
      </c>
      <c r="F488" s="59">
        <f>VLOOKUP(Table1[[#This Row],[Date]],Database!A:D,2,)</f>
        <v/>
      </c>
      <c r="G488" s="56" t="n"/>
    </row>
    <row r="489">
      <c r="A489" s="55" t="n">
        <v>28764</v>
      </c>
      <c r="B489" s="25">
        <f>VLOOKUP(Table1[[#This Row],[Date]],Database!A:D,3,)</f>
        <v/>
      </c>
      <c r="C489" s="26">
        <f>B489-B488</f>
        <v/>
      </c>
      <c r="D489" s="26">
        <f>AVERAGE(C487:C489)</f>
        <v/>
      </c>
      <c r="E489" s="59">
        <f>VLOOKUP(Table1[[#This Row],[Date]],Database!A:D,4,)</f>
        <v/>
      </c>
      <c r="F489" s="59">
        <f>VLOOKUP(Table1[[#This Row],[Date]],Database!A:D,2,)</f>
        <v/>
      </c>
      <c r="G489" s="56" t="n"/>
    </row>
    <row r="490">
      <c r="A490" s="55" t="n">
        <v>28795</v>
      </c>
      <c r="B490" s="25">
        <f>VLOOKUP(Table1[[#This Row],[Date]],Database!A:D,3,)</f>
        <v/>
      </c>
      <c r="C490" s="26">
        <f>B490-B489</f>
        <v/>
      </c>
      <c r="D490" s="26">
        <f>AVERAGE(C488:C490)</f>
        <v/>
      </c>
      <c r="E490" s="59">
        <f>VLOOKUP(Table1[[#This Row],[Date]],Database!A:D,4,)</f>
        <v/>
      </c>
      <c r="F490" s="59">
        <f>VLOOKUP(Table1[[#This Row],[Date]],Database!A:D,2,)</f>
        <v/>
      </c>
      <c r="G490" s="56" t="n"/>
    </row>
    <row r="491">
      <c r="A491" s="55" t="n">
        <v>28825</v>
      </c>
      <c r="B491" s="25">
        <f>VLOOKUP(Table1[[#This Row],[Date]],Database!A:D,3,)</f>
        <v/>
      </c>
      <c r="C491" s="26">
        <f>B491-B490</f>
        <v/>
      </c>
      <c r="D491" s="26">
        <f>AVERAGE(C489:C491)</f>
        <v/>
      </c>
      <c r="E491" s="59">
        <f>VLOOKUP(Table1[[#This Row],[Date]],Database!A:D,4,)</f>
        <v/>
      </c>
      <c r="F491" s="59">
        <f>VLOOKUP(Table1[[#This Row],[Date]],Database!A:D,2,)</f>
        <v/>
      </c>
      <c r="G491" s="56" t="n"/>
    </row>
    <row r="492">
      <c r="A492" s="55" t="n">
        <v>28856</v>
      </c>
      <c r="B492" s="25">
        <f>VLOOKUP(Table1[[#This Row],[Date]],Database!A:D,3,)</f>
        <v/>
      </c>
      <c r="C492" s="26">
        <f>B492-B491</f>
        <v/>
      </c>
      <c r="D492" s="26">
        <f>AVERAGE(C490:C492)</f>
        <v/>
      </c>
      <c r="E492" s="59">
        <f>VLOOKUP(Table1[[#This Row],[Date]],Database!A:D,4,)</f>
        <v/>
      </c>
      <c r="F492" s="59">
        <f>VLOOKUP(Table1[[#This Row],[Date]],Database!A:D,2,)</f>
        <v/>
      </c>
      <c r="G492" s="56" t="n"/>
    </row>
    <row r="493">
      <c r="A493" s="55" t="n">
        <v>28887</v>
      </c>
      <c r="B493" s="25">
        <f>VLOOKUP(Table1[[#This Row],[Date]],Database!A:D,3,)</f>
        <v/>
      </c>
      <c r="C493" s="26">
        <f>B493-B492</f>
        <v/>
      </c>
      <c r="D493" s="26">
        <f>AVERAGE(C491:C493)</f>
        <v/>
      </c>
      <c r="E493" s="59">
        <f>VLOOKUP(Table1[[#This Row],[Date]],Database!A:D,4,)</f>
        <v/>
      </c>
      <c r="F493" s="59">
        <f>VLOOKUP(Table1[[#This Row],[Date]],Database!A:D,2,)</f>
        <v/>
      </c>
      <c r="G493" s="56" t="n"/>
    </row>
    <row r="494">
      <c r="A494" s="55" t="n">
        <v>28915</v>
      </c>
      <c r="B494" s="25">
        <f>VLOOKUP(Table1[[#This Row],[Date]],Database!A:D,3,)</f>
        <v/>
      </c>
      <c r="C494" s="26">
        <f>B494-B493</f>
        <v/>
      </c>
      <c r="D494" s="26">
        <f>AVERAGE(C492:C494)</f>
        <v/>
      </c>
      <c r="E494" s="59">
        <f>VLOOKUP(Table1[[#This Row],[Date]],Database!A:D,4,)</f>
        <v/>
      </c>
      <c r="F494" s="59">
        <f>VLOOKUP(Table1[[#This Row],[Date]],Database!A:D,2,)</f>
        <v/>
      </c>
      <c r="G494" s="56" t="n"/>
    </row>
    <row r="495">
      <c r="A495" s="55" t="n">
        <v>28946</v>
      </c>
      <c r="B495" s="25">
        <f>VLOOKUP(Table1[[#This Row],[Date]],Database!A:D,3,)</f>
        <v/>
      </c>
      <c r="C495" s="26">
        <f>B495-B494</f>
        <v/>
      </c>
      <c r="D495" s="26">
        <f>AVERAGE(C493:C495)</f>
        <v/>
      </c>
      <c r="E495" s="59">
        <f>VLOOKUP(Table1[[#This Row],[Date]],Database!A:D,4,)</f>
        <v/>
      </c>
      <c r="F495" s="59">
        <f>VLOOKUP(Table1[[#This Row],[Date]],Database!A:D,2,)</f>
        <v/>
      </c>
      <c r="G495" s="56" t="n"/>
    </row>
    <row r="496">
      <c r="A496" s="55" t="n">
        <v>28976</v>
      </c>
      <c r="B496" s="25">
        <f>VLOOKUP(Table1[[#This Row],[Date]],Database!A:D,3,)</f>
        <v/>
      </c>
      <c r="C496" s="26">
        <f>B496-B495</f>
        <v/>
      </c>
      <c r="D496" s="26">
        <f>AVERAGE(C494:C496)</f>
        <v/>
      </c>
      <c r="E496" s="59">
        <f>VLOOKUP(Table1[[#This Row],[Date]],Database!A:D,4,)</f>
        <v/>
      </c>
      <c r="F496" s="59">
        <f>VLOOKUP(Table1[[#This Row],[Date]],Database!A:D,2,)</f>
        <v/>
      </c>
      <c r="G496" s="56" t="n"/>
    </row>
    <row r="497">
      <c r="A497" s="55" t="n">
        <v>29007</v>
      </c>
      <c r="B497" s="25">
        <f>VLOOKUP(Table1[[#This Row],[Date]],Database!A:D,3,)</f>
        <v/>
      </c>
      <c r="C497" s="26">
        <f>B497-B496</f>
        <v/>
      </c>
      <c r="D497" s="26">
        <f>AVERAGE(C495:C497)</f>
        <v/>
      </c>
      <c r="E497" s="59">
        <f>VLOOKUP(Table1[[#This Row],[Date]],Database!A:D,4,)</f>
        <v/>
      </c>
      <c r="F497" s="59">
        <f>VLOOKUP(Table1[[#This Row],[Date]],Database!A:D,2,)</f>
        <v/>
      </c>
      <c r="G497" s="56" t="n"/>
    </row>
    <row r="498">
      <c r="A498" s="55" t="n">
        <v>29037</v>
      </c>
      <c r="B498" s="25">
        <f>VLOOKUP(Table1[[#This Row],[Date]],Database!A:D,3,)</f>
        <v/>
      </c>
      <c r="C498" s="26">
        <f>B498-B497</f>
        <v/>
      </c>
      <c r="D498" s="26">
        <f>AVERAGE(C496:C498)</f>
        <v/>
      </c>
      <c r="E498" s="59">
        <f>VLOOKUP(Table1[[#This Row],[Date]],Database!A:D,4,)</f>
        <v/>
      </c>
      <c r="F498" s="59">
        <f>VLOOKUP(Table1[[#This Row],[Date]],Database!A:D,2,)</f>
        <v/>
      </c>
      <c r="G498" s="56" t="n"/>
    </row>
    <row r="499">
      <c r="A499" s="55" t="n">
        <v>29068</v>
      </c>
      <c r="B499" s="25">
        <f>VLOOKUP(Table1[[#This Row],[Date]],Database!A:D,3,)</f>
        <v/>
      </c>
      <c r="C499" s="26">
        <f>B499-B498</f>
        <v/>
      </c>
      <c r="D499" s="26">
        <f>AVERAGE(C497:C499)</f>
        <v/>
      </c>
      <c r="E499" s="59">
        <f>VLOOKUP(Table1[[#This Row],[Date]],Database!A:D,4,)</f>
        <v/>
      </c>
      <c r="F499" s="59">
        <f>VLOOKUP(Table1[[#This Row],[Date]],Database!A:D,2,)</f>
        <v/>
      </c>
      <c r="G499" s="56" t="n"/>
    </row>
    <row r="500">
      <c r="A500" s="55" t="n">
        <v>29099</v>
      </c>
      <c r="B500" s="25">
        <f>VLOOKUP(Table1[[#This Row],[Date]],Database!A:D,3,)</f>
        <v/>
      </c>
      <c r="C500" s="26">
        <f>B500-B499</f>
        <v/>
      </c>
      <c r="D500" s="26">
        <f>AVERAGE(C498:C500)</f>
        <v/>
      </c>
      <c r="E500" s="59">
        <f>VLOOKUP(Table1[[#This Row],[Date]],Database!A:D,4,)</f>
        <v/>
      </c>
      <c r="F500" s="59">
        <f>VLOOKUP(Table1[[#This Row],[Date]],Database!A:D,2,)</f>
        <v/>
      </c>
      <c r="G500" s="56" t="n"/>
    </row>
    <row r="501">
      <c r="A501" s="55" t="n">
        <v>29129</v>
      </c>
      <c r="B501" s="25">
        <f>VLOOKUP(Table1[[#This Row],[Date]],Database!A:D,3,)</f>
        <v/>
      </c>
      <c r="C501" s="26">
        <f>B501-B500</f>
        <v/>
      </c>
      <c r="D501" s="26">
        <f>AVERAGE(C499:C501)</f>
        <v/>
      </c>
      <c r="E501" s="59">
        <f>VLOOKUP(Table1[[#This Row],[Date]],Database!A:D,4,)</f>
        <v/>
      </c>
      <c r="F501" s="59">
        <f>VLOOKUP(Table1[[#This Row],[Date]],Database!A:D,2,)</f>
        <v/>
      </c>
      <c r="G501" s="56" t="n"/>
    </row>
    <row r="502">
      <c r="A502" s="55" t="n">
        <v>29160</v>
      </c>
      <c r="B502" s="25">
        <f>VLOOKUP(Table1[[#This Row],[Date]],Database!A:D,3,)</f>
        <v/>
      </c>
      <c r="C502" s="26">
        <f>B502-B501</f>
        <v/>
      </c>
      <c r="D502" s="26">
        <f>AVERAGE(C500:C502)</f>
        <v/>
      </c>
      <c r="E502" s="59">
        <f>VLOOKUP(Table1[[#This Row],[Date]],Database!A:D,4,)</f>
        <v/>
      </c>
      <c r="F502" s="59">
        <f>VLOOKUP(Table1[[#This Row],[Date]],Database!A:D,2,)</f>
        <v/>
      </c>
      <c r="G502" s="56" t="n"/>
    </row>
    <row r="503">
      <c r="A503" s="55" t="n">
        <v>29190</v>
      </c>
      <c r="B503" s="25">
        <f>VLOOKUP(Table1[[#This Row],[Date]],Database!A:D,3,)</f>
        <v/>
      </c>
      <c r="C503" s="26">
        <f>B503-B502</f>
        <v/>
      </c>
      <c r="D503" s="26">
        <f>AVERAGE(C501:C503)</f>
        <v/>
      </c>
      <c r="E503" s="59">
        <f>VLOOKUP(Table1[[#This Row],[Date]],Database!A:D,4,)</f>
        <v/>
      </c>
      <c r="F503" s="59">
        <f>VLOOKUP(Table1[[#This Row],[Date]],Database!A:D,2,)</f>
        <v/>
      </c>
      <c r="G503" s="56" t="n"/>
    </row>
    <row r="504">
      <c r="A504" s="55" t="n">
        <v>29221</v>
      </c>
      <c r="B504" s="25">
        <f>VLOOKUP(Table1[[#This Row],[Date]],Database!A:D,3,)</f>
        <v/>
      </c>
      <c r="C504" s="26">
        <f>B504-B503</f>
        <v/>
      </c>
      <c r="D504" s="26">
        <f>AVERAGE(C502:C504)</f>
        <v/>
      </c>
      <c r="E504" s="59">
        <f>VLOOKUP(Table1[[#This Row],[Date]],Database!A:D,4,)</f>
        <v/>
      </c>
      <c r="F504" s="59">
        <f>VLOOKUP(Table1[[#This Row],[Date]],Database!A:D,2,)</f>
        <v/>
      </c>
      <c r="G504" s="56" t="n"/>
    </row>
    <row r="505">
      <c r="A505" s="55" t="n">
        <v>29252</v>
      </c>
      <c r="B505" s="25">
        <f>VLOOKUP(Table1[[#This Row],[Date]],Database!A:D,3,)</f>
        <v/>
      </c>
      <c r="C505" s="26">
        <f>B505-B504</f>
        <v/>
      </c>
      <c r="D505" s="26">
        <f>AVERAGE(C503:C505)</f>
        <v/>
      </c>
      <c r="E505" s="59">
        <f>VLOOKUP(Table1[[#This Row],[Date]],Database!A:D,4,)</f>
        <v/>
      </c>
      <c r="F505" s="59">
        <f>VLOOKUP(Table1[[#This Row],[Date]],Database!A:D,2,)</f>
        <v/>
      </c>
      <c r="G505" s="56" t="n"/>
    </row>
    <row r="506">
      <c r="A506" s="55" t="n">
        <v>29281</v>
      </c>
      <c r="B506" s="25">
        <f>VLOOKUP(Table1[[#This Row],[Date]],Database!A:D,3,)</f>
        <v/>
      </c>
      <c r="C506" s="26">
        <f>B506-B505</f>
        <v/>
      </c>
      <c r="D506" s="26">
        <f>AVERAGE(C504:C506)</f>
        <v/>
      </c>
      <c r="E506" s="59">
        <f>VLOOKUP(Table1[[#This Row],[Date]],Database!A:D,4,)</f>
        <v/>
      </c>
      <c r="F506" s="59">
        <f>VLOOKUP(Table1[[#This Row],[Date]],Database!A:D,2,)</f>
        <v/>
      </c>
      <c r="G506" s="56" t="n"/>
    </row>
    <row r="507">
      <c r="A507" s="55" t="n">
        <v>29312</v>
      </c>
      <c r="B507" s="25">
        <f>VLOOKUP(Table1[[#This Row],[Date]],Database!A:D,3,)</f>
        <v/>
      </c>
      <c r="C507" s="26">
        <f>B507-B506</f>
        <v/>
      </c>
      <c r="D507" s="26">
        <f>AVERAGE(C505:C507)</f>
        <v/>
      </c>
      <c r="E507" s="59">
        <f>VLOOKUP(Table1[[#This Row],[Date]],Database!A:D,4,)</f>
        <v/>
      </c>
      <c r="F507" s="59">
        <f>VLOOKUP(Table1[[#This Row],[Date]],Database!A:D,2,)</f>
        <v/>
      </c>
      <c r="G507" s="56" t="n"/>
    </row>
    <row r="508">
      <c r="A508" s="55" t="n">
        <v>29342</v>
      </c>
      <c r="B508" s="25">
        <f>VLOOKUP(Table1[[#This Row],[Date]],Database!A:D,3,)</f>
        <v/>
      </c>
      <c r="C508" s="26">
        <f>B508-B507</f>
        <v/>
      </c>
      <c r="D508" s="26">
        <f>AVERAGE(C506:C508)</f>
        <v/>
      </c>
      <c r="E508" s="59">
        <f>VLOOKUP(Table1[[#This Row],[Date]],Database!A:D,4,)</f>
        <v/>
      </c>
      <c r="F508" s="59">
        <f>VLOOKUP(Table1[[#This Row],[Date]],Database!A:D,2,)</f>
        <v/>
      </c>
      <c r="G508" s="56" t="n"/>
    </row>
    <row r="509">
      <c r="A509" s="55" t="n">
        <v>29373</v>
      </c>
      <c r="B509" s="25">
        <f>VLOOKUP(Table1[[#This Row],[Date]],Database!A:D,3,)</f>
        <v/>
      </c>
      <c r="C509" s="26">
        <f>B509-B508</f>
        <v/>
      </c>
      <c r="D509" s="26">
        <f>AVERAGE(C507:C509)</f>
        <v/>
      </c>
      <c r="E509" s="59">
        <f>VLOOKUP(Table1[[#This Row],[Date]],Database!A:D,4,)</f>
        <v/>
      </c>
      <c r="F509" s="59">
        <f>VLOOKUP(Table1[[#This Row],[Date]],Database!A:D,2,)</f>
        <v/>
      </c>
      <c r="G509" s="56" t="n"/>
    </row>
    <row r="510">
      <c r="A510" s="55" t="n">
        <v>29403</v>
      </c>
      <c r="B510" s="25">
        <f>VLOOKUP(Table1[[#This Row],[Date]],Database!A:D,3,)</f>
        <v/>
      </c>
      <c r="C510" s="26">
        <f>B510-B509</f>
        <v/>
      </c>
      <c r="D510" s="26">
        <f>AVERAGE(C508:C510)</f>
        <v/>
      </c>
      <c r="E510" s="59">
        <f>VLOOKUP(Table1[[#This Row],[Date]],Database!A:D,4,)</f>
        <v/>
      </c>
      <c r="F510" s="59">
        <f>VLOOKUP(Table1[[#This Row],[Date]],Database!A:D,2,)</f>
        <v/>
      </c>
      <c r="G510" s="56" t="n"/>
    </row>
    <row r="511">
      <c r="A511" s="55" t="n">
        <v>29434</v>
      </c>
      <c r="B511" s="25">
        <f>VLOOKUP(Table1[[#This Row],[Date]],Database!A:D,3,)</f>
        <v/>
      </c>
      <c r="C511" s="26">
        <f>B511-B510</f>
        <v/>
      </c>
      <c r="D511" s="26">
        <f>AVERAGE(C509:C511)</f>
        <v/>
      </c>
      <c r="E511" s="59">
        <f>VLOOKUP(Table1[[#This Row],[Date]],Database!A:D,4,)</f>
        <v/>
      </c>
      <c r="F511" s="59">
        <f>VLOOKUP(Table1[[#This Row],[Date]],Database!A:D,2,)</f>
        <v/>
      </c>
      <c r="G511" s="56" t="n"/>
    </row>
    <row r="512">
      <c r="A512" s="55" t="n">
        <v>29465</v>
      </c>
      <c r="B512" s="25">
        <f>VLOOKUP(Table1[[#This Row],[Date]],Database!A:D,3,)</f>
        <v/>
      </c>
      <c r="C512" s="26">
        <f>B512-B511</f>
        <v/>
      </c>
      <c r="D512" s="26">
        <f>AVERAGE(C510:C512)</f>
        <v/>
      </c>
      <c r="E512" s="59">
        <f>VLOOKUP(Table1[[#This Row],[Date]],Database!A:D,4,)</f>
        <v/>
      </c>
      <c r="F512" s="59">
        <f>VLOOKUP(Table1[[#This Row],[Date]],Database!A:D,2,)</f>
        <v/>
      </c>
      <c r="G512" s="56" t="n"/>
    </row>
    <row r="513">
      <c r="A513" s="55" t="n">
        <v>29495</v>
      </c>
      <c r="B513" s="25">
        <f>VLOOKUP(Table1[[#This Row],[Date]],Database!A:D,3,)</f>
        <v/>
      </c>
      <c r="C513" s="26">
        <f>B513-B512</f>
        <v/>
      </c>
      <c r="D513" s="26">
        <f>AVERAGE(C511:C513)</f>
        <v/>
      </c>
      <c r="E513" s="59">
        <f>VLOOKUP(Table1[[#This Row],[Date]],Database!A:D,4,)</f>
        <v/>
      </c>
      <c r="F513" s="59">
        <f>VLOOKUP(Table1[[#This Row],[Date]],Database!A:D,2,)</f>
        <v/>
      </c>
      <c r="G513" s="56" t="n"/>
    </row>
    <row r="514">
      <c r="A514" s="55" t="n">
        <v>29526</v>
      </c>
      <c r="B514" s="25">
        <f>VLOOKUP(Table1[[#This Row],[Date]],Database!A:D,3,)</f>
        <v/>
      </c>
      <c r="C514" s="26">
        <f>B514-B513</f>
        <v/>
      </c>
      <c r="D514" s="26">
        <f>AVERAGE(C512:C514)</f>
        <v/>
      </c>
      <c r="E514" s="59">
        <f>VLOOKUP(Table1[[#This Row],[Date]],Database!A:D,4,)</f>
        <v/>
      </c>
      <c r="F514" s="59">
        <f>VLOOKUP(Table1[[#This Row],[Date]],Database!A:D,2,)</f>
        <v/>
      </c>
      <c r="G514" s="56" t="n"/>
    </row>
    <row r="515">
      <c r="A515" s="55" t="n">
        <v>29556</v>
      </c>
      <c r="B515" s="25">
        <f>VLOOKUP(Table1[[#This Row],[Date]],Database!A:D,3,)</f>
        <v/>
      </c>
      <c r="C515" s="26">
        <f>B515-B514</f>
        <v/>
      </c>
      <c r="D515" s="26">
        <f>AVERAGE(C513:C515)</f>
        <v/>
      </c>
      <c r="E515" s="59">
        <f>VLOOKUP(Table1[[#This Row],[Date]],Database!A:D,4,)</f>
        <v/>
      </c>
      <c r="F515" s="59">
        <f>VLOOKUP(Table1[[#This Row],[Date]],Database!A:D,2,)</f>
        <v/>
      </c>
      <c r="G515" s="56" t="n"/>
    </row>
    <row r="516">
      <c r="A516" s="55" t="n">
        <v>29587</v>
      </c>
      <c r="B516" s="25">
        <f>VLOOKUP(Table1[[#This Row],[Date]],Database!A:D,3,)</f>
        <v/>
      </c>
      <c r="C516" s="26">
        <f>B516-B515</f>
        <v/>
      </c>
      <c r="D516" s="26">
        <f>AVERAGE(C514:C516)</f>
        <v/>
      </c>
      <c r="E516" s="59">
        <f>VLOOKUP(Table1[[#This Row],[Date]],Database!A:D,4,)</f>
        <v/>
      </c>
      <c r="F516" s="59">
        <f>VLOOKUP(Table1[[#This Row],[Date]],Database!A:D,2,)</f>
        <v/>
      </c>
      <c r="G516" s="56" t="n"/>
    </row>
    <row r="517">
      <c r="A517" s="55" t="n">
        <v>29618</v>
      </c>
      <c r="B517" s="25">
        <f>VLOOKUP(Table1[[#This Row],[Date]],Database!A:D,3,)</f>
        <v/>
      </c>
      <c r="C517" s="26">
        <f>B517-B516</f>
        <v/>
      </c>
      <c r="D517" s="26">
        <f>AVERAGE(C515:C517)</f>
        <v/>
      </c>
      <c r="E517" s="59">
        <f>VLOOKUP(Table1[[#This Row],[Date]],Database!A:D,4,)</f>
        <v/>
      </c>
      <c r="F517" s="59">
        <f>VLOOKUP(Table1[[#This Row],[Date]],Database!A:D,2,)</f>
        <v/>
      </c>
      <c r="G517" s="56" t="n"/>
    </row>
    <row r="518">
      <c r="A518" s="55" t="n">
        <v>29646</v>
      </c>
      <c r="B518" s="25">
        <f>VLOOKUP(Table1[[#This Row],[Date]],Database!A:D,3,)</f>
        <v/>
      </c>
      <c r="C518" s="26">
        <f>B518-B517</f>
        <v/>
      </c>
      <c r="D518" s="26">
        <f>AVERAGE(C516:C518)</f>
        <v/>
      </c>
      <c r="E518" s="59">
        <f>VLOOKUP(Table1[[#This Row],[Date]],Database!A:D,4,)</f>
        <v/>
      </c>
      <c r="F518" s="59">
        <f>VLOOKUP(Table1[[#This Row],[Date]],Database!A:D,2,)</f>
        <v/>
      </c>
      <c r="G518" s="56" t="n"/>
    </row>
    <row r="519">
      <c r="A519" s="55" t="n">
        <v>29677</v>
      </c>
      <c r="B519" s="25">
        <f>VLOOKUP(Table1[[#This Row],[Date]],Database!A:D,3,)</f>
        <v/>
      </c>
      <c r="C519" s="26">
        <f>B519-B518</f>
        <v/>
      </c>
      <c r="D519" s="26">
        <f>AVERAGE(C517:C519)</f>
        <v/>
      </c>
      <c r="E519" s="59">
        <f>VLOOKUP(Table1[[#This Row],[Date]],Database!A:D,4,)</f>
        <v/>
      </c>
      <c r="F519" s="59">
        <f>VLOOKUP(Table1[[#This Row],[Date]],Database!A:D,2,)</f>
        <v/>
      </c>
      <c r="G519" s="56" t="n"/>
    </row>
    <row r="520">
      <c r="A520" s="55" t="n">
        <v>29707</v>
      </c>
      <c r="B520" s="25">
        <f>VLOOKUP(Table1[[#This Row],[Date]],Database!A:D,3,)</f>
        <v/>
      </c>
      <c r="C520" s="26">
        <f>B520-B519</f>
        <v/>
      </c>
      <c r="D520" s="26">
        <f>AVERAGE(C518:C520)</f>
        <v/>
      </c>
      <c r="E520" s="59">
        <f>VLOOKUP(Table1[[#This Row],[Date]],Database!A:D,4,)</f>
        <v/>
      </c>
      <c r="F520" s="59">
        <f>VLOOKUP(Table1[[#This Row],[Date]],Database!A:D,2,)</f>
        <v/>
      </c>
      <c r="G520" s="56" t="n"/>
    </row>
    <row r="521">
      <c r="A521" s="55" t="n">
        <v>29738</v>
      </c>
      <c r="B521" s="25">
        <f>VLOOKUP(Table1[[#This Row],[Date]],Database!A:D,3,)</f>
        <v/>
      </c>
      <c r="C521" s="26">
        <f>B521-B520</f>
        <v/>
      </c>
      <c r="D521" s="26">
        <f>AVERAGE(C519:C521)</f>
        <v/>
      </c>
      <c r="E521" s="59">
        <f>VLOOKUP(Table1[[#This Row],[Date]],Database!A:D,4,)</f>
        <v/>
      </c>
      <c r="F521" s="59">
        <f>VLOOKUP(Table1[[#This Row],[Date]],Database!A:D,2,)</f>
        <v/>
      </c>
      <c r="G521" s="56" t="n"/>
    </row>
    <row r="522">
      <c r="A522" s="55" t="n">
        <v>29768</v>
      </c>
      <c r="B522" s="25">
        <f>VLOOKUP(Table1[[#This Row],[Date]],Database!A:D,3,)</f>
        <v/>
      </c>
      <c r="C522" s="26">
        <f>B522-B521</f>
        <v/>
      </c>
      <c r="D522" s="26">
        <f>AVERAGE(C520:C522)</f>
        <v/>
      </c>
      <c r="E522" s="59">
        <f>VLOOKUP(Table1[[#This Row],[Date]],Database!A:D,4,)</f>
        <v/>
      </c>
      <c r="F522" s="59">
        <f>VLOOKUP(Table1[[#This Row],[Date]],Database!A:D,2,)</f>
        <v/>
      </c>
      <c r="G522" s="56" t="n"/>
    </row>
    <row r="523">
      <c r="A523" s="55" t="n">
        <v>29799</v>
      </c>
      <c r="B523" s="25">
        <f>VLOOKUP(Table1[[#This Row],[Date]],Database!A:D,3,)</f>
        <v/>
      </c>
      <c r="C523" s="26">
        <f>B523-B522</f>
        <v/>
      </c>
      <c r="D523" s="26">
        <f>AVERAGE(C521:C523)</f>
        <v/>
      </c>
      <c r="E523" s="59">
        <f>VLOOKUP(Table1[[#This Row],[Date]],Database!A:D,4,)</f>
        <v/>
      </c>
      <c r="F523" s="59">
        <f>VLOOKUP(Table1[[#This Row],[Date]],Database!A:D,2,)</f>
        <v/>
      </c>
      <c r="G523" s="56" t="n"/>
    </row>
    <row r="524">
      <c r="A524" s="55" t="n">
        <v>29830</v>
      </c>
      <c r="B524" s="25">
        <f>VLOOKUP(Table1[[#This Row],[Date]],Database!A:D,3,)</f>
        <v/>
      </c>
      <c r="C524" s="26">
        <f>B524-B523</f>
        <v/>
      </c>
      <c r="D524" s="26">
        <f>AVERAGE(C522:C524)</f>
        <v/>
      </c>
      <c r="E524" s="59">
        <f>VLOOKUP(Table1[[#This Row],[Date]],Database!A:D,4,)</f>
        <v/>
      </c>
      <c r="F524" s="59">
        <f>VLOOKUP(Table1[[#This Row],[Date]],Database!A:D,2,)</f>
        <v/>
      </c>
      <c r="G524" s="56" t="n"/>
    </row>
    <row r="525">
      <c r="A525" s="55" t="n">
        <v>29860</v>
      </c>
      <c r="B525" s="25">
        <f>VLOOKUP(Table1[[#This Row],[Date]],Database!A:D,3,)</f>
        <v/>
      </c>
      <c r="C525" s="26">
        <f>B525-B524</f>
        <v/>
      </c>
      <c r="D525" s="26">
        <f>AVERAGE(C523:C525)</f>
        <v/>
      </c>
      <c r="E525" s="59">
        <f>VLOOKUP(Table1[[#This Row],[Date]],Database!A:D,4,)</f>
        <v/>
      </c>
      <c r="F525" s="59">
        <f>VLOOKUP(Table1[[#This Row],[Date]],Database!A:D,2,)</f>
        <v/>
      </c>
      <c r="G525" s="56" t="n"/>
    </row>
    <row r="526">
      <c r="A526" s="55" t="n">
        <v>29891</v>
      </c>
      <c r="B526" s="25">
        <f>VLOOKUP(Table1[[#This Row],[Date]],Database!A:D,3,)</f>
        <v/>
      </c>
      <c r="C526" s="26">
        <f>B526-B525</f>
        <v/>
      </c>
      <c r="D526" s="26">
        <f>AVERAGE(C524:C526)</f>
        <v/>
      </c>
      <c r="E526" s="59">
        <f>VLOOKUP(Table1[[#This Row],[Date]],Database!A:D,4,)</f>
        <v/>
      </c>
      <c r="F526" s="59">
        <f>VLOOKUP(Table1[[#This Row],[Date]],Database!A:D,2,)</f>
        <v/>
      </c>
      <c r="G526" s="56" t="n"/>
    </row>
    <row r="527">
      <c r="A527" s="55" t="n">
        <v>29921</v>
      </c>
      <c r="B527" s="25">
        <f>VLOOKUP(Table1[[#This Row],[Date]],Database!A:D,3,)</f>
        <v/>
      </c>
      <c r="C527" s="26">
        <f>B527-B526</f>
        <v/>
      </c>
      <c r="D527" s="26">
        <f>AVERAGE(C525:C527)</f>
        <v/>
      </c>
      <c r="E527" s="59">
        <f>VLOOKUP(Table1[[#This Row],[Date]],Database!A:D,4,)</f>
        <v/>
      </c>
      <c r="F527" s="59">
        <f>VLOOKUP(Table1[[#This Row],[Date]],Database!A:D,2,)</f>
        <v/>
      </c>
      <c r="G527" s="56" t="n"/>
    </row>
    <row r="528">
      <c r="A528" s="55" t="n">
        <v>29952</v>
      </c>
      <c r="B528" s="25">
        <f>VLOOKUP(Table1[[#This Row],[Date]],Database!A:D,3,)</f>
        <v/>
      </c>
      <c r="C528" s="26">
        <f>B528-B527</f>
        <v/>
      </c>
      <c r="D528" s="26">
        <f>AVERAGE(C526:C528)</f>
        <v/>
      </c>
      <c r="E528" s="59">
        <f>VLOOKUP(Table1[[#This Row],[Date]],Database!A:D,4,)</f>
        <v/>
      </c>
      <c r="F528" s="59">
        <f>VLOOKUP(Table1[[#This Row],[Date]],Database!A:D,2,)</f>
        <v/>
      </c>
      <c r="G528" s="56" t="n"/>
    </row>
    <row r="529">
      <c r="A529" s="55" t="n">
        <v>29983</v>
      </c>
      <c r="B529" s="25">
        <f>VLOOKUP(Table1[[#This Row],[Date]],Database!A:D,3,)</f>
        <v/>
      </c>
      <c r="C529" s="26">
        <f>B529-B528</f>
        <v/>
      </c>
      <c r="D529" s="26">
        <f>AVERAGE(C527:C529)</f>
        <v/>
      </c>
      <c r="E529" s="59">
        <f>VLOOKUP(Table1[[#This Row],[Date]],Database!A:D,4,)</f>
        <v/>
      </c>
      <c r="F529" s="59">
        <f>VLOOKUP(Table1[[#This Row],[Date]],Database!A:D,2,)</f>
        <v/>
      </c>
      <c r="G529" s="56" t="n"/>
    </row>
    <row r="530">
      <c r="A530" s="55" t="n">
        <v>30011</v>
      </c>
      <c r="B530" s="25">
        <f>VLOOKUP(Table1[[#This Row],[Date]],Database!A:D,3,)</f>
        <v/>
      </c>
      <c r="C530" s="26">
        <f>B530-B529</f>
        <v/>
      </c>
      <c r="D530" s="26">
        <f>AVERAGE(C528:C530)</f>
        <v/>
      </c>
      <c r="E530" s="59">
        <f>VLOOKUP(Table1[[#This Row],[Date]],Database!A:D,4,)</f>
        <v/>
      </c>
      <c r="F530" s="59">
        <f>VLOOKUP(Table1[[#This Row],[Date]],Database!A:D,2,)</f>
        <v/>
      </c>
      <c r="G530" s="56" t="n"/>
    </row>
    <row r="531">
      <c r="A531" s="55" t="n">
        <v>30042</v>
      </c>
      <c r="B531" s="25">
        <f>VLOOKUP(Table1[[#This Row],[Date]],Database!A:D,3,)</f>
        <v/>
      </c>
      <c r="C531" s="26">
        <f>B531-B530</f>
        <v/>
      </c>
      <c r="D531" s="26">
        <f>AVERAGE(C529:C531)</f>
        <v/>
      </c>
      <c r="E531" s="59">
        <f>VLOOKUP(Table1[[#This Row],[Date]],Database!A:D,4,)</f>
        <v/>
      </c>
      <c r="F531" s="59">
        <f>VLOOKUP(Table1[[#This Row],[Date]],Database!A:D,2,)</f>
        <v/>
      </c>
      <c r="G531" s="56" t="n"/>
    </row>
    <row r="532">
      <c r="A532" s="55" t="n">
        <v>30072</v>
      </c>
      <c r="B532" s="25">
        <f>VLOOKUP(Table1[[#This Row],[Date]],Database!A:D,3,)</f>
        <v/>
      </c>
      <c r="C532" s="26">
        <f>B532-B531</f>
        <v/>
      </c>
      <c r="D532" s="26">
        <f>AVERAGE(C530:C532)</f>
        <v/>
      </c>
      <c r="E532" s="59">
        <f>VLOOKUP(Table1[[#This Row],[Date]],Database!A:D,4,)</f>
        <v/>
      </c>
      <c r="F532" s="59">
        <f>VLOOKUP(Table1[[#This Row],[Date]],Database!A:D,2,)</f>
        <v/>
      </c>
      <c r="G532" s="56" t="n"/>
    </row>
    <row r="533">
      <c r="A533" s="55" t="n">
        <v>30103</v>
      </c>
      <c r="B533" s="25">
        <f>VLOOKUP(Table1[[#This Row],[Date]],Database!A:D,3,)</f>
        <v/>
      </c>
      <c r="C533" s="26">
        <f>B533-B532</f>
        <v/>
      </c>
      <c r="D533" s="26">
        <f>AVERAGE(C531:C533)</f>
        <v/>
      </c>
      <c r="E533" s="59">
        <f>VLOOKUP(Table1[[#This Row],[Date]],Database!A:D,4,)</f>
        <v/>
      </c>
      <c r="F533" s="59">
        <f>VLOOKUP(Table1[[#This Row],[Date]],Database!A:D,2,)</f>
        <v/>
      </c>
      <c r="G533" s="56" t="n"/>
    </row>
    <row r="534">
      <c r="A534" s="55" t="n">
        <v>30133</v>
      </c>
      <c r="B534" s="25">
        <f>VLOOKUP(Table1[[#This Row],[Date]],Database!A:D,3,)</f>
        <v/>
      </c>
      <c r="C534" s="26">
        <f>B534-B533</f>
        <v/>
      </c>
      <c r="D534" s="26">
        <f>AVERAGE(C532:C534)</f>
        <v/>
      </c>
      <c r="E534" s="59">
        <f>VLOOKUP(Table1[[#This Row],[Date]],Database!A:D,4,)</f>
        <v/>
      </c>
      <c r="F534" s="59">
        <f>VLOOKUP(Table1[[#This Row],[Date]],Database!A:D,2,)</f>
        <v/>
      </c>
      <c r="G534" s="56" t="n"/>
    </row>
    <row r="535">
      <c r="A535" s="55" t="n">
        <v>30164</v>
      </c>
      <c r="B535" s="25">
        <f>VLOOKUP(Table1[[#This Row],[Date]],Database!A:D,3,)</f>
        <v/>
      </c>
      <c r="C535" s="26">
        <f>B535-B534</f>
        <v/>
      </c>
      <c r="D535" s="26">
        <f>AVERAGE(C533:C535)</f>
        <v/>
      </c>
      <c r="E535" s="59">
        <f>VLOOKUP(Table1[[#This Row],[Date]],Database!A:D,4,)</f>
        <v/>
      </c>
      <c r="F535" s="59">
        <f>VLOOKUP(Table1[[#This Row],[Date]],Database!A:D,2,)</f>
        <v/>
      </c>
      <c r="G535" s="56" t="n"/>
    </row>
    <row r="536">
      <c r="A536" s="55" t="n">
        <v>30195</v>
      </c>
      <c r="B536" s="25">
        <f>VLOOKUP(Table1[[#This Row],[Date]],Database!A:D,3,)</f>
        <v/>
      </c>
      <c r="C536" s="26">
        <f>B536-B535</f>
        <v/>
      </c>
      <c r="D536" s="26">
        <f>AVERAGE(C534:C536)</f>
        <v/>
      </c>
      <c r="E536" s="59">
        <f>VLOOKUP(Table1[[#This Row],[Date]],Database!A:D,4,)</f>
        <v/>
      </c>
      <c r="F536" s="59">
        <f>VLOOKUP(Table1[[#This Row],[Date]],Database!A:D,2,)</f>
        <v/>
      </c>
      <c r="G536" s="56" t="n"/>
    </row>
    <row r="537">
      <c r="A537" s="55" t="n">
        <v>30225</v>
      </c>
      <c r="B537" s="25">
        <f>VLOOKUP(Table1[[#This Row],[Date]],Database!A:D,3,)</f>
        <v/>
      </c>
      <c r="C537" s="26">
        <f>B537-B536</f>
        <v/>
      </c>
      <c r="D537" s="26">
        <f>AVERAGE(C535:C537)</f>
        <v/>
      </c>
      <c r="E537" s="59">
        <f>VLOOKUP(Table1[[#This Row],[Date]],Database!A:D,4,)</f>
        <v/>
      </c>
      <c r="F537" s="59">
        <f>VLOOKUP(Table1[[#This Row],[Date]],Database!A:D,2,)</f>
        <v/>
      </c>
      <c r="G537" s="56" t="n"/>
    </row>
    <row r="538">
      <c r="A538" s="55" t="n">
        <v>30256</v>
      </c>
      <c r="B538" s="25">
        <f>VLOOKUP(Table1[[#This Row],[Date]],Database!A:D,3,)</f>
        <v/>
      </c>
      <c r="C538" s="26">
        <f>B538-B537</f>
        <v/>
      </c>
      <c r="D538" s="26">
        <f>AVERAGE(C536:C538)</f>
        <v/>
      </c>
      <c r="E538" s="59">
        <f>VLOOKUP(Table1[[#This Row],[Date]],Database!A:D,4,)</f>
        <v/>
      </c>
      <c r="F538" s="59">
        <f>VLOOKUP(Table1[[#This Row],[Date]],Database!A:D,2,)</f>
        <v/>
      </c>
      <c r="G538" s="56" t="n"/>
    </row>
    <row r="539">
      <c r="A539" s="55" t="n">
        <v>30286</v>
      </c>
      <c r="B539" s="25">
        <f>VLOOKUP(Table1[[#This Row],[Date]],Database!A:D,3,)</f>
        <v/>
      </c>
      <c r="C539" s="26">
        <f>B539-B538</f>
        <v/>
      </c>
      <c r="D539" s="26">
        <f>AVERAGE(C537:C539)</f>
        <v/>
      </c>
      <c r="E539" s="59">
        <f>VLOOKUP(Table1[[#This Row],[Date]],Database!A:D,4,)</f>
        <v/>
      </c>
      <c r="F539" s="59">
        <f>VLOOKUP(Table1[[#This Row],[Date]],Database!A:D,2,)</f>
        <v/>
      </c>
      <c r="G539" s="56" t="n"/>
    </row>
    <row r="540">
      <c r="A540" s="55" t="n">
        <v>30317</v>
      </c>
      <c r="B540" s="25">
        <f>VLOOKUP(Table1[[#This Row],[Date]],Database!A:D,3,)</f>
        <v/>
      </c>
      <c r="C540" s="26">
        <f>B540-B539</f>
        <v/>
      </c>
      <c r="D540" s="26">
        <f>AVERAGE(C538:C540)</f>
        <v/>
      </c>
      <c r="E540" s="59">
        <f>VLOOKUP(Table1[[#This Row],[Date]],Database!A:D,4,)</f>
        <v/>
      </c>
      <c r="F540" s="59">
        <f>VLOOKUP(Table1[[#This Row],[Date]],Database!A:D,2,)</f>
        <v/>
      </c>
      <c r="G540" s="56" t="n"/>
    </row>
    <row r="541">
      <c r="A541" s="55" t="n">
        <v>30348</v>
      </c>
      <c r="B541" s="25">
        <f>VLOOKUP(Table1[[#This Row],[Date]],Database!A:D,3,)</f>
        <v/>
      </c>
      <c r="C541" s="26">
        <f>B541-B540</f>
        <v/>
      </c>
      <c r="D541" s="26">
        <f>AVERAGE(C539:C541)</f>
        <v/>
      </c>
      <c r="E541" s="59">
        <f>VLOOKUP(Table1[[#This Row],[Date]],Database!A:D,4,)</f>
        <v/>
      </c>
      <c r="F541" s="59">
        <f>VLOOKUP(Table1[[#This Row],[Date]],Database!A:D,2,)</f>
        <v/>
      </c>
      <c r="G541" s="56" t="n"/>
    </row>
    <row r="542">
      <c r="A542" s="55" t="n">
        <v>30376</v>
      </c>
      <c r="B542" s="25">
        <f>VLOOKUP(Table1[[#This Row],[Date]],Database!A:D,3,)</f>
        <v/>
      </c>
      <c r="C542" s="26">
        <f>B542-B541</f>
        <v/>
      </c>
      <c r="D542" s="26">
        <f>AVERAGE(C540:C542)</f>
        <v/>
      </c>
      <c r="E542" s="59">
        <f>VLOOKUP(Table1[[#This Row],[Date]],Database!A:D,4,)</f>
        <v/>
      </c>
      <c r="F542" s="59">
        <f>VLOOKUP(Table1[[#This Row],[Date]],Database!A:D,2,)</f>
        <v/>
      </c>
      <c r="G542" s="56" t="n"/>
    </row>
    <row r="543">
      <c r="A543" s="55" t="n">
        <v>30407</v>
      </c>
      <c r="B543" s="25">
        <f>VLOOKUP(Table1[[#This Row],[Date]],Database!A:D,3,)</f>
        <v/>
      </c>
      <c r="C543" s="26">
        <f>B543-B542</f>
        <v/>
      </c>
      <c r="D543" s="26">
        <f>AVERAGE(C541:C543)</f>
        <v/>
      </c>
      <c r="E543" s="59">
        <f>VLOOKUP(Table1[[#This Row],[Date]],Database!A:D,4,)</f>
        <v/>
      </c>
      <c r="F543" s="59">
        <f>VLOOKUP(Table1[[#This Row],[Date]],Database!A:D,2,)</f>
        <v/>
      </c>
      <c r="G543" s="56" t="n"/>
    </row>
    <row r="544">
      <c r="A544" s="55" t="n">
        <v>30437</v>
      </c>
      <c r="B544" s="25">
        <f>VLOOKUP(Table1[[#This Row],[Date]],Database!A:D,3,)</f>
        <v/>
      </c>
      <c r="C544" s="26">
        <f>B544-B543</f>
        <v/>
      </c>
      <c r="D544" s="26">
        <f>AVERAGE(C542:C544)</f>
        <v/>
      </c>
      <c r="E544" s="59">
        <f>VLOOKUP(Table1[[#This Row],[Date]],Database!A:D,4,)</f>
        <v/>
      </c>
      <c r="F544" s="59">
        <f>VLOOKUP(Table1[[#This Row],[Date]],Database!A:D,2,)</f>
        <v/>
      </c>
      <c r="G544" s="56" t="n"/>
    </row>
    <row r="545">
      <c r="A545" s="55" t="n">
        <v>30468</v>
      </c>
      <c r="B545" s="25">
        <f>VLOOKUP(Table1[[#This Row],[Date]],Database!A:D,3,)</f>
        <v/>
      </c>
      <c r="C545" s="26">
        <f>B545-B544</f>
        <v/>
      </c>
      <c r="D545" s="26">
        <f>AVERAGE(C543:C545)</f>
        <v/>
      </c>
      <c r="E545" s="59">
        <f>VLOOKUP(Table1[[#This Row],[Date]],Database!A:D,4,)</f>
        <v/>
      </c>
      <c r="F545" s="59">
        <f>VLOOKUP(Table1[[#This Row],[Date]],Database!A:D,2,)</f>
        <v/>
      </c>
      <c r="G545" s="56" t="n"/>
    </row>
    <row r="546">
      <c r="A546" s="55" t="n">
        <v>30498</v>
      </c>
      <c r="B546" s="25">
        <f>VLOOKUP(Table1[[#This Row],[Date]],Database!A:D,3,)</f>
        <v/>
      </c>
      <c r="C546" s="26">
        <f>B546-B545</f>
        <v/>
      </c>
      <c r="D546" s="26">
        <f>AVERAGE(C544:C546)</f>
        <v/>
      </c>
      <c r="E546" s="59">
        <f>VLOOKUP(Table1[[#This Row],[Date]],Database!A:D,4,)</f>
        <v/>
      </c>
      <c r="F546" s="59">
        <f>VLOOKUP(Table1[[#This Row],[Date]],Database!A:D,2,)</f>
        <v/>
      </c>
      <c r="G546" s="56" t="n"/>
    </row>
    <row r="547">
      <c r="A547" s="55" t="n">
        <v>30529</v>
      </c>
      <c r="B547" s="25">
        <f>VLOOKUP(Table1[[#This Row],[Date]],Database!A:D,3,)</f>
        <v/>
      </c>
      <c r="C547" s="26">
        <f>B547-B546</f>
        <v/>
      </c>
      <c r="D547" s="26">
        <f>AVERAGE(C545:C547)</f>
        <v/>
      </c>
      <c r="E547" s="59">
        <f>VLOOKUP(Table1[[#This Row],[Date]],Database!A:D,4,)</f>
        <v/>
      </c>
      <c r="F547" s="59">
        <f>VLOOKUP(Table1[[#This Row],[Date]],Database!A:D,2,)</f>
        <v/>
      </c>
      <c r="G547" s="56" t="n"/>
    </row>
    <row r="548">
      <c r="A548" s="55" t="n">
        <v>30560</v>
      </c>
      <c r="B548" s="25">
        <f>VLOOKUP(Table1[[#This Row],[Date]],Database!A:D,3,)</f>
        <v/>
      </c>
      <c r="C548" s="26">
        <f>B548-B547</f>
        <v/>
      </c>
      <c r="D548" s="26">
        <f>AVERAGE(C546:C548)</f>
        <v/>
      </c>
      <c r="E548" s="59">
        <f>VLOOKUP(Table1[[#This Row],[Date]],Database!A:D,4,)</f>
        <v/>
      </c>
      <c r="F548" s="59">
        <f>VLOOKUP(Table1[[#This Row],[Date]],Database!A:D,2,)</f>
        <v/>
      </c>
      <c r="G548" s="56" t="n"/>
    </row>
    <row r="549">
      <c r="A549" s="55" t="n">
        <v>30590</v>
      </c>
      <c r="B549" s="25">
        <f>VLOOKUP(Table1[[#This Row],[Date]],Database!A:D,3,)</f>
        <v/>
      </c>
      <c r="C549" s="26">
        <f>B549-B548</f>
        <v/>
      </c>
      <c r="D549" s="26">
        <f>AVERAGE(C547:C549)</f>
        <v/>
      </c>
      <c r="E549" s="59">
        <f>VLOOKUP(Table1[[#This Row],[Date]],Database!A:D,4,)</f>
        <v/>
      </c>
      <c r="F549" s="59">
        <f>VLOOKUP(Table1[[#This Row],[Date]],Database!A:D,2,)</f>
        <v/>
      </c>
      <c r="G549" s="56" t="n"/>
    </row>
    <row r="550">
      <c r="A550" s="55" t="n">
        <v>30621</v>
      </c>
      <c r="B550" s="25">
        <f>VLOOKUP(Table1[[#This Row],[Date]],Database!A:D,3,)</f>
        <v/>
      </c>
      <c r="C550" s="26">
        <f>B550-B549</f>
        <v/>
      </c>
      <c r="D550" s="26">
        <f>AVERAGE(C548:C550)</f>
        <v/>
      </c>
      <c r="E550" s="59">
        <f>VLOOKUP(Table1[[#This Row],[Date]],Database!A:D,4,)</f>
        <v/>
      </c>
      <c r="F550" s="59">
        <f>VLOOKUP(Table1[[#This Row],[Date]],Database!A:D,2,)</f>
        <v/>
      </c>
      <c r="G550" s="56" t="n"/>
    </row>
    <row r="551">
      <c r="A551" s="55" t="n">
        <v>30651</v>
      </c>
      <c r="B551" s="25">
        <f>VLOOKUP(Table1[[#This Row],[Date]],Database!A:D,3,)</f>
        <v/>
      </c>
      <c r="C551" s="26">
        <f>B551-B550</f>
        <v/>
      </c>
      <c r="D551" s="26">
        <f>AVERAGE(C549:C551)</f>
        <v/>
      </c>
      <c r="E551" s="59">
        <f>VLOOKUP(Table1[[#This Row],[Date]],Database!A:D,4,)</f>
        <v/>
      </c>
      <c r="F551" s="59">
        <f>VLOOKUP(Table1[[#This Row],[Date]],Database!A:D,2,)</f>
        <v/>
      </c>
      <c r="G551" s="56" t="n"/>
    </row>
    <row r="552">
      <c r="A552" s="55" t="n">
        <v>30682</v>
      </c>
      <c r="B552" s="25">
        <f>VLOOKUP(Table1[[#This Row],[Date]],Database!A:D,3,)</f>
        <v/>
      </c>
      <c r="C552" s="26">
        <f>B552-B551</f>
        <v/>
      </c>
      <c r="D552" s="26">
        <f>AVERAGE(C550:C552)</f>
        <v/>
      </c>
      <c r="E552" s="59">
        <f>VLOOKUP(Table1[[#This Row],[Date]],Database!A:D,4,)</f>
        <v/>
      </c>
      <c r="F552" s="59">
        <f>VLOOKUP(Table1[[#This Row],[Date]],Database!A:D,2,)</f>
        <v/>
      </c>
      <c r="G552" s="56" t="n"/>
    </row>
    <row r="553">
      <c r="A553" s="55" t="n">
        <v>30713</v>
      </c>
      <c r="B553" s="25">
        <f>VLOOKUP(Table1[[#This Row],[Date]],Database!A:D,3,)</f>
        <v/>
      </c>
      <c r="C553" s="26">
        <f>B553-B552</f>
        <v/>
      </c>
      <c r="D553" s="26">
        <f>AVERAGE(C551:C553)</f>
        <v/>
      </c>
      <c r="E553" s="59">
        <f>VLOOKUP(Table1[[#This Row],[Date]],Database!A:D,4,)</f>
        <v/>
      </c>
      <c r="F553" s="59">
        <f>VLOOKUP(Table1[[#This Row],[Date]],Database!A:D,2,)</f>
        <v/>
      </c>
      <c r="G553" s="56" t="n"/>
    </row>
    <row r="554">
      <c r="A554" s="55" t="n">
        <v>30742</v>
      </c>
      <c r="B554" s="25">
        <f>VLOOKUP(Table1[[#This Row],[Date]],Database!A:D,3,)</f>
        <v/>
      </c>
      <c r="C554" s="26">
        <f>B554-B553</f>
        <v/>
      </c>
      <c r="D554" s="26">
        <f>AVERAGE(C552:C554)</f>
        <v/>
      </c>
      <c r="E554" s="59">
        <f>VLOOKUP(Table1[[#This Row],[Date]],Database!A:D,4,)</f>
        <v/>
      </c>
      <c r="F554" s="59">
        <f>VLOOKUP(Table1[[#This Row],[Date]],Database!A:D,2,)</f>
        <v/>
      </c>
      <c r="G554" s="56" t="n"/>
    </row>
    <row r="555">
      <c r="A555" s="55" t="n">
        <v>30773</v>
      </c>
      <c r="B555" s="25">
        <f>VLOOKUP(Table1[[#This Row],[Date]],Database!A:D,3,)</f>
        <v/>
      </c>
      <c r="C555" s="26">
        <f>B555-B554</f>
        <v/>
      </c>
      <c r="D555" s="26">
        <f>AVERAGE(C553:C555)</f>
        <v/>
      </c>
      <c r="E555" s="59">
        <f>VLOOKUP(Table1[[#This Row],[Date]],Database!A:D,4,)</f>
        <v/>
      </c>
      <c r="F555" s="59">
        <f>VLOOKUP(Table1[[#This Row],[Date]],Database!A:D,2,)</f>
        <v/>
      </c>
      <c r="G555" s="56" t="n"/>
    </row>
    <row r="556">
      <c r="A556" s="55" t="n">
        <v>30803</v>
      </c>
      <c r="B556" s="25">
        <f>VLOOKUP(Table1[[#This Row],[Date]],Database!A:D,3,)</f>
        <v/>
      </c>
      <c r="C556" s="26">
        <f>B556-B555</f>
        <v/>
      </c>
      <c r="D556" s="26">
        <f>AVERAGE(C554:C556)</f>
        <v/>
      </c>
      <c r="E556" s="59">
        <f>VLOOKUP(Table1[[#This Row],[Date]],Database!A:D,4,)</f>
        <v/>
      </c>
      <c r="F556" s="59">
        <f>VLOOKUP(Table1[[#This Row],[Date]],Database!A:D,2,)</f>
        <v/>
      </c>
      <c r="G556" s="56" t="n"/>
    </row>
    <row r="557">
      <c r="A557" s="55" t="n">
        <v>30834</v>
      </c>
      <c r="B557" s="25">
        <f>VLOOKUP(Table1[[#This Row],[Date]],Database!A:D,3,)</f>
        <v/>
      </c>
      <c r="C557" s="26">
        <f>B557-B556</f>
        <v/>
      </c>
      <c r="D557" s="26">
        <f>AVERAGE(C555:C557)</f>
        <v/>
      </c>
      <c r="E557" s="59">
        <f>VLOOKUP(Table1[[#This Row],[Date]],Database!A:D,4,)</f>
        <v/>
      </c>
      <c r="F557" s="59">
        <f>VLOOKUP(Table1[[#This Row],[Date]],Database!A:D,2,)</f>
        <v/>
      </c>
      <c r="G557" s="56" t="n"/>
    </row>
    <row r="558">
      <c r="A558" s="55" t="n">
        <v>30864</v>
      </c>
      <c r="B558" s="25">
        <f>VLOOKUP(Table1[[#This Row],[Date]],Database!A:D,3,)</f>
        <v/>
      </c>
      <c r="C558" s="26">
        <f>B558-B557</f>
        <v/>
      </c>
      <c r="D558" s="26">
        <f>AVERAGE(C556:C558)</f>
        <v/>
      </c>
      <c r="E558" s="59">
        <f>VLOOKUP(Table1[[#This Row],[Date]],Database!A:D,4,)</f>
        <v/>
      </c>
      <c r="F558" s="59">
        <f>VLOOKUP(Table1[[#This Row],[Date]],Database!A:D,2,)</f>
        <v/>
      </c>
      <c r="G558" s="56" t="n"/>
    </row>
    <row r="559">
      <c r="A559" s="55" t="n">
        <v>30895</v>
      </c>
      <c r="B559" s="25">
        <f>VLOOKUP(Table1[[#This Row],[Date]],Database!A:D,3,)</f>
        <v/>
      </c>
      <c r="C559" s="26">
        <f>B559-B558</f>
        <v/>
      </c>
      <c r="D559" s="26">
        <f>AVERAGE(C557:C559)</f>
        <v/>
      </c>
      <c r="E559" s="59">
        <f>VLOOKUP(Table1[[#This Row],[Date]],Database!A:D,4,)</f>
        <v/>
      </c>
      <c r="F559" s="59">
        <f>VLOOKUP(Table1[[#This Row],[Date]],Database!A:D,2,)</f>
        <v/>
      </c>
      <c r="G559" s="56" t="n"/>
    </row>
    <row r="560">
      <c r="A560" s="55" t="n">
        <v>30926</v>
      </c>
      <c r="B560" s="25">
        <f>VLOOKUP(Table1[[#This Row],[Date]],Database!A:D,3,)</f>
        <v/>
      </c>
      <c r="C560" s="26">
        <f>B560-B559</f>
        <v/>
      </c>
      <c r="D560" s="26">
        <f>AVERAGE(C558:C560)</f>
        <v/>
      </c>
      <c r="E560" s="59">
        <f>VLOOKUP(Table1[[#This Row],[Date]],Database!A:D,4,)</f>
        <v/>
      </c>
      <c r="F560" s="59">
        <f>VLOOKUP(Table1[[#This Row],[Date]],Database!A:D,2,)</f>
        <v/>
      </c>
      <c r="G560" s="56" t="n"/>
    </row>
    <row r="561">
      <c r="A561" s="55" t="n">
        <v>30956</v>
      </c>
      <c r="B561" s="25">
        <f>VLOOKUP(Table1[[#This Row],[Date]],Database!A:D,3,)</f>
        <v/>
      </c>
      <c r="C561" s="26">
        <f>B561-B560</f>
        <v/>
      </c>
      <c r="D561" s="26">
        <f>AVERAGE(C559:C561)</f>
        <v/>
      </c>
      <c r="E561" s="59">
        <f>VLOOKUP(Table1[[#This Row],[Date]],Database!A:D,4,)</f>
        <v/>
      </c>
      <c r="F561" s="59">
        <f>VLOOKUP(Table1[[#This Row],[Date]],Database!A:D,2,)</f>
        <v/>
      </c>
      <c r="G561" s="56" t="n"/>
    </row>
    <row r="562">
      <c r="A562" s="55" t="n">
        <v>30987</v>
      </c>
      <c r="B562" s="25">
        <f>VLOOKUP(Table1[[#This Row],[Date]],Database!A:D,3,)</f>
        <v/>
      </c>
      <c r="C562" s="26">
        <f>B562-B561</f>
        <v/>
      </c>
      <c r="D562" s="26">
        <f>AVERAGE(C560:C562)</f>
        <v/>
      </c>
      <c r="E562" s="59">
        <f>VLOOKUP(Table1[[#This Row],[Date]],Database!A:D,4,)</f>
        <v/>
      </c>
      <c r="F562" s="59">
        <f>VLOOKUP(Table1[[#This Row],[Date]],Database!A:D,2,)</f>
        <v/>
      </c>
      <c r="G562" s="56" t="n"/>
    </row>
    <row r="563">
      <c r="A563" s="55" t="n">
        <v>31017</v>
      </c>
      <c r="B563" s="25">
        <f>VLOOKUP(Table1[[#This Row],[Date]],Database!A:D,3,)</f>
        <v/>
      </c>
      <c r="C563" s="26">
        <f>B563-B562</f>
        <v/>
      </c>
      <c r="D563" s="26">
        <f>AVERAGE(C561:C563)</f>
        <v/>
      </c>
      <c r="E563" s="59">
        <f>VLOOKUP(Table1[[#This Row],[Date]],Database!A:D,4,)</f>
        <v/>
      </c>
      <c r="F563" s="59">
        <f>VLOOKUP(Table1[[#This Row],[Date]],Database!A:D,2,)</f>
        <v/>
      </c>
      <c r="G563" s="56" t="n"/>
    </row>
    <row r="564">
      <c r="A564" s="55" t="n">
        <v>31048</v>
      </c>
      <c r="B564" s="25">
        <f>VLOOKUP(Table1[[#This Row],[Date]],Database!A:D,3,)</f>
        <v/>
      </c>
      <c r="C564" s="26">
        <f>B564-B563</f>
        <v/>
      </c>
      <c r="D564" s="26">
        <f>AVERAGE(C562:C564)</f>
        <v/>
      </c>
      <c r="E564" s="59">
        <f>VLOOKUP(Table1[[#This Row],[Date]],Database!A:D,4,)</f>
        <v/>
      </c>
      <c r="F564" s="59">
        <f>VLOOKUP(Table1[[#This Row],[Date]],Database!A:D,2,)</f>
        <v/>
      </c>
      <c r="G564" s="56" t="n"/>
    </row>
    <row r="565">
      <c r="A565" s="55" t="n">
        <v>31079</v>
      </c>
      <c r="B565" s="25">
        <f>VLOOKUP(Table1[[#This Row],[Date]],Database!A:D,3,)</f>
        <v/>
      </c>
      <c r="C565" s="26">
        <f>B565-B564</f>
        <v/>
      </c>
      <c r="D565" s="26">
        <f>AVERAGE(C563:C565)</f>
        <v/>
      </c>
      <c r="E565" s="59">
        <f>VLOOKUP(Table1[[#This Row],[Date]],Database!A:D,4,)</f>
        <v/>
      </c>
      <c r="F565" s="59">
        <f>VLOOKUP(Table1[[#This Row],[Date]],Database!A:D,2,)</f>
        <v/>
      </c>
      <c r="G565" s="56" t="n"/>
    </row>
    <row r="566">
      <c r="A566" s="55" t="n">
        <v>31107</v>
      </c>
      <c r="B566" s="25">
        <f>VLOOKUP(Table1[[#This Row],[Date]],Database!A:D,3,)</f>
        <v/>
      </c>
      <c r="C566" s="26">
        <f>B566-B565</f>
        <v/>
      </c>
      <c r="D566" s="26">
        <f>AVERAGE(C564:C566)</f>
        <v/>
      </c>
      <c r="E566" s="59">
        <f>VLOOKUP(Table1[[#This Row],[Date]],Database!A:D,4,)</f>
        <v/>
      </c>
      <c r="F566" s="59">
        <f>VLOOKUP(Table1[[#This Row],[Date]],Database!A:D,2,)</f>
        <v/>
      </c>
      <c r="G566" s="56" t="n"/>
    </row>
    <row r="567">
      <c r="A567" s="55" t="n">
        <v>31138</v>
      </c>
      <c r="B567" s="25">
        <f>VLOOKUP(Table1[[#This Row],[Date]],Database!A:D,3,)</f>
        <v/>
      </c>
      <c r="C567" s="26">
        <f>B567-B566</f>
        <v/>
      </c>
      <c r="D567" s="26">
        <f>AVERAGE(C565:C567)</f>
        <v/>
      </c>
      <c r="E567" s="59">
        <f>VLOOKUP(Table1[[#This Row],[Date]],Database!A:D,4,)</f>
        <v/>
      </c>
      <c r="F567" s="59">
        <f>VLOOKUP(Table1[[#This Row],[Date]],Database!A:D,2,)</f>
        <v/>
      </c>
      <c r="G567" s="56" t="n"/>
    </row>
    <row r="568">
      <c r="A568" s="55" t="n">
        <v>31168</v>
      </c>
      <c r="B568" s="25">
        <f>VLOOKUP(Table1[[#This Row],[Date]],Database!A:D,3,)</f>
        <v/>
      </c>
      <c r="C568" s="26">
        <f>B568-B567</f>
        <v/>
      </c>
      <c r="D568" s="26">
        <f>AVERAGE(C566:C568)</f>
        <v/>
      </c>
      <c r="E568" s="59">
        <f>VLOOKUP(Table1[[#This Row],[Date]],Database!A:D,4,)</f>
        <v/>
      </c>
      <c r="F568" s="59">
        <f>VLOOKUP(Table1[[#This Row],[Date]],Database!A:D,2,)</f>
        <v/>
      </c>
      <c r="G568" s="56" t="n"/>
    </row>
    <row r="569">
      <c r="A569" s="55" t="n">
        <v>31199</v>
      </c>
      <c r="B569" s="25">
        <f>VLOOKUP(Table1[[#This Row],[Date]],Database!A:D,3,)</f>
        <v/>
      </c>
      <c r="C569" s="26">
        <f>B569-B568</f>
        <v/>
      </c>
      <c r="D569" s="26">
        <f>AVERAGE(C567:C569)</f>
        <v/>
      </c>
      <c r="E569" s="59">
        <f>VLOOKUP(Table1[[#This Row],[Date]],Database!A:D,4,)</f>
        <v/>
      </c>
      <c r="F569" s="59">
        <f>VLOOKUP(Table1[[#This Row],[Date]],Database!A:D,2,)</f>
        <v/>
      </c>
      <c r="G569" s="56" t="n"/>
    </row>
    <row r="570">
      <c r="A570" s="55" t="n">
        <v>31229</v>
      </c>
      <c r="B570" s="25">
        <f>VLOOKUP(Table1[[#This Row],[Date]],Database!A:D,3,)</f>
        <v/>
      </c>
      <c r="C570" s="26">
        <f>B570-B569</f>
        <v/>
      </c>
      <c r="D570" s="26">
        <f>AVERAGE(C568:C570)</f>
        <v/>
      </c>
      <c r="E570" s="59">
        <f>VLOOKUP(Table1[[#This Row],[Date]],Database!A:D,4,)</f>
        <v/>
      </c>
      <c r="F570" s="59">
        <f>VLOOKUP(Table1[[#This Row],[Date]],Database!A:D,2,)</f>
        <v/>
      </c>
      <c r="G570" s="56" t="n"/>
    </row>
    <row r="571">
      <c r="A571" s="55" t="n">
        <v>31260</v>
      </c>
      <c r="B571" s="25">
        <f>VLOOKUP(Table1[[#This Row],[Date]],Database!A:D,3,)</f>
        <v/>
      </c>
      <c r="C571" s="26">
        <f>B571-B570</f>
        <v/>
      </c>
      <c r="D571" s="26">
        <f>AVERAGE(C569:C571)</f>
        <v/>
      </c>
      <c r="E571" s="59">
        <f>VLOOKUP(Table1[[#This Row],[Date]],Database!A:D,4,)</f>
        <v/>
      </c>
      <c r="F571" s="59">
        <f>VLOOKUP(Table1[[#This Row],[Date]],Database!A:D,2,)</f>
        <v/>
      </c>
      <c r="G571" s="56" t="n"/>
    </row>
    <row r="572">
      <c r="A572" s="55" t="n">
        <v>31291</v>
      </c>
      <c r="B572" s="25">
        <f>VLOOKUP(Table1[[#This Row],[Date]],Database!A:D,3,)</f>
        <v/>
      </c>
      <c r="C572" s="26">
        <f>B572-B571</f>
        <v/>
      </c>
      <c r="D572" s="26">
        <f>AVERAGE(C570:C572)</f>
        <v/>
      </c>
      <c r="E572" s="59">
        <f>VLOOKUP(Table1[[#This Row],[Date]],Database!A:D,4,)</f>
        <v/>
      </c>
      <c r="F572" s="59">
        <f>VLOOKUP(Table1[[#This Row],[Date]],Database!A:D,2,)</f>
        <v/>
      </c>
      <c r="G572" s="56" t="n"/>
    </row>
    <row r="573">
      <c r="A573" s="55" t="n">
        <v>31321</v>
      </c>
      <c r="B573" s="25">
        <f>VLOOKUP(Table1[[#This Row],[Date]],Database!A:D,3,)</f>
        <v/>
      </c>
      <c r="C573" s="26">
        <f>B573-B572</f>
        <v/>
      </c>
      <c r="D573" s="26">
        <f>AVERAGE(C571:C573)</f>
        <v/>
      </c>
      <c r="E573" s="59">
        <f>VLOOKUP(Table1[[#This Row],[Date]],Database!A:D,4,)</f>
        <v/>
      </c>
      <c r="F573" s="59">
        <f>VLOOKUP(Table1[[#This Row],[Date]],Database!A:D,2,)</f>
        <v/>
      </c>
      <c r="G573" s="56" t="n"/>
    </row>
    <row r="574">
      <c r="A574" s="55" t="n">
        <v>31352</v>
      </c>
      <c r="B574" s="25">
        <f>VLOOKUP(Table1[[#This Row],[Date]],Database!A:D,3,)</f>
        <v/>
      </c>
      <c r="C574" s="26">
        <f>B574-B573</f>
        <v/>
      </c>
      <c r="D574" s="26">
        <f>AVERAGE(C572:C574)</f>
        <v/>
      </c>
      <c r="E574" s="59">
        <f>VLOOKUP(Table1[[#This Row],[Date]],Database!A:D,4,)</f>
        <v/>
      </c>
      <c r="F574" s="59">
        <f>VLOOKUP(Table1[[#This Row],[Date]],Database!A:D,2,)</f>
        <v/>
      </c>
      <c r="G574" s="56" t="n"/>
    </row>
    <row r="575">
      <c r="A575" s="55" t="n">
        <v>31382</v>
      </c>
      <c r="B575" s="25">
        <f>VLOOKUP(Table1[[#This Row],[Date]],Database!A:D,3,)</f>
        <v/>
      </c>
      <c r="C575" s="26">
        <f>B575-B574</f>
        <v/>
      </c>
      <c r="D575" s="26">
        <f>AVERAGE(C573:C575)</f>
        <v/>
      </c>
      <c r="E575" s="59">
        <f>VLOOKUP(Table1[[#This Row],[Date]],Database!A:D,4,)</f>
        <v/>
      </c>
      <c r="F575" s="59">
        <f>VLOOKUP(Table1[[#This Row],[Date]],Database!A:D,2,)</f>
        <v/>
      </c>
      <c r="G575" s="56" t="n"/>
    </row>
    <row r="576">
      <c r="A576" s="55" t="n">
        <v>31413</v>
      </c>
      <c r="B576" s="25">
        <f>VLOOKUP(Table1[[#This Row],[Date]],Database!A:D,3,)</f>
        <v/>
      </c>
      <c r="C576" s="26">
        <f>B576-B575</f>
        <v/>
      </c>
      <c r="D576" s="26">
        <f>AVERAGE(C574:C576)</f>
        <v/>
      </c>
      <c r="E576" s="59">
        <f>VLOOKUP(Table1[[#This Row],[Date]],Database!A:D,4,)</f>
        <v/>
      </c>
      <c r="F576" s="59">
        <f>VLOOKUP(Table1[[#This Row],[Date]],Database!A:D,2,)</f>
        <v/>
      </c>
      <c r="G576" s="56" t="n"/>
    </row>
    <row r="577">
      <c r="A577" s="55" t="n">
        <v>31444</v>
      </c>
      <c r="B577" s="25">
        <f>VLOOKUP(Table1[[#This Row],[Date]],Database!A:D,3,)</f>
        <v/>
      </c>
      <c r="C577" s="26">
        <f>B577-B576</f>
        <v/>
      </c>
      <c r="D577" s="26">
        <f>AVERAGE(C575:C577)</f>
        <v/>
      </c>
      <c r="E577" s="59">
        <f>VLOOKUP(Table1[[#This Row],[Date]],Database!A:D,4,)</f>
        <v/>
      </c>
      <c r="F577" s="59">
        <f>VLOOKUP(Table1[[#This Row],[Date]],Database!A:D,2,)</f>
        <v/>
      </c>
      <c r="G577" s="56" t="n"/>
    </row>
    <row r="578">
      <c r="A578" s="55" t="n">
        <v>31472</v>
      </c>
      <c r="B578" s="25">
        <f>VLOOKUP(Table1[[#This Row],[Date]],Database!A:D,3,)</f>
        <v/>
      </c>
      <c r="C578" s="26">
        <f>B578-B577</f>
        <v/>
      </c>
      <c r="D578" s="26">
        <f>AVERAGE(C576:C578)</f>
        <v/>
      </c>
      <c r="E578" s="59">
        <f>VLOOKUP(Table1[[#This Row],[Date]],Database!A:D,4,)</f>
        <v/>
      </c>
      <c r="F578" s="59">
        <f>VLOOKUP(Table1[[#This Row],[Date]],Database!A:D,2,)</f>
        <v/>
      </c>
      <c r="G578" s="56" t="n"/>
    </row>
    <row r="579">
      <c r="A579" s="55" t="n">
        <v>31503</v>
      </c>
      <c r="B579" s="25">
        <f>VLOOKUP(Table1[[#This Row],[Date]],Database!A:D,3,)</f>
        <v/>
      </c>
      <c r="C579" s="26">
        <f>B579-B578</f>
        <v/>
      </c>
      <c r="D579" s="26">
        <f>AVERAGE(C577:C579)</f>
        <v/>
      </c>
      <c r="E579" s="59">
        <f>VLOOKUP(Table1[[#This Row],[Date]],Database!A:D,4,)</f>
        <v/>
      </c>
      <c r="F579" s="59">
        <f>VLOOKUP(Table1[[#This Row],[Date]],Database!A:D,2,)</f>
        <v/>
      </c>
      <c r="G579" s="56" t="n"/>
    </row>
    <row r="580">
      <c r="A580" s="55" t="n">
        <v>31533</v>
      </c>
      <c r="B580" s="25">
        <f>VLOOKUP(Table1[[#This Row],[Date]],Database!A:D,3,)</f>
        <v/>
      </c>
      <c r="C580" s="26">
        <f>B580-B579</f>
        <v/>
      </c>
      <c r="D580" s="26">
        <f>AVERAGE(C578:C580)</f>
        <v/>
      </c>
      <c r="E580" s="59">
        <f>VLOOKUP(Table1[[#This Row],[Date]],Database!A:D,4,)</f>
        <v/>
      </c>
      <c r="F580" s="59">
        <f>VLOOKUP(Table1[[#This Row],[Date]],Database!A:D,2,)</f>
        <v/>
      </c>
      <c r="G580" s="56" t="n"/>
    </row>
    <row r="581">
      <c r="A581" s="55" t="n">
        <v>31564</v>
      </c>
      <c r="B581" s="25">
        <f>VLOOKUP(Table1[[#This Row],[Date]],Database!A:D,3,)</f>
        <v/>
      </c>
      <c r="C581" s="26">
        <f>B581-B580</f>
        <v/>
      </c>
      <c r="D581" s="26">
        <f>AVERAGE(C579:C581)</f>
        <v/>
      </c>
      <c r="E581" s="59">
        <f>VLOOKUP(Table1[[#This Row],[Date]],Database!A:D,4,)</f>
        <v/>
      </c>
      <c r="F581" s="59">
        <f>VLOOKUP(Table1[[#This Row],[Date]],Database!A:D,2,)</f>
        <v/>
      </c>
      <c r="G581" s="56" t="n"/>
    </row>
    <row r="582">
      <c r="A582" s="55" t="n">
        <v>31594</v>
      </c>
      <c r="B582" s="25">
        <f>VLOOKUP(Table1[[#This Row],[Date]],Database!A:D,3,)</f>
        <v/>
      </c>
      <c r="C582" s="26">
        <f>B582-B581</f>
        <v/>
      </c>
      <c r="D582" s="26">
        <f>AVERAGE(C580:C582)</f>
        <v/>
      </c>
      <c r="E582" s="59">
        <f>VLOOKUP(Table1[[#This Row],[Date]],Database!A:D,4,)</f>
        <v/>
      </c>
      <c r="F582" s="59">
        <f>VLOOKUP(Table1[[#This Row],[Date]],Database!A:D,2,)</f>
        <v/>
      </c>
      <c r="G582" s="56" t="n"/>
    </row>
    <row r="583">
      <c r="A583" s="55" t="n">
        <v>31625</v>
      </c>
      <c r="B583" s="25">
        <f>VLOOKUP(Table1[[#This Row],[Date]],Database!A:D,3,)</f>
        <v/>
      </c>
      <c r="C583" s="26">
        <f>B583-B582</f>
        <v/>
      </c>
      <c r="D583" s="26">
        <f>AVERAGE(C581:C583)</f>
        <v/>
      </c>
      <c r="E583" s="59">
        <f>VLOOKUP(Table1[[#This Row],[Date]],Database!A:D,4,)</f>
        <v/>
      </c>
      <c r="F583" s="59">
        <f>VLOOKUP(Table1[[#This Row],[Date]],Database!A:D,2,)</f>
        <v/>
      </c>
      <c r="G583" s="56" t="n"/>
    </row>
    <row r="584">
      <c r="A584" s="55" t="n">
        <v>31656</v>
      </c>
      <c r="B584" s="25">
        <f>VLOOKUP(Table1[[#This Row],[Date]],Database!A:D,3,)</f>
        <v/>
      </c>
      <c r="C584" s="26">
        <f>B584-B583</f>
        <v/>
      </c>
      <c r="D584" s="26">
        <f>AVERAGE(C582:C584)</f>
        <v/>
      </c>
      <c r="E584" s="59">
        <f>VLOOKUP(Table1[[#This Row],[Date]],Database!A:D,4,)</f>
        <v/>
      </c>
      <c r="F584" s="59">
        <f>VLOOKUP(Table1[[#This Row],[Date]],Database!A:D,2,)</f>
        <v/>
      </c>
      <c r="G584" s="56" t="n"/>
    </row>
    <row r="585">
      <c r="A585" s="55" t="n">
        <v>31686</v>
      </c>
      <c r="B585" s="25">
        <f>VLOOKUP(Table1[[#This Row],[Date]],Database!A:D,3,)</f>
        <v/>
      </c>
      <c r="C585" s="26">
        <f>B585-B584</f>
        <v/>
      </c>
      <c r="D585" s="26">
        <f>AVERAGE(C583:C585)</f>
        <v/>
      </c>
      <c r="E585" s="59">
        <f>VLOOKUP(Table1[[#This Row],[Date]],Database!A:D,4,)</f>
        <v/>
      </c>
      <c r="F585" s="59">
        <f>VLOOKUP(Table1[[#This Row],[Date]],Database!A:D,2,)</f>
        <v/>
      </c>
      <c r="G585" s="56" t="n"/>
    </row>
    <row r="586">
      <c r="A586" s="55" t="n">
        <v>31717</v>
      </c>
      <c r="B586" s="25">
        <f>VLOOKUP(Table1[[#This Row],[Date]],Database!A:D,3,)</f>
        <v/>
      </c>
      <c r="C586" s="26">
        <f>B586-B585</f>
        <v/>
      </c>
      <c r="D586" s="26">
        <f>AVERAGE(C584:C586)</f>
        <v/>
      </c>
      <c r="E586" s="59">
        <f>VLOOKUP(Table1[[#This Row],[Date]],Database!A:D,4,)</f>
        <v/>
      </c>
      <c r="F586" s="59">
        <f>VLOOKUP(Table1[[#This Row],[Date]],Database!A:D,2,)</f>
        <v/>
      </c>
      <c r="G586" s="56" t="n"/>
    </row>
    <row r="587">
      <c r="A587" s="55" t="n">
        <v>31747</v>
      </c>
      <c r="B587" s="25">
        <f>VLOOKUP(Table1[[#This Row],[Date]],Database!A:D,3,)</f>
        <v/>
      </c>
      <c r="C587" s="26">
        <f>B587-B586</f>
        <v/>
      </c>
      <c r="D587" s="26">
        <f>AVERAGE(C585:C587)</f>
        <v/>
      </c>
      <c r="E587" s="59">
        <f>VLOOKUP(Table1[[#This Row],[Date]],Database!A:D,4,)</f>
        <v/>
      </c>
      <c r="F587" s="59">
        <f>VLOOKUP(Table1[[#This Row],[Date]],Database!A:D,2,)</f>
        <v/>
      </c>
      <c r="G587" s="56" t="n"/>
    </row>
    <row r="588">
      <c r="A588" s="55" t="n">
        <v>31778</v>
      </c>
      <c r="B588" s="25">
        <f>VLOOKUP(Table1[[#This Row],[Date]],Database!A:D,3,)</f>
        <v/>
      </c>
      <c r="C588" s="26">
        <f>B588-B587</f>
        <v/>
      </c>
      <c r="D588" s="26">
        <f>AVERAGE(C586:C588)</f>
        <v/>
      </c>
      <c r="E588" s="59">
        <f>VLOOKUP(Table1[[#This Row],[Date]],Database!A:D,4,)</f>
        <v/>
      </c>
      <c r="F588" s="59">
        <f>VLOOKUP(Table1[[#This Row],[Date]],Database!A:D,2,)</f>
        <v/>
      </c>
      <c r="G588" s="56" t="n"/>
    </row>
    <row r="589">
      <c r="A589" s="55" t="n">
        <v>31809</v>
      </c>
      <c r="B589" s="25">
        <f>VLOOKUP(Table1[[#This Row],[Date]],Database!A:D,3,)</f>
        <v/>
      </c>
      <c r="C589" s="26">
        <f>B589-B588</f>
        <v/>
      </c>
      <c r="D589" s="26">
        <f>AVERAGE(C587:C589)</f>
        <v/>
      </c>
      <c r="E589" s="59">
        <f>VLOOKUP(Table1[[#This Row],[Date]],Database!A:D,4,)</f>
        <v/>
      </c>
      <c r="F589" s="59">
        <f>VLOOKUP(Table1[[#This Row],[Date]],Database!A:D,2,)</f>
        <v/>
      </c>
      <c r="G589" s="56" t="n"/>
    </row>
    <row r="590">
      <c r="A590" s="55" t="n">
        <v>31837</v>
      </c>
      <c r="B590" s="25">
        <f>VLOOKUP(Table1[[#This Row],[Date]],Database!A:D,3,)</f>
        <v/>
      </c>
      <c r="C590" s="26">
        <f>B590-B589</f>
        <v/>
      </c>
      <c r="D590" s="26">
        <f>AVERAGE(C588:C590)</f>
        <v/>
      </c>
      <c r="E590" s="59">
        <f>VLOOKUP(Table1[[#This Row],[Date]],Database!A:D,4,)</f>
        <v/>
      </c>
      <c r="F590" s="59">
        <f>VLOOKUP(Table1[[#This Row],[Date]],Database!A:D,2,)</f>
        <v/>
      </c>
      <c r="G590" s="56" t="n"/>
    </row>
    <row r="591">
      <c r="A591" s="55" t="n">
        <v>31868</v>
      </c>
      <c r="B591" s="25">
        <f>VLOOKUP(Table1[[#This Row],[Date]],Database!A:D,3,)</f>
        <v/>
      </c>
      <c r="C591" s="26">
        <f>B591-B590</f>
        <v/>
      </c>
      <c r="D591" s="26">
        <f>AVERAGE(C589:C591)</f>
        <v/>
      </c>
      <c r="E591" s="59">
        <f>VLOOKUP(Table1[[#This Row],[Date]],Database!A:D,4,)</f>
        <v/>
      </c>
      <c r="F591" s="59">
        <f>VLOOKUP(Table1[[#This Row],[Date]],Database!A:D,2,)</f>
        <v/>
      </c>
      <c r="G591" s="56" t="n"/>
    </row>
    <row r="592">
      <c r="A592" s="55" t="n">
        <v>31898</v>
      </c>
      <c r="B592" s="25">
        <f>VLOOKUP(Table1[[#This Row],[Date]],Database!A:D,3,)</f>
        <v/>
      </c>
      <c r="C592" s="26">
        <f>B592-B591</f>
        <v/>
      </c>
      <c r="D592" s="26">
        <f>AVERAGE(C590:C592)</f>
        <v/>
      </c>
      <c r="E592" s="59">
        <f>VLOOKUP(Table1[[#This Row],[Date]],Database!A:D,4,)</f>
        <v/>
      </c>
      <c r="F592" s="59">
        <f>VLOOKUP(Table1[[#This Row],[Date]],Database!A:D,2,)</f>
        <v/>
      </c>
      <c r="G592" s="56" t="n"/>
    </row>
    <row r="593">
      <c r="A593" s="55" t="n">
        <v>31929</v>
      </c>
      <c r="B593" s="25">
        <f>VLOOKUP(Table1[[#This Row],[Date]],Database!A:D,3,)</f>
        <v/>
      </c>
      <c r="C593" s="26">
        <f>B593-B592</f>
        <v/>
      </c>
      <c r="D593" s="26">
        <f>AVERAGE(C591:C593)</f>
        <v/>
      </c>
      <c r="E593" s="59">
        <f>VLOOKUP(Table1[[#This Row],[Date]],Database!A:D,4,)</f>
        <v/>
      </c>
      <c r="F593" s="59">
        <f>VLOOKUP(Table1[[#This Row],[Date]],Database!A:D,2,)</f>
        <v/>
      </c>
      <c r="G593" s="56" t="n"/>
    </row>
    <row r="594">
      <c r="A594" s="55" t="n">
        <v>31959</v>
      </c>
      <c r="B594" s="25">
        <f>VLOOKUP(Table1[[#This Row],[Date]],Database!A:D,3,)</f>
        <v/>
      </c>
      <c r="C594" s="26">
        <f>B594-B593</f>
        <v/>
      </c>
      <c r="D594" s="26">
        <f>AVERAGE(C592:C594)</f>
        <v/>
      </c>
      <c r="E594" s="59">
        <f>VLOOKUP(Table1[[#This Row],[Date]],Database!A:D,4,)</f>
        <v/>
      </c>
      <c r="F594" s="59">
        <f>VLOOKUP(Table1[[#This Row],[Date]],Database!A:D,2,)</f>
        <v/>
      </c>
      <c r="G594" s="56" t="n"/>
    </row>
    <row r="595">
      <c r="A595" s="55" t="n">
        <v>31990</v>
      </c>
      <c r="B595" s="25">
        <f>VLOOKUP(Table1[[#This Row],[Date]],Database!A:D,3,)</f>
        <v/>
      </c>
      <c r="C595" s="26">
        <f>B595-B594</f>
        <v/>
      </c>
      <c r="D595" s="26">
        <f>AVERAGE(C593:C595)</f>
        <v/>
      </c>
      <c r="E595" s="59">
        <f>VLOOKUP(Table1[[#This Row],[Date]],Database!A:D,4,)</f>
        <v/>
      </c>
      <c r="F595" s="59">
        <f>VLOOKUP(Table1[[#This Row],[Date]],Database!A:D,2,)</f>
        <v/>
      </c>
      <c r="G595" s="56" t="n"/>
    </row>
    <row r="596">
      <c r="A596" s="55" t="n">
        <v>32021</v>
      </c>
      <c r="B596" s="25">
        <f>VLOOKUP(Table1[[#This Row],[Date]],Database!A:D,3,)</f>
        <v/>
      </c>
      <c r="C596" s="26">
        <f>B596-B595</f>
        <v/>
      </c>
      <c r="D596" s="26">
        <f>AVERAGE(C594:C596)</f>
        <v/>
      </c>
      <c r="E596" s="59">
        <f>VLOOKUP(Table1[[#This Row],[Date]],Database!A:D,4,)</f>
        <v/>
      </c>
      <c r="F596" s="59">
        <f>VLOOKUP(Table1[[#This Row],[Date]],Database!A:D,2,)</f>
        <v/>
      </c>
      <c r="G596" s="56" t="n"/>
    </row>
    <row r="597">
      <c r="A597" s="55" t="n">
        <v>32051</v>
      </c>
      <c r="B597" s="25">
        <f>VLOOKUP(Table1[[#This Row],[Date]],Database!A:D,3,)</f>
        <v/>
      </c>
      <c r="C597" s="26">
        <f>B597-B596</f>
        <v/>
      </c>
      <c r="D597" s="26">
        <f>AVERAGE(C595:C597)</f>
        <v/>
      </c>
      <c r="E597" s="59">
        <f>VLOOKUP(Table1[[#This Row],[Date]],Database!A:D,4,)</f>
        <v/>
      </c>
      <c r="F597" s="59">
        <f>VLOOKUP(Table1[[#This Row],[Date]],Database!A:D,2,)</f>
        <v/>
      </c>
      <c r="G597" s="56" t="n"/>
    </row>
    <row r="598">
      <c r="A598" s="55" t="n">
        <v>32082</v>
      </c>
      <c r="B598" s="25">
        <f>VLOOKUP(Table1[[#This Row],[Date]],Database!A:D,3,)</f>
        <v/>
      </c>
      <c r="C598" s="26">
        <f>B598-B597</f>
        <v/>
      </c>
      <c r="D598" s="26">
        <f>AVERAGE(C596:C598)</f>
        <v/>
      </c>
      <c r="E598" s="59">
        <f>VLOOKUP(Table1[[#This Row],[Date]],Database!A:D,4,)</f>
        <v/>
      </c>
      <c r="F598" s="59">
        <f>VLOOKUP(Table1[[#This Row],[Date]],Database!A:D,2,)</f>
        <v/>
      </c>
      <c r="G598" s="56" t="n"/>
    </row>
    <row r="599">
      <c r="A599" s="55" t="n">
        <v>32112</v>
      </c>
      <c r="B599" s="25">
        <f>VLOOKUP(Table1[[#This Row],[Date]],Database!A:D,3,)</f>
        <v/>
      </c>
      <c r="C599" s="26">
        <f>B599-B598</f>
        <v/>
      </c>
      <c r="D599" s="26">
        <f>AVERAGE(C597:C599)</f>
        <v/>
      </c>
      <c r="E599" s="59">
        <f>VLOOKUP(Table1[[#This Row],[Date]],Database!A:D,4,)</f>
        <v/>
      </c>
      <c r="F599" s="59">
        <f>VLOOKUP(Table1[[#This Row],[Date]],Database!A:D,2,)</f>
        <v/>
      </c>
      <c r="G599" s="56" t="n"/>
    </row>
    <row r="600">
      <c r="A600" s="55" t="n">
        <v>32143</v>
      </c>
      <c r="B600" s="25">
        <f>VLOOKUP(Table1[[#This Row],[Date]],Database!A:D,3,)</f>
        <v/>
      </c>
      <c r="C600" s="26">
        <f>B600-B599</f>
        <v/>
      </c>
      <c r="D600" s="26">
        <f>AVERAGE(C598:C600)</f>
        <v/>
      </c>
      <c r="E600" s="59">
        <f>VLOOKUP(Table1[[#This Row],[Date]],Database!A:D,4,)</f>
        <v/>
      </c>
      <c r="F600" s="59">
        <f>VLOOKUP(Table1[[#This Row],[Date]],Database!A:D,2,)</f>
        <v/>
      </c>
      <c r="G600" s="56" t="n"/>
    </row>
    <row r="601">
      <c r="A601" s="55" t="n">
        <v>32174</v>
      </c>
      <c r="B601" s="25">
        <f>VLOOKUP(Table1[[#This Row],[Date]],Database!A:D,3,)</f>
        <v/>
      </c>
      <c r="C601" s="26">
        <f>B601-B600</f>
        <v/>
      </c>
      <c r="D601" s="26">
        <f>AVERAGE(C599:C601)</f>
        <v/>
      </c>
      <c r="E601" s="59">
        <f>VLOOKUP(Table1[[#This Row],[Date]],Database!A:D,4,)</f>
        <v/>
      </c>
      <c r="F601" s="59">
        <f>VLOOKUP(Table1[[#This Row],[Date]],Database!A:D,2,)</f>
        <v/>
      </c>
      <c r="G601" s="56" t="n"/>
    </row>
    <row r="602">
      <c r="A602" s="55" t="n">
        <v>32203</v>
      </c>
      <c r="B602" s="25">
        <f>VLOOKUP(Table1[[#This Row],[Date]],Database!A:D,3,)</f>
        <v/>
      </c>
      <c r="C602" s="26">
        <f>B602-B601</f>
        <v/>
      </c>
      <c r="D602" s="26">
        <f>AVERAGE(C600:C602)</f>
        <v/>
      </c>
      <c r="E602" s="59">
        <f>VLOOKUP(Table1[[#This Row],[Date]],Database!A:D,4,)</f>
        <v/>
      </c>
      <c r="F602" s="59">
        <f>VLOOKUP(Table1[[#This Row],[Date]],Database!A:D,2,)</f>
        <v/>
      </c>
      <c r="G602" s="56" t="n"/>
    </row>
    <row r="603">
      <c r="A603" s="55" t="n">
        <v>32234</v>
      </c>
      <c r="B603" s="25">
        <f>VLOOKUP(Table1[[#This Row],[Date]],Database!A:D,3,)</f>
        <v/>
      </c>
      <c r="C603" s="26">
        <f>B603-B602</f>
        <v/>
      </c>
      <c r="D603" s="26">
        <f>AVERAGE(C601:C603)</f>
        <v/>
      </c>
      <c r="E603" s="59">
        <f>VLOOKUP(Table1[[#This Row],[Date]],Database!A:D,4,)</f>
        <v/>
      </c>
      <c r="F603" s="59">
        <f>VLOOKUP(Table1[[#This Row],[Date]],Database!A:D,2,)</f>
        <v/>
      </c>
      <c r="G603" s="56" t="n"/>
    </row>
    <row r="604">
      <c r="A604" s="55" t="n">
        <v>32264</v>
      </c>
      <c r="B604" s="25">
        <f>VLOOKUP(Table1[[#This Row],[Date]],Database!A:D,3,)</f>
        <v/>
      </c>
      <c r="C604" s="26">
        <f>B604-B603</f>
        <v/>
      </c>
      <c r="D604" s="26">
        <f>AVERAGE(C602:C604)</f>
        <v/>
      </c>
      <c r="E604" s="59">
        <f>VLOOKUP(Table1[[#This Row],[Date]],Database!A:D,4,)</f>
        <v/>
      </c>
      <c r="F604" s="59">
        <f>VLOOKUP(Table1[[#This Row],[Date]],Database!A:D,2,)</f>
        <v/>
      </c>
      <c r="G604" s="56" t="n"/>
    </row>
    <row r="605">
      <c r="A605" s="55" t="n">
        <v>32295</v>
      </c>
      <c r="B605" s="25">
        <f>VLOOKUP(Table1[[#This Row],[Date]],Database!A:D,3,)</f>
        <v/>
      </c>
      <c r="C605" s="26">
        <f>B605-B604</f>
        <v/>
      </c>
      <c r="D605" s="26">
        <f>AVERAGE(C603:C605)</f>
        <v/>
      </c>
      <c r="E605" s="59">
        <f>VLOOKUP(Table1[[#This Row],[Date]],Database!A:D,4,)</f>
        <v/>
      </c>
      <c r="F605" s="59">
        <f>VLOOKUP(Table1[[#This Row],[Date]],Database!A:D,2,)</f>
        <v/>
      </c>
      <c r="G605" s="56" t="n"/>
    </row>
    <row r="606">
      <c r="A606" s="55" t="n">
        <v>32325</v>
      </c>
      <c r="B606" s="25">
        <f>VLOOKUP(Table1[[#This Row],[Date]],Database!A:D,3,)</f>
        <v/>
      </c>
      <c r="C606" s="26">
        <f>B606-B605</f>
        <v/>
      </c>
      <c r="D606" s="26">
        <f>AVERAGE(C604:C606)</f>
        <v/>
      </c>
      <c r="E606" s="59">
        <f>VLOOKUP(Table1[[#This Row],[Date]],Database!A:D,4,)</f>
        <v/>
      </c>
      <c r="F606" s="59">
        <f>VLOOKUP(Table1[[#This Row],[Date]],Database!A:D,2,)</f>
        <v/>
      </c>
      <c r="G606" s="56" t="n"/>
    </row>
    <row r="607">
      <c r="A607" s="55" t="n">
        <v>32356</v>
      </c>
      <c r="B607" s="25">
        <f>VLOOKUP(Table1[[#This Row],[Date]],Database!A:D,3,)</f>
        <v/>
      </c>
      <c r="C607" s="26">
        <f>B607-B606</f>
        <v/>
      </c>
      <c r="D607" s="26">
        <f>AVERAGE(C605:C607)</f>
        <v/>
      </c>
      <c r="E607" s="59">
        <f>VLOOKUP(Table1[[#This Row],[Date]],Database!A:D,4,)</f>
        <v/>
      </c>
      <c r="F607" s="59">
        <f>VLOOKUP(Table1[[#This Row],[Date]],Database!A:D,2,)</f>
        <v/>
      </c>
      <c r="G607" s="56" t="n"/>
    </row>
    <row r="608">
      <c r="A608" s="55" t="n">
        <v>32387</v>
      </c>
      <c r="B608" s="25">
        <f>VLOOKUP(Table1[[#This Row],[Date]],Database!A:D,3,)</f>
        <v/>
      </c>
      <c r="C608" s="26">
        <f>B608-B607</f>
        <v/>
      </c>
      <c r="D608" s="26">
        <f>AVERAGE(C606:C608)</f>
        <v/>
      </c>
      <c r="E608" s="59">
        <f>VLOOKUP(Table1[[#This Row],[Date]],Database!A:D,4,)</f>
        <v/>
      </c>
      <c r="F608" s="59">
        <f>VLOOKUP(Table1[[#This Row],[Date]],Database!A:D,2,)</f>
        <v/>
      </c>
      <c r="G608" s="56" t="n"/>
    </row>
    <row r="609">
      <c r="A609" s="55" t="n">
        <v>32417</v>
      </c>
      <c r="B609" s="25">
        <f>VLOOKUP(Table1[[#This Row],[Date]],Database!A:D,3,)</f>
        <v/>
      </c>
      <c r="C609" s="26">
        <f>B609-B608</f>
        <v/>
      </c>
      <c r="D609" s="26">
        <f>AVERAGE(C607:C609)</f>
        <v/>
      </c>
      <c r="E609" s="59">
        <f>VLOOKUP(Table1[[#This Row],[Date]],Database!A:D,4,)</f>
        <v/>
      </c>
      <c r="F609" s="59">
        <f>VLOOKUP(Table1[[#This Row],[Date]],Database!A:D,2,)</f>
        <v/>
      </c>
      <c r="G609" s="56" t="n"/>
    </row>
    <row r="610">
      <c r="A610" s="55" t="n">
        <v>32448</v>
      </c>
      <c r="B610" s="25">
        <f>VLOOKUP(Table1[[#This Row],[Date]],Database!A:D,3,)</f>
        <v/>
      </c>
      <c r="C610" s="26">
        <f>B610-B609</f>
        <v/>
      </c>
      <c r="D610" s="26">
        <f>AVERAGE(C608:C610)</f>
        <v/>
      </c>
      <c r="E610" s="59">
        <f>VLOOKUP(Table1[[#This Row],[Date]],Database!A:D,4,)</f>
        <v/>
      </c>
      <c r="F610" s="59">
        <f>VLOOKUP(Table1[[#This Row],[Date]],Database!A:D,2,)</f>
        <v/>
      </c>
      <c r="G610" s="56" t="n"/>
    </row>
    <row r="611">
      <c r="A611" s="55" t="n">
        <v>32478</v>
      </c>
      <c r="B611" s="25">
        <f>VLOOKUP(Table1[[#This Row],[Date]],Database!A:D,3,)</f>
        <v/>
      </c>
      <c r="C611" s="26">
        <f>B611-B610</f>
        <v/>
      </c>
      <c r="D611" s="26">
        <f>AVERAGE(C609:C611)</f>
        <v/>
      </c>
      <c r="E611" s="59">
        <f>VLOOKUP(Table1[[#This Row],[Date]],Database!A:D,4,)</f>
        <v/>
      </c>
      <c r="F611" s="59">
        <f>VLOOKUP(Table1[[#This Row],[Date]],Database!A:D,2,)</f>
        <v/>
      </c>
      <c r="G611" s="56" t="n"/>
    </row>
    <row r="612">
      <c r="A612" s="55" t="n">
        <v>32509</v>
      </c>
      <c r="B612" s="25">
        <f>VLOOKUP(Table1[[#This Row],[Date]],Database!A:D,3,)</f>
        <v/>
      </c>
      <c r="C612" s="26">
        <f>B612-B611</f>
        <v/>
      </c>
      <c r="D612" s="26">
        <f>AVERAGE(C610:C612)</f>
        <v/>
      </c>
      <c r="E612" s="59">
        <f>VLOOKUP(Table1[[#This Row],[Date]],Database!A:D,4,)</f>
        <v/>
      </c>
      <c r="F612" s="59">
        <f>VLOOKUP(Table1[[#This Row],[Date]],Database!A:D,2,)</f>
        <v/>
      </c>
      <c r="G612" s="56" t="n"/>
    </row>
    <row r="613">
      <c r="A613" s="55" t="n">
        <v>32540</v>
      </c>
      <c r="B613" s="25">
        <f>VLOOKUP(Table1[[#This Row],[Date]],Database!A:D,3,)</f>
        <v/>
      </c>
      <c r="C613" s="26">
        <f>B613-B612</f>
        <v/>
      </c>
      <c r="D613" s="26">
        <f>AVERAGE(C611:C613)</f>
        <v/>
      </c>
      <c r="E613" s="59">
        <f>VLOOKUP(Table1[[#This Row],[Date]],Database!A:D,4,)</f>
        <v/>
      </c>
      <c r="F613" s="59">
        <f>VLOOKUP(Table1[[#This Row],[Date]],Database!A:D,2,)</f>
        <v/>
      </c>
      <c r="G613" s="56" t="n"/>
    </row>
    <row r="614">
      <c r="A614" s="55" t="n">
        <v>32568</v>
      </c>
      <c r="B614" s="25">
        <f>VLOOKUP(Table1[[#This Row],[Date]],Database!A:D,3,)</f>
        <v/>
      </c>
      <c r="C614" s="26">
        <f>B614-B613</f>
        <v/>
      </c>
      <c r="D614" s="26">
        <f>AVERAGE(C612:C614)</f>
        <v/>
      </c>
      <c r="E614" s="59">
        <f>VLOOKUP(Table1[[#This Row],[Date]],Database!A:D,4,)</f>
        <v/>
      </c>
      <c r="F614" s="59">
        <f>VLOOKUP(Table1[[#This Row],[Date]],Database!A:D,2,)</f>
        <v/>
      </c>
      <c r="G614" s="56" t="n"/>
    </row>
    <row r="615">
      <c r="A615" s="55" t="n">
        <v>32599</v>
      </c>
      <c r="B615" s="25">
        <f>VLOOKUP(Table1[[#This Row],[Date]],Database!A:D,3,)</f>
        <v/>
      </c>
      <c r="C615" s="26">
        <f>B615-B614</f>
        <v/>
      </c>
      <c r="D615" s="26">
        <f>AVERAGE(C613:C615)</f>
        <v/>
      </c>
      <c r="E615" s="59">
        <f>VLOOKUP(Table1[[#This Row],[Date]],Database!A:D,4,)</f>
        <v/>
      </c>
      <c r="F615" s="59">
        <f>VLOOKUP(Table1[[#This Row],[Date]],Database!A:D,2,)</f>
        <v/>
      </c>
      <c r="G615" s="56" t="n"/>
    </row>
    <row r="616">
      <c r="A616" s="55" t="n">
        <v>32629</v>
      </c>
      <c r="B616" s="25">
        <f>VLOOKUP(Table1[[#This Row],[Date]],Database!A:D,3,)</f>
        <v/>
      </c>
      <c r="C616" s="26">
        <f>B616-B615</f>
        <v/>
      </c>
      <c r="D616" s="26">
        <f>AVERAGE(C614:C616)</f>
        <v/>
      </c>
      <c r="E616" s="59">
        <f>VLOOKUP(Table1[[#This Row],[Date]],Database!A:D,4,)</f>
        <v/>
      </c>
      <c r="F616" s="59">
        <f>VLOOKUP(Table1[[#This Row],[Date]],Database!A:D,2,)</f>
        <v/>
      </c>
      <c r="G616" s="56" t="n"/>
    </row>
    <row r="617">
      <c r="A617" s="55" t="n">
        <v>32660</v>
      </c>
      <c r="B617" s="25">
        <f>VLOOKUP(Table1[[#This Row],[Date]],Database!A:D,3,)</f>
        <v/>
      </c>
      <c r="C617" s="26">
        <f>B617-B616</f>
        <v/>
      </c>
      <c r="D617" s="26">
        <f>AVERAGE(C615:C617)</f>
        <v/>
      </c>
      <c r="E617" s="59">
        <f>VLOOKUP(Table1[[#This Row],[Date]],Database!A:D,4,)</f>
        <v/>
      </c>
      <c r="F617" s="59">
        <f>VLOOKUP(Table1[[#This Row],[Date]],Database!A:D,2,)</f>
        <v/>
      </c>
      <c r="G617" s="56" t="n"/>
    </row>
    <row r="618">
      <c r="A618" s="55" t="n">
        <v>32690</v>
      </c>
      <c r="B618" s="25">
        <f>VLOOKUP(Table1[[#This Row],[Date]],Database!A:D,3,)</f>
        <v/>
      </c>
      <c r="C618" s="26">
        <f>B618-B617</f>
        <v/>
      </c>
      <c r="D618" s="26">
        <f>AVERAGE(C616:C618)</f>
        <v/>
      </c>
      <c r="E618" s="59">
        <f>VLOOKUP(Table1[[#This Row],[Date]],Database!A:D,4,)</f>
        <v/>
      </c>
      <c r="F618" s="59">
        <f>VLOOKUP(Table1[[#This Row],[Date]],Database!A:D,2,)</f>
        <v/>
      </c>
      <c r="G618" s="56" t="n"/>
    </row>
    <row r="619">
      <c r="A619" s="55" t="n">
        <v>32721</v>
      </c>
      <c r="B619" s="25">
        <f>VLOOKUP(Table1[[#This Row],[Date]],Database!A:D,3,)</f>
        <v/>
      </c>
      <c r="C619" s="26">
        <f>B619-B618</f>
        <v/>
      </c>
      <c r="D619" s="26">
        <f>AVERAGE(C617:C619)</f>
        <v/>
      </c>
      <c r="E619" s="59">
        <f>VLOOKUP(Table1[[#This Row],[Date]],Database!A:D,4,)</f>
        <v/>
      </c>
      <c r="F619" s="59">
        <f>VLOOKUP(Table1[[#This Row],[Date]],Database!A:D,2,)</f>
        <v/>
      </c>
      <c r="G619" s="56" t="n"/>
    </row>
    <row r="620">
      <c r="A620" s="55" t="n">
        <v>32752</v>
      </c>
      <c r="B620" s="25">
        <f>VLOOKUP(Table1[[#This Row],[Date]],Database!A:D,3,)</f>
        <v/>
      </c>
      <c r="C620" s="26">
        <f>B620-B619</f>
        <v/>
      </c>
      <c r="D620" s="26">
        <f>AVERAGE(C618:C620)</f>
        <v/>
      </c>
      <c r="E620" s="59">
        <f>VLOOKUP(Table1[[#This Row],[Date]],Database!A:D,4,)</f>
        <v/>
      </c>
      <c r="F620" s="59">
        <f>VLOOKUP(Table1[[#This Row],[Date]],Database!A:D,2,)</f>
        <v/>
      </c>
      <c r="G620" s="56" t="n"/>
    </row>
    <row r="621">
      <c r="A621" s="55" t="n">
        <v>32782</v>
      </c>
      <c r="B621" s="25">
        <f>VLOOKUP(Table1[[#This Row],[Date]],Database!A:D,3,)</f>
        <v/>
      </c>
      <c r="C621" s="26">
        <f>B621-B620</f>
        <v/>
      </c>
      <c r="D621" s="26">
        <f>AVERAGE(C619:C621)</f>
        <v/>
      </c>
      <c r="E621" s="59">
        <f>VLOOKUP(Table1[[#This Row],[Date]],Database!A:D,4,)</f>
        <v/>
      </c>
      <c r="F621" s="59">
        <f>VLOOKUP(Table1[[#This Row],[Date]],Database!A:D,2,)</f>
        <v/>
      </c>
      <c r="G621" s="56" t="n"/>
    </row>
    <row r="622">
      <c r="A622" s="55" t="n">
        <v>32813</v>
      </c>
      <c r="B622" s="25">
        <f>VLOOKUP(Table1[[#This Row],[Date]],Database!A:D,3,)</f>
        <v/>
      </c>
      <c r="C622" s="26">
        <f>B622-B621</f>
        <v/>
      </c>
      <c r="D622" s="26">
        <f>AVERAGE(C620:C622)</f>
        <v/>
      </c>
      <c r="E622" s="59">
        <f>VLOOKUP(Table1[[#This Row],[Date]],Database!A:D,4,)</f>
        <v/>
      </c>
      <c r="F622" s="59">
        <f>VLOOKUP(Table1[[#This Row],[Date]],Database!A:D,2,)</f>
        <v/>
      </c>
      <c r="G622" s="56" t="n"/>
    </row>
    <row r="623">
      <c r="A623" s="55" t="n">
        <v>32843</v>
      </c>
      <c r="B623" s="25">
        <f>VLOOKUP(Table1[[#This Row],[Date]],Database!A:D,3,)</f>
        <v/>
      </c>
      <c r="C623" s="26">
        <f>B623-B622</f>
        <v/>
      </c>
      <c r="D623" s="26">
        <f>AVERAGE(C621:C623)</f>
        <v/>
      </c>
      <c r="E623" s="59">
        <f>VLOOKUP(Table1[[#This Row],[Date]],Database!A:D,4,)</f>
        <v/>
      </c>
      <c r="F623" s="59">
        <f>VLOOKUP(Table1[[#This Row],[Date]],Database!A:D,2,)</f>
        <v/>
      </c>
      <c r="G623" s="56" t="n"/>
    </row>
    <row r="624">
      <c r="A624" s="55" t="n">
        <v>32874</v>
      </c>
      <c r="B624" s="25">
        <f>VLOOKUP(Table1[[#This Row],[Date]],Database!A:D,3,)</f>
        <v/>
      </c>
      <c r="C624" s="26">
        <f>B624-B623</f>
        <v/>
      </c>
      <c r="D624" s="26">
        <f>AVERAGE(C622:C624)</f>
        <v/>
      </c>
      <c r="E624" s="59">
        <f>VLOOKUP(Table1[[#This Row],[Date]],Database!A:D,4,)</f>
        <v/>
      </c>
      <c r="F624" s="59">
        <f>VLOOKUP(Table1[[#This Row],[Date]],Database!A:D,2,)</f>
        <v/>
      </c>
      <c r="G624" s="56" t="n"/>
    </row>
    <row r="625">
      <c r="A625" s="55" t="n">
        <v>32905</v>
      </c>
      <c r="B625" s="25">
        <f>VLOOKUP(Table1[[#This Row],[Date]],Database!A:D,3,)</f>
        <v/>
      </c>
      <c r="C625" s="26">
        <f>B625-B624</f>
        <v/>
      </c>
      <c r="D625" s="26">
        <f>AVERAGE(C623:C625)</f>
        <v/>
      </c>
      <c r="E625" s="59">
        <f>VLOOKUP(Table1[[#This Row],[Date]],Database!A:D,4,)</f>
        <v/>
      </c>
      <c r="F625" s="59">
        <f>VLOOKUP(Table1[[#This Row],[Date]],Database!A:D,2,)</f>
        <v/>
      </c>
      <c r="G625" s="56" t="n"/>
    </row>
    <row r="626">
      <c r="A626" s="55" t="n">
        <v>32933</v>
      </c>
      <c r="B626" s="25">
        <f>VLOOKUP(Table1[[#This Row],[Date]],Database!A:D,3,)</f>
        <v/>
      </c>
      <c r="C626" s="26">
        <f>B626-B625</f>
        <v/>
      </c>
      <c r="D626" s="26">
        <f>AVERAGE(C624:C626)</f>
        <v/>
      </c>
      <c r="E626" s="59">
        <f>VLOOKUP(Table1[[#This Row],[Date]],Database!A:D,4,)</f>
        <v/>
      </c>
      <c r="F626" s="59">
        <f>VLOOKUP(Table1[[#This Row],[Date]],Database!A:D,2,)</f>
        <v/>
      </c>
      <c r="G626" s="56" t="n"/>
    </row>
    <row r="627">
      <c r="A627" s="55" t="n">
        <v>32964</v>
      </c>
      <c r="B627" s="25">
        <f>VLOOKUP(Table1[[#This Row],[Date]],Database!A:D,3,)</f>
        <v/>
      </c>
      <c r="C627" s="26">
        <f>B627-B626</f>
        <v/>
      </c>
      <c r="D627" s="26">
        <f>AVERAGE(C625:C627)</f>
        <v/>
      </c>
      <c r="E627" s="59">
        <f>VLOOKUP(Table1[[#This Row],[Date]],Database!A:D,4,)</f>
        <v/>
      </c>
      <c r="F627" s="59">
        <f>VLOOKUP(Table1[[#This Row],[Date]],Database!A:D,2,)</f>
        <v/>
      </c>
      <c r="G627" s="56" t="n"/>
    </row>
    <row r="628">
      <c r="A628" s="55" t="n">
        <v>32994</v>
      </c>
      <c r="B628" s="25">
        <f>VLOOKUP(Table1[[#This Row],[Date]],Database!A:D,3,)</f>
        <v/>
      </c>
      <c r="C628" s="26">
        <f>B628-B627</f>
        <v/>
      </c>
      <c r="D628" s="26">
        <f>AVERAGE(C626:C628)</f>
        <v/>
      </c>
      <c r="E628" s="59">
        <f>VLOOKUP(Table1[[#This Row],[Date]],Database!A:D,4,)</f>
        <v/>
      </c>
      <c r="F628" s="59">
        <f>VLOOKUP(Table1[[#This Row],[Date]],Database!A:D,2,)</f>
        <v/>
      </c>
      <c r="G628" s="56" t="n"/>
    </row>
    <row r="629">
      <c r="A629" s="55" t="n">
        <v>33025</v>
      </c>
      <c r="B629" s="25">
        <f>VLOOKUP(Table1[[#This Row],[Date]],Database!A:D,3,)</f>
        <v/>
      </c>
      <c r="C629" s="26">
        <f>B629-B628</f>
        <v/>
      </c>
      <c r="D629" s="26">
        <f>AVERAGE(C627:C629)</f>
        <v/>
      </c>
      <c r="E629" s="59">
        <f>VLOOKUP(Table1[[#This Row],[Date]],Database!A:D,4,)</f>
        <v/>
      </c>
      <c r="F629" s="59">
        <f>VLOOKUP(Table1[[#This Row],[Date]],Database!A:D,2,)</f>
        <v/>
      </c>
      <c r="G629" s="56" t="n"/>
    </row>
    <row r="630">
      <c r="A630" s="55" t="n">
        <v>33055</v>
      </c>
      <c r="B630" s="25">
        <f>VLOOKUP(Table1[[#This Row],[Date]],Database!A:D,3,)</f>
        <v/>
      </c>
      <c r="C630" s="26">
        <f>B630-B629</f>
        <v/>
      </c>
      <c r="D630" s="26">
        <f>AVERAGE(C628:C630)</f>
        <v/>
      </c>
      <c r="E630" s="59">
        <f>VLOOKUP(Table1[[#This Row],[Date]],Database!A:D,4,)</f>
        <v/>
      </c>
      <c r="F630" s="59">
        <f>VLOOKUP(Table1[[#This Row],[Date]],Database!A:D,2,)</f>
        <v/>
      </c>
      <c r="G630" s="56" t="n"/>
    </row>
    <row r="631">
      <c r="A631" s="55" t="n">
        <v>33086</v>
      </c>
      <c r="B631" s="25">
        <f>VLOOKUP(Table1[[#This Row],[Date]],Database!A:D,3,)</f>
        <v/>
      </c>
      <c r="C631" s="26">
        <f>B631-B630</f>
        <v/>
      </c>
      <c r="D631" s="26">
        <f>AVERAGE(C629:C631)</f>
        <v/>
      </c>
      <c r="E631" s="59">
        <f>VLOOKUP(Table1[[#This Row],[Date]],Database!A:D,4,)</f>
        <v/>
      </c>
      <c r="F631" s="59">
        <f>VLOOKUP(Table1[[#This Row],[Date]],Database!A:D,2,)</f>
        <v/>
      </c>
      <c r="G631" s="56" t="n"/>
    </row>
    <row r="632">
      <c r="A632" s="55" t="n">
        <v>33117</v>
      </c>
      <c r="B632" s="25">
        <f>VLOOKUP(Table1[[#This Row],[Date]],Database!A:D,3,)</f>
        <v/>
      </c>
      <c r="C632" s="26">
        <f>B632-B631</f>
        <v/>
      </c>
      <c r="D632" s="26">
        <f>AVERAGE(C630:C632)</f>
        <v/>
      </c>
      <c r="E632" s="59">
        <f>VLOOKUP(Table1[[#This Row],[Date]],Database!A:D,4,)</f>
        <v/>
      </c>
      <c r="F632" s="59">
        <f>VLOOKUP(Table1[[#This Row],[Date]],Database!A:D,2,)</f>
        <v/>
      </c>
      <c r="G632" s="56" t="n"/>
    </row>
    <row r="633">
      <c r="A633" s="55" t="n">
        <v>33147</v>
      </c>
      <c r="B633" s="25">
        <f>VLOOKUP(Table1[[#This Row],[Date]],Database!A:D,3,)</f>
        <v/>
      </c>
      <c r="C633" s="26">
        <f>B633-B632</f>
        <v/>
      </c>
      <c r="D633" s="26">
        <f>AVERAGE(C631:C633)</f>
        <v/>
      </c>
      <c r="E633" s="59">
        <f>VLOOKUP(Table1[[#This Row],[Date]],Database!A:D,4,)</f>
        <v/>
      </c>
      <c r="F633" s="59">
        <f>VLOOKUP(Table1[[#This Row],[Date]],Database!A:D,2,)</f>
        <v/>
      </c>
      <c r="G633" s="56" t="n"/>
    </row>
    <row r="634">
      <c r="A634" s="55" t="n">
        <v>33178</v>
      </c>
      <c r="B634" s="25">
        <f>VLOOKUP(Table1[[#This Row],[Date]],Database!A:D,3,)</f>
        <v/>
      </c>
      <c r="C634" s="26">
        <f>B634-B633</f>
        <v/>
      </c>
      <c r="D634" s="26">
        <f>AVERAGE(C632:C634)</f>
        <v/>
      </c>
      <c r="E634" s="59">
        <f>VLOOKUP(Table1[[#This Row],[Date]],Database!A:D,4,)</f>
        <v/>
      </c>
      <c r="F634" s="59">
        <f>VLOOKUP(Table1[[#This Row],[Date]],Database!A:D,2,)</f>
        <v/>
      </c>
      <c r="G634" s="56" t="n"/>
    </row>
    <row r="635">
      <c r="A635" s="55" t="n">
        <v>33208</v>
      </c>
      <c r="B635" s="25">
        <f>VLOOKUP(Table1[[#This Row],[Date]],Database!A:D,3,)</f>
        <v/>
      </c>
      <c r="C635" s="26">
        <f>B635-B634</f>
        <v/>
      </c>
      <c r="D635" s="26">
        <f>AVERAGE(C633:C635)</f>
        <v/>
      </c>
      <c r="E635" s="59">
        <f>VLOOKUP(Table1[[#This Row],[Date]],Database!A:D,4,)</f>
        <v/>
      </c>
      <c r="F635" s="59">
        <f>VLOOKUP(Table1[[#This Row],[Date]],Database!A:D,2,)</f>
        <v/>
      </c>
      <c r="G635" s="56" t="n"/>
    </row>
    <row r="636">
      <c r="A636" s="55" t="n">
        <v>33239</v>
      </c>
      <c r="B636" s="25">
        <f>VLOOKUP(Table1[[#This Row],[Date]],Database!A:D,3,)</f>
        <v/>
      </c>
      <c r="C636" s="26">
        <f>B636-B635</f>
        <v/>
      </c>
      <c r="D636" s="26">
        <f>AVERAGE(C634:C636)</f>
        <v/>
      </c>
      <c r="E636" s="59">
        <f>VLOOKUP(Table1[[#This Row],[Date]],Database!A:D,4,)</f>
        <v/>
      </c>
      <c r="F636" s="59">
        <f>VLOOKUP(Table1[[#This Row],[Date]],Database!A:D,2,)</f>
        <v/>
      </c>
      <c r="G636" s="56" t="n"/>
    </row>
    <row r="637">
      <c r="A637" s="55" t="n">
        <v>33270</v>
      </c>
      <c r="B637" s="25">
        <f>VLOOKUP(Table1[[#This Row],[Date]],Database!A:D,3,)</f>
        <v/>
      </c>
      <c r="C637" s="26">
        <f>B637-B636</f>
        <v/>
      </c>
      <c r="D637" s="26">
        <f>AVERAGE(C635:C637)</f>
        <v/>
      </c>
      <c r="E637" s="59">
        <f>VLOOKUP(Table1[[#This Row],[Date]],Database!A:D,4,)</f>
        <v/>
      </c>
      <c r="F637" s="59">
        <f>VLOOKUP(Table1[[#This Row],[Date]],Database!A:D,2,)</f>
        <v/>
      </c>
      <c r="G637" s="56" t="n"/>
    </row>
    <row r="638">
      <c r="A638" s="55" t="n">
        <v>33298</v>
      </c>
      <c r="B638" s="25">
        <f>VLOOKUP(Table1[[#This Row],[Date]],Database!A:D,3,)</f>
        <v/>
      </c>
      <c r="C638" s="26">
        <f>B638-B637</f>
        <v/>
      </c>
      <c r="D638" s="26">
        <f>AVERAGE(C636:C638)</f>
        <v/>
      </c>
      <c r="E638" s="59">
        <f>VLOOKUP(Table1[[#This Row],[Date]],Database!A:D,4,)</f>
        <v/>
      </c>
      <c r="F638" s="59">
        <f>VLOOKUP(Table1[[#This Row],[Date]],Database!A:D,2,)</f>
        <v/>
      </c>
      <c r="G638" s="56" t="n"/>
    </row>
    <row r="639">
      <c r="A639" s="55" t="n">
        <v>33329</v>
      </c>
      <c r="B639" s="25">
        <f>VLOOKUP(Table1[[#This Row],[Date]],Database!A:D,3,)</f>
        <v/>
      </c>
      <c r="C639" s="26">
        <f>B639-B638</f>
        <v/>
      </c>
      <c r="D639" s="26">
        <f>AVERAGE(C637:C639)</f>
        <v/>
      </c>
      <c r="E639" s="59">
        <f>VLOOKUP(Table1[[#This Row],[Date]],Database!A:D,4,)</f>
        <v/>
      </c>
      <c r="F639" s="59">
        <f>VLOOKUP(Table1[[#This Row],[Date]],Database!A:D,2,)</f>
        <v/>
      </c>
      <c r="G639" s="56" t="n"/>
    </row>
    <row r="640">
      <c r="A640" s="55" t="n">
        <v>33359</v>
      </c>
      <c r="B640" s="25">
        <f>VLOOKUP(Table1[[#This Row],[Date]],Database!A:D,3,)</f>
        <v/>
      </c>
      <c r="C640" s="26">
        <f>B640-B639</f>
        <v/>
      </c>
      <c r="D640" s="26">
        <f>AVERAGE(C638:C640)</f>
        <v/>
      </c>
      <c r="E640" s="59">
        <f>VLOOKUP(Table1[[#This Row],[Date]],Database!A:D,4,)</f>
        <v/>
      </c>
      <c r="F640" s="59">
        <f>VLOOKUP(Table1[[#This Row],[Date]],Database!A:D,2,)</f>
        <v/>
      </c>
      <c r="G640" s="56" t="n"/>
    </row>
    <row r="641">
      <c r="A641" s="55" t="n">
        <v>33390</v>
      </c>
      <c r="B641" s="25">
        <f>VLOOKUP(Table1[[#This Row],[Date]],Database!A:D,3,)</f>
        <v/>
      </c>
      <c r="C641" s="26">
        <f>B641-B640</f>
        <v/>
      </c>
      <c r="D641" s="26">
        <f>AVERAGE(C639:C641)</f>
        <v/>
      </c>
      <c r="E641" s="59">
        <f>VLOOKUP(Table1[[#This Row],[Date]],Database!A:D,4,)</f>
        <v/>
      </c>
      <c r="F641" s="59">
        <f>VLOOKUP(Table1[[#This Row],[Date]],Database!A:D,2,)</f>
        <v/>
      </c>
      <c r="G641" s="56" t="n"/>
    </row>
    <row r="642">
      <c r="A642" s="55" t="n">
        <v>33420</v>
      </c>
      <c r="B642" s="25">
        <f>VLOOKUP(Table1[[#This Row],[Date]],Database!A:D,3,)</f>
        <v/>
      </c>
      <c r="C642" s="26">
        <f>B642-B641</f>
        <v/>
      </c>
      <c r="D642" s="26">
        <f>AVERAGE(C640:C642)</f>
        <v/>
      </c>
      <c r="E642" s="59">
        <f>VLOOKUP(Table1[[#This Row],[Date]],Database!A:D,4,)</f>
        <v/>
      </c>
      <c r="F642" s="59">
        <f>VLOOKUP(Table1[[#This Row],[Date]],Database!A:D,2,)</f>
        <v/>
      </c>
      <c r="G642" s="56" t="n"/>
    </row>
    <row r="643">
      <c r="A643" s="55" t="n">
        <v>33451</v>
      </c>
      <c r="B643" s="25">
        <f>VLOOKUP(Table1[[#This Row],[Date]],Database!A:D,3,)</f>
        <v/>
      </c>
      <c r="C643" s="26">
        <f>B643-B642</f>
        <v/>
      </c>
      <c r="D643" s="26">
        <f>AVERAGE(C641:C643)</f>
        <v/>
      </c>
      <c r="E643" s="59">
        <f>VLOOKUP(Table1[[#This Row],[Date]],Database!A:D,4,)</f>
        <v/>
      </c>
      <c r="F643" s="59">
        <f>VLOOKUP(Table1[[#This Row],[Date]],Database!A:D,2,)</f>
        <v/>
      </c>
      <c r="G643" s="56" t="n"/>
    </row>
    <row r="644">
      <c r="A644" s="55" t="n">
        <v>33482</v>
      </c>
      <c r="B644" s="25">
        <f>VLOOKUP(Table1[[#This Row],[Date]],Database!A:D,3,)</f>
        <v/>
      </c>
      <c r="C644" s="26">
        <f>B644-B643</f>
        <v/>
      </c>
      <c r="D644" s="26">
        <f>AVERAGE(C642:C644)</f>
        <v/>
      </c>
      <c r="E644" s="59">
        <f>VLOOKUP(Table1[[#This Row],[Date]],Database!A:D,4,)</f>
        <v/>
      </c>
      <c r="F644" s="59">
        <f>VLOOKUP(Table1[[#This Row],[Date]],Database!A:D,2,)</f>
        <v/>
      </c>
      <c r="G644" s="56" t="n"/>
    </row>
    <row r="645">
      <c r="A645" s="55" t="n">
        <v>33512</v>
      </c>
      <c r="B645" s="25">
        <f>VLOOKUP(Table1[[#This Row],[Date]],Database!A:D,3,)</f>
        <v/>
      </c>
      <c r="C645" s="26">
        <f>B645-B644</f>
        <v/>
      </c>
      <c r="D645" s="26">
        <f>AVERAGE(C643:C645)</f>
        <v/>
      </c>
      <c r="E645" s="59">
        <f>VLOOKUP(Table1[[#This Row],[Date]],Database!A:D,4,)</f>
        <v/>
      </c>
      <c r="F645" s="59">
        <f>VLOOKUP(Table1[[#This Row],[Date]],Database!A:D,2,)</f>
        <v/>
      </c>
      <c r="G645" s="56" t="n"/>
    </row>
    <row r="646">
      <c r="A646" s="55" t="n">
        <v>33543</v>
      </c>
      <c r="B646" s="25">
        <f>VLOOKUP(Table1[[#This Row],[Date]],Database!A:D,3,)</f>
        <v/>
      </c>
      <c r="C646" s="26">
        <f>B646-B645</f>
        <v/>
      </c>
      <c r="D646" s="26">
        <f>AVERAGE(C644:C646)</f>
        <v/>
      </c>
      <c r="E646" s="59">
        <f>VLOOKUP(Table1[[#This Row],[Date]],Database!A:D,4,)</f>
        <v/>
      </c>
      <c r="F646" s="59">
        <f>VLOOKUP(Table1[[#This Row],[Date]],Database!A:D,2,)</f>
        <v/>
      </c>
      <c r="G646" s="56" t="n"/>
    </row>
    <row r="647">
      <c r="A647" s="55" t="n">
        <v>33573</v>
      </c>
      <c r="B647" s="25">
        <f>VLOOKUP(Table1[[#This Row],[Date]],Database!A:D,3,)</f>
        <v/>
      </c>
      <c r="C647" s="26">
        <f>B647-B646</f>
        <v/>
      </c>
      <c r="D647" s="26">
        <f>AVERAGE(C645:C647)</f>
        <v/>
      </c>
      <c r="E647" s="59">
        <f>VLOOKUP(Table1[[#This Row],[Date]],Database!A:D,4,)</f>
        <v/>
      </c>
      <c r="F647" s="59">
        <f>VLOOKUP(Table1[[#This Row],[Date]],Database!A:D,2,)</f>
        <v/>
      </c>
      <c r="G647" s="56" t="n"/>
    </row>
    <row r="648">
      <c r="A648" s="55" t="n">
        <v>33604</v>
      </c>
      <c r="B648" s="25">
        <f>VLOOKUP(Table1[[#This Row],[Date]],Database!A:D,3,)</f>
        <v/>
      </c>
      <c r="C648" s="26">
        <f>B648-B647</f>
        <v/>
      </c>
      <c r="D648" s="26">
        <f>AVERAGE(C646:C648)</f>
        <v/>
      </c>
      <c r="E648" s="59">
        <f>VLOOKUP(Table1[[#This Row],[Date]],Database!A:D,4,)</f>
        <v/>
      </c>
      <c r="F648" s="59">
        <f>VLOOKUP(Table1[[#This Row],[Date]],Database!A:D,2,)</f>
        <v/>
      </c>
      <c r="G648" s="56" t="n"/>
    </row>
    <row r="649">
      <c r="A649" s="55" t="n">
        <v>33635</v>
      </c>
      <c r="B649" s="25">
        <f>VLOOKUP(Table1[[#This Row],[Date]],Database!A:D,3,)</f>
        <v/>
      </c>
      <c r="C649" s="26">
        <f>B649-B648</f>
        <v/>
      </c>
      <c r="D649" s="26">
        <f>AVERAGE(C647:C649)</f>
        <v/>
      </c>
      <c r="E649" s="59">
        <f>VLOOKUP(Table1[[#This Row],[Date]],Database!A:D,4,)</f>
        <v/>
      </c>
      <c r="F649" s="59">
        <f>VLOOKUP(Table1[[#This Row],[Date]],Database!A:D,2,)</f>
        <v/>
      </c>
      <c r="G649" s="56" t="n"/>
    </row>
    <row r="650">
      <c r="A650" s="55" t="n">
        <v>33664</v>
      </c>
      <c r="B650" s="25">
        <f>VLOOKUP(Table1[[#This Row],[Date]],Database!A:D,3,)</f>
        <v/>
      </c>
      <c r="C650" s="26">
        <f>B650-B649</f>
        <v/>
      </c>
      <c r="D650" s="26">
        <f>AVERAGE(C648:C650)</f>
        <v/>
      </c>
      <c r="E650" s="59">
        <f>VLOOKUP(Table1[[#This Row],[Date]],Database!A:D,4,)</f>
        <v/>
      </c>
      <c r="F650" s="59">
        <f>VLOOKUP(Table1[[#This Row],[Date]],Database!A:D,2,)</f>
        <v/>
      </c>
      <c r="G650" s="56" t="n"/>
    </row>
    <row r="651">
      <c r="A651" s="55" t="n">
        <v>33695</v>
      </c>
      <c r="B651" s="25">
        <f>VLOOKUP(Table1[[#This Row],[Date]],Database!A:D,3,)</f>
        <v/>
      </c>
      <c r="C651" s="26">
        <f>B651-B650</f>
        <v/>
      </c>
      <c r="D651" s="26">
        <f>AVERAGE(C649:C651)</f>
        <v/>
      </c>
      <c r="E651" s="59">
        <f>VLOOKUP(Table1[[#This Row],[Date]],Database!A:D,4,)</f>
        <v/>
      </c>
      <c r="F651" s="59">
        <f>VLOOKUP(Table1[[#This Row],[Date]],Database!A:D,2,)</f>
        <v/>
      </c>
      <c r="G651" s="56" t="n"/>
    </row>
    <row r="652">
      <c r="A652" s="55" t="n">
        <v>33725</v>
      </c>
      <c r="B652" s="25">
        <f>VLOOKUP(Table1[[#This Row],[Date]],Database!A:D,3,)</f>
        <v/>
      </c>
      <c r="C652" s="26">
        <f>B652-B651</f>
        <v/>
      </c>
      <c r="D652" s="26">
        <f>AVERAGE(C650:C652)</f>
        <v/>
      </c>
      <c r="E652" s="59">
        <f>VLOOKUP(Table1[[#This Row],[Date]],Database!A:D,4,)</f>
        <v/>
      </c>
      <c r="F652" s="59">
        <f>VLOOKUP(Table1[[#This Row],[Date]],Database!A:D,2,)</f>
        <v/>
      </c>
      <c r="G652" s="56" t="n"/>
    </row>
    <row r="653">
      <c r="A653" s="55" t="n">
        <v>33756</v>
      </c>
      <c r="B653" s="25">
        <f>VLOOKUP(Table1[[#This Row],[Date]],Database!A:D,3,)</f>
        <v/>
      </c>
      <c r="C653" s="26">
        <f>B653-B652</f>
        <v/>
      </c>
      <c r="D653" s="26">
        <f>AVERAGE(C651:C653)</f>
        <v/>
      </c>
      <c r="E653" s="59">
        <f>VLOOKUP(Table1[[#This Row],[Date]],Database!A:D,4,)</f>
        <v/>
      </c>
      <c r="F653" s="59">
        <f>VLOOKUP(Table1[[#This Row],[Date]],Database!A:D,2,)</f>
        <v/>
      </c>
      <c r="G653" s="56" t="n"/>
    </row>
    <row r="654">
      <c r="A654" s="55" t="n">
        <v>33786</v>
      </c>
      <c r="B654" s="25">
        <f>VLOOKUP(Table1[[#This Row],[Date]],Database!A:D,3,)</f>
        <v/>
      </c>
      <c r="C654" s="26">
        <f>B654-B653</f>
        <v/>
      </c>
      <c r="D654" s="26">
        <f>AVERAGE(C652:C654)</f>
        <v/>
      </c>
      <c r="E654" s="59">
        <f>VLOOKUP(Table1[[#This Row],[Date]],Database!A:D,4,)</f>
        <v/>
      </c>
      <c r="F654" s="59">
        <f>VLOOKUP(Table1[[#This Row],[Date]],Database!A:D,2,)</f>
        <v/>
      </c>
      <c r="G654" s="56" t="n"/>
    </row>
    <row r="655">
      <c r="A655" s="55" t="n">
        <v>33817</v>
      </c>
      <c r="B655" s="25">
        <f>VLOOKUP(Table1[[#This Row],[Date]],Database!A:D,3,)</f>
        <v/>
      </c>
      <c r="C655" s="26">
        <f>B655-B654</f>
        <v/>
      </c>
      <c r="D655" s="26">
        <f>AVERAGE(C653:C655)</f>
        <v/>
      </c>
      <c r="E655" s="59">
        <f>VLOOKUP(Table1[[#This Row],[Date]],Database!A:D,4,)</f>
        <v/>
      </c>
      <c r="F655" s="59">
        <f>VLOOKUP(Table1[[#This Row],[Date]],Database!A:D,2,)</f>
        <v/>
      </c>
      <c r="G655" s="56" t="n"/>
    </row>
    <row r="656">
      <c r="A656" s="55" t="n">
        <v>33848</v>
      </c>
      <c r="B656" s="25">
        <f>VLOOKUP(Table1[[#This Row],[Date]],Database!A:D,3,)</f>
        <v/>
      </c>
      <c r="C656" s="26">
        <f>B656-B655</f>
        <v/>
      </c>
      <c r="D656" s="26">
        <f>AVERAGE(C654:C656)</f>
        <v/>
      </c>
      <c r="E656" s="59">
        <f>VLOOKUP(Table1[[#This Row],[Date]],Database!A:D,4,)</f>
        <v/>
      </c>
      <c r="F656" s="59">
        <f>VLOOKUP(Table1[[#This Row],[Date]],Database!A:D,2,)</f>
        <v/>
      </c>
      <c r="G656" s="56" t="n"/>
    </row>
    <row r="657">
      <c r="A657" s="55" t="n">
        <v>33878</v>
      </c>
      <c r="B657" s="25">
        <f>VLOOKUP(Table1[[#This Row],[Date]],Database!A:D,3,)</f>
        <v/>
      </c>
      <c r="C657" s="26">
        <f>B657-B656</f>
        <v/>
      </c>
      <c r="D657" s="26">
        <f>AVERAGE(C655:C657)</f>
        <v/>
      </c>
      <c r="E657" s="59">
        <f>VLOOKUP(Table1[[#This Row],[Date]],Database!A:D,4,)</f>
        <v/>
      </c>
      <c r="F657" s="59">
        <f>VLOOKUP(Table1[[#This Row],[Date]],Database!A:D,2,)</f>
        <v/>
      </c>
      <c r="G657" s="56" t="n"/>
    </row>
    <row r="658">
      <c r="A658" s="55" t="n">
        <v>33909</v>
      </c>
      <c r="B658" s="25">
        <f>VLOOKUP(Table1[[#This Row],[Date]],Database!A:D,3,)</f>
        <v/>
      </c>
      <c r="C658" s="26">
        <f>B658-B657</f>
        <v/>
      </c>
      <c r="D658" s="26">
        <f>AVERAGE(C656:C658)</f>
        <v/>
      </c>
      <c r="E658" s="59">
        <f>VLOOKUP(Table1[[#This Row],[Date]],Database!A:D,4,)</f>
        <v/>
      </c>
      <c r="F658" s="59">
        <f>VLOOKUP(Table1[[#This Row],[Date]],Database!A:D,2,)</f>
        <v/>
      </c>
      <c r="G658" s="56" t="n"/>
    </row>
    <row r="659">
      <c r="A659" s="55" t="n">
        <v>33939</v>
      </c>
      <c r="B659" s="25">
        <f>VLOOKUP(Table1[[#This Row],[Date]],Database!A:D,3,)</f>
        <v/>
      </c>
      <c r="C659" s="26">
        <f>B659-B658</f>
        <v/>
      </c>
      <c r="D659" s="26">
        <f>AVERAGE(C657:C659)</f>
        <v/>
      </c>
      <c r="E659" s="59">
        <f>VLOOKUP(Table1[[#This Row],[Date]],Database!A:D,4,)</f>
        <v/>
      </c>
      <c r="F659" s="59">
        <f>VLOOKUP(Table1[[#This Row],[Date]],Database!A:D,2,)</f>
        <v/>
      </c>
      <c r="G659" s="56" t="n"/>
    </row>
    <row r="660">
      <c r="A660" s="55" t="n">
        <v>33970</v>
      </c>
      <c r="B660" s="25">
        <f>VLOOKUP(Table1[[#This Row],[Date]],Database!A:D,3,)</f>
        <v/>
      </c>
      <c r="C660" s="26">
        <f>B660-B659</f>
        <v/>
      </c>
      <c r="D660" s="26">
        <f>AVERAGE(C658:C660)</f>
        <v/>
      </c>
      <c r="E660" s="59">
        <f>VLOOKUP(Table1[[#This Row],[Date]],Database!A:D,4,)</f>
        <v/>
      </c>
      <c r="F660" s="59">
        <f>VLOOKUP(Table1[[#This Row],[Date]],Database!A:D,2,)</f>
        <v/>
      </c>
      <c r="G660" s="56" t="n"/>
    </row>
    <row r="661">
      <c r="A661" s="55" t="n">
        <v>34001</v>
      </c>
      <c r="B661" s="25">
        <f>VLOOKUP(Table1[[#This Row],[Date]],Database!A:D,3,)</f>
        <v/>
      </c>
      <c r="C661" s="26">
        <f>B661-B660</f>
        <v/>
      </c>
      <c r="D661" s="26">
        <f>AVERAGE(C659:C661)</f>
        <v/>
      </c>
      <c r="E661" s="59">
        <f>VLOOKUP(Table1[[#This Row],[Date]],Database!A:D,4,)</f>
        <v/>
      </c>
      <c r="F661" s="59">
        <f>VLOOKUP(Table1[[#This Row],[Date]],Database!A:D,2,)</f>
        <v/>
      </c>
      <c r="G661" s="56" t="n"/>
    </row>
    <row r="662">
      <c r="A662" s="55" t="n">
        <v>34029</v>
      </c>
      <c r="B662" s="25">
        <f>VLOOKUP(Table1[[#This Row],[Date]],Database!A:D,3,)</f>
        <v/>
      </c>
      <c r="C662" s="26">
        <f>B662-B661</f>
        <v/>
      </c>
      <c r="D662" s="26">
        <f>AVERAGE(C660:C662)</f>
        <v/>
      </c>
      <c r="E662" s="59">
        <f>VLOOKUP(Table1[[#This Row],[Date]],Database!A:D,4,)</f>
        <v/>
      </c>
      <c r="F662" s="59">
        <f>VLOOKUP(Table1[[#This Row],[Date]],Database!A:D,2,)</f>
        <v/>
      </c>
      <c r="G662" s="56" t="n"/>
    </row>
    <row r="663">
      <c r="A663" s="55" t="n">
        <v>34060</v>
      </c>
      <c r="B663" s="25">
        <f>VLOOKUP(Table1[[#This Row],[Date]],Database!A:D,3,)</f>
        <v/>
      </c>
      <c r="C663" s="26">
        <f>B663-B662</f>
        <v/>
      </c>
      <c r="D663" s="26">
        <f>AVERAGE(C661:C663)</f>
        <v/>
      </c>
      <c r="E663" s="59">
        <f>VLOOKUP(Table1[[#This Row],[Date]],Database!A:D,4,)</f>
        <v/>
      </c>
      <c r="F663" s="59">
        <f>VLOOKUP(Table1[[#This Row],[Date]],Database!A:D,2,)</f>
        <v/>
      </c>
      <c r="G663" s="56" t="n"/>
    </row>
    <row r="664">
      <c r="A664" s="55" t="n">
        <v>34090</v>
      </c>
      <c r="B664" s="25">
        <f>VLOOKUP(Table1[[#This Row],[Date]],Database!A:D,3,)</f>
        <v/>
      </c>
      <c r="C664" s="26">
        <f>B664-B663</f>
        <v/>
      </c>
      <c r="D664" s="26">
        <f>AVERAGE(C662:C664)</f>
        <v/>
      </c>
      <c r="E664" s="59">
        <f>VLOOKUP(Table1[[#This Row],[Date]],Database!A:D,4,)</f>
        <v/>
      </c>
      <c r="F664" s="59">
        <f>VLOOKUP(Table1[[#This Row],[Date]],Database!A:D,2,)</f>
        <v/>
      </c>
      <c r="G664" s="56" t="n"/>
    </row>
    <row r="665">
      <c r="A665" s="55" t="n">
        <v>34121</v>
      </c>
      <c r="B665" s="25">
        <f>VLOOKUP(Table1[[#This Row],[Date]],Database!A:D,3,)</f>
        <v/>
      </c>
      <c r="C665" s="26">
        <f>B665-B664</f>
        <v/>
      </c>
      <c r="D665" s="26">
        <f>AVERAGE(C663:C665)</f>
        <v/>
      </c>
      <c r="E665" s="59">
        <f>VLOOKUP(Table1[[#This Row],[Date]],Database!A:D,4,)</f>
        <v/>
      </c>
      <c r="F665" s="59">
        <f>VLOOKUP(Table1[[#This Row],[Date]],Database!A:D,2,)</f>
        <v/>
      </c>
      <c r="G665" s="56" t="n"/>
    </row>
    <row r="666">
      <c r="A666" s="55" t="n">
        <v>34151</v>
      </c>
      <c r="B666" s="25">
        <f>VLOOKUP(Table1[[#This Row],[Date]],Database!A:D,3,)</f>
        <v/>
      </c>
      <c r="C666" s="26">
        <f>B666-B665</f>
        <v/>
      </c>
      <c r="D666" s="26">
        <f>AVERAGE(C664:C666)</f>
        <v/>
      </c>
      <c r="E666" s="59">
        <f>VLOOKUP(Table1[[#This Row],[Date]],Database!A:D,4,)</f>
        <v/>
      </c>
      <c r="F666" s="59">
        <f>VLOOKUP(Table1[[#This Row],[Date]],Database!A:D,2,)</f>
        <v/>
      </c>
      <c r="G666" s="56" t="n"/>
    </row>
    <row r="667">
      <c r="A667" s="55" t="n">
        <v>34182</v>
      </c>
      <c r="B667" s="25">
        <f>VLOOKUP(Table1[[#This Row],[Date]],Database!A:D,3,)</f>
        <v/>
      </c>
      <c r="C667" s="26">
        <f>B667-B666</f>
        <v/>
      </c>
      <c r="D667" s="26">
        <f>AVERAGE(C665:C667)</f>
        <v/>
      </c>
      <c r="E667" s="59">
        <f>VLOOKUP(Table1[[#This Row],[Date]],Database!A:D,4,)</f>
        <v/>
      </c>
      <c r="F667" s="59">
        <f>VLOOKUP(Table1[[#This Row],[Date]],Database!A:D,2,)</f>
        <v/>
      </c>
      <c r="G667" s="56" t="n"/>
    </row>
    <row r="668">
      <c r="A668" s="55" t="n">
        <v>34213</v>
      </c>
      <c r="B668" s="25">
        <f>VLOOKUP(Table1[[#This Row],[Date]],Database!A:D,3,)</f>
        <v/>
      </c>
      <c r="C668" s="26">
        <f>B668-B667</f>
        <v/>
      </c>
      <c r="D668" s="26">
        <f>AVERAGE(C666:C668)</f>
        <v/>
      </c>
      <c r="E668" s="59">
        <f>VLOOKUP(Table1[[#This Row],[Date]],Database!A:D,4,)</f>
        <v/>
      </c>
      <c r="F668" s="59">
        <f>VLOOKUP(Table1[[#This Row],[Date]],Database!A:D,2,)</f>
        <v/>
      </c>
      <c r="G668" s="56" t="n"/>
    </row>
    <row r="669">
      <c r="A669" s="55" t="n">
        <v>34243</v>
      </c>
      <c r="B669" s="25">
        <f>VLOOKUP(Table1[[#This Row],[Date]],Database!A:D,3,)</f>
        <v/>
      </c>
      <c r="C669" s="26">
        <f>B669-B668</f>
        <v/>
      </c>
      <c r="D669" s="26">
        <f>AVERAGE(C667:C669)</f>
        <v/>
      </c>
      <c r="E669" s="59">
        <f>VLOOKUP(Table1[[#This Row],[Date]],Database!A:D,4,)</f>
        <v/>
      </c>
      <c r="F669" s="59">
        <f>VLOOKUP(Table1[[#This Row],[Date]],Database!A:D,2,)</f>
        <v/>
      </c>
      <c r="G669" s="56" t="n"/>
    </row>
    <row r="670">
      <c r="A670" s="55" t="n">
        <v>34274</v>
      </c>
      <c r="B670" s="25">
        <f>VLOOKUP(Table1[[#This Row],[Date]],Database!A:D,3,)</f>
        <v/>
      </c>
      <c r="C670" s="26">
        <f>B670-B669</f>
        <v/>
      </c>
      <c r="D670" s="26">
        <f>AVERAGE(C668:C670)</f>
        <v/>
      </c>
      <c r="E670" s="59">
        <f>VLOOKUP(Table1[[#This Row],[Date]],Database!A:D,4,)</f>
        <v/>
      </c>
      <c r="F670" s="59">
        <f>VLOOKUP(Table1[[#This Row],[Date]],Database!A:D,2,)</f>
        <v/>
      </c>
      <c r="G670" s="56" t="n"/>
    </row>
    <row r="671">
      <c r="A671" s="55" t="n">
        <v>34304</v>
      </c>
      <c r="B671" s="25">
        <f>VLOOKUP(Table1[[#This Row],[Date]],Database!A:D,3,)</f>
        <v/>
      </c>
      <c r="C671" s="26">
        <f>B671-B670</f>
        <v/>
      </c>
      <c r="D671" s="26">
        <f>AVERAGE(C669:C671)</f>
        <v/>
      </c>
      <c r="E671" s="59">
        <f>VLOOKUP(Table1[[#This Row],[Date]],Database!A:D,4,)</f>
        <v/>
      </c>
      <c r="F671" s="59">
        <f>VLOOKUP(Table1[[#This Row],[Date]],Database!A:D,2,)</f>
        <v/>
      </c>
      <c r="G671" s="56" t="n"/>
    </row>
    <row r="672">
      <c r="A672" s="55" t="n">
        <v>34335</v>
      </c>
      <c r="B672" s="25">
        <f>VLOOKUP(Table1[[#This Row],[Date]],Database!A:D,3,)</f>
        <v/>
      </c>
      <c r="C672" s="26">
        <f>B672-B671</f>
        <v/>
      </c>
      <c r="D672" s="26">
        <f>AVERAGE(C670:C672)</f>
        <v/>
      </c>
      <c r="E672" s="59">
        <f>VLOOKUP(Table1[[#This Row],[Date]],Database!A:D,4,)</f>
        <v/>
      </c>
      <c r="F672" s="59">
        <f>VLOOKUP(Table1[[#This Row],[Date]],Database!A:D,2,)</f>
        <v/>
      </c>
      <c r="G672" s="56" t="n"/>
    </row>
    <row r="673">
      <c r="A673" s="55" t="n">
        <v>34366</v>
      </c>
      <c r="B673" s="25">
        <f>VLOOKUP(Table1[[#This Row],[Date]],Database!A:D,3,)</f>
        <v/>
      </c>
      <c r="C673" s="26">
        <f>B673-B672</f>
        <v/>
      </c>
      <c r="D673" s="26">
        <f>AVERAGE(C671:C673)</f>
        <v/>
      </c>
      <c r="E673" s="59">
        <f>VLOOKUP(Table1[[#This Row],[Date]],Database!A:D,4,)</f>
        <v/>
      </c>
      <c r="F673" s="59">
        <f>VLOOKUP(Table1[[#This Row],[Date]],Database!A:D,2,)</f>
        <v/>
      </c>
      <c r="G673" s="56" t="n"/>
    </row>
    <row r="674">
      <c r="A674" s="55" t="n">
        <v>34394</v>
      </c>
      <c r="B674" s="25">
        <f>VLOOKUP(Table1[[#This Row],[Date]],Database!A:D,3,)</f>
        <v/>
      </c>
      <c r="C674" s="26">
        <f>B674-B673</f>
        <v/>
      </c>
      <c r="D674" s="26">
        <f>AVERAGE(C672:C674)</f>
        <v/>
      </c>
      <c r="E674" s="59">
        <f>VLOOKUP(Table1[[#This Row],[Date]],Database!A:D,4,)</f>
        <v/>
      </c>
      <c r="F674" s="59">
        <f>VLOOKUP(Table1[[#This Row],[Date]],Database!A:D,2,)</f>
        <v/>
      </c>
      <c r="G674" s="56" t="n"/>
    </row>
    <row r="675">
      <c r="A675" s="55" t="n">
        <v>34425</v>
      </c>
      <c r="B675" s="25">
        <f>VLOOKUP(Table1[[#This Row],[Date]],Database!A:D,3,)</f>
        <v/>
      </c>
      <c r="C675" s="26">
        <f>B675-B674</f>
        <v/>
      </c>
      <c r="D675" s="26">
        <f>AVERAGE(C673:C675)</f>
        <v/>
      </c>
      <c r="E675" s="59">
        <f>VLOOKUP(Table1[[#This Row],[Date]],Database!A:D,4,)</f>
        <v/>
      </c>
      <c r="F675" s="59">
        <f>VLOOKUP(Table1[[#This Row],[Date]],Database!A:D,2,)</f>
        <v/>
      </c>
      <c r="G675" s="56" t="n"/>
    </row>
    <row r="676">
      <c r="A676" s="55" t="n">
        <v>34455</v>
      </c>
      <c r="B676" s="25">
        <f>VLOOKUP(Table1[[#This Row],[Date]],Database!A:D,3,)</f>
        <v/>
      </c>
      <c r="C676" s="26">
        <f>B676-B675</f>
        <v/>
      </c>
      <c r="D676" s="26">
        <f>AVERAGE(C674:C676)</f>
        <v/>
      </c>
      <c r="E676" s="59">
        <f>VLOOKUP(Table1[[#This Row],[Date]],Database!A:D,4,)</f>
        <v/>
      </c>
      <c r="F676" s="59">
        <f>VLOOKUP(Table1[[#This Row],[Date]],Database!A:D,2,)</f>
        <v/>
      </c>
      <c r="G676" s="56" t="n"/>
    </row>
    <row r="677">
      <c r="A677" s="55" t="n">
        <v>34486</v>
      </c>
      <c r="B677" s="25">
        <f>VLOOKUP(Table1[[#This Row],[Date]],Database!A:D,3,)</f>
        <v/>
      </c>
      <c r="C677" s="26">
        <f>B677-B676</f>
        <v/>
      </c>
      <c r="D677" s="26">
        <f>AVERAGE(C675:C677)</f>
        <v/>
      </c>
      <c r="E677" s="59">
        <f>VLOOKUP(Table1[[#This Row],[Date]],Database!A:D,4,)</f>
        <v/>
      </c>
      <c r="F677" s="59">
        <f>VLOOKUP(Table1[[#This Row],[Date]],Database!A:D,2,)</f>
        <v/>
      </c>
      <c r="G677" s="56" t="n"/>
    </row>
    <row r="678">
      <c r="A678" s="55" t="n">
        <v>34516</v>
      </c>
      <c r="B678" s="25">
        <f>VLOOKUP(Table1[[#This Row],[Date]],Database!A:D,3,)</f>
        <v/>
      </c>
      <c r="C678" s="26">
        <f>B678-B677</f>
        <v/>
      </c>
      <c r="D678" s="26">
        <f>AVERAGE(C676:C678)</f>
        <v/>
      </c>
      <c r="E678" s="59">
        <f>VLOOKUP(Table1[[#This Row],[Date]],Database!A:D,4,)</f>
        <v/>
      </c>
      <c r="F678" s="59">
        <f>VLOOKUP(Table1[[#This Row],[Date]],Database!A:D,2,)</f>
        <v/>
      </c>
      <c r="G678" s="56" t="n"/>
    </row>
    <row r="679">
      <c r="A679" s="55" t="n">
        <v>34547</v>
      </c>
      <c r="B679" s="25">
        <f>VLOOKUP(Table1[[#This Row],[Date]],Database!A:D,3,)</f>
        <v/>
      </c>
      <c r="C679" s="26">
        <f>B679-B678</f>
        <v/>
      </c>
      <c r="D679" s="26">
        <f>AVERAGE(C677:C679)</f>
        <v/>
      </c>
      <c r="E679" s="59">
        <f>VLOOKUP(Table1[[#This Row],[Date]],Database!A:D,4,)</f>
        <v/>
      </c>
      <c r="F679" s="59">
        <f>VLOOKUP(Table1[[#This Row],[Date]],Database!A:D,2,)</f>
        <v/>
      </c>
      <c r="G679" s="56" t="n"/>
    </row>
    <row r="680">
      <c r="A680" s="55" t="n">
        <v>34578</v>
      </c>
      <c r="B680" s="25">
        <f>VLOOKUP(Table1[[#This Row],[Date]],Database!A:D,3,)</f>
        <v/>
      </c>
      <c r="C680" s="26">
        <f>B680-B679</f>
        <v/>
      </c>
      <c r="D680" s="26">
        <f>AVERAGE(C678:C680)</f>
        <v/>
      </c>
      <c r="E680" s="59">
        <f>VLOOKUP(Table1[[#This Row],[Date]],Database!A:D,4,)</f>
        <v/>
      </c>
      <c r="F680" s="59">
        <f>VLOOKUP(Table1[[#This Row],[Date]],Database!A:D,2,)</f>
        <v/>
      </c>
      <c r="G680" s="56" t="n"/>
    </row>
    <row r="681">
      <c r="A681" s="55" t="n">
        <v>34608</v>
      </c>
      <c r="B681" s="25">
        <f>VLOOKUP(Table1[[#This Row],[Date]],Database!A:D,3,)</f>
        <v/>
      </c>
      <c r="C681" s="26">
        <f>B681-B680</f>
        <v/>
      </c>
      <c r="D681" s="26">
        <f>AVERAGE(C679:C681)</f>
        <v/>
      </c>
      <c r="E681" s="59">
        <f>VLOOKUP(Table1[[#This Row],[Date]],Database!A:D,4,)</f>
        <v/>
      </c>
      <c r="F681" s="59">
        <f>VLOOKUP(Table1[[#This Row],[Date]],Database!A:D,2,)</f>
        <v/>
      </c>
      <c r="G681" s="56" t="n"/>
    </row>
    <row r="682">
      <c r="A682" s="55" t="n">
        <v>34639</v>
      </c>
      <c r="B682" s="25">
        <f>VLOOKUP(Table1[[#This Row],[Date]],Database!A:D,3,)</f>
        <v/>
      </c>
      <c r="C682" s="26">
        <f>B682-B681</f>
        <v/>
      </c>
      <c r="D682" s="26">
        <f>AVERAGE(C680:C682)</f>
        <v/>
      </c>
      <c r="E682" s="59">
        <f>VLOOKUP(Table1[[#This Row],[Date]],Database!A:D,4,)</f>
        <v/>
      </c>
      <c r="F682" s="59">
        <f>VLOOKUP(Table1[[#This Row],[Date]],Database!A:D,2,)</f>
        <v/>
      </c>
      <c r="G682" s="56" t="n"/>
    </row>
    <row r="683">
      <c r="A683" s="55" t="n">
        <v>34669</v>
      </c>
      <c r="B683" s="25">
        <f>VLOOKUP(Table1[[#This Row],[Date]],Database!A:D,3,)</f>
        <v/>
      </c>
      <c r="C683" s="26">
        <f>B683-B682</f>
        <v/>
      </c>
      <c r="D683" s="26">
        <f>AVERAGE(C681:C683)</f>
        <v/>
      </c>
      <c r="E683" s="59">
        <f>VLOOKUP(Table1[[#This Row],[Date]],Database!A:D,4,)</f>
        <v/>
      </c>
      <c r="F683" s="59">
        <f>VLOOKUP(Table1[[#This Row],[Date]],Database!A:D,2,)</f>
        <v/>
      </c>
      <c r="G683" s="56" t="n"/>
    </row>
    <row r="684">
      <c r="A684" s="55" t="n">
        <v>34700</v>
      </c>
      <c r="B684" s="25">
        <f>VLOOKUP(Table1[[#This Row],[Date]],Database!A:D,3,)</f>
        <v/>
      </c>
      <c r="C684" s="26">
        <f>B684-B683</f>
        <v/>
      </c>
      <c r="D684" s="26">
        <f>AVERAGE(C682:C684)</f>
        <v/>
      </c>
      <c r="E684" s="59">
        <f>VLOOKUP(Table1[[#This Row],[Date]],Database!A:D,4,)</f>
        <v/>
      </c>
      <c r="F684" s="59">
        <f>VLOOKUP(Table1[[#This Row],[Date]],Database!A:D,2,)</f>
        <v/>
      </c>
      <c r="G684" s="56" t="n"/>
    </row>
    <row r="685">
      <c r="A685" s="55" t="n">
        <v>34731</v>
      </c>
      <c r="B685" s="25">
        <f>VLOOKUP(Table1[[#This Row],[Date]],Database!A:D,3,)</f>
        <v/>
      </c>
      <c r="C685" s="26">
        <f>B685-B684</f>
        <v/>
      </c>
      <c r="D685" s="26">
        <f>AVERAGE(C683:C685)</f>
        <v/>
      </c>
      <c r="E685" s="59">
        <f>VLOOKUP(Table1[[#This Row],[Date]],Database!A:D,4,)</f>
        <v/>
      </c>
      <c r="F685" s="59">
        <f>VLOOKUP(Table1[[#This Row],[Date]],Database!A:D,2,)</f>
        <v/>
      </c>
      <c r="G685" s="56" t="n"/>
    </row>
    <row r="686">
      <c r="A686" s="55" t="n">
        <v>34759</v>
      </c>
      <c r="B686" s="25">
        <f>VLOOKUP(Table1[[#This Row],[Date]],Database!A:D,3,)</f>
        <v/>
      </c>
      <c r="C686" s="26">
        <f>B686-B685</f>
        <v/>
      </c>
      <c r="D686" s="26">
        <f>AVERAGE(C684:C686)</f>
        <v/>
      </c>
      <c r="E686" s="59">
        <f>VLOOKUP(Table1[[#This Row],[Date]],Database!A:D,4,)</f>
        <v/>
      </c>
      <c r="F686" s="59">
        <f>VLOOKUP(Table1[[#This Row],[Date]],Database!A:D,2,)</f>
        <v/>
      </c>
      <c r="G686" s="56" t="n"/>
    </row>
    <row r="687">
      <c r="A687" s="55" t="n">
        <v>34790</v>
      </c>
      <c r="B687" s="25">
        <f>VLOOKUP(Table1[[#This Row],[Date]],Database!A:D,3,)</f>
        <v/>
      </c>
      <c r="C687" s="26">
        <f>B687-B686</f>
        <v/>
      </c>
      <c r="D687" s="26">
        <f>AVERAGE(C685:C687)</f>
        <v/>
      </c>
      <c r="E687" s="59">
        <f>VLOOKUP(Table1[[#This Row],[Date]],Database!A:D,4,)</f>
        <v/>
      </c>
      <c r="F687" s="59">
        <f>VLOOKUP(Table1[[#This Row],[Date]],Database!A:D,2,)</f>
        <v/>
      </c>
      <c r="G687" s="56" t="n"/>
    </row>
    <row r="688">
      <c r="A688" s="55" t="n">
        <v>34820</v>
      </c>
      <c r="B688" s="25">
        <f>VLOOKUP(Table1[[#This Row],[Date]],Database!A:D,3,)</f>
        <v/>
      </c>
      <c r="C688" s="26">
        <f>B688-B687</f>
        <v/>
      </c>
      <c r="D688" s="26">
        <f>AVERAGE(C686:C688)</f>
        <v/>
      </c>
      <c r="E688" s="59">
        <f>VLOOKUP(Table1[[#This Row],[Date]],Database!A:D,4,)</f>
        <v/>
      </c>
      <c r="F688" s="59">
        <f>VLOOKUP(Table1[[#This Row],[Date]],Database!A:D,2,)</f>
        <v/>
      </c>
      <c r="G688" s="56" t="n"/>
    </row>
    <row r="689">
      <c r="A689" s="55" t="n">
        <v>34851</v>
      </c>
      <c r="B689" s="25">
        <f>VLOOKUP(Table1[[#This Row],[Date]],Database!A:D,3,)</f>
        <v/>
      </c>
      <c r="C689" s="26">
        <f>B689-B688</f>
        <v/>
      </c>
      <c r="D689" s="26">
        <f>AVERAGE(C687:C689)</f>
        <v/>
      </c>
      <c r="E689" s="59">
        <f>VLOOKUP(Table1[[#This Row],[Date]],Database!A:D,4,)</f>
        <v/>
      </c>
      <c r="F689" s="59">
        <f>VLOOKUP(Table1[[#This Row],[Date]],Database!A:D,2,)</f>
        <v/>
      </c>
      <c r="G689" s="56" t="n"/>
    </row>
    <row r="690">
      <c r="A690" s="55" t="n">
        <v>34881</v>
      </c>
      <c r="B690" s="25">
        <f>VLOOKUP(Table1[[#This Row],[Date]],Database!A:D,3,)</f>
        <v/>
      </c>
      <c r="C690" s="26">
        <f>B690-B689</f>
        <v/>
      </c>
      <c r="D690" s="26">
        <f>AVERAGE(C688:C690)</f>
        <v/>
      </c>
      <c r="E690" s="59">
        <f>VLOOKUP(Table1[[#This Row],[Date]],Database!A:D,4,)</f>
        <v/>
      </c>
      <c r="F690" s="59">
        <f>VLOOKUP(Table1[[#This Row],[Date]],Database!A:D,2,)</f>
        <v/>
      </c>
      <c r="G690" s="56" t="n"/>
    </row>
    <row r="691">
      <c r="A691" s="55" t="n">
        <v>34912</v>
      </c>
      <c r="B691" s="25">
        <f>VLOOKUP(Table1[[#This Row],[Date]],Database!A:D,3,)</f>
        <v/>
      </c>
      <c r="C691" s="26">
        <f>B691-B690</f>
        <v/>
      </c>
      <c r="D691" s="26">
        <f>AVERAGE(C689:C691)</f>
        <v/>
      </c>
      <c r="E691" s="59">
        <f>VLOOKUP(Table1[[#This Row],[Date]],Database!A:D,4,)</f>
        <v/>
      </c>
      <c r="F691" s="59">
        <f>VLOOKUP(Table1[[#This Row],[Date]],Database!A:D,2,)</f>
        <v/>
      </c>
      <c r="G691" s="56" t="n"/>
    </row>
    <row r="692">
      <c r="A692" s="55" t="n">
        <v>34943</v>
      </c>
      <c r="B692" s="25">
        <f>VLOOKUP(Table1[[#This Row],[Date]],Database!A:D,3,)</f>
        <v/>
      </c>
      <c r="C692" s="26">
        <f>B692-B691</f>
        <v/>
      </c>
      <c r="D692" s="26">
        <f>AVERAGE(C690:C692)</f>
        <v/>
      </c>
      <c r="E692" s="59">
        <f>VLOOKUP(Table1[[#This Row],[Date]],Database!A:D,4,)</f>
        <v/>
      </c>
      <c r="F692" s="59">
        <f>VLOOKUP(Table1[[#This Row],[Date]],Database!A:D,2,)</f>
        <v/>
      </c>
      <c r="G692" s="56" t="n"/>
    </row>
    <row r="693">
      <c r="A693" s="55" t="n">
        <v>34973</v>
      </c>
      <c r="B693" s="25">
        <f>VLOOKUP(Table1[[#This Row],[Date]],Database!A:D,3,)</f>
        <v/>
      </c>
      <c r="C693" s="26">
        <f>B693-B692</f>
        <v/>
      </c>
      <c r="D693" s="26">
        <f>AVERAGE(C691:C693)</f>
        <v/>
      </c>
      <c r="E693" s="59">
        <f>VLOOKUP(Table1[[#This Row],[Date]],Database!A:D,4,)</f>
        <v/>
      </c>
      <c r="F693" s="59">
        <f>VLOOKUP(Table1[[#This Row],[Date]],Database!A:D,2,)</f>
        <v/>
      </c>
      <c r="G693" s="56" t="n"/>
    </row>
    <row r="694">
      <c r="A694" s="55" t="n">
        <v>35004</v>
      </c>
      <c r="B694" s="25">
        <f>VLOOKUP(Table1[[#This Row],[Date]],Database!A:D,3,)</f>
        <v/>
      </c>
      <c r="C694" s="26">
        <f>B694-B693</f>
        <v/>
      </c>
      <c r="D694" s="26">
        <f>AVERAGE(C692:C694)</f>
        <v/>
      </c>
      <c r="E694" s="59">
        <f>VLOOKUP(Table1[[#This Row],[Date]],Database!A:D,4,)</f>
        <v/>
      </c>
      <c r="F694" s="59">
        <f>VLOOKUP(Table1[[#This Row],[Date]],Database!A:D,2,)</f>
        <v/>
      </c>
      <c r="G694" s="56" t="n"/>
    </row>
    <row r="695">
      <c r="A695" s="55" t="n">
        <v>35034</v>
      </c>
      <c r="B695" s="25">
        <f>VLOOKUP(Table1[[#This Row],[Date]],Database!A:D,3,)</f>
        <v/>
      </c>
      <c r="C695" s="26">
        <f>B695-B694</f>
        <v/>
      </c>
      <c r="D695" s="26">
        <f>AVERAGE(C693:C695)</f>
        <v/>
      </c>
      <c r="E695" s="59">
        <f>VLOOKUP(Table1[[#This Row],[Date]],Database!A:D,4,)</f>
        <v/>
      </c>
      <c r="F695" s="59">
        <f>VLOOKUP(Table1[[#This Row],[Date]],Database!A:D,2,)</f>
        <v/>
      </c>
      <c r="G695" s="56" t="n"/>
    </row>
    <row r="696">
      <c r="A696" s="55" t="n">
        <v>35065</v>
      </c>
      <c r="B696" s="25">
        <f>VLOOKUP(Table1[[#This Row],[Date]],Database!A:D,3,)</f>
        <v/>
      </c>
      <c r="C696" s="26">
        <f>B696-B695</f>
        <v/>
      </c>
      <c r="D696" s="26">
        <f>AVERAGE(C694:C696)</f>
        <v/>
      </c>
      <c r="E696" s="59">
        <f>VLOOKUP(Table1[[#This Row],[Date]],Database!A:D,4,)</f>
        <v/>
      </c>
      <c r="F696" s="59">
        <f>VLOOKUP(Table1[[#This Row],[Date]],Database!A:D,2,)</f>
        <v/>
      </c>
      <c r="G696" s="56" t="n"/>
    </row>
    <row r="697">
      <c r="A697" s="55" t="n">
        <v>35096</v>
      </c>
      <c r="B697" s="25">
        <f>VLOOKUP(Table1[[#This Row],[Date]],Database!A:D,3,)</f>
        <v/>
      </c>
      <c r="C697" s="26">
        <f>B697-B696</f>
        <v/>
      </c>
      <c r="D697" s="26">
        <f>AVERAGE(C695:C697)</f>
        <v/>
      </c>
      <c r="E697" s="59">
        <f>VLOOKUP(Table1[[#This Row],[Date]],Database!A:D,4,)</f>
        <v/>
      </c>
      <c r="F697" s="59">
        <f>VLOOKUP(Table1[[#This Row],[Date]],Database!A:D,2,)</f>
        <v/>
      </c>
      <c r="G697" s="56" t="n"/>
    </row>
    <row r="698">
      <c r="A698" s="55" t="n">
        <v>35125</v>
      </c>
      <c r="B698" s="25">
        <f>VLOOKUP(Table1[[#This Row],[Date]],Database!A:D,3,)</f>
        <v/>
      </c>
      <c r="C698" s="26">
        <f>B698-B697</f>
        <v/>
      </c>
      <c r="D698" s="26">
        <f>AVERAGE(C696:C698)</f>
        <v/>
      </c>
      <c r="E698" s="59">
        <f>VLOOKUP(Table1[[#This Row],[Date]],Database!A:D,4,)</f>
        <v/>
      </c>
      <c r="F698" s="59">
        <f>VLOOKUP(Table1[[#This Row],[Date]],Database!A:D,2,)</f>
        <v/>
      </c>
      <c r="G698" s="56" t="n"/>
    </row>
    <row r="699">
      <c r="A699" s="55" t="n">
        <v>35156</v>
      </c>
      <c r="B699" s="25">
        <f>VLOOKUP(Table1[[#This Row],[Date]],Database!A:D,3,)</f>
        <v/>
      </c>
      <c r="C699" s="26">
        <f>B699-B698</f>
        <v/>
      </c>
      <c r="D699" s="26">
        <f>AVERAGE(C697:C699)</f>
        <v/>
      </c>
      <c r="E699" s="59">
        <f>VLOOKUP(Table1[[#This Row],[Date]],Database!A:D,4,)</f>
        <v/>
      </c>
      <c r="F699" s="59">
        <f>VLOOKUP(Table1[[#This Row],[Date]],Database!A:D,2,)</f>
        <v/>
      </c>
      <c r="G699" s="56" t="n"/>
    </row>
    <row r="700">
      <c r="A700" s="55" t="n">
        <v>35186</v>
      </c>
      <c r="B700" s="25">
        <f>VLOOKUP(Table1[[#This Row],[Date]],Database!A:D,3,)</f>
        <v/>
      </c>
      <c r="C700" s="26">
        <f>B700-B699</f>
        <v/>
      </c>
      <c r="D700" s="26">
        <f>AVERAGE(C698:C700)</f>
        <v/>
      </c>
      <c r="E700" s="59">
        <f>VLOOKUP(Table1[[#This Row],[Date]],Database!A:D,4,)</f>
        <v/>
      </c>
      <c r="F700" s="59">
        <f>VLOOKUP(Table1[[#This Row],[Date]],Database!A:D,2,)</f>
        <v/>
      </c>
      <c r="G700" s="56" t="n"/>
    </row>
    <row r="701">
      <c r="A701" s="55" t="n">
        <v>35217</v>
      </c>
      <c r="B701" s="25">
        <f>VLOOKUP(Table1[[#This Row],[Date]],Database!A:D,3,)</f>
        <v/>
      </c>
      <c r="C701" s="26">
        <f>B701-B700</f>
        <v/>
      </c>
      <c r="D701" s="26">
        <f>AVERAGE(C699:C701)</f>
        <v/>
      </c>
      <c r="E701" s="59">
        <f>VLOOKUP(Table1[[#This Row],[Date]],Database!A:D,4,)</f>
        <v/>
      </c>
      <c r="F701" s="59">
        <f>VLOOKUP(Table1[[#This Row],[Date]],Database!A:D,2,)</f>
        <v/>
      </c>
      <c r="G701" s="56" t="n"/>
    </row>
    <row r="702">
      <c r="A702" s="55" t="n">
        <v>35247</v>
      </c>
      <c r="B702" s="25">
        <f>VLOOKUP(Table1[[#This Row],[Date]],Database!A:D,3,)</f>
        <v/>
      </c>
      <c r="C702" s="26">
        <f>B702-B701</f>
        <v/>
      </c>
      <c r="D702" s="26">
        <f>AVERAGE(C700:C702)</f>
        <v/>
      </c>
      <c r="E702" s="59">
        <f>VLOOKUP(Table1[[#This Row],[Date]],Database!A:D,4,)</f>
        <v/>
      </c>
      <c r="F702" s="59">
        <f>VLOOKUP(Table1[[#This Row],[Date]],Database!A:D,2,)</f>
        <v/>
      </c>
      <c r="G702" s="56" t="n"/>
    </row>
    <row r="703">
      <c r="A703" s="55" t="n">
        <v>35278</v>
      </c>
      <c r="B703" s="25">
        <f>VLOOKUP(Table1[[#This Row],[Date]],Database!A:D,3,)</f>
        <v/>
      </c>
      <c r="C703" s="26">
        <f>B703-B702</f>
        <v/>
      </c>
      <c r="D703" s="26">
        <f>AVERAGE(C701:C703)</f>
        <v/>
      </c>
      <c r="E703" s="59">
        <f>VLOOKUP(Table1[[#This Row],[Date]],Database!A:D,4,)</f>
        <v/>
      </c>
      <c r="F703" s="59">
        <f>VLOOKUP(Table1[[#This Row],[Date]],Database!A:D,2,)</f>
        <v/>
      </c>
      <c r="G703" s="56" t="n"/>
    </row>
    <row r="704">
      <c r="A704" s="55" t="n">
        <v>35309</v>
      </c>
      <c r="B704" s="25">
        <f>VLOOKUP(Table1[[#This Row],[Date]],Database!A:D,3,)</f>
        <v/>
      </c>
      <c r="C704" s="26">
        <f>B704-B703</f>
        <v/>
      </c>
      <c r="D704" s="26">
        <f>AVERAGE(C702:C704)</f>
        <v/>
      </c>
      <c r="E704" s="59">
        <f>VLOOKUP(Table1[[#This Row],[Date]],Database!A:D,4,)</f>
        <v/>
      </c>
      <c r="F704" s="59">
        <f>VLOOKUP(Table1[[#This Row],[Date]],Database!A:D,2,)</f>
        <v/>
      </c>
      <c r="G704" s="56" t="n"/>
    </row>
    <row r="705">
      <c r="A705" s="55" t="n">
        <v>35339</v>
      </c>
      <c r="B705" s="25">
        <f>VLOOKUP(Table1[[#This Row],[Date]],Database!A:D,3,)</f>
        <v/>
      </c>
      <c r="C705" s="26">
        <f>B705-B704</f>
        <v/>
      </c>
      <c r="D705" s="26">
        <f>AVERAGE(C703:C705)</f>
        <v/>
      </c>
      <c r="E705" s="59">
        <f>VLOOKUP(Table1[[#This Row],[Date]],Database!A:D,4,)</f>
        <v/>
      </c>
      <c r="F705" s="59">
        <f>VLOOKUP(Table1[[#This Row],[Date]],Database!A:D,2,)</f>
        <v/>
      </c>
      <c r="G705" s="56" t="n"/>
    </row>
    <row r="706">
      <c r="A706" s="55" t="n">
        <v>35370</v>
      </c>
      <c r="B706" s="25">
        <f>VLOOKUP(Table1[[#This Row],[Date]],Database!A:D,3,)</f>
        <v/>
      </c>
      <c r="C706" s="26">
        <f>B706-B705</f>
        <v/>
      </c>
      <c r="D706" s="26">
        <f>AVERAGE(C704:C706)</f>
        <v/>
      </c>
      <c r="E706" s="59">
        <f>VLOOKUP(Table1[[#This Row],[Date]],Database!A:D,4,)</f>
        <v/>
      </c>
      <c r="F706" s="59">
        <f>VLOOKUP(Table1[[#This Row],[Date]],Database!A:D,2,)</f>
        <v/>
      </c>
      <c r="G706" s="56" t="n"/>
    </row>
    <row r="707">
      <c r="A707" s="55" t="n">
        <v>35400</v>
      </c>
      <c r="B707" s="25">
        <f>VLOOKUP(Table1[[#This Row],[Date]],Database!A:D,3,)</f>
        <v/>
      </c>
      <c r="C707" s="26">
        <f>B707-B706</f>
        <v/>
      </c>
      <c r="D707" s="26">
        <f>AVERAGE(C705:C707)</f>
        <v/>
      </c>
      <c r="E707" s="59">
        <f>VLOOKUP(Table1[[#This Row],[Date]],Database!A:D,4,)</f>
        <v/>
      </c>
      <c r="F707" s="59">
        <f>VLOOKUP(Table1[[#This Row],[Date]],Database!A:D,2,)</f>
        <v/>
      </c>
      <c r="G707" s="56" t="n"/>
    </row>
    <row r="708">
      <c r="A708" s="55" t="n">
        <v>35431</v>
      </c>
      <c r="B708" s="25">
        <f>VLOOKUP(Table1[[#This Row],[Date]],Database!A:D,3,)</f>
        <v/>
      </c>
      <c r="C708" s="26">
        <f>B708-B707</f>
        <v/>
      </c>
      <c r="D708" s="26">
        <f>AVERAGE(C706:C708)</f>
        <v/>
      </c>
      <c r="E708" s="59">
        <f>VLOOKUP(Table1[[#This Row],[Date]],Database!A:D,4,)</f>
        <v/>
      </c>
      <c r="F708" s="59">
        <f>VLOOKUP(Table1[[#This Row],[Date]],Database!A:D,2,)</f>
        <v/>
      </c>
      <c r="G708" s="56" t="n"/>
    </row>
    <row r="709">
      <c r="A709" s="55" t="n">
        <v>35462</v>
      </c>
      <c r="B709" s="25">
        <f>VLOOKUP(Table1[[#This Row],[Date]],Database!A:D,3,)</f>
        <v/>
      </c>
      <c r="C709" s="26">
        <f>B709-B708</f>
        <v/>
      </c>
      <c r="D709" s="26">
        <f>AVERAGE(C707:C709)</f>
        <v/>
      </c>
      <c r="E709" s="59">
        <f>VLOOKUP(Table1[[#This Row],[Date]],Database!A:D,4,)</f>
        <v/>
      </c>
      <c r="F709" s="59">
        <f>VLOOKUP(Table1[[#This Row],[Date]],Database!A:D,2,)</f>
        <v/>
      </c>
      <c r="G709" s="56" t="n"/>
    </row>
    <row r="710">
      <c r="A710" s="55" t="n">
        <v>35490</v>
      </c>
      <c r="B710" s="25">
        <f>VLOOKUP(Table1[[#This Row],[Date]],Database!A:D,3,)</f>
        <v/>
      </c>
      <c r="C710" s="26">
        <f>B710-B709</f>
        <v/>
      </c>
      <c r="D710" s="26">
        <f>AVERAGE(C708:C710)</f>
        <v/>
      </c>
      <c r="E710" s="59">
        <f>VLOOKUP(Table1[[#This Row],[Date]],Database!A:D,4,)</f>
        <v/>
      </c>
      <c r="F710" s="59">
        <f>VLOOKUP(Table1[[#This Row],[Date]],Database!A:D,2,)</f>
        <v/>
      </c>
      <c r="G710" s="56" t="n"/>
    </row>
    <row r="711">
      <c r="A711" s="55" t="n">
        <v>35521</v>
      </c>
      <c r="B711" s="25">
        <f>VLOOKUP(Table1[[#This Row],[Date]],Database!A:D,3,)</f>
        <v/>
      </c>
      <c r="C711" s="26">
        <f>B711-B710</f>
        <v/>
      </c>
      <c r="D711" s="26">
        <f>AVERAGE(C709:C711)</f>
        <v/>
      </c>
      <c r="E711" s="59">
        <f>VLOOKUP(Table1[[#This Row],[Date]],Database!A:D,4,)</f>
        <v/>
      </c>
      <c r="F711" s="59">
        <f>VLOOKUP(Table1[[#This Row],[Date]],Database!A:D,2,)</f>
        <v/>
      </c>
      <c r="G711" s="56" t="n"/>
    </row>
    <row r="712">
      <c r="A712" s="55" t="n">
        <v>35551</v>
      </c>
      <c r="B712" s="25">
        <f>VLOOKUP(Table1[[#This Row],[Date]],Database!A:D,3,)</f>
        <v/>
      </c>
      <c r="C712" s="26">
        <f>B712-B711</f>
        <v/>
      </c>
      <c r="D712" s="26">
        <f>AVERAGE(C710:C712)</f>
        <v/>
      </c>
      <c r="E712" s="59">
        <f>VLOOKUP(Table1[[#This Row],[Date]],Database!A:D,4,)</f>
        <v/>
      </c>
      <c r="F712" s="59">
        <f>VLOOKUP(Table1[[#This Row],[Date]],Database!A:D,2,)</f>
        <v/>
      </c>
      <c r="G712" s="56" t="n"/>
    </row>
    <row r="713">
      <c r="A713" s="55" t="n">
        <v>35582</v>
      </c>
      <c r="B713" s="25">
        <f>VLOOKUP(Table1[[#This Row],[Date]],Database!A:D,3,)</f>
        <v/>
      </c>
      <c r="C713" s="26">
        <f>B713-B712</f>
        <v/>
      </c>
      <c r="D713" s="26">
        <f>AVERAGE(C711:C713)</f>
        <v/>
      </c>
      <c r="E713" s="59">
        <f>VLOOKUP(Table1[[#This Row],[Date]],Database!A:D,4,)</f>
        <v/>
      </c>
      <c r="F713" s="59">
        <f>VLOOKUP(Table1[[#This Row],[Date]],Database!A:D,2,)</f>
        <v/>
      </c>
      <c r="G713" s="56" t="n"/>
    </row>
    <row r="714">
      <c r="A714" s="55" t="n">
        <v>35612</v>
      </c>
      <c r="B714" s="25">
        <f>VLOOKUP(Table1[[#This Row],[Date]],Database!A:D,3,)</f>
        <v/>
      </c>
      <c r="C714" s="26">
        <f>B714-B713</f>
        <v/>
      </c>
      <c r="D714" s="26">
        <f>AVERAGE(C712:C714)</f>
        <v/>
      </c>
      <c r="E714" s="59">
        <f>VLOOKUP(Table1[[#This Row],[Date]],Database!A:D,4,)</f>
        <v/>
      </c>
      <c r="F714" s="59">
        <f>VLOOKUP(Table1[[#This Row],[Date]],Database!A:D,2,)</f>
        <v/>
      </c>
      <c r="G714" s="56" t="n"/>
    </row>
    <row r="715">
      <c r="A715" s="55" t="n">
        <v>35643</v>
      </c>
      <c r="B715" s="25">
        <f>VLOOKUP(Table1[[#This Row],[Date]],Database!A:D,3,)</f>
        <v/>
      </c>
      <c r="C715" s="26">
        <f>B715-B714</f>
        <v/>
      </c>
      <c r="D715" s="26">
        <f>AVERAGE(C713:C715)</f>
        <v/>
      </c>
      <c r="E715" s="59">
        <f>VLOOKUP(Table1[[#This Row],[Date]],Database!A:D,4,)</f>
        <v/>
      </c>
      <c r="F715" s="59">
        <f>VLOOKUP(Table1[[#This Row],[Date]],Database!A:D,2,)</f>
        <v/>
      </c>
      <c r="G715" s="56" t="n"/>
    </row>
    <row r="716">
      <c r="A716" s="55" t="n">
        <v>35674</v>
      </c>
      <c r="B716" s="25">
        <f>VLOOKUP(Table1[[#This Row],[Date]],Database!A:D,3,)</f>
        <v/>
      </c>
      <c r="C716" s="26">
        <f>B716-B715</f>
        <v/>
      </c>
      <c r="D716" s="26">
        <f>AVERAGE(C714:C716)</f>
        <v/>
      </c>
      <c r="E716" s="59">
        <f>VLOOKUP(Table1[[#This Row],[Date]],Database!A:D,4,)</f>
        <v/>
      </c>
      <c r="F716" s="59">
        <f>VLOOKUP(Table1[[#This Row],[Date]],Database!A:D,2,)</f>
        <v/>
      </c>
      <c r="G716" s="56" t="n"/>
    </row>
    <row r="717">
      <c r="A717" s="55" t="n">
        <v>35704</v>
      </c>
      <c r="B717" s="25">
        <f>VLOOKUP(Table1[[#This Row],[Date]],Database!A:D,3,)</f>
        <v/>
      </c>
      <c r="C717" s="26">
        <f>B717-B716</f>
        <v/>
      </c>
      <c r="D717" s="26">
        <f>AVERAGE(C715:C717)</f>
        <v/>
      </c>
      <c r="E717" s="59">
        <f>VLOOKUP(Table1[[#This Row],[Date]],Database!A:D,4,)</f>
        <v/>
      </c>
      <c r="F717" s="59">
        <f>VLOOKUP(Table1[[#This Row],[Date]],Database!A:D,2,)</f>
        <v/>
      </c>
      <c r="G717" s="56" t="n"/>
    </row>
    <row r="718">
      <c r="A718" s="55" t="n">
        <v>35735</v>
      </c>
      <c r="B718" s="25">
        <f>VLOOKUP(Table1[[#This Row],[Date]],Database!A:D,3,)</f>
        <v/>
      </c>
      <c r="C718" s="26">
        <f>B718-B717</f>
        <v/>
      </c>
      <c r="D718" s="26">
        <f>AVERAGE(C716:C718)</f>
        <v/>
      </c>
      <c r="E718" s="59">
        <f>VLOOKUP(Table1[[#This Row],[Date]],Database!A:D,4,)</f>
        <v/>
      </c>
      <c r="F718" s="59">
        <f>VLOOKUP(Table1[[#This Row],[Date]],Database!A:D,2,)</f>
        <v/>
      </c>
      <c r="G718" s="56" t="n"/>
    </row>
    <row r="719">
      <c r="A719" s="55" t="n">
        <v>35765</v>
      </c>
      <c r="B719" s="25">
        <f>VLOOKUP(Table1[[#This Row],[Date]],Database!A:D,3,)</f>
        <v/>
      </c>
      <c r="C719" s="26">
        <f>B719-B718</f>
        <v/>
      </c>
      <c r="D719" s="26">
        <f>AVERAGE(C717:C719)</f>
        <v/>
      </c>
      <c r="E719" s="59">
        <f>VLOOKUP(Table1[[#This Row],[Date]],Database!A:D,4,)</f>
        <v/>
      </c>
      <c r="F719" s="59">
        <f>VLOOKUP(Table1[[#This Row],[Date]],Database!A:D,2,)</f>
        <v/>
      </c>
      <c r="G719" s="56" t="n"/>
    </row>
    <row r="720">
      <c r="A720" s="55" t="n">
        <v>35796</v>
      </c>
      <c r="B720" s="25">
        <f>VLOOKUP(Table1[[#This Row],[Date]],Database!A:D,3,)</f>
        <v/>
      </c>
      <c r="C720" s="26">
        <f>B720-B719</f>
        <v/>
      </c>
      <c r="D720" s="26">
        <f>AVERAGE(C718:C720)</f>
        <v/>
      </c>
      <c r="E720" s="59">
        <f>VLOOKUP(Table1[[#This Row],[Date]],Database!A:D,4,)</f>
        <v/>
      </c>
      <c r="F720" s="59">
        <f>VLOOKUP(Table1[[#This Row],[Date]],Database!A:D,2,)</f>
        <v/>
      </c>
      <c r="G720" s="56" t="n"/>
    </row>
    <row r="721">
      <c r="A721" s="55" t="n">
        <v>35827</v>
      </c>
      <c r="B721" s="25">
        <f>VLOOKUP(Table1[[#This Row],[Date]],Database!A:D,3,)</f>
        <v/>
      </c>
      <c r="C721" s="26">
        <f>B721-B720</f>
        <v/>
      </c>
      <c r="D721" s="26">
        <f>AVERAGE(C719:C721)</f>
        <v/>
      </c>
      <c r="E721" s="59">
        <f>VLOOKUP(Table1[[#This Row],[Date]],Database!A:D,4,)</f>
        <v/>
      </c>
      <c r="F721" s="59">
        <f>VLOOKUP(Table1[[#This Row],[Date]],Database!A:D,2,)</f>
        <v/>
      </c>
      <c r="G721" s="56" t="n"/>
    </row>
    <row r="722">
      <c r="A722" s="55" t="n">
        <v>35855</v>
      </c>
      <c r="B722" s="25">
        <f>VLOOKUP(Table1[[#This Row],[Date]],Database!A:D,3,)</f>
        <v/>
      </c>
      <c r="C722" s="26">
        <f>B722-B721</f>
        <v/>
      </c>
      <c r="D722" s="26">
        <f>AVERAGE(C720:C722)</f>
        <v/>
      </c>
      <c r="E722" s="59">
        <f>VLOOKUP(Table1[[#This Row],[Date]],Database!A:D,4,)</f>
        <v/>
      </c>
      <c r="F722" s="59">
        <f>VLOOKUP(Table1[[#This Row],[Date]],Database!A:D,2,)</f>
        <v/>
      </c>
      <c r="G722" s="56" t="n"/>
    </row>
    <row r="723">
      <c r="A723" s="55" t="n">
        <v>35886</v>
      </c>
      <c r="B723" s="25">
        <f>VLOOKUP(Table1[[#This Row],[Date]],Database!A:D,3,)</f>
        <v/>
      </c>
      <c r="C723" s="26">
        <f>B723-B722</f>
        <v/>
      </c>
      <c r="D723" s="26">
        <f>AVERAGE(C721:C723)</f>
        <v/>
      </c>
      <c r="E723" s="59">
        <f>VLOOKUP(Table1[[#This Row],[Date]],Database!A:D,4,)</f>
        <v/>
      </c>
      <c r="F723" s="59">
        <f>VLOOKUP(Table1[[#This Row],[Date]],Database!A:D,2,)</f>
        <v/>
      </c>
      <c r="G723" s="56" t="n"/>
    </row>
    <row r="724">
      <c r="A724" s="55" t="n">
        <v>35916</v>
      </c>
      <c r="B724" s="25">
        <f>VLOOKUP(Table1[[#This Row],[Date]],Database!A:D,3,)</f>
        <v/>
      </c>
      <c r="C724" s="26">
        <f>B724-B723</f>
        <v/>
      </c>
      <c r="D724" s="26">
        <f>AVERAGE(C722:C724)</f>
        <v/>
      </c>
      <c r="E724" s="59">
        <f>VLOOKUP(Table1[[#This Row],[Date]],Database!A:D,4,)</f>
        <v/>
      </c>
      <c r="F724" s="59">
        <f>VLOOKUP(Table1[[#This Row],[Date]],Database!A:D,2,)</f>
        <v/>
      </c>
      <c r="G724" s="56" t="n"/>
    </row>
    <row r="725">
      <c r="A725" s="55" t="n">
        <v>35947</v>
      </c>
      <c r="B725" s="25">
        <f>VLOOKUP(Table1[[#This Row],[Date]],Database!A:D,3,)</f>
        <v/>
      </c>
      <c r="C725" s="26">
        <f>B725-B724</f>
        <v/>
      </c>
      <c r="D725" s="26">
        <f>AVERAGE(C723:C725)</f>
        <v/>
      </c>
      <c r="E725" s="59">
        <f>VLOOKUP(Table1[[#This Row],[Date]],Database!A:D,4,)</f>
        <v/>
      </c>
      <c r="F725" s="59">
        <f>VLOOKUP(Table1[[#This Row],[Date]],Database!A:D,2,)</f>
        <v/>
      </c>
      <c r="G725" s="56" t="n"/>
    </row>
    <row r="726">
      <c r="A726" s="55" t="n">
        <v>35977</v>
      </c>
      <c r="B726" s="25">
        <f>VLOOKUP(Table1[[#This Row],[Date]],Database!A:D,3,)</f>
        <v/>
      </c>
      <c r="C726" s="26">
        <f>B726-B725</f>
        <v/>
      </c>
      <c r="D726" s="26">
        <f>AVERAGE(C724:C726)</f>
        <v/>
      </c>
      <c r="E726" s="59">
        <f>VLOOKUP(Table1[[#This Row],[Date]],Database!A:D,4,)</f>
        <v/>
      </c>
      <c r="F726" s="59">
        <f>VLOOKUP(Table1[[#This Row],[Date]],Database!A:D,2,)</f>
        <v/>
      </c>
      <c r="G726" s="56" t="n"/>
    </row>
    <row r="727">
      <c r="A727" s="55" t="n">
        <v>36008</v>
      </c>
      <c r="B727" s="25">
        <f>VLOOKUP(Table1[[#This Row],[Date]],Database!A:D,3,)</f>
        <v/>
      </c>
      <c r="C727" s="26">
        <f>B727-B726</f>
        <v/>
      </c>
      <c r="D727" s="26">
        <f>AVERAGE(C725:C727)</f>
        <v/>
      </c>
      <c r="E727" s="59">
        <f>VLOOKUP(Table1[[#This Row],[Date]],Database!A:D,4,)</f>
        <v/>
      </c>
      <c r="F727" s="59">
        <f>VLOOKUP(Table1[[#This Row],[Date]],Database!A:D,2,)</f>
        <v/>
      </c>
      <c r="G727" s="56" t="n"/>
    </row>
    <row r="728">
      <c r="A728" s="55" t="n">
        <v>36039</v>
      </c>
      <c r="B728" s="25">
        <f>VLOOKUP(Table1[[#This Row],[Date]],Database!A:D,3,)</f>
        <v/>
      </c>
      <c r="C728" s="26">
        <f>B728-B727</f>
        <v/>
      </c>
      <c r="D728" s="26">
        <f>AVERAGE(C726:C728)</f>
        <v/>
      </c>
      <c r="E728" s="59">
        <f>VLOOKUP(Table1[[#This Row],[Date]],Database!A:D,4,)</f>
        <v/>
      </c>
      <c r="F728" s="59">
        <f>VLOOKUP(Table1[[#This Row],[Date]],Database!A:D,2,)</f>
        <v/>
      </c>
      <c r="G728" s="56" t="n"/>
    </row>
    <row r="729">
      <c r="A729" s="55" t="n">
        <v>36069</v>
      </c>
      <c r="B729" s="25">
        <f>VLOOKUP(Table1[[#This Row],[Date]],Database!A:D,3,)</f>
        <v/>
      </c>
      <c r="C729" s="26">
        <f>B729-B728</f>
        <v/>
      </c>
      <c r="D729" s="26">
        <f>AVERAGE(C727:C729)</f>
        <v/>
      </c>
      <c r="E729" s="59">
        <f>VLOOKUP(Table1[[#This Row],[Date]],Database!A:D,4,)</f>
        <v/>
      </c>
      <c r="F729" s="59">
        <f>VLOOKUP(Table1[[#This Row],[Date]],Database!A:D,2,)</f>
        <v/>
      </c>
      <c r="G729" s="56" t="n"/>
    </row>
    <row r="730">
      <c r="A730" s="55" t="n">
        <v>36100</v>
      </c>
      <c r="B730" s="25">
        <f>VLOOKUP(Table1[[#This Row],[Date]],Database!A:D,3,)</f>
        <v/>
      </c>
      <c r="C730" s="26">
        <f>B730-B729</f>
        <v/>
      </c>
      <c r="D730" s="26">
        <f>AVERAGE(C728:C730)</f>
        <v/>
      </c>
      <c r="E730" s="59">
        <f>VLOOKUP(Table1[[#This Row],[Date]],Database!A:D,4,)</f>
        <v/>
      </c>
      <c r="F730" s="59">
        <f>VLOOKUP(Table1[[#This Row],[Date]],Database!A:D,2,)</f>
        <v/>
      </c>
      <c r="G730" s="56" t="n"/>
    </row>
    <row r="731">
      <c r="A731" s="55" t="n">
        <v>36130</v>
      </c>
      <c r="B731" s="25">
        <f>VLOOKUP(Table1[[#This Row],[Date]],Database!A:D,3,)</f>
        <v/>
      </c>
      <c r="C731" s="26">
        <f>B731-B730</f>
        <v/>
      </c>
      <c r="D731" s="26">
        <f>AVERAGE(C729:C731)</f>
        <v/>
      </c>
      <c r="E731" s="59">
        <f>VLOOKUP(Table1[[#This Row],[Date]],Database!A:D,4,)</f>
        <v/>
      </c>
      <c r="F731" s="59">
        <f>VLOOKUP(Table1[[#This Row],[Date]],Database!A:D,2,)</f>
        <v/>
      </c>
      <c r="G731" s="56" t="n"/>
    </row>
    <row r="732">
      <c r="A732" s="55" t="n">
        <v>36161</v>
      </c>
      <c r="B732" s="25">
        <f>VLOOKUP(Table1[[#This Row],[Date]],Database!A:D,3,)</f>
        <v/>
      </c>
      <c r="C732" s="26">
        <f>B732-B731</f>
        <v/>
      </c>
      <c r="D732" s="26">
        <f>AVERAGE(C730:C732)</f>
        <v/>
      </c>
      <c r="E732" s="59">
        <f>VLOOKUP(Table1[[#This Row],[Date]],Database!A:D,4,)</f>
        <v/>
      </c>
      <c r="F732" s="59">
        <f>VLOOKUP(Table1[[#This Row],[Date]],Database!A:D,2,)</f>
        <v/>
      </c>
      <c r="G732" s="56" t="n"/>
    </row>
    <row r="733">
      <c r="A733" s="55" t="n">
        <v>36192</v>
      </c>
      <c r="B733" s="25">
        <f>VLOOKUP(Table1[[#This Row],[Date]],Database!A:D,3,)</f>
        <v/>
      </c>
      <c r="C733" s="26">
        <f>B733-B732</f>
        <v/>
      </c>
      <c r="D733" s="26">
        <f>AVERAGE(C731:C733)</f>
        <v/>
      </c>
      <c r="E733" s="59">
        <f>VLOOKUP(Table1[[#This Row],[Date]],Database!A:D,4,)</f>
        <v/>
      </c>
      <c r="F733" s="59">
        <f>VLOOKUP(Table1[[#This Row],[Date]],Database!A:D,2,)</f>
        <v/>
      </c>
      <c r="G733" s="56" t="n"/>
    </row>
    <row r="734">
      <c r="A734" s="55" t="n">
        <v>36220</v>
      </c>
      <c r="B734" s="25">
        <f>VLOOKUP(Table1[[#This Row],[Date]],Database!A:D,3,)</f>
        <v/>
      </c>
      <c r="C734" s="26">
        <f>B734-B733</f>
        <v/>
      </c>
      <c r="D734" s="26">
        <f>AVERAGE(C732:C734)</f>
        <v/>
      </c>
      <c r="E734" s="59">
        <f>VLOOKUP(Table1[[#This Row],[Date]],Database!A:D,4,)</f>
        <v/>
      </c>
      <c r="F734" s="59">
        <f>VLOOKUP(Table1[[#This Row],[Date]],Database!A:D,2,)</f>
        <v/>
      </c>
      <c r="G734" s="56" t="n"/>
    </row>
    <row r="735">
      <c r="A735" s="55" t="n">
        <v>36251</v>
      </c>
      <c r="B735" s="25">
        <f>VLOOKUP(Table1[[#This Row],[Date]],Database!A:D,3,)</f>
        <v/>
      </c>
      <c r="C735" s="26">
        <f>B735-B734</f>
        <v/>
      </c>
      <c r="D735" s="26">
        <f>AVERAGE(C733:C735)</f>
        <v/>
      </c>
      <c r="E735" s="59">
        <f>VLOOKUP(Table1[[#This Row],[Date]],Database!A:D,4,)</f>
        <v/>
      </c>
      <c r="F735" s="59">
        <f>VLOOKUP(Table1[[#This Row],[Date]],Database!A:D,2,)</f>
        <v/>
      </c>
      <c r="G735" s="56" t="n"/>
    </row>
    <row r="736">
      <c r="A736" s="55" t="n">
        <v>36281</v>
      </c>
      <c r="B736" s="25">
        <f>VLOOKUP(Table1[[#This Row],[Date]],Database!A:D,3,)</f>
        <v/>
      </c>
      <c r="C736" s="26">
        <f>B736-B735</f>
        <v/>
      </c>
      <c r="D736" s="26">
        <f>AVERAGE(C734:C736)</f>
        <v/>
      </c>
      <c r="E736" s="59">
        <f>VLOOKUP(Table1[[#This Row],[Date]],Database!A:D,4,)</f>
        <v/>
      </c>
      <c r="F736" s="59">
        <f>VLOOKUP(Table1[[#This Row],[Date]],Database!A:D,2,)</f>
        <v/>
      </c>
      <c r="G736" s="56" t="n"/>
    </row>
    <row r="737">
      <c r="A737" s="55" t="n">
        <v>36312</v>
      </c>
      <c r="B737" s="25">
        <f>VLOOKUP(Table1[[#This Row],[Date]],Database!A:D,3,)</f>
        <v/>
      </c>
      <c r="C737" s="26">
        <f>B737-B736</f>
        <v/>
      </c>
      <c r="D737" s="26">
        <f>AVERAGE(C735:C737)</f>
        <v/>
      </c>
      <c r="E737" s="59">
        <f>VLOOKUP(Table1[[#This Row],[Date]],Database!A:D,4,)</f>
        <v/>
      </c>
      <c r="F737" s="59">
        <f>VLOOKUP(Table1[[#This Row],[Date]],Database!A:D,2,)</f>
        <v/>
      </c>
      <c r="G737" s="56" t="n"/>
    </row>
    <row r="738">
      <c r="A738" s="55" t="n">
        <v>36342</v>
      </c>
      <c r="B738" s="25">
        <f>VLOOKUP(Table1[[#This Row],[Date]],Database!A:D,3,)</f>
        <v/>
      </c>
      <c r="C738" s="26">
        <f>B738-B737</f>
        <v/>
      </c>
      <c r="D738" s="26">
        <f>AVERAGE(C736:C738)</f>
        <v/>
      </c>
      <c r="E738" s="59">
        <f>VLOOKUP(Table1[[#This Row],[Date]],Database!A:D,4,)</f>
        <v/>
      </c>
      <c r="F738" s="59">
        <f>VLOOKUP(Table1[[#This Row],[Date]],Database!A:D,2,)</f>
        <v/>
      </c>
      <c r="G738" s="56" t="n"/>
    </row>
    <row r="739">
      <c r="A739" s="55" t="n">
        <v>36373</v>
      </c>
      <c r="B739" s="25">
        <f>VLOOKUP(Table1[[#This Row],[Date]],Database!A:D,3,)</f>
        <v/>
      </c>
      <c r="C739" s="26">
        <f>B739-B738</f>
        <v/>
      </c>
      <c r="D739" s="26">
        <f>AVERAGE(C737:C739)</f>
        <v/>
      </c>
      <c r="E739" s="59">
        <f>VLOOKUP(Table1[[#This Row],[Date]],Database!A:D,4,)</f>
        <v/>
      </c>
      <c r="F739" s="59">
        <f>VLOOKUP(Table1[[#This Row],[Date]],Database!A:D,2,)</f>
        <v/>
      </c>
      <c r="G739" s="56" t="n"/>
    </row>
    <row r="740">
      <c r="A740" s="55" t="n">
        <v>36404</v>
      </c>
      <c r="B740" s="25">
        <f>VLOOKUP(Table1[[#This Row],[Date]],Database!A:D,3,)</f>
        <v/>
      </c>
      <c r="C740" s="26">
        <f>B740-B739</f>
        <v/>
      </c>
      <c r="D740" s="26">
        <f>AVERAGE(C738:C740)</f>
        <v/>
      </c>
      <c r="E740" s="59">
        <f>VLOOKUP(Table1[[#This Row],[Date]],Database!A:D,4,)</f>
        <v/>
      </c>
      <c r="F740" s="59">
        <f>VLOOKUP(Table1[[#This Row],[Date]],Database!A:D,2,)</f>
        <v/>
      </c>
      <c r="G740" s="56" t="n"/>
    </row>
    <row r="741">
      <c r="A741" s="55" t="n">
        <v>36434</v>
      </c>
      <c r="B741" s="25">
        <f>VLOOKUP(Table1[[#This Row],[Date]],Database!A:D,3,)</f>
        <v/>
      </c>
      <c r="C741" s="26">
        <f>B741-B740</f>
        <v/>
      </c>
      <c r="D741" s="26">
        <f>AVERAGE(C739:C741)</f>
        <v/>
      </c>
      <c r="E741" s="59">
        <f>VLOOKUP(Table1[[#This Row],[Date]],Database!A:D,4,)</f>
        <v/>
      </c>
      <c r="F741" s="59">
        <f>VLOOKUP(Table1[[#This Row],[Date]],Database!A:D,2,)</f>
        <v/>
      </c>
      <c r="G741" s="56" t="n"/>
    </row>
    <row r="742">
      <c r="A742" s="55" t="n">
        <v>36465</v>
      </c>
      <c r="B742" s="25">
        <f>VLOOKUP(Table1[[#This Row],[Date]],Database!A:D,3,)</f>
        <v/>
      </c>
      <c r="C742" s="26">
        <f>B742-B741</f>
        <v/>
      </c>
      <c r="D742" s="26">
        <f>AVERAGE(C740:C742)</f>
        <v/>
      </c>
      <c r="E742" s="59">
        <f>VLOOKUP(Table1[[#This Row],[Date]],Database!A:D,4,)</f>
        <v/>
      </c>
      <c r="F742" s="59">
        <f>VLOOKUP(Table1[[#This Row],[Date]],Database!A:D,2,)</f>
        <v/>
      </c>
      <c r="G742" s="56" t="n"/>
    </row>
    <row r="743">
      <c r="A743" s="55" t="n">
        <v>36495</v>
      </c>
      <c r="B743" s="25">
        <f>VLOOKUP(Table1[[#This Row],[Date]],Database!A:D,3,)</f>
        <v/>
      </c>
      <c r="C743" s="26">
        <f>B743-B742</f>
        <v/>
      </c>
      <c r="D743" s="26">
        <f>AVERAGE(C741:C743)</f>
        <v/>
      </c>
      <c r="E743" s="59">
        <f>VLOOKUP(Table1[[#This Row],[Date]],Database!A:D,4,)</f>
        <v/>
      </c>
      <c r="F743" s="59">
        <f>VLOOKUP(Table1[[#This Row],[Date]],Database!A:D,2,)</f>
        <v/>
      </c>
      <c r="G743" s="56" t="n"/>
    </row>
    <row r="744">
      <c r="A744" s="55" t="n">
        <v>36526</v>
      </c>
      <c r="B744" s="25">
        <f>VLOOKUP(Table1[[#This Row],[Date]],Database!A:D,3,)</f>
        <v/>
      </c>
      <c r="C744" s="26">
        <f>B744-B743</f>
        <v/>
      </c>
      <c r="D744" s="26">
        <f>AVERAGE(C742:C744)</f>
        <v/>
      </c>
      <c r="E744" s="59">
        <f>VLOOKUP(Table1[[#This Row],[Date]],Database!A:D,4,)</f>
        <v/>
      </c>
      <c r="F744" s="59">
        <f>VLOOKUP(Table1[[#This Row],[Date]],Database!A:D,2,)</f>
        <v/>
      </c>
      <c r="G744" s="56" t="n"/>
    </row>
    <row r="745">
      <c r="A745" s="55" t="n">
        <v>36557</v>
      </c>
      <c r="B745" s="25">
        <f>VLOOKUP(Table1[[#This Row],[Date]],Database!A:D,3,)</f>
        <v/>
      </c>
      <c r="C745" s="26">
        <f>B745-B744</f>
        <v/>
      </c>
      <c r="D745" s="26">
        <f>AVERAGE(C743:C745)</f>
        <v/>
      </c>
      <c r="E745" s="59">
        <f>VLOOKUP(Table1[[#This Row],[Date]],Database!A:D,4,)</f>
        <v/>
      </c>
      <c r="F745" s="59">
        <f>VLOOKUP(Table1[[#This Row],[Date]],Database!A:D,2,)</f>
        <v/>
      </c>
      <c r="G745" s="56" t="n"/>
    </row>
    <row r="746">
      <c r="A746" s="55" t="n">
        <v>36586</v>
      </c>
      <c r="B746" s="25">
        <f>VLOOKUP(Table1[[#This Row],[Date]],Database!A:D,3,)</f>
        <v/>
      </c>
      <c r="C746" s="26">
        <f>B746-B745</f>
        <v/>
      </c>
      <c r="D746" s="26">
        <f>AVERAGE(C744:C746)</f>
        <v/>
      </c>
      <c r="E746" s="59">
        <f>VLOOKUP(Table1[[#This Row],[Date]],Database!A:D,4,)</f>
        <v/>
      </c>
      <c r="F746" s="59">
        <f>VLOOKUP(Table1[[#This Row],[Date]],Database!A:D,2,)</f>
        <v/>
      </c>
      <c r="G746" s="56" t="n"/>
    </row>
    <row r="747">
      <c r="A747" s="55" t="n">
        <v>36617</v>
      </c>
      <c r="B747" s="25">
        <f>VLOOKUP(Table1[[#This Row],[Date]],Database!A:D,3,)</f>
        <v/>
      </c>
      <c r="C747" s="26">
        <f>B747-B746</f>
        <v/>
      </c>
      <c r="D747" s="26">
        <f>AVERAGE(C745:C747)</f>
        <v/>
      </c>
      <c r="E747" s="59">
        <f>VLOOKUP(Table1[[#This Row],[Date]],Database!A:D,4,)</f>
        <v/>
      </c>
      <c r="F747" s="59">
        <f>VLOOKUP(Table1[[#This Row],[Date]],Database!A:D,2,)</f>
        <v/>
      </c>
      <c r="G747" s="56" t="n"/>
    </row>
    <row r="748">
      <c r="A748" s="55" t="n">
        <v>36647</v>
      </c>
      <c r="B748" s="25">
        <f>VLOOKUP(Table1[[#This Row],[Date]],Database!A:D,3,)</f>
        <v/>
      </c>
      <c r="C748" s="26">
        <f>B748-B747</f>
        <v/>
      </c>
      <c r="D748" s="26">
        <f>AVERAGE(C746:C748)</f>
        <v/>
      </c>
      <c r="E748" s="59">
        <f>VLOOKUP(Table1[[#This Row],[Date]],Database!A:D,4,)</f>
        <v/>
      </c>
      <c r="F748" s="59">
        <f>VLOOKUP(Table1[[#This Row],[Date]],Database!A:D,2,)</f>
        <v/>
      </c>
      <c r="G748" s="56" t="n"/>
    </row>
    <row r="749">
      <c r="A749" s="55" t="n">
        <v>36678</v>
      </c>
      <c r="B749" s="25">
        <f>VLOOKUP(Table1[[#This Row],[Date]],Database!A:D,3,)</f>
        <v/>
      </c>
      <c r="C749" s="26">
        <f>B749-B748</f>
        <v/>
      </c>
      <c r="D749" s="26">
        <f>AVERAGE(C747:C749)</f>
        <v/>
      </c>
      <c r="E749" s="59">
        <f>VLOOKUP(Table1[[#This Row],[Date]],Database!A:D,4,)</f>
        <v/>
      </c>
      <c r="F749" s="59">
        <f>VLOOKUP(Table1[[#This Row],[Date]],Database!A:D,2,)</f>
        <v/>
      </c>
      <c r="G749" s="56" t="n"/>
    </row>
    <row r="750">
      <c r="A750" s="55" t="n">
        <v>36708</v>
      </c>
      <c r="B750" s="25">
        <f>VLOOKUP(Table1[[#This Row],[Date]],Database!A:D,3,)</f>
        <v/>
      </c>
      <c r="C750" s="26">
        <f>B750-B749</f>
        <v/>
      </c>
      <c r="D750" s="26">
        <f>AVERAGE(C748:C750)</f>
        <v/>
      </c>
      <c r="E750" s="59">
        <f>VLOOKUP(Table1[[#This Row],[Date]],Database!A:D,4,)</f>
        <v/>
      </c>
      <c r="F750" s="59">
        <f>VLOOKUP(Table1[[#This Row],[Date]],Database!A:D,2,)</f>
        <v/>
      </c>
      <c r="G750" s="56" t="n"/>
    </row>
    <row r="751">
      <c r="A751" s="55" t="n">
        <v>36739</v>
      </c>
      <c r="B751" s="25">
        <f>VLOOKUP(Table1[[#This Row],[Date]],Database!A:D,3,)</f>
        <v/>
      </c>
      <c r="C751" s="26">
        <f>B751-B750</f>
        <v/>
      </c>
      <c r="D751" s="26">
        <f>AVERAGE(C749:C751)</f>
        <v/>
      </c>
      <c r="E751" s="59">
        <f>VLOOKUP(Table1[[#This Row],[Date]],Database!A:D,4,)</f>
        <v/>
      </c>
      <c r="F751" s="59">
        <f>VLOOKUP(Table1[[#This Row],[Date]],Database!A:D,2,)</f>
        <v/>
      </c>
      <c r="G751" s="56" t="n"/>
    </row>
    <row r="752">
      <c r="A752" s="55" t="n">
        <v>36770</v>
      </c>
      <c r="B752" s="25">
        <f>VLOOKUP(Table1[[#This Row],[Date]],Database!A:D,3,)</f>
        <v/>
      </c>
      <c r="C752" s="26">
        <f>B752-B751</f>
        <v/>
      </c>
      <c r="D752" s="26">
        <f>AVERAGE(C750:C752)</f>
        <v/>
      </c>
      <c r="E752" s="59">
        <f>VLOOKUP(Table1[[#This Row],[Date]],Database!A:D,4,)</f>
        <v/>
      </c>
      <c r="F752" s="59">
        <f>VLOOKUP(Table1[[#This Row],[Date]],Database!A:D,2,)</f>
        <v/>
      </c>
      <c r="G752" s="56" t="n"/>
    </row>
    <row r="753">
      <c r="A753" s="55" t="n">
        <v>36800</v>
      </c>
      <c r="B753" s="25">
        <f>VLOOKUP(Table1[[#This Row],[Date]],Database!A:D,3,)</f>
        <v/>
      </c>
      <c r="C753" s="26">
        <f>B753-B752</f>
        <v/>
      </c>
      <c r="D753" s="26">
        <f>AVERAGE(C751:C753)</f>
        <v/>
      </c>
      <c r="E753" s="59">
        <f>VLOOKUP(Table1[[#This Row],[Date]],Database!A:D,4,)</f>
        <v/>
      </c>
      <c r="F753" s="59">
        <f>VLOOKUP(Table1[[#This Row],[Date]],Database!A:D,2,)</f>
        <v/>
      </c>
      <c r="G753" s="56" t="n"/>
    </row>
    <row r="754">
      <c r="A754" s="55" t="n">
        <v>36831</v>
      </c>
      <c r="B754" s="25">
        <f>VLOOKUP(Table1[[#This Row],[Date]],Database!A:D,3,)</f>
        <v/>
      </c>
      <c r="C754" s="26">
        <f>B754-B753</f>
        <v/>
      </c>
      <c r="D754" s="26">
        <f>AVERAGE(C752:C754)</f>
        <v/>
      </c>
      <c r="E754" s="59">
        <f>VLOOKUP(Table1[[#This Row],[Date]],Database!A:D,4,)</f>
        <v/>
      </c>
      <c r="F754" s="59">
        <f>VLOOKUP(Table1[[#This Row],[Date]],Database!A:D,2,)</f>
        <v/>
      </c>
      <c r="G754" s="56" t="n"/>
    </row>
    <row r="755">
      <c r="A755" s="55" t="n">
        <v>36861</v>
      </c>
      <c r="B755" s="25">
        <f>VLOOKUP(Table1[[#This Row],[Date]],Database!A:D,3,)</f>
        <v/>
      </c>
      <c r="C755" s="26">
        <f>B755-B754</f>
        <v/>
      </c>
      <c r="D755" s="26">
        <f>AVERAGE(C753:C755)</f>
        <v/>
      </c>
      <c r="E755" s="59">
        <f>VLOOKUP(Table1[[#This Row],[Date]],Database!A:D,4,)</f>
        <v/>
      </c>
      <c r="F755" s="59">
        <f>VLOOKUP(Table1[[#This Row],[Date]],Database!A:D,2,)</f>
        <v/>
      </c>
      <c r="G755" s="56" t="n"/>
    </row>
    <row r="756">
      <c r="A756" s="55" t="n">
        <v>36892</v>
      </c>
      <c r="B756" s="25">
        <f>VLOOKUP(Table1[[#This Row],[Date]],Database!A:D,3,)</f>
        <v/>
      </c>
      <c r="C756" s="26">
        <f>B756-B755</f>
        <v/>
      </c>
      <c r="D756" s="26">
        <f>AVERAGE(C754:C756)</f>
        <v/>
      </c>
      <c r="E756" s="59">
        <f>VLOOKUP(Table1[[#This Row],[Date]],Database!A:D,4,)</f>
        <v/>
      </c>
      <c r="F756" s="59">
        <f>VLOOKUP(Table1[[#This Row],[Date]],Database!A:D,2,)</f>
        <v/>
      </c>
      <c r="G756" s="56" t="n"/>
    </row>
    <row r="757">
      <c r="A757" s="55" t="n">
        <v>36923</v>
      </c>
      <c r="B757" s="25">
        <f>VLOOKUP(Table1[[#This Row],[Date]],Database!A:D,3,)</f>
        <v/>
      </c>
      <c r="C757" s="26">
        <f>B757-B756</f>
        <v/>
      </c>
      <c r="D757" s="26">
        <f>AVERAGE(C755:C757)</f>
        <v/>
      </c>
      <c r="E757" s="59">
        <f>VLOOKUP(Table1[[#This Row],[Date]],Database!A:D,4,)</f>
        <v/>
      </c>
      <c r="F757" s="59">
        <f>VLOOKUP(Table1[[#This Row],[Date]],Database!A:D,2,)</f>
        <v/>
      </c>
      <c r="G757" s="56" t="n"/>
    </row>
    <row r="758">
      <c r="A758" s="55" t="n">
        <v>36951</v>
      </c>
      <c r="B758" s="25">
        <f>VLOOKUP(Table1[[#This Row],[Date]],Database!A:D,3,)</f>
        <v/>
      </c>
      <c r="C758" s="26">
        <f>B758-B757</f>
        <v/>
      </c>
      <c r="D758" s="26">
        <f>AVERAGE(C756:C758)</f>
        <v/>
      </c>
      <c r="E758" s="59">
        <f>VLOOKUP(Table1[[#This Row],[Date]],Database!A:D,4,)</f>
        <v/>
      </c>
      <c r="F758" s="59">
        <f>VLOOKUP(Table1[[#This Row],[Date]],Database!A:D,2,)</f>
        <v/>
      </c>
      <c r="G758" s="56" t="n"/>
    </row>
    <row r="759">
      <c r="A759" s="55" t="n">
        <v>36982</v>
      </c>
      <c r="B759" s="25">
        <f>VLOOKUP(Table1[[#This Row],[Date]],Database!A:D,3,)</f>
        <v/>
      </c>
      <c r="C759" s="26">
        <f>B759-B758</f>
        <v/>
      </c>
      <c r="D759" s="26">
        <f>AVERAGE(C757:C759)</f>
        <v/>
      </c>
      <c r="E759" s="59">
        <f>VLOOKUP(Table1[[#This Row],[Date]],Database!A:D,4,)</f>
        <v/>
      </c>
      <c r="F759" s="59">
        <f>VLOOKUP(Table1[[#This Row],[Date]],Database!A:D,2,)</f>
        <v/>
      </c>
      <c r="G759" s="56" t="n"/>
    </row>
    <row r="760">
      <c r="A760" s="55" t="n">
        <v>37012</v>
      </c>
      <c r="B760" s="25">
        <f>VLOOKUP(Table1[[#This Row],[Date]],Database!A:D,3,)</f>
        <v/>
      </c>
      <c r="C760" s="26">
        <f>B760-B759</f>
        <v/>
      </c>
      <c r="D760" s="26">
        <f>AVERAGE(C758:C760)</f>
        <v/>
      </c>
      <c r="E760" s="59">
        <f>VLOOKUP(Table1[[#This Row],[Date]],Database!A:D,4,)</f>
        <v/>
      </c>
      <c r="F760" s="59">
        <f>VLOOKUP(Table1[[#This Row],[Date]],Database!A:D,2,)</f>
        <v/>
      </c>
      <c r="G760" s="56" t="n"/>
    </row>
    <row r="761">
      <c r="A761" s="55" t="n">
        <v>37043</v>
      </c>
      <c r="B761" s="25">
        <f>VLOOKUP(Table1[[#This Row],[Date]],Database!A:D,3,)</f>
        <v/>
      </c>
      <c r="C761" s="26">
        <f>B761-B760</f>
        <v/>
      </c>
      <c r="D761" s="26">
        <f>AVERAGE(C759:C761)</f>
        <v/>
      </c>
      <c r="E761" s="59">
        <f>VLOOKUP(Table1[[#This Row],[Date]],Database!A:D,4,)</f>
        <v/>
      </c>
      <c r="F761" s="59">
        <f>VLOOKUP(Table1[[#This Row],[Date]],Database!A:D,2,)</f>
        <v/>
      </c>
      <c r="G761" s="56" t="n"/>
    </row>
    <row r="762">
      <c r="A762" s="55" t="n">
        <v>37073</v>
      </c>
      <c r="B762" s="25">
        <f>VLOOKUP(Table1[[#This Row],[Date]],Database!A:D,3,)</f>
        <v/>
      </c>
      <c r="C762" s="26">
        <f>B762-B761</f>
        <v/>
      </c>
      <c r="D762" s="26">
        <f>AVERAGE(C760:C762)</f>
        <v/>
      </c>
      <c r="E762" s="59">
        <f>VLOOKUP(Table1[[#This Row],[Date]],Database!A:D,4,)</f>
        <v/>
      </c>
      <c r="F762" s="59">
        <f>VLOOKUP(Table1[[#This Row],[Date]],Database!A:D,2,)</f>
        <v/>
      </c>
      <c r="G762" s="56" t="n"/>
    </row>
    <row r="763">
      <c r="A763" s="55" t="n">
        <v>37104</v>
      </c>
      <c r="B763" s="25">
        <f>VLOOKUP(Table1[[#This Row],[Date]],Database!A:D,3,)</f>
        <v/>
      </c>
      <c r="C763" s="26">
        <f>B763-B762</f>
        <v/>
      </c>
      <c r="D763" s="26">
        <f>AVERAGE(C761:C763)</f>
        <v/>
      </c>
      <c r="E763" s="59">
        <f>VLOOKUP(Table1[[#This Row],[Date]],Database!A:D,4,)</f>
        <v/>
      </c>
      <c r="F763" s="59">
        <f>VLOOKUP(Table1[[#This Row],[Date]],Database!A:D,2,)</f>
        <v/>
      </c>
      <c r="G763" s="56" t="n"/>
    </row>
    <row r="764">
      <c r="A764" s="55" t="n">
        <v>37135</v>
      </c>
      <c r="B764" s="25">
        <f>VLOOKUP(Table1[[#This Row],[Date]],Database!A:D,3,)</f>
        <v/>
      </c>
      <c r="C764" s="26">
        <f>B764-B763</f>
        <v/>
      </c>
      <c r="D764" s="26">
        <f>AVERAGE(C762:C764)</f>
        <v/>
      </c>
      <c r="E764" s="59">
        <f>VLOOKUP(Table1[[#This Row],[Date]],Database!A:D,4,)</f>
        <v/>
      </c>
      <c r="F764" s="59">
        <f>VLOOKUP(Table1[[#This Row],[Date]],Database!A:D,2,)</f>
        <v/>
      </c>
      <c r="G764" s="56" t="n"/>
    </row>
    <row r="765">
      <c r="A765" s="55" t="n">
        <v>37165</v>
      </c>
      <c r="B765" s="25">
        <f>VLOOKUP(Table1[[#This Row],[Date]],Database!A:D,3,)</f>
        <v/>
      </c>
      <c r="C765" s="26">
        <f>B765-B764</f>
        <v/>
      </c>
      <c r="D765" s="26">
        <f>AVERAGE(C763:C765)</f>
        <v/>
      </c>
      <c r="E765" s="59">
        <f>VLOOKUP(Table1[[#This Row],[Date]],Database!A:D,4,)</f>
        <v/>
      </c>
      <c r="F765" s="59">
        <f>VLOOKUP(Table1[[#This Row],[Date]],Database!A:D,2,)</f>
        <v/>
      </c>
      <c r="G765" s="56" t="n"/>
    </row>
    <row r="766">
      <c r="A766" s="55" t="n">
        <v>37196</v>
      </c>
      <c r="B766" s="25">
        <f>VLOOKUP(Table1[[#This Row],[Date]],Database!A:D,3,)</f>
        <v/>
      </c>
      <c r="C766" s="26">
        <f>B766-B765</f>
        <v/>
      </c>
      <c r="D766" s="26">
        <f>AVERAGE(C764:C766)</f>
        <v/>
      </c>
      <c r="E766" s="59">
        <f>VLOOKUP(Table1[[#This Row],[Date]],Database!A:D,4,)</f>
        <v/>
      </c>
      <c r="F766" s="59">
        <f>VLOOKUP(Table1[[#This Row],[Date]],Database!A:D,2,)</f>
        <v/>
      </c>
      <c r="G766" s="56" t="n"/>
    </row>
    <row r="767">
      <c r="A767" s="55" t="n">
        <v>37226</v>
      </c>
      <c r="B767" s="25">
        <f>VLOOKUP(Table1[[#This Row],[Date]],Database!A:D,3,)</f>
        <v/>
      </c>
      <c r="C767" s="26">
        <f>B767-B766</f>
        <v/>
      </c>
      <c r="D767" s="26">
        <f>AVERAGE(C765:C767)</f>
        <v/>
      </c>
      <c r="E767" s="59">
        <f>VLOOKUP(Table1[[#This Row],[Date]],Database!A:D,4,)</f>
        <v/>
      </c>
      <c r="F767" s="59">
        <f>VLOOKUP(Table1[[#This Row],[Date]],Database!A:D,2,)</f>
        <v/>
      </c>
      <c r="G767" s="56" t="n"/>
    </row>
    <row r="768">
      <c r="A768" s="55" t="n">
        <v>37257</v>
      </c>
      <c r="B768" s="25">
        <f>VLOOKUP(Table1[[#This Row],[Date]],Database!A:D,3,)</f>
        <v/>
      </c>
      <c r="C768" s="26">
        <f>B768-B767</f>
        <v/>
      </c>
      <c r="D768" s="26">
        <f>AVERAGE(C766:C768)</f>
        <v/>
      </c>
      <c r="E768" s="59">
        <f>VLOOKUP(Table1[[#This Row],[Date]],Database!A:D,4,)</f>
        <v/>
      </c>
      <c r="F768" s="59">
        <f>VLOOKUP(Table1[[#This Row],[Date]],Database!A:D,2,)</f>
        <v/>
      </c>
      <c r="G768" s="56" t="n"/>
    </row>
    <row r="769">
      <c r="A769" s="55" t="n">
        <v>37288</v>
      </c>
      <c r="B769" s="25">
        <f>VLOOKUP(Table1[[#This Row],[Date]],Database!A:D,3,)</f>
        <v/>
      </c>
      <c r="C769" s="26">
        <f>B769-B768</f>
        <v/>
      </c>
      <c r="D769" s="26">
        <f>AVERAGE(C767:C769)</f>
        <v/>
      </c>
      <c r="E769" s="59">
        <f>VLOOKUP(Table1[[#This Row],[Date]],Database!A:D,4,)</f>
        <v/>
      </c>
      <c r="F769" s="59">
        <f>VLOOKUP(Table1[[#This Row],[Date]],Database!A:D,2,)</f>
        <v/>
      </c>
      <c r="G769" s="56" t="n"/>
    </row>
    <row r="770">
      <c r="A770" s="55" t="n">
        <v>37316</v>
      </c>
      <c r="B770" s="25">
        <f>VLOOKUP(Table1[[#This Row],[Date]],Database!A:D,3,)</f>
        <v/>
      </c>
      <c r="C770" s="26">
        <f>B770-B769</f>
        <v/>
      </c>
      <c r="D770" s="26">
        <f>AVERAGE(C768:C770)</f>
        <v/>
      </c>
      <c r="E770" s="59">
        <f>VLOOKUP(Table1[[#This Row],[Date]],Database!A:D,4,)</f>
        <v/>
      </c>
      <c r="F770" s="59">
        <f>VLOOKUP(Table1[[#This Row],[Date]],Database!A:D,2,)</f>
        <v/>
      </c>
      <c r="G770" s="56" t="n"/>
    </row>
    <row r="771">
      <c r="A771" s="55" t="n">
        <v>37347</v>
      </c>
      <c r="B771" s="25">
        <f>VLOOKUP(Table1[[#This Row],[Date]],Database!A:D,3,)</f>
        <v/>
      </c>
      <c r="C771" s="26">
        <f>B771-B770</f>
        <v/>
      </c>
      <c r="D771" s="26">
        <f>AVERAGE(C769:C771)</f>
        <v/>
      </c>
      <c r="E771" s="59">
        <f>VLOOKUP(Table1[[#This Row],[Date]],Database!A:D,4,)</f>
        <v/>
      </c>
      <c r="F771" s="59">
        <f>VLOOKUP(Table1[[#This Row],[Date]],Database!A:D,2,)</f>
        <v/>
      </c>
      <c r="G771" s="56" t="n"/>
    </row>
    <row r="772">
      <c r="A772" s="55" t="n">
        <v>37377</v>
      </c>
      <c r="B772" s="25">
        <f>VLOOKUP(Table1[[#This Row],[Date]],Database!A:D,3,)</f>
        <v/>
      </c>
      <c r="C772" s="26">
        <f>B772-B771</f>
        <v/>
      </c>
      <c r="D772" s="26">
        <f>AVERAGE(C770:C772)</f>
        <v/>
      </c>
      <c r="E772" s="59">
        <f>VLOOKUP(Table1[[#This Row],[Date]],Database!A:D,4,)</f>
        <v/>
      </c>
      <c r="F772" s="59">
        <f>VLOOKUP(Table1[[#This Row],[Date]],Database!A:D,2,)</f>
        <v/>
      </c>
      <c r="G772" s="56" t="n"/>
    </row>
    <row r="773">
      <c r="A773" s="55" t="n">
        <v>37408</v>
      </c>
      <c r="B773" s="25">
        <f>VLOOKUP(Table1[[#This Row],[Date]],Database!A:D,3,)</f>
        <v/>
      </c>
      <c r="C773" s="26">
        <f>B773-B772</f>
        <v/>
      </c>
      <c r="D773" s="26">
        <f>AVERAGE(C771:C773)</f>
        <v/>
      </c>
      <c r="E773" s="59">
        <f>VLOOKUP(Table1[[#This Row],[Date]],Database!A:D,4,)</f>
        <v/>
      </c>
      <c r="F773" s="59">
        <f>VLOOKUP(Table1[[#This Row],[Date]],Database!A:D,2,)</f>
        <v/>
      </c>
      <c r="G773" s="56" t="n"/>
    </row>
    <row r="774">
      <c r="A774" s="55" t="n">
        <v>37438</v>
      </c>
      <c r="B774" s="25">
        <f>VLOOKUP(Table1[[#This Row],[Date]],Database!A:D,3,)</f>
        <v/>
      </c>
      <c r="C774" s="26">
        <f>B774-B773</f>
        <v/>
      </c>
      <c r="D774" s="26">
        <f>AVERAGE(C772:C774)</f>
        <v/>
      </c>
      <c r="E774" s="59">
        <f>VLOOKUP(Table1[[#This Row],[Date]],Database!A:D,4,)</f>
        <v/>
      </c>
      <c r="F774" s="59">
        <f>VLOOKUP(Table1[[#This Row],[Date]],Database!A:D,2,)</f>
        <v/>
      </c>
      <c r="G774" s="56" t="n"/>
    </row>
    <row r="775">
      <c r="A775" s="55" t="n">
        <v>37469</v>
      </c>
      <c r="B775" s="25">
        <f>VLOOKUP(Table1[[#This Row],[Date]],Database!A:D,3,)</f>
        <v/>
      </c>
      <c r="C775" s="26">
        <f>B775-B774</f>
        <v/>
      </c>
      <c r="D775" s="26">
        <f>AVERAGE(C773:C775)</f>
        <v/>
      </c>
      <c r="E775" s="59">
        <f>VLOOKUP(Table1[[#This Row],[Date]],Database!A:D,4,)</f>
        <v/>
      </c>
      <c r="F775" s="59">
        <f>VLOOKUP(Table1[[#This Row],[Date]],Database!A:D,2,)</f>
        <v/>
      </c>
      <c r="G775" s="56" t="n"/>
    </row>
    <row r="776">
      <c r="A776" s="55" t="n">
        <v>37500</v>
      </c>
      <c r="B776" s="25">
        <f>VLOOKUP(Table1[[#This Row],[Date]],Database!A:D,3,)</f>
        <v/>
      </c>
      <c r="C776" s="26">
        <f>B776-B775</f>
        <v/>
      </c>
      <c r="D776" s="26">
        <f>AVERAGE(C774:C776)</f>
        <v/>
      </c>
      <c r="E776" s="59">
        <f>VLOOKUP(Table1[[#This Row],[Date]],Database!A:D,4,)</f>
        <v/>
      </c>
      <c r="F776" s="59">
        <f>VLOOKUP(Table1[[#This Row],[Date]],Database!A:D,2,)</f>
        <v/>
      </c>
      <c r="G776" s="56" t="n"/>
    </row>
    <row r="777">
      <c r="A777" s="55" t="n">
        <v>37530</v>
      </c>
      <c r="B777" s="25">
        <f>VLOOKUP(Table1[[#This Row],[Date]],Database!A:D,3,)</f>
        <v/>
      </c>
      <c r="C777" s="26">
        <f>B777-B776</f>
        <v/>
      </c>
      <c r="D777" s="26">
        <f>AVERAGE(C775:C777)</f>
        <v/>
      </c>
      <c r="E777" s="59">
        <f>VLOOKUP(Table1[[#This Row],[Date]],Database!A:D,4,)</f>
        <v/>
      </c>
      <c r="F777" s="59">
        <f>VLOOKUP(Table1[[#This Row],[Date]],Database!A:D,2,)</f>
        <v/>
      </c>
      <c r="G777" s="56" t="n"/>
    </row>
    <row r="778">
      <c r="A778" s="55" t="n">
        <v>37561</v>
      </c>
      <c r="B778" s="25">
        <f>VLOOKUP(Table1[[#This Row],[Date]],Database!A:D,3,)</f>
        <v/>
      </c>
      <c r="C778" s="26">
        <f>B778-B777</f>
        <v/>
      </c>
      <c r="D778" s="26">
        <f>AVERAGE(C776:C778)</f>
        <v/>
      </c>
      <c r="E778" s="59">
        <f>VLOOKUP(Table1[[#This Row],[Date]],Database!A:D,4,)</f>
        <v/>
      </c>
      <c r="F778" s="59">
        <f>VLOOKUP(Table1[[#This Row],[Date]],Database!A:D,2,)</f>
        <v/>
      </c>
      <c r="G778" s="56" t="n"/>
    </row>
    <row r="779">
      <c r="A779" s="55" t="n">
        <v>37591</v>
      </c>
      <c r="B779" s="25">
        <f>VLOOKUP(Table1[[#This Row],[Date]],Database!A:D,3,)</f>
        <v/>
      </c>
      <c r="C779" s="26">
        <f>B779-B778</f>
        <v/>
      </c>
      <c r="D779" s="26">
        <f>AVERAGE(C777:C779)</f>
        <v/>
      </c>
      <c r="E779" s="59">
        <f>VLOOKUP(Table1[[#This Row],[Date]],Database!A:D,4,)</f>
        <v/>
      </c>
      <c r="F779" s="59">
        <f>VLOOKUP(Table1[[#This Row],[Date]],Database!A:D,2,)</f>
        <v/>
      </c>
      <c r="G779" s="56" t="n"/>
    </row>
    <row r="780">
      <c r="A780" s="55" t="n">
        <v>37622</v>
      </c>
      <c r="B780" s="25">
        <f>VLOOKUP(Table1[[#This Row],[Date]],Database!A:D,3,)</f>
        <v/>
      </c>
      <c r="C780" s="26">
        <f>B780-B779</f>
        <v/>
      </c>
      <c r="D780" s="26">
        <f>AVERAGE(C778:C780)</f>
        <v/>
      </c>
      <c r="E780" s="59">
        <f>VLOOKUP(Table1[[#This Row],[Date]],Database!A:D,4,)</f>
        <v/>
      </c>
      <c r="F780" s="59">
        <f>VLOOKUP(Table1[[#This Row],[Date]],Database!A:D,2,)</f>
        <v/>
      </c>
      <c r="G780" s="56" t="n"/>
    </row>
    <row r="781">
      <c r="A781" s="55" t="n">
        <v>37653</v>
      </c>
      <c r="B781" s="25">
        <f>VLOOKUP(Table1[[#This Row],[Date]],Database!A:D,3,)</f>
        <v/>
      </c>
      <c r="C781" s="26">
        <f>B781-B780</f>
        <v/>
      </c>
      <c r="D781" s="26">
        <f>AVERAGE(C779:C781)</f>
        <v/>
      </c>
      <c r="E781" s="59">
        <f>VLOOKUP(Table1[[#This Row],[Date]],Database!A:D,4,)</f>
        <v/>
      </c>
      <c r="F781" s="59">
        <f>VLOOKUP(Table1[[#This Row],[Date]],Database!A:D,2,)</f>
        <v/>
      </c>
      <c r="G781" s="56" t="n"/>
    </row>
    <row r="782">
      <c r="A782" s="55" t="n">
        <v>37681</v>
      </c>
      <c r="B782" s="25">
        <f>VLOOKUP(Table1[[#This Row],[Date]],Database!A:D,3,)</f>
        <v/>
      </c>
      <c r="C782" s="26">
        <f>B782-B781</f>
        <v/>
      </c>
      <c r="D782" s="26">
        <f>AVERAGE(C780:C782)</f>
        <v/>
      </c>
      <c r="E782" s="59">
        <f>VLOOKUP(Table1[[#This Row],[Date]],Database!A:D,4,)</f>
        <v/>
      </c>
      <c r="F782" s="59">
        <f>VLOOKUP(Table1[[#This Row],[Date]],Database!A:D,2,)</f>
        <v/>
      </c>
      <c r="G782" s="56" t="n"/>
    </row>
    <row r="783">
      <c r="A783" s="55" t="n">
        <v>37712</v>
      </c>
      <c r="B783" s="25">
        <f>VLOOKUP(Table1[[#This Row],[Date]],Database!A:D,3,)</f>
        <v/>
      </c>
      <c r="C783" s="26">
        <f>B783-B782</f>
        <v/>
      </c>
      <c r="D783" s="26">
        <f>AVERAGE(C781:C783)</f>
        <v/>
      </c>
      <c r="E783" s="59">
        <f>VLOOKUP(Table1[[#This Row],[Date]],Database!A:D,4,)</f>
        <v/>
      </c>
      <c r="F783" s="59">
        <f>VLOOKUP(Table1[[#This Row],[Date]],Database!A:D,2,)</f>
        <v/>
      </c>
      <c r="G783" s="56" t="n"/>
    </row>
    <row r="784">
      <c r="A784" s="55" t="n">
        <v>37742</v>
      </c>
      <c r="B784" s="25">
        <f>VLOOKUP(Table1[[#This Row],[Date]],Database!A:D,3,)</f>
        <v/>
      </c>
      <c r="C784" s="26">
        <f>B784-B783</f>
        <v/>
      </c>
      <c r="D784" s="26">
        <f>AVERAGE(C782:C784)</f>
        <v/>
      </c>
      <c r="E784" s="59">
        <f>VLOOKUP(Table1[[#This Row],[Date]],Database!A:D,4,)</f>
        <v/>
      </c>
      <c r="F784" s="59">
        <f>VLOOKUP(Table1[[#This Row],[Date]],Database!A:D,2,)</f>
        <v/>
      </c>
      <c r="G784" s="56" t="n"/>
    </row>
    <row r="785">
      <c r="A785" s="55" t="n">
        <v>37773</v>
      </c>
      <c r="B785" s="25">
        <f>VLOOKUP(Table1[[#This Row],[Date]],Database!A:D,3,)</f>
        <v/>
      </c>
      <c r="C785" s="26">
        <f>B785-B784</f>
        <v/>
      </c>
      <c r="D785" s="26">
        <f>AVERAGE(C783:C785)</f>
        <v/>
      </c>
      <c r="E785" s="59">
        <f>VLOOKUP(Table1[[#This Row],[Date]],Database!A:D,4,)</f>
        <v/>
      </c>
      <c r="F785" s="59">
        <f>VLOOKUP(Table1[[#This Row],[Date]],Database!A:D,2,)</f>
        <v/>
      </c>
      <c r="G785" s="56" t="n"/>
    </row>
    <row r="786">
      <c r="A786" s="55" t="n">
        <v>37803</v>
      </c>
      <c r="B786" s="25">
        <f>VLOOKUP(Table1[[#This Row],[Date]],Database!A:D,3,)</f>
        <v/>
      </c>
      <c r="C786" s="26">
        <f>B786-B785</f>
        <v/>
      </c>
      <c r="D786" s="26">
        <f>AVERAGE(C784:C786)</f>
        <v/>
      </c>
      <c r="E786" s="59">
        <f>VLOOKUP(Table1[[#This Row],[Date]],Database!A:D,4,)</f>
        <v/>
      </c>
      <c r="F786" s="59">
        <f>VLOOKUP(Table1[[#This Row],[Date]],Database!A:D,2,)</f>
        <v/>
      </c>
      <c r="G786" s="56" t="n"/>
    </row>
    <row r="787">
      <c r="A787" s="55" t="n">
        <v>37834</v>
      </c>
      <c r="B787" s="25">
        <f>VLOOKUP(Table1[[#This Row],[Date]],Database!A:D,3,)</f>
        <v/>
      </c>
      <c r="C787" s="26">
        <f>B787-B786</f>
        <v/>
      </c>
      <c r="D787" s="26">
        <f>AVERAGE(C785:C787)</f>
        <v/>
      </c>
      <c r="E787" s="59">
        <f>VLOOKUP(Table1[[#This Row],[Date]],Database!A:D,4,)</f>
        <v/>
      </c>
      <c r="F787" s="59">
        <f>VLOOKUP(Table1[[#This Row],[Date]],Database!A:D,2,)</f>
        <v/>
      </c>
      <c r="G787" s="56" t="n"/>
    </row>
    <row r="788">
      <c r="A788" s="55" t="n">
        <v>37865</v>
      </c>
      <c r="B788" s="25">
        <f>VLOOKUP(Table1[[#This Row],[Date]],Database!A:D,3,)</f>
        <v/>
      </c>
      <c r="C788" s="26">
        <f>B788-B787</f>
        <v/>
      </c>
      <c r="D788" s="26">
        <f>AVERAGE(C786:C788)</f>
        <v/>
      </c>
      <c r="E788" s="59">
        <f>VLOOKUP(Table1[[#This Row],[Date]],Database!A:D,4,)</f>
        <v/>
      </c>
      <c r="F788" s="59">
        <f>VLOOKUP(Table1[[#This Row],[Date]],Database!A:D,2,)</f>
        <v/>
      </c>
      <c r="G788" s="56" t="n"/>
    </row>
    <row r="789">
      <c r="A789" s="55" t="n">
        <v>37895</v>
      </c>
      <c r="B789" s="25">
        <f>VLOOKUP(Table1[[#This Row],[Date]],Database!A:D,3,)</f>
        <v/>
      </c>
      <c r="C789" s="26">
        <f>B789-B788</f>
        <v/>
      </c>
      <c r="D789" s="26">
        <f>AVERAGE(C787:C789)</f>
        <v/>
      </c>
      <c r="E789" s="59">
        <f>VLOOKUP(Table1[[#This Row],[Date]],Database!A:D,4,)</f>
        <v/>
      </c>
      <c r="F789" s="59">
        <f>VLOOKUP(Table1[[#This Row],[Date]],Database!A:D,2,)</f>
        <v/>
      </c>
      <c r="G789" s="56" t="n"/>
    </row>
    <row r="790">
      <c r="A790" s="55" t="n">
        <v>37926</v>
      </c>
      <c r="B790" s="25">
        <f>VLOOKUP(Table1[[#This Row],[Date]],Database!A:D,3,)</f>
        <v/>
      </c>
      <c r="C790" s="26">
        <f>B790-B789</f>
        <v/>
      </c>
      <c r="D790" s="26">
        <f>AVERAGE(C788:C790)</f>
        <v/>
      </c>
      <c r="E790" s="59">
        <f>VLOOKUP(Table1[[#This Row],[Date]],Database!A:D,4,)</f>
        <v/>
      </c>
      <c r="F790" s="59">
        <f>VLOOKUP(Table1[[#This Row],[Date]],Database!A:D,2,)</f>
        <v/>
      </c>
      <c r="G790" s="56" t="n"/>
    </row>
    <row r="791">
      <c r="A791" s="55" t="n">
        <v>37956</v>
      </c>
      <c r="B791" s="25">
        <f>VLOOKUP(Table1[[#This Row],[Date]],Database!A:D,3,)</f>
        <v/>
      </c>
      <c r="C791" s="26">
        <f>B791-B790</f>
        <v/>
      </c>
      <c r="D791" s="26">
        <f>AVERAGE(C789:C791)</f>
        <v/>
      </c>
      <c r="E791" s="59">
        <f>VLOOKUP(Table1[[#This Row],[Date]],Database!A:D,4,)</f>
        <v/>
      </c>
      <c r="F791" s="59">
        <f>VLOOKUP(Table1[[#This Row],[Date]],Database!A:D,2,)</f>
        <v/>
      </c>
      <c r="G791" s="56" t="n"/>
    </row>
    <row r="792">
      <c r="A792" s="55" t="n">
        <v>37987</v>
      </c>
      <c r="B792" s="25">
        <f>VLOOKUP(Table1[[#This Row],[Date]],Database!A:D,3,)</f>
        <v/>
      </c>
      <c r="C792" s="26">
        <f>B792-B791</f>
        <v/>
      </c>
      <c r="D792" s="26">
        <f>AVERAGE(C790:C792)</f>
        <v/>
      </c>
      <c r="E792" s="59">
        <f>VLOOKUP(Table1[[#This Row],[Date]],Database!A:D,4,)</f>
        <v/>
      </c>
      <c r="F792" s="59">
        <f>VLOOKUP(Table1[[#This Row],[Date]],Database!A:D,2,)</f>
        <v/>
      </c>
      <c r="G792" s="56" t="n"/>
    </row>
    <row r="793">
      <c r="A793" s="55" t="n">
        <v>38018</v>
      </c>
      <c r="B793" s="25">
        <f>VLOOKUP(Table1[[#This Row],[Date]],Database!A:D,3,)</f>
        <v/>
      </c>
      <c r="C793" s="26">
        <f>B793-B792</f>
        <v/>
      </c>
      <c r="D793" s="26">
        <f>AVERAGE(C791:C793)</f>
        <v/>
      </c>
      <c r="E793" s="59">
        <f>VLOOKUP(Table1[[#This Row],[Date]],Database!A:D,4,)</f>
        <v/>
      </c>
      <c r="F793" s="59">
        <f>VLOOKUP(Table1[[#This Row],[Date]],Database!A:D,2,)</f>
        <v/>
      </c>
      <c r="G793" s="56" t="n"/>
    </row>
    <row r="794">
      <c r="A794" s="55" t="n">
        <v>38047</v>
      </c>
      <c r="B794" s="25">
        <f>VLOOKUP(Table1[[#This Row],[Date]],Database!A:D,3,)</f>
        <v/>
      </c>
      <c r="C794" s="26">
        <f>B794-B793</f>
        <v/>
      </c>
      <c r="D794" s="26">
        <f>AVERAGE(C792:C794)</f>
        <v/>
      </c>
      <c r="E794" s="59">
        <f>VLOOKUP(Table1[[#This Row],[Date]],Database!A:D,4,)</f>
        <v/>
      </c>
      <c r="F794" s="59">
        <f>VLOOKUP(Table1[[#This Row],[Date]],Database!A:D,2,)</f>
        <v/>
      </c>
      <c r="G794" s="56" t="n"/>
    </row>
    <row r="795">
      <c r="A795" s="55" t="n">
        <v>38078</v>
      </c>
      <c r="B795" s="25">
        <f>VLOOKUP(Table1[[#This Row],[Date]],Database!A:D,3,)</f>
        <v/>
      </c>
      <c r="C795" s="26">
        <f>B795-B794</f>
        <v/>
      </c>
      <c r="D795" s="26">
        <f>AVERAGE(C793:C795)</f>
        <v/>
      </c>
      <c r="E795" s="59">
        <f>VLOOKUP(Table1[[#This Row],[Date]],Database!A:D,4,)</f>
        <v/>
      </c>
      <c r="F795" s="59">
        <f>VLOOKUP(Table1[[#This Row],[Date]],Database!A:D,2,)</f>
        <v/>
      </c>
      <c r="G795" s="56" t="n"/>
    </row>
    <row r="796">
      <c r="A796" s="55" t="n">
        <v>38108</v>
      </c>
      <c r="B796" s="25">
        <f>VLOOKUP(Table1[[#This Row],[Date]],Database!A:D,3,)</f>
        <v/>
      </c>
      <c r="C796" s="26">
        <f>B796-B795</f>
        <v/>
      </c>
      <c r="D796" s="26">
        <f>AVERAGE(C794:C796)</f>
        <v/>
      </c>
      <c r="E796" s="59">
        <f>VLOOKUP(Table1[[#This Row],[Date]],Database!A:D,4,)</f>
        <v/>
      </c>
      <c r="F796" s="59">
        <f>VLOOKUP(Table1[[#This Row],[Date]],Database!A:D,2,)</f>
        <v/>
      </c>
      <c r="G796" s="56" t="n"/>
    </row>
    <row r="797">
      <c r="A797" s="55" t="n">
        <v>38139</v>
      </c>
      <c r="B797" s="25">
        <f>VLOOKUP(Table1[[#This Row],[Date]],Database!A:D,3,)</f>
        <v/>
      </c>
      <c r="C797" s="26">
        <f>B797-B796</f>
        <v/>
      </c>
      <c r="D797" s="26">
        <f>AVERAGE(C795:C797)</f>
        <v/>
      </c>
      <c r="E797" s="59">
        <f>VLOOKUP(Table1[[#This Row],[Date]],Database!A:D,4,)</f>
        <v/>
      </c>
      <c r="F797" s="59">
        <f>VLOOKUP(Table1[[#This Row],[Date]],Database!A:D,2,)</f>
        <v/>
      </c>
      <c r="G797" s="56" t="n"/>
    </row>
    <row r="798">
      <c r="A798" s="55" t="n">
        <v>38169</v>
      </c>
      <c r="B798" s="25">
        <f>VLOOKUP(Table1[[#This Row],[Date]],Database!A:D,3,)</f>
        <v/>
      </c>
      <c r="C798" s="26">
        <f>B798-B797</f>
        <v/>
      </c>
      <c r="D798" s="26">
        <f>AVERAGE(C796:C798)</f>
        <v/>
      </c>
      <c r="E798" s="59">
        <f>VLOOKUP(Table1[[#This Row],[Date]],Database!A:D,4,)</f>
        <v/>
      </c>
      <c r="F798" s="59">
        <f>VLOOKUP(Table1[[#This Row],[Date]],Database!A:D,2,)</f>
        <v/>
      </c>
      <c r="G798" s="56" t="n"/>
    </row>
    <row r="799">
      <c r="A799" s="55" t="n">
        <v>38200</v>
      </c>
      <c r="B799" s="25">
        <f>VLOOKUP(Table1[[#This Row],[Date]],Database!A:D,3,)</f>
        <v/>
      </c>
      <c r="C799" s="26">
        <f>B799-B798</f>
        <v/>
      </c>
      <c r="D799" s="26">
        <f>AVERAGE(C797:C799)</f>
        <v/>
      </c>
      <c r="E799" s="59">
        <f>VLOOKUP(Table1[[#This Row],[Date]],Database!A:D,4,)</f>
        <v/>
      </c>
      <c r="F799" s="59">
        <f>VLOOKUP(Table1[[#This Row],[Date]],Database!A:D,2,)</f>
        <v/>
      </c>
      <c r="G799" s="56" t="n"/>
    </row>
    <row r="800">
      <c r="A800" s="55" t="n">
        <v>38231</v>
      </c>
      <c r="B800" s="25">
        <f>VLOOKUP(Table1[[#This Row],[Date]],Database!A:D,3,)</f>
        <v/>
      </c>
      <c r="C800" s="26">
        <f>B800-B799</f>
        <v/>
      </c>
      <c r="D800" s="26">
        <f>AVERAGE(C798:C800)</f>
        <v/>
      </c>
      <c r="E800" s="59">
        <f>VLOOKUP(Table1[[#This Row],[Date]],Database!A:D,4,)</f>
        <v/>
      </c>
      <c r="F800" s="59">
        <f>VLOOKUP(Table1[[#This Row],[Date]],Database!A:D,2,)</f>
        <v/>
      </c>
      <c r="G800" s="56" t="n"/>
    </row>
    <row r="801">
      <c r="A801" s="55" t="n">
        <v>38261</v>
      </c>
      <c r="B801" s="25">
        <f>VLOOKUP(Table1[[#This Row],[Date]],Database!A:D,3,)</f>
        <v/>
      </c>
      <c r="C801" s="26">
        <f>B801-B800</f>
        <v/>
      </c>
      <c r="D801" s="26">
        <f>AVERAGE(C799:C801)</f>
        <v/>
      </c>
      <c r="E801" s="59">
        <f>VLOOKUP(Table1[[#This Row],[Date]],Database!A:D,4,)</f>
        <v/>
      </c>
      <c r="F801" s="59">
        <f>VLOOKUP(Table1[[#This Row],[Date]],Database!A:D,2,)</f>
        <v/>
      </c>
      <c r="G801" s="56" t="n"/>
    </row>
    <row r="802">
      <c r="A802" s="55" t="n">
        <v>38292</v>
      </c>
      <c r="B802" s="25">
        <f>VLOOKUP(Table1[[#This Row],[Date]],Database!A:D,3,)</f>
        <v/>
      </c>
      <c r="C802" s="26">
        <f>B802-B801</f>
        <v/>
      </c>
      <c r="D802" s="26">
        <f>AVERAGE(C800:C802)</f>
        <v/>
      </c>
      <c r="E802" s="59">
        <f>VLOOKUP(Table1[[#This Row],[Date]],Database!A:D,4,)</f>
        <v/>
      </c>
      <c r="F802" s="59">
        <f>VLOOKUP(Table1[[#This Row],[Date]],Database!A:D,2,)</f>
        <v/>
      </c>
      <c r="G802" s="56" t="n"/>
    </row>
    <row r="803">
      <c r="A803" s="55" t="n">
        <v>38322</v>
      </c>
      <c r="B803" s="25">
        <f>VLOOKUP(Table1[[#This Row],[Date]],Database!A:D,3,)</f>
        <v/>
      </c>
      <c r="C803" s="26">
        <f>B803-B802</f>
        <v/>
      </c>
      <c r="D803" s="26">
        <f>AVERAGE(C801:C803)</f>
        <v/>
      </c>
      <c r="E803" s="59">
        <f>VLOOKUP(Table1[[#This Row],[Date]],Database!A:D,4,)</f>
        <v/>
      </c>
      <c r="F803" s="59">
        <f>VLOOKUP(Table1[[#This Row],[Date]],Database!A:D,2,)</f>
        <v/>
      </c>
      <c r="G803" s="56" t="n"/>
    </row>
    <row r="804">
      <c r="A804" s="55" t="n">
        <v>38353</v>
      </c>
      <c r="B804" s="25">
        <f>VLOOKUP(Table1[[#This Row],[Date]],Database!A:D,3,)</f>
        <v/>
      </c>
      <c r="C804" s="26">
        <f>B804-B803</f>
        <v/>
      </c>
      <c r="D804" s="26">
        <f>AVERAGE(C802:C804)</f>
        <v/>
      </c>
      <c r="E804" s="59">
        <f>VLOOKUP(Table1[[#This Row],[Date]],Database!A:D,4,)</f>
        <v/>
      </c>
      <c r="F804" s="59">
        <f>VLOOKUP(Table1[[#This Row],[Date]],Database!A:D,2,)</f>
        <v/>
      </c>
      <c r="G804" s="56" t="n"/>
    </row>
    <row r="805">
      <c r="A805" s="55" t="n">
        <v>38384</v>
      </c>
      <c r="B805" s="25">
        <f>VLOOKUP(Table1[[#This Row],[Date]],Database!A:D,3,)</f>
        <v/>
      </c>
      <c r="C805" s="26">
        <f>B805-B804</f>
        <v/>
      </c>
      <c r="D805" s="26">
        <f>AVERAGE(C803:C805)</f>
        <v/>
      </c>
      <c r="E805" s="59">
        <f>VLOOKUP(Table1[[#This Row],[Date]],Database!A:D,4,)</f>
        <v/>
      </c>
      <c r="F805" s="59">
        <f>VLOOKUP(Table1[[#This Row],[Date]],Database!A:D,2,)</f>
        <v/>
      </c>
      <c r="G805" s="56" t="n"/>
    </row>
    <row r="806">
      <c r="A806" s="55" t="n">
        <v>38412</v>
      </c>
      <c r="B806" s="25">
        <f>VLOOKUP(Table1[[#This Row],[Date]],Database!A:D,3,)</f>
        <v/>
      </c>
      <c r="C806" s="26">
        <f>B806-B805</f>
        <v/>
      </c>
      <c r="D806" s="26">
        <f>AVERAGE(C804:C806)</f>
        <v/>
      </c>
      <c r="E806" s="59">
        <f>VLOOKUP(Table1[[#This Row],[Date]],Database!A:D,4,)</f>
        <v/>
      </c>
      <c r="F806" s="59">
        <f>VLOOKUP(Table1[[#This Row],[Date]],Database!A:D,2,)</f>
        <v/>
      </c>
      <c r="G806" s="56" t="n"/>
    </row>
    <row r="807">
      <c r="A807" s="55" t="n">
        <v>38443</v>
      </c>
      <c r="B807" s="25">
        <f>VLOOKUP(Table1[[#This Row],[Date]],Database!A:D,3,)</f>
        <v/>
      </c>
      <c r="C807" s="26">
        <f>B807-B806</f>
        <v/>
      </c>
      <c r="D807" s="26">
        <f>AVERAGE(C805:C807)</f>
        <v/>
      </c>
      <c r="E807" s="59">
        <f>VLOOKUP(Table1[[#This Row],[Date]],Database!A:D,4,)</f>
        <v/>
      </c>
      <c r="F807" s="59">
        <f>VLOOKUP(Table1[[#This Row],[Date]],Database!A:D,2,)</f>
        <v/>
      </c>
      <c r="G807" s="56" t="n"/>
    </row>
    <row r="808">
      <c r="A808" s="55" t="n">
        <v>38473</v>
      </c>
      <c r="B808" s="25">
        <f>VLOOKUP(Table1[[#This Row],[Date]],Database!A:D,3,)</f>
        <v/>
      </c>
      <c r="C808" s="26">
        <f>B808-B807</f>
        <v/>
      </c>
      <c r="D808" s="26">
        <f>AVERAGE(C806:C808)</f>
        <v/>
      </c>
      <c r="E808" s="59">
        <f>VLOOKUP(Table1[[#This Row],[Date]],Database!A:D,4,)</f>
        <v/>
      </c>
      <c r="F808" s="59">
        <f>VLOOKUP(Table1[[#This Row],[Date]],Database!A:D,2,)</f>
        <v/>
      </c>
      <c r="G808" s="56" t="n"/>
    </row>
    <row r="809">
      <c r="A809" s="55" t="n">
        <v>38504</v>
      </c>
      <c r="B809" s="25">
        <f>VLOOKUP(Table1[[#This Row],[Date]],Database!A:D,3,)</f>
        <v/>
      </c>
      <c r="C809" s="26">
        <f>B809-B808</f>
        <v/>
      </c>
      <c r="D809" s="26">
        <f>AVERAGE(C807:C809)</f>
        <v/>
      </c>
      <c r="E809" s="59">
        <f>VLOOKUP(Table1[[#This Row],[Date]],Database!A:D,4,)</f>
        <v/>
      </c>
      <c r="F809" s="59">
        <f>VLOOKUP(Table1[[#This Row],[Date]],Database!A:D,2,)</f>
        <v/>
      </c>
      <c r="G809" s="56" t="n"/>
    </row>
    <row r="810">
      <c r="A810" s="55" t="n">
        <v>38534</v>
      </c>
      <c r="B810" s="25">
        <f>VLOOKUP(Table1[[#This Row],[Date]],Database!A:D,3,)</f>
        <v/>
      </c>
      <c r="C810" s="26">
        <f>B810-B809</f>
        <v/>
      </c>
      <c r="D810" s="26">
        <f>AVERAGE(C808:C810)</f>
        <v/>
      </c>
      <c r="E810" s="59">
        <f>VLOOKUP(Table1[[#This Row],[Date]],Database!A:D,4,)</f>
        <v/>
      </c>
      <c r="F810" s="59">
        <f>VLOOKUP(Table1[[#This Row],[Date]],Database!A:D,2,)</f>
        <v/>
      </c>
      <c r="G810" s="56" t="n"/>
    </row>
    <row r="811">
      <c r="A811" s="55" t="n">
        <v>38565</v>
      </c>
      <c r="B811" s="25">
        <f>VLOOKUP(Table1[[#This Row],[Date]],Database!A:D,3,)</f>
        <v/>
      </c>
      <c r="C811" s="26">
        <f>B811-B810</f>
        <v/>
      </c>
      <c r="D811" s="26">
        <f>AVERAGE(C809:C811)</f>
        <v/>
      </c>
      <c r="E811" s="59">
        <f>VLOOKUP(Table1[[#This Row],[Date]],Database!A:D,4,)</f>
        <v/>
      </c>
      <c r="F811" s="59">
        <f>VLOOKUP(Table1[[#This Row],[Date]],Database!A:D,2,)</f>
        <v/>
      </c>
      <c r="G811" s="56" t="n"/>
    </row>
    <row r="812">
      <c r="A812" s="55" t="n">
        <v>38596</v>
      </c>
      <c r="B812" s="25">
        <f>VLOOKUP(Table1[[#This Row],[Date]],Database!A:D,3,)</f>
        <v/>
      </c>
      <c r="C812" s="26">
        <f>B812-B811</f>
        <v/>
      </c>
      <c r="D812" s="26">
        <f>AVERAGE(C810:C812)</f>
        <v/>
      </c>
      <c r="E812" s="59">
        <f>VLOOKUP(Table1[[#This Row],[Date]],Database!A:D,4,)</f>
        <v/>
      </c>
      <c r="F812" s="59">
        <f>VLOOKUP(Table1[[#This Row],[Date]],Database!A:D,2,)</f>
        <v/>
      </c>
      <c r="G812" s="56" t="n"/>
    </row>
    <row r="813">
      <c r="A813" s="55" t="n">
        <v>38626</v>
      </c>
      <c r="B813" s="25">
        <f>VLOOKUP(Table1[[#This Row],[Date]],Database!A:D,3,)</f>
        <v/>
      </c>
      <c r="C813" s="26">
        <f>B813-B812</f>
        <v/>
      </c>
      <c r="D813" s="26">
        <f>AVERAGE(C811:C813)</f>
        <v/>
      </c>
      <c r="E813" s="59">
        <f>VLOOKUP(Table1[[#This Row],[Date]],Database!A:D,4,)</f>
        <v/>
      </c>
      <c r="F813" s="59">
        <f>VLOOKUP(Table1[[#This Row],[Date]],Database!A:D,2,)</f>
        <v/>
      </c>
      <c r="G813" s="56" t="n"/>
    </row>
    <row r="814">
      <c r="A814" s="55" t="n">
        <v>38657</v>
      </c>
      <c r="B814" s="25">
        <f>VLOOKUP(Table1[[#This Row],[Date]],Database!A:D,3,)</f>
        <v/>
      </c>
      <c r="C814" s="26">
        <f>B814-B813</f>
        <v/>
      </c>
      <c r="D814" s="26">
        <f>AVERAGE(C812:C814)</f>
        <v/>
      </c>
      <c r="E814" s="59">
        <f>VLOOKUP(Table1[[#This Row],[Date]],Database!A:D,4,)</f>
        <v/>
      </c>
      <c r="F814" s="59">
        <f>VLOOKUP(Table1[[#This Row],[Date]],Database!A:D,2,)</f>
        <v/>
      </c>
      <c r="G814" s="56" t="n"/>
    </row>
    <row r="815">
      <c r="A815" s="55" t="n">
        <v>38687</v>
      </c>
      <c r="B815" s="25">
        <f>VLOOKUP(Table1[[#This Row],[Date]],Database!A:D,3,)</f>
        <v/>
      </c>
      <c r="C815" s="26">
        <f>B815-B814</f>
        <v/>
      </c>
      <c r="D815" s="26">
        <f>AVERAGE(C813:C815)</f>
        <v/>
      </c>
      <c r="E815" s="59">
        <f>VLOOKUP(Table1[[#This Row],[Date]],Database!A:D,4,)</f>
        <v/>
      </c>
      <c r="F815" s="59">
        <f>VLOOKUP(Table1[[#This Row],[Date]],Database!A:D,2,)</f>
        <v/>
      </c>
      <c r="G815" s="56" t="n"/>
    </row>
    <row r="816">
      <c r="A816" s="55" t="n">
        <v>38718</v>
      </c>
      <c r="B816" s="25">
        <f>VLOOKUP(Table1[[#This Row],[Date]],Database!A:D,3,)</f>
        <v/>
      </c>
      <c r="C816" s="26">
        <f>B816-B815</f>
        <v/>
      </c>
      <c r="D816" s="26">
        <f>AVERAGE(C814:C816)</f>
        <v/>
      </c>
      <c r="E816" s="59">
        <f>VLOOKUP(Table1[[#This Row],[Date]],Database!A:D,4,)</f>
        <v/>
      </c>
      <c r="F816" s="59">
        <f>VLOOKUP(Table1[[#This Row],[Date]],Database!A:D,2,)</f>
        <v/>
      </c>
      <c r="G816" s="56" t="n"/>
    </row>
    <row r="817">
      <c r="A817" s="55" t="n">
        <v>38749</v>
      </c>
      <c r="B817" s="25">
        <f>VLOOKUP(Table1[[#This Row],[Date]],Database!A:D,3,)</f>
        <v/>
      </c>
      <c r="C817" s="26">
        <f>B817-B816</f>
        <v/>
      </c>
      <c r="D817" s="26">
        <f>AVERAGE(C815:C817)</f>
        <v/>
      </c>
      <c r="E817" s="59">
        <f>VLOOKUP(Table1[[#This Row],[Date]],Database!A:D,4,)</f>
        <v/>
      </c>
      <c r="F817" s="59">
        <f>VLOOKUP(Table1[[#This Row],[Date]],Database!A:D,2,)</f>
        <v/>
      </c>
      <c r="G817" s="56" t="n"/>
    </row>
    <row r="818">
      <c r="A818" s="55" t="n">
        <v>38777</v>
      </c>
      <c r="B818" s="25">
        <f>VLOOKUP(Table1[[#This Row],[Date]],Database!A:D,3,)</f>
        <v/>
      </c>
      <c r="C818" s="26">
        <f>B818-B817</f>
        <v/>
      </c>
      <c r="D818" s="26">
        <f>AVERAGE(C816:C818)</f>
        <v/>
      </c>
      <c r="E818" s="59">
        <f>VLOOKUP(Table1[[#This Row],[Date]],Database!A:D,4,)</f>
        <v/>
      </c>
      <c r="F818" s="59">
        <f>VLOOKUP(Table1[[#This Row],[Date]],Database!A:D,2,)</f>
        <v/>
      </c>
      <c r="G818" s="56" t="n"/>
    </row>
    <row r="819">
      <c r="A819" s="55" t="n">
        <v>38808</v>
      </c>
      <c r="B819" s="25">
        <f>VLOOKUP(Table1[[#This Row],[Date]],Database!A:D,3,)</f>
        <v/>
      </c>
      <c r="C819" s="26">
        <f>B819-B818</f>
        <v/>
      </c>
      <c r="D819" s="26">
        <f>AVERAGE(C817:C819)</f>
        <v/>
      </c>
      <c r="E819" s="59">
        <f>VLOOKUP(Table1[[#This Row],[Date]],Database!A:D,4,)</f>
        <v/>
      </c>
      <c r="F819" s="59">
        <f>VLOOKUP(Table1[[#This Row],[Date]],Database!A:D,2,)</f>
        <v/>
      </c>
      <c r="G819" s="56" t="n"/>
    </row>
    <row r="820">
      <c r="A820" s="55" t="n">
        <v>38838</v>
      </c>
      <c r="B820" s="25">
        <f>VLOOKUP(Table1[[#This Row],[Date]],Database!A:D,3,)</f>
        <v/>
      </c>
      <c r="C820" s="26">
        <f>B820-B819</f>
        <v/>
      </c>
      <c r="D820" s="26">
        <f>AVERAGE(C818:C820)</f>
        <v/>
      </c>
      <c r="E820" s="59">
        <f>VLOOKUP(Table1[[#This Row],[Date]],Database!A:D,4,)</f>
        <v/>
      </c>
      <c r="F820" s="59">
        <f>VLOOKUP(Table1[[#This Row],[Date]],Database!A:D,2,)</f>
        <v/>
      </c>
      <c r="G820" s="56" t="n"/>
    </row>
    <row r="821">
      <c r="A821" s="55" t="n">
        <v>38869</v>
      </c>
      <c r="B821" s="25">
        <f>VLOOKUP(Table1[[#This Row],[Date]],Database!A:D,3,)</f>
        <v/>
      </c>
      <c r="C821" s="26">
        <f>B821-B820</f>
        <v/>
      </c>
      <c r="D821" s="26">
        <f>AVERAGE(C819:C821)</f>
        <v/>
      </c>
      <c r="E821" s="59">
        <f>VLOOKUP(Table1[[#This Row],[Date]],Database!A:D,4,)</f>
        <v/>
      </c>
      <c r="F821" s="59">
        <f>VLOOKUP(Table1[[#This Row],[Date]],Database!A:D,2,)</f>
        <v/>
      </c>
      <c r="G821" s="56" t="n"/>
    </row>
    <row r="822">
      <c r="A822" s="55" t="n">
        <v>38899</v>
      </c>
      <c r="B822" s="25">
        <f>VLOOKUP(Table1[[#This Row],[Date]],Database!A:D,3,)</f>
        <v/>
      </c>
      <c r="C822" s="26">
        <f>B822-B821</f>
        <v/>
      </c>
      <c r="D822" s="26">
        <f>AVERAGE(C820:C822)</f>
        <v/>
      </c>
      <c r="E822" s="59">
        <f>VLOOKUP(Table1[[#This Row],[Date]],Database!A:D,4,)</f>
        <v/>
      </c>
      <c r="F822" s="59">
        <f>VLOOKUP(Table1[[#This Row],[Date]],Database!A:D,2,)</f>
        <v/>
      </c>
      <c r="G822" s="56" t="n"/>
    </row>
    <row r="823">
      <c r="A823" s="55" t="n">
        <v>38930</v>
      </c>
      <c r="B823" s="25">
        <f>VLOOKUP(Table1[[#This Row],[Date]],Database!A:D,3,)</f>
        <v/>
      </c>
      <c r="C823" s="26">
        <f>B823-B822</f>
        <v/>
      </c>
      <c r="D823" s="26">
        <f>AVERAGE(C821:C823)</f>
        <v/>
      </c>
      <c r="E823" s="59">
        <f>VLOOKUP(Table1[[#This Row],[Date]],Database!A:D,4,)</f>
        <v/>
      </c>
      <c r="F823" s="59">
        <f>VLOOKUP(Table1[[#This Row],[Date]],Database!A:D,2,)</f>
        <v/>
      </c>
      <c r="G823" s="56" t="n"/>
    </row>
    <row r="824">
      <c r="A824" s="55" t="n">
        <v>38961</v>
      </c>
      <c r="B824" s="25">
        <f>VLOOKUP(Table1[[#This Row],[Date]],Database!A:D,3,)</f>
        <v/>
      </c>
      <c r="C824" s="26">
        <f>B824-B823</f>
        <v/>
      </c>
      <c r="D824" s="26">
        <f>AVERAGE(C822:C824)</f>
        <v/>
      </c>
      <c r="E824" s="59">
        <f>VLOOKUP(Table1[[#This Row],[Date]],Database!A:D,4,)</f>
        <v/>
      </c>
      <c r="F824" s="59">
        <f>VLOOKUP(Table1[[#This Row],[Date]],Database!A:D,2,)</f>
        <v/>
      </c>
      <c r="G824" s="56" t="n"/>
    </row>
    <row r="825">
      <c r="A825" s="55" t="n">
        <v>38991</v>
      </c>
      <c r="B825" s="25">
        <f>VLOOKUP(Table1[[#This Row],[Date]],Database!A:D,3,)</f>
        <v/>
      </c>
      <c r="C825" s="26">
        <f>B825-B824</f>
        <v/>
      </c>
      <c r="D825" s="26">
        <f>AVERAGE(C823:C825)</f>
        <v/>
      </c>
      <c r="E825" s="59">
        <f>VLOOKUP(Table1[[#This Row],[Date]],Database!A:D,4,)</f>
        <v/>
      </c>
      <c r="F825" s="59">
        <f>VLOOKUP(Table1[[#This Row],[Date]],Database!A:D,2,)</f>
        <v/>
      </c>
      <c r="G825" s="56" t="n"/>
    </row>
    <row r="826">
      <c r="A826" s="55" t="n">
        <v>39022</v>
      </c>
      <c r="B826" s="25">
        <f>VLOOKUP(Table1[[#This Row],[Date]],Database!A:D,3,)</f>
        <v/>
      </c>
      <c r="C826" s="26">
        <f>B826-B825</f>
        <v/>
      </c>
      <c r="D826" s="26">
        <f>AVERAGE(C824:C826)</f>
        <v/>
      </c>
      <c r="E826" s="59">
        <f>VLOOKUP(Table1[[#This Row],[Date]],Database!A:D,4,)</f>
        <v/>
      </c>
      <c r="F826" s="59">
        <f>VLOOKUP(Table1[[#This Row],[Date]],Database!A:D,2,)</f>
        <v/>
      </c>
      <c r="G826" s="56" t="n"/>
    </row>
    <row r="827">
      <c r="A827" s="55" t="n">
        <v>39052</v>
      </c>
      <c r="B827" s="25">
        <f>VLOOKUP(Table1[[#This Row],[Date]],Database!A:D,3,)</f>
        <v/>
      </c>
      <c r="C827" s="26">
        <f>B827-B826</f>
        <v/>
      </c>
      <c r="D827" s="26">
        <f>AVERAGE(C825:C827)</f>
        <v/>
      </c>
      <c r="E827" s="59">
        <f>VLOOKUP(Table1[[#This Row],[Date]],Database!A:D,4,)</f>
        <v/>
      </c>
      <c r="F827" s="59">
        <f>VLOOKUP(Table1[[#This Row],[Date]],Database!A:D,2,)</f>
        <v/>
      </c>
      <c r="G827" s="56" t="n"/>
    </row>
    <row r="828">
      <c r="A828" s="55" t="n">
        <v>39083</v>
      </c>
      <c r="B828" s="25">
        <f>VLOOKUP(Table1[[#This Row],[Date]],Database!A:D,3,)</f>
        <v/>
      </c>
      <c r="C828" s="26">
        <f>B828-B827</f>
        <v/>
      </c>
      <c r="D828" s="26">
        <f>AVERAGE(C826:C828)</f>
        <v/>
      </c>
      <c r="E828" s="59">
        <f>VLOOKUP(Table1[[#This Row],[Date]],Database!A:D,4,)</f>
        <v/>
      </c>
      <c r="F828" s="59">
        <f>VLOOKUP(Table1[[#This Row],[Date]],Database!A:D,2,)</f>
        <v/>
      </c>
      <c r="G828" s="56" t="n"/>
    </row>
    <row r="829">
      <c r="A829" s="55" t="n">
        <v>39114</v>
      </c>
      <c r="B829" s="25">
        <f>VLOOKUP(Table1[[#This Row],[Date]],Database!A:D,3,)</f>
        <v/>
      </c>
      <c r="C829" s="26">
        <f>B829-B828</f>
        <v/>
      </c>
      <c r="D829" s="26">
        <f>AVERAGE(C827:C829)</f>
        <v/>
      </c>
      <c r="E829" s="59">
        <f>VLOOKUP(Table1[[#This Row],[Date]],Database!A:D,4,)</f>
        <v/>
      </c>
      <c r="F829" s="59">
        <f>VLOOKUP(Table1[[#This Row],[Date]],Database!A:D,2,)</f>
        <v/>
      </c>
      <c r="G829" s="56" t="n"/>
    </row>
    <row r="830">
      <c r="A830" s="55" t="n">
        <v>39142</v>
      </c>
      <c r="B830" s="25">
        <f>VLOOKUP(Table1[[#This Row],[Date]],Database!A:D,3,)</f>
        <v/>
      </c>
      <c r="C830" s="26">
        <f>B830-B829</f>
        <v/>
      </c>
      <c r="D830" s="26">
        <f>AVERAGE(C828:C830)</f>
        <v/>
      </c>
      <c r="E830" s="59">
        <f>VLOOKUP(Table1[[#This Row],[Date]],Database!A:D,4,)</f>
        <v/>
      </c>
      <c r="F830" s="59">
        <f>VLOOKUP(Table1[[#This Row],[Date]],Database!A:D,2,)</f>
        <v/>
      </c>
      <c r="G830" s="56" t="n"/>
    </row>
    <row r="831">
      <c r="A831" s="55" t="n">
        <v>39173</v>
      </c>
      <c r="B831" s="25">
        <f>VLOOKUP(Table1[[#This Row],[Date]],Database!A:D,3,)</f>
        <v/>
      </c>
      <c r="C831" s="26">
        <f>B831-B830</f>
        <v/>
      </c>
      <c r="D831" s="26">
        <f>AVERAGE(C829:C831)</f>
        <v/>
      </c>
      <c r="E831" s="59">
        <f>VLOOKUP(Table1[[#This Row],[Date]],Database!A:D,4,)</f>
        <v/>
      </c>
      <c r="F831" s="59">
        <f>VLOOKUP(Table1[[#This Row],[Date]],Database!A:D,2,)</f>
        <v/>
      </c>
      <c r="G831" s="56" t="n"/>
    </row>
    <row r="832">
      <c r="A832" s="55" t="n">
        <v>39203</v>
      </c>
      <c r="B832" s="25">
        <f>VLOOKUP(Table1[[#This Row],[Date]],Database!A:D,3,)</f>
        <v/>
      </c>
      <c r="C832" s="26">
        <f>B832-B831</f>
        <v/>
      </c>
      <c r="D832" s="26">
        <f>AVERAGE(C830:C832)</f>
        <v/>
      </c>
      <c r="E832" s="59">
        <f>VLOOKUP(Table1[[#This Row],[Date]],Database!A:D,4,)</f>
        <v/>
      </c>
      <c r="F832" s="59">
        <f>VLOOKUP(Table1[[#This Row],[Date]],Database!A:D,2,)</f>
        <v/>
      </c>
      <c r="G832" s="56" t="n"/>
    </row>
    <row r="833">
      <c r="A833" s="55" t="n">
        <v>39234</v>
      </c>
      <c r="B833" s="25">
        <f>VLOOKUP(Table1[[#This Row],[Date]],Database!A:D,3,)</f>
        <v/>
      </c>
      <c r="C833" s="26">
        <f>B833-B832</f>
        <v/>
      </c>
      <c r="D833" s="26">
        <f>AVERAGE(C831:C833)</f>
        <v/>
      </c>
      <c r="E833" s="59">
        <f>VLOOKUP(Table1[[#This Row],[Date]],Database!A:D,4,)</f>
        <v/>
      </c>
      <c r="F833" s="59">
        <f>VLOOKUP(Table1[[#This Row],[Date]],Database!A:D,2,)</f>
        <v/>
      </c>
      <c r="G833" s="56" t="n"/>
    </row>
    <row r="834">
      <c r="A834" s="55" t="n">
        <v>39264</v>
      </c>
      <c r="B834" s="25">
        <f>VLOOKUP(Table1[[#This Row],[Date]],Database!A:D,3,)</f>
        <v/>
      </c>
      <c r="C834" s="26">
        <f>B834-B833</f>
        <v/>
      </c>
      <c r="D834" s="26">
        <f>AVERAGE(C832:C834)</f>
        <v/>
      </c>
      <c r="E834" s="59">
        <f>VLOOKUP(Table1[[#This Row],[Date]],Database!A:D,4,)</f>
        <v/>
      </c>
      <c r="F834" s="59">
        <f>VLOOKUP(Table1[[#This Row],[Date]],Database!A:D,2,)</f>
        <v/>
      </c>
      <c r="G834" s="56" t="n"/>
    </row>
    <row r="835">
      <c r="A835" s="55" t="n">
        <v>39295</v>
      </c>
      <c r="B835" s="25">
        <f>VLOOKUP(Table1[[#This Row],[Date]],Database!A:D,3,)</f>
        <v/>
      </c>
      <c r="C835" s="26">
        <f>B835-B834</f>
        <v/>
      </c>
      <c r="D835" s="26">
        <f>AVERAGE(C833:C835)</f>
        <v/>
      </c>
      <c r="E835" s="59">
        <f>VLOOKUP(Table1[[#This Row],[Date]],Database!A:D,4,)</f>
        <v/>
      </c>
      <c r="F835" s="59">
        <f>VLOOKUP(Table1[[#This Row],[Date]],Database!A:D,2,)</f>
        <v/>
      </c>
      <c r="G835" s="56" t="n"/>
    </row>
    <row r="836">
      <c r="A836" s="55" t="n">
        <v>39326</v>
      </c>
      <c r="B836" s="25">
        <f>VLOOKUP(Table1[[#This Row],[Date]],Database!A:D,3,)</f>
        <v/>
      </c>
      <c r="C836" s="26">
        <f>B836-B835</f>
        <v/>
      </c>
      <c r="D836" s="26">
        <f>AVERAGE(C834:C836)</f>
        <v/>
      </c>
      <c r="E836" s="59">
        <f>VLOOKUP(Table1[[#This Row],[Date]],Database!A:D,4,)</f>
        <v/>
      </c>
      <c r="F836" s="59">
        <f>VLOOKUP(Table1[[#This Row],[Date]],Database!A:D,2,)</f>
        <v/>
      </c>
      <c r="G836" s="56" t="n"/>
    </row>
    <row r="837">
      <c r="A837" s="55" t="n">
        <v>39356</v>
      </c>
      <c r="B837" s="25">
        <f>VLOOKUP(Table1[[#This Row],[Date]],Database!A:D,3,)</f>
        <v/>
      </c>
      <c r="C837" s="26">
        <f>B837-B836</f>
        <v/>
      </c>
      <c r="D837" s="26">
        <f>AVERAGE(C835:C837)</f>
        <v/>
      </c>
      <c r="E837" s="59">
        <f>VLOOKUP(Table1[[#This Row],[Date]],Database!A:D,4,)</f>
        <v/>
      </c>
      <c r="F837" s="59">
        <f>VLOOKUP(Table1[[#This Row],[Date]],Database!A:D,2,)</f>
        <v/>
      </c>
      <c r="G837" s="56" t="n"/>
    </row>
    <row r="838">
      <c r="A838" s="55" t="n">
        <v>39387</v>
      </c>
      <c r="B838" s="25">
        <f>VLOOKUP(Table1[[#This Row],[Date]],Database!A:D,3,)</f>
        <v/>
      </c>
      <c r="C838" s="26">
        <f>B838-B837</f>
        <v/>
      </c>
      <c r="D838" s="26">
        <f>AVERAGE(C836:C838)</f>
        <v/>
      </c>
      <c r="E838" s="59">
        <f>VLOOKUP(Table1[[#This Row],[Date]],Database!A:D,4,)</f>
        <v/>
      </c>
      <c r="F838" s="59">
        <f>VLOOKUP(Table1[[#This Row],[Date]],Database!A:D,2,)</f>
        <v/>
      </c>
      <c r="G838" s="56" t="n"/>
    </row>
    <row r="839">
      <c r="A839" s="55" t="n">
        <v>39417</v>
      </c>
      <c r="B839" s="25">
        <f>VLOOKUP(Table1[[#This Row],[Date]],Database!A:D,3,)</f>
        <v/>
      </c>
      <c r="C839" s="26">
        <f>B839-B838</f>
        <v/>
      </c>
      <c r="D839" s="26">
        <f>AVERAGE(C837:C839)</f>
        <v/>
      </c>
      <c r="E839" s="59">
        <f>VLOOKUP(Table1[[#This Row],[Date]],Database!A:D,4,)</f>
        <v/>
      </c>
      <c r="F839" s="59">
        <f>VLOOKUP(Table1[[#This Row],[Date]],Database!A:D,2,)</f>
        <v/>
      </c>
      <c r="G839" s="56" t="n"/>
    </row>
    <row r="840">
      <c r="A840" s="55" t="n">
        <v>39448</v>
      </c>
      <c r="B840" s="25">
        <f>VLOOKUP(Table1[[#This Row],[Date]],Database!A:D,3,)</f>
        <v/>
      </c>
      <c r="C840" s="26">
        <f>B840-B839</f>
        <v/>
      </c>
      <c r="D840" s="26">
        <f>AVERAGE(C838:C840)</f>
        <v/>
      </c>
      <c r="E840" s="59">
        <f>VLOOKUP(Table1[[#This Row],[Date]],Database!A:D,4,)</f>
        <v/>
      </c>
      <c r="F840" s="59">
        <f>VLOOKUP(Table1[[#This Row],[Date]],Database!A:D,2,)</f>
        <v/>
      </c>
      <c r="G840" s="56" t="n"/>
    </row>
    <row r="841">
      <c r="A841" s="55" t="n">
        <v>39479</v>
      </c>
      <c r="B841" s="25">
        <f>VLOOKUP(Table1[[#This Row],[Date]],Database!A:D,3,)</f>
        <v/>
      </c>
      <c r="C841" s="26">
        <f>B841-B840</f>
        <v/>
      </c>
      <c r="D841" s="26">
        <f>AVERAGE(C839:C841)</f>
        <v/>
      </c>
      <c r="E841" s="59">
        <f>VLOOKUP(Table1[[#This Row],[Date]],Database!A:D,4,)</f>
        <v/>
      </c>
      <c r="F841" s="59">
        <f>VLOOKUP(Table1[[#This Row],[Date]],Database!A:D,2,)</f>
        <v/>
      </c>
      <c r="G841" s="56" t="n"/>
    </row>
    <row r="842">
      <c r="A842" s="55" t="n">
        <v>39508</v>
      </c>
      <c r="B842" s="25">
        <f>VLOOKUP(Table1[[#This Row],[Date]],Database!A:D,3,)</f>
        <v/>
      </c>
      <c r="C842" s="26">
        <f>B842-B841</f>
        <v/>
      </c>
      <c r="D842" s="26">
        <f>AVERAGE(C840:C842)</f>
        <v/>
      </c>
      <c r="E842" s="59">
        <f>VLOOKUP(Table1[[#This Row],[Date]],Database!A:D,4,)</f>
        <v/>
      </c>
      <c r="F842" s="59">
        <f>VLOOKUP(Table1[[#This Row],[Date]],Database!A:D,2,)</f>
        <v/>
      </c>
      <c r="G842" s="56" t="n"/>
    </row>
    <row r="843">
      <c r="A843" s="55" t="n">
        <v>39539</v>
      </c>
      <c r="B843" s="25">
        <f>VLOOKUP(Table1[[#This Row],[Date]],Database!A:D,3,)</f>
        <v/>
      </c>
      <c r="C843" s="26">
        <f>B843-B842</f>
        <v/>
      </c>
      <c r="D843" s="26">
        <f>AVERAGE(C841:C843)</f>
        <v/>
      </c>
      <c r="E843" s="59">
        <f>VLOOKUP(Table1[[#This Row],[Date]],Database!A:D,4,)</f>
        <v/>
      </c>
      <c r="F843" s="59">
        <f>VLOOKUP(Table1[[#This Row],[Date]],Database!A:D,2,)</f>
        <v/>
      </c>
      <c r="G843" s="56" t="n"/>
    </row>
    <row r="844">
      <c r="A844" s="55" t="n">
        <v>39569</v>
      </c>
      <c r="B844" s="25">
        <f>VLOOKUP(Table1[[#This Row],[Date]],Database!A:D,3,)</f>
        <v/>
      </c>
      <c r="C844" s="26">
        <f>B844-B843</f>
        <v/>
      </c>
      <c r="D844" s="26">
        <f>AVERAGE(C842:C844)</f>
        <v/>
      </c>
      <c r="E844" s="59">
        <f>VLOOKUP(Table1[[#This Row],[Date]],Database!A:D,4,)</f>
        <v/>
      </c>
      <c r="F844" s="59">
        <f>VLOOKUP(Table1[[#This Row],[Date]],Database!A:D,2,)</f>
        <v/>
      </c>
      <c r="G844" s="56" t="n"/>
    </row>
    <row r="845">
      <c r="A845" s="55" t="n">
        <v>39600</v>
      </c>
      <c r="B845" s="25">
        <f>VLOOKUP(Table1[[#This Row],[Date]],Database!A:D,3,)</f>
        <v/>
      </c>
      <c r="C845" s="26">
        <f>B845-B844</f>
        <v/>
      </c>
      <c r="D845" s="26">
        <f>AVERAGE(C843:C845)</f>
        <v/>
      </c>
      <c r="E845" s="59">
        <f>VLOOKUP(Table1[[#This Row],[Date]],Database!A:D,4,)</f>
        <v/>
      </c>
      <c r="F845" s="59">
        <f>VLOOKUP(Table1[[#This Row],[Date]],Database!A:D,2,)</f>
        <v/>
      </c>
      <c r="G845" s="56" t="n"/>
    </row>
    <row r="846">
      <c r="A846" s="55" t="n">
        <v>39630</v>
      </c>
      <c r="B846" s="25">
        <f>VLOOKUP(Table1[[#This Row],[Date]],Database!A:D,3,)</f>
        <v/>
      </c>
      <c r="C846" s="26">
        <f>B846-B845</f>
        <v/>
      </c>
      <c r="D846" s="26">
        <f>AVERAGE(C844:C846)</f>
        <v/>
      </c>
      <c r="E846" s="59">
        <f>VLOOKUP(Table1[[#This Row],[Date]],Database!A:D,4,)</f>
        <v/>
      </c>
      <c r="F846" s="59">
        <f>VLOOKUP(Table1[[#This Row],[Date]],Database!A:D,2,)</f>
        <v/>
      </c>
      <c r="G846" s="56" t="n"/>
    </row>
    <row r="847">
      <c r="A847" s="55" t="n">
        <v>39661</v>
      </c>
      <c r="B847" s="25">
        <f>VLOOKUP(Table1[[#This Row],[Date]],Database!A:D,3,)</f>
        <v/>
      </c>
      <c r="C847" s="26">
        <f>B847-B846</f>
        <v/>
      </c>
      <c r="D847" s="26">
        <f>AVERAGE(C845:C847)</f>
        <v/>
      </c>
      <c r="E847" s="59">
        <f>VLOOKUP(Table1[[#This Row],[Date]],Database!A:D,4,)</f>
        <v/>
      </c>
      <c r="F847" s="59">
        <f>VLOOKUP(Table1[[#This Row],[Date]],Database!A:D,2,)</f>
        <v/>
      </c>
      <c r="G847" s="56" t="n"/>
    </row>
    <row r="848">
      <c r="A848" s="55" t="n">
        <v>39692</v>
      </c>
      <c r="B848" s="25">
        <f>VLOOKUP(Table1[[#This Row],[Date]],Database!A:D,3,)</f>
        <v/>
      </c>
      <c r="C848" s="26">
        <f>B848-B847</f>
        <v/>
      </c>
      <c r="D848" s="26">
        <f>AVERAGE(C846:C848)</f>
        <v/>
      </c>
      <c r="E848" s="59">
        <f>VLOOKUP(Table1[[#This Row],[Date]],Database!A:D,4,)</f>
        <v/>
      </c>
      <c r="F848" s="59">
        <f>VLOOKUP(Table1[[#This Row],[Date]],Database!A:D,2,)</f>
        <v/>
      </c>
      <c r="G848" s="56" t="n"/>
    </row>
    <row r="849">
      <c r="A849" s="55" t="n">
        <v>39722</v>
      </c>
      <c r="B849" s="25">
        <f>VLOOKUP(Table1[[#This Row],[Date]],Database!A:D,3,)</f>
        <v/>
      </c>
      <c r="C849" s="26">
        <f>B849-B848</f>
        <v/>
      </c>
      <c r="D849" s="26">
        <f>AVERAGE(C847:C849)</f>
        <v/>
      </c>
      <c r="E849" s="59">
        <f>VLOOKUP(Table1[[#This Row],[Date]],Database!A:D,4,)</f>
        <v/>
      </c>
      <c r="F849" s="59">
        <f>VLOOKUP(Table1[[#This Row],[Date]],Database!A:D,2,)</f>
        <v/>
      </c>
      <c r="G849" s="56" t="n"/>
    </row>
    <row r="850">
      <c r="A850" s="55" t="n">
        <v>39753</v>
      </c>
      <c r="B850" s="25">
        <f>VLOOKUP(Table1[[#This Row],[Date]],Database!A:D,3,)</f>
        <v/>
      </c>
      <c r="C850" s="26">
        <f>B850-B849</f>
        <v/>
      </c>
      <c r="D850" s="26">
        <f>AVERAGE(C848:C850)</f>
        <v/>
      </c>
      <c r="E850" s="59">
        <f>VLOOKUP(Table1[[#This Row],[Date]],Database!A:D,4,)</f>
        <v/>
      </c>
      <c r="F850" s="59">
        <f>VLOOKUP(Table1[[#This Row],[Date]],Database!A:D,2,)</f>
        <v/>
      </c>
      <c r="G850" s="56" t="n"/>
    </row>
    <row r="851">
      <c r="A851" s="55" t="n">
        <v>39783</v>
      </c>
      <c r="B851" s="25">
        <f>VLOOKUP(Table1[[#This Row],[Date]],Database!A:D,3,)</f>
        <v/>
      </c>
      <c r="C851" s="26">
        <f>B851-B850</f>
        <v/>
      </c>
      <c r="D851" s="26">
        <f>AVERAGE(C849:C851)</f>
        <v/>
      </c>
      <c r="E851" s="59">
        <f>VLOOKUP(Table1[[#This Row],[Date]],Database!A:D,4,)</f>
        <v/>
      </c>
      <c r="F851" s="59">
        <f>VLOOKUP(Table1[[#This Row],[Date]],Database!A:D,2,)</f>
        <v/>
      </c>
      <c r="G851" s="56" t="n"/>
    </row>
    <row r="852">
      <c r="A852" s="55" t="n">
        <v>39814</v>
      </c>
      <c r="B852" s="25">
        <f>VLOOKUP(Table1[[#This Row],[Date]],Database!A:D,3,)</f>
        <v/>
      </c>
      <c r="C852" s="26">
        <f>B852-B851</f>
        <v/>
      </c>
      <c r="D852" s="26">
        <f>AVERAGE(C850:C852)</f>
        <v/>
      </c>
      <c r="E852" s="59">
        <f>VLOOKUP(Table1[[#This Row],[Date]],Database!A:D,4,)</f>
        <v/>
      </c>
      <c r="F852" s="59">
        <f>VLOOKUP(Table1[[#This Row],[Date]],Database!A:D,2,)</f>
        <v/>
      </c>
      <c r="G852" s="56" t="n"/>
    </row>
    <row r="853">
      <c r="A853" s="55" t="n">
        <v>39845</v>
      </c>
      <c r="B853" s="25">
        <f>VLOOKUP(Table1[[#This Row],[Date]],Database!A:D,3,)</f>
        <v/>
      </c>
      <c r="C853" s="26">
        <f>B853-B852</f>
        <v/>
      </c>
      <c r="D853" s="26">
        <f>AVERAGE(C851:C853)</f>
        <v/>
      </c>
      <c r="E853" s="59">
        <f>VLOOKUP(Table1[[#This Row],[Date]],Database!A:D,4,)</f>
        <v/>
      </c>
      <c r="F853" s="59">
        <f>VLOOKUP(Table1[[#This Row],[Date]],Database!A:D,2,)</f>
        <v/>
      </c>
      <c r="G853" s="56" t="n"/>
    </row>
    <row r="854">
      <c r="A854" s="55" t="n">
        <v>39873</v>
      </c>
      <c r="B854" s="25">
        <f>VLOOKUP(Table1[[#This Row],[Date]],Database!A:D,3,)</f>
        <v/>
      </c>
      <c r="C854" s="26">
        <f>B854-B853</f>
        <v/>
      </c>
      <c r="D854" s="26">
        <f>AVERAGE(C852:C854)</f>
        <v/>
      </c>
      <c r="E854" s="59">
        <f>VLOOKUP(Table1[[#This Row],[Date]],Database!A:D,4,)</f>
        <v/>
      </c>
      <c r="F854" s="59">
        <f>VLOOKUP(Table1[[#This Row],[Date]],Database!A:D,2,)</f>
        <v/>
      </c>
      <c r="G854" s="56" t="n"/>
    </row>
    <row r="855">
      <c r="A855" s="55" t="n">
        <v>39904</v>
      </c>
      <c r="B855" s="25">
        <f>VLOOKUP(Table1[[#This Row],[Date]],Database!A:D,3,)</f>
        <v/>
      </c>
      <c r="C855" s="26">
        <f>B855-B854</f>
        <v/>
      </c>
      <c r="D855" s="26">
        <f>AVERAGE(C853:C855)</f>
        <v/>
      </c>
      <c r="E855" s="59">
        <f>VLOOKUP(Table1[[#This Row],[Date]],Database!A:D,4,)</f>
        <v/>
      </c>
      <c r="F855" s="59">
        <f>VLOOKUP(Table1[[#This Row],[Date]],Database!A:D,2,)</f>
        <v/>
      </c>
      <c r="G855" s="56" t="n"/>
    </row>
    <row r="856">
      <c r="A856" s="55" t="n">
        <v>39934</v>
      </c>
      <c r="B856" s="25">
        <f>VLOOKUP(Table1[[#This Row],[Date]],Database!A:D,3,)</f>
        <v/>
      </c>
      <c r="C856" s="26">
        <f>B856-B855</f>
        <v/>
      </c>
      <c r="D856" s="26">
        <f>AVERAGE(C854:C856)</f>
        <v/>
      </c>
      <c r="E856" s="59">
        <f>VLOOKUP(Table1[[#This Row],[Date]],Database!A:D,4,)</f>
        <v/>
      </c>
      <c r="F856" s="59">
        <f>VLOOKUP(Table1[[#This Row],[Date]],Database!A:D,2,)</f>
        <v/>
      </c>
      <c r="G856" s="56" t="n"/>
    </row>
    <row r="857">
      <c r="A857" s="55" t="n">
        <v>39965</v>
      </c>
      <c r="B857" s="25">
        <f>VLOOKUP(Table1[[#This Row],[Date]],Database!A:D,3,)</f>
        <v/>
      </c>
      <c r="C857" s="26">
        <f>B857-B856</f>
        <v/>
      </c>
      <c r="D857" s="26">
        <f>AVERAGE(C855:C857)</f>
        <v/>
      </c>
      <c r="E857" s="59">
        <f>VLOOKUP(Table1[[#This Row],[Date]],Database!A:D,4,)</f>
        <v/>
      </c>
      <c r="F857" s="59">
        <f>VLOOKUP(Table1[[#This Row],[Date]],Database!A:D,2,)</f>
        <v/>
      </c>
      <c r="G857" s="56" t="n"/>
    </row>
    <row r="858">
      <c r="A858" s="55" t="n">
        <v>39995</v>
      </c>
      <c r="B858" s="25">
        <f>VLOOKUP(Table1[[#This Row],[Date]],Database!A:D,3,)</f>
        <v/>
      </c>
      <c r="C858" s="26">
        <f>B858-B857</f>
        <v/>
      </c>
      <c r="D858" s="26">
        <f>AVERAGE(C856:C858)</f>
        <v/>
      </c>
      <c r="E858" s="59">
        <f>VLOOKUP(Table1[[#This Row],[Date]],Database!A:D,4,)</f>
        <v/>
      </c>
      <c r="F858" s="59">
        <f>VLOOKUP(Table1[[#This Row],[Date]],Database!A:D,2,)</f>
        <v/>
      </c>
      <c r="G858" s="56" t="n"/>
    </row>
    <row r="859">
      <c r="A859" s="55" t="n">
        <v>40026</v>
      </c>
      <c r="B859" s="25">
        <f>VLOOKUP(Table1[[#This Row],[Date]],Database!A:D,3,)</f>
        <v/>
      </c>
      <c r="C859" s="26">
        <f>B859-B858</f>
        <v/>
      </c>
      <c r="D859" s="26">
        <f>AVERAGE(C857:C859)</f>
        <v/>
      </c>
      <c r="E859" s="59">
        <f>VLOOKUP(Table1[[#This Row],[Date]],Database!A:D,4,)</f>
        <v/>
      </c>
      <c r="F859" s="59">
        <f>VLOOKUP(Table1[[#This Row],[Date]],Database!A:D,2,)</f>
        <v/>
      </c>
      <c r="G859" s="56" t="n"/>
    </row>
    <row r="860">
      <c r="A860" s="55" t="n">
        <v>40057</v>
      </c>
      <c r="B860" s="25">
        <f>VLOOKUP(Table1[[#This Row],[Date]],Database!A:D,3,)</f>
        <v/>
      </c>
      <c r="C860" s="26">
        <f>B860-B859</f>
        <v/>
      </c>
      <c r="D860" s="26">
        <f>AVERAGE(C858:C860)</f>
        <v/>
      </c>
      <c r="E860" s="59">
        <f>VLOOKUP(Table1[[#This Row],[Date]],Database!A:D,4,)</f>
        <v/>
      </c>
      <c r="F860" s="59">
        <f>VLOOKUP(Table1[[#This Row],[Date]],Database!A:D,2,)</f>
        <v/>
      </c>
      <c r="G860" s="56" t="n"/>
    </row>
    <row r="861">
      <c r="A861" s="55" t="n">
        <v>40087</v>
      </c>
      <c r="B861" s="25">
        <f>VLOOKUP(Table1[[#This Row],[Date]],Database!A:D,3,)</f>
        <v/>
      </c>
      <c r="C861" s="26">
        <f>B861-B860</f>
        <v/>
      </c>
      <c r="D861" s="26">
        <f>AVERAGE(C859:C861)</f>
        <v/>
      </c>
      <c r="E861" s="59">
        <f>VLOOKUP(Table1[[#This Row],[Date]],Database!A:D,4,)</f>
        <v/>
      </c>
      <c r="F861" s="59">
        <f>VLOOKUP(Table1[[#This Row],[Date]],Database!A:D,2,)</f>
        <v/>
      </c>
      <c r="G861" s="56" t="n"/>
    </row>
    <row r="862">
      <c r="A862" s="55" t="n">
        <v>40118</v>
      </c>
      <c r="B862" s="25">
        <f>VLOOKUP(Table1[[#This Row],[Date]],Database!A:D,3,)</f>
        <v/>
      </c>
      <c r="C862" s="26">
        <f>B862-B861</f>
        <v/>
      </c>
      <c r="D862" s="26">
        <f>AVERAGE(C860:C862)</f>
        <v/>
      </c>
      <c r="E862" s="59">
        <f>VLOOKUP(Table1[[#This Row],[Date]],Database!A:D,4,)</f>
        <v/>
      </c>
      <c r="F862" s="59">
        <f>VLOOKUP(Table1[[#This Row],[Date]],Database!A:D,2,)</f>
        <v/>
      </c>
      <c r="G862" s="56" t="n"/>
    </row>
    <row r="863">
      <c r="A863" s="55" t="n">
        <v>40148</v>
      </c>
      <c r="B863" s="25">
        <f>VLOOKUP(Table1[[#This Row],[Date]],Database!A:D,3,)</f>
        <v/>
      </c>
      <c r="C863" s="26">
        <f>B863-B862</f>
        <v/>
      </c>
      <c r="D863" s="26">
        <f>AVERAGE(C861:C863)</f>
        <v/>
      </c>
      <c r="E863" s="59">
        <f>VLOOKUP(Table1[[#This Row],[Date]],Database!A:D,4,)</f>
        <v/>
      </c>
      <c r="F863" s="59">
        <f>VLOOKUP(Table1[[#This Row],[Date]],Database!A:D,2,)</f>
        <v/>
      </c>
      <c r="G863" s="56" t="n"/>
    </row>
    <row r="864">
      <c r="A864" s="55" t="n">
        <v>40179</v>
      </c>
      <c r="B864" s="25">
        <f>VLOOKUP(Table1[[#This Row],[Date]],Database!A:D,3,)</f>
        <v/>
      </c>
      <c r="C864" s="26">
        <f>B864-B863</f>
        <v/>
      </c>
      <c r="D864" s="26">
        <f>AVERAGE(C862:C864)</f>
        <v/>
      </c>
      <c r="E864" s="59">
        <f>VLOOKUP(Table1[[#This Row],[Date]],Database!A:D,4,)</f>
        <v/>
      </c>
      <c r="F864" s="59">
        <f>VLOOKUP(Table1[[#This Row],[Date]],Database!A:D,2,)</f>
        <v/>
      </c>
      <c r="G864" s="56" t="n"/>
    </row>
    <row r="865">
      <c r="A865" s="55" t="n">
        <v>40210</v>
      </c>
      <c r="B865" s="25">
        <f>VLOOKUP(Table1[[#This Row],[Date]],Database!A:D,3,)</f>
        <v/>
      </c>
      <c r="C865" s="26">
        <f>B865-B864</f>
        <v/>
      </c>
      <c r="D865" s="26">
        <f>AVERAGE(C863:C865)</f>
        <v/>
      </c>
      <c r="E865" s="59">
        <f>VLOOKUP(Table1[[#This Row],[Date]],Database!A:D,4,)</f>
        <v/>
      </c>
      <c r="F865" s="59">
        <f>VLOOKUP(Table1[[#This Row],[Date]],Database!A:D,2,)</f>
        <v/>
      </c>
      <c r="G865" s="56" t="n"/>
    </row>
    <row r="866">
      <c r="A866" s="55" t="n">
        <v>40238</v>
      </c>
      <c r="B866" s="25">
        <f>VLOOKUP(Table1[[#This Row],[Date]],Database!A:D,3,)</f>
        <v/>
      </c>
      <c r="C866" s="26">
        <f>B866-B865</f>
        <v/>
      </c>
      <c r="D866" s="26">
        <f>AVERAGE(C864:C866)</f>
        <v/>
      </c>
      <c r="E866" s="59">
        <f>VLOOKUP(Table1[[#This Row],[Date]],Database!A:D,4,)</f>
        <v/>
      </c>
      <c r="F866" s="59">
        <f>VLOOKUP(Table1[[#This Row],[Date]],Database!A:D,2,)</f>
        <v/>
      </c>
      <c r="G866" s="56" t="n"/>
    </row>
    <row r="867">
      <c r="A867" s="55" t="n">
        <v>40269</v>
      </c>
      <c r="B867" s="25">
        <f>VLOOKUP(Table1[[#This Row],[Date]],Database!A:D,3,)</f>
        <v/>
      </c>
      <c r="C867" s="26">
        <f>B867-B866</f>
        <v/>
      </c>
      <c r="D867" s="26">
        <f>AVERAGE(C865:C867)</f>
        <v/>
      </c>
      <c r="E867" s="59">
        <f>VLOOKUP(Table1[[#This Row],[Date]],Database!A:D,4,)</f>
        <v/>
      </c>
      <c r="F867" s="59">
        <f>VLOOKUP(Table1[[#This Row],[Date]],Database!A:D,2,)</f>
        <v/>
      </c>
      <c r="G867" s="56" t="n"/>
    </row>
    <row r="868">
      <c r="A868" s="55" t="n">
        <v>40299</v>
      </c>
      <c r="B868" s="25">
        <f>VLOOKUP(Table1[[#This Row],[Date]],Database!A:D,3,)</f>
        <v/>
      </c>
      <c r="C868" s="26">
        <f>B868-B867</f>
        <v/>
      </c>
      <c r="D868" s="26">
        <f>AVERAGE(C866:C868)</f>
        <v/>
      </c>
      <c r="E868" s="59">
        <f>VLOOKUP(Table1[[#This Row],[Date]],Database!A:D,4,)</f>
        <v/>
      </c>
      <c r="F868" s="59">
        <f>VLOOKUP(Table1[[#This Row],[Date]],Database!A:D,2,)</f>
        <v/>
      </c>
      <c r="G868" s="56" t="n"/>
    </row>
    <row r="869">
      <c r="A869" s="55" t="n">
        <v>40330</v>
      </c>
      <c r="B869" s="25">
        <f>VLOOKUP(Table1[[#This Row],[Date]],Database!A:D,3,)</f>
        <v/>
      </c>
      <c r="C869" s="26">
        <f>B869-B868</f>
        <v/>
      </c>
      <c r="D869" s="26">
        <f>AVERAGE(C867:C869)</f>
        <v/>
      </c>
      <c r="E869" s="59">
        <f>VLOOKUP(Table1[[#This Row],[Date]],Database!A:D,4,)</f>
        <v/>
      </c>
      <c r="F869" s="59">
        <f>VLOOKUP(Table1[[#This Row],[Date]],Database!A:D,2,)</f>
        <v/>
      </c>
      <c r="G869" s="56" t="n"/>
    </row>
    <row r="870">
      <c r="A870" s="55" t="n">
        <v>40360</v>
      </c>
      <c r="B870" s="25">
        <f>VLOOKUP(Table1[[#This Row],[Date]],Database!A:D,3,)</f>
        <v/>
      </c>
      <c r="C870" s="26">
        <f>B870-B869</f>
        <v/>
      </c>
      <c r="D870" s="26">
        <f>AVERAGE(C868:C870)</f>
        <v/>
      </c>
      <c r="E870" s="59">
        <f>VLOOKUP(Table1[[#This Row],[Date]],Database!A:D,4,)</f>
        <v/>
      </c>
      <c r="F870" s="59">
        <f>VLOOKUP(Table1[[#This Row],[Date]],Database!A:D,2,)</f>
        <v/>
      </c>
      <c r="G870" s="56" t="n"/>
    </row>
    <row r="871">
      <c r="A871" s="55" t="n">
        <v>40391</v>
      </c>
      <c r="B871" s="25">
        <f>VLOOKUP(Table1[[#This Row],[Date]],Database!A:D,3,)</f>
        <v/>
      </c>
      <c r="C871" s="26">
        <f>B871-B870</f>
        <v/>
      </c>
      <c r="D871" s="26">
        <f>AVERAGE(C869:C871)</f>
        <v/>
      </c>
      <c r="E871" s="59">
        <f>VLOOKUP(Table1[[#This Row],[Date]],Database!A:D,4,)</f>
        <v/>
      </c>
      <c r="F871" s="59">
        <f>VLOOKUP(Table1[[#This Row],[Date]],Database!A:D,2,)</f>
        <v/>
      </c>
      <c r="G871" s="56" t="n"/>
    </row>
    <row r="872">
      <c r="A872" s="55" t="n">
        <v>40422</v>
      </c>
      <c r="B872" s="25">
        <f>VLOOKUP(Table1[[#This Row],[Date]],Database!A:D,3,)</f>
        <v/>
      </c>
      <c r="C872" s="26">
        <f>B872-B871</f>
        <v/>
      </c>
      <c r="D872" s="26">
        <f>AVERAGE(C870:C872)</f>
        <v/>
      </c>
      <c r="E872" s="59">
        <f>VLOOKUP(Table1[[#This Row],[Date]],Database!A:D,4,)</f>
        <v/>
      </c>
      <c r="F872" s="59">
        <f>VLOOKUP(Table1[[#This Row],[Date]],Database!A:D,2,)</f>
        <v/>
      </c>
      <c r="G872" s="56" t="n"/>
    </row>
    <row r="873">
      <c r="A873" s="55" t="n">
        <v>40452</v>
      </c>
      <c r="B873" s="25">
        <f>VLOOKUP(Table1[[#This Row],[Date]],Database!A:D,3,)</f>
        <v/>
      </c>
      <c r="C873" s="26">
        <f>B873-B872</f>
        <v/>
      </c>
      <c r="D873" s="26">
        <f>AVERAGE(C871:C873)</f>
        <v/>
      </c>
      <c r="E873" s="59">
        <f>VLOOKUP(Table1[[#This Row],[Date]],Database!A:D,4,)</f>
        <v/>
      </c>
      <c r="F873" s="59">
        <f>VLOOKUP(Table1[[#This Row],[Date]],Database!A:D,2,)</f>
        <v/>
      </c>
      <c r="G873" s="56" t="n"/>
    </row>
    <row r="874">
      <c r="A874" s="55" t="n">
        <v>40483</v>
      </c>
      <c r="B874" s="25">
        <f>VLOOKUP(Table1[[#This Row],[Date]],Database!A:D,3,)</f>
        <v/>
      </c>
      <c r="C874" s="26">
        <f>B874-B873</f>
        <v/>
      </c>
      <c r="D874" s="26">
        <f>AVERAGE(C872:C874)</f>
        <v/>
      </c>
      <c r="E874" s="59">
        <f>VLOOKUP(Table1[[#This Row],[Date]],Database!A:D,4,)</f>
        <v/>
      </c>
      <c r="F874" s="59">
        <f>VLOOKUP(Table1[[#This Row],[Date]],Database!A:D,2,)</f>
        <v/>
      </c>
      <c r="G874" s="56" t="n"/>
    </row>
    <row r="875">
      <c r="A875" s="55" t="n">
        <v>40513</v>
      </c>
      <c r="B875" s="25">
        <f>VLOOKUP(Table1[[#This Row],[Date]],Database!A:D,3,)</f>
        <v/>
      </c>
      <c r="C875" s="26">
        <f>B875-B874</f>
        <v/>
      </c>
      <c r="D875" s="26">
        <f>AVERAGE(C873:C875)</f>
        <v/>
      </c>
      <c r="E875" s="59">
        <f>VLOOKUP(Table1[[#This Row],[Date]],Database!A:D,4,)</f>
        <v/>
      </c>
      <c r="F875" s="59">
        <f>VLOOKUP(Table1[[#This Row],[Date]],Database!A:D,2,)</f>
        <v/>
      </c>
      <c r="G875" s="56" t="n"/>
    </row>
    <row r="876">
      <c r="A876" s="55" t="n">
        <v>40544</v>
      </c>
      <c r="B876" s="25">
        <f>VLOOKUP(Table1[[#This Row],[Date]],Database!A:D,3,)</f>
        <v/>
      </c>
      <c r="C876" s="26">
        <f>B876-B875</f>
        <v/>
      </c>
      <c r="D876" s="26">
        <f>AVERAGE(C874:C876)</f>
        <v/>
      </c>
      <c r="E876" s="59">
        <f>VLOOKUP(Table1[[#This Row],[Date]],Database!A:D,4,)</f>
        <v/>
      </c>
      <c r="F876" s="59">
        <f>VLOOKUP(Table1[[#This Row],[Date]],Database!A:D,2,)</f>
        <v/>
      </c>
      <c r="G876" s="56" t="n"/>
    </row>
    <row r="877">
      <c r="A877" s="55" t="n">
        <v>40575</v>
      </c>
      <c r="B877" s="25">
        <f>VLOOKUP(Table1[[#This Row],[Date]],Database!A:D,3,)</f>
        <v/>
      </c>
      <c r="C877" s="26">
        <f>B877-B876</f>
        <v/>
      </c>
      <c r="D877" s="26">
        <f>AVERAGE(C875:C877)</f>
        <v/>
      </c>
      <c r="E877" s="59">
        <f>VLOOKUP(Table1[[#This Row],[Date]],Database!A:D,4,)</f>
        <v/>
      </c>
      <c r="F877" s="59">
        <f>VLOOKUP(Table1[[#This Row],[Date]],Database!A:D,2,)</f>
        <v/>
      </c>
      <c r="G877" s="56" t="n"/>
    </row>
    <row r="878">
      <c r="A878" s="55" t="n">
        <v>40603</v>
      </c>
      <c r="B878" s="25">
        <f>VLOOKUP(Table1[[#This Row],[Date]],Database!A:D,3,)</f>
        <v/>
      </c>
      <c r="C878" s="26">
        <f>B878-B877</f>
        <v/>
      </c>
      <c r="D878" s="26">
        <f>AVERAGE(C876:C878)</f>
        <v/>
      </c>
      <c r="E878" s="59">
        <f>VLOOKUP(Table1[[#This Row],[Date]],Database!A:D,4,)</f>
        <v/>
      </c>
      <c r="F878" s="59">
        <f>VLOOKUP(Table1[[#This Row],[Date]],Database!A:D,2,)</f>
        <v/>
      </c>
      <c r="G878" s="56" t="n"/>
    </row>
    <row r="879">
      <c r="A879" s="55" t="n">
        <v>40634</v>
      </c>
      <c r="B879" s="25">
        <f>VLOOKUP(Table1[[#This Row],[Date]],Database!A:D,3,)</f>
        <v/>
      </c>
      <c r="C879" s="26">
        <f>B879-B878</f>
        <v/>
      </c>
      <c r="D879" s="26">
        <f>AVERAGE(C877:C879)</f>
        <v/>
      </c>
      <c r="E879" s="59">
        <f>VLOOKUP(Table1[[#This Row],[Date]],Database!A:D,4,)</f>
        <v/>
      </c>
      <c r="F879" s="59">
        <f>VLOOKUP(Table1[[#This Row],[Date]],Database!A:D,2,)</f>
        <v/>
      </c>
      <c r="G879" s="56" t="n"/>
    </row>
    <row r="880">
      <c r="A880" s="55" t="n">
        <v>40664</v>
      </c>
      <c r="B880" s="25">
        <f>VLOOKUP(Table1[[#This Row],[Date]],Database!A:D,3,)</f>
        <v/>
      </c>
      <c r="C880" s="26">
        <f>B880-B879</f>
        <v/>
      </c>
      <c r="D880" s="26">
        <f>AVERAGE(C878:C880)</f>
        <v/>
      </c>
      <c r="E880" s="59">
        <f>VLOOKUP(Table1[[#This Row],[Date]],Database!A:D,4,)</f>
        <v/>
      </c>
      <c r="F880" s="59">
        <f>VLOOKUP(Table1[[#This Row],[Date]],Database!A:D,2,)</f>
        <v/>
      </c>
      <c r="G880" s="56" t="n"/>
    </row>
    <row r="881">
      <c r="A881" s="55" t="n">
        <v>40695</v>
      </c>
      <c r="B881" s="25">
        <f>VLOOKUP(Table1[[#This Row],[Date]],Database!A:D,3,)</f>
        <v/>
      </c>
      <c r="C881" s="26">
        <f>B881-B880</f>
        <v/>
      </c>
      <c r="D881" s="26">
        <f>AVERAGE(C879:C881)</f>
        <v/>
      </c>
      <c r="E881" s="59">
        <f>VLOOKUP(Table1[[#This Row],[Date]],Database!A:D,4,)</f>
        <v/>
      </c>
      <c r="F881" s="59">
        <f>VLOOKUP(Table1[[#This Row],[Date]],Database!A:D,2,)</f>
        <v/>
      </c>
      <c r="G881" s="56" t="n"/>
    </row>
    <row r="882">
      <c r="A882" s="55" t="n">
        <v>40725</v>
      </c>
      <c r="B882" s="25">
        <f>VLOOKUP(Table1[[#This Row],[Date]],Database!A:D,3,)</f>
        <v/>
      </c>
      <c r="C882" s="26">
        <f>B882-B881</f>
        <v/>
      </c>
      <c r="D882" s="26">
        <f>AVERAGE(C880:C882)</f>
        <v/>
      </c>
      <c r="E882" s="59">
        <f>VLOOKUP(Table1[[#This Row],[Date]],Database!A:D,4,)</f>
        <v/>
      </c>
      <c r="F882" s="59">
        <f>VLOOKUP(Table1[[#This Row],[Date]],Database!A:D,2,)</f>
        <v/>
      </c>
      <c r="G882" s="56" t="n"/>
    </row>
    <row r="883">
      <c r="A883" s="55" t="n">
        <v>40756</v>
      </c>
      <c r="B883" s="25">
        <f>VLOOKUP(Table1[[#This Row],[Date]],Database!A:D,3,)</f>
        <v/>
      </c>
      <c r="C883" s="26">
        <f>B883-B882</f>
        <v/>
      </c>
      <c r="D883" s="26">
        <f>AVERAGE(C881:C883)</f>
        <v/>
      </c>
      <c r="E883" s="59">
        <f>VLOOKUP(Table1[[#This Row],[Date]],Database!A:D,4,)</f>
        <v/>
      </c>
      <c r="F883" s="59">
        <f>VLOOKUP(Table1[[#This Row],[Date]],Database!A:D,2,)</f>
        <v/>
      </c>
      <c r="G883" s="56" t="n"/>
    </row>
    <row r="884">
      <c r="A884" s="55" t="n">
        <v>40787</v>
      </c>
      <c r="B884" s="25">
        <f>VLOOKUP(Table1[[#This Row],[Date]],Database!A:D,3,)</f>
        <v/>
      </c>
      <c r="C884" s="26">
        <f>B884-B883</f>
        <v/>
      </c>
      <c r="D884" s="26">
        <f>AVERAGE(C882:C884)</f>
        <v/>
      </c>
      <c r="E884" s="59">
        <f>VLOOKUP(Table1[[#This Row],[Date]],Database!A:D,4,)</f>
        <v/>
      </c>
      <c r="F884" s="59">
        <f>VLOOKUP(Table1[[#This Row],[Date]],Database!A:D,2,)</f>
        <v/>
      </c>
      <c r="G884" s="56" t="n"/>
    </row>
    <row r="885">
      <c r="A885" s="55" t="n">
        <v>40817</v>
      </c>
      <c r="B885" s="25">
        <f>VLOOKUP(Table1[[#This Row],[Date]],Database!A:D,3,)</f>
        <v/>
      </c>
      <c r="C885" s="26">
        <f>B885-B884</f>
        <v/>
      </c>
      <c r="D885" s="26">
        <f>AVERAGE(C883:C885)</f>
        <v/>
      </c>
      <c r="E885" s="59">
        <f>VLOOKUP(Table1[[#This Row],[Date]],Database!A:D,4,)</f>
        <v/>
      </c>
      <c r="F885" s="59">
        <f>VLOOKUP(Table1[[#This Row],[Date]],Database!A:D,2,)</f>
        <v/>
      </c>
      <c r="G885" s="56" t="n"/>
    </row>
    <row r="886">
      <c r="A886" s="55" t="n">
        <v>40848</v>
      </c>
      <c r="B886" s="25">
        <f>VLOOKUP(Table1[[#This Row],[Date]],Database!A:D,3,)</f>
        <v/>
      </c>
      <c r="C886" s="26">
        <f>B886-B885</f>
        <v/>
      </c>
      <c r="D886" s="26">
        <f>AVERAGE(C884:C886)</f>
        <v/>
      </c>
      <c r="E886" s="59">
        <f>VLOOKUP(Table1[[#This Row],[Date]],Database!A:D,4,)</f>
        <v/>
      </c>
      <c r="F886" s="59">
        <f>VLOOKUP(Table1[[#This Row],[Date]],Database!A:D,2,)</f>
        <v/>
      </c>
      <c r="G886" s="56" t="n"/>
    </row>
    <row r="887">
      <c r="A887" s="55" t="n">
        <v>40878</v>
      </c>
      <c r="B887" s="25">
        <f>VLOOKUP(Table1[[#This Row],[Date]],Database!A:D,3,)</f>
        <v/>
      </c>
      <c r="C887" s="26">
        <f>B887-B886</f>
        <v/>
      </c>
      <c r="D887" s="26">
        <f>AVERAGE(C885:C887)</f>
        <v/>
      </c>
      <c r="E887" s="59">
        <f>VLOOKUP(Table1[[#This Row],[Date]],Database!A:D,4,)</f>
        <v/>
      </c>
      <c r="F887" s="59">
        <f>VLOOKUP(Table1[[#This Row],[Date]],Database!A:D,2,)</f>
        <v/>
      </c>
      <c r="G887" s="56" t="n"/>
    </row>
    <row r="888">
      <c r="A888" s="55" t="n">
        <v>40909</v>
      </c>
      <c r="B888" s="25">
        <f>VLOOKUP(Table1[[#This Row],[Date]],Database!A:D,3,)</f>
        <v/>
      </c>
      <c r="C888" s="26">
        <f>B888-B887</f>
        <v/>
      </c>
      <c r="D888" s="26">
        <f>AVERAGE(C886:C888)</f>
        <v/>
      </c>
      <c r="E888" s="59">
        <f>VLOOKUP(Table1[[#This Row],[Date]],Database!A:D,4,)</f>
        <v/>
      </c>
      <c r="F888" s="59">
        <f>VLOOKUP(Table1[[#This Row],[Date]],Database!A:D,2,)</f>
        <v/>
      </c>
      <c r="G888" s="56" t="n"/>
    </row>
    <row r="889">
      <c r="A889" s="55" t="n">
        <v>40940</v>
      </c>
      <c r="B889" s="25">
        <f>VLOOKUP(Table1[[#This Row],[Date]],Database!A:D,3,)</f>
        <v/>
      </c>
      <c r="C889" s="26">
        <f>B889-B888</f>
        <v/>
      </c>
      <c r="D889" s="26">
        <f>AVERAGE(C887:C889)</f>
        <v/>
      </c>
      <c r="E889" s="59">
        <f>VLOOKUP(Table1[[#This Row],[Date]],Database!A:D,4,)</f>
        <v/>
      </c>
      <c r="F889" s="59">
        <f>VLOOKUP(Table1[[#This Row],[Date]],Database!A:D,2,)</f>
        <v/>
      </c>
      <c r="G889" s="56" t="n"/>
    </row>
    <row r="890">
      <c r="A890" s="55" t="n">
        <v>40969</v>
      </c>
      <c r="B890" s="25">
        <f>VLOOKUP(Table1[[#This Row],[Date]],Database!A:D,3,)</f>
        <v/>
      </c>
      <c r="C890" s="26">
        <f>B890-B889</f>
        <v/>
      </c>
      <c r="D890" s="26">
        <f>AVERAGE(C888:C890)</f>
        <v/>
      </c>
      <c r="E890" s="59">
        <f>VLOOKUP(Table1[[#This Row],[Date]],Database!A:D,4,)</f>
        <v/>
      </c>
      <c r="F890" s="59">
        <f>VLOOKUP(Table1[[#This Row],[Date]],Database!A:D,2,)</f>
        <v/>
      </c>
      <c r="G890" s="56" t="n"/>
    </row>
    <row r="891">
      <c r="A891" s="55" t="n">
        <v>41000</v>
      </c>
      <c r="B891" s="25">
        <f>VLOOKUP(Table1[[#This Row],[Date]],Database!A:D,3,)</f>
        <v/>
      </c>
      <c r="C891" s="26">
        <f>B891-B890</f>
        <v/>
      </c>
      <c r="D891" s="26">
        <f>AVERAGE(C889:C891)</f>
        <v/>
      </c>
      <c r="E891" s="59">
        <f>VLOOKUP(Table1[[#This Row],[Date]],Database!A:D,4,)</f>
        <v/>
      </c>
      <c r="F891" s="59">
        <f>VLOOKUP(Table1[[#This Row],[Date]],Database!A:D,2,)</f>
        <v/>
      </c>
      <c r="G891" s="56" t="n"/>
    </row>
    <row r="892">
      <c r="A892" s="55" t="n">
        <v>41030</v>
      </c>
      <c r="B892" s="25">
        <f>VLOOKUP(Table1[[#This Row],[Date]],Database!A:D,3,)</f>
        <v/>
      </c>
      <c r="C892" s="26">
        <f>B892-B891</f>
        <v/>
      </c>
      <c r="D892" s="26">
        <f>AVERAGE(C890:C892)</f>
        <v/>
      </c>
      <c r="E892" s="59">
        <f>VLOOKUP(Table1[[#This Row],[Date]],Database!A:D,4,)</f>
        <v/>
      </c>
      <c r="F892" s="59">
        <f>VLOOKUP(Table1[[#This Row],[Date]],Database!A:D,2,)</f>
        <v/>
      </c>
      <c r="G892" s="56" t="n"/>
    </row>
    <row r="893">
      <c r="A893" s="55" t="n">
        <v>41061</v>
      </c>
      <c r="B893" s="25">
        <f>VLOOKUP(Table1[[#This Row],[Date]],Database!A:D,3,)</f>
        <v/>
      </c>
      <c r="C893" s="26">
        <f>B893-B892</f>
        <v/>
      </c>
      <c r="D893" s="26">
        <f>AVERAGE(C891:C893)</f>
        <v/>
      </c>
      <c r="E893" s="59">
        <f>VLOOKUP(Table1[[#This Row],[Date]],Database!A:D,4,)</f>
        <v/>
      </c>
      <c r="F893" s="59">
        <f>VLOOKUP(Table1[[#This Row],[Date]],Database!A:D,2,)</f>
        <v/>
      </c>
      <c r="G893" s="56" t="n"/>
    </row>
    <row r="894">
      <c r="A894" s="55" t="n">
        <v>41091</v>
      </c>
      <c r="B894" s="25">
        <f>VLOOKUP(Table1[[#This Row],[Date]],Database!A:D,3,)</f>
        <v/>
      </c>
      <c r="C894" s="26">
        <f>B894-B893</f>
        <v/>
      </c>
      <c r="D894" s="26">
        <f>AVERAGE(C892:C894)</f>
        <v/>
      </c>
      <c r="E894" s="59">
        <f>VLOOKUP(Table1[[#This Row],[Date]],Database!A:D,4,)</f>
        <v/>
      </c>
      <c r="F894" s="59">
        <f>VLOOKUP(Table1[[#This Row],[Date]],Database!A:D,2,)</f>
        <v/>
      </c>
      <c r="G894" s="56" t="n"/>
    </row>
    <row r="895">
      <c r="A895" s="55" t="n">
        <v>41122</v>
      </c>
      <c r="B895" s="25">
        <f>VLOOKUP(Table1[[#This Row],[Date]],Database!A:D,3,)</f>
        <v/>
      </c>
      <c r="C895" s="26">
        <f>B895-B894</f>
        <v/>
      </c>
      <c r="D895" s="26">
        <f>AVERAGE(C893:C895)</f>
        <v/>
      </c>
      <c r="E895" s="59">
        <f>VLOOKUP(Table1[[#This Row],[Date]],Database!A:D,4,)</f>
        <v/>
      </c>
      <c r="F895" s="59">
        <f>VLOOKUP(Table1[[#This Row],[Date]],Database!A:D,2,)</f>
        <v/>
      </c>
      <c r="G895" s="56" t="n"/>
    </row>
    <row r="896">
      <c r="A896" s="55" t="n">
        <v>41153</v>
      </c>
      <c r="B896" s="25">
        <f>VLOOKUP(Table1[[#This Row],[Date]],Database!A:D,3,)</f>
        <v/>
      </c>
      <c r="C896" s="26">
        <f>B896-B895</f>
        <v/>
      </c>
      <c r="D896" s="26">
        <f>AVERAGE(C894:C896)</f>
        <v/>
      </c>
      <c r="E896" s="59">
        <f>VLOOKUP(Table1[[#This Row],[Date]],Database!A:D,4,)</f>
        <v/>
      </c>
      <c r="F896" s="59">
        <f>VLOOKUP(Table1[[#This Row],[Date]],Database!A:D,2,)</f>
        <v/>
      </c>
      <c r="G896" s="56" t="n"/>
    </row>
    <row r="897">
      <c r="A897" s="55" t="n">
        <v>41183</v>
      </c>
      <c r="B897" s="25">
        <f>VLOOKUP(Table1[[#This Row],[Date]],Database!A:D,3,)</f>
        <v/>
      </c>
      <c r="C897" s="26">
        <f>B897-B896</f>
        <v/>
      </c>
      <c r="D897" s="26">
        <f>AVERAGE(C895:C897)</f>
        <v/>
      </c>
      <c r="E897" s="59">
        <f>VLOOKUP(Table1[[#This Row],[Date]],Database!A:D,4,)</f>
        <v/>
      </c>
      <c r="F897" s="59">
        <f>VLOOKUP(Table1[[#This Row],[Date]],Database!A:D,2,)</f>
        <v/>
      </c>
      <c r="G897" s="56" t="n"/>
    </row>
    <row r="898">
      <c r="A898" s="55" t="n">
        <v>41214</v>
      </c>
      <c r="B898" s="25">
        <f>VLOOKUP(Table1[[#This Row],[Date]],Database!A:D,3,)</f>
        <v/>
      </c>
      <c r="C898" s="26">
        <f>B898-B897</f>
        <v/>
      </c>
      <c r="D898" s="26">
        <f>AVERAGE(C896:C898)</f>
        <v/>
      </c>
      <c r="E898" s="59">
        <f>VLOOKUP(Table1[[#This Row],[Date]],Database!A:D,4,)</f>
        <v/>
      </c>
      <c r="F898" s="59">
        <f>VLOOKUP(Table1[[#This Row],[Date]],Database!A:D,2,)</f>
        <v/>
      </c>
      <c r="G898" s="56" t="n"/>
    </row>
    <row r="899">
      <c r="A899" s="55" t="n">
        <v>41244</v>
      </c>
      <c r="B899" s="25">
        <f>VLOOKUP(Table1[[#This Row],[Date]],Database!A:D,3,)</f>
        <v/>
      </c>
      <c r="C899" s="26">
        <f>B899-B898</f>
        <v/>
      </c>
      <c r="D899" s="26">
        <f>AVERAGE(C897:C899)</f>
        <v/>
      </c>
      <c r="E899" s="59">
        <f>VLOOKUP(Table1[[#This Row],[Date]],Database!A:D,4,)</f>
        <v/>
      </c>
      <c r="F899" s="59">
        <f>VLOOKUP(Table1[[#This Row],[Date]],Database!A:D,2,)</f>
        <v/>
      </c>
      <c r="G899" s="56" t="n"/>
    </row>
    <row r="900">
      <c r="A900" s="55" t="n">
        <v>41275</v>
      </c>
      <c r="B900" s="25">
        <f>VLOOKUP(Table1[[#This Row],[Date]],Database!A:D,3,)</f>
        <v/>
      </c>
      <c r="C900" s="26">
        <f>B900-B899</f>
        <v/>
      </c>
      <c r="D900" s="26">
        <f>AVERAGE(C898:C900)</f>
        <v/>
      </c>
      <c r="E900" s="59">
        <f>VLOOKUP(Table1[[#This Row],[Date]],Database!A:D,4,)</f>
        <v/>
      </c>
      <c r="F900" s="59">
        <f>VLOOKUP(Table1[[#This Row],[Date]],Database!A:D,2,)</f>
        <v/>
      </c>
      <c r="G900" s="56" t="n"/>
    </row>
    <row r="901">
      <c r="A901" s="55" t="n">
        <v>41306</v>
      </c>
      <c r="B901" s="25">
        <f>VLOOKUP(Table1[[#This Row],[Date]],Database!A:D,3,)</f>
        <v/>
      </c>
      <c r="C901" s="26">
        <f>B901-B900</f>
        <v/>
      </c>
      <c r="D901" s="26">
        <f>AVERAGE(C899:C901)</f>
        <v/>
      </c>
      <c r="E901" s="59">
        <f>VLOOKUP(Table1[[#This Row],[Date]],Database!A:D,4,)</f>
        <v/>
      </c>
      <c r="F901" s="59">
        <f>VLOOKUP(Table1[[#This Row],[Date]],Database!A:D,2,)</f>
        <v/>
      </c>
      <c r="G901" s="56" t="n"/>
    </row>
    <row r="902">
      <c r="A902" s="55" t="n">
        <v>41334</v>
      </c>
      <c r="B902" s="25">
        <f>VLOOKUP(Table1[[#This Row],[Date]],Database!A:D,3,)</f>
        <v/>
      </c>
      <c r="C902" s="26">
        <f>B902-B901</f>
        <v/>
      </c>
      <c r="D902" s="26">
        <f>AVERAGE(C900:C902)</f>
        <v/>
      </c>
      <c r="E902" s="59">
        <f>VLOOKUP(Table1[[#This Row],[Date]],Database!A:D,4,)</f>
        <v/>
      </c>
      <c r="F902" s="59">
        <f>VLOOKUP(Table1[[#This Row],[Date]],Database!A:D,2,)</f>
        <v/>
      </c>
      <c r="G902" s="56" t="n"/>
    </row>
    <row r="903">
      <c r="A903" s="55" t="n">
        <v>41365</v>
      </c>
      <c r="B903" s="25">
        <f>VLOOKUP(Table1[[#This Row],[Date]],Database!A:D,3,)</f>
        <v/>
      </c>
      <c r="C903" s="26">
        <f>B903-B902</f>
        <v/>
      </c>
      <c r="D903" s="26">
        <f>AVERAGE(C901:C903)</f>
        <v/>
      </c>
      <c r="E903" s="59">
        <f>VLOOKUP(Table1[[#This Row],[Date]],Database!A:D,4,)</f>
        <v/>
      </c>
      <c r="F903" s="59">
        <f>VLOOKUP(Table1[[#This Row],[Date]],Database!A:D,2,)</f>
        <v/>
      </c>
      <c r="G903" s="56" t="n"/>
    </row>
    <row r="904">
      <c r="A904" s="55" t="n">
        <v>41395</v>
      </c>
      <c r="B904" s="25">
        <f>VLOOKUP(Table1[[#This Row],[Date]],Database!A:D,3,)</f>
        <v/>
      </c>
      <c r="C904" s="26">
        <f>B904-B903</f>
        <v/>
      </c>
      <c r="D904" s="26">
        <f>AVERAGE(C902:C904)</f>
        <v/>
      </c>
      <c r="E904" s="59">
        <f>VLOOKUP(Table1[[#This Row],[Date]],Database!A:D,4,)</f>
        <v/>
      </c>
      <c r="F904" s="59">
        <f>VLOOKUP(Table1[[#This Row],[Date]],Database!A:D,2,)</f>
        <v/>
      </c>
      <c r="G904" s="56" t="n"/>
    </row>
    <row r="905">
      <c r="A905" s="55" t="n">
        <v>41426</v>
      </c>
      <c r="B905" s="25">
        <f>VLOOKUP(Table1[[#This Row],[Date]],Database!A:D,3,)</f>
        <v/>
      </c>
      <c r="C905" s="26">
        <f>B905-B904</f>
        <v/>
      </c>
      <c r="D905" s="26">
        <f>AVERAGE(C903:C905)</f>
        <v/>
      </c>
      <c r="E905" s="59">
        <f>VLOOKUP(Table1[[#This Row],[Date]],Database!A:D,4,)</f>
        <v/>
      </c>
      <c r="F905" s="59">
        <f>VLOOKUP(Table1[[#This Row],[Date]],Database!A:D,2,)</f>
        <v/>
      </c>
      <c r="G905" s="56" t="n"/>
    </row>
    <row r="906">
      <c r="A906" s="55" t="n">
        <v>41456</v>
      </c>
      <c r="B906" s="25">
        <f>VLOOKUP(Table1[[#This Row],[Date]],Database!A:D,3,)</f>
        <v/>
      </c>
      <c r="C906" s="26">
        <f>B906-B905</f>
        <v/>
      </c>
      <c r="D906" s="26">
        <f>AVERAGE(C904:C906)</f>
        <v/>
      </c>
      <c r="E906" s="59">
        <f>VLOOKUP(Table1[[#This Row],[Date]],Database!A:D,4,)</f>
        <v/>
      </c>
      <c r="F906" s="59">
        <f>VLOOKUP(Table1[[#This Row],[Date]],Database!A:D,2,)</f>
        <v/>
      </c>
      <c r="G906" s="56" t="n"/>
    </row>
    <row r="907">
      <c r="A907" s="55" t="n">
        <v>41487</v>
      </c>
      <c r="B907" s="25">
        <f>VLOOKUP(Table1[[#This Row],[Date]],Database!A:D,3,)</f>
        <v/>
      </c>
      <c r="C907" s="26">
        <f>B907-B906</f>
        <v/>
      </c>
      <c r="D907" s="26">
        <f>AVERAGE(C905:C907)</f>
        <v/>
      </c>
      <c r="E907" s="59">
        <f>VLOOKUP(Table1[[#This Row],[Date]],Database!A:D,4,)</f>
        <v/>
      </c>
      <c r="F907" s="59">
        <f>VLOOKUP(Table1[[#This Row],[Date]],Database!A:D,2,)</f>
        <v/>
      </c>
      <c r="G907" s="56" t="n"/>
    </row>
    <row r="908">
      <c r="A908" s="55" t="n">
        <v>41518</v>
      </c>
      <c r="B908" s="25">
        <f>VLOOKUP(Table1[[#This Row],[Date]],Database!A:D,3,)</f>
        <v/>
      </c>
      <c r="C908" s="26">
        <f>B908-B907</f>
        <v/>
      </c>
      <c r="D908" s="26">
        <f>AVERAGE(C906:C908)</f>
        <v/>
      </c>
      <c r="E908" s="59">
        <f>VLOOKUP(Table1[[#This Row],[Date]],Database!A:D,4,)</f>
        <v/>
      </c>
      <c r="F908" s="59">
        <f>VLOOKUP(Table1[[#This Row],[Date]],Database!A:D,2,)</f>
        <v/>
      </c>
      <c r="G908" s="56" t="n"/>
    </row>
    <row r="909">
      <c r="A909" s="55" t="n">
        <v>41548</v>
      </c>
      <c r="B909" s="25">
        <f>VLOOKUP(Table1[[#This Row],[Date]],Database!A:D,3,)</f>
        <v/>
      </c>
      <c r="C909" s="26">
        <f>B909-B908</f>
        <v/>
      </c>
      <c r="D909" s="26">
        <f>AVERAGE(C907:C909)</f>
        <v/>
      </c>
      <c r="E909" s="59">
        <f>VLOOKUP(Table1[[#This Row],[Date]],Database!A:D,4,)</f>
        <v/>
      </c>
      <c r="F909" s="59">
        <f>VLOOKUP(Table1[[#This Row],[Date]],Database!A:D,2,)</f>
        <v/>
      </c>
      <c r="G909" s="56" t="n"/>
    </row>
    <row r="910">
      <c r="A910" s="55" t="n">
        <v>41579</v>
      </c>
      <c r="B910" s="25">
        <f>VLOOKUP(Table1[[#This Row],[Date]],Database!A:D,3,)</f>
        <v/>
      </c>
      <c r="C910" s="26">
        <f>B910-B909</f>
        <v/>
      </c>
      <c r="D910" s="26">
        <f>AVERAGE(C908:C910)</f>
        <v/>
      </c>
      <c r="E910" s="59">
        <f>VLOOKUP(Table1[[#This Row],[Date]],Database!A:D,4,)</f>
        <v/>
      </c>
      <c r="F910" s="59">
        <f>VLOOKUP(Table1[[#This Row],[Date]],Database!A:D,2,)</f>
        <v/>
      </c>
      <c r="G910" s="56" t="n"/>
    </row>
    <row r="911">
      <c r="A911" s="55" t="n">
        <v>41609</v>
      </c>
      <c r="B911" s="25">
        <f>VLOOKUP(Table1[[#This Row],[Date]],Database!A:D,3,)</f>
        <v/>
      </c>
      <c r="C911" s="26">
        <f>B911-B910</f>
        <v/>
      </c>
      <c r="D911" s="26">
        <f>AVERAGE(C909:C911)</f>
        <v/>
      </c>
      <c r="E911" s="59">
        <f>VLOOKUP(Table1[[#This Row],[Date]],Database!A:D,4,)</f>
        <v/>
      </c>
      <c r="F911" s="59">
        <f>VLOOKUP(Table1[[#This Row],[Date]],Database!A:D,2,)</f>
        <v/>
      </c>
      <c r="G911" s="56" t="n"/>
    </row>
    <row r="912">
      <c r="A912" s="55" t="n">
        <v>41640</v>
      </c>
      <c r="B912" s="25">
        <f>VLOOKUP(Table1[[#This Row],[Date]],Database!A:D,3,)</f>
        <v/>
      </c>
      <c r="C912" s="26">
        <f>B912-B911</f>
        <v/>
      </c>
      <c r="D912" s="26">
        <f>AVERAGE(C910:C912)</f>
        <v/>
      </c>
      <c r="E912" s="59">
        <f>VLOOKUP(Table1[[#This Row],[Date]],Database!A:D,4,)</f>
        <v/>
      </c>
      <c r="F912" s="59">
        <f>VLOOKUP(Table1[[#This Row],[Date]],Database!A:D,2,)</f>
        <v/>
      </c>
      <c r="G912" s="56" t="n"/>
    </row>
    <row r="913">
      <c r="A913" s="55" t="n">
        <v>41671</v>
      </c>
      <c r="B913" s="25">
        <f>VLOOKUP(Table1[[#This Row],[Date]],Database!A:D,3,)</f>
        <v/>
      </c>
      <c r="C913" s="26">
        <f>B913-B912</f>
        <v/>
      </c>
      <c r="D913" s="26">
        <f>AVERAGE(C911:C913)</f>
        <v/>
      </c>
      <c r="E913" s="59">
        <f>VLOOKUP(Table1[[#This Row],[Date]],Database!A:D,4,)</f>
        <v/>
      </c>
      <c r="F913" s="59">
        <f>VLOOKUP(Table1[[#This Row],[Date]],Database!A:D,2,)</f>
        <v/>
      </c>
      <c r="G913" s="56" t="n"/>
    </row>
    <row r="914">
      <c r="A914" s="55" t="n">
        <v>41699</v>
      </c>
      <c r="B914" s="25">
        <f>VLOOKUP(Table1[[#This Row],[Date]],Database!A:D,3,)</f>
        <v/>
      </c>
      <c r="C914" s="26">
        <f>B914-B913</f>
        <v/>
      </c>
      <c r="D914" s="26">
        <f>AVERAGE(C912:C914)</f>
        <v/>
      </c>
      <c r="E914" s="59">
        <f>VLOOKUP(Table1[[#This Row],[Date]],Database!A:D,4,)</f>
        <v/>
      </c>
      <c r="F914" s="59">
        <f>VLOOKUP(Table1[[#This Row],[Date]],Database!A:D,2,)</f>
        <v/>
      </c>
      <c r="G914" s="56" t="n"/>
    </row>
    <row r="915">
      <c r="A915" s="55" t="n">
        <v>41730</v>
      </c>
      <c r="B915" s="25">
        <f>VLOOKUP(Table1[[#This Row],[Date]],Database!A:D,3,)</f>
        <v/>
      </c>
      <c r="C915" s="26">
        <f>B915-B914</f>
        <v/>
      </c>
      <c r="D915" s="26">
        <f>AVERAGE(C913:C915)</f>
        <v/>
      </c>
      <c r="E915" s="59">
        <f>VLOOKUP(Table1[[#This Row],[Date]],Database!A:D,4,)</f>
        <v/>
      </c>
      <c r="F915" s="59">
        <f>VLOOKUP(Table1[[#This Row],[Date]],Database!A:D,2,)</f>
        <v/>
      </c>
      <c r="G915" s="56" t="n"/>
    </row>
    <row r="916">
      <c r="A916" s="55" t="n">
        <v>41760</v>
      </c>
      <c r="B916" s="25">
        <f>VLOOKUP(Table1[[#This Row],[Date]],Database!A:D,3,)</f>
        <v/>
      </c>
      <c r="C916" s="26">
        <f>B916-B915</f>
        <v/>
      </c>
      <c r="D916" s="26">
        <f>AVERAGE(C914:C916)</f>
        <v/>
      </c>
      <c r="E916" s="59">
        <f>VLOOKUP(Table1[[#This Row],[Date]],Database!A:D,4,)</f>
        <v/>
      </c>
      <c r="F916" s="59">
        <f>VLOOKUP(Table1[[#This Row],[Date]],Database!A:D,2,)</f>
        <v/>
      </c>
      <c r="G916" s="56" t="n"/>
    </row>
    <row r="917">
      <c r="A917" s="55" t="n">
        <v>41791</v>
      </c>
      <c r="B917" s="25">
        <f>VLOOKUP(Table1[[#This Row],[Date]],Database!A:D,3,)</f>
        <v/>
      </c>
      <c r="C917" s="26">
        <f>B917-B916</f>
        <v/>
      </c>
      <c r="D917" s="26">
        <f>AVERAGE(C915:C917)</f>
        <v/>
      </c>
      <c r="E917" s="59">
        <f>VLOOKUP(Table1[[#This Row],[Date]],Database!A:D,4,)</f>
        <v/>
      </c>
      <c r="F917" s="59">
        <f>VLOOKUP(Table1[[#This Row],[Date]],Database!A:D,2,)</f>
        <v/>
      </c>
      <c r="G917" s="56" t="n"/>
    </row>
    <row r="918">
      <c r="A918" s="55" t="n">
        <v>41821</v>
      </c>
      <c r="B918" s="25">
        <f>VLOOKUP(Table1[[#This Row],[Date]],Database!A:D,3,)</f>
        <v/>
      </c>
      <c r="C918" s="26">
        <f>B918-B917</f>
        <v/>
      </c>
      <c r="D918" s="26">
        <f>AVERAGE(C916:C918)</f>
        <v/>
      </c>
      <c r="E918" s="59">
        <f>VLOOKUP(Table1[[#This Row],[Date]],Database!A:D,4,)</f>
        <v/>
      </c>
      <c r="F918" s="59">
        <f>VLOOKUP(Table1[[#This Row],[Date]],Database!A:D,2,)</f>
        <v/>
      </c>
      <c r="G918" s="56" t="n"/>
    </row>
    <row r="919">
      <c r="A919" s="55" t="n">
        <v>41852</v>
      </c>
      <c r="B919" s="25">
        <f>VLOOKUP(Table1[[#This Row],[Date]],Database!A:D,3,)</f>
        <v/>
      </c>
      <c r="C919" s="26">
        <f>B919-B918</f>
        <v/>
      </c>
      <c r="D919" s="26">
        <f>AVERAGE(C917:C919)</f>
        <v/>
      </c>
      <c r="E919" s="59">
        <f>VLOOKUP(Table1[[#This Row],[Date]],Database!A:D,4,)</f>
        <v/>
      </c>
      <c r="F919" s="59">
        <f>VLOOKUP(Table1[[#This Row],[Date]],Database!A:D,2,)</f>
        <v/>
      </c>
      <c r="G919" s="56" t="n"/>
    </row>
    <row r="920">
      <c r="A920" s="55" t="n">
        <v>41883</v>
      </c>
      <c r="B920" s="25">
        <f>VLOOKUP(Table1[[#This Row],[Date]],Database!A:D,3,)</f>
        <v/>
      </c>
      <c r="C920" s="26">
        <f>B920-B919</f>
        <v/>
      </c>
      <c r="D920" s="26">
        <f>AVERAGE(C918:C920)</f>
        <v/>
      </c>
      <c r="E920" s="59">
        <f>VLOOKUP(Table1[[#This Row],[Date]],Database!A:D,4,)</f>
        <v/>
      </c>
      <c r="F920" s="59">
        <f>VLOOKUP(Table1[[#This Row],[Date]],Database!A:D,2,)</f>
        <v/>
      </c>
      <c r="G920" s="56" t="n"/>
    </row>
    <row r="921">
      <c r="A921" s="55" t="n">
        <v>41913</v>
      </c>
      <c r="B921" s="25">
        <f>VLOOKUP(Table1[[#This Row],[Date]],Database!A:D,3,)</f>
        <v/>
      </c>
      <c r="C921" s="26">
        <f>B921-B920</f>
        <v/>
      </c>
      <c r="D921" s="26">
        <f>AVERAGE(C919:C921)</f>
        <v/>
      </c>
      <c r="E921" s="59">
        <f>VLOOKUP(Table1[[#This Row],[Date]],Database!A:D,4,)</f>
        <v/>
      </c>
      <c r="F921" s="59">
        <f>VLOOKUP(Table1[[#This Row],[Date]],Database!A:D,2,)</f>
        <v/>
      </c>
      <c r="G921" s="56" t="n"/>
    </row>
    <row r="922">
      <c r="A922" s="55" t="n">
        <v>41944</v>
      </c>
      <c r="B922" s="25">
        <f>VLOOKUP(Table1[[#This Row],[Date]],Database!A:D,3,)</f>
        <v/>
      </c>
      <c r="C922" s="26">
        <f>B922-B921</f>
        <v/>
      </c>
      <c r="D922" s="26">
        <f>AVERAGE(C920:C922)</f>
        <v/>
      </c>
      <c r="E922" s="59">
        <f>VLOOKUP(Table1[[#This Row],[Date]],Database!A:D,4,)</f>
        <v/>
      </c>
      <c r="F922" s="59">
        <f>VLOOKUP(Table1[[#This Row],[Date]],Database!A:D,2,)</f>
        <v/>
      </c>
      <c r="G922" s="56" t="n"/>
    </row>
    <row r="923">
      <c r="A923" s="55" t="n">
        <v>41974</v>
      </c>
      <c r="B923" s="25">
        <f>VLOOKUP(Table1[[#This Row],[Date]],Database!A:D,3,)</f>
        <v/>
      </c>
      <c r="C923" s="26">
        <f>B923-B922</f>
        <v/>
      </c>
      <c r="D923" s="26">
        <f>AVERAGE(C921:C923)</f>
        <v/>
      </c>
      <c r="E923" s="59">
        <f>VLOOKUP(Table1[[#This Row],[Date]],Database!A:D,4,)</f>
        <v/>
      </c>
      <c r="F923" s="59">
        <f>VLOOKUP(Table1[[#This Row],[Date]],Database!A:D,2,)</f>
        <v/>
      </c>
      <c r="G923" s="56" t="n"/>
    </row>
    <row r="924">
      <c r="A924" s="55" t="n">
        <v>42005</v>
      </c>
      <c r="B924" s="25">
        <f>VLOOKUP(Table1[[#This Row],[Date]],Database!A:D,3,)</f>
        <v/>
      </c>
      <c r="C924" s="26">
        <f>B924-B923</f>
        <v/>
      </c>
      <c r="D924" s="26">
        <f>AVERAGE(C922:C924)</f>
        <v/>
      </c>
      <c r="E924" s="59">
        <f>VLOOKUP(Table1[[#This Row],[Date]],Database!A:D,4,)</f>
        <v/>
      </c>
      <c r="F924" s="59">
        <f>VLOOKUP(Table1[[#This Row],[Date]],Database!A:D,2,)</f>
        <v/>
      </c>
      <c r="G924" s="56" t="n"/>
    </row>
    <row r="925">
      <c r="A925" s="55" t="n">
        <v>42036</v>
      </c>
      <c r="B925" s="25">
        <f>VLOOKUP(Table1[[#This Row],[Date]],Database!A:D,3,)</f>
        <v/>
      </c>
      <c r="C925" s="26">
        <f>B925-B924</f>
        <v/>
      </c>
      <c r="D925" s="26">
        <f>AVERAGE(C923:C925)</f>
        <v/>
      </c>
      <c r="E925" s="59">
        <f>VLOOKUP(Table1[[#This Row],[Date]],Database!A:D,4,)</f>
        <v/>
      </c>
      <c r="F925" s="59">
        <f>VLOOKUP(Table1[[#This Row],[Date]],Database!A:D,2,)</f>
        <v/>
      </c>
      <c r="G925" s="56" t="n"/>
    </row>
    <row r="926">
      <c r="A926" s="55" t="n">
        <v>42064</v>
      </c>
      <c r="B926" s="25">
        <f>VLOOKUP(Table1[[#This Row],[Date]],Database!A:D,3,)</f>
        <v/>
      </c>
      <c r="C926" s="26">
        <f>B926-B925</f>
        <v/>
      </c>
      <c r="D926" s="26">
        <f>AVERAGE(C924:C926)</f>
        <v/>
      </c>
      <c r="E926" s="59">
        <f>VLOOKUP(Table1[[#This Row],[Date]],Database!A:D,4,)</f>
        <v/>
      </c>
      <c r="F926" s="59">
        <f>VLOOKUP(Table1[[#This Row],[Date]],Database!A:D,2,)</f>
        <v/>
      </c>
      <c r="G926" s="56" t="n"/>
    </row>
    <row r="927">
      <c r="A927" s="55" t="n">
        <v>42095</v>
      </c>
      <c r="B927" s="25">
        <f>VLOOKUP(Table1[[#This Row],[Date]],Database!A:D,3,)</f>
        <v/>
      </c>
      <c r="C927" s="26">
        <f>B927-B926</f>
        <v/>
      </c>
      <c r="D927" s="26">
        <f>AVERAGE(C925:C927)</f>
        <v/>
      </c>
      <c r="E927" s="59">
        <f>VLOOKUP(Table1[[#This Row],[Date]],Database!A:D,4,)</f>
        <v/>
      </c>
      <c r="F927" s="59">
        <f>VLOOKUP(Table1[[#This Row],[Date]],Database!A:D,2,)</f>
        <v/>
      </c>
      <c r="G927" s="56" t="n"/>
    </row>
    <row r="928">
      <c r="A928" s="55" t="n">
        <v>42125</v>
      </c>
      <c r="B928" s="25">
        <f>VLOOKUP(Table1[[#This Row],[Date]],Database!A:D,3,)</f>
        <v/>
      </c>
      <c r="C928" s="26">
        <f>B928-B927</f>
        <v/>
      </c>
      <c r="D928" s="26">
        <f>AVERAGE(C926:C928)</f>
        <v/>
      </c>
      <c r="E928" s="59">
        <f>VLOOKUP(Table1[[#This Row],[Date]],Database!A:D,4,)</f>
        <v/>
      </c>
      <c r="F928" s="59">
        <f>VLOOKUP(Table1[[#This Row],[Date]],Database!A:D,2,)</f>
        <v/>
      </c>
      <c r="G928" s="56" t="n"/>
    </row>
    <row r="929">
      <c r="A929" s="55" t="n">
        <v>42156</v>
      </c>
      <c r="B929" s="25">
        <f>VLOOKUP(Table1[[#This Row],[Date]],Database!A:D,3,)</f>
        <v/>
      </c>
      <c r="C929" s="26">
        <f>B929-B928</f>
        <v/>
      </c>
      <c r="D929" s="26">
        <f>AVERAGE(C927:C929)</f>
        <v/>
      </c>
      <c r="E929" s="59">
        <f>VLOOKUP(Table1[[#This Row],[Date]],Database!A:D,4,)</f>
        <v/>
      </c>
      <c r="F929" s="59">
        <f>VLOOKUP(Table1[[#This Row],[Date]],Database!A:D,2,)</f>
        <v/>
      </c>
      <c r="G929" s="56" t="n"/>
    </row>
    <row r="930">
      <c r="A930" s="55" t="n">
        <v>42186</v>
      </c>
      <c r="B930" s="25">
        <f>VLOOKUP(Table1[[#This Row],[Date]],Database!A:D,3,)</f>
        <v/>
      </c>
      <c r="C930" s="26">
        <f>B930-B929</f>
        <v/>
      </c>
      <c r="D930" s="26">
        <f>AVERAGE(C928:C930)</f>
        <v/>
      </c>
      <c r="E930" s="59">
        <f>VLOOKUP(Table1[[#This Row],[Date]],Database!A:D,4,)</f>
        <v/>
      </c>
      <c r="F930" s="59">
        <f>VLOOKUP(Table1[[#This Row],[Date]],Database!A:D,2,)</f>
        <v/>
      </c>
      <c r="G930" s="56" t="n"/>
    </row>
    <row r="931">
      <c r="A931" s="55" t="n">
        <v>42217</v>
      </c>
      <c r="B931" s="25">
        <f>VLOOKUP(Table1[[#This Row],[Date]],Database!A:D,3,)</f>
        <v/>
      </c>
      <c r="C931" s="26">
        <f>B931-B930</f>
        <v/>
      </c>
      <c r="D931" s="26">
        <f>AVERAGE(C929:C931)</f>
        <v/>
      </c>
      <c r="E931" s="59">
        <f>VLOOKUP(Table1[[#This Row],[Date]],Database!A:D,4,)</f>
        <v/>
      </c>
      <c r="F931" s="59">
        <f>VLOOKUP(Table1[[#This Row],[Date]],Database!A:D,2,)</f>
        <v/>
      </c>
      <c r="G931" s="56" t="n"/>
    </row>
    <row r="932">
      <c r="A932" s="55" t="n">
        <v>42248</v>
      </c>
      <c r="B932" s="25">
        <f>VLOOKUP(Table1[[#This Row],[Date]],Database!A:D,3,)</f>
        <v/>
      </c>
      <c r="C932" s="26">
        <f>B932-B931</f>
        <v/>
      </c>
      <c r="D932" s="26">
        <f>AVERAGE(C930:C932)</f>
        <v/>
      </c>
      <c r="E932" s="59">
        <f>VLOOKUP(Table1[[#This Row],[Date]],Database!A:D,4,)</f>
        <v/>
      </c>
      <c r="F932" s="59">
        <f>VLOOKUP(Table1[[#This Row],[Date]],Database!A:D,2,)</f>
        <v/>
      </c>
      <c r="G932" s="56" t="n"/>
    </row>
    <row r="933">
      <c r="A933" s="55" t="n">
        <v>42278</v>
      </c>
      <c r="B933" s="25">
        <f>VLOOKUP(Table1[[#This Row],[Date]],Database!A:D,3,)</f>
        <v/>
      </c>
      <c r="C933" s="26">
        <f>B933-B932</f>
        <v/>
      </c>
      <c r="D933" s="26">
        <f>AVERAGE(C931:C933)</f>
        <v/>
      </c>
      <c r="E933" s="59">
        <f>VLOOKUP(Table1[[#This Row],[Date]],Database!A:D,4,)</f>
        <v/>
      </c>
      <c r="F933" s="59">
        <f>VLOOKUP(Table1[[#This Row],[Date]],Database!A:D,2,)</f>
        <v/>
      </c>
      <c r="G933" s="56" t="n"/>
    </row>
    <row r="934">
      <c r="A934" s="55" t="n">
        <v>42309</v>
      </c>
      <c r="B934" s="25">
        <f>VLOOKUP(Table1[[#This Row],[Date]],Database!A:D,3,)</f>
        <v/>
      </c>
      <c r="C934" s="26">
        <f>B934-B933</f>
        <v/>
      </c>
      <c r="D934" s="26">
        <f>AVERAGE(C932:C934)</f>
        <v/>
      </c>
      <c r="E934" s="59">
        <f>VLOOKUP(Table1[[#This Row],[Date]],Database!A:D,4,)</f>
        <v/>
      </c>
      <c r="F934" s="59">
        <f>VLOOKUP(Table1[[#This Row],[Date]],Database!A:D,2,)</f>
        <v/>
      </c>
      <c r="G934" s="56" t="n"/>
    </row>
    <row r="935">
      <c r="A935" s="55" t="n">
        <v>42339</v>
      </c>
      <c r="B935" s="25">
        <f>VLOOKUP(Table1[[#This Row],[Date]],Database!A:D,3,)</f>
        <v/>
      </c>
      <c r="C935" s="26">
        <f>B935-B934</f>
        <v/>
      </c>
      <c r="D935" s="26">
        <f>AVERAGE(C933:C935)</f>
        <v/>
      </c>
      <c r="E935" s="59">
        <f>VLOOKUP(Table1[[#This Row],[Date]],Database!A:D,4,)</f>
        <v/>
      </c>
      <c r="F935" s="59">
        <f>VLOOKUP(Table1[[#This Row],[Date]],Database!A:D,2,)</f>
        <v/>
      </c>
      <c r="G935" s="56" t="n"/>
    </row>
    <row r="936">
      <c r="A936" s="55" t="n">
        <v>42370</v>
      </c>
      <c r="B936" s="25">
        <f>VLOOKUP(Table1[[#This Row],[Date]],Database!A:D,3,)</f>
        <v/>
      </c>
      <c r="C936" s="26">
        <f>B936-B935</f>
        <v/>
      </c>
      <c r="D936" s="26">
        <f>AVERAGE(C934:C936)</f>
        <v/>
      </c>
      <c r="E936" s="59">
        <f>VLOOKUP(Table1[[#This Row],[Date]],Database!A:D,4,)</f>
        <v/>
      </c>
      <c r="F936" s="59">
        <f>VLOOKUP(Table1[[#This Row],[Date]],Database!A:D,2,)</f>
        <v/>
      </c>
      <c r="G936" s="56" t="n"/>
    </row>
    <row r="937">
      <c r="A937" s="55" t="n">
        <v>42401</v>
      </c>
      <c r="B937" s="25">
        <f>VLOOKUP(Table1[[#This Row],[Date]],Database!A:D,3,)</f>
        <v/>
      </c>
      <c r="C937" s="26">
        <f>B937-B936</f>
        <v/>
      </c>
      <c r="D937" s="26">
        <f>AVERAGE(C935:C937)</f>
        <v/>
      </c>
      <c r="E937" s="59">
        <f>VLOOKUP(Table1[[#This Row],[Date]],Database!A:D,4,)</f>
        <v/>
      </c>
      <c r="F937" s="59">
        <f>VLOOKUP(Table1[[#This Row],[Date]],Database!A:D,2,)</f>
        <v/>
      </c>
      <c r="G937" s="56" t="n"/>
    </row>
    <row r="938">
      <c r="A938" s="55" t="n">
        <v>42430</v>
      </c>
      <c r="B938" s="25">
        <f>VLOOKUP(Table1[[#This Row],[Date]],Database!A:D,3,)</f>
        <v/>
      </c>
      <c r="C938" s="26">
        <f>B938-B937</f>
        <v/>
      </c>
      <c r="D938" s="26">
        <f>AVERAGE(C936:C938)</f>
        <v/>
      </c>
      <c r="E938" s="59">
        <f>VLOOKUP(Table1[[#This Row],[Date]],Database!A:D,4,)</f>
        <v/>
      </c>
      <c r="F938" s="59">
        <f>VLOOKUP(Table1[[#This Row],[Date]],Database!A:D,2,)</f>
        <v/>
      </c>
      <c r="G938" s="56" t="n"/>
    </row>
    <row r="939">
      <c r="A939" s="55" t="n">
        <v>42461</v>
      </c>
      <c r="B939" s="25">
        <f>VLOOKUP(Table1[[#This Row],[Date]],Database!A:D,3,)</f>
        <v/>
      </c>
      <c r="C939" s="26">
        <f>B939-B938</f>
        <v/>
      </c>
      <c r="D939" s="26">
        <f>AVERAGE(C937:C939)</f>
        <v/>
      </c>
      <c r="E939" s="59">
        <f>VLOOKUP(Table1[[#This Row],[Date]],Database!A:D,4,)</f>
        <v/>
      </c>
      <c r="F939" s="59">
        <f>VLOOKUP(Table1[[#This Row],[Date]],Database!A:D,2,)</f>
        <v/>
      </c>
      <c r="G939" s="56" t="n"/>
      <c r="H939" s="70" t="n">
        <v>1</v>
      </c>
    </row>
    <row r="940">
      <c r="A940" s="55" t="n">
        <v>42491</v>
      </c>
      <c r="B940" s="25">
        <f>VLOOKUP(Table1[[#This Row],[Date]],Database!A:D,3,)</f>
        <v/>
      </c>
      <c r="C940" s="26">
        <f>B940-B939</f>
        <v/>
      </c>
      <c r="D940" s="26">
        <f>AVERAGE(C938:C940)</f>
        <v/>
      </c>
      <c r="E940" s="59">
        <f>VLOOKUP(Table1[[#This Row],[Date]],Database!A:D,4,)</f>
        <v/>
      </c>
      <c r="F940" s="59">
        <f>VLOOKUP(Table1[[#This Row],[Date]],Database!A:D,2,)</f>
        <v/>
      </c>
      <c r="G940" s="56" t="n"/>
      <c r="H940" s="70" t="n">
        <v>2</v>
      </c>
    </row>
    <row r="941">
      <c r="A941" s="55" t="n">
        <v>42522</v>
      </c>
      <c r="B941" s="25">
        <f>VLOOKUP(Table1[[#This Row],[Date]],Database!A:D,3,)</f>
        <v/>
      </c>
      <c r="C941" s="26">
        <f>B941-B940</f>
        <v/>
      </c>
      <c r="D941" s="26">
        <f>AVERAGE(C939:C941)</f>
        <v/>
      </c>
      <c r="E941" s="59">
        <f>VLOOKUP(Table1[[#This Row],[Date]],Database!A:D,4,)</f>
        <v/>
      </c>
      <c r="F941" s="59">
        <f>VLOOKUP(Table1[[#This Row],[Date]],Database!A:D,2,)</f>
        <v/>
      </c>
      <c r="G941" s="56" t="n"/>
      <c r="H941" s="70" t="n">
        <v>3</v>
      </c>
    </row>
    <row r="942">
      <c r="A942" s="55" t="n">
        <v>42552</v>
      </c>
      <c r="B942" s="25">
        <f>VLOOKUP(Table1[[#This Row],[Date]],Database!A:D,3,)</f>
        <v/>
      </c>
      <c r="C942" s="26">
        <f>B942-B941</f>
        <v/>
      </c>
      <c r="D942" s="26">
        <f>AVERAGE(C940:C942)</f>
        <v/>
      </c>
      <c r="E942" s="59">
        <f>VLOOKUP(Table1[[#This Row],[Date]],Database!A:D,4,)</f>
        <v/>
      </c>
      <c r="F942" s="59">
        <f>VLOOKUP(Table1[[#This Row],[Date]],Database!A:D,2,)</f>
        <v/>
      </c>
      <c r="G942" s="56" t="n"/>
      <c r="H942" s="70" t="n">
        <v>4</v>
      </c>
    </row>
    <row r="943">
      <c r="A943" s="55" t="n">
        <v>42583</v>
      </c>
      <c r="B943" s="25">
        <f>VLOOKUP(Table1[[#This Row],[Date]],Database!A:D,3,)</f>
        <v/>
      </c>
      <c r="C943" s="26">
        <f>B943-B942</f>
        <v/>
      </c>
      <c r="D943" s="26">
        <f>AVERAGE(C941:C943)</f>
        <v/>
      </c>
      <c r="E943" s="59">
        <f>VLOOKUP(Table1[[#This Row],[Date]],Database!A:D,4,)</f>
        <v/>
      </c>
      <c r="F943" s="59">
        <f>VLOOKUP(Table1[[#This Row],[Date]],Database!A:D,2,)</f>
        <v/>
      </c>
      <c r="G943" s="56" t="n"/>
      <c r="H943" s="70" t="n">
        <v>5</v>
      </c>
    </row>
    <row r="944">
      <c r="A944" s="55" t="n">
        <v>42614</v>
      </c>
      <c r="B944" s="25">
        <f>VLOOKUP(Table1[[#This Row],[Date]],Database!A:D,3,)</f>
        <v/>
      </c>
      <c r="C944" s="26">
        <f>B944-B943</f>
        <v/>
      </c>
      <c r="D944" s="26">
        <f>AVERAGE(C942:C944)</f>
        <v/>
      </c>
      <c r="E944" s="59">
        <f>VLOOKUP(Table1[[#This Row],[Date]],Database!A:D,4,)</f>
        <v/>
      </c>
      <c r="F944" s="59">
        <f>VLOOKUP(Table1[[#This Row],[Date]],Database!A:D,2,)</f>
        <v/>
      </c>
      <c r="G944" s="56" t="n"/>
      <c r="H944" s="70" t="n">
        <v>6</v>
      </c>
    </row>
    <row r="945">
      <c r="A945" s="55" t="n">
        <v>42644</v>
      </c>
      <c r="B945" s="25">
        <f>VLOOKUP(Table1[[#This Row],[Date]],Database!A:D,3,)</f>
        <v/>
      </c>
      <c r="C945" s="26">
        <f>B945-B944</f>
        <v/>
      </c>
      <c r="D945" s="26">
        <f>AVERAGE(C943:C945)</f>
        <v/>
      </c>
      <c r="E945" s="59">
        <f>VLOOKUP(Table1[[#This Row],[Date]],Database!A:D,4,)</f>
        <v/>
      </c>
      <c r="F945" s="59">
        <f>VLOOKUP(Table1[[#This Row],[Date]],Database!A:D,2,)</f>
        <v/>
      </c>
      <c r="G945" s="56" t="n"/>
      <c r="H945" s="70" t="n">
        <v>7</v>
      </c>
    </row>
    <row r="946">
      <c r="A946" s="55" t="n">
        <v>42675</v>
      </c>
      <c r="B946" s="25">
        <f>VLOOKUP(Table1[[#This Row],[Date]],Database!A:D,3,)</f>
        <v/>
      </c>
      <c r="C946" s="26">
        <f>B946-B945</f>
        <v/>
      </c>
      <c r="D946" s="26">
        <f>AVERAGE(C944:C946)</f>
        <v/>
      </c>
      <c r="E946" s="59">
        <f>VLOOKUP(Table1[[#This Row],[Date]],Database!A:D,4,)</f>
        <v/>
      </c>
      <c r="F946" s="59">
        <f>VLOOKUP(Table1[[#This Row],[Date]],Database!A:D,2,)</f>
        <v/>
      </c>
      <c r="G946" s="56" t="n"/>
      <c r="H946" s="70" t="n">
        <v>8</v>
      </c>
    </row>
    <row r="947">
      <c r="A947" s="55" t="n">
        <v>42705</v>
      </c>
      <c r="B947" s="25">
        <f>VLOOKUP(Table1[[#This Row],[Date]],Database!A:D,3,)</f>
        <v/>
      </c>
      <c r="C947" s="26">
        <f>B947-B946</f>
        <v/>
      </c>
      <c r="D947" s="26">
        <f>AVERAGE(C945:C947)</f>
        <v/>
      </c>
      <c r="E947" s="59">
        <f>VLOOKUP(Table1[[#This Row],[Date]],Database!A:D,4,)</f>
        <v/>
      </c>
      <c r="F947" s="59">
        <f>VLOOKUP(Table1[[#This Row],[Date]],Database!A:D,2,)</f>
        <v/>
      </c>
      <c r="G947" s="56" t="n"/>
      <c r="H947" s="70" t="n">
        <v>9</v>
      </c>
    </row>
    <row r="948">
      <c r="A948" s="55" t="n">
        <v>42736</v>
      </c>
      <c r="B948" s="25">
        <f>VLOOKUP(Table1[[#This Row],[Date]],Database!A:D,3,)</f>
        <v/>
      </c>
      <c r="C948" s="26">
        <f>B948-B947</f>
        <v/>
      </c>
      <c r="D948" s="26">
        <f>AVERAGE(C946:C948)</f>
        <v/>
      </c>
      <c r="E948" s="59">
        <f>VLOOKUP(Table1[[#This Row],[Date]],Database!A:D,4,)</f>
        <v/>
      </c>
      <c r="F948" s="59">
        <f>VLOOKUP(Table1[[#This Row],[Date]],Database!A:D,2,)</f>
        <v/>
      </c>
      <c r="G948" s="56" t="n"/>
      <c r="H948" s="70" t="n">
        <v>10</v>
      </c>
    </row>
    <row r="949">
      <c r="A949" s="55" t="n">
        <v>42767</v>
      </c>
      <c r="B949" s="25">
        <f>VLOOKUP(Table1[[#This Row],[Date]],Database!A:D,3,)</f>
        <v/>
      </c>
      <c r="C949" s="26">
        <f>B949-B948</f>
        <v/>
      </c>
      <c r="D949" s="26">
        <f>AVERAGE(C947:C949)</f>
        <v/>
      </c>
      <c r="E949" s="59">
        <f>VLOOKUP(Table1[[#This Row],[Date]],Database!A:D,4,)</f>
        <v/>
      </c>
      <c r="F949" s="59">
        <f>VLOOKUP(Table1[[#This Row],[Date]],Database!A:D,2,)</f>
        <v/>
      </c>
      <c r="G949" s="56" t="n"/>
      <c r="H949" s="70" t="n">
        <v>11</v>
      </c>
    </row>
    <row r="950">
      <c r="A950" s="55" t="n">
        <v>42795</v>
      </c>
      <c r="B950" s="25">
        <f>VLOOKUP(Table1[[#This Row],[Date]],Database!A:D,3,)</f>
        <v/>
      </c>
      <c r="C950" s="26">
        <f>B950-B949</f>
        <v/>
      </c>
      <c r="D950" s="26">
        <f>AVERAGE(C948:C950)</f>
        <v/>
      </c>
      <c r="E950" s="59">
        <f>VLOOKUP(Table1[[#This Row],[Date]],Database!A:D,4,)</f>
        <v/>
      </c>
      <c r="F950" s="59">
        <f>VLOOKUP(Table1[[#This Row],[Date]],Database!A:D,2,)</f>
        <v/>
      </c>
      <c r="G950" s="56" t="n"/>
      <c r="H950" s="70" t="n">
        <v>12</v>
      </c>
    </row>
    <row r="951">
      <c r="A951" s="55" t="n">
        <v>42826</v>
      </c>
      <c r="B951" s="25">
        <f>VLOOKUP(Table1[[#This Row],[Date]],Database!A:D,3,)</f>
        <v/>
      </c>
      <c r="C951" s="26">
        <f>B951-B950</f>
        <v/>
      </c>
      <c r="D951" s="26">
        <f>AVERAGE(C949:C951)</f>
        <v/>
      </c>
      <c r="E951" s="59">
        <f>VLOOKUP(Table1[[#This Row],[Date]],Database!A:D,4,)</f>
        <v/>
      </c>
      <c r="F951" s="59">
        <f>VLOOKUP(Table1[[#This Row],[Date]],Database!A:D,2,)</f>
        <v/>
      </c>
      <c r="G951" s="56" t="n"/>
      <c r="H951" s="70" t="n">
        <v>13</v>
      </c>
    </row>
    <row r="952">
      <c r="A952" s="55" t="n">
        <v>42856</v>
      </c>
      <c r="B952" s="25">
        <f>VLOOKUP(Table1[[#This Row],[Date]],Database!A:D,3,)</f>
        <v/>
      </c>
      <c r="C952" s="26">
        <f>B952-B951</f>
        <v/>
      </c>
      <c r="D952" s="26">
        <f>AVERAGE(C950:C952)</f>
        <v/>
      </c>
      <c r="E952" s="59">
        <f>VLOOKUP(Table1[[#This Row],[Date]],Database!A:D,4,)</f>
        <v/>
      </c>
      <c r="F952" s="59">
        <f>VLOOKUP(Table1[[#This Row],[Date]],Database!A:D,2,)</f>
        <v/>
      </c>
      <c r="G952" s="56" t="n"/>
      <c r="H952" s="70" t="n">
        <v>14</v>
      </c>
    </row>
    <row r="953">
      <c r="A953" s="55" t="n">
        <v>42887</v>
      </c>
      <c r="B953" s="25">
        <f>VLOOKUP(Table1[[#This Row],[Date]],Database!A:D,3,)</f>
        <v/>
      </c>
      <c r="C953" s="26">
        <f>B953-B952</f>
        <v/>
      </c>
      <c r="D953" s="26">
        <f>AVERAGE(C951:C953)</f>
        <v/>
      </c>
      <c r="E953" s="59">
        <f>VLOOKUP(Table1[[#This Row],[Date]],Database!A:D,4,)</f>
        <v/>
      </c>
      <c r="F953" s="59">
        <f>VLOOKUP(Table1[[#This Row],[Date]],Database!A:D,2,)</f>
        <v/>
      </c>
      <c r="G953" s="56" t="n"/>
      <c r="H953" s="70" t="n">
        <v>15</v>
      </c>
    </row>
    <row r="954">
      <c r="A954" s="55" t="n">
        <v>42917</v>
      </c>
      <c r="B954" s="25">
        <f>VLOOKUP(Table1[[#This Row],[Date]],Database!A:D,3,)</f>
        <v/>
      </c>
      <c r="C954" s="26">
        <f>B954-B953</f>
        <v/>
      </c>
      <c r="D954" s="26">
        <f>AVERAGE(C952:C954)</f>
        <v/>
      </c>
      <c r="E954" s="59">
        <f>VLOOKUP(Table1[[#This Row],[Date]],Database!A:D,4,)</f>
        <v/>
      </c>
      <c r="F954" s="59">
        <f>VLOOKUP(Table1[[#This Row],[Date]],Database!A:D,2,)</f>
        <v/>
      </c>
      <c r="G954" s="56" t="n"/>
      <c r="H954" s="70" t="n">
        <v>16</v>
      </c>
    </row>
    <row r="955">
      <c r="A955" s="55" t="n">
        <v>42948</v>
      </c>
      <c r="B955" s="25">
        <f>VLOOKUP(Table1[[#This Row],[Date]],Database!A:D,3,)</f>
        <v/>
      </c>
      <c r="C955" s="26">
        <f>B955-B954</f>
        <v/>
      </c>
      <c r="D955" s="26">
        <f>AVERAGE(C953:C955)</f>
        <v/>
      </c>
      <c r="E955" s="59">
        <f>VLOOKUP(Table1[[#This Row],[Date]],Database!A:D,4,)</f>
        <v/>
      </c>
      <c r="F955" s="59">
        <f>VLOOKUP(Table1[[#This Row],[Date]],Database!A:D,2,)</f>
        <v/>
      </c>
      <c r="G955" s="56" t="n"/>
      <c r="H955" s="70" t="n">
        <v>17</v>
      </c>
    </row>
    <row r="956">
      <c r="A956" s="55" t="n">
        <v>42979</v>
      </c>
      <c r="B956" s="25">
        <f>VLOOKUP(Table1[[#This Row],[Date]],Database!A:D,3,)</f>
        <v/>
      </c>
      <c r="C956" s="26">
        <f>B956-B955</f>
        <v/>
      </c>
      <c r="D956" s="26">
        <f>AVERAGE(C954:C956)</f>
        <v/>
      </c>
      <c r="E956" s="59">
        <f>VLOOKUP(Table1[[#This Row],[Date]],Database!A:D,4,)</f>
        <v/>
      </c>
      <c r="F956" s="59">
        <f>VLOOKUP(Table1[[#This Row],[Date]],Database!A:D,2,)</f>
        <v/>
      </c>
      <c r="G956" s="56" t="n"/>
      <c r="H956" s="70" t="n">
        <v>18</v>
      </c>
    </row>
    <row r="957">
      <c r="A957" s="55" t="n">
        <v>43009</v>
      </c>
      <c r="B957" s="25">
        <f>VLOOKUP(Table1[[#This Row],[Date]],Database!A:D,3,)</f>
        <v/>
      </c>
      <c r="C957" s="26">
        <f>B957-B956</f>
        <v/>
      </c>
      <c r="D957" s="26">
        <f>AVERAGE(C955:C957)</f>
        <v/>
      </c>
      <c r="E957" s="59">
        <f>VLOOKUP(Table1[[#This Row],[Date]],Database!A:D,4,)</f>
        <v/>
      </c>
      <c r="F957" s="59">
        <f>VLOOKUP(Table1[[#This Row],[Date]],Database!A:D,2,)</f>
        <v/>
      </c>
      <c r="G957" s="56" t="n"/>
      <c r="H957" s="70" t="n">
        <v>19</v>
      </c>
    </row>
    <row r="958">
      <c r="A958" s="55" t="n">
        <v>43040</v>
      </c>
      <c r="B958" s="25">
        <f>VLOOKUP(Table1[[#This Row],[Date]],Database!A:D,3,)</f>
        <v/>
      </c>
      <c r="C958" s="26">
        <f>B958-B957</f>
        <v/>
      </c>
      <c r="D958" s="26">
        <f>AVERAGE(C956:C958)</f>
        <v/>
      </c>
      <c r="E958" s="59">
        <f>VLOOKUP(Table1[[#This Row],[Date]],Database!A:D,4,)</f>
        <v/>
      </c>
      <c r="F958" s="59">
        <f>VLOOKUP(Table1[[#This Row],[Date]],Database!A:D,2,)</f>
        <v/>
      </c>
      <c r="G958" s="56" t="n"/>
      <c r="H958" s="70" t="n">
        <v>20</v>
      </c>
    </row>
    <row r="959">
      <c r="A959" s="55" t="n">
        <v>43070</v>
      </c>
      <c r="B959" s="25">
        <f>VLOOKUP(Table1[[#This Row],[Date]],Database!A:D,3,)</f>
        <v/>
      </c>
      <c r="C959" s="26">
        <f>B959-B958</f>
        <v/>
      </c>
      <c r="D959" s="26">
        <f>AVERAGE(C957:C959)</f>
        <v/>
      </c>
      <c r="E959" s="59">
        <f>VLOOKUP(Table1[[#This Row],[Date]],Database!A:D,4,)</f>
        <v/>
      </c>
      <c r="F959" s="59">
        <f>VLOOKUP(Table1[[#This Row],[Date]],Database!A:D,2,)</f>
        <v/>
      </c>
      <c r="G959" s="56" t="n"/>
      <c r="H959" s="70" t="n">
        <v>21</v>
      </c>
    </row>
    <row r="960">
      <c r="A960" s="55" t="n">
        <v>43101</v>
      </c>
      <c r="B960" s="25">
        <f>VLOOKUP(Table1[[#This Row],[Date]],Database!A:D,3,)</f>
        <v/>
      </c>
      <c r="C960" s="26">
        <f>B960-B959</f>
        <v/>
      </c>
      <c r="D960" s="26">
        <f>AVERAGE(C958:C960)</f>
        <v/>
      </c>
      <c r="E960" s="59">
        <f>VLOOKUP(Table1[[#This Row],[Date]],Database!A:D,4,)</f>
        <v/>
      </c>
      <c r="F960" s="59">
        <f>VLOOKUP(Table1[[#This Row],[Date]],Database!A:D,2,)</f>
        <v/>
      </c>
      <c r="G960" s="56" t="n"/>
    </row>
    <row r="961">
      <c r="A961" s="55" t="n">
        <v>43132</v>
      </c>
      <c r="B961" s="25">
        <f>VLOOKUP(Table1[[#This Row],[Date]],Database!A:D,3,)</f>
        <v/>
      </c>
      <c r="C961" s="26">
        <f>B961-B960</f>
        <v/>
      </c>
      <c r="D961" s="26">
        <f>AVERAGE(C959:C961)</f>
        <v/>
      </c>
      <c r="E961" s="59">
        <f>VLOOKUP(Table1[[#This Row],[Date]],Database!A:D,4,)</f>
        <v/>
      </c>
      <c r="F961" s="59">
        <f>VLOOKUP(Table1[[#This Row],[Date]],Database!A:D,2,)</f>
        <v/>
      </c>
      <c r="G961" s="56" t="n"/>
    </row>
    <row r="962">
      <c r="A962" s="55" t="n">
        <v>43160</v>
      </c>
      <c r="B962" s="25">
        <f>VLOOKUP(Table1[[#This Row],[Date]],Database!A:D,3,)</f>
        <v/>
      </c>
      <c r="C962" s="26">
        <f>B962-B961</f>
        <v/>
      </c>
      <c r="D962" s="26">
        <f>AVERAGE(C960:C962)</f>
        <v/>
      </c>
      <c r="E962" s="59">
        <f>VLOOKUP(Table1[[#This Row],[Date]],Database!A:D,4,)</f>
        <v/>
      </c>
      <c r="F962" s="59">
        <f>VLOOKUP(Table1[[#This Row],[Date]],Database!A:D,2,)</f>
        <v/>
      </c>
      <c r="G962" s="56" t="n"/>
    </row>
    <row r="963">
      <c r="A963" s="55" t="n">
        <v>43191</v>
      </c>
      <c r="B963" s="25">
        <f>VLOOKUP(Table1[[#This Row],[Date]],Database!A:D,3,)</f>
        <v/>
      </c>
      <c r="C963" s="26">
        <f>B963-B962</f>
        <v/>
      </c>
      <c r="D963" s="26">
        <f>AVERAGE(C961:C963)</f>
        <v/>
      </c>
      <c r="E963" s="59">
        <f>VLOOKUP(Table1[[#This Row],[Date]],Database!A:D,4,)</f>
        <v/>
      </c>
      <c r="F963" s="59">
        <f>VLOOKUP(Table1[[#This Row],[Date]],Database!A:D,2,)</f>
        <v/>
      </c>
    </row>
    <row r="964">
      <c r="A964" s="55" t="n">
        <v>43221</v>
      </c>
      <c r="B964" s="25">
        <f>VLOOKUP(Table1[[#This Row],[Date]],Database!A:D,3,)</f>
        <v/>
      </c>
      <c r="C964" s="26">
        <f>B964-B963</f>
        <v/>
      </c>
      <c r="D964" s="26">
        <f>AVERAGE(C962:C964)</f>
        <v/>
      </c>
      <c r="E964" s="59">
        <f>VLOOKUP(Table1[[#This Row],[Date]],Database!A:D,4,)</f>
        <v/>
      </c>
      <c r="F964" s="59">
        <f>VLOOKUP(Table1[[#This Row],[Date]],Database!A:D,2,)</f>
        <v/>
      </c>
    </row>
    <row r="965">
      <c r="A965" s="55" t="n">
        <v>43252</v>
      </c>
      <c r="B965" s="25">
        <f>VLOOKUP(Table1[[#This Row],[Date]],Database!A:D,3,)</f>
        <v/>
      </c>
      <c r="C965" s="26">
        <f>B965-B964</f>
        <v/>
      </c>
      <c r="D965" s="26">
        <f>AVERAGE(C963:C965)</f>
        <v/>
      </c>
      <c r="E965" s="59">
        <f>VLOOKUP(Table1[[#This Row],[Date]],Database!A:D,4,)</f>
        <v/>
      </c>
      <c r="F965" s="59">
        <f>VLOOKUP(Table1[[#This Row],[Date]],Database!A:D,2,)</f>
        <v/>
      </c>
    </row>
    <row r="966">
      <c r="A966" s="55" t="n">
        <v>43282</v>
      </c>
      <c r="B966" s="27">
        <f>VLOOKUP(Table1[[#This Row],[Date]],Database!A:D,3,)</f>
        <v/>
      </c>
      <c r="C966" s="26">
        <f>B966-B965</f>
        <v/>
      </c>
      <c r="D966" s="26">
        <f>AVERAGE(C964:C966)</f>
        <v/>
      </c>
      <c r="E966" s="59">
        <f>VLOOKUP(Table1[[#This Row],[Date]],Database!A:D,4,)</f>
        <v/>
      </c>
      <c r="F966" s="59">
        <f>VLOOKUP(Table1[[#This Row],[Date]],Database!A:D,2,)</f>
        <v/>
      </c>
    </row>
    <row r="967">
      <c r="A967" s="55" t="n">
        <v>43313</v>
      </c>
      <c r="B967" s="25">
        <f>VLOOKUP(Table1[[#This Row],[Date]],Database!A:D,3,)</f>
        <v/>
      </c>
      <c r="C967" s="26">
        <f>B967-B966</f>
        <v/>
      </c>
      <c r="D967" s="26">
        <f>AVERAGE(C965:C967)</f>
        <v/>
      </c>
      <c r="E967" s="59">
        <f>VLOOKUP(Table1[[#This Row],[Date]],Database!A:D,4,)</f>
        <v/>
      </c>
      <c r="F967" s="59">
        <f>VLOOKUP(Table1[[#This Row],[Date]],Database!A:D,2,)</f>
        <v/>
      </c>
    </row>
    <row r="968">
      <c r="A968" s="55" t="n">
        <v>43344</v>
      </c>
      <c r="B968" s="27">
        <f>VLOOKUP(Table1[[#This Row],[Date]],Database!A:D,3,)</f>
        <v/>
      </c>
      <c r="C968" s="26">
        <f>B968-B967</f>
        <v/>
      </c>
      <c r="D968" s="26">
        <f>AVERAGE(C966:C968)</f>
        <v/>
      </c>
      <c r="E968" s="59">
        <f>VLOOKUP(Table1[[#This Row],[Date]],Database!A:D,4,)</f>
        <v/>
      </c>
      <c r="F968" s="59">
        <f>VLOOKUP(Table1[[#This Row],[Date]],Database!A:D,2,)</f>
        <v/>
      </c>
    </row>
    <row r="969">
      <c r="A969" s="55" t="n">
        <v>43374</v>
      </c>
      <c r="B969" s="25">
        <f>VLOOKUP(Table1[[#This Row],[Date]],Database!A:D,3,)</f>
        <v/>
      </c>
      <c r="C969" s="26">
        <f>B969-B968</f>
        <v/>
      </c>
      <c r="D969" s="26">
        <f>AVERAGE(C967:C969)</f>
        <v/>
      </c>
      <c r="E969" s="59">
        <f>VLOOKUP(Table1[[#This Row],[Date]],Database!A:D,4,)</f>
        <v/>
      </c>
      <c r="F969" s="59">
        <f>VLOOKUP(Table1[[#This Row],[Date]],Database!A:D,2,)</f>
        <v/>
      </c>
    </row>
    <row r="970">
      <c r="A970" s="55" t="n">
        <v>43405</v>
      </c>
      <c r="B970" s="27">
        <f>VLOOKUP(Table1[[#This Row],[Date]],Database!A:D,3,)</f>
        <v/>
      </c>
      <c r="C970" s="26">
        <f>B970-B969</f>
        <v/>
      </c>
      <c r="D970" s="26">
        <f>AVERAGE(C968:C970)</f>
        <v/>
      </c>
      <c r="E970" s="59">
        <f>VLOOKUP(Table1[[#This Row],[Date]],Database!A:D,4,)</f>
        <v/>
      </c>
      <c r="F970" s="59">
        <f>VLOOKUP(Table1[[#This Row],[Date]],Database!A:D,2,)</f>
        <v/>
      </c>
    </row>
    <row r="971">
      <c r="A971" s="55" t="n">
        <v>43435</v>
      </c>
      <c r="B971" s="25">
        <f>VLOOKUP(Table1[[#This Row],[Date]],Database!A:D,3,)</f>
        <v/>
      </c>
      <c r="C971" s="26">
        <f>B971-B970</f>
        <v/>
      </c>
      <c r="D971" s="26">
        <f>AVERAGE(C969:C971)</f>
        <v/>
      </c>
      <c r="E971" s="59">
        <f>VLOOKUP(Table1[[#This Row],[Date]],Database!A:D,4,)</f>
        <v/>
      </c>
      <c r="F971" s="59">
        <f>VLOOKUP(Table1[[#This Row],[Date]],Database!A:D,2,)</f>
        <v/>
      </c>
    </row>
    <row r="972">
      <c r="A972" s="55" t="n">
        <v>43466</v>
      </c>
      <c r="B972" s="27">
        <f>VLOOKUP(Table1[[#This Row],[Date]],Database!A:D,3,)</f>
        <v/>
      </c>
      <c r="C972" s="26">
        <f>B972-B971</f>
        <v/>
      </c>
      <c r="D972" s="26">
        <f>AVERAGE(C970:C972)</f>
        <v/>
      </c>
      <c r="E972" s="59">
        <f>VLOOKUP(Table1[[#This Row],[Date]],Database!A:D,4,)</f>
        <v/>
      </c>
      <c r="F972" s="59">
        <f>VLOOKUP(Table1[[#This Row],[Date]],Database!A:D,2,)</f>
        <v/>
      </c>
    </row>
    <row r="973">
      <c r="A973" s="55" t="n">
        <v>43497</v>
      </c>
      <c r="B973" s="25">
        <f>VLOOKUP(Table1[[#This Row],[Date]],Database!A:D,3,)</f>
        <v/>
      </c>
      <c r="C973" s="26">
        <f>B973-B972</f>
        <v/>
      </c>
      <c r="D973" s="26">
        <f>AVERAGE(C971:C973)</f>
        <v/>
      </c>
      <c r="E973" s="59">
        <f>VLOOKUP(Table1[[#This Row],[Date]],Database!A:D,4,)</f>
        <v/>
      </c>
      <c r="F973" s="59">
        <f>VLOOKUP(Table1[[#This Row],[Date]],Database!A:D,2,)</f>
        <v/>
      </c>
    </row>
    <row r="974">
      <c r="A974" s="55" t="n">
        <v>43525</v>
      </c>
      <c r="B974" s="27">
        <f>VLOOKUP(Table1[[#This Row],[Date]],Database!A:D,3,)</f>
        <v/>
      </c>
      <c r="C974" s="26">
        <f>B974-B973</f>
        <v/>
      </c>
      <c r="D974" s="26">
        <f>AVERAGE(C972:C974)</f>
        <v/>
      </c>
      <c r="E974" s="59">
        <f>VLOOKUP(Table1[[#This Row],[Date]],Database!A:D,4,)</f>
        <v/>
      </c>
      <c r="F974" s="59">
        <f>VLOOKUP(Table1[[#This Row],[Date]],Database!A:D,2,)</f>
        <v/>
      </c>
    </row>
    <row r="975">
      <c r="A975" s="55" t="n">
        <v>43556</v>
      </c>
      <c r="B975" s="25">
        <f>VLOOKUP(Table1[[#This Row],[Date]],Database!A:D,3,)</f>
        <v/>
      </c>
      <c r="C975" s="26">
        <f>B975-B974</f>
        <v/>
      </c>
      <c r="D975" s="26">
        <f>AVERAGE(C973:C975)</f>
        <v/>
      </c>
      <c r="E975" s="59">
        <f>VLOOKUP(Table1[[#This Row],[Date]],Database!A:D,4,)</f>
        <v/>
      </c>
      <c r="F975" s="59">
        <f>VLOOKUP(Table1[[#This Row],[Date]],Database!A:D,2,)</f>
        <v/>
      </c>
    </row>
    <row r="976">
      <c r="A976" s="55" t="n">
        <v>43586</v>
      </c>
      <c r="B976" s="27">
        <f>VLOOKUP(Table1[[#This Row],[Date]],Database!A:D,3,)</f>
        <v/>
      </c>
      <c r="C976" s="26">
        <f>B976-B975</f>
        <v/>
      </c>
      <c r="D976" s="26">
        <f>AVERAGE(C974:C976)</f>
        <v/>
      </c>
      <c r="E976" s="59">
        <f>VLOOKUP(Table1[[#This Row],[Date]],Database!A:D,4,)</f>
        <v/>
      </c>
      <c r="F976" s="59">
        <f>VLOOKUP(Table1[[#This Row],[Date]],Database!A:D,2,)</f>
        <v/>
      </c>
    </row>
    <row r="977">
      <c r="A977" s="55" t="n">
        <v>43617</v>
      </c>
      <c r="B977" s="25">
        <f>VLOOKUP(Table1[[#This Row],[Date]],Database!A:D,3,)</f>
        <v/>
      </c>
      <c r="C977" s="26">
        <f>B977-B976</f>
        <v/>
      </c>
      <c r="D977" s="26">
        <f>AVERAGE(C975:C977)</f>
        <v/>
      </c>
      <c r="E977" s="59">
        <f>VLOOKUP(Table1[[#This Row],[Date]],Database!A:D,4,)</f>
        <v/>
      </c>
      <c r="F977" s="59">
        <f>VLOOKUP(Table1[[#This Row],[Date]],Database!A:D,2,)</f>
        <v/>
      </c>
    </row>
    <row r="978">
      <c r="A978" s="55" t="n">
        <v>43647</v>
      </c>
      <c r="B978" s="27">
        <f>VLOOKUP(Table1[[#This Row],[Date]],Database!A:D,3,)</f>
        <v/>
      </c>
      <c r="C978" s="26">
        <f>B978-B977</f>
        <v/>
      </c>
      <c r="D978" s="26">
        <f>AVERAGE(C976:C978)</f>
        <v/>
      </c>
      <c r="E978" s="59">
        <f>VLOOKUP(Table1[[#This Row],[Date]],Database!A:D,4,)</f>
        <v/>
      </c>
      <c r="F978" s="59">
        <f>VLOOKUP(Table1[[#This Row],[Date]],Database!A:D,2,)</f>
        <v/>
      </c>
    </row>
    <row r="979">
      <c r="A979" s="55" t="n">
        <v>43678</v>
      </c>
      <c r="B979" s="25">
        <f>VLOOKUP(Table1[[#This Row],[Date]],Database!A:D,3,)</f>
        <v/>
      </c>
      <c r="C979" s="26">
        <f>B979-B978</f>
        <v/>
      </c>
      <c r="D979" s="26">
        <f>AVERAGE(C977:C979)</f>
        <v/>
      </c>
      <c r="E979" s="59">
        <f>VLOOKUP(Table1[[#This Row],[Date]],Database!A:D,4,)</f>
        <v/>
      </c>
      <c r="F979" s="59">
        <f>VLOOKUP(Table1[[#This Row],[Date]],Database!A:D,2,)</f>
        <v/>
      </c>
    </row>
    <row r="980">
      <c r="A980" s="55" t="n">
        <v>43709</v>
      </c>
      <c r="B980" s="27">
        <f>VLOOKUP(Table1[[#This Row],[Date]],Database!A:D,3,)</f>
        <v/>
      </c>
      <c r="C980" s="26">
        <f>B980-B979</f>
        <v/>
      </c>
      <c r="D980" s="26">
        <f>AVERAGE(C978:C980)</f>
        <v/>
      </c>
      <c r="E980" s="59">
        <f>VLOOKUP(Table1[[#This Row],[Date]],Database!A:D,4,)</f>
        <v/>
      </c>
      <c r="F980" s="59">
        <f>VLOOKUP(Table1[[#This Row],[Date]],Database!A:D,2,)</f>
        <v/>
      </c>
    </row>
    <row r="981">
      <c r="A981" s="55" t="n">
        <v>43739</v>
      </c>
      <c r="B981" s="25">
        <f>VLOOKUP(Table1[[#This Row],[Date]],Database!A:D,3,)</f>
        <v/>
      </c>
      <c r="C981" s="26">
        <f>B981-B980</f>
        <v/>
      </c>
      <c r="D981" s="26">
        <f>AVERAGE(C979:C981)</f>
        <v/>
      </c>
      <c r="E981" s="59">
        <f>VLOOKUP(Table1[[#This Row],[Date]],Database!A:D,4,)</f>
        <v/>
      </c>
      <c r="F981" s="59">
        <f>VLOOKUP(Table1[[#This Row],[Date]],Database!A:D,2,)</f>
        <v/>
      </c>
    </row>
    <row r="982">
      <c r="A982" s="55" t="n">
        <v>43770</v>
      </c>
      <c r="B982" s="27">
        <f>VLOOKUP(Table1[[#This Row],[Date]],Database!A:D,3,)</f>
        <v/>
      </c>
      <c r="C982" s="26">
        <f>B982-B981</f>
        <v/>
      </c>
      <c r="D982" s="26">
        <f>AVERAGE(C980:C982)</f>
        <v/>
      </c>
      <c r="E982" s="59">
        <f>VLOOKUP(Table1[[#This Row],[Date]],Database!A:D,4,)</f>
        <v/>
      </c>
      <c r="F982" s="59">
        <f>VLOOKUP(Table1[[#This Row],[Date]],Database!A:D,2,)</f>
        <v/>
      </c>
    </row>
    <row r="983">
      <c r="A983" s="55" t="n">
        <v>43800</v>
      </c>
      <c r="B983" s="25">
        <f>VLOOKUP(Table1[[#This Row],[Date]],Database!A:D,3,)</f>
        <v/>
      </c>
      <c r="C983" s="26">
        <f>B983-B982</f>
        <v/>
      </c>
      <c r="D983" s="26">
        <f>AVERAGE(C981:C983)</f>
        <v/>
      </c>
      <c r="E983" s="59">
        <f>VLOOKUP(Table1[[#This Row],[Date]],Database!A:D,4,)</f>
        <v/>
      </c>
      <c r="F983" s="59">
        <f>VLOOKUP(Table1[[#This Row],[Date]],Database!A:D,2,)</f>
        <v/>
      </c>
    </row>
    <row r="984">
      <c r="A984" s="55" t="n">
        <v>43831</v>
      </c>
      <c r="B984" s="27">
        <f>VLOOKUP(Table1[[#This Row],[Date]],Database!A:D,3,)</f>
        <v/>
      </c>
      <c r="C984" s="26">
        <f>B984-B983</f>
        <v/>
      </c>
      <c r="D984" s="26">
        <f>AVERAGE(C982:C984)</f>
        <v/>
      </c>
      <c r="E984" s="59">
        <f>VLOOKUP(Table1[[#This Row],[Date]],Database!A:D,4,)</f>
        <v/>
      </c>
      <c r="F984" s="59">
        <f>VLOOKUP(Table1[[#This Row],[Date]],Database!A:D,2,)</f>
        <v/>
      </c>
    </row>
    <row r="985">
      <c r="A985" s="55" t="n">
        <v>43862</v>
      </c>
      <c r="B985" s="25">
        <f>VLOOKUP(Table1[[#This Row],[Date]],Database!A:D,3,)</f>
        <v/>
      </c>
      <c r="C985" s="26">
        <f>B985-B984</f>
        <v/>
      </c>
      <c r="D985" s="26">
        <f>AVERAGE(C983:C985)</f>
        <v/>
      </c>
      <c r="E985" s="59">
        <f>VLOOKUP(Table1[[#This Row],[Date]],Database!A:D,4,)</f>
        <v/>
      </c>
      <c r="F985" s="59">
        <f>VLOOKUP(Table1[[#This Row],[Date]],Database!A:D,2,)</f>
        <v/>
      </c>
    </row>
    <row r="986">
      <c r="A986" s="55" t="n">
        <v>43891</v>
      </c>
      <c r="B986" s="27">
        <f>VLOOKUP(Table1[[#This Row],[Date]],Database!A:D,3,)</f>
        <v/>
      </c>
      <c r="C986" s="26">
        <f>B986-B985</f>
        <v/>
      </c>
      <c r="D986" s="26">
        <f>AVERAGE(C984:C986)</f>
        <v/>
      </c>
      <c r="E986" s="59">
        <f>VLOOKUP(Table1[[#This Row],[Date]],Database!A:D,4,)</f>
        <v/>
      </c>
      <c r="F986" s="59">
        <f>VLOOKUP(Table1[[#This Row],[Date]],Database!A:D,2,)</f>
        <v/>
      </c>
    </row>
    <row r="987">
      <c r="A987" s="55" t="n">
        <v>43922</v>
      </c>
      <c r="B987" s="25">
        <f>VLOOKUP(Table1[[#This Row],[Date]],Database!A:D,3,)</f>
        <v/>
      </c>
      <c r="C987" s="26">
        <f>B987-B986</f>
        <v/>
      </c>
      <c r="D987" s="26">
        <f>AVERAGE(C985:C987)</f>
        <v/>
      </c>
      <c r="E987" s="59">
        <f>VLOOKUP(Table1[[#This Row],[Date]],Database!A:D,4,)</f>
        <v/>
      </c>
      <c r="F987" s="59">
        <f>VLOOKUP(Table1[[#This Row],[Date]],Database!A:D,2,)</f>
        <v/>
      </c>
    </row>
    <row r="988">
      <c r="A988" s="55" t="n">
        <v>43952</v>
      </c>
      <c r="B988" s="27">
        <f>VLOOKUP(Table1[[#This Row],[Date]],Database!A:D,3,)</f>
        <v/>
      </c>
      <c r="C988" s="26">
        <f>B988-B987</f>
        <v/>
      </c>
      <c r="D988" s="26">
        <f>AVERAGE(C986:C988)</f>
        <v/>
      </c>
      <c r="E988" s="59">
        <f>VLOOKUP(Table1[[#This Row],[Date]],Database!A:D,4,)</f>
        <v/>
      </c>
      <c r="F988" s="59">
        <f>VLOOKUP(Table1[[#This Row],[Date]],Database!A:D,2,)</f>
        <v/>
      </c>
    </row>
    <row r="989">
      <c r="A989" s="55" t="n">
        <v>43983</v>
      </c>
      <c r="B989" s="25">
        <f>VLOOKUP(Table1[[#This Row],[Date]],Database!A:D,3,)</f>
        <v/>
      </c>
      <c r="C989" s="26">
        <f>B989-B988</f>
        <v/>
      </c>
      <c r="D989" s="26">
        <f>AVERAGE(C987:C989)</f>
        <v/>
      </c>
      <c r="E989" s="59">
        <f>VLOOKUP(Table1[[#This Row],[Date]],Database!A:D,4,)</f>
        <v/>
      </c>
      <c r="F989" s="59">
        <f>VLOOKUP(Table1[[#This Row],[Date]],Database!A:D,2,)</f>
        <v/>
      </c>
    </row>
    <row r="990">
      <c r="A990" s="55" t="n">
        <v>44013</v>
      </c>
      <c r="B990" s="27">
        <f>VLOOKUP(Table1[[#This Row],[Date]],Database!A:D,3,)</f>
        <v/>
      </c>
      <c r="C990" s="26">
        <f>B990-B989</f>
        <v/>
      </c>
      <c r="D990" s="26">
        <f>AVERAGE(C988:C990)</f>
        <v/>
      </c>
      <c r="E990" s="59">
        <f>VLOOKUP(Table1[[#This Row],[Date]],Database!A:D,4,)</f>
        <v/>
      </c>
      <c r="F990" s="59">
        <f>VLOOKUP(Table1[[#This Row],[Date]],Database!A:D,2,)</f>
        <v/>
      </c>
    </row>
    <row r="991">
      <c r="A991" s="55" t="n">
        <v>44044</v>
      </c>
      <c r="B991" s="25">
        <f>VLOOKUP(Table1[[#This Row],[Date]],Database!A:D,3,)</f>
        <v/>
      </c>
      <c r="C991" s="26">
        <f>B991-B990</f>
        <v/>
      </c>
      <c r="D991" s="26">
        <f>AVERAGE(C989:C991)</f>
        <v/>
      </c>
      <c r="E991" s="59">
        <f>VLOOKUP(Table1[[#This Row],[Date]],Database!A:D,4,)</f>
        <v/>
      </c>
      <c r="F991" s="59">
        <f>VLOOKUP(Table1[[#This Row],[Date]],Database!A:D,2,)</f>
        <v/>
      </c>
    </row>
    <row r="992">
      <c r="A992" s="55" t="n">
        <v>44075</v>
      </c>
      <c r="B992" s="27">
        <f>VLOOKUP(Table1[[#This Row],[Date]],Database!A:D,3,)</f>
        <v/>
      </c>
      <c r="C992" s="26">
        <f>B992-B991</f>
        <v/>
      </c>
      <c r="D992" s="26">
        <f>AVERAGE(C990:C992)</f>
        <v/>
      </c>
      <c r="E992" s="59">
        <f>VLOOKUP(Table1[[#This Row],[Date]],Database!A:D,4,)</f>
        <v/>
      </c>
      <c r="F992" s="59">
        <f>VLOOKUP(Table1[[#This Row],[Date]],Database!A:D,2,)</f>
        <v/>
      </c>
    </row>
    <row r="993">
      <c r="A993" s="55" t="n">
        <v>44105</v>
      </c>
      <c r="B993" s="25">
        <f>VLOOKUP(Table1[[#This Row],[Date]],Database!A:D,3,)</f>
        <v/>
      </c>
      <c r="C993" s="26">
        <f>B993-B992</f>
        <v/>
      </c>
      <c r="D993" s="26">
        <f>AVERAGE(C991:C993)</f>
        <v/>
      </c>
      <c r="E993" s="59">
        <f>VLOOKUP(Table1[[#This Row],[Date]],Database!A:D,4,)</f>
        <v/>
      </c>
      <c r="F993" s="59">
        <f>VLOOKUP(Table1[[#This Row],[Date]],Database!A:D,2,)</f>
        <v/>
      </c>
    </row>
    <row r="994">
      <c r="A994" s="55" t="n">
        <v>44136</v>
      </c>
      <c r="B994" s="27">
        <f>VLOOKUP(Table1[[#This Row],[Date]],Database!A:D,3,)</f>
        <v/>
      </c>
      <c r="C994" s="26">
        <f>B994-B993</f>
        <v/>
      </c>
      <c r="D994" s="26">
        <f>AVERAGE(C992:C994)</f>
        <v/>
      </c>
      <c r="E994" s="59">
        <f>VLOOKUP(Table1[[#This Row],[Date]],Database!A:D,4,)</f>
        <v/>
      </c>
      <c r="F994" s="59">
        <f>VLOOKUP(Table1[[#This Row],[Date]],Database!A:D,2,)</f>
        <v/>
      </c>
    </row>
    <row r="995">
      <c r="A995" s="55" t="n">
        <v>44166</v>
      </c>
      <c r="B995" s="25">
        <f>VLOOKUP(Table1[[#This Row],[Date]],Database!A:D,3,)</f>
        <v/>
      </c>
      <c r="C995" s="26">
        <f>B995-B994</f>
        <v/>
      </c>
      <c r="D995" s="26">
        <f>AVERAGE(C993:C995)</f>
        <v/>
      </c>
      <c r="E995" s="59">
        <f>VLOOKUP(Table1[[#This Row],[Date]],Database!A:D,4,)</f>
        <v/>
      </c>
      <c r="F995" s="59">
        <f>VLOOKUP(Table1[[#This Row],[Date]],Database!A:D,2,)</f>
        <v/>
      </c>
    </row>
    <row r="996">
      <c r="A996" s="55" t="n">
        <v>44197</v>
      </c>
      <c r="B996" s="27">
        <f>VLOOKUP(Table1[[#This Row],[Date]],Database!A:D,3,)</f>
        <v/>
      </c>
      <c r="C996" s="26">
        <f>B996-B995</f>
        <v/>
      </c>
      <c r="D996" s="26">
        <f>AVERAGE(C994:C996)</f>
        <v/>
      </c>
      <c r="E996" s="59">
        <f>VLOOKUP(Table1[[#This Row],[Date]],Database!A:D,4,)</f>
        <v/>
      </c>
      <c r="F996" s="59">
        <f>VLOOKUP(Table1[[#This Row],[Date]],Database!A:D,2,)</f>
        <v/>
      </c>
    </row>
    <row r="997">
      <c r="A997" s="55" t="n">
        <v>44228</v>
      </c>
      <c r="B997" s="25">
        <f>VLOOKUP(Table1[[#This Row],[Date]],Database!A:D,3,)</f>
        <v/>
      </c>
      <c r="C997" s="26">
        <f>B997-B996</f>
        <v/>
      </c>
      <c r="D997" s="26">
        <f>AVERAGE(C995:C997)</f>
        <v/>
      </c>
      <c r="E997" s="59">
        <f>VLOOKUP(Table1[[#This Row],[Date]],Database!A:D,4,)</f>
        <v/>
      </c>
      <c r="F997" s="59">
        <f>VLOOKUP(Table1[[#This Row],[Date]],Database!A:D,2,)</f>
        <v/>
      </c>
    </row>
    <row r="998">
      <c r="A998" s="55" t="n">
        <v>44256</v>
      </c>
      <c r="B998" s="27">
        <f>VLOOKUP(Table1[[#This Row],[Date]],Database!A:D,3,)</f>
        <v/>
      </c>
      <c r="C998" s="26">
        <f>B998-B997</f>
        <v/>
      </c>
      <c r="D998" s="26">
        <f>AVERAGE(C996:C998)</f>
        <v/>
      </c>
      <c r="E998" s="59">
        <f>VLOOKUP(Table1[[#This Row],[Date]],Database!A:D,4,)</f>
        <v/>
      </c>
      <c r="F998" s="59">
        <f>VLOOKUP(Table1[[#This Row],[Date]],Database!A:D,2,)</f>
        <v/>
      </c>
    </row>
    <row r="999">
      <c r="A999" s="55" t="n">
        <v>44287</v>
      </c>
      <c r="B999" s="25">
        <f>VLOOKUP(Table1[[#This Row],[Date]],Database!A:D,3,)</f>
        <v/>
      </c>
      <c r="C999" s="26">
        <f>B999-B998</f>
        <v/>
      </c>
      <c r="D999" s="26">
        <f>AVERAGE(C997:C999)</f>
        <v/>
      </c>
      <c r="E999" s="59">
        <f>VLOOKUP(Table1[[#This Row],[Date]],Database!A:D,4,)</f>
        <v/>
      </c>
      <c r="F999" s="59">
        <f>VLOOKUP(Table1[[#This Row],[Date]],Database!A:D,2,)</f>
        <v/>
      </c>
    </row>
    <row r="1000">
      <c r="A1000" s="55" t="n">
        <v>44317</v>
      </c>
      <c r="B1000" s="27">
        <f>VLOOKUP(Table1[[#This Row],[Date]],Database!A:D,3,)</f>
        <v/>
      </c>
      <c r="C1000" s="26">
        <f>B1000-B999</f>
        <v/>
      </c>
      <c r="D1000" s="26">
        <f>AVERAGE(C998:C1000)</f>
        <v/>
      </c>
      <c r="E1000" s="59">
        <f>VLOOKUP(Table1[[#This Row],[Date]],Database!A:D,4,)</f>
        <v/>
      </c>
      <c r="F1000" s="59">
        <f>VLOOKUP(Table1[[#This Row],[Date]],Database!A:D,2,)</f>
        <v/>
      </c>
    </row>
    <row r="1001">
      <c r="A1001" s="55" t="n">
        <v>44348</v>
      </c>
      <c r="B1001" s="25">
        <f>VLOOKUP(Table1[[#This Row],[Date]],Database!A:D,3,)</f>
        <v/>
      </c>
      <c r="C1001" s="26">
        <f>B1001-B1000</f>
        <v/>
      </c>
      <c r="D1001" s="26">
        <f>AVERAGE(C999:C1001)</f>
        <v/>
      </c>
      <c r="E1001" s="59">
        <f>VLOOKUP(Table1[[#This Row],[Date]],Database!A:D,4,)</f>
        <v/>
      </c>
      <c r="F1001" s="59">
        <f>VLOOKUP(Table1[[#This Row],[Date]],Database!A:D,2,)</f>
        <v/>
      </c>
    </row>
    <row r="1002">
      <c r="A1002" s="55" t="n">
        <v>44378</v>
      </c>
      <c r="B1002" s="27">
        <f>VLOOKUP(Table1[[#This Row],[Date]],Database!A:D,3,)</f>
        <v/>
      </c>
      <c r="C1002" s="26">
        <f>B1002-B1001</f>
        <v/>
      </c>
      <c r="D1002" s="26">
        <f>AVERAGE(C1000:C1002)</f>
        <v/>
      </c>
      <c r="E1002" s="59">
        <f>VLOOKUP(Table1[[#This Row],[Date]],Database!A:D,4,)</f>
        <v/>
      </c>
      <c r="F1002" s="59">
        <f>VLOOKUP(Table1[[#This Row],[Date]],Database!A:D,2,)</f>
        <v/>
      </c>
    </row>
    <row r="1003">
      <c r="A1003" s="55" t="n">
        <v>44409</v>
      </c>
      <c r="B1003" s="25">
        <f>VLOOKUP(Table1[[#This Row],[Date]],Database!A:D,3,)</f>
        <v/>
      </c>
      <c r="C1003" s="26">
        <f>B1003-B1002</f>
        <v/>
      </c>
      <c r="D1003" s="26">
        <f>AVERAGE(C1001:C1003)</f>
        <v/>
      </c>
      <c r="E1003" s="59">
        <f>VLOOKUP(Table1[[#This Row],[Date]],Database!A:D,4,)</f>
        <v/>
      </c>
      <c r="F1003" s="59">
        <f>VLOOKUP(Table1[[#This Row],[Date]],Database!A:D,2,)</f>
        <v/>
      </c>
      <c r="J1003" s="47">
        <f>B1003-B985</f>
        <v/>
      </c>
      <c r="K1003" s="48" t="n"/>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4">
    <tabColor rgb="FF00B050"/>
    <outlinePr summaryBelow="1" summaryRight="1"/>
    <pageSetUpPr/>
  </sheetPr>
  <dimension ref="A1:E2855"/>
  <sheetViews>
    <sheetView zoomScale="130" zoomScaleNormal="130" workbookViewId="0">
      <pane ySplit="4" topLeftCell="A2674" activePane="bottomLeft" state="frozen"/>
      <selection activeCell="K1" sqref="K1"/>
      <selection pane="bottomLeft" activeCell="I23" sqref="I23"/>
    </sheetView>
  </sheetViews>
  <sheetFormatPr baseColWidth="10" defaultColWidth="8.83203125" defaultRowHeight="15"/>
  <cols>
    <col width="10.6640625" bestFit="1" customWidth="1" style="50" min="1" max="1"/>
    <col width="14.6640625" customWidth="1" style="50" min="2" max="2"/>
    <col width="18.6640625" customWidth="1" style="50" min="4" max="4"/>
    <col width="12" customWidth="1" style="50" min="5" max="5"/>
    <col width="9.1640625" customWidth="1" style="70" min="6" max="168"/>
  </cols>
  <sheetData>
    <row r="1" customFormat="1" s="70">
      <c r="B1" s="70" t="inlineStr">
        <is>
          <t>ICSA</t>
        </is>
      </c>
      <c r="D1" s="70" t="inlineStr">
        <is>
          <t>CCSA</t>
        </is>
      </c>
    </row>
    <row r="2" customFormat="1" s="70"/>
    <row r="3" customFormat="1" s="70"/>
    <row r="4" ht="16" customHeight="1" s="50">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9" t="n"/>
      <c r="D5" s="25">
        <f>VLOOKUP(A5,'Database Claims'!$A:$C,2,)</f>
        <v/>
      </c>
      <c r="E5" s="59"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70">
      <c r="A2745" s="28" t="n">
        <v>43659</v>
      </c>
      <c r="B2745" s="25">
        <f>VLOOKUP(A2745,'Database Claims'!$A:$C,3,)</f>
        <v/>
      </c>
      <c r="C2745" s="29">
        <f>B2745-B2744</f>
        <v/>
      </c>
      <c r="D2745" s="25">
        <f>VLOOKUP(A2745,'Database Claims'!$A:$C,2,)</f>
        <v/>
      </c>
      <c r="E2745" s="29">
        <f>D2745-D2744</f>
        <v/>
      </c>
    </row>
    <row r="2746" customFormat="1" s="70">
      <c r="A2746" s="28" t="n">
        <v>43666</v>
      </c>
      <c r="B2746" s="29">
        <f>VLOOKUP(A2746,'Database Claims'!$A:$C,3,)</f>
        <v/>
      </c>
      <c r="C2746" s="29">
        <f>B2746-B2745</f>
        <v/>
      </c>
      <c r="D2746" s="29">
        <f>VLOOKUP(A2746,'Database Claims'!$A:$C,2,)</f>
        <v/>
      </c>
      <c r="E2746" s="29">
        <f>D2746-D2745</f>
        <v/>
      </c>
    </row>
    <row r="2747" customFormat="1" s="70">
      <c r="A2747" s="28" t="n">
        <v>43673</v>
      </c>
      <c r="B2747" s="25">
        <f>VLOOKUP(A2747,'Database Claims'!$A:$C,3,)</f>
        <v/>
      </c>
      <c r="C2747" s="29">
        <f>B2747-B2746</f>
        <v/>
      </c>
      <c r="D2747" s="25">
        <f>VLOOKUP(A2747,'Database Claims'!$A:$C,2,)</f>
        <v/>
      </c>
      <c r="E2747" s="29">
        <f>D2747-D2746</f>
        <v/>
      </c>
    </row>
    <row r="2748" customFormat="1" s="70">
      <c r="A2748" s="28" t="n">
        <v>43680</v>
      </c>
      <c r="B2748" s="29">
        <f>VLOOKUP(A2748,'Database Claims'!$A:$C,3,)</f>
        <v/>
      </c>
      <c r="C2748" s="29">
        <f>B2748-B2747</f>
        <v/>
      </c>
      <c r="D2748" s="29">
        <f>VLOOKUP(A2748,'Database Claims'!$A:$C,2,)</f>
        <v/>
      </c>
      <c r="E2748" s="29">
        <f>D2748-D2747</f>
        <v/>
      </c>
    </row>
    <row r="2749" customFormat="1" s="70">
      <c r="A2749" s="28" t="n">
        <v>43687</v>
      </c>
      <c r="B2749" s="25">
        <f>VLOOKUP(A2749,'Database Claims'!$A:$C,3,)</f>
        <v/>
      </c>
      <c r="C2749" s="29">
        <f>B2749-B2748</f>
        <v/>
      </c>
      <c r="D2749" s="25">
        <f>VLOOKUP(A2749,'Database Claims'!$A:$C,2,)</f>
        <v/>
      </c>
      <c r="E2749" s="29">
        <f>D2749-D2748</f>
        <v/>
      </c>
    </row>
    <row r="2750" customFormat="1" s="70">
      <c r="A2750" s="28" t="n">
        <v>43694</v>
      </c>
      <c r="B2750" s="29">
        <f>VLOOKUP(A2750,'Database Claims'!$A:$C,3,)</f>
        <v/>
      </c>
      <c r="C2750" s="29">
        <f>B2750-B2749</f>
        <v/>
      </c>
      <c r="D2750" s="29">
        <f>VLOOKUP(A2750,'Database Claims'!$A:$C,2,)</f>
        <v/>
      </c>
      <c r="E2750" s="29">
        <f>D2750-D2749</f>
        <v/>
      </c>
    </row>
    <row r="2751" customFormat="1" s="70">
      <c r="A2751" s="28" t="n">
        <v>43701</v>
      </c>
      <c r="B2751" s="25">
        <f>VLOOKUP(A2751,'Database Claims'!$A:$C,3,)</f>
        <v/>
      </c>
      <c r="C2751" s="29">
        <f>B2751-B2750</f>
        <v/>
      </c>
      <c r="D2751" s="25">
        <f>VLOOKUP(A2751,'Database Claims'!$A:$C,2,)</f>
        <v/>
      </c>
      <c r="E2751" s="29">
        <f>D2751-D2750</f>
        <v/>
      </c>
    </row>
    <row r="2752" customFormat="1" s="70">
      <c r="A2752" s="28" t="n">
        <v>43708</v>
      </c>
      <c r="B2752" s="29">
        <f>VLOOKUP(A2752,'Database Claims'!$A:$C,3,)</f>
        <v/>
      </c>
      <c r="C2752" s="29">
        <f>B2752-B2751</f>
        <v/>
      </c>
      <c r="D2752" s="29">
        <f>VLOOKUP(A2752,'Database Claims'!$A:$C,2,)</f>
        <v/>
      </c>
      <c r="E2752" s="29">
        <f>D2752-D2751</f>
        <v/>
      </c>
    </row>
    <row r="2753" customFormat="1" s="70">
      <c r="A2753" s="28" t="n">
        <v>43715</v>
      </c>
      <c r="B2753" s="25">
        <f>VLOOKUP(A2753,'Database Claims'!$A:$C,3,)</f>
        <v/>
      </c>
      <c r="C2753" s="29">
        <f>B2753-B2752</f>
        <v/>
      </c>
      <c r="D2753" s="25">
        <f>VLOOKUP(A2753,'Database Claims'!$A:$C,2,)</f>
        <v/>
      </c>
      <c r="E2753" s="29">
        <f>D2753-D2752</f>
        <v/>
      </c>
    </row>
    <row r="2754" customFormat="1" s="70">
      <c r="A2754" s="28" t="n">
        <v>43722</v>
      </c>
      <c r="B2754" s="29">
        <f>VLOOKUP(A2754,'Database Claims'!$A:$C,3,)</f>
        <v/>
      </c>
      <c r="C2754" s="29">
        <f>B2754-B2753</f>
        <v/>
      </c>
      <c r="D2754" s="29">
        <f>VLOOKUP(A2754,'Database Claims'!$A:$C,2,)</f>
        <v/>
      </c>
      <c r="E2754" s="29">
        <f>D2754-D2753</f>
        <v/>
      </c>
    </row>
    <row r="2755" customFormat="1" s="70">
      <c r="A2755" s="28" t="n">
        <v>43729</v>
      </c>
      <c r="B2755" s="25">
        <f>VLOOKUP(A2755,'Database Claims'!$A:$C,3,)</f>
        <v/>
      </c>
      <c r="C2755" s="29">
        <f>B2755-B2754</f>
        <v/>
      </c>
      <c r="D2755" s="25">
        <f>VLOOKUP(A2755,'Database Claims'!$A:$C,2,)</f>
        <v/>
      </c>
      <c r="E2755" s="29">
        <f>D2755-D2754</f>
        <v/>
      </c>
    </row>
    <row r="2756" customFormat="1" s="70">
      <c r="A2756" s="28" t="n">
        <v>43736</v>
      </c>
      <c r="B2756" s="29">
        <f>VLOOKUP(A2756,'Database Claims'!$A:$C,3,)</f>
        <v/>
      </c>
      <c r="C2756" s="29">
        <f>B2756-B2755</f>
        <v/>
      </c>
      <c r="D2756" s="29">
        <f>VLOOKUP(A2756,'Database Claims'!$A:$C,2,)</f>
        <v/>
      </c>
      <c r="E2756" s="29">
        <f>D2756-D2755</f>
        <v/>
      </c>
    </row>
    <row r="2757" customFormat="1" s="70">
      <c r="A2757" s="28" t="n">
        <v>43743</v>
      </c>
      <c r="B2757" s="25">
        <f>VLOOKUP(A2757,'Database Claims'!$A:$C,3,)</f>
        <v/>
      </c>
      <c r="C2757" s="29">
        <f>B2757-B2756</f>
        <v/>
      </c>
      <c r="D2757" s="25">
        <f>VLOOKUP(A2757,'Database Claims'!$A:$C,2,)</f>
        <v/>
      </c>
      <c r="E2757" s="29">
        <f>D2757-D2756</f>
        <v/>
      </c>
    </row>
    <row r="2758" customFormat="1" s="70">
      <c r="A2758" s="28" t="n">
        <v>43750</v>
      </c>
      <c r="B2758" s="29">
        <f>VLOOKUP(A2758,'Database Claims'!$A:$C,3,)</f>
        <v/>
      </c>
      <c r="C2758" s="29">
        <f>B2758-B2757</f>
        <v/>
      </c>
      <c r="D2758" s="29">
        <f>VLOOKUP(A2758,'Database Claims'!$A:$C,2,)</f>
        <v/>
      </c>
      <c r="E2758" s="29">
        <f>D2758-D2757</f>
        <v/>
      </c>
    </row>
    <row r="2759" customFormat="1" s="70">
      <c r="A2759" s="28" t="n">
        <v>43757</v>
      </c>
      <c r="B2759" s="25">
        <f>VLOOKUP(A2759,'Database Claims'!$A:$C,3,)</f>
        <v/>
      </c>
      <c r="C2759" s="29">
        <f>B2759-B2758</f>
        <v/>
      </c>
      <c r="D2759" s="25">
        <f>VLOOKUP(A2759,'Database Claims'!$A:$C,2,)</f>
        <v/>
      </c>
      <c r="E2759" s="29">
        <f>D2759-D2758</f>
        <v/>
      </c>
    </row>
    <row r="2760" customFormat="1" s="70">
      <c r="A2760" s="28" t="n">
        <v>43764</v>
      </c>
      <c r="B2760" s="29">
        <f>VLOOKUP(A2760,'Database Claims'!$A:$C,3,)</f>
        <v/>
      </c>
      <c r="C2760" s="29">
        <f>B2760-B2759</f>
        <v/>
      </c>
      <c r="D2760" s="29">
        <f>VLOOKUP(A2760,'Database Claims'!$A:$C,2,)</f>
        <v/>
      </c>
      <c r="E2760" s="29">
        <f>D2760-D2759</f>
        <v/>
      </c>
    </row>
    <row r="2761" customFormat="1" s="70">
      <c r="A2761" s="28" t="n">
        <v>43771</v>
      </c>
      <c r="B2761" s="25">
        <f>VLOOKUP(A2761,'Database Claims'!$A:$C,3,)</f>
        <v/>
      </c>
      <c r="C2761" s="29">
        <f>B2761-B2760</f>
        <v/>
      </c>
      <c r="D2761" s="25">
        <f>VLOOKUP(A2761,'Database Claims'!$A:$C,2,)</f>
        <v/>
      </c>
      <c r="E2761" s="29">
        <f>D2761-D2760</f>
        <v/>
      </c>
    </row>
    <row r="2762" customFormat="1" s="70">
      <c r="A2762" s="28" t="n">
        <v>43778</v>
      </c>
      <c r="B2762" s="29">
        <f>VLOOKUP(A2762,'Database Claims'!$A:$C,3,)</f>
        <v/>
      </c>
      <c r="C2762" s="29">
        <f>B2762-B2761</f>
        <v/>
      </c>
      <c r="D2762" s="29">
        <f>VLOOKUP(A2762,'Database Claims'!$A:$C,2,)</f>
        <v/>
      </c>
      <c r="E2762" s="29">
        <f>D2762-D2761</f>
        <v/>
      </c>
    </row>
    <row r="2763" customFormat="1" s="70">
      <c r="A2763" s="28" t="n">
        <v>43785</v>
      </c>
      <c r="B2763" s="25">
        <f>VLOOKUP(A2763,'Database Claims'!$A:$C,3,)</f>
        <v/>
      </c>
      <c r="C2763" s="29">
        <f>B2763-B2762</f>
        <v/>
      </c>
      <c r="D2763" s="25">
        <f>VLOOKUP(A2763,'Database Claims'!$A:$C,2,)</f>
        <v/>
      </c>
      <c r="E2763" s="29">
        <f>D2763-D2762</f>
        <v/>
      </c>
    </row>
    <row r="2764" customFormat="1" s="70">
      <c r="A2764" s="28" t="n">
        <v>43792</v>
      </c>
      <c r="B2764" s="29">
        <f>VLOOKUP(A2764,'Database Claims'!$A:$C,3,)</f>
        <v/>
      </c>
      <c r="C2764" s="29">
        <f>B2764-B2763</f>
        <v/>
      </c>
      <c r="D2764" s="29">
        <f>VLOOKUP(A2764,'Database Claims'!$A:$C,2,)</f>
        <v/>
      </c>
      <c r="E2764" s="29">
        <f>D2764-D2763</f>
        <v/>
      </c>
    </row>
    <row r="2765" customFormat="1" s="70">
      <c r="A2765" s="28" t="n">
        <v>43799</v>
      </c>
      <c r="B2765" s="25">
        <f>VLOOKUP(A2765,'Database Claims'!$A:$C,3,)</f>
        <v/>
      </c>
      <c r="C2765" s="29">
        <f>B2765-B2764</f>
        <v/>
      </c>
      <c r="D2765" s="25">
        <f>VLOOKUP(A2765,'Database Claims'!$A:$C,2,)</f>
        <v/>
      </c>
      <c r="E2765" s="29">
        <f>D2765-D2764</f>
        <v/>
      </c>
    </row>
    <row r="2766" customFormat="1" s="70">
      <c r="A2766" s="28" t="n">
        <v>43806</v>
      </c>
      <c r="B2766" s="29">
        <f>VLOOKUP(A2766,'Database Claims'!$A:$C,3,)</f>
        <v/>
      </c>
      <c r="C2766" s="29">
        <f>B2766-B2765</f>
        <v/>
      </c>
      <c r="D2766" s="29">
        <f>VLOOKUP(A2766,'Database Claims'!$A:$C,2,)</f>
        <v/>
      </c>
      <c r="E2766" s="29">
        <f>D2766-D2765</f>
        <v/>
      </c>
    </row>
    <row r="2767" customFormat="1" s="70">
      <c r="A2767" s="28" t="n">
        <v>43813</v>
      </c>
      <c r="B2767" s="25">
        <f>VLOOKUP(A2767,'Database Claims'!$A:$C,3,)</f>
        <v/>
      </c>
      <c r="C2767" s="29">
        <f>B2767-B2766</f>
        <v/>
      </c>
      <c r="D2767" s="25">
        <f>VLOOKUP(A2767,'Database Claims'!$A:$C,2,)</f>
        <v/>
      </c>
      <c r="E2767" s="29">
        <f>D2767-D2766</f>
        <v/>
      </c>
    </row>
    <row r="2768" customFormat="1" s="70">
      <c r="A2768" s="28" t="n">
        <v>43820</v>
      </c>
      <c r="B2768" s="29">
        <f>VLOOKUP(A2768,'Database Claims'!$A:$C,3,)</f>
        <v/>
      </c>
      <c r="C2768" s="29">
        <f>B2768-B2767</f>
        <v/>
      </c>
      <c r="D2768" s="29">
        <f>VLOOKUP(A2768,'Database Claims'!$A:$C,2,)</f>
        <v/>
      </c>
      <c r="E2768" s="29">
        <f>D2768-D2767</f>
        <v/>
      </c>
    </row>
    <row r="2769" customFormat="1" s="70">
      <c r="A2769" s="28" t="n">
        <v>43827</v>
      </c>
      <c r="B2769" s="25">
        <f>VLOOKUP(A2769,'Database Claims'!$A:$C,3,)</f>
        <v/>
      </c>
      <c r="C2769" s="29">
        <f>B2769-B2768</f>
        <v/>
      </c>
      <c r="D2769" s="25">
        <f>VLOOKUP(A2769,'Database Claims'!$A:$C,2,)</f>
        <v/>
      </c>
      <c r="E2769" s="29">
        <f>D2769-D2768</f>
        <v/>
      </c>
    </row>
    <row r="2770" customFormat="1" s="70">
      <c r="A2770" s="28" t="n">
        <v>43834</v>
      </c>
      <c r="B2770" s="29">
        <f>VLOOKUP(A2770,'Database Claims'!$A:$C,3,)</f>
        <v/>
      </c>
      <c r="C2770" s="29">
        <f>B2770-B2769</f>
        <v/>
      </c>
      <c r="D2770" s="29">
        <f>VLOOKUP(A2770,'Database Claims'!$A:$C,2,)</f>
        <v/>
      </c>
      <c r="E2770" s="29">
        <f>D2770-D2769</f>
        <v/>
      </c>
    </row>
    <row r="2771" customFormat="1" s="70">
      <c r="A2771" s="28" t="n">
        <v>43841</v>
      </c>
      <c r="B2771" s="25">
        <f>VLOOKUP(A2771,'Database Claims'!$A:$C,3,)</f>
        <v/>
      </c>
      <c r="C2771" s="29">
        <f>B2771-B2770</f>
        <v/>
      </c>
      <c r="D2771" s="25">
        <f>VLOOKUP(A2771,'Database Claims'!$A:$C,2,)</f>
        <v/>
      </c>
      <c r="E2771" s="29">
        <f>D2771-D2770</f>
        <v/>
      </c>
    </row>
    <row r="2772" customFormat="1" s="70">
      <c r="A2772" s="28" t="n">
        <v>43848</v>
      </c>
      <c r="B2772" s="29">
        <f>VLOOKUP(A2772,'Database Claims'!$A:$C,3,)</f>
        <v/>
      </c>
      <c r="C2772" s="29">
        <f>B2772-B2771</f>
        <v/>
      </c>
      <c r="D2772" s="29">
        <f>VLOOKUP(A2772,'Database Claims'!$A:$C,2,)</f>
        <v/>
      </c>
      <c r="E2772" s="29">
        <f>D2772-D2771</f>
        <v/>
      </c>
    </row>
    <row r="2773" customFormat="1" s="70">
      <c r="A2773" s="28" t="n">
        <v>43855</v>
      </c>
      <c r="B2773" s="25">
        <f>VLOOKUP(A2773,'Database Claims'!$A:$C,3,)</f>
        <v/>
      </c>
      <c r="C2773" s="29">
        <f>B2773-B2772</f>
        <v/>
      </c>
      <c r="D2773" s="25">
        <f>VLOOKUP(A2773,'Database Claims'!$A:$C,2,)</f>
        <v/>
      </c>
      <c r="E2773" s="29">
        <f>D2773-D2772</f>
        <v/>
      </c>
    </row>
    <row r="2774" customFormat="1" s="70">
      <c r="A2774" s="28" t="n">
        <v>43862</v>
      </c>
      <c r="B2774" s="29">
        <f>VLOOKUP(A2774,'Database Claims'!$A:$C,3,)</f>
        <v/>
      </c>
      <c r="C2774" s="29">
        <f>B2774-B2773</f>
        <v/>
      </c>
      <c r="D2774" s="29">
        <f>VLOOKUP(A2774,'Database Claims'!$A:$C,2,)</f>
        <v/>
      </c>
      <c r="E2774" s="29">
        <f>D2774-D2773</f>
        <v/>
      </c>
    </row>
    <row r="2775" customFormat="1" s="70">
      <c r="A2775" s="28" t="n">
        <v>43869</v>
      </c>
      <c r="B2775" s="25">
        <f>VLOOKUP(A2775,'Database Claims'!$A:$C,3,)</f>
        <v/>
      </c>
      <c r="C2775" s="29">
        <f>B2775-B2774</f>
        <v/>
      </c>
      <c r="D2775" s="25">
        <f>VLOOKUP(A2775,'Database Claims'!$A:$C,2,)</f>
        <v/>
      </c>
      <c r="E2775" s="29">
        <f>D2775-D2774</f>
        <v/>
      </c>
    </row>
    <row r="2776" customFormat="1" s="70">
      <c r="A2776" s="28" t="n">
        <v>43876</v>
      </c>
      <c r="B2776" s="29">
        <f>VLOOKUP(A2776,'Database Claims'!$A:$C,3,)</f>
        <v/>
      </c>
      <c r="C2776" s="29">
        <f>B2776-B2775</f>
        <v/>
      </c>
      <c r="D2776" s="29">
        <f>VLOOKUP(A2776,'Database Claims'!$A:$C,2,)</f>
        <v/>
      </c>
      <c r="E2776" s="29">
        <f>D2776-D2775</f>
        <v/>
      </c>
    </row>
    <row r="2777" customFormat="1" s="70">
      <c r="A2777" s="28" t="n">
        <v>43883</v>
      </c>
      <c r="B2777" s="25">
        <f>VLOOKUP(A2777,'Database Claims'!$A:$C,3,)</f>
        <v/>
      </c>
      <c r="C2777" s="29">
        <f>B2777-B2776</f>
        <v/>
      </c>
      <c r="D2777" s="25">
        <f>VLOOKUP(A2777,'Database Claims'!$A:$C,2,)</f>
        <v/>
      </c>
      <c r="E2777" s="29">
        <f>D2777-D2776</f>
        <v/>
      </c>
    </row>
    <row r="2778" customFormat="1" s="70">
      <c r="A2778" s="28" t="n">
        <v>43890</v>
      </c>
      <c r="B2778" s="29">
        <f>VLOOKUP(A2778,'Database Claims'!$A:$C,3,)</f>
        <v/>
      </c>
      <c r="C2778" s="29">
        <f>B2778-B2777</f>
        <v/>
      </c>
      <c r="D2778" s="29">
        <f>VLOOKUP(A2778,'Database Claims'!$A:$C,2,)</f>
        <v/>
      </c>
      <c r="E2778" s="29">
        <f>D2778-D2777</f>
        <v/>
      </c>
    </row>
    <row r="2779" customFormat="1" s="70">
      <c r="A2779" s="28" t="n">
        <v>43897</v>
      </c>
      <c r="B2779" s="25">
        <f>VLOOKUP(A2779,'Database Claims'!$A:$C,3,)</f>
        <v/>
      </c>
      <c r="C2779" s="29">
        <f>B2779-B2778</f>
        <v/>
      </c>
      <c r="D2779" s="25">
        <f>VLOOKUP(A2779,'Database Claims'!$A:$C,2,)</f>
        <v/>
      </c>
      <c r="E2779" s="29">
        <f>D2779-D2778</f>
        <v/>
      </c>
    </row>
    <row r="2780" customFormat="1" s="70">
      <c r="A2780" s="28" t="n">
        <v>43904</v>
      </c>
      <c r="B2780" s="29">
        <f>VLOOKUP(A2780,'Database Claims'!$A:$C,3,)</f>
        <v/>
      </c>
      <c r="C2780" s="29">
        <f>B2780-B2779</f>
        <v/>
      </c>
      <c r="D2780" s="29">
        <f>VLOOKUP(A2780,'Database Claims'!$A:$C,2,)</f>
        <v/>
      </c>
      <c r="E2780" s="29">
        <f>D2780-D2779</f>
        <v/>
      </c>
    </row>
    <row r="2781" customFormat="1" s="70">
      <c r="A2781" s="28" t="n">
        <v>43911</v>
      </c>
      <c r="B2781" s="25">
        <f>VLOOKUP(A2781,'Database Claims'!$A:$C,3,)</f>
        <v/>
      </c>
      <c r="C2781" s="29">
        <f>B2781-B2780</f>
        <v/>
      </c>
      <c r="D2781" s="25">
        <f>VLOOKUP(A2781,'Database Claims'!$A:$C,2,)</f>
        <v/>
      </c>
      <c r="E2781" s="29">
        <f>D2781-D2780</f>
        <v/>
      </c>
    </row>
    <row r="2782" customFormat="1" s="70">
      <c r="A2782" s="28" t="n">
        <v>43918</v>
      </c>
      <c r="B2782" s="29">
        <f>VLOOKUP(A2782,'Database Claims'!$A:$C,3,)</f>
        <v/>
      </c>
      <c r="C2782" s="29">
        <f>B2782-B2781</f>
        <v/>
      </c>
      <c r="D2782" s="29">
        <f>VLOOKUP(A2782,'Database Claims'!$A:$C,2,)</f>
        <v/>
      </c>
      <c r="E2782" s="29">
        <f>D2782-D2781</f>
        <v/>
      </c>
    </row>
    <row r="2783" customFormat="1" s="70">
      <c r="A2783" s="28" t="n">
        <v>43925</v>
      </c>
      <c r="B2783" s="25">
        <f>VLOOKUP(A2783,'Database Claims'!$A:$C,3,)</f>
        <v/>
      </c>
      <c r="C2783" s="29">
        <f>B2783-B2782</f>
        <v/>
      </c>
      <c r="D2783" s="25">
        <f>VLOOKUP(A2783,'Database Claims'!$A:$C,2,)</f>
        <v/>
      </c>
      <c r="E2783" s="29">
        <f>D2783-D2782</f>
        <v/>
      </c>
    </row>
    <row r="2784" customFormat="1" s="70">
      <c r="A2784" s="28" t="n">
        <v>43932</v>
      </c>
      <c r="B2784" s="29">
        <f>VLOOKUP(A2784,'Database Claims'!$A:$C,3,)</f>
        <v/>
      </c>
      <c r="C2784" s="29">
        <f>B2784-B2783</f>
        <v/>
      </c>
      <c r="D2784" s="29">
        <f>VLOOKUP(A2784,'Database Claims'!$A:$C,2,)</f>
        <v/>
      </c>
      <c r="E2784" s="29">
        <f>D2784-D2783</f>
        <v/>
      </c>
    </row>
    <row r="2785" customFormat="1" s="70">
      <c r="A2785" s="28" t="n">
        <v>43939</v>
      </c>
      <c r="B2785" s="25">
        <f>VLOOKUP(A2785,'Database Claims'!$A:$C,3,)</f>
        <v/>
      </c>
      <c r="C2785" s="29">
        <f>B2785-B2784</f>
        <v/>
      </c>
      <c r="D2785" s="25">
        <f>VLOOKUP(A2785,'Database Claims'!$A:$C,2,)</f>
        <v/>
      </c>
      <c r="E2785" s="29">
        <f>D2785-D2784</f>
        <v/>
      </c>
    </row>
    <row r="2786" customFormat="1" s="70">
      <c r="A2786" s="28" t="n">
        <v>43946</v>
      </c>
      <c r="B2786" s="29">
        <f>VLOOKUP(A2786,'Database Claims'!$A:$C,3,)</f>
        <v/>
      </c>
      <c r="C2786" s="29">
        <f>B2786-B2785</f>
        <v/>
      </c>
      <c r="D2786" s="29">
        <f>VLOOKUP(A2786,'Database Claims'!$A:$C,2,)</f>
        <v/>
      </c>
      <c r="E2786" s="29">
        <f>D2786-D2785</f>
        <v/>
      </c>
    </row>
    <row r="2787" customFormat="1" s="70">
      <c r="A2787" s="28" t="n">
        <v>43953</v>
      </c>
      <c r="B2787" s="25">
        <f>VLOOKUP(A2787,'Database Claims'!$A:$C,3,)</f>
        <v/>
      </c>
      <c r="C2787" s="29">
        <f>B2787-B2786</f>
        <v/>
      </c>
      <c r="D2787" s="25">
        <f>VLOOKUP(A2787,'Database Claims'!$A:$C,2,)</f>
        <v/>
      </c>
      <c r="E2787" s="29">
        <f>D2787-D2786</f>
        <v/>
      </c>
    </row>
    <row r="2788" customFormat="1" s="70">
      <c r="A2788" s="28" t="n">
        <v>43960</v>
      </c>
      <c r="B2788" s="29">
        <f>VLOOKUP(A2788,'Database Claims'!$A:$C,3,)</f>
        <v/>
      </c>
      <c r="C2788" s="29">
        <f>B2788-B2787</f>
        <v/>
      </c>
      <c r="D2788" s="29">
        <f>VLOOKUP(A2788,'Database Claims'!$A:$C,2,)</f>
        <v/>
      </c>
      <c r="E2788" s="29">
        <f>D2788-D2787</f>
        <v/>
      </c>
    </row>
    <row r="2789" customFormat="1" s="70">
      <c r="A2789" s="28" t="n">
        <v>43967</v>
      </c>
      <c r="B2789" s="25">
        <f>VLOOKUP(A2789,'Database Claims'!$A:$C,3,)</f>
        <v/>
      </c>
      <c r="C2789" s="29">
        <f>B2789-B2788</f>
        <v/>
      </c>
      <c r="D2789" s="25">
        <f>VLOOKUP(A2789,'Database Claims'!$A:$C,2,)</f>
        <v/>
      </c>
      <c r="E2789" s="29">
        <f>D2789-D2788</f>
        <v/>
      </c>
    </row>
    <row r="2790" customFormat="1" s="70">
      <c r="A2790" s="28" t="n">
        <v>43974</v>
      </c>
      <c r="B2790" s="29">
        <f>VLOOKUP(A2790,'Database Claims'!$A:$C,3,)</f>
        <v/>
      </c>
      <c r="C2790" s="29">
        <f>B2790-B2789</f>
        <v/>
      </c>
      <c r="D2790" s="29">
        <f>VLOOKUP(A2790,'Database Claims'!$A:$C,2,)</f>
        <v/>
      </c>
      <c r="E2790" s="29">
        <f>D2790-D2789</f>
        <v/>
      </c>
    </row>
    <row r="2791" customFormat="1" s="70">
      <c r="A2791" s="28" t="n">
        <v>43981</v>
      </c>
      <c r="B2791" s="25">
        <f>VLOOKUP(A2791,'Database Claims'!$A:$C,3,)</f>
        <v/>
      </c>
      <c r="C2791" s="29">
        <f>B2791-B2790</f>
        <v/>
      </c>
      <c r="D2791" s="25">
        <f>VLOOKUP(A2791,'Database Claims'!$A:$C,2,)</f>
        <v/>
      </c>
      <c r="E2791" s="29">
        <f>D2791-D2790</f>
        <v/>
      </c>
    </row>
    <row r="2792" customFormat="1" s="70">
      <c r="A2792" s="28" t="n">
        <v>43988</v>
      </c>
      <c r="B2792" s="29">
        <f>VLOOKUP(A2792,'Database Claims'!$A:$C,3,)</f>
        <v/>
      </c>
      <c r="C2792" s="29">
        <f>B2792-B2791</f>
        <v/>
      </c>
      <c r="D2792" s="29">
        <f>VLOOKUP(A2792,'Database Claims'!$A:$C,2,)</f>
        <v/>
      </c>
      <c r="E2792" s="29">
        <f>D2792-D2791</f>
        <v/>
      </c>
    </row>
    <row r="2793" customFormat="1" s="70">
      <c r="A2793" s="28" t="n">
        <v>43995</v>
      </c>
      <c r="B2793" s="25">
        <f>VLOOKUP(A2793,'Database Claims'!$A:$C,3,)</f>
        <v/>
      </c>
      <c r="C2793" s="29">
        <f>B2793-B2792</f>
        <v/>
      </c>
      <c r="D2793" s="25">
        <f>VLOOKUP(A2793,'Database Claims'!$A:$C,2,)</f>
        <v/>
      </c>
      <c r="E2793" s="29">
        <f>D2793-D2792</f>
        <v/>
      </c>
    </row>
    <row r="2794" customFormat="1" s="70">
      <c r="A2794" s="28" t="n">
        <v>44002</v>
      </c>
      <c r="B2794" s="29">
        <f>VLOOKUP(A2794,'Database Claims'!$A:$C,3,)</f>
        <v/>
      </c>
      <c r="C2794" s="29">
        <f>B2794-B2793</f>
        <v/>
      </c>
      <c r="D2794" s="29">
        <f>VLOOKUP(A2794,'Database Claims'!$A:$C,2,)</f>
        <v/>
      </c>
      <c r="E2794" s="29">
        <f>D2794-D2793</f>
        <v/>
      </c>
    </row>
    <row r="2795" customFormat="1" s="70">
      <c r="A2795" s="28" t="n">
        <v>44009</v>
      </c>
      <c r="B2795" s="25">
        <f>VLOOKUP(A2795,'Database Claims'!$A:$C,3,)</f>
        <v/>
      </c>
      <c r="C2795" s="29">
        <f>B2795-B2794</f>
        <v/>
      </c>
      <c r="D2795" s="25">
        <f>VLOOKUP(A2795,'Database Claims'!$A:$C,2,)</f>
        <v/>
      </c>
      <c r="E2795" s="29">
        <f>D2795-D2794</f>
        <v/>
      </c>
    </row>
    <row r="2796" customFormat="1" s="70">
      <c r="A2796" s="28" t="n">
        <v>44016</v>
      </c>
      <c r="B2796" s="29">
        <f>VLOOKUP(A2796,'Database Claims'!$A:$C,3,)</f>
        <v/>
      </c>
      <c r="C2796" s="29">
        <f>B2796-B2795</f>
        <v/>
      </c>
      <c r="D2796" s="29">
        <f>VLOOKUP(A2796,'Database Claims'!$A:$C,2,)</f>
        <v/>
      </c>
      <c r="E2796" s="29">
        <f>D2796-D2795</f>
        <v/>
      </c>
    </row>
    <row r="2797" customFormat="1" s="70">
      <c r="A2797" s="28" t="n">
        <v>44023</v>
      </c>
      <c r="B2797" s="25">
        <f>VLOOKUP(A2797,'Database Claims'!$A:$C,3,)</f>
        <v/>
      </c>
      <c r="C2797" s="29">
        <f>B2797-B2796</f>
        <v/>
      </c>
      <c r="D2797" s="25">
        <f>VLOOKUP(A2797,'Database Claims'!$A:$C,2,)</f>
        <v/>
      </c>
      <c r="E2797" s="29">
        <f>D2797-D2796</f>
        <v/>
      </c>
    </row>
    <row r="2798" customFormat="1" s="70">
      <c r="A2798" s="28" t="n">
        <v>44030</v>
      </c>
      <c r="B2798" s="29">
        <f>VLOOKUP(A2798,'Database Claims'!$A:$C,3,)</f>
        <v/>
      </c>
      <c r="C2798" s="29">
        <f>B2798-B2797</f>
        <v/>
      </c>
      <c r="D2798" s="29">
        <f>VLOOKUP(A2798,'Database Claims'!$A:$C,2,)</f>
        <v/>
      </c>
      <c r="E2798" s="29">
        <f>D2798-D2797</f>
        <v/>
      </c>
    </row>
    <row r="2799" customFormat="1" s="70">
      <c r="A2799" s="28" t="n">
        <v>44037</v>
      </c>
      <c r="B2799" s="25">
        <f>VLOOKUP(A2799,'Database Claims'!$A:$C,3,)</f>
        <v/>
      </c>
      <c r="C2799" s="29">
        <f>B2799-B2798</f>
        <v/>
      </c>
      <c r="D2799" s="25">
        <f>VLOOKUP(A2799,'Database Claims'!$A:$C,2,)</f>
        <v/>
      </c>
      <c r="E2799" s="29">
        <f>D2799-D2798</f>
        <v/>
      </c>
    </row>
    <row r="2800" customFormat="1" s="70">
      <c r="A2800" s="28" t="n">
        <v>44044</v>
      </c>
      <c r="B2800" s="29">
        <f>VLOOKUP(A2800,'Database Claims'!$A:$C,3,)</f>
        <v/>
      </c>
      <c r="C2800" s="29">
        <f>B2800-B2799</f>
        <v/>
      </c>
      <c r="D2800" s="29">
        <f>VLOOKUP(A2800,'Database Claims'!$A:$C,2,)</f>
        <v/>
      </c>
      <c r="E2800" s="29">
        <f>D2800-D2799</f>
        <v/>
      </c>
    </row>
    <row r="2801" customFormat="1" s="70">
      <c r="A2801" s="28" t="n">
        <v>44051</v>
      </c>
      <c r="B2801" s="25">
        <f>VLOOKUP(A2801,'Database Claims'!$A:$C,3,)</f>
        <v/>
      </c>
      <c r="C2801" s="29">
        <f>B2801-B2800</f>
        <v/>
      </c>
      <c r="D2801" s="25">
        <f>VLOOKUP(A2801,'Database Claims'!$A:$C,2,)</f>
        <v/>
      </c>
      <c r="E2801" s="29">
        <f>D2801-D2800</f>
        <v/>
      </c>
    </row>
    <row r="2802" customFormat="1" s="70">
      <c r="A2802" s="28" t="n">
        <v>44058</v>
      </c>
      <c r="B2802" s="29">
        <f>VLOOKUP(A2802,'Database Claims'!$A:$C,3,)</f>
        <v/>
      </c>
      <c r="C2802" s="29">
        <f>B2802-B2801</f>
        <v/>
      </c>
      <c r="D2802" s="29">
        <f>VLOOKUP(A2802,'Database Claims'!$A:$C,2,)</f>
        <v/>
      </c>
      <c r="E2802" s="29">
        <f>D2802-D2801</f>
        <v/>
      </c>
    </row>
    <row r="2803" customFormat="1" s="70">
      <c r="A2803" s="28" t="n">
        <v>44065</v>
      </c>
      <c r="B2803" s="25">
        <f>VLOOKUP(A2803,'Database Claims'!$A:$C,3,)</f>
        <v/>
      </c>
      <c r="C2803" s="29">
        <f>B2803-B2802</f>
        <v/>
      </c>
      <c r="D2803" s="25">
        <f>VLOOKUP(A2803,'Database Claims'!$A:$C,2,)</f>
        <v/>
      </c>
      <c r="E2803" s="29">
        <f>D2803-D2802</f>
        <v/>
      </c>
    </row>
    <row r="2804" customFormat="1" s="70">
      <c r="A2804" s="28" t="n">
        <v>44072</v>
      </c>
      <c r="B2804" s="29">
        <f>VLOOKUP(A2804,'Database Claims'!$A:$C,3,)</f>
        <v/>
      </c>
      <c r="C2804" s="29">
        <f>B2804-B2803</f>
        <v/>
      </c>
      <c r="D2804" s="29">
        <f>VLOOKUP(A2804,'Database Claims'!$A:$C,2,)</f>
        <v/>
      </c>
      <c r="E2804" s="29">
        <f>D2804-D2803</f>
        <v/>
      </c>
    </row>
    <row r="2805" customFormat="1" s="70">
      <c r="A2805" s="28" t="n">
        <v>44079</v>
      </c>
      <c r="B2805" s="25">
        <f>VLOOKUP(A2805,'Database Claims'!$A:$C,3,)</f>
        <v/>
      </c>
      <c r="C2805" s="29">
        <f>B2805-B2804</f>
        <v/>
      </c>
      <c r="D2805" s="25">
        <f>VLOOKUP(A2805,'Database Claims'!$A:$C,2,)</f>
        <v/>
      </c>
      <c r="E2805" s="29">
        <f>D2805-D2804</f>
        <v/>
      </c>
    </row>
    <row r="2806" customFormat="1" s="70">
      <c r="A2806" s="28" t="n">
        <v>44086</v>
      </c>
      <c r="B2806" s="29">
        <f>VLOOKUP(A2806,'Database Claims'!$A:$C,3,)</f>
        <v/>
      </c>
      <c r="C2806" s="29">
        <f>B2806-B2805</f>
        <v/>
      </c>
      <c r="D2806" s="29">
        <f>VLOOKUP(A2806,'Database Claims'!$A:$C,2,)</f>
        <v/>
      </c>
      <c r="E2806" s="29">
        <f>D2806-D2805</f>
        <v/>
      </c>
    </row>
    <row r="2807" customFormat="1" s="70">
      <c r="A2807" s="28" t="n">
        <v>44093</v>
      </c>
      <c r="B2807" s="25">
        <f>VLOOKUP(A2807,'Database Claims'!$A:$C,3,)</f>
        <v/>
      </c>
      <c r="C2807" s="29">
        <f>B2807-B2806</f>
        <v/>
      </c>
      <c r="D2807" s="25">
        <f>VLOOKUP(A2807,'Database Claims'!$A:$C,2,)</f>
        <v/>
      </c>
      <c r="E2807" s="29">
        <f>D2807-D2806</f>
        <v/>
      </c>
    </row>
    <row r="2808" customFormat="1" s="70">
      <c r="A2808" s="28" t="n">
        <v>44100</v>
      </c>
      <c r="B2808" s="29">
        <f>VLOOKUP(A2808,'Database Claims'!$A:$C,3,)</f>
        <v/>
      </c>
      <c r="C2808" s="29">
        <f>B2808-B2807</f>
        <v/>
      </c>
      <c r="D2808" s="29">
        <f>VLOOKUP(A2808,'Database Claims'!$A:$C,2,)</f>
        <v/>
      </c>
      <c r="E2808" s="29">
        <f>D2808-D2807</f>
        <v/>
      </c>
    </row>
    <row r="2809" customFormat="1" s="70">
      <c r="A2809" s="28" t="n">
        <v>44107</v>
      </c>
      <c r="B2809" s="25">
        <f>VLOOKUP(A2809,'Database Claims'!$A:$C,3,)</f>
        <v/>
      </c>
      <c r="C2809" s="29">
        <f>B2809-B2808</f>
        <v/>
      </c>
      <c r="D2809" s="25">
        <f>VLOOKUP(A2809,'Database Claims'!$A:$C,2,)</f>
        <v/>
      </c>
      <c r="E2809" s="29">
        <f>D2809-D2808</f>
        <v/>
      </c>
    </row>
    <row r="2810" customFormat="1" s="70">
      <c r="A2810" s="28" t="n">
        <v>44114</v>
      </c>
      <c r="B2810" s="29">
        <f>VLOOKUP(A2810,'Database Claims'!$A:$C,3,)</f>
        <v/>
      </c>
      <c r="C2810" s="29">
        <f>B2810-B2809</f>
        <v/>
      </c>
      <c r="D2810" s="29">
        <f>VLOOKUP(A2810,'Database Claims'!$A:$C,2,)</f>
        <v/>
      </c>
      <c r="E2810" s="29">
        <f>D2810-D2809</f>
        <v/>
      </c>
    </row>
    <row r="2811" customFormat="1" s="70">
      <c r="A2811" s="28" t="n">
        <v>44121</v>
      </c>
      <c r="B2811" s="25">
        <f>VLOOKUP(A2811,'Database Claims'!$A:$C,3,)</f>
        <v/>
      </c>
      <c r="C2811" s="29">
        <f>B2811-B2810</f>
        <v/>
      </c>
      <c r="D2811" s="25">
        <f>VLOOKUP(A2811,'Database Claims'!$A:$C,2,)</f>
        <v/>
      </c>
      <c r="E2811" s="29">
        <f>D2811-D2810</f>
        <v/>
      </c>
    </row>
    <row r="2812" customFormat="1" s="70">
      <c r="A2812" s="28" t="n">
        <v>44128</v>
      </c>
      <c r="B2812" s="29">
        <f>VLOOKUP(A2812,'Database Claims'!$A:$C,3,)</f>
        <v/>
      </c>
      <c r="C2812" s="29">
        <f>B2812-B2811</f>
        <v/>
      </c>
      <c r="D2812" s="29">
        <f>VLOOKUP(A2812,'Database Claims'!$A:$C,2,)</f>
        <v/>
      </c>
      <c r="E2812" s="29">
        <f>D2812-D2811</f>
        <v/>
      </c>
    </row>
    <row r="2813" customFormat="1" s="70">
      <c r="A2813" s="28" t="n">
        <v>44135</v>
      </c>
      <c r="B2813" s="25">
        <f>VLOOKUP(A2813,'Database Claims'!$A:$C,3,)</f>
        <v/>
      </c>
      <c r="C2813" s="29">
        <f>B2813-B2812</f>
        <v/>
      </c>
      <c r="D2813" s="25">
        <f>VLOOKUP(A2813,'Database Claims'!$A:$C,2,)</f>
        <v/>
      </c>
      <c r="E2813" s="29">
        <f>D2813-D2812</f>
        <v/>
      </c>
    </row>
    <row r="2814" customFormat="1" s="70">
      <c r="A2814" s="28" t="n">
        <v>44142</v>
      </c>
      <c r="B2814" s="29">
        <f>VLOOKUP(A2814,'Database Claims'!$A:$C,3,)</f>
        <v/>
      </c>
      <c r="C2814" s="29">
        <f>B2814-B2813</f>
        <v/>
      </c>
      <c r="D2814" s="29">
        <f>VLOOKUP(A2814,'Database Claims'!$A:$C,2,)</f>
        <v/>
      </c>
      <c r="E2814" s="29">
        <f>D2814-D2813</f>
        <v/>
      </c>
    </row>
    <row r="2815" customFormat="1" s="70">
      <c r="A2815" s="28" t="n">
        <v>44149</v>
      </c>
      <c r="B2815" s="25">
        <f>VLOOKUP(A2815,'Database Claims'!$A:$C,3,)</f>
        <v/>
      </c>
      <c r="C2815" s="29">
        <f>B2815-B2814</f>
        <v/>
      </c>
      <c r="D2815" s="25">
        <f>VLOOKUP(A2815,'Database Claims'!$A:$C,2,)</f>
        <v/>
      </c>
      <c r="E2815" s="29">
        <f>D2815-D2814</f>
        <v/>
      </c>
    </row>
    <row r="2816" customFormat="1" s="70">
      <c r="A2816" s="28" t="n">
        <v>44156</v>
      </c>
      <c r="B2816" s="29">
        <f>VLOOKUP(A2816,'Database Claims'!$A:$C,3,)</f>
        <v/>
      </c>
      <c r="C2816" s="29">
        <f>B2816-B2815</f>
        <v/>
      </c>
      <c r="D2816" s="29">
        <f>VLOOKUP(A2816,'Database Claims'!$A:$C,2,)</f>
        <v/>
      </c>
      <c r="E2816" s="29">
        <f>D2816-D2815</f>
        <v/>
      </c>
    </row>
    <row r="2817" customFormat="1" s="70">
      <c r="A2817" s="28" t="n">
        <v>44163</v>
      </c>
      <c r="B2817" s="25">
        <f>VLOOKUP(A2817,'Database Claims'!$A:$C,3,)</f>
        <v/>
      </c>
      <c r="C2817" s="29">
        <f>B2817-B2816</f>
        <v/>
      </c>
      <c r="D2817" s="25">
        <f>VLOOKUP(A2817,'Database Claims'!$A:$C,2,)</f>
        <v/>
      </c>
      <c r="E2817" s="29">
        <f>D2817-D2816</f>
        <v/>
      </c>
    </row>
    <row r="2818" customFormat="1" s="70">
      <c r="A2818" s="28" t="n">
        <v>44170</v>
      </c>
      <c r="B2818" s="29">
        <f>VLOOKUP(A2818,'Database Claims'!$A:$C,3,)</f>
        <v/>
      </c>
      <c r="C2818" s="29">
        <f>B2818-B2817</f>
        <v/>
      </c>
      <c r="D2818" s="29">
        <f>VLOOKUP(A2818,'Database Claims'!$A:$C,2,)</f>
        <v/>
      </c>
      <c r="E2818" s="29">
        <f>D2818-D2817</f>
        <v/>
      </c>
    </row>
    <row r="2819" customFormat="1" s="70">
      <c r="A2819" s="28" t="n">
        <v>44177</v>
      </c>
      <c r="B2819" s="25">
        <f>VLOOKUP(A2819,'Database Claims'!$A:$C,3,)</f>
        <v/>
      </c>
      <c r="C2819" s="29">
        <f>B2819-B2818</f>
        <v/>
      </c>
      <c r="D2819" s="25">
        <f>VLOOKUP(A2819,'Database Claims'!$A:$C,2,)</f>
        <v/>
      </c>
      <c r="E2819" s="29">
        <f>D2819-D2818</f>
        <v/>
      </c>
    </row>
    <row r="2820" customFormat="1" s="70">
      <c r="A2820" s="28" t="n">
        <v>44184</v>
      </c>
      <c r="B2820" s="29">
        <f>VLOOKUP(A2820,'Database Claims'!$A:$C,3,)</f>
        <v/>
      </c>
      <c r="C2820" s="29">
        <f>B2820-B2819</f>
        <v/>
      </c>
      <c r="D2820" s="29">
        <f>VLOOKUP(A2820,'Database Claims'!$A:$C,2,)</f>
        <v/>
      </c>
      <c r="E2820" s="29">
        <f>D2820-D2819</f>
        <v/>
      </c>
    </row>
    <row r="2821" customFormat="1" s="70">
      <c r="A2821" s="28" t="n">
        <v>44191</v>
      </c>
      <c r="B2821" s="25">
        <f>VLOOKUP(A2821,'Database Claims'!$A:$C,3,)</f>
        <v/>
      </c>
      <c r="C2821" s="29">
        <f>B2821-B2820</f>
        <v/>
      </c>
      <c r="D2821" s="25">
        <f>VLOOKUP(A2821,'Database Claims'!$A:$C,2,)</f>
        <v/>
      </c>
      <c r="E2821" s="29">
        <f>D2821-D2820</f>
        <v/>
      </c>
    </row>
    <row r="2822" customFormat="1" s="70">
      <c r="A2822" s="28" t="n">
        <v>44198</v>
      </c>
      <c r="B2822" s="29">
        <f>VLOOKUP(A2822,'Database Claims'!$A:$C,3,)</f>
        <v/>
      </c>
      <c r="C2822" s="29">
        <f>B2822-B2821</f>
        <v/>
      </c>
      <c r="D2822" s="29">
        <f>VLOOKUP(A2822,'Database Claims'!$A:$C,2,)</f>
        <v/>
      </c>
      <c r="E2822" s="29">
        <f>D2822-D2821</f>
        <v/>
      </c>
    </row>
    <row r="2823" customFormat="1" s="70">
      <c r="A2823" s="28" t="n">
        <v>44205</v>
      </c>
      <c r="B2823" s="25">
        <f>VLOOKUP(A2823,'Database Claims'!$A:$C,3,)</f>
        <v/>
      </c>
      <c r="C2823" s="29">
        <f>B2823-B2822</f>
        <v/>
      </c>
      <c r="D2823" s="25">
        <f>VLOOKUP(A2823,'Database Claims'!$A:$C,2,)</f>
        <v/>
      </c>
      <c r="E2823" s="29">
        <f>D2823-D2822</f>
        <v/>
      </c>
    </row>
    <row r="2824" customFormat="1" s="70">
      <c r="A2824" s="28" t="n">
        <v>44212</v>
      </c>
      <c r="B2824" s="29">
        <f>VLOOKUP(A2824,'Database Claims'!$A:$C,3,)</f>
        <v/>
      </c>
      <c r="C2824" s="29">
        <f>B2824-B2823</f>
        <v/>
      </c>
      <c r="D2824" s="29">
        <f>VLOOKUP(A2824,'Database Claims'!$A:$C,2,)</f>
        <v/>
      </c>
      <c r="E2824" s="29">
        <f>D2824-D2823</f>
        <v/>
      </c>
    </row>
    <row r="2825" customFormat="1" s="70">
      <c r="A2825" s="28" t="n">
        <v>44219</v>
      </c>
      <c r="B2825" s="25">
        <f>VLOOKUP(A2825,'Database Claims'!$A:$C,3,)</f>
        <v/>
      </c>
      <c r="C2825" s="29">
        <f>B2825-B2824</f>
        <v/>
      </c>
      <c r="D2825" s="25">
        <f>VLOOKUP(A2825,'Database Claims'!$A:$C,2,)</f>
        <v/>
      </c>
      <c r="E2825" s="29">
        <f>D2825-D2824</f>
        <v/>
      </c>
    </row>
    <row r="2826" customFormat="1" s="70">
      <c r="A2826" s="28" t="n">
        <v>44226</v>
      </c>
      <c r="B2826" s="29">
        <f>VLOOKUP(A2826,'Database Claims'!$A:$C,3,)</f>
        <v/>
      </c>
      <c r="C2826" s="29">
        <f>B2826-B2825</f>
        <v/>
      </c>
      <c r="D2826" s="29">
        <f>VLOOKUP(A2826,'Database Claims'!$A:$C,2,)</f>
        <v/>
      </c>
      <c r="E2826" s="29">
        <f>D2826-D2825</f>
        <v/>
      </c>
    </row>
    <row r="2827" customFormat="1" s="70">
      <c r="A2827" s="28" t="n">
        <v>44233</v>
      </c>
      <c r="B2827" s="25">
        <f>VLOOKUP(A2827,'Database Claims'!$A:$C,3,)</f>
        <v/>
      </c>
      <c r="C2827" s="29">
        <f>B2827-B2826</f>
        <v/>
      </c>
      <c r="D2827" s="25">
        <f>VLOOKUP(A2827,'Database Claims'!$A:$C,2,)</f>
        <v/>
      </c>
      <c r="E2827" s="29">
        <f>D2827-D2826</f>
        <v/>
      </c>
    </row>
    <row r="2828" customFormat="1" s="70">
      <c r="A2828" s="28" t="n">
        <v>44240</v>
      </c>
      <c r="B2828" s="29">
        <f>VLOOKUP(A2828,'Database Claims'!$A:$C,3,)</f>
        <v/>
      </c>
      <c r="C2828" s="29">
        <f>B2828-B2827</f>
        <v/>
      </c>
      <c r="D2828" s="29">
        <f>VLOOKUP(A2828,'Database Claims'!$A:$C,2,)</f>
        <v/>
      </c>
      <c r="E2828" s="29">
        <f>D2828-D2827</f>
        <v/>
      </c>
    </row>
    <row r="2829" customFormat="1" s="70">
      <c r="A2829" s="28" t="n">
        <v>44247</v>
      </c>
      <c r="B2829" s="25">
        <f>VLOOKUP(A2829,'Database Claims'!$A:$C,3,)</f>
        <v/>
      </c>
      <c r="C2829" s="29">
        <f>B2829-B2828</f>
        <v/>
      </c>
      <c r="D2829" s="25">
        <f>VLOOKUP(A2829,'Database Claims'!$A:$C,2,)</f>
        <v/>
      </c>
      <c r="E2829" s="29">
        <f>D2829-D2828</f>
        <v/>
      </c>
    </row>
    <row r="2830" customFormat="1" s="70">
      <c r="A2830" s="28" t="n">
        <v>44254</v>
      </c>
      <c r="B2830" s="29">
        <f>VLOOKUP(A2830,'Database Claims'!$A:$C,3,)</f>
        <v/>
      </c>
      <c r="C2830" s="29">
        <f>B2830-B2829</f>
        <v/>
      </c>
      <c r="D2830" s="29">
        <f>VLOOKUP(A2830,'Database Claims'!$A:$C,2,)</f>
        <v/>
      </c>
      <c r="E2830" s="29">
        <f>D2830-D2829</f>
        <v/>
      </c>
    </row>
    <row r="2831" customFormat="1" s="70">
      <c r="A2831" s="28" t="n">
        <v>44261</v>
      </c>
      <c r="B2831" s="25">
        <f>VLOOKUP(A2831,'Database Claims'!$A:$C,3,)</f>
        <v/>
      </c>
      <c r="C2831" s="29">
        <f>B2831-B2830</f>
        <v/>
      </c>
      <c r="D2831" s="25">
        <f>VLOOKUP(A2831,'Database Claims'!$A:$C,2,)</f>
        <v/>
      </c>
      <c r="E2831" s="29">
        <f>D2831-D2830</f>
        <v/>
      </c>
    </row>
    <row r="2832" customFormat="1" s="70">
      <c r="A2832" s="28" t="n">
        <v>44268</v>
      </c>
      <c r="B2832" s="29">
        <f>VLOOKUP(A2832,'Database Claims'!$A:$C,3,)</f>
        <v/>
      </c>
      <c r="C2832" s="29">
        <f>B2832-B2831</f>
        <v/>
      </c>
      <c r="D2832" s="29">
        <f>VLOOKUP(A2832,'Database Claims'!$A:$C,2,)</f>
        <v/>
      </c>
      <c r="E2832" s="29">
        <f>D2832-D2831</f>
        <v/>
      </c>
    </row>
    <row r="2833" customFormat="1" s="70">
      <c r="A2833" s="28" t="n">
        <v>44275</v>
      </c>
      <c r="B2833" s="25">
        <f>VLOOKUP(A2833,'Database Claims'!$A:$C,3,)</f>
        <v/>
      </c>
      <c r="C2833" s="29">
        <f>B2833-B2832</f>
        <v/>
      </c>
      <c r="D2833" s="25">
        <f>VLOOKUP(A2833,'Database Claims'!$A:$C,2,)</f>
        <v/>
      </c>
      <c r="E2833" s="29">
        <f>D2833-D2832</f>
        <v/>
      </c>
    </row>
    <row r="2834" customFormat="1" s="70">
      <c r="A2834" s="28" t="n">
        <v>44282</v>
      </c>
      <c r="B2834" s="29">
        <f>VLOOKUP(A2834,'Database Claims'!$A:$C,3,)</f>
        <v/>
      </c>
      <c r="C2834" s="29">
        <f>B2834-B2833</f>
        <v/>
      </c>
      <c r="D2834" s="29">
        <f>VLOOKUP(A2834,'Database Claims'!$A:$C,2,)</f>
        <v/>
      </c>
      <c r="E2834" s="29">
        <f>D2834-D2833</f>
        <v/>
      </c>
    </row>
    <row r="2835" customFormat="1" s="70">
      <c r="A2835" s="28" t="n">
        <v>44289</v>
      </c>
      <c r="B2835" s="25">
        <f>VLOOKUP(A2835,'Database Claims'!$A:$C,3,)</f>
        <v/>
      </c>
      <c r="C2835" s="29">
        <f>B2835-B2834</f>
        <v/>
      </c>
      <c r="D2835" s="25">
        <f>VLOOKUP(A2835,'Database Claims'!$A:$C,2,)</f>
        <v/>
      </c>
      <c r="E2835" s="29">
        <f>D2835-D2834</f>
        <v/>
      </c>
    </row>
    <row r="2836" customFormat="1" s="70">
      <c r="A2836" s="28" t="n">
        <v>44296</v>
      </c>
      <c r="B2836" s="29">
        <f>VLOOKUP(A2836,'Database Claims'!$A:$C,3,)</f>
        <v/>
      </c>
      <c r="C2836" s="29">
        <f>B2836-B2835</f>
        <v/>
      </c>
      <c r="D2836" s="29">
        <f>VLOOKUP(A2836,'Database Claims'!$A:$C,2,)</f>
        <v/>
      </c>
      <c r="E2836" s="29">
        <f>D2836-D2835</f>
        <v/>
      </c>
    </row>
    <row r="2837" customFormat="1" s="70">
      <c r="A2837" s="28" t="n">
        <v>44303</v>
      </c>
      <c r="B2837" s="25">
        <f>VLOOKUP(A2837,'Database Claims'!$A:$C,3,)</f>
        <v/>
      </c>
      <c r="C2837" s="29">
        <f>B2837-B2836</f>
        <v/>
      </c>
      <c r="D2837" s="25">
        <f>VLOOKUP(A2837,'Database Claims'!$A:$C,2,)</f>
        <v/>
      </c>
      <c r="E2837" s="29">
        <f>D2837-D2836</f>
        <v/>
      </c>
    </row>
    <row r="2838" customFormat="1" s="70">
      <c r="A2838" s="28" t="n">
        <v>44310</v>
      </c>
      <c r="B2838" s="29">
        <f>VLOOKUP(A2838,'Database Claims'!$A:$C,3,)</f>
        <v/>
      </c>
      <c r="C2838" s="29">
        <f>B2838-B2837</f>
        <v/>
      </c>
      <c r="D2838" s="29">
        <f>VLOOKUP(A2838,'Database Claims'!$A:$C,2,)</f>
        <v/>
      </c>
      <c r="E2838" s="29">
        <f>D2838-D2837</f>
        <v/>
      </c>
    </row>
    <row r="2839" customFormat="1" s="70">
      <c r="A2839" s="28" t="n">
        <v>44317</v>
      </c>
      <c r="B2839" s="25">
        <f>VLOOKUP(A2839,'Database Claims'!$A:$C,3,)</f>
        <v/>
      </c>
      <c r="C2839" s="29">
        <f>B2839-B2838</f>
        <v/>
      </c>
      <c r="D2839" s="25">
        <f>VLOOKUP(A2839,'Database Claims'!$A:$C,2,)</f>
        <v/>
      </c>
      <c r="E2839" s="29">
        <f>D2839-D2838</f>
        <v/>
      </c>
    </row>
    <row r="2840" customFormat="1" s="70">
      <c r="A2840" s="28" t="n">
        <v>44324</v>
      </c>
      <c r="B2840" s="29">
        <f>VLOOKUP(A2840,'Database Claims'!$A:$C,3,)</f>
        <v/>
      </c>
      <c r="C2840" s="29">
        <f>B2840-B2839</f>
        <v/>
      </c>
      <c r="D2840" s="29">
        <f>VLOOKUP(A2840,'Database Claims'!$A:$C,2,)</f>
        <v/>
      </c>
      <c r="E2840" s="29">
        <f>D2840-D2839</f>
        <v/>
      </c>
    </row>
    <row r="2841" customFormat="1" s="70">
      <c r="A2841" s="28" t="n">
        <v>44331</v>
      </c>
      <c r="B2841" s="25">
        <f>VLOOKUP(A2841,'Database Claims'!$A:$C,3,)</f>
        <v/>
      </c>
      <c r="C2841" s="29">
        <f>B2841-B2840</f>
        <v/>
      </c>
      <c r="D2841" s="25">
        <f>VLOOKUP(A2841,'Database Claims'!$A:$C,2,)</f>
        <v/>
      </c>
      <c r="E2841" s="29">
        <f>D2841-D2840</f>
        <v/>
      </c>
    </row>
    <row r="2842" customFormat="1" s="70">
      <c r="A2842" s="28" t="n">
        <v>44338</v>
      </c>
      <c r="B2842" s="29">
        <f>VLOOKUP(A2842,'Database Claims'!$A:$C,3,)</f>
        <v/>
      </c>
      <c r="C2842" s="29">
        <f>B2842-B2841</f>
        <v/>
      </c>
      <c r="D2842" s="29">
        <f>VLOOKUP(A2842,'Database Claims'!$A:$C,2,)</f>
        <v/>
      </c>
      <c r="E2842" s="29">
        <f>D2842-D2841</f>
        <v/>
      </c>
    </row>
    <row r="2843" customFormat="1" s="70">
      <c r="A2843" s="28" t="n">
        <v>44345</v>
      </c>
      <c r="B2843" s="25">
        <f>VLOOKUP(A2843,'Database Claims'!$A:$C,3,)</f>
        <v/>
      </c>
      <c r="C2843" s="29">
        <f>B2843-B2842</f>
        <v/>
      </c>
      <c r="D2843" s="25">
        <f>VLOOKUP(A2843,'Database Claims'!$A:$C,2,)</f>
        <v/>
      </c>
      <c r="E2843" s="29">
        <f>D2843-D2842</f>
        <v/>
      </c>
    </row>
    <row r="2844" customFormat="1" s="70">
      <c r="A2844" s="28" t="n">
        <v>44352</v>
      </c>
      <c r="B2844" s="29">
        <f>VLOOKUP(A2844,'Database Claims'!$A:$C,3,)</f>
        <v/>
      </c>
      <c r="C2844" s="29">
        <f>B2844-B2843</f>
        <v/>
      </c>
      <c r="D2844" s="29">
        <f>VLOOKUP(A2844,'Database Claims'!$A:$C,2,)</f>
        <v/>
      </c>
      <c r="E2844" s="29">
        <f>D2844-D2843</f>
        <v/>
      </c>
    </row>
    <row r="2845" customFormat="1" s="70">
      <c r="A2845" s="28" t="n">
        <v>44359</v>
      </c>
      <c r="B2845" s="25">
        <f>VLOOKUP(A2845,'Database Claims'!$A:$C,3,)</f>
        <v/>
      </c>
      <c r="C2845" s="29">
        <f>B2845-B2844</f>
        <v/>
      </c>
      <c r="D2845" s="25">
        <f>VLOOKUP(A2845,'Database Claims'!$A:$C,2,)</f>
        <v/>
      </c>
      <c r="E2845" s="29">
        <f>D2845-D2844</f>
        <v/>
      </c>
    </row>
    <row r="2846" customFormat="1" s="70">
      <c r="A2846" s="28" t="n">
        <v>44366</v>
      </c>
      <c r="B2846" s="29">
        <f>VLOOKUP(A2846,'Database Claims'!$A:$C,3,)</f>
        <v/>
      </c>
      <c r="C2846" s="29">
        <f>B2846-B2845</f>
        <v/>
      </c>
      <c r="D2846" s="29">
        <f>VLOOKUP(A2846,'Database Claims'!$A:$C,2,)</f>
        <v/>
      </c>
      <c r="E2846" s="29">
        <f>D2846-D2845</f>
        <v/>
      </c>
    </row>
    <row r="2847" customFormat="1" s="70">
      <c r="A2847" s="28" t="n">
        <v>44373</v>
      </c>
      <c r="B2847" s="25">
        <f>VLOOKUP(A2847,'Database Claims'!$A:$C,3,)</f>
        <v/>
      </c>
      <c r="C2847" s="29">
        <f>B2847-B2846</f>
        <v/>
      </c>
      <c r="D2847" s="25">
        <f>VLOOKUP(A2847,'Database Claims'!$A:$C,2,)</f>
        <v/>
      </c>
      <c r="E2847" s="29">
        <f>D2847-D2846</f>
        <v/>
      </c>
    </row>
    <row r="2848" customFormat="1" s="70">
      <c r="A2848" s="28" t="n">
        <v>44380</v>
      </c>
      <c r="B2848" s="29">
        <f>VLOOKUP(A2848,'Database Claims'!$A:$C,3,)</f>
        <v/>
      </c>
      <c r="C2848" s="29">
        <f>B2848-B2847</f>
        <v/>
      </c>
      <c r="D2848" s="29">
        <f>VLOOKUP(A2848,'Database Claims'!$A:$C,2,)</f>
        <v/>
      </c>
      <c r="E2848" s="29">
        <f>D2848-D2847</f>
        <v/>
      </c>
    </row>
    <row r="2849" customFormat="1" s="70">
      <c r="A2849" s="28" t="n">
        <v>44387</v>
      </c>
      <c r="B2849" s="25">
        <f>VLOOKUP(A2849,'Database Claims'!$A:$C,3,)</f>
        <v/>
      </c>
      <c r="C2849" s="29">
        <f>B2849-B2848</f>
        <v/>
      </c>
      <c r="D2849" s="25">
        <f>VLOOKUP(A2849,'Database Claims'!$A:$C,2,)</f>
        <v/>
      </c>
      <c r="E2849" s="29">
        <f>D2849-D2848</f>
        <v/>
      </c>
    </row>
    <row r="2850" customFormat="1" s="70">
      <c r="A2850" s="28" t="n">
        <v>44394</v>
      </c>
      <c r="B2850" s="29">
        <f>VLOOKUP(A2850,'Database Claims'!$A:$C,3,)</f>
        <v/>
      </c>
      <c r="C2850" s="29">
        <f>B2850-B2849</f>
        <v/>
      </c>
      <c r="D2850" s="29">
        <f>VLOOKUP(A2850,'Database Claims'!$A:$C,2,)</f>
        <v/>
      </c>
      <c r="E2850" s="29">
        <f>D2850-D2849</f>
        <v/>
      </c>
    </row>
    <row r="2851" customFormat="1" s="70">
      <c r="A2851" s="28" t="n">
        <v>44401</v>
      </c>
      <c r="B2851" s="25">
        <f>VLOOKUP(A2851,'Database Claims'!$A:$C,3,)</f>
        <v/>
      </c>
      <c r="C2851" s="29">
        <f>B2851-B2850</f>
        <v/>
      </c>
      <c r="D2851" s="25">
        <f>VLOOKUP(A2851,'Database Claims'!$A:$C,2,)</f>
        <v/>
      </c>
      <c r="E2851" s="29">
        <f>D2851-D2850</f>
        <v/>
      </c>
    </row>
    <row r="2852" customFormat="1" s="70">
      <c r="A2852" s="28" t="n">
        <v>44408</v>
      </c>
      <c r="B2852" s="29">
        <f>VLOOKUP(A2852,'Database Claims'!$A:$C,3,)</f>
        <v/>
      </c>
      <c r="C2852" s="29">
        <f>B2852-B2851</f>
        <v/>
      </c>
      <c r="D2852" s="29">
        <f>VLOOKUP(A2852,'Database Claims'!$A:$C,2,)</f>
        <v/>
      </c>
      <c r="E2852" s="29">
        <f>D2852-D2851</f>
        <v/>
      </c>
    </row>
    <row r="2853" customFormat="1" s="70">
      <c r="A2853" s="28" t="n">
        <v>44415</v>
      </c>
      <c r="B2853" s="25">
        <f>VLOOKUP(A2853,'Database Claims'!$A:$C,3,)</f>
        <v/>
      </c>
      <c r="C2853" s="29">
        <f>B2853-B2852</f>
        <v/>
      </c>
      <c r="D2853" s="25">
        <f>VLOOKUP(A2853,'Database Claims'!$A:$C,2,)</f>
        <v/>
      </c>
      <c r="E2853" s="29">
        <f>D2853-D2852</f>
        <v/>
      </c>
    </row>
    <row r="2854" customFormat="1" s="70">
      <c r="A2854" s="28" t="n">
        <v>44422</v>
      </c>
      <c r="B2854" s="29">
        <f>VLOOKUP(A2854,'Database Claims'!$A:$C,3,)</f>
        <v/>
      </c>
      <c r="C2854" s="29">
        <f>B2854-B2853</f>
        <v/>
      </c>
      <c r="D2854" s="29">
        <f>VLOOKUP(A2854,'Database Claims'!$A:$C,2,)</f>
        <v/>
      </c>
      <c r="E2854" s="29">
        <f>D2854-D2853</f>
        <v/>
      </c>
    </row>
    <row r="2855" customFormat="1" s="70">
      <c r="A2855" s="28" t="n">
        <v>44429</v>
      </c>
      <c r="B2855" s="25">
        <f>VLOOKUP(A2855,'Database Claims'!$A:$C,3,)</f>
        <v/>
      </c>
      <c r="C2855" s="29">
        <f>B2855-B2854</f>
        <v/>
      </c>
      <c r="D2855" s="25">
        <f>VLOOKUP(A2855,'Database Claims'!$A:$C,2,)</f>
        <v/>
      </c>
      <c r="E2855" s="29">
        <f>D2855-D2854</f>
        <v/>
      </c>
    </row>
    <row r="2856" customFormat="1" s="70"/>
    <row r="2857" customFormat="1" s="70"/>
    <row r="2858" customFormat="1" s="70"/>
    <row r="2859" customFormat="1" s="70"/>
    <row r="2860" customFormat="1" s="70"/>
    <row r="2861" customFormat="1" s="70"/>
    <row r="2862" customFormat="1" s="70"/>
    <row r="2863" customFormat="1" s="70"/>
    <row r="2864" customFormat="1" s="70"/>
    <row r="2865" customFormat="1" s="70"/>
    <row r="2866" customFormat="1" s="70"/>
    <row r="2867" customFormat="1" s="70"/>
    <row r="2868" customFormat="1" s="70"/>
    <row r="2869" customFormat="1" s="70"/>
    <row r="2870" customFormat="1" s="70"/>
    <row r="2871" customFormat="1" s="70"/>
    <row r="2872" customFormat="1" s="70"/>
    <row r="2873" customFormat="1" s="70"/>
    <row r="2874" customFormat="1" s="70"/>
    <row r="2875" customFormat="1" s="70"/>
    <row r="2876" customFormat="1" s="70"/>
    <row r="2877" customFormat="1" s="70"/>
    <row r="2878" customFormat="1" s="70"/>
    <row r="2879" customFormat="1" s="70"/>
    <row r="2880" customFormat="1" s="70"/>
    <row r="2881" customFormat="1" s="70"/>
    <row r="2882" customFormat="1" s="70"/>
    <row r="2883" customFormat="1" s="70"/>
    <row r="2884" customFormat="1" s="70"/>
    <row r="2885" customFormat="1" s="70"/>
    <row r="2886" customFormat="1" s="70"/>
    <row r="2887" customFormat="1" s="70"/>
    <row r="2888" customFormat="1" s="70"/>
    <row r="2889" customFormat="1" s="70"/>
    <row r="2890" customFormat="1" s="70"/>
    <row r="2891" customFormat="1" s="70"/>
    <row r="2892" customFormat="1" s="70"/>
    <row r="2893" customFormat="1" s="70"/>
    <row r="2894" customFormat="1" s="70"/>
    <row r="2895" customFormat="1" s="70"/>
    <row r="2896" customFormat="1" s="70"/>
    <row r="2897" customFormat="1" s="70"/>
    <row r="2898" customFormat="1" s="70"/>
    <row r="2899" customFormat="1" s="70"/>
    <row r="2900" customFormat="1" s="70"/>
    <row r="2901" customFormat="1" s="70"/>
    <row r="2902" customFormat="1" s="70"/>
    <row r="2903" customFormat="1" s="70"/>
    <row r="2904" customFormat="1" s="70"/>
    <row r="2905" customFormat="1" s="70"/>
    <row r="2906" customFormat="1" s="70"/>
    <row r="2907" customFormat="1" s="70"/>
    <row r="2908" customFormat="1" s="70"/>
    <row r="2909" customFormat="1" s="70"/>
    <row r="2910" customFormat="1" s="70"/>
    <row r="2911" customFormat="1" s="70"/>
    <row r="2912" customFormat="1" s="70"/>
    <row r="2913" customFormat="1" s="70"/>
    <row r="2914" customFormat="1" s="70"/>
    <row r="2915" customFormat="1" s="70"/>
    <row r="2916" customFormat="1" s="70"/>
    <row r="2917" customFormat="1" s="70"/>
    <row r="2918" customFormat="1" s="70"/>
    <row r="2919" customFormat="1" s="70"/>
    <row r="2920" customFormat="1" s="70"/>
    <row r="2921" customFormat="1" s="70"/>
    <row r="2922" customFormat="1" s="70"/>
    <row r="2923" customFormat="1" s="70"/>
    <row r="2924" customFormat="1" s="70"/>
    <row r="2925" customFormat="1" s="70"/>
    <row r="2926" customFormat="1" s="70"/>
    <row r="2927" customFormat="1" s="70"/>
    <row r="2928" customFormat="1" s="70"/>
    <row r="2929" customFormat="1" s="70"/>
    <row r="2930" customFormat="1" s="70"/>
    <row r="2931" customFormat="1" s="70"/>
    <row r="2932" customFormat="1" s="70"/>
    <row r="2933" customFormat="1" s="70"/>
    <row r="2934" customFormat="1" s="70"/>
    <row r="2935" customFormat="1" s="70"/>
    <row r="2936" customFormat="1" s="70"/>
    <row r="2937" customFormat="1" s="70"/>
    <row r="2938" customFormat="1" s="70"/>
    <row r="2939" customFormat="1" s="70"/>
    <row r="2940" customFormat="1" s="70"/>
    <row r="2941" customFormat="1" s="70"/>
    <row r="2942" customFormat="1" s="70"/>
    <row r="2943" customFormat="1" s="70"/>
    <row r="2944" customFormat="1" s="70"/>
    <row r="2945" customFormat="1" s="70"/>
    <row r="2946" customFormat="1" s="70"/>
    <row r="2947" customFormat="1" s="70"/>
    <row r="2948" customFormat="1" s="70"/>
    <row r="2949" customFormat="1" s="70"/>
    <row r="2950" customFormat="1" s="70"/>
    <row r="2951" customFormat="1" s="70"/>
    <row r="2952" customFormat="1" s="70"/>
    <row r="2953" customFormat="1" s="70"/>
    <row r="2954" customFormat="1" s="70"/>
    <row r="2955" customFormat="1" s="70"/>
    <row r="2956" customFormat="1" s="70"/>
    <row r="2957" customFormat="1" s="70"/>
    <row r="2958" customFormat="1" s="70"/>
    <row r="2959" customFormat="1" s="70"/>
    <row r="2960" customFormat="1" s="70"/>
    <row r="2961" customFormat="1" s="70"/>
    <row r="2962" customFormat="1" s="70"/>
    <row r="2963" customFormat="1" s="70"/>
    <row r="2964" customFormat="1" s="70"/>
    <row r="2965" customFormat="1" s="70"/>
    <row r="2966" customFormat="1" s="70"/>
    <row r="2967" customFormat="1" s="70"/>
    <row r="2968" customFormat="1" s="70"/>
    <row r="2969" customFormat="1" s="70"/>
    <row r="2970" customFormat="1" s="70"/>
    <row r="2971" customFormat="1" s="70"/>
    <row r="2972" customFormat="1" s="70"/>
    <row r="2973" customFormat="1" s="70"/>
    <row r="2974" customFormat="1" s="70"/>
    <row r="2975" customFormat="1" s="70"/>
    <row r="2976" customFormat="1" s="70"/>
    <row r="2977" customFormat="1" s="70"/>
    <row r="2978" customFormat="1" s="70"/>
    <row r="2979" customFormat="1" s="70"/>
    <row r="2980" customFormat="1" s="70"/>
    <row r="2981" customFormat="1" s="70"/>
    <row r="2982" customFormat="1" s="70"/>
    <row r="2983" customFormat="1" s="70"/>
    <row r="2984" customFormat="1" s="70"/>
    <row r="2985" customFormat="1" s="70"/>
    <row r="2986" customFormat="1" s="70"/>
    <row r="2987" customFormat="1" s="70"/>
    <row r="2988" customFormat="1" s="70"/>
    <row r="2989" customFormat="1" s="70"/>
    <row r="2990" customFormat="1" s="70"/>
    <row r="2991" customFormat="1" s="70"/>
    <row r="2992" customFormat="1" s="70"/>
    <row r="2993" customFormat="1" s="70"/>
    <row r="2994" customFormat="1" s="70"/>
    <row r="2995" customFormat="1" s="70"/>
    <row r="2996" customFormat="1" s="70"/>
    <row r="2997" customFormat="1" s="70"/>
    <row r="2998" customFormat="1" s="70"/>
    <row r="2999" customFormat="1" s="70"/>
    <row r="3000" customFormat="1" s="70"/>
    <row r="3001" customFormat="1" s="70"/>
    <row r="3002" customFormat="1" s="70"/>
    <row r="3003" customFormat="1" s="70"/>
    <row r="3004" customFormat="1" s="70"/>
    <row r="3005" customFormat="1" s="70"/>
    <row r="3006" customFormat="1" s="70"/>
    <row r="3007" customFormat="1" s="70"/>
    <row r="3008" customFormat="1" s="70"/>
    <row r="3009" customFormat="1" s="70"/>
    <row r="3010" customFormat="1" s="70"/>
    <row r="3011" customFormat="1" s="70"/>
    <row r="3012" customFormat="1" s="70"/>
    <row r="3013" customFormat="1" s="70"/>
    <row r="3014" customFormat="1" s="70"/>
    <row r="3015" customFormat="1" s="70"/>
    <row r="3016" customFormat="1" s="70"/>
    <row r="3017" customFormat="1" s="70"/>
    <row r="3018" customFormat="1" s="70"/>
    <row r="3019" customFormat="1" s="70"/>
    <row r="3020" customFormat="1" s="70"/>
    <row r="3021" customFormat="1" s="70"/>
    <row r="3022" customFormat="1" s="70"/>
    <row r="3023" customFormat="1" s="70"/>
    <row r="3024" customFormat="1" s="70"/>
    <row r="3025" customFormat="1" s="70"/>
    <row r="3026" customFormat="1" s="70"/>
    <row r="3027" customFormat="1" s="70"/>
    <row r="3028" customFormat="1" s="70"/>
    <row r="3029" customFormat="1" s="70"/>
    <row r="3030" customFormat="1" s="70"/>
    <row r="3031" customFormat="1" s="70"/>
    <row r="3032" customFormat="1" s="70"/>
    <row r="3033" customFormat="1" s="70"/>
    <row r="3034" customFormat="1" s="70"/>
    <row r="3035" customFormat="1" s="70"/>
    <row r="3036" customFormat="1" s="70"/>
    <row r="3037" customFormat="1" s="70"/>
    <row r="3038" customFormat="1" s="70"/>
    <row r="3039" customFormat="1" s="70"/>
    <row r="3040" customFormat="1" s="70"/>
    <row r="3041" customFormat="1" s="70"/>
    <row r="3042" customFormat="1" s="70"/>
    <row r="3043" customFormat="1" s="70"/>
    <row r="3044" customFormat="1" s="70"/>
    <row r="3045" customFormat="1" s="70"/>
    <row r="3046" customFormat="1" s="70"/>
    <row r="3047" customFormat="1" s="70"/>
    <row r="3048" customFormat="1" s="70"/>
    <row r="3049" customFormat="1" s="70"/>
    <row r="3050" customFormat="1" s="70"/>
    <row r="3051" customFormat="1" s="70"/>
    <row r="3052" customFormat="1" s="70"/>
    <row r="3053" customFormat="1" s="70"/>
    <row r="3054" customFormat="1" s="70"/>
    <row r="3055" customFormat="1" s="70"/>
    <row r="3056" customFormat="1" s="70"/>
    <row r="3057" customFormat="1" s="70"/>
    <row r="3058" customFormat="1" s="70"/>
    <row r="3059" customFormat="1" s="70"/>
    <row r="3060" customFormat="1" s="70"/>
    <row r="3061" customFormat="1" s="70"/>
    <row r="3062" customFormat="1" s="70"/>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3">
    <tabColor rgb="FF00B050"/>
    <outlinePr summaryBelow="1" summaryRight="1"/>
    <pageSetUpPr/>
  </sheetPr>
  <dimension ref="A1:A1"/>
  <sheetViews>
    <sheetView topLeftCell="A8" zoomScale="90" zoomScaleNormal="90" workbookViewId="0">
      <selection activeCell="Z61" sqref="Z61"/>
    </sheetView>
  </sheetViews>
  <sheetFormatPr baseColWidth="10" defaultColWidth="9.1640625" defaultRowHeight="15"/>
  <cols>
    <col width="9.1640625" customWidth="1" style="70" min="1" max="10"/>
    <col width="9.1640625" customWidth="1" style="70" min="11" max="16384"/>
  </cols>
  <sheetData/>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6">
    <tabColor rgb="FF00B050"/>
    <outlinePr summaryBelow="1" summaryRight="1"/>
    <pageSetUpPr/>
  </sheetPr>
  <dimension ref="A1:I552"/>
  <sheetViews>
    <sheetView zoomScale="130" zoomScaleNormal="130" workbookViewId="0">
      <pane ySplit="5" topLeftCell="A228" activePane="bottomLeft" state="frozen"/>
      <selection activeCell="K1" sqref="K1"/>
      <selection pane="bottomLeft" activeCell="A3" sqref="A3"/>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70" min="4" max="162"/>
  </cols>
  <sheetData>
    <row r="1" customFormat="1" s="70">
      <c r="A1" s="33" t="inlineStr">
        <is>
          <t>http://www.adpemploymentreport.com/</t>
        </is>
      </c>
      <c r="B1" s="15" t="n"/>
      <c r="C1" s="15" t="n"/>
      <c r="I1" s="17" t="n"/>
    </row>
    <row r="2" customFormat="1" s="70">
      <c r="A2" s="1" t="inlineStr">
        <is>
          <t>https://tradingeconomics.com/united-states/adp-employment-change</t>
        </is>
      </c>
      <c r="B2" s="15" t="n"/>
      <c r="C2" s="15" t="n"/>
    </row>
    <row r="3" customFormat="1" s="70">
      <c r="A3" s="1" t="inlineStr">
        <is>
          <t>https://uk.investing.com/economic-calendar/adp-nonfarm-employment-change-1</t>
        </is>
      </c>
      <c r="B3" s="15" t="n"/>
      <c r="C3" s="15" t="n"/>
    </row>
    <row r="4" customFormat="1" s="70">
      <c r="A4" s="15" t="n"/>
      <c r="B4" s="15" t="n"/>
      <c r="C4" s="15" t="n"/>
    </row>
    <row r="5">
      <c r="A5" s="32" t="inlineStr">
        <is>
          <t>Date</t>
        </is>
      </c>
      <c r="B5" s="32" t="inlineStr">
        <is>
          <t xml:space="preserve">ADP </t>
        </is>
      </c>
      <c r="C5" s="32" t="inlineStr">
        <is>
          <t>NFP</t>
        </is>
      </c>
    </row>
    <row r="6">
      <c r="A6" s="57" t="n">
        <v>37012</v>
      </c>
      <c r="B6" s="58" t="n">
        <v>-175</v>
      </c>
      <c r="C6" s="58">
        <f>VLOOKUP(A6,NFP!A:C,3)</f>
        <v/>
      </c>
      <c r="F6" s="70">
        <f>CORREL(Table3[[ADP ]],Table3[NFP])</f>
        <v/>
      </c>
      <c r="H6" s="31" t="n"/>
    </row>
    <row r="7">
      <c r="A7" s="57" t="n">
        <v>37043</v>
      </c>
      <c r="B7" s="58" t="n">
        <v>-230</v>
      </c>
      <c r="C7" s="58">
        <f>VLOOKUP(A7,NFP!A:C,3)</f>
        <v/>
      </c>
    </row>
    <row r="8">
      <c r="A8" s="57" t="n">
        <v>37073</v>
      </c>
      <c r="B8" s="58" t="n">
        <v>-203</v>
      </c>
      <c r="C8" s="58">
        <f>VLOOKUP(A8,NFP!A:C,3)</f>
        <v/>
      </c>
    </row>
    <row r="9">
      <c r="A9" s="57" t="n">
        <v>37104</v>
      </c>
      <c r="B9" s="59" t="n">
        <v>-246</v>
      </c>
      <c r="C9" s="58">
        <f>VLOOKUP(A9,NFP!A:C,3)</f>
        <v/>
      </c>
    </row>
    <row r="10">
      <c r="A10" s="57" t="n">
        <v>37135</v>
      </c>
      <c r="B10" s="59" t="n">
        <v>-261</v>
      </c>
      <c r="C10" s="58">
        <f>VLOOKUP(A10,NFP!A:C,3)</f>
        <v/>
      </c>
    </row>
    <row r="11">
      <c r="A11" s="57" t="n">
        <v>37165</v>
      </c>
      <c r="B11" s="59" t="n">
        <v>-380</v>
      </c>
      <c r="C11" s="58">
        <f>VLOOKUP(A11,NFP!A:C,3)</f>
        <v/>
      </c>
    </row>
    <row r="12">
      <c r="A12" s="57" t="n">
        <v>37196</v>
      </c>
      <c r="B12" s="59" t="n">
        <v>-361</v>
      </c>
      <c r="C12" s="58">
        <f>VLOOKUP(A12,NFP!A:C,3)</f>
        <v/>
      </c>
    </row>
    <row r="13">
      <c r="A13" s="57" t="n">
        <v>37226</v>
      </c>
      <c r="B13" s="59" t="n">
        <v>-223</v>
      </c>
      <c r="C13" s="58">
        <f>VLOOKUP(A13,NFP!A:C,3)</f>
        <v/>
      </c>
    </row>
    <row r="14">
      <c r="A14" s="57" t="n">
        <v>37257</v>
      </c>
      <c r="B14" s="59" t="n">
        <v>-69</v>
      </c>
      <c r="C14" s="58">
        <f>VLOOKUP(A14,NFP!A:C,3)</f>
        <v/>
      </c>
    </row>
    <row r="15">
      <c r="A15" s="57" t="n">
        <v>37288</v>
      </c>
      <c r="B15" s="59" t="n">
        <v>-91</v>
      </c>
      <c r="C15" s="58">
        <f>VLOOKUP(A15,NFP!A:C,3)</f>
        <v/>
      </c>
    </row>
    <row r="16">
      <c r="A16" s="57" t="n">
        <v>37316</v>
      </c>
      <c r="B16" s="59" t="n">
        <v>-70</v>
      </c>
      <c r="C16" s="58">
        <f>VLOOKUP(A16,NFP!A:C,3)</f>
        <v/>
      </c>
    </row>
    <row r="17">
      <c r="A17" s="57" t="n">
        <v>37347</v>
      </c>
      <c r="B17" s="59" t="n">
        <v>-70</v>
      </c>
      <c r="C17" s="58">
        <f>VLOOKUP(A17,NFP!A:C,3)</f>
        <v/>
      </c>
    </row>
    <row r="18">
      <c r="A18" s="57" t="n">
        <v>37377</v>
      </c>
      <c r="B18" s="59" t="n">
        <v>-138</v>
      </c>
      <c r="C18" s="58">
        <f>VLOOKUP(A18,NFP!A:C,3)</f>
        <v/>
      </c>
    </row>
    <row r="19">
      <c r="A19" s="57" t="n">
        <v>37408</v>
      </c>
      <c r="B19" s="59" t="n">
        <v>-41</v>
      </c>
      <c r="C19" s="58">
        <f>VLOOKUP(A19,NFP!A:C,3)</f>
        <v/>
      </c>
    </row>
    <row r="20">
      <c r="A20" s="57" t="n">
        <v>37438</v>
      </c>
      <c r="B20" s="59" t="n">
        <v>-21</v>
      </c>
      <c r="C20" s="58">
        <f>VLOOKUP(A20,NFP!A:C,3)</f>
        <v/>
      </c>
    </row>
    <row r="21">
      <c r="A21" s="57" t="n">
        <v>37469</v>
      </c>
      <c r="B21" s="59" t="n">
        <v>12</v>
      </c>
      <c r="C21" s="58">
        <f>VLOOKUP(A21,NFP!A:C,3)</f>
        <v/>
      </c>
    </row>
    <row r="22">
      <c r="A22" s="57" t="n">
        <v>37500</v>
      </c>
      <c r="B22" s="59" t="n">
        <v>-150</v>
      </c>
      <c r="C22" s="58">
        <f>VLOOKUP(A22,NFP!A:C,3)</f>
        <v/>
      </c>
    </row>
    <row r="23">
      <c r="A23" s="57" t="n">
        <v>37530</v>
      </c>
      <c r="B23" s="59" t="n">
        <v>47</v>
      </c>
      <c r="C23" s="58">
        <f>VLOOKUP(A23,NFP!A:C,3)</f>
        <v/>
      </c>
    </row>
    <row r="24">
      <c r="A24" s="57" t="n">
        <v>37561</v>
      </c>
      <c r="B24" s="59" t="n">
        <v>-11</v>
      </c>
      <c r="C24" s="58">
        <f>VLOOKUP(A24,NFP!A:C,3)</f>
        <v/>
      </c>
    </row>
    <row r="25">
      <c r="A25" s="57" t="n">
        <v>37591</v>
      </c>
      <c r="B25" s="59" t="n">
        <v>-79</v>
      </c>
      <c r="C25" s="58">
        <f>VLOOKUP(A25,NFP!A:C,3)</f>
        <v/>
      </c>
    </row>
    <row r="26">
      <c r="A26" s="57" t="n">
        <v>37622</v>
      </c>
      <c r="B26" s="59" t="n">
        <v>-113</v>
      </c>
      <c r="C26" s="58">
        <f>VLOOKUP(A26,NFP!A:C,3)</f>
        <v/>
      </c>
    </row>
    <row r="27">
      <c r="A27" s="57" t="n">
        <v>37653</v>
      </c>
      <c r="B27" s="59" t="n">
        <v>26</v>
      </c>
      <c r="C27" s="58">
        <f>VLOOKUP(A27,NFP!A:C,3)</f>
        <v/>
      </c>
    </row>
    <row r="28">
      <c r="A28" s="57" t="n">
        <v>37681</v>
      </c>
      <c r="B28" s="59" t="n">
        <v>-42</v>
      </c>
      <c r="C28" s="58">
        <f>VLOOKUP(A28,NFP!A:C,3)</f>
        <v/>
      </c>
    </row>
    <row r="29">
      <c r="A29" s="57" t="n">
        <v>37712</v>
      </c>
      <c r="B29" s="59" t="n">
        <v>-8</v>
      </c>
      <c r="C29" s="58">
        <f>VLOOKUP(A29,NFP!A:C,3)</f>
        <v/>
      </c>
    </row>
    <row r="30">
      <c r="A30" s="57" t="n">
        <v>37742</v>
      </c>
      <c r="B30" s="59" t="n">
        <v>-75</v>
      </c>
      <c r="C30" s="58">
        <f>VLOOKUP(A30,NFP!A:C,3)</f>
        <v/>
      </c>
    </row>
    <row r="31">
      <c r="A31" s="57" t="n">
        <v>37773</v>
      </c>
      <c r="B31" s="59" t="n">
        <v>-25</v>
      </c>
      <c r="C31" s="58">
        <f>VLOOKUP(A31,NFP!A:C,3)</f>
        <v/>
      </c>
    </row>
    <row r="32">
      <c r="A32" s="57" t="n">
        <v>37803</v>
      </c>
      <c r="B32" s="59" t="n">
        <v>28</v>
      </c>
      <c r="C32" s="58">
        <f>VLOOKUP(A32,NFP!A:C,3)</f>
        <v/>
      </c>
    </row>
    <row r="33">
      <c r="A33" s="57" t="n">
        <v>37834</v>
      </c>
      <c r="B33" s="59" t="n">
        <v>-66</v>
      </c>
      <c r="C33" s="58">
        <f>VLOOKUP(A33,NFP!A:C,3)</f>
        <v/>
      </c>
    </row>
    <row r="34">
      <c r="A34" s="57" t="n">
        <v>37865</v>
      </c>
      <c r="B34" s="59" t="n">
        <v>69</v>
      </c>
      <c r="C34" s="58">
        <f>VLOOKUP(A34,NFP!A:C,3)</f>
        <v/>
      </c>
    </row>
    <row r="35">
      <c r="A35" s="57" t="n">
        <v>37895</v>
      </c>
      <c r="B35" s="59" t="n">
        <v>174</v>
      </c>
      <c r="C35" s="58">
        <f>VLOOKUP(A35,NFP!A:C,3)</f>
        <v/>
      </c>
    </row>
    <row r="36">
      <c r="A36" s="57" t="n">
        <v>37926</v>
      </c>
      <c r="B36" s="59" t="n">
        <v>247</v>
      </c>
      <c r="C36" s="58">
        <f>VLOOKUP(A36,NFP!A:C,3)</f>
        <v/>
      </c>
    </row>
    <row r="37">
      <c r="A37" s="57" t="n">
        <v>37956</v>
      </c>
      <c r="B37" s="59" t="n">
        <v>167</v>
      </c>
      <c r="C37" s="58">
        <f>VLOOKUP(A37,NFP!A:C,3)</f>
        <v/>
      </c>
    </row>
    <row r="38">
      <c r="A38" s="57" t="n">
        <v>37987</v>
      </c>
      <c r="B38" s="59" t="n">
        <v>68</v>
      </c>
      <c r="C38" s="58">
        <f>VLOOKUP(A38,NFP!A:C,3)</f>
        <v/>
      </c>
    </row>
    <row r="39">
      <c r="A39" s="57" t="n">
        <v>38018</v>
      </c>
      <c r="B39" s="59" t="n">
        <v>166</v>
      </c>
      <c r="C39" s="58">
        <f>VLOOKUP(A39,NFP!A:C,3)</f>
        <v/>
      </c>
    </row>
    <row r="40">
      <c r="A40" s="57" t="n">
        <v>38047</v>
      </c>
      <c r="B40" s="59" t="n">
        <v>188</v>
      </c>
      <c r="C40" s="58">
        <f>VLOOKUP(A40,NFP!A:C,3)</f>
        <v/>
      </c>
    </row>
    <row r="41">
      <c r="A41" s="57" t="n">
        <v>38078</v>
      </c>
      <c r="B41" s="59" t="n">
        <v>170</v>
      </c>
      <c r="C41" s="58">
        <f>VLOOKUP(A41,NFP!A:C,3)</f>
        <v/>
      </c>
    </row>
    <row r="42">
      <c r="A42" s="57" t="n">
        <v>38108</v>
      </c>
      <c r="B42" s="59" t="n">
        <v>54</v>
      </c>
      <c r="C42" s="58">
        <f>VLOOKUP(A42,NFP!A:C,3)</f>
        <v/>
      </c>
    </row>
    <row r="43">
      <c r="A43" s="57" t="n">
        <v>38139</v>
      </c>
      <c r="B43" s="59" t="n">
        <v>169</v>
      </c>
      <c r="C43" s="58">
        <f>VLOOKUP(A43,NFP!A:C,3)</f>
        <v/>
      </c>
    </row>
    <row r="44">
      <c r="A44" s="57" t="n">
        <v>38169</v>
      </c>
      <c r="B44" s="59" t="n">
        <v>80</v>
      </c>
      <c r="C44" s="58">
        <f>VLOOKUP(A44,NFP!A:C,3)</f>
        <v/>
      </c>
    </row>
    <row r="45">
      <c r="A45" s="57" t="n">
        <v>38200</v>
      </c>
      <c r="B45" s="59" t="n">
        <v>187</v>
      </c>
      <c r="C45" s="58">
        <f>VLOOKUP(A45,NFP!A:C,3)</f>
        <v/>
      </c>
    </row>
    <row r="46">
      <c r="A46" s="57" t="n">
        <v>38231</v>
      </c>
      <c r="B46" s="59" t="n">
        <v>170</v>
      </c>
      <c r="C46" s="58">
        <f>VLOOKUP(A46,NFP!A:C,3)</f>
        <v/>
      </c>
    </row>
    <row r="47">
      <c r="A47" s="57" t="n">
        <v>38261</v>
      </c>
      <c r="B47" s="59" t="n">
        <v>136</v>
      </c>
      <c r="C47" s="58">
        <f>VLOOKUP(A47,NFP!A:C,3)</f>
        <v/>
      </c>
    </row>
    <row r="48">
      <c r="A48" s="57" t="n">
        <v>38292</v>
      </c>
      <c r="B48" s="59" t="n">
        <v>178</v>
      </c>
      <c r="C48" s="58">
        <f>VLOOKUP(A48,NFP!A:C,3)</f>
        <v/>
      </c>
    </row>
    <row r="49">
      <c r="A49" s="57" t="n">
        <v>38322</v>
      </c>
      <c r="B49" s="59" t="n">
        <v>254</v>
      </c>
      <c r="C49" s="58">
        <f>VLOOKUP(A49,NFP!A:C,3)</f>
        <v/>
      </c>
    </row>
    <row r="50">
      <c r="A50" s="57" t="n">
        <v>38353</v>
      </c>
      <c r="B50" s="59" t="n">
        <v>158</v>
      </c>
      <c r="C50" s="58">
        <f>VLOOKUP(A50,NFP!A:C,3)</f>
        <v/>
      </c>
    </row>
    <row r="51">
      <c r="A51" s="57" t="n">
        <v>38384</v>
      </c>
      <c r="B51" s="59" t="n">
        <v>145</v>
      </c>
      <c r="C51" s="58">
        <f>VLOOKUP(A51,NFP!A:C,3)</f>
        <v/>
      </c>
    </row>
    <row r="52">
      <c r="A52" s="57" t="n">
        <v>38412</v>
      </c>
      <c r="B52" s="59" t="n">
        <v>164</v>
      </c>
      <c r="C52" s="58">
        <f>VLOOKUP(A52,NFP!A:C,3)</f>
        <v/>
      </c>
    </row>
    <row r="53">
      <c r="A53" s="57" t="n">
        <v>38443</v>
      </c>
      <c r="B53" s="59" t="n">
        <v>300</v>
      </c>
      <c r="C53" s="58">
        <f>VLOOKUP(A53,NFP!A:C,3)</f>
        <v/>
      </c>
    </row>
    <row r="54">
      <c r="A54" s="57" t="n">
        <v>38473</v>
      </c>
      <c r="B54" s="59" t="n">
        <v>243</v>
      </c>
      <c r="C54" s="58">
        <f>VLOOKUP(A54,NFP!A:C,3)</f>
        <v/>
      </c>
    </row>
    <row r="55">
      <c r="A55" s="57" t="n">
        <v>38504</v>
      </c>
      <c r="B55" s="59" t="n">
        <v>273</v>
      </c>
      <c r="C55" s="58">
        <f>VLOOKUP(A55,NFP!A:C,3)</f>
        <v/>
      </c>
    </row>
    <row r="56">
      <c r="A56" s="57" t="n">
        <v>38534</v>
      </c>
      <c r="B56" s="59" t="n">
        <v>281</v>
      </c>
      <c r="C56" s="58">
        <f>VLOOKUP(A56,NFP!A:C,3)</f>
        <v/>
      </c>
    </row>
    <row r="57">
      <c r="A57" s="57" t="n">
        <v>38565</v>
      </c>
      <c r="B57" s="59" t="n">
        <v>190</v>
      </c>
      <c r="C57" s="58">
        <f>VLOOKUP(A57,NFP!A:C,3)</f>
        <v/>
      </c>
    </row>
    <row r="58">
      <c r="A58" s="57" t="n">
        <v>38596</v>
      </c>
      <c r="B58" s="59" t="n">
        <v>-35</v>
      </c>
      <c r="C58" s="58">
        <f>VLOOKUP(A58,NFP!A:C,3)</f>
        <v/>
      </c>
    </row>
    <row r="59">
      <c r="A59" s="57" t="n">
        <v>38626</v>
      </c>
      <c r="B59" s="59" t="n">
        <v>134</v>
      </c>
      <c r="C59" s="58">
        <f>VLOOKUP(A59,NFP!A:C,3)</f>
        <v/>
      </c>
    </row>
    <row r="60">
      <c r="A60" s="57" t="n">
        <v>38657</v>
      </c>
      <c r="B60" s="59" t="n">
        <v>253</v>
      </c>
      <c r="C60" s="58">
        <f>VLOOKUP(A60,NFP!A:C,3)</f>
        <v/>
      </c>
    </row>
    <row r="61">
      <c r="A61" s="57" t="n">
        <v>38687</v>
      </c>
      <c r="B61" s="59" t="n">
        <v>225</v>
      </c>
      <c r="C61" s="58">
        <f>VLOOKUP(A61,NFP!A:C,3)</f>
        <v/>
      </c>
    </row>
    <row r="62">
      <c r="A62" s="57" t="n">
        <v>38718</v>
      </c>
      <c r="B62" s="59" t="n">
        <v>296</v>
      </c>
      <c r="C62" s="58">
        <f>VLOOKUP(A62,NFP!A:C,3)</f>
        <v/>
      </c>
    </row>
    <row r="63">
      <c r="A63" s="57" t="n">
        <v>38749</v>
      </c>
      <c r="B63" s="59" t="n">
        <v>360</v>
      </c>
      <c r="C63" s="58">
        <f>VLOOKUP(A63,NFP!A:C,3)</f>
        <v/>
      </c>
    </row>
    <row r="64">
      <c r="A64" s="57" t="n">
        <v>38777</v>
      </c>
      <c r="B64" s="59" t="n">
        <v>208</v>
      </c>
      <c r="C64" s="58">
        <f>VLOOKUP(A64,NFP!A:C,3)</f>
        <v/>
      </c>
    </row>
    <row r="65">
      <c r="A65" s="57" t="n">
        <v>38808</v>
      </c>
      <c r="B65" s="59" t="n">
        <v>80</v>
      </c>
      <c r="C65" s="58">
        <f>VLOOKUP(A65,NFP!A:C,3)</f>
        <v/>
      </c>
    </row>
    <row r="66">
      <c r="A66" s="57" t="n">
        <v>38838</v>
      </c>
      <c r="B66" s="59" t="n">
        <v>175</v>
      </c>
      <c r="C66" s="58">
        <f>VLOOKUP(A66,NFP!A:C,3)</f>
        <v/>
      </c>
    </row>
    <row r="67">
      <c r="A67" s="57" t="n">
        <v>38869</v>
      </c>
      <c r="B67" s="59" t="n">
        <v>106</v>
      </c>
      <c r="C67" s="58">
        <f>VLOOKUP(A67,NFP!A:C,3)</f>
        <v/>
      </c>
    </row>
    <row r="68">
      <c r="A68" s="57" t="n">
        <v>38899</v>
      </c>
      <c r="B68" s="59" t="n">
        <v>123</v>
      </c>
      <c r="C68" s="58">
        <f>VLOOKUP(A68,NFP!A:C,3)</f>
        <v/>
      </c>
    </row>
    <row r="69">
      <c r="A69" s="57" t="n">
        <v>38930</v>
      </c>
      <c r="B69" s="59" t="n">
        <v>185</v>
      </c>
      <c r="C69" s="58">
        <f>VLOOKUP(A69,NFP!A:C,3)</f>
        <v/>
      </c>
    </row>
    <row r="70">
      <c r="A70" s="57" t="n">
        <v>38961</v>
      </c>
      <c r="B70" s="59" t="n">
        <v>58</v>
      </c>
      <c r="C70" s="58">
        <f>VLOOKUP(A70,NFP!A:C,3)</f>
        <v/>
      </c>
    </row>
    <row r="71">
      <c r="A71" s="57" t="n">
        <v>38991</v>
      </c>
      <c r="B71" s="59" t="n">
        <v>109</v>
      </c>
      <c r="C71" s="58">
        <f>VLOOKUP(A71,NFP!A:C,3)</f>
        <v/>
      </c>
    </row>
    <row r="72">
      <c r="A72" s="57" t="n">
        <v>39022</v>
      </c>
      <c r="B72" s="59" t="n">
        <v>-13</v>
      </c>
      <c r="C72" s="58">
        <f>VLOOKUP(A72,NFP!A:C,3)</f>
        <v/>
      </c>
    </row>
    <row r="73">
      <c r="A73" s="57" t="n">
        <v>39052</v>
      </c>
      <c r="B73" s="59" t="n">
        <v>171</v>
      </c>
      <c r="C73" s="58">
        <f>VLOOKUP(A73,NFP!A:C,3)</f>
        <v/>
      </c>
    </row>
    <row r="74">
      <c r="A74" s="57" t="n">
        <v>39083</v>
      </c>
      <c r="B74" s="59" t="n">
        <v>241</v>
      </c>
      <c r="C74" s="58">
        <f>VLOOKUP(A74,NFP!A:C,3)</f>
        <v/>
      </c>
    </row>
    <row r="75">
      <c r="A75" s="57" t="n">
        <v>39114</v>
      </c>
      <c r="B75" s="59" t="n">
        <v>111</v>
      </c>
      <c r="C75" s="58">
        <f>VLOOKUP(A75,NFP!A:C,3)</f>
        <v/>
      </c>
    </row>
    <row r="76">
      <c r="A76" s="57" t="n">
        <v>39142</v>
      </c>
      <c r="B76" s="59" t="n">
        <v>154</v>
      </c>
      <c r="C76" s="58">
        <f>VLOOKUP(A76,NFP!A:C,3)</f>
        <v/>
      </c>
    </row>
    <row r="77">
      <c r="A77" s="57" t="n">
        <v>39173</v>
      </c>
      <c r="B77" s="59" t="n">
        <v>39</v>
      </c>
      <c r="C77" s="58">
        <f>VLOOKUP(A77,NFP!A:C,3)</f>
        <v/>
      </c>
    </row>
    <row r="78">
      <c r="A78" s="57" t="n">
        <v>39203</v>
      </c>
      <c r="B78" s="59" t="n">
        <v>82</v>
      </c>
      <c r="C78" s="58">
        <f>VLOOKUP(A78,NFP!A:C,3)</f>
        <v/>
      </c>
    </row>
    <row r="79">
      <c r="A79" s="57" t="n">
        <v>39234</v>
      </c>
      <c r="B79" s="59" t="n">
        <v>15</v>
      </c>
      <c r="C79" s="58">
        <f>VLOOKUP(A79,NFP!A:C,3)</f>
        <v/>
      </c>
    </row>
    <row r="80">
      <c r="A80" s="57" t="n">
        <v>39264</v>
      </c>
      <c r="B80" s="59" t="n">
        <v>47</v>
      </c>
      <c r="C80" s="58">
        <f>VLOOKUP(A80,NFP!A:C,3)</f>
        <v/>
      </c>
    </row>
    <row r="81">
      <c r="A81" s="57" t="n">
        <v>39295</v>
      </c>
      <c r="B81" s="59" t="n">
        <v>-27</v>
      </c>
      <c r="C81" s="58">
        <f>VLOOKUP(A81,NFP!A:C,3)</f>
        <v/>
      </c>
    </row>
    <row r="82">
      <c r="A82" s="57" t="n">
        <v>39326</v>
      </c>
      <c r="B82" s="59" t="n">
        <v>23</v>
      </c>
      <c r="C82" s="58">
        <f>VLOOKUP(A82,NFP!A:C,3)</f>
        <v/>
      </c>
    </row>
    <row r="83">
      <c r="A83" s="57" t="n">
        <v>39356</v>
      </c>
      <c r="B83" s="59" t="n">
        <v>44</v>
      </c>
      <c r="C83" s="58">
        <f>VLOOKUP(A83,NFP!A:C,3)</f>
        <v/>
      </c>
    </row>
    <row r="84">
      <c r="A84" s="57" t="n">
        <v>39387</v>
      </c>
      <c r="B84" s="59" t="n">
        <v>58</v>
      </c>
      <c r="C84" s="58">
        <f>VLOOKUP(A84,NFP!A:C,3)</f>
        <v/>
      </c>
    </row>
    <row r="85">
      <c r="A85" s="57" t="n">
        <v>39417</v>
      </c>
      <c r="B85" s="59" t="n">
        <v>47</v>
      </c>
      <c r="C85" s="58">
        <f>VLOOKUP(A85,NFP!A:C,3)</f>
        <v/>
      </c>
    </row>
    <row r="86">
      <c r="A86" s="57" t="n">
        <v>39448</v>
      </c>
      <c r="B86" s="59" t="n">
        <v>118</v>
      </c>
      <c r="C86" s="58">
        <f>VLOOKUP(A86,NFP!A:C,3)</f>
        <v/>
      </c>
    </row>
    <row r="87">
      <c r="A87" s="57" t="n">
        <v>39479</v>
      </c>
      <c r="B87" s="59" t="n">
        <v>-78</v>
      </c>
      <c r="C87" s="58">
        <f>VLOOKUP(A87,NFP!A:C,3)</f>
        <v/>
      </c>
    </row>
    <row r="88">
      <c r="A88" s="57" t="n">
        <v>39508</v>
      </c>
      <c r="B88" s="59" t="n">
        <v>-181</v>
      </c>
      <c r="C88" s="58">
        <f>VLOOKUP(A88,NFP!A:C,3)</f>
        <v/>
      </c>
    </row>
    <row r="89">
      <c r="A89" s="57" t="n">
        <v>39539</v>
      </c>
      <c r="B89" s="59" t="n">
        <v>-406</v>
      </c>
      <c r="C89" s="58">
        <f>VLOOKUP(A89,NFP!A:C,3)</f>
        <v/>
      </c>
    </row>
    <row r="90">
      <c r="A90" s="57" t="n">
        <v>39569</v>
      </c>
      <c r="B90" s="59" t="n">
        <v>-409</v>
      </c>
      <c r="C90" s="58">
        <f>VLOOKUP(A90,NFP!A:C,3)</f>
        <v/>
      </c>
    </row>
    <row r="91">
      <c r="A91" s="57" t="n">
        <v>39600</v>
      </c>
      <c r="B91" s="59" t="n">
        <v>-465</v>
      </c>
      <c r="C91" s="58">
        <f>VLOOKUP(A91,NFP!A:C,3)</f>
        <v/>
      </c>
    </row>
    <row r="92">
      <c r="A92" s="57" t="n">
        <v>39630</v>
      </c>
      <c r="B92" s="59" t="n">
        <v>-416</v>
      </c>
      <c r="C92" s="58">
        <f>VLOOKUP(A92,NFP!A:C,3)</f>
        <v/>
      </c>
    </row>
    <row r="93">
      <c r="A93" s="57" t="n">
        <v>39661</v>
      </c>
      <c r="B93" s="59" t="n">
        <v>-430</v>
      </c>
      <c r="C93" s="58">
        <f>VLOOKUP(A93,NFP!A:C,3)</f>
        <v/>
      </c>
    </row>
    <row r="94">
      <c r="A94" s="57" t="n">
        <v>39692</v>
      </c>
      <c r="B94" s="59" t="n">
        <v>-489</v>
      </c>
      <c r="C94" s="58">
        <f>VLOOKUP(A94,NFP!A:C,3)</f>
        <v/>
      </c>
    </row>
    <row r="95">
      <c r="A95" s="57" t="n">
        <v>39722</v>
      </c>
      <c r="B95" s="59" t="n">
        <v>-430</v>
      </c>
      <c r="C95" s="58">
        <f>VLOOKUP(A95,NFP!A:C,3)</f>
        <v/>
      </c>
    </row>
    <row r="96">
      <c r="A96" s="57" t="n">
        <v>39753</v>
      </c>
      <c r="B96" s="59" t="n">
        <v>-620</v>
      </c>
      <c r="C96" s="58">
        <f>VLOOKUP(A96,NFP!A:C,3)</f>
        <v/>
      </c>
    </row>
    <row r="97">
      <c r="A97" s="57" t="n">
        <v>39783</v>
      </c>
      <c r="B97" s="59" t="n">
        <v>-510</v>
      </c>
      <c r="C97" s="58">
        <f>VLOOKUP(A97,NFP!A:C,3)</f>
        <v/>
      </c>
    </row>
    <row r="98">
      <c r="A98" s="57" t="n">
        <v>39814</v>
      </c>
      <c r="B98" s="59" t="n">
        <v>-584</v>
      </c>
      <c r="C98" s="58">
        <f>VLOOKUP(A98,NFP!A:C,3)</f>
        <v/>
      </c>
    </row>
    <row r="99">
      <c r="A99" s="57" t="n">
        <v>39845</v>
      </c>
      <c r="B99" s="59" t="n">
        <v>-706</v>
      </c>
      <c r="C99" s="58">
        <f>VLOOKUP(A99,NFP!A:C,3)</f>
        <v/>
      </c>
    </row>
    <row r="100">
      <c r="A100" s="57" t="n">
        <v>39873</v>
      </c>
      <c r="B100" s="59" t="n">
        <v>-417</v>
      </c>
      <c r="C100" s="58">
        <f>VLOOKUP(A100,NFP!A:C,3)</f>
        <v/>
      </c>
    </row>
    <row r="101">
      <c r="A101" s="57" t="n">
        <v>39904</v>
      </c>
      <c r="B101" s="59" t="n">
        <v>-325</v>
      </c>
      <c r="C101" s="58">
        <f>VLOOKUP(A101,NFP!A:C,3)</f>
        <v/>
      </c>
    </row>
    <row r="102">
      <c r="A102" s="57" t="n">
        <v>39934</v>
      </c>
      <c r="B102" s="59" t="n">
        <v>-244</v>
      </c>
      <c r="C102" s="58">
        <f>VLOOKUP(A102,NFP!A:C,3)</f>
        <v/>
      </c>
    </row>
    <row r="103">
      <c r="A103" s="57" t="n">
        <v>39965</v>
      </c>
      <c r="B103" s="59" t="n">
        <v>-334</v>
      </c>
      <c r="C103" s="58">
        <f>VLOOKUP(A103,NFP!A:C,3)</f>
        <v/>
      </c>
    </row>
    <row r="104">
      <c r="A104" s="57" t="n">
        <v>39995</v>
      </c>
      <c r="B104" s="59" t="n">
        <v>-180</v>
      </c>
      <c r="C104" s="58">
        <f>VLOOKUP(A104,NFP!A:C,3)</f>
        <v/>
      </c>
    </row>
    <row r="105">
      <c r="A105" s="57" t="n">
        <v>40026</v>
      </c>
      <c r="B105" s="59" t="n">
        <v>-212</v>
      </c>
      <c r="C105" s="58">
        <f>VLOOKUP(A105,NFP!A:C,3)</f>
        <v/>
      </c>
    </row>
    <row r="106">
      <c r="A106" s="57" t="n">
        <v>40057</v>
      </c>
      <c r="B106" s="59" t="n">
        <v>-126</v>
      </c>
      <c r="C106" s="58">
        <f>VLOOKUP(A106,NFP!A:C,3)</f>
        <v/>
      </c>
    </row>
    <row r="107">
      <c r="A107" s="57" t="n">
        <v>40087</v>
      </c>
      <c r="B107" s="59" t="n">
        <v>-114</v>
      </c>
      <c r="C107" s="58">
        <f>VLOOKUP(A107,NFP!A:C,3)</f>
        <v/>
      </c>
    </row>
    <row r="108">
      <c r="A108" s="57" t="n">
        <v>40118</v>
      </c>
      <c r="B108" s="59" t="n">
        <v>-374</v>
      </c>
      <c r="C108" s="58">
        <f>VLOOKUP(A108,NFP!A:C,3)</f>
        <v/>
      </c>
    </row>
    <row r="109">
      <c r="A109" s="57" t="n">
        <v>40148</v>
      </c>
      <c r="B109" s="59" t="n">
        <v>-212</v>
      </c>
      <c r="C109" s="58">
        <f>VLOOKUP(A109,NFP!A:C,3)</f>
        <v/>
      </c>
    </row>
    <row r="110">
      <c r="A110" s="57" t="n">
        <v>40179</v>
      </c>
      <c r="B110" s="59" t="n">
        <v>-137</v>
      </c>
      <c r="C110" s="58">
        <f>VLOOKUP(A110,NFP!A:C,3)</f>
        <v/>
      </c>
    </row>
    <row r="111">
      <c r="A111" s="57" t="n">
        <v>40210</v>
      </c>
      <c r="B111" s="59" t="n">
        <v>-219</v>
      </c>
      <c r="C111" s="58">
        <f>VLOOKUP(A111,NFP!A:C,3)</f>
        <v/>
      </c>
    </row>
    <row r="112">
      <c r="A112" s="57" t="n">
        <v>40238</v>
      </c>
      <c r="B112" s="59" t="n">
        <v>-113</v>
      </c>
      <c r="C112" s="58">
        <f>VLOOKUP(A112,NFP!A:C,3)</f>
        <v/>
      </c>
    </row>
    <row r="113">
      <c r="A113" s="57" t="n">
        <v>40269</v>
      </c>
      <c r="B113" s="59" t="n">
        <v>147</v>
      </c>
      <c r="C113" s="58">
        <f>VLOOKUP(A113,NFP!A:C,3)</f>
        <v/>
      </c>
    </row>
    <row r="114">
      <c r="A114" s="57" t="n">
        <v>40299</v>
      </c>
      <c r="B114" s="59" t="n">
        <v>152</v>
      </c>
      <c r="C114" s="58">
        <f>VLOOKUP(A114,NFP!A:C,3)</f>
        <v/>
      </c>
    </row>
    <row r="115">
      <c r="A115" s="57" t="n">
        <v>40330</v>
      </c>
      <c r="B115" s="59" t="n">
        <v>102</v>
      </c>
      <c r="C115" s="58">
        <f>VLOOKUP(A115,NFP!A:C,3)</f>
        <v/>
      </c>
    </row>
    <row r="116">
      <c r="A116" s="57" t="n">
        <v>40360</v>
      </c>
      <c r="B116" s="59" t="n">
        <v>159</v>
      </c>
      <c r="C116" s="58">
        <f>VLOOKUP(A116,NFP!A:C,3)</f>
        <v/>
      </c>
    </row>
    <row r="117">
      <c r="A117" s="57" t="n">
        <v>40391</v>
      </c>
      <c r="B117" s="59" t="n">
        <v>99</v>
      </c>
      <c r="C117" s="58">
        <f>VLOOKUP(A117,NFP!A:C,3)</f>
        <v/>
      </c>
    </row>
    <row r="118">
      <c r="A118" s="57" t="n">
        <v>40422</v>
      </c>
      <c r="B118" s="59" t="n">
        <v>117</v>
      </c>
      <c r="C118" s="58">
        <f>VLOOKUP(A118,NFP!A:C,3)</f>
        <v/>
      </c>
    </row>
    <row r="119">
      <c r="A119" s="57" t="n">
        <v>40452</v>
      </c>
      <c r="B119" s="59" t="n">
        <v>219</v>
      </c>
      <c r="C119" s="58">
        <f>VLOOKUP(A119,NFP!A:C,3)</f>
        <v/>
      </c>
    </row>
    <row r="120">
      <c r="A120" s="57" t="n">
        <v>40483</v>
      </c>
      <c r="B120" s="59" t="n">
        <v>141</v>
      </c>
      <c r="C120" s="58">
        <f>VLOOKUP(A120,NFP!A:C,3)</f>
        <v/>
      </c>
    </row>
    <row r="121">
      <c r="A121" s="57" t="n">
        <v>40513</v>
      </c>
      <c r="B121" s="59" t="n">
        <v>85</v>
      </c>
      <c r="C121" s="58">
        <f>VLOOKUP(A121,NFP!A:C,3)</f>
        <v/>
      </c>
    </row>
    <row r="122">
      <c r="A122" s="57" t="n">
        <v>40544</v>
      </c>
      <c r="B122" s="59" t="n">
        <v>137</v>
      </c>
      <c r="C122" s="58">
        <f>VLOOKUP(A122,NFP!A:C,3)</f>
        <v/>
      </c>
    </row>
    <row r="123">
      <c r="A123" s="57" t="n">
        <v>40575</v>
      </c>
      <c r="B123" s="59" t="n">
        <v>164</v>
      </c>
      <c r="C123" s="58">
        <f>VLOOKUP(A123,NFP!A:C,3)</f>
        <v/>
      </c>
    </row>
    <row r="124">
      <c r="A124" s="57" t="n">
        <v>40603</v>
      </c>
      <c r="B124" s="59" t="n">
        <v>213</v>
      </c>
      <c r="C124" s="58">
        <f>VLOOKUP(A124,NFP!A:C,3)</f>
        <v/>
      </c>
    </row>
    <row r="125">
      <c r="A125" s="57" t="n">
        <v>40634</v>
      </c>
      <c r="B125" s="59" t="n">
        <v>299</v>
      </c>
      <c r="C125" s="58">
        <f>VLOOKUP(A125,NFP!A:C,3)</f>
        <v/>
      </c>
    </row>
    <row r="126">
      <c r="A126" s="57" t="n">
        <v>40664</v>
      </c>
      <c r="B126" s="59" t="n">
        <v>254</v>
      </c>
      <c r="C126" s="58">
        <f>VLOOKUP(A126,NFP!A:C,3)</f>
        <v/>
      </c>
    </row>
    <row r="127">
      <c r="A127" s="57" t="n">
        <v>40695</v>
      </c>
      <c r="B127" s="59" t="n">
        <v>263</v>
      </c>
      <c r="C127" s="58">
        <f>VLOOKUP(A127,NFP!A:C,3)</f>
        <v/>
      </c>
    </row>
    <row r="128">
      <c r="A128" s="57" t="n">
        <v>40725</v>
      </c>
      <c r="B128" s="59" t="n">
        <v>213</v>
      </c>
      <c r="C128" s="58">
        <f>VLOOKUP(A128,NFP!A:C,3)</f>
        <v/>
      </c>
    </row>
    <row r="129">
      <c r="A129" s="57" t="n">
        <v>40756</v>
      </c>
      <c r="B129" s="59" t="n">
        <v>216</v>
      </c>
      <c r="C129" s="58">
        <f>VLOOKUP(A129,NFP!A:C,3)</f>
        <v/>
      </c>
    </row>
    <row r="130">
      <c r="A130" s="57" t="n">
        <v>40787</v>
      </c>
      <c r="B130" s="59" t="n">
        <v>227</v>
      </c>
      <c r="C130" s="58">
        <f>VLOOKUP(A130,NFP!A:C,3)</f>
        <v/>
      </c>
    </row>
    <row r="131">
      <c r="A131" s="57" t="n">
        <v>40817</v>
      </c>
      <c r="B131" s="59" t="n">
        <v>191</v>
      </c>
      <c r="C131" s="58">
        <f>VLOOKUP(A131,NFP!A:C,3)</f>
        <v/>
      </c>
    </row>
    <row r="132">
      <c r="A132" s="57" t="n">
        <v>40848</v>
      </c>
      <c r="B132" s="59" t="n">
        <v>127</v>
      </c>
      <c r="C132" s="58">
        <f>VLOOKUP(A132,NFP!A:C,3)</f>
        <v/>
      </c>
    </row>
    <row r="133">
      <c r="A133" s="57" t="n">
        <v>40878</v>
      </c>
      <c r="B133" s="59" t="n">
        <v>194</v>
      </c>
      <c r="C133" s="58">
        <f>VLOOKUP(A133,NFP!A:C,3)</f>
        <v/>
      </c>
    </row>
    <row r="134">
      <c r="A134" s="57" t="n">
        <v>40909</v>
      </c>
      <c r="B134" s="59" t="n">
        <v>199</v>
      </c>
      <c r="C134" s="58">
        <f>VLOOKUP(A134,NFP!A:C,3)</f>
        <v/>
      </c>
    </row>
    <row r="135">
      <c r="A135" s="57" t="n">
        <v>40940</v>
      </c>
      <c r="B135" s="59" t="n">
        <v>281</v>
      </c>
      <c r="C135" s="58">
        <f>VLOOKUP(A135,NFP!A:C,3)</f>
        <v/>
      </c>
    </row>
    <row r="136">
      <c r="A136" s="57" t="n">
        <v>40969</v>
      </c>
      <c r="B136" s="59" t="n">
        <v>250</v>
      </c>
      <c r="C136" s="58">
        <f>VLOOKUP(A136,NFP!A:C,3)</f>
        <v/>
      </c>
    </row>
    <row r="137">
      <c r="A137" s="57" t="n">
        <v>41000</v>
      </c>
      <c r="B137" s="59" t="n">
        <v>83</v>
      </c>
      <c r="C137" s="58">
        <f>VLOOKUP(A137,NFP!A:C,3)</f>
        <v/>
      </c>
    </row>
    <row r="138">
      <c r="A138" s="57" t="n">
        <v>41030</v>
      </c>
      <c r="B138" s="59" t="n">
        <v>153</v>
      </c>
      <c r="C138" s="58">
        <f>VLOOKUP(A138,NFP!A:C,3)</f>
        <v/>
      </c>
    </row>
    <row r="139">
      <c r="A139" s="57" t="n">
        <v>41061</v>
      </c>
      <c r="B139" s="59" t="n">
        <v>79</v>
      </c>
      <c r="C139" s="58">
        <f>VLOOKUP(A139,NFP!A:C,3)</f>
        <v/>
      </c>
    </row>
    <row r="140">
      <c r="A140" s="57" t="n">
        <v>41091</v>
      </c>
      <c r="B140" s="59" t="n">
        <v>142</v>
      </c>
      <c r="C140" s="58">
        <f>VLOOKUP(A140,NFP!A:C,3)</f>
        <v/>
      </c>
    </row>
    <row r="141">
      <c r="A141" s="57" t="n">
        <v>41122</v>
      </c>
      <c r="B141" s="59" t="n">
        <v>184</v>
      </c>
      <c r="C141" s="58">
        <f>VLOOKUP(A141,NFP!A:C,3)</f>
        <v/>
      </c>
    </row>
    <row r="142">
      <c r="A142" s="57" t="n">
        <v>41153</v>
      </c>
      <c r="B142" s="59" t="n">
        <v>150</v>
      </c>
      <c r="C142" s="58">
        <f>VLOOKUP(A142,NFP!A:C,3)</f>
        <v/>
      </c>
    </row>
    <row r="143">
      <c r="A143" s="57" t="n">
        <v>41183</v>
      </c>
      <c r="B143" s="59" t="n">
        <v>227</v>
      </c>
      <c r="C143" s="58">
        <f>VLOOKUP(A143,NFP!A:C,3)</f>
        <v/>
      </c>
    </row>
    <row r="144">
      <c r="A144" s="57" t="n">
        <v>41214</v>
      </c>
      <c r="B144" s="59" t="n">
        <v>159</v>
      </c>
      <c r="C144" s="58">
        <f>VLOOKUP(A144,NFP!A:C,3)</f>
        <v/>
      </c>
    </row>
    <row r="145">
      <c r="A145" s="57" t="n">
        <v>41244</v>
      </c>
      <c r="B145" s="59" t="n">
        <v>231</v>
      </c>
      <c r="C145" s="58">
        <f>VLOOKUP(A145,NFP!A:C,3)</f>
        <v/>
      </c>
    </row>
    <row r="146">
      <c r="A146" s="57" t="n">
        <v>41275</v>
      </c>
      <c r="B146" s="59" t="n">
        <v>208</v>
      </c>
      <c r="C146" s="58">
        <f>VLOOKUP(A146,NFP!A:C,3)</f>
        <v/>
      </c>
    </row>
    <row r="147">
      <c r="A147" s="57" t="n">
        <v>41306</v>
      </c>
      <c r="B147" s="59" t="n">
        <v>203</v>
      </c>
      <c r="C147" s="58">
        <f>VLOOKUP(A147,NFP!A:C,3)</f>
        <v/>
      </c>
    </row>
    <row r="148">
      <c r="A148" s="57" t="n">
        <v>41334</v>
      </c>
      <c r="B148" s="59" t="n">
        <v>181</v>
      </c>
      <c r="C148" s="58">
        <f>VLOOKUP(A148,NFP!A:C,3)</f>
        <v/>
      </c>
    </row>
    <row r="149">
      <c r="A149" s="57" t="n">
        <v>41365</v>
      </c>
      <c r="B149" s="59" t="n">
        <v>126</v>
      </c>
      <c r="C149" s="58">
        <f>VLOOKUP(A149,NFP!A:C,3)</f>
        <v/>
      </c>
    </row>
    <row r="150">
      <c r="A150" s="57" t="n">
        <v>41395</v>
      </c>
      <c r="B150" s="59" t="n">
        <v>210</v>
      </c>
      <c r="C150" s="58">
        <f>VLOOKUP(A150,NFP!A:C,3)</f>
        <v/>
      </c>
    </row>
    <row r="151">
      <c r="A151" s="57" t="n">
        <v>41426</v>
      </c>
      <c r="B151" s="59" t="n">
        <v>217</v>
      </c>
      <c r="C151" s="58">
        <f>VLOOKUP(A151,NFP!A:C,3)</f>
        <v/>
      </c>
    </row>
    <row r="152">
      <c r="A152" s="57" t="n">
        <v>41456</v>
      </c>
      <c r="B152" s="59" t="n">
        <v>157</v>
      </c>
      <c r="C152" s="58">
        <f>VLOOKUP(A152,NFP!A:C,3)</f>
        <v/>
      </c>
    </row>
    <row r="153">
      <c r="A153" s="57" t="n">
        <v>41487</v>
      </c>
      <c r="B153" s="59" t="n">
        <v>206</v>
      </c>
      <c r="C153" s="58">
        <f>VLOOKUP(A153,NFP!A:C,3)</f>
        <v/>
      </c>
    </row>
    <row r="154">
      <c r="A154" s="57" t="n">
        <v>41518</v>
      </c>
      <c r="B154" s="59" t="n">
        <v>243</v>
      </c>
      <c r="C154" s="58">
        <f>VLOOKUP(A154,NFP!A:C,3)</f>
        <v/>
      </c>
    </row>
    <row r="155">
      <c r="A155" s="57" t="n">
        <v>41548</v>
      </c>
      <c r="B155" s="59" t="n">
        <v>211</v>
      </c>
      <c r="C155" s="58">
        <f>VLOOKUP(A155,NFP!A:C,3)</f>
        <v/>
      </c>
    </row>
    <row r="156">
      <c r="A156" s="57" t="n">
        <v>41579</v>
      </c>
      <c r="B156" s="59" t="n">
        <v>195</v>
      </c>
      <c r="C156" s="58">
        <f>VLOOKUP(A156,NFP!A:C,3)</f>
        <v/>
      </c>
    </row>
    <row r="157">
      <c r="A157" s="57" t="n">
        <v>41609</v>
      </c>
      <c r="B157" s="59" t="n">
        <v>178</v>
      </c>
      <c r="C157" s="58">
        <f>VLOOKUP(A157,NFP!A:C,3)</f>
        <v/>
      </c>
    </row>
    <row r="158">
      <c r="A158" s="57" t="n">
        <v>41640</v>
      </c>
      <c r="B158" s="59" t="n">
        <v>212</v>
      </c>
      <c r="C158" s="58">
        <f>VLOOKUP(A158,NFP!A:C,3)</f>
        <v/>
      </c>
    </row>
    <row r="159">
      <c r="A159" s="57" t="n">
        <v>41671</v>
      </c>
      <c r="B159" s="59" t="n">
        <v>190</v>
      </c>
      <c r="C159" s="58">
        <f>VLOOKUP(A159,NFP!A:C,3)</f>
        <v/>
      </c>
    </row>
    <row r="160">
      <c r="A160" s="57" t="n">
        <v>41699</v>
      </c>
      <c r="B160" s="59" t="n">
        <v>179</v>
      </c>
      <c r="C160" s="58">
        <f>VLOOKUP(A160,NFP!A:C,3)</f>
        <v/>
      </c>
    </row>
    <row r="161">
      <c r="A161" s="57" t="n">
        <v>41730</v>
      </c>
      <c r="B161" s="59" t="n">
        <v>278</v>
      </c>
      <c r="C161" s="58">
        <f>VLOOKUP(A161,NFP!A:C,3)</f>
        <v/>
      </c>
    </row>
    <row r="162">
      <c r="A162" s="57" t="n">
        <v>41760</v>
      </c>
      <c r="B162" s="59" t="n">
        <v>202</v>
      </c>
      <c r="C162" s="58">
        <f>VLOOKUP(A162,NFP!A:C,3)</f>
        <v/>
      </c>
    </row>
    <row r="163">
      <c r="A163" s="57" t="n">
        <v>41791</v>
      </c>
      <c r="B163" s="59" t="n">
        <v>292</v>
      </c>
      <c r="C163" s="58">
        <f>VLOOKUP(A163,NFP!A:C,3)</f>
        <v/>
      </c>
    </row>
    <row r="164">
      <c r="A164" s="57" t="n">
        <v>41821</v>
      </c>
      <c r="B164" s="59" t="n">
        <v>223</v>
      </c>
      <c r="C164" s="58">
        <f>VLOOKUP(A164,NFP!A:C,3)</f>
        <v/>
      </c>
    </row>
    <row r="165">
      <c r="A165" s="57" t="n">
        <v>41852</v>
      </c>
      <c r="B165" s="59" t="n">
        <v>230</v>
      </c>
      <c r="C165" s="58">
        <f>VLOOKUP(A165,NFP!A:C,3)</f>
        <v/>
      </c>
    </row>
    <row r="166">
      <c r="A166" s="57" t="n">
        <v>41883</v>
      </c>
      <c r="B166" s="59" t="n">
        <v>251</v>
      </c>
      <c r="C166" s="58">
        <f>VLOOKUP(A166,NFP!A:C,3)</f>
        <v/>
      </c>
    </row>
    <row r="167">
      <c r="A167" s="57" t="n">
        <v>41913</v>
      </c>
      <c r="B167" s="59" t="n">
        <v>252</v>
      </c>
      <c r="C167" s="58">
        <f>VLOOKUP(A167,NFP!A:C,3)</f>
        <v/>
      </c>
    </row>
    <row r="168">
      <c r="A168" s="57" t="n">
        <v>41944</v>
      </c>
      <c r="B168" s="59" t="n">
        <v>195</v>
      </c>
      <c r="C168" s="58">
        <f>VLOOKUP(A168,NFP!A:C,3)</f>
        <v/>
      </c>
    </row>
    <row r="169">
      <c r="A169" s="57" t="n">
        <v>41974</v>
      </c>
      <c r="B169" s="59" t="n">
        <v>292</v>
      </c>
      <c r="C169" s="58">
        <f>VLOOKUP(A169,NFP!A:C,3)</f>
        <v/>
      </c>
    </row>
    <row r="170">
      <c r="A170" s="57" t="n">
        <v>42005</v>
      </c>
      <c r="B170" s="59" t="n">
        <v>191</v>
      </c>
      <c r="C170" s="58">
        <f>VLOOKUP(A170,NFP!A:C,3)</f>
        <v/>
      </c>
    </row>
    <row r="171">
      <c r="A171" s="57" t="n">
        <v>42036</v>
      </c>
      <c r="B171" s="59" t="n">
        <v>226</v>
      </c>
      <c r="C171" s="58">
        <f>VLOOKUP(A171,NFP!A:C,3)</f>
        <v/>
      </c>
    </row>
    <row r="172">
      <c r="A172" s="57" t="n">
        <v>42064</v>
      </c>
      <c r="B172" s="59" t="n">
        <v>178</v>
      </c>
      <c r="C172" s="58">
        <f>VLOOKUP(A172,NFP!A:C,3)</f>
        <v/>
      </c>
    </row>
    <row r="173">
      <c r="A173" s="57" t="n">
        <v>42095</v>
      </c>
      <c r="B173" s="59" t="n">
        <v>179</v>
      </c>
      <c r="C173" s="58">
        <f>VLOOKUP(A173,NFP!A:C,3)</f>
        <v/>
      </c>
    </row>
    <row r="174">
      <c r="A174" s="57" t="n">
        <v>42125</v>
      </c>
      <c r="B174" s="59" t="n">
        <v>296</v>
      </c>
      <c r="C174" s="58">
        <f>VLOOKUP(A174,NFP!A:C,3)</f>
        <v/>
      </c>
    </row>
    <row r="175">
      <c r="A175" s="57" t="n">
        <v>42156</v>
      </c>
      <c r="B175" s="59" t="n">
        <v>219</v>
      </c>
      <c r="C175" s="58">
        <f>VLOOKUP(A175,NFP!A:C,3)</f>
        <v/>
      </c>
    </row>
    <row r="176">
      <c r="A176" s="57" t="n">
        <v>42186</v>
      </c>
      <c r="B176" s="59" t="n">
        <v>190</v>
      </c>
      <c r="C176" s="58">
        <f>VLOOKUP(A176,NFP!A:C,3)</f>
        <v/>
      </c>
    </row>
    <row r="177">
      <c r="A177" s="57" t="n">
        <v>42217</v>
      </c>
      <c r="B177" s="59" t="n">
        <v>190</v>
      </c>
      <c r="C177" s="58">
        <f>VLOOKUP(A177,NFP!A:C,3)</f>
        <v/>
      </c>
    </row>
    <row r="178">
      <c r="A178" s="57" t="n">
        <v>42248</v>
      </c>
      <c r="B178" s="59" t="n">
        <v>204</v>
      </c>
      <c r="C178" s="58">
        <f>VLOOKUP(A178,NFP!A:C,3)</f>
        <v/>
      </c>
    </row>
    <row r="179">
      <c r="A179" s="57" t="n">
        <v>42278</v>
      </c>
      <c r="B179" s="59" t="n">
        <v>186</v>
      </c>
      <c r="C179" s="58">
        <f>VLOOKUP(A179,NFP!A:C,3)</f>
        <v/>
      </c>
    </row>
    <row r="180">
      <c r="A180" s="57" t="n">
        <v>42309</v>
      </c>
      <c r="B180" s="59" t="n">
        <v>223</v>
      </c>
      <c r="C180" s="58">
        <f>VLOOKUP(A180,NFP!A:C,3)</f>
        <v/>
      </c>
    </row>
    <row r="181">
      <c r="A181" s="57" t="n">
        <v>42339</v>
      </c>
      <c r="B181" s="59" t="n">
        <v>271</v>
      </c>
      <c r="C181" s="58">
        <f>VLOOKUP(A181,NFP!A:C,3)</f>
        <v/>
      </c>
    </row>
    <row r="182">
      <c r="A182" s="57" t="n">
        <v>42370</v>
      </c>
      <c r="B182" s="59" t="n">
        <v>130</v>
      </c>
      <c r="C182" s="58">
        <f>VLOOKUP(A182,NFP!A:C,3)</f>
        <v/>
      </c>
    </row>
    <row r="183">
      <c r="A183" s="57" t="n">
        <v>42401</v>
      </c>
      <c r="B183" s="59" t="n">
        <v>241</v>
      </c>
      <c r="C183" s="58">
        <f>VLOOKUP(A183,NFP!A:C,3)</f>
        <v/>
      </c>
    </row>
    <row r="184">
      <c r="A184" s="57" t="n">
        <v>42430</v>
      </c>
      <c r="B184" s="59" t="n">
        <v>205</v>
      </c>
      <c r="C184" s="58">
        <f>VLOOKUP(A184,NFP!A:C,3)</f>
        <v/>
      </c>
    </row>
    <row r="185">
      <c r="A185" s="57" t="n">
        <v>42461</v>
      </c>
      <c r="B185" s="59" t="n">
        <v>170</v>
      </c>
      <c r="C185" s="58">
        <f>VLOOKUP(A185,NFP!A:C,3)</f>
        <v/>
      </c>
    </row>
    <row r="186">
      <c r="A186" s="57" t="n">
        <v>42491</v>
      </c>
      <c r="B186" s="59" t="n">
        <v>84</v>
      </c>
      <c r="C186" s="58">
        <f>VLOOKUP(A186,NFP!A:C,3)</f>
        <v/>
      </c>
    </row>
    <row r="187">
      <c r="A187" s="57" t="n">
        <v>42522</v>
      </c>
      <c r="B187" s="59" t="n">
        <v>255</v>
      </c>
      <c r="C187" s="58">
        <f>VLOOKUP(A187,NFP!A:C,3)</f>
        <v/>
      </c>
    </row>
    <row r="188">
      <c r="A188" s="57" t="n">
        <v>42552</v>
      </c>
      <c r="B188" s="59" t="n">
        <v>152</v>
      </c>
      <c r="C188" s="58">
        <f>VLOOKUP(A188,NFP!A:C,3)</f>
        <v/>
      </c>
    </row>
    <row r="189">
      <c r="A189" s="57" t="n">
        <v>42583</v>
      </c>
      <c r="B189" s="59" t="n">
        <v>192</v>
      </c>
      <c r="C189" s="58">
        <f>VLOOKUP(A189,NFP!A:C,3)</f>
        <v/>
      </c>
    </row>
    <row r="190">
      <c r="A190" s="57" t="n">
        <v>42614</v>
      </c>
      <c r="B190" s="59" t="n">
        <v>181</v>
      </c>
      <c r="C190" s="58">
        <f>VLOOKUP(A190,NFP!A:C,3)</f>
        <v/>
      </c>
    </row>
    <row r="191">
      <c r="A191" s="57" t="n">
        <v>42644</v>
      </c>
      <c r="B191" s="59" t="n">
        <v>91</v>
      </c>
      <c r="C191" s="58">
        <f>VLOOKUP(A191,NFP!A:C,3)</f>
        <v/>
      </c>
    </row>
    <row r="192">
      <c r="A192" s="57" t="n">
        <v>42675</v>
      </c>
      <c r="B192" s="59" t="n">
        <v>236</v>
      </c>
      <c r="C192" s="58">
        <f>VLOOKUP(A192,NFP!A:C,3)</f>
        <v/>
      </c>
    </row>
    <row r="193">
      <c r="A193" s="57" t="n">
        <v>42705</v>
      </c>
      <c r="B193" s="59" t="n">
        <v>105</v>
      </c>
      <c r="C193" s="58">
        <f>VLOOKUP(A193,NFP!A:C,3)</f>
        <v/>
      </c>
    </row>
    <row r="194">
      <c r="A194" s="57" t="n">
        <v>42736</v>
      </c>
      <c r="B194" s="59" t="n">
        <v>224</v>
      </c>
      <c r="C194" s="58">
        <f>VLOOKUP(A194,NFP!A:C,3)</f>
        <v/>
      </c>
    </row>
    <row r="195">
      <c r="A195" s="57" t="n">
        <v>42767</v>
      </c>
      <c r="B195" s="59" t="n">
        <v>237</v>
      </c>
      <c r="C195" s="58">
        <f>VLOOKUP(A195,NFP!A:C,3)</f>
        <v/>
      </c>
    </row>
    <row r="196">
      <c r="A196" s="57" t="n">
        <v>42795</v>
      </c>
      <c r="B196" s="59" t="n">
        <v>209</v>
      </c>
      <c r="C196" s="58">
        <f>VLOOKUP(A196,NFP!A:C,3)</f>
        <v/>
      </c>
    </row>
    <row r="197">
      <c r="A197" s="57" t="n">
        <v>42826</v>
      </c>
      <c r="B197" s="59" t="n">
        <v>173</v>
      </c>
      <c r="C197" s="58">
        <f>VLOOKUP(A197,NFP!A:C,3)</f>
        <v/>
      </c>
    </row>
    <row r="198">
      <c r="A198" s="57" t="n">
        <v>42856</v>
      </c>
      <c r="B198" s="59" t="n">
        <v>170</v>
      </c>
      <c r="C198" s="58">
        <f>VLOOKUP(A198,NFP!A:C,3)</f>
        <v/>
      </c>
    </row>
    <row r="199">
      <c r="A199" s="57" t="n">
        <v>42887</v>
      </c>
      <c r="B199" s="59" t="n">
        <v>135</v>
      </c>
      <c r="C199" s="58">
        <f>VLOOKUP(A199,NFP!A:C,3)</f>
        <v/>
      </c>
    </row>
    <row r="200">
      <c r="A200" s="57" t="n">
        <v>42917</v>
      </c>
      <c r="B200" s="59" t="n">
        <v>183</v>
      </c>
      <c r="C200" s="58">
        <f>VLOOKUP(A200,NFP!A:C,3)</f>
        <v/>
      </c>
    </row>
    <row r="201">
      <c r="A201" s="57" t="n">
        <v>42948</v>
      </c>
      <c r="B201" s="59" t="n">
        <v>174</v>
      </c>
      <c r="C201" s="58">
        <f>VLOOKUP(A201,NFP!A:C,3)</f>
        <v/>
      </c>
    </row>
    <row r="202">
      <c r="A202" s="57" t="n">
        <v>42979</v>
      </c>
      <c r="B202" s="59" t="n">
        <v>111</v>
      </c>
      <c r="C202" s="58">
        <f>VLOOKUP(A202,NFP!A:C,3)</f>
        <v/>
      </c>
    </row>
    <row r="203">
      <c r="A203" s="57" t="n">
        <v>43009</v>
      </c>
      <c r="B203" s="59" t="n">
        <v>158</v>
      </c>
      <c r="C203" s="58">
        <f>VLOOKUP(A203,NFP!A:C,3)</f>
        <v/>
      </c>
    </row>
    <row r="204">
      <c r="A204" s="57" t="n">
        <v>43040</v>
      </c>
      <c r="B204" s="59" t="n">
        <v>207</v>
      </c>
      <c r="C204" s="58">
        <f>VLOOKUP(A204,NFP!A:C,3)</f>
        <v/>
      </c>
    </row>
    <row r="205">
      <c r="A205" s="57" t="n">
        <v>43070</v>
      </c>
      <c r="B205" s="59" t="n">
        <v>241</v>
      </c>
      <c r="C205" s="58">
        <f>VLOOKUP(A205,NFP!A:C,3)</f>
        <v/>
      </c>
    </row>
    <row r="206">
      <c r="A206" s="57" t="n">
        <v>43101</v>
      </c>
      <c r="B206" s="59" t="n">
        <v>252</v>
      </c>
      <c r="C206" s="58">
        <f>VLOOKUP(A206,NFP!A:C,3)</f>
        <v/>
      </c>
    </row>
    <row r="207">
      <c r="A207" s="57" t="n">
        <v>43132</v>
      </c>
      <c r="B207" s="59" t="n">
        <v>219</v>
      </c>
      <c r="C207" s="58">
        <f>VLOOKUP(A207,NFP!A:C,3)</f>
        <v/>
      </c>
    </row>
    <row r="208">
      <c r="A208" s="57" t="n">
        <v>43160</v>
      </c>
      <c r="B208" s="59" t="n">
        <v>213</v>
      </c>
      <c r="C208" s="58">
        <f>VLOOKUP(A208,NFP!A:C,3)</f>
        <v/>
      </c>
    </row>
    <row r="209">
      <c r="A209" s="57" t="n">
        <v>43191</v>
      </c>
      <c r="B209" s="59" t="n">
        <v>178</v>
      </c>
      <c r="C209" s="58">
        <f>VLOOKUP(A209,NFP!A:C,3)</f>
        <v/>
      </c>
    </row>
    <row r="210">
      <c r="A210" s="57" t="n">
        <v>43221</v>
      </c>
      <c r="B210" s="59" t="n">
        <v>276</v>
      </c>
      <c r="C210" s="58">
        <f>VLOOKUP(A210,NFP!A:C,3)</f>
        <v/>
      </c>
    </row>
    <row r="211">
      <c r="A211" s="57" t="n">
        <v>43252</v>
      </c>
      <c r="B211" s="59" t="n">
        <v>221</v>
      </c>
      <c r="C211" s="58">
        <f>VLOOKUP(A211,NFP!A:C,3)</f>
        <v/>
      </c>
    </row>
    <row r="212">
      <c r="A212" s="57" t="n">
        <v>43282</v>
      </c>
      <c r="B212" s="59" t="n">
        <v>284</v>
      </c>
      <c r="C212" s="58">
        <f>VLOOKUP(A212,NFP!A:C,3)</f>
        <v/>
      </c>
    </row>
    <row r="213">
      <c r="A213" s="57" t="n">
        <v>43313</v>
      </c>
      <c r="B213" s="59" t="n">
        <v>159</v>
      </c>
      <c r="C213" s="58">
        <f>VLOOKUP(A213,NFP!A:C,3)</f>
        <v/>
      </c>
    </row>
    <row r="214">
      <c r="A214" s="57" t="n">
        <v>43344</v>
      </c>
      <c r="B214" s="59" t="n">
        <v>199</v>
      </c>
      <c r="C214" s="58">
        <f>VLOOKUP(A214,NFP!A:C,3)</f>
        <v/>
      </c>
    </row>
    <row r="215">
      <c r="A215" s="57" t="n">
        <v>43374</v>
      </c>
      <c r="B215" s="59" t="n">
        <v>238</v>
      </c>
      <c r="C215" s="58">
        <f>VLOOKUP(A215,NFP!A:C,3)</f>
        <v/>
      </c>
    </row>
    <row r="216">
      <c r="A216" s="57" t="n">
        <v>43405</v>
      </c>
      <c r="B216" s="59" t="n">
        <v>136</v>
      </c>
      <c r="C216" s="58">
        <f>VLOOKUP(A216,NFP!A:C,3)</f>
        <v/>
      </c>
    </row>
    <row r="217">
      <c r="A217" s="57" t="n">
        <v>43435</v>
      </c>
      <c r="B217" s="59" t="n">
        <v>249</v>
      </c>
      <c r="C217" s="58">
        <f>VLOOKUP(A217,NFP!A:C,3)</f>
        <v/>
      </c>
    </row>
    <row r="218">
      <c r="A218" s="57" t="n">
        <v>43466</v>
      </c>
      <c r="B218" s="59" t="n">
        <v>264</v>
      </c>
      <c r="C218" s="58">
        <f>VLOOKUP(A218,NFP!A:C,3)</f>
        <v/>
      </c>
    </row>
    <row r="219">
      <c r="A219" s="57" t="n">
        <v>43497</v>
      </c>
      <c r="B219" s="59" t="n">
        <v>220</v>
      </c>
      <c r="C219" s="58">
        <f>VLOOKUP(A219,NFP!A:C,3)</f>
        <v/>
      </c>
    </row>
    <row r="220">
      <c r="A220" s="57" t="n">
        <v>43525</v>
      </c>
      <c r="B220" s="59" t="n">
        <v>158</v>
      </c>
      <c r="C220" s="58">
        <f>VLOOKUP(A220,NFP!A:C,3)</f>
        <v/>
      </c>
    </row>
    <row r="221">
      <c r="A221" s="57" t="n">
        <v>43556</v>
      </c>
      <c r="B221" s="59" t="n">
        <v>255</v>
      </c>
      <c r="C221" s="58">
        <f>VLOOKUP(A221,NFP!A:C,3)</f>
        <v/>
      </c>
    </row>
    <row r="222">
      <c r="A222" s="57" t="n">
        <v>43586</v>
      </c>
      <c r="B222" s="59" t="n">
        <v>46</v>
      </c>
      <c r="C222" s="58">
        <f>VLOOKUP(A222,NFP!A:C,3)</f>
        <v/>
      </c>
    </row>
    <row r="223" customFormat="1" s="70">
      <c r="A223" s="57" t="n">
        <v>43617</v>
      </c>
      <c r="B223" s="59" t="n">
        <v>107</v>
      </c>
      <c r="C223" s="58">
        <f>VLOOKUP(A223,NFP!A:C,3)</f>
        <v/>
      </c>
    </row>
    <row r="224" customFormat="1" s="70">
      <c r="A224" s="57" t="n">
        <v>43647</v>
      </c>
      <c r="B224" s="59" t="n">
        <v>143</v>
      </c>
      <c r="C224" s="58">
        <f>VLOOKUP(A224,NFP!A:C,3)</f>
        <v/>
      </c>
    </row>
    <row r="225" customFormat="1" s="70">
      <c r="A225" s="57" t="n">
        <v>43678</v>
      </c>
      <c r="B225" s="59" t="n">
        <v>159</v>
      </c>
      <c r="C225" s="58">
        <f>VLOOKUP(A225,NFP!A:C,3)</f>
        <v/>
      </c>
    </row>
    <row r="226" customFormat="1" s="70">
      <c r="A226" s="57" t="n">
        <v>43709</v>
      </c>
      <c r="B226" s="59" t="n">
        <v>124</v>
      </c>
      <c r="C226" s="58">
        <f>VLOOKUP(A226,NFP!A:C,3)</f>
        <v/>
      </c>
    </row>
    <row r="227" customFormat="1" s="70">
      <c r="A227" s="57" t="n">
        <v>43739</v>
      </c>
      <c r="B227" s="59" t="n">
        <v>151</v>
      </c>
      <c r="C227" s="58">
        <f>VLOOKUP(A227,NFP!A:C,3)</f>
        <v/>
      </c>
    </row>
    <row r="228" customFormat="1" s="70">
      <c r="A228" s="57" t="n">
        <v>43770</v>
      </c>
      <c r="B228" s="59" t="n">
        <v>124</v>
      </c>
      <c r="C228" s="58">
        <f>VLOOKUP(A228,NFP!A:C,3)</f>
        <v/>
      </c>
    </row>
    <row r="229" customFormat="1" s="70">
      <c r="A229" s="57" t="n">
        <v>43800</v>
      </c>
      <c r="B229" s="59" t="n">
        <v>199</v>
      </c>
      <c r="C229" s="58">
        <f>VLOOKUP(A229,NFP!A:C,3)</f>
        <v/>
      </c>
    </row>
    <row r="230" customFormat="1" s="70">
      <c r="A230" s="57" t="n">
        <v>43831</v>
      </c>
      <c r="B230" s="59" t="n">
        <v>209</v>
      </c>
      <c r="C230" s="58">
        <f>VLOOKUP(A230,NFP!A:C,3)</f>
        <v/>
      </c>
    </row>
    <row r="231" customFormat="1" s="70">
      <c r="A231" s="57" t="n">
        <v>43862</v>
      </c>
      <c r="B231" s="59" t="n">
        <v>183</v>
      </c>
      <c r="C231" s="58">
        <f>VLOOKUP(A231,NFP!A:C,3)</f>
        <v/>
      </c>
    </row>
    <row r="232" customFormat="1" s="70">
      <c r="A232" s="57" t="n">
        <v>43891</v>
      </c>
      <c r="B232" s="59" t="n">
        <v>-149</v>
      </c>
      <c r="C232" s="58">
        <f>VLOOKUP(A232,NFP!A:C,3)</f>
        <v/>
      </c>
    </row>
    <row r="233" customFormat="1" s="70">
      <c r="A233" s="57" t="n">
        <v>43922</v>
      </c>
      <c r="B233" s="59" t="n">
        <v>-19557</v>
      </c>
      <c r="C233" s="58">
        <f>VLOOKUP(A233,NFP!A:C,3)</f>
        <v/>
      </c>
    </row>
    <row r="234" customFormat="1" s="70">
      <c r="A234" s="57" t="n">
        <v>43952</v>
      </c>
      <c r="B234" s="59" t="n">
        <v>3065</v>
      </c>
      <c r="C234" s="58">
        <f>VLOOKUP(A234,NFP!A:C,3)</f>
        <v/>
      </c>
    </row>
    <row r="235" customFormat="1" s="70">
      <c r="A235" s="57" t="n">
        <v>43983</v>
      </c>
      <c r="B235" s="59" t="n">
        <v>2369</v>
      </c>
      <c r="C235" s="58">
        <f>VLOOKUP(A235,NFP!A:C,3)</f>
        <v/>
      </c>
    </row>
    <row r="236" customFormat="1" s="70">
      <c r="A236" s="57" t="n">
        <v>44013</v>
      </c>
      <c r="B236" s="59" t="n">
        <v>167</v>
      </c>
      <c r="C236" s="58">
        <f>VLOOKUP(A236,NFP!A:C,3)</f>
        <v/>
      </c>
    </row>
    <row r="237" customFormat="1" s="70">
      <c r="A237" s="57" t="n">
        <v>44044</v>
      </c>
      <c r="B237" s="59" t="n">
        <v>428</v>
      </c>
      <c r="C237" s="58">
        <f>VLOOKUP(A237,NFP!A:C,3)</f>
        <v/>
      </c>
    </row>
    <row r="238" customFormat="1" s="70">
      <c r="A238" s="57" t="n">
        <v>44075</v>
      </c>
      <c r="B238" s="59" t="n">
        <v>749</v>
      </c>
      <c r="C238" s="58">
        <f>VLOOKUP(A238,NFP!A:C,3)</f>
        <v/>
      </c>
    </row>
    <row r="239" customFormat="1" s="70">
      <c r="A239" s="57" t="n">
        <v>44105</v>
      </c>
      <c r="B239" s="59" t="n">
        <v>365</v>
      </c>
      <c r="C239" s="58">
        <f>VLOOKUP(A239,NFP!A:C,3)</f>
        <v/>
      </c>
    </row>
    <row r="240" customFormat="1" s="70">
      <c r="A240" s="57" t="n">
        <v>44136</v>
      </c>
      <c r="B240" s="59" t="n">
        <v>307</v>
      </c>
      <c r="C240" s="58">
        <f>VLOOKUP(A240,NFP!A:C,3)</f>
        <v/>
      </c>
    </row>
    <row r="241" customFormat="1" s="70">
      <c r="A241" s="57" t="n">
        <v>44166</v>
      </c>
      <c r="B241" s="59" t="n">
        <v>-123</v>
      </c>
      <c r="C241" s="58">
        <f>VLOOKUP(A241,NFP!A:C,3)</f>
        <v/>
      </c>
    </row>
    <row r="242" customFormat="1" s="70">
      <c r="A242" s="57" t="n">
        <v>44197</v>
      </c>
      <c r="B242" s="59" t="n">
        <v>174</v>
      </c>
      <c r="C242" s="58">
        <f>VLOOKUP(A242,NFP!A:C,3)</f>
        <v/>
      </c>
    </row>
    <row r="243" customFormat="1" s="70">
      <c r="A243" s="57" t="n">
        <v>44228</v>
      </c>
      <c r="B243" s="59" t="n">
        <v>117</v>
      </c>
      <c r="C243" s="58">
        <f>VLOOKUP(A243,NFP!A:C,3)</f>
        <v/>
      </c>
    </row>
    <row r="244" customFormat="1" s="70">
      <c r="A244" s="57" t="n">
        <v>44256</v>
      </c>
      <c r="B244" s="59" t="n">
        <v>517</v>
      </c>
      <c r="C244" s="58">
        <f>VLOOKUP(A244,NFP!A:C,3)</f>
        <v/>
      </c>
    </row>
    <row r="245" customFormat="1" s="70">
      <c r="A245" s="57" t="n">
        <v>44287</v>
      </c>
      <c r="B245" s="59" t="n">
        <v>742</v>
      </c>
      <c r="C245" s="58">
        <f>VLOOKUP(A245,NFP!A:C,3)</f>
        <v/>
      </c>
    </row>
    <row r="246" customFormat="1" s="70">
      <c r="A246" s="57" t="n">
        <v>44317</v>
      </c>
      <c r="B246" s="59" t="n">
        <v>978</v>
      </c>
      <c r="C246" s="58">
        <f>VLOOKUP(A246,NFP!A:C,3)</f>
        <v/>
      </c>
    </row>
    <row r="247" customFormat="1" s="70">
      <c r="A247" s="57" t="n">
        <v>44348</v>
      </c>
      <c r="B247" s="59" t="n">
        <v>692</v>
      </c>
      <c r="C247" s="58">
        <f>VLOOKUP(A247,NFP!A:C,3)</f>
        <v/>
      </c>
    </row>
    <row r="248" customFormat="1" s="70">
      <c r="A248" s="57" t="n">
        <v>44378</v>
      </c>
      <c r="B248" s="59" t="n">
        <v>330</v>
      </c>
      <c r="C248" s="58">
        <f>VLOOKUP(A248,NFP!A:C,3)</f>
        <v/>
      </c>
    </row>
    <row r="249" customFormat="1" s="70">
      <c r="A249" s="57" t="n">
        <v>44409</v>
      </c>
      <c r="B249" s="59" t="n">
        <v>374</v>
      </c>
      <c r="C249" s="58">
        <f>VLOOKUP(A249,NFP!A:C,3)</f>
        <v/>
      </c>
    </row>
    <row r="250" customFormat="1" s="70">
      <c r="A250" s="15" t="n"/>
      <c r="B250" s="15" t="n"/>
      <c r="C250" s="15" t="n"/>
    </row>
    <row r="251" customFormat="1" s="70">
      <c r="A251" s="15" t="n"/>
      <c r="B251" s="15" t="n"/>
      <c r="C251" s="15" t="n"/>
    </row>
    <row r="252" customFormat="1" s="70">
      <c r="A252" s="15" t="n"/>
      <c r="B252" s="15" t="n"/>
      <c r="C252" s="15" t="n"/>
    </row>
    <row r="253" customFormat="1" s="70">
      <c r="A253" s="15" t="n"/>
      <c r="B253" s="15" t="n"/>
      <c r="C253" s="15" t="n"/>
    </row>
    <row r="254" customFormat="1" s="70">
      <c r="A254" s="15" t="n"/>
      <c r="B254" s="15" t="n"/>
      <c r="C254" s="15" t="n"/>
    </row>
    <row r="255" customFormat="1" s="70">
      <c r="A255" s="15" t="n"/>
      <c r="B255" s="15" t="n"/>
      <c r="C255" s="15" t="n"/>
    </row>
    <row r="256" customFormat="1" s="70">
      <c r="A256" s="15" t="n"/>
      <c r="B256" s="15" t="n"/>
      <c r="C256" s="15" t="n"/>
    </row>
    <row r="257" customFormat="1" s="70">
      <c r="A257" s="15" t="n"/>
      <c r="B257" s="15" t="n"/>
      <c r="C257" s="15" t="n"/>
    </row>
    <row r="258" customFormat="1" s="70">
      <c r="A258" s="15" t="n"/>
      <c r="B258" s="15" t="n"/>
      <c r="C258" s="15" t="n"/>
    </row>
    <row r="259" customFormat="1" s="70">
      <c r="A259" s="15" t="n"/>
      <c r="B259" s="15" t="n"/>
      <c r="C259" s="15" t="n"/>
    </row>
    <row r="260" customFormat="1" s="70">
      <c r="A260" s="15" t="n"/>
      <c r="B260" s="15" t="n"/>
      <c r="C260" s="15" t="n"/>
    </row>
    <row r="261" customFormat="1" s="70">
      <c r="A261" s="15" t="n"/>
      <c r="B261" s="15" t="n"/>
      <c r="C261" s="15" t="n"/>
    </row>
    <row r="262" customFormat="1" s="70">
      <c r="A262" s="15" t="n"/>
      <c r="B262" s="15" t="n"/>
      <c r="C262" s="15" t="n"/>
    </row>
    <row r="263" customFormat="1" s="70">
      <c r="A263" s="15" t="n"/>
      <c r="B263" s="15" t="n"/>
      <c r="C263" s="15" t="n"/>
    </row>
    <row r="264" customFormat="1" s="70">
      <c r="A264" s="15" t="n"/>
      <c r="B264" s="15" t="n"/>
      <c r="C264" s="15" t="n"/>
    </row>
    <row r="265" customFormat="1" s="70">
      <c r="A265" s="15" t="n"/>
      <c r="B265" s="15" t="n"/>
      <c r="C265" s="15" t="n"/>
    </row>
    <row r="266" customFormat="1" s="70">
      <c r="A266" s="15" t="n"/>
      <c r="B266" s="15" t="n"/>
      <c r="C266" s="15" t="n"/>
    </row>
    <row r="267" customFormat="1" s="70">
      <c r="A267" s="15" t="n"/>
      <c r="B267" s="15" t="n"/>
      <c r="C267" s="15" t="n"/>
    </row>
    <row r="268" customFormat="1" s="70">
      <c r="A268" s="15" t="n"/>
      <c r="B268" s="15" t="n"/>
      <c r="C268" s="15" t="n"/>
    </row>
    <row r="269" customFormat="1" s="70">
      <c r="A269" s="15" t="n"/>
      <c r="B269" s="15" t="n"/>
      <c r="C269" s="15" t="n"/>
    </row>
    <row r="270" customFormat="1" s="70">
      <c r="A270" s="15" t="n"/>
      <c r="B270" s="15" t="n"/>
      <c r="C270" s="15" t="n"/>
    </row>
    <row r="271" customFormat="1" s="70">
      <c r="A271" s="15" t="n"/>
      <c r="B271" s="15" t="n"/>
      <c r="C271" s="15" t="n"/>
    </row>
    <row r="272" customFormat="1" s="70">
      <c r="A272" s="15" t="n"/>
      <c r="B272" s="15" t="n"/>
      <c r="C272" s="15" t="n"/>
    </row>
    <row r="273" customFormat="1" s="70">
      <c r="A273" s="15" t="n"/>
      <c r="B273" s="15" t="n"/>
      <c r="C273" s="15" t="n"/>
    </row>
    <row r="274" customFormat="1" s="70">
      <c r="A274" s="15" t="n"/>
      <c r="B274" s="15" t="n"/>
      <c r="C274" s="15" t="n"/>
    </row>
    <row r="275" customFormat="1" s="70">
      <c r="A275" s="15" t="n"/>
      <c r="B275" s="15" t="n"/>
      <c r="C275" s="15" t="n"/>
    </row>
    <row r="276" customFormat="1" s="70">
      <c r="A276" s="15" t="n"/>
      <c r="B276" s="15" t="n"/>
      <c r="C276" s="15" t="n"/>
    </row>
    <row r="277" customFormat="1" s="70">
      <c r="A277" s="15" t="n"/>
      <c r="B277" s="15" t="n"/>
      <c r="C277" s="15" t="n"/>
    </row>
    <row r="278" customFormat="1" s="70">
      <c r="A278" s="15" t="n"/>
      <c r="B278" s="15" t="n"/>
      <c r="C278" s="15" t="n"/>
    </row>
    <row r="279" customFormat="1" s="70">
      <c r="A279" s="15" t="n"/>
      <c r="B279" s="15" t="n"/>
      <c r="C279" s="15" t="n"/>
    </row>
    <row r="280" customFormat="1" s="70">
      <c r="A280" s="15" t="n"/>
      <c r="B280" s="15" t="n"/>
      <c r="C280" s="15" t="n"/>
    </row>
    <row r="281" customFormat="1" s="70">
      <c r="A281" s="15" t="n"/>
      <c r="B281" s="15" t="n"/>
      <c r="C281" s="15" t="n"/>
    </row>
    <row r="282" customFormat="1" s="70">
      <c r="A282" s="15" t="n"/>
      <c r="B282" s="15" t="n"/>
      <c r="C282" s="15" t="n"/>
    </row>
    <row r="283" customFormat="1" s="70">
      <c r="A283" s="15" t="n"/>
      <c r="B283" s="15" t="n"/>
      <c r="C283" s="15" t="n"/>
    </row>
    <row r="284" customFormat="1" s="70">
      <c r="A284" s="15" t="n"/>
      <c r="B284" s="15" t="n"/>
      <c r="C284" s="15" t="n"/>
    </row>
    <row r="285" customFormat="1" s="70">
      <c r="A285" s="15" t="n"/>
      <c r="B285" s="15" t="n"/>
      <c r="C285" s="15" t="n"/>
    </row>
    <row r="286" customFormat="1" s="70">
      <c r="A286" s="15" t="n"/>
      <c r="B286" s="15" t="n"/>
      <c r="C286" s="15" t="n"/>
    </row>
    <row r="287" customFormat="1" s="70">
      <c r="A287" s="15" t="n"/>
      <c r="B287" s="15" t="n"/>
      <c r="C287" s="15" t="n"/>
    </row>
    <row r="288" customFormat="1" s="70">
      <c r="A288" s="15" t="n"/>
      <c r="B288" s="15" t="n"/>
      <c r="C288" s="15" t="n"/>
    </row>
    <row r="289" customFormat="1" s="70">
      <c r="A289" s="15" t="n"/>
      <c r="B289" s="15" t="n"/>
      <c r="C289" s="15" t="n"/>
    </row>
    <row r="290" customFormat="1" s="70">
      <c r="A290" s="15" t="n"/>
      <c r="B290" s="15" t="n"/>
      <c r="C290" s="15" t="n"/>
    </row>
    <row r="291" customFormat="1" s="70">
      <c r="A291" s="15" t="n"/>
      <c r="B291" s="15" t="n"/>
      <c r="C291" s="15" t="n"/>
    </row>
    <row r="292" customFormat="1" s="70">
      <c r="A292" s="15" t="n"/>
      <c r="B292" s="15" t="n"/>
      <c r="C292" s="15" t="n"/>
    </row>
    <row r="293" customFormat="1" s="70">
      <c r="A293" s="15" t="n"/>
      <c r="B293" s="15" t="n"/>
      <c r="C293" s="15" t="n"/>
    </row>
    <row r="294" customFormat="1" s="70">
      <c r="A294" s="15" t="n"/>
      <c r="B294" s="15" t="n"/>
      <c r="C294" s="15" t="n"/>
    </row>
    <row r="295" customFormat="1" s="70">
      <c r="A295" s="15" t="n"/>
      <c r="B295" s="15" t="n"/>
      <c r="C295" s="15" t="n"/>
    </row>
    <row r="296" customFormat="1" s="70">
      <c r="A296" s="15" t="n"/>
      <c r="B296" s="15" t="n"/>
      <c r="C296" s="15" t="n"/>
    </row>
    <row r="297" customFormat="1" s="70">
      <c r="A297" s="15" t="n"/>
      <c r="B297" s="15" t="n"/>
      <c r="C297" s="15" t="n"/>
    </row>
    <row r="298" customFormat="1" s="70">
      <c r="A298" s="15" t="n"/>
      <c r="B298" s="15" t="n"/>
      <c r="C298" s="15" t="n"/>
    </row>
    <row r="299" customFormat="1" s="70">
      <c r="A299" s="15" t="n"/>
      <c r="B299" s="15" t="n"/>
      <c r="C299" s="15" t="n"/>
    </row>
    <row r="300" customFormat="1" s="70">
      <c r="A300" s="15" t="n"/>
      <c r="B300" s="15" t="n"/>
      <c r="C300" s="15" t="n"/>
    </row>
    <row r="301" customFormat="1" s="70">
      <c r="A301" s="15" t="n"/>
      <c r="B301" s="15" t="n"/>
      <c r="C301" s="15" t="n"/>
    </row>
    <row r="302" customFormat="1" s="70">
      <c r="A302" s="15" t="n"/>
      <c r="B302" s="15" t="n"/>
      <c r="C302" s="15" t="n"/>
    </row>
    <row r="303" customFormat="1" s="70">
      <c r="A303" s="15" t="n"/>
      <c r="B303" s="15" t="n"/>
      <c r="C303" s="15" t="n"/>
    </row>
    <row r="304" customFormat="1" s="70">
      <c r="A304" s="15" t="n"/>
      <c r="B304" s="15" t="n"/>
      <c r="C304" s="15" t="n"/>
    </row>
    <row r="305" customFormat="1" s="70">
      <c r="A305" s="15" t="n"/>
      <c r="B305" s="15" t="n"/>
      <c r="C305" s="15" t="n"/>
    </row>
    <row r="306" customFormat="1" s="70">
      <c r="A306" s="15" t="n"/>
      <c r="B306" s="15" t="n"/>
      <c r="C306" s="15" t="n"/>
    </row>
    <row r="307" customFormat="1" s="70">
      <c r="A307" s="15" t="n"/>
      <c r="B307" s="15" t="n"/>
      <c r="C307" s="15" t="n"/>
    </row>
    <row r="308" customFormat="1" s="70">
      <c r="A308" s="15" t="n"/>
      <c r="B308" s="15" t="n"/>
      <c r="C308" s="15" t="n"/>
    </row>
    <row r="309" customFormat="1" s="70">
      <c r="A309" s="15" t="n"/>
      <c r="B309" s="15" t="n"/>
      <c r="C309" s="15" t="n"/>
    </row>
    <row r="310" customFormat="1" s="70">
      <c r="A310" s="15" t="n"/>
      <c r="B310" s="15" t="n"/>
      <c r="C310" s="15" t="n"/>
    </row>
    <row r="311" customFormat="1" s="70">
      <c r="A311" s="15" t="n"/>
      <c r="B311" s="15" t="n"/>
      <c r="C311" s="15" t="n"/>
    </row>
    <row r="312" customFormat="1" s="70">
      <c r="A312" s="15" t="n"/>
      <c r="B312" s="15" t="n"/>
      <c r="C312" s="15" t="n"/>
    </row>
    <row r="313" customFormat="1" s="70">
      <c r="A313" s="15" t="n"/>
      <c r="B313" s="15" t="n"/>
      <c r="C313" s="15" t="n"/>
    </row>
    <row r="314" customFormat="1" s="70">
      <c r="A314" s="15" t="n"/>
      <c r="B314" s="15" t="n"/>
      <c r="C314" s="15" t="n"/>
    </row>
    <row r="315" customFormat="1" s="70">
      <c r="A315" s="15" t="n"/>
      <c r="B315" s="15" t="n"/>
      <c r="C315" s="15" t="n"/>
    </row>
    <row r="316" customFormat="1" s="70">
      <c r="A316" s="15" t="n"/>
      <c r="B316" s="15" t="n"/>
      <c r="C316" s="15" t="n"/>
    </row>
    <row r="317" customFormat="1" s="70">
      <c r="A317" s="15" t="n"/>
      <c r="B317" s="15" t="n"/>
      <c r="C317" s="15" t="n"/>
    </row>
    <row r="318" customFormat="1" s="70">
      <c r="A318" s="15" t="n"/>
      <c r="B318" s="15" t="n"/>
      <c r="C318" s="15" t="n"/>
    </row>
    <row r="319" customFormat="1" s="70">
      <c r="A319" s="15" t="n"/>
      <c r="B319" s="15" t="n"/>
      <c r="C319" s="15" t="n"/>
    </row>
    <row r="320" customFormat="1" s="70">
      <c r="A320" s="15" t="n"/>
      <c r="B320" s="15" t="n"/>
      <c r="C320" s="15" t="n"/>
    </row>
    <row r="321" customFormat="1" s="70">
      <c r="A321" s="15" t="n"/>
      <c r="B321" s="15" t="n"/>
      <c r="C321" s="15" t="n"/>
    </row>
    <row r="322" customFormat="1" s="70">
      <c r="A322" s="15" t="n"/>
      <c r="B322" s="15" t="n"/>
      <c r="C322" s="15" t="n"/>
    </row>
    <row r="323" customFormat="1" s="70">
      <c r="A323" s="15" t="n"/>
      <c r="B323" s="15" t="n"/>
      <c r="C323" s="15" t="n"/>
    </row>
    <row r="324" customFormat="1" s="70">
      <c r="A324" s="15" t="n"/>
      <c r="B324" s="15" t="n"/>
      <c r="C324" s="15" t="n"/>
    </row>
    <row r="325" customFormat="1" s="70">
      <c r="A325" s="15" t="n"/>
      <c r="B325" s="15" t="n"/>
      <c r="C325" s="15" t="n"/>
    </row>
    <row r="326" customFormat="1" s="70">
      <c r="A326" s="15" t="n"/>
      <c r="B326" s="15" t="n"/>
      <c r="C326" s="15" t="n"/>
    </row>
    <row r="327" customFormat="1" s="70">
      <c r="A327" s="15" t="n"/>
      <c r="B327" s="15" t="n"/>
      <c r="C327" s="15" t="n"/>
    </row>
    <row r="328" customFormat="1" s="70">
      <c r="A328" s="15" t="n"/>
      <c r="B328" s="15" t="n"/>
      <c r="C328" s="15" t="n"/>
    </row>
    <row r="329" customFormat="1" s="70">
      <c r="A329" s="15" t="n"/>
      <c r="B329" s="15" t="n"/>
      <c r="C329" s="15" t="n"/>
    </row>
    <row r="330" customFormat="1" s="70">
      <c r="A330" s="15" t="n"/>
      <c r="B330" s="15" t="n"/>
      <c r="C330" s="15" t="n"/>
    </row>
    <row r="331" customFormat="1" s="70">
      <c r="A331" s="15" t="n"/>
      <c r="B331" s="15" t="n"/>
      <c r="C331" s="15" t="n"/>
    </row>
    <row r="332" customFormat="1" s="70">
      <c r="A332" s="15" t="n"/>
      <c r="B332" s="15" t="n"/>
      <c r="C332" s="15" t="n"/>
    </row>
    <row r="333" customFormat="1" s="70">
      <c r="A333" s="15" t="n"/>
      <c r="B333" s="15" t="n"/>
      <c r="C333" s="15" t="n"/>
    </row>
    <row r="334" customFormat="1" s="70">
      <c r="A334" s="15" t="n"/>
      <c r="B334" s="15" t="n"/>
      <c r="C334" s="15" t="n"/>
    </row>
    <row r="335" customFormat="1" s="70">
      <c r="A335" s="15" t="n"/>
      <c r="B335" s="15" t="n"/>
      <c r="C335" s="15" t="n"/>
    </row>
    <row r="336" customFormat="1" s="70">
      <c r="A336" s="15" t="n"/>
      <c r="B336" s="15" t="n"/>
      <c r="C336" s="15" t="n"/>
    </row>
    <row r="337" customFormat="1" s="70">
      <c r="A337" s="15" t="n"/>
      <c r="B337" s="15" t="n"/>
      <c r="C337" s="15" t="n"/>
    </row>
    <row r="338" customFormat="1" s="70">
      <c r="A338" s="15" t="n"/>
      <c r="B338" s="15" t="n"/>
      <c r="C338" s="15" t="n"/>
    </row>
    <row r="339" customFormat="1" s="70">
      <c r="A339" s="15" t="n"/>
      <c r="B339" s="15" t="n"/>
      <c r="C339" s="15" t="n"/>
    </row>
    <row r="340" customFormat="1" s="70">
      <c r="A340" s="15" t="n"/>
      <c r="B340" s="15" t="n"/>
      <c r="C340" s="15" t="n"/>
    </row>
    <row r="341" customFormat="1" s="70">
      <c r="A341" s="15" t="n"/>
      <c r="B341" s="15" t="n"/>
      <c r="C341" s="15" t="n"/>
    </row>
    <row r="342" customFormat="1" s="70">
      <c r="A342" s="15" t="n"/>
      <c r="B342" s="15" t="n"/>
      <c r="C342" s="15" t="n"/>
    </row>
    <row r="343" customFormat="1" s="70">
      <c r="A343" s="15" t="n"/>
      <c r="B343" s="15" t="n"/>
      <c r="C343" s="15" t="n"/>
    </row>
    <row r="344" customFormat="1" s="70">
      <c r="A344" s="15" t="n"/>
      <c r="B344" s="15" t="n"/>
      <c r="C344" s="15" t="n"/>
    </row>
    <row r="345" customFormat="1" s="70">
      <c r="A345" s="15" t="n"/>
      <c r="B345" s="15" t="n"/>
      <c r="C345" s="15" t="n"/>
    </row>
    <row r="346" customFormat="1" s="70">
      <c r="A346" s="15" t="n"/>
      <c r="B346" s="15" t="n"/>
      <c r="C346" s="15" t="n"/>
    </row>
    <row r="347" customFormat="1" s="70">
      <c r="A347" s="15" t="n"/>
      <c r="B347" s="15" t="n"/>
      <c r="C347" s="15" t="n"/>
    </row>
    <row r="348" customFormat="1" s="70">
      <c r="A348" s="15" t="n"/>
      <c r="B348" s="15" t="n"/>
      <c r="C348" s="15" t="n"/>
    </row>
    <row r="349" customFormat="1" s="70">
      <c r="A349" s="15" t="n"/>
      <c r="B349" s="15" t="n"/>
      <c r="C349" s="15" t="n"/>
    </row>
    <row r="350" customFormat="1" s="70">
      <c r="A350" s="15" t="n"/>
      <c r="B350" s="15" t="n"/>
      <c r="C350" s="15" t="n"/>
    </row>
    <row r="351" customFormat="1" s="70">
      <c r="A351" s="15" t="n"/>
      <c r="B351" s="15" t="n"/>
      <c r="C351" s="15" t="n"/>
    </row>
    <row r="352" customFormat="1" s="70">
      <c r="A352" s="15" t="n"/>
      <c r="B352" s="15" t="n"/>
      <c r="C352" s="15" t="n"/>
    </row>
    <row r="353" customFormat="1" s="70">
      <c r="A353" s="15" t="n"/>
      <c r="B353" s="15" t="n"/>
      <c r="C353" s="15" t="n"/>
    </row>
    <row r="354" customFormat="1" s="70">
      <c r="A354" s="15" t="n"/>
      <c r="B354" s="15" t="n"/>
      <c r="C354" s="15" t="n"/>
    </row>
    <row r="355" customFormat="1" s="70">
      <c r="A355" s="15" t="n"/>
      <c r="B355" s="15" t="n"/>
      <c r="C355" s="15" t="n"/>
    </row>
    <row r="356" customFormat="1" s="70">
      <c r="A356" s="15" t="n"/>
      <c r="B356" s="15" t="n"/>
      <c r="C356" s="15" t="n"/>
    </row>
    <row r="357" customFormat="1" s="70">
      <c r="A357" s="15" t="n"/>
      <c r="B357" s="15" t="n"/>
      <c r="C357" s="15" t="n"/>
    </row>
    <row r="358" customFormat="1" s="70">
      <c r="A358" s="15" t="n"/>
      <c r="B358" s="15" t="n"/>
      <c r="C358" s="15" t="n"/>
    </row>
    <row r="359" customFormat="1" s="70">
      <c r="A359" s="15" t="n"/>
      <c r="B359" s="15" t="n"/>
      <c r="C359" s="15" t="n"/>
    </row>
    <row r="360" customFormat="1" s="70">
      <c r="A360" s="15" t="n"/>
      <c r="B360" s="15" t="n"/>
      <c r="C360" s="15" t="n"/>
    </row>
    <row r="361" customFormat="1" s="70">
      <c r="A361" s="15" t="n"/>
      <c r="B361" s="15" t="n"/>
      <c r="C361" s="15" t="n"/>
    </row>
    <row r="362" customFormat="1" s="70">
      <c r="A362" s="15" t="n"/>
      <c r="B362" s="15" t="n"/>
      <c r="C362" s="15" t="n"/>
    </row>
    <row r="363" customFormat="1" s="70">
      <c r="A363" s="15" t="n"/>
      <c r="B363" s="15" t="n"/>
      <c r="C363" s="15" t="n"/>
    </row>
    <row r="364" customFormat="1" s="70">
      <c r="A364" s="15" t="n"/>
      <c r="B364" s="15" t="n"/>
      <c r="C364" s="15" t="n"/>
    </row>
    <row r="365" customFormat="1" s="70">
      <c r="A365" s="15" t="n"/>
      <c r="B365" s="15" t="n"/>
      <c r="C365" s="15" t="n"/>
    </row>
    <row r="366" customFormat="1" s="70">
      <c r="A366" s="15" t="n"/>
      <c r="B366" s="15" t="n"/>
      <c r="C366" s="15" t="n"/>
    </row>
    <row r="367" customFormat="1" s="70">
      <c r="A367" s="15" t="n"/>
      <c r="B367" s="15" t="n"/>
      <c r="C367" s="15" t="n"/>
    </row>
    <row r="368" customFormat="1" s="70">
      <c r="A368" s="15" t="n"/>
      <c r="B368" s="15" t="n"/>
      <c r="C368" s="15" t="n"/>
    </row>
    <row r="369" customFormat="1" s="70">
      <c r="A369" s="15" t="n"/>
      <c r="B369" s="15" t="n"/>
      <c r="C369" s="15" t="n"/>
    </row>
    <row r="370" customFormat="1" s="70">
      <c r="A370" s="15" t="n"/>
      <c r="B370" s="15" t="n"/>
      <c r="C370" s="15" t="n"/>
    </row>
    <row r="371" customFormat="1" s="70">
      <c r="A371" s="15" t="n"/>
      <c r="B371" s="15" t="n"/>
      <c r="C371" s="15" t="n"/>
    </row>
    <row r="372" customFormat="1" s="70">
      <c r="A372" s="15" t="n"/>
      <c r="B372" s="15" t="n"/>
      <c r="C372" s="15" t="n"/>
    </row>
    <row r="373" customFormat="1" s="70">
      <c r="A373" s="15" t="n"/>
      <c r="B373" s="15" t="n"/>
      <c r="C373" s="15" t="n"/>
    </row>
    <row r="374" customFormat="1" s="70">
      <c r="A374" s="15" t="n"/>
      <c r="B374" s="15" t="n"/>
      <c r="C374" s="15" t="n"/>
    </row>
    <row r="375" customFormat="1" s="70">
      <c r="A375" s="15" t="n"/>
      <c r="B375" s="15" t="n"/>
      <c r="C375" s="15" t="n"/>
    </row>
    <row r="376" customFormat="1" s="70">
      <c r="A376" s="15" t="n"/>
      <c r="B376" s="15" t="n"/>
      <c r="C376" s="15" t="n"/>
    </row>
    <row r="377" customFormat="1" s="70">
      <c r="A377" s="15" t="n"/>
      <c r="B377" s="15" t="n"/>
      <c r="C377" s="15" t="n"/>
    </row>
    <row r="378" customFormat="1" s="70">
      <c r="A378" s="15" t="n"/>
      <c r="B378" s="15" t="n"/>
      <c r="C378" s="15" t="n"/>
    </row>
    <row r="379" customFormat="1" s="70">
      <c r="A379" s="15" t="n"/>
      <c r="B379" s="15" t="n"/>
      <c r="C379" s="15" t="n"/>
    </row>
    <row r="380" customFormat="1" s="70">
      <c r="A380" s="15" t="n"/>
      <c r="B380" s="15" t="n"/>
      <c r="C380" s="15" t="n"/>
    </row>
    <row r="381" customFormat="1" s="70">
      <c r="A381" s="15" t="n"/>
      <c r="B381" s="15" t="n"/>
      <c r="C381" s="15" t="n"/>
    </row>
    <row r="382" customFormat="1" s="70">
      <c r="A382" s="15" t="n"/>
      <c r="B382" s="15" t="n"/>
      <c r="C382" s="15" t="n"/>
    </row>
    <row r="383" customFormat="1" s="70">
      <c r="A383" s="15" t="n"/>
      <c r="B383" s="15" t="n"/>
      <c r="C383" s="15" t="n"/>
    </row>
    <row r="384" customFormat="1" s="70">
      <c r="A384" s="15" t="n"/>
      <c r="B384" s="15" t="n"/>
      <c r="C384" s="15" t="n"/>
    </row>
    <row r="385" customFormat="1" s="70">
      <c r="A385" s="15" t="n"/>
      <c r="B385" s="15" t="n"/>
      <c r="C385" s="15" t="n"/>
    </row>
    <row r="386" customFormat="1" s="70">
      <c r="A386" s="15" t="n"/>
      <c r="B386" s="15" t="n"/>
      <c r="C386" s="15" t="n"/>
    </row>
    <row r="387" customFormat="1" s="70">
      <c r="A387" s="15" t="n"/>
      <c r="B387" s="15" t="n"/>
      <c r="C387" s="15" t="n"/>
    </row>
    <row r="388" customFormat="1" s="70">
      <c r="A388" s="15" t="n"/>
      <c r="B388" s="15" t="n"/>
      <c r="C388" s="15" t="n"/>
    </row>
    <row r="389" customFormat="1" s="70">
      <c r="A389" s="15" t="n"/>
      <c r="B389" s="15" t="n"/>
      <c r="C389" s="15" t="n"/>
    </row>
    <row r="390" customFormat="1" s="70">
      <c r="A390" s="15" t="n"/>
      <c r="B390" s="15" t="n"/>
      <c r="C390" s="15" t="n"/>
    </row>
    <row r="391" customFormat="1" s="70">
      <c r="A391" s="15" t="n"/>
      <c r="B391" s="15" t="n"/>
      <c r="C391" s="15" t="n"/>
    </row>
    <row r="392" customFormat="1" s="70">
      <c r="A392" s="15" t="n"/>
      <c r="B392" s="15" t="n"/>
      <c r="C392" s="15" t="n"/>
    </row>
    <row r="393" customFormat="1" s="70">
      <c r="A393" s="15" t="n"/>
      <c r="B393" s="15" t="n"/>
      <c r="C393" s="15" t="n"/>
    </row>
    <row r="394" customFormat="1" s="70">
      <c r="A394" s="15" t="n"/>
      <c r="B394" s="15" t="n"/>
      <c r="C394" s="15" t="n"/>
    </row>
    <row r="395" customFormat="1" s="70">
      <c r="A395" s="15" t="n"/>
      <c r="B395" s="15" t="n"/>
      <c r="C395" s="15" t="n"/>
    </row>
    <row r="396" customFormat="1" s="70">
      <c r="A396" s="15" t="n"/>
      <c r="B396" s="15" t="n"/>
      <c r="C396" s="15" t="n"/>
    </row>
    <row r="397" customFormat="1" s="70">
      <c r="A397" s="15" t="n"/>
      <c r="B397" s="15" t="n"/>
      <c r="C397" s="15" t="n"/>
    </row>
    <row r="398" customFormat="1" s="70">
      <c r="A398" s="15" t="n"/>
      <c r="B398" s="15" t="n"/>
      <c r="C398" s="15" t="n"/>
    </row>
    <row r="399" customFormat="1" s="70">
      <c r="A399" s="15" t="n"/>
      <c r="B399" s="15" t="n"/>
      <c r="C399" s="15" t="n"/>
    </row>
    <row r="400" customFormat="1" s="70">
      <c r="A400" s="15" t="n"/>
      <c r="B400" s="15" t="n"/>
      <c r="C400" s="15" t="n"/>
    </row>
    <row r="401" customFormat="1" s="70">
      <c r="A401" s="15" t="n"/>
      <c r="B401" s="15" t="n"/>
      <c r="C401" s="15" t="n"/>
    </row>
    <row r="402" customFormat="1" s="70">
      <c r="A402" s="15" t="n"/>
      <c r="B402" s="15" t="n"/>
      <c r="C402" s="15" t="n"/>
    </row>
    <row r="403" customFormat="1" s="70">
      <c r="A403" s="15" t="n"/>
      <c r="B403" s="15" t="n"/>
      <c r="C403" s="15" t="n"/>
    </row>
    <row r="404" customFormat="1" s="70">
      <c r="A404" s="15" t="n"/>
      <c r="B404" s="15" t="n"/>
      <c r="C404" s="15" t="n"/>
    </row>
    <row r="405" customFormat="1" s="70">
      <c r="A405" s="15" t="n"/>
      <c r="B405" s="15" t="n"/>
      <c r="C405" s="15" t="n"/>
    </row>
    <row r="406" customFormat="1" s="70">
      <c r="A406" s="15" t="n"/>
      <c r="B406" s="15" t="n"/>
      <c r="C406" s="15" t="n"/>
    </row>
    <row r="407" customFormat="1" s="70">
      <c r="A407" s="15" t="n"/>
      <c r="B407" s="15" t="n"/>
      <c r="C407" s="15" t="n"/>
    </row>
    <row r="408" customFormat="1" s="70">
      <c r="A408" s="15" t="n"/>
      <c r="B408" s="15" t="n"/>
      <c r="C408" s="15" t="n"/>
    </row>
    <row r="409" customFormat="1" s="70">
      <c r="A409" s="15" t="n"/>
      <c r="B409" s="15" t="n"/>
      <c r="C409" s="15" t="n"/>
    </row>
    <row r="410" customFormat="1" s="70">
      <c r="A410" s="15" t="n"/>
      <c r="B410" s="15" t="n"/>
      <c r="C410" s="15" t="n"/>
    </row>
    <row r="411" customFormat="1" s="70">
      <c r="A411" s="15" t="n"/>
      <c r="B411" s="15" t="n"/>
      <c r="C411" s="15" t="n"/>
    </row>
    <row r="412" customFormat="1" s="70">
      <c r="A412" s="15" t="n"/>
      <c r="B412" s="15" t="n"/>
      <c r="C412" s="15" t="n"/>
    </row>
    <row r="413" customFormat="1" s="70">
      <c r="A413" s="15" t="n"/>
      <c r="B413" s="15" t="n"/>
      <c r="C413" s="15" t="n"/>
    </row>
    <row r="414" customFormat="1" s="70">
      <c r="A414" s="15" t="n"/>
      <c r="B414" s="15" t="n"/>
      <c r="C414" s="15" t="n"/>
    </row>
    <row r="415" customFormat="1" s="70">
      <c r="A415" s="15" t="n"/>
      <c r="B415" s="15" t="n"/>
      <c r="C415" s="15" t="n"/>
    </row>
    <row r="416" customFormat="1" s="70">
      <c r="A416" s="15" t="n"/>
      <c r="B416" s="15" t="n"/>
      <c r="C416" s="15" t="n"/>
    </row>
    <row r="417" customFormat="1" s="70">
      <c r="A417" s="15" t="n"/>
      <c r="B417" s="15" t="n"/>
      <c r="C417" s="15" t="n"/>
    </row>
    <row r="418" customFormat="1" s="70">
      <c r="A418" s="15" t="n"/>
      <c r="B418" s="15" t="n"/>
      <c r="C418" s="15" t="n"/>
    </row>
    <row r="419" customFormat="1" s="70">
      <c r="A419" s="15" t="n"/>
      <c r="B419" s="15" t="n"/>
      <c r="C419" s="15" t="n"/>
    </row>
    <row r="420" customFormat="1" s="70">
      <c r="A420" s="15" t="n"/>
      <c r="B420" s="15" t="n"/>
      <c r="C420" s="15" t="n"/>
    </row>
    <row r="421" customFormat="1" s="70">
      <c r="A421" s="15" t="n"/>
      <c r="B421" s="15" t="n"/>
      <c r="C421" s="15" t="n"/>
    </row>
    <row r="422" customFormat="1" s="70">
      <c r="A422" s="15" t="n"/>
      <c r="B422" s="15" t="n"/>
      <c r="C422" s="15" t="n"/>
    </row>
    <row r="423" customFormat="1" s="70">
      <c r="A423" s="15" t="n"/>
      <c r="B423" s="15" t="n"/>
      <c r="C423" s="15" t="n"/>
    </row>
    <row r="424" customFormat="1" s="70">
      <c r="A424" s="15" t="n"/>
      <c r="B424" s="15" t="n"/>
      <c r="C424" s="15" t="n"/>
    </row>
    <row r="425" customFormat="1" s="70">
      <c r="A425" s="15" t="n"/>
      <c r="B425" s="15" t="n"/>
      <c r="C425" s="15" t="n"/>
    </row>
    <row r="426" customFormat="1" s="70">
      <c r="A426" s="15" t="n"/>
      <c r="B426" s="15" t="n"/>
      <c r="C426" s="15" t="n"/>
    </row>
    <row r="427" customFormat="1" s="70">
      <c r="A427" s="15" t="n"/>
      <c r="B427" s="15" t="n"/>
      <c r="C427" s="15" t="n"/>
    </row>
    <row r="428" customFormat="1" s="70">
      <c r="A428" s="15" t="n"/>
      <c r="B428" s="15" t="n"/>
      <c r="C428" s="15" t="n"/>
    </row>
    <row r="429" customFormat="1" s="70">
      <c r="A429" s="15" t="n"/>
      <c r="B429" s="15" t="n"/>
      <c r="C429" s="15" t="n"/>
    </row>
    <row r="430" customFormat="1" s="70">
      <c r="A430" s="15" t="n"/>
      <c r="B430" s="15" t="n"/>
      <c r="C430" s="15" t="n"/>
    </row>
    <row r="431" customFormat="1" s="70">
      <c r="A431" s="15" t="n"/>
      <c r="B431" s="15" t="n"/>
      <c r="C431" s="15" t="n"/>
    </row>
    <row r="432" customFormat="1" s="70">
      <c r="A432" s="15" t="n"/>
      <c r="B432" s="15" t="n"/>
      <c r="C432" s="15" t="n"/>
    </row>
    <row r="433" customFormat="1" s="70">
      <c r="A433" s="15" t="n"/>
      <c r="B433" s="15" t="n"/>
      <c r="C433" s="15" t="n"/>
    </row>
    <row r="434" customFormat="1" s="70">
      <c r="A434" s="15" t="n"/>
      <c r="B434" s="15" t="n"/>
      <c r="C434" s="15" t="n"/>
    </row>
    <row r="435" customFormat="1" s="70">
      <c r="A435" s="15" t="n"/>
      <c r="B435" s="15" t="n"/>
      <c r="C435" s="15" t="n"/>
    </row>
    <row r="436" customFormat="1" s="70">
      <c r="A436" s="15" t="n"/>
      <c r="B436" s="15" t="n"/>
      <c r="C436" s="15" t="n"/>
    </row>
    <row r="437" customFormat="1" s="70">
      <c r="A437" s="15" t="n"/>
      <c r="B437" s="15" t="n"/>
      <c r="C437" s="15" t="n"/>
    </row>
    <row r="438" customFormat="1" s="70">
      <c r="A438" s="15" t="n"/>
      <c r="B438" s="15" t="n"/>
      <c r="C438" s="15" t="n"/>
    </row>
    <row r="439" customFormat="1" s="70">
      <c r="A439" s="15" t="n"/>
      <c r="B439" s="15" t="n"/>
      <c r="C439" s="15" t="n"/>
    </row>
    <row r="440" customFormat="1" s="70">
      <c r="A440" s="15" t="n"/>
      <c r="B440" s="15" t="n"/>
      <c r="C440" s="15" t="n"/>
    </row>
    <row r="441" customFormat="1" s="70">
      <c r="A441" s="15" t="n"/>
      <c r="B441" s="15" t="n"/>
      <c r="C441" s="15" t="n"/>
    </row>
    <row r="442" customFormat="1" s="70">
      <c r="A442" s="15" t="n"/>
      <c r="B442" s="15" t="n"/>
      <c r="C442" s="15" t="n"/>
    </row>
    <row r="443" customFormat="1" s="70">
      <c r="A443" s="15" t="n"/>
      <c r="B443" s="15" t="n"/>
      <c r="C443" s="15" t="n"/>
    </row>
    <row r="444" customFormat="1" s="70">
      <c r="A444" s="15" t="n"/>
      <c r="B444" s="15" t="n"/>
      <c r="C444" s="15" t="n"/>
    </row>
    <row r="445" customFormat="1" s="70">
      <c r="A445" s="15" t="n"/>
      <c r="B445" s="15" t="n"/>
      <c r="C445" s="15" t="n"/>
    </row>
    <row r="446" customFormat="1" s="70">
      <c r="A446" s="15" t="n"/>
      <c r="B446" s="15" t="n"/>
      <c r="C446" s="15" t="n"/>
    </row>
    <row r="447" customFormat="1" s="70">
      <c r="A447" s="15" t="n"/>
      <c r="B447" s="15" t="n"/>
      <c r="C447" s="15" t="n"/>
    </row>
    <row r="448" customFormat="1" s="70">
      <c r="A448" s="15" t="n"/>
      <c r="B448" s="15" t="n"/>
      <c r="C448" s="15" t="n"/>
    </row>
    <row r="449" customFormat="1" s="70">
      <c r="A449" s="15" t="n"/>
      <c r="B449" s="15" t="n"/>
      <c r="C449" s="15" t="n"/>
    </row>
    <row r="450" customFormat="1" s="70">
      <c r="A450" s="15" t="n"/>
      <c r="B450" s="15" t="n"/>
      <c r="C450" s="15" t="n"/>
    </row>
    <row r="451" customFormat="1" s="70">
      <c r="A451" s="15" t="n"/>
      <c r="B451" s="15" t="n"/>
      <c r="C451" s="15" t="n"/>
    </row>
    <row r="452" customFormat="1" s="70">
      <c r="A452" s="15" t="n"/>
      <c r="B452" s="15" t="n"/>
      <c r="C452" s="15" t="n"/>
    </row>
    <row r="453" customFormat="1" s="70">
      <c r="A453" s="15" t="n"/>
      <c r="B453" s="15" t="n"/>
      <c r="C453" s="15" t="n"/>
    </row>
    <row r="454" customFormat="1" s="70">
      <c r="A454" s="15" t="n"/>
      <c r="B454" s="15" t="n"/>
      <c r="C454" s="15" t="n"/>
    </row>
    <row r="455" customFormat="1" s="70">
      <c r="A455" s="15" t="n"/>
      <c r="B455" s="15" t="n"/>
      <c r="C455" s="15" t="n"/>
    </row>
    <row r="456" customFormat="1" s="70">
      <c r="A456" s="15" t="n"/>
      <c r="B456" s="15" t="n"/>
      <c r="C456" s="15" t="n"/>
    </row>
    <row r="457" customFormat="1" s="70">
      <c r="A457" s="15" t="n"/>
      <c r="B457" s="15" t="n"/>
      <c r="C457" s="15" t="n"/>
    </row>
    <row r="458" customFormat="1" s="70">
      <c r="A458" s="15" t="n"/>
      <c r="B458" s="15" t="n"/>
      <c r="C458" s="15" t="n"/>
    </row>
    <row r="459" customFormat="1" s="70">
      <c r="A459" s="15" t="n"/>
      <c r="B459" s="15" t="n"/>
      <c r="C459" s="15" t="n"/>
    </row>
    <row r="460" customFormat="1" s="70">
      <c r="A460" s="15" t="n"/>
      <c r="B460" s="15" t="n"/>
      <c r="C460" s="15" t="n"/>
    </row>
    <row r="461" customFormat="1" s="70">
      <c r="A461" s="15" t="n"/>
      <c r="B461" s="15" t="n"/>
      <c r="C461" s="15" t="n"/>
    </row>
    <row r="462" customFormat="1" s="70">
      <c r="A462" s="15" t="n"/>
      <c r="B462" s="15" t="n"/>
      <c r="C462" s="15" t="n"/>
    </row>
    <row r="463" customFormat="1" s="70">
      <c r="A463" s="15" t="n"/>
      <c r="B463" s="15" t="n"/>
      <c r="C463" s="15" t="n"/>
    </row>
    <row r="464" customFormat="1" s="70">
      <c r="A464" s="15" t="n"/>
      <c r="B464" s="15" t="n"/>
      <c r="C464" s="15" t="n"/>
    </row>
    <row r="465" customFormat="1" s="70">
      <c r="A465" s="15" t="n"/>
      <c r="B465" s="15" t="n"/>
      <c r="C465" s="15" t="n"/>
    </row>
    <row r="466" customFormat="1" s="70">
      <c r="A466" s="15" t="n"/>
      <c r="B466" s="15" t="n"/>
      <c r="C466" s="15" t="n"/>
    </row>
    <row r="467" customFormat="1" s="70">
      <c r="A467" s="15" t="n"/>
      <c r="B467" s="15" t="n"/>
      <c r="C467" s="15" t="n"/>
    </row>
    <row r="468" customFormat="1" s="70">
      <c r="A468" s="15" t="n"/>
      <c r="B468" s="15" t="n"/>
      <c r="C468" s="15" t="n"/>
    </row>
    <row r="469" customFormat="1" s="70">
      <c r="A469" s="15" t="n"/>
      <c r="B469" s="15" t="n"/>
      <c r="C469" s="15" t="n"/>
    </row>
    <row r="470" customFormat="1" s="70">
      <c r="A470" s="15" t="n"/>
      <c r="B470" s="15" t="n"/>
      <c r="C470" s="15" t="n"/>
    </row>
    <row r="471" customFormat="1" s="70">
      <c r="A471" s="15" t="n"/>
      <c r="B471" s="15" t="n"/>
      <c r="C471" s="15" t="n"/>
    </row>
    <row r="472" customFormat="1" s="70">
      <c r="A472" s="15" t="n"/>
      <c r="B472" s="15" t="n"/>
      <c r="C472" s="15" t="n"/>
    </row>
    <row r="473" customFormat="1" s="70">
      <c r="A473" s="15" t="n"/>
      <c r="B473" s="15" t="n"/>
      <c r="C473" s="15" t="n"/>
    </row>
    <row r="474" customFormat="1" s="70">
      <c r="A474" s="15" t="n"/>
      <c r="B474" s="15" t="n"/>
      <c r="C474" s="15" t="n"/>
    </row>
    <row r="475" customFormat="1" s="70">
      <c r="A475" s="15" t="n"/>
      <c r="B475" s="15" t="n"/>
      <c r="C475" s="15" t="n"/>
    </row>
    <row r="476" customFormat="1" s="70">
      <c r="A476" s="15" t="n"/>
      <c r="B476" s="15" t="n"/>
      <c r="C476" s="15" t="n"/>
    </row>
    <row r="477" customFormat="1" s="70">
      <c r="A477" s="15" t="n"/>
      <c r="B477" s="15" t="n"/>
      <c r="C477" s="15" t="n"/>
    </row>
    <row r="478" customFormat="1" s="70">
      <c r="A478" s="15" t="n"/>
      <c r="B478" s="15" t="n"/>
      <c r="C478" s="15" t="n"/>
    </row>
    <row r="479" customFormat="1" s="70">
      <c r="A479" s="15" t="n"/>
      <c r="B479" s="15" t="n"/>
      <c r="C479" s="15" t="n"/>
    </row>
    <row r="480" customFormat="1" s="70">
      <c r="A480" s="15" t="n"/>
      <c r="B480" s="15" t="n"/>
      <c r="C480" s="15" t="n"/>
    </row>
    <row r="481" customFormat="1" s="70">
      <c r="A481" s="15" t="n"/>
      <c r="B481" s="15" t="n"/>
      <c r="C481" s="15" t="n"/>
    </row>
    <row r="482" customFormat="1" s="70">
      <c r="A482" s="15" t="n"/>
      <c r="B482" s="15" t="n"/>
      <c r="C482" s="15" t="n"/>
    </row>
    <row r="483" customFormat="1" s="70">
      <c r="A483" s="15" t="n"/>
      <c r="B483" s="15" t="n"/>
      <c r="C483" s="15" t="n"/>
    </row>
    <row r="484" customFormat="1" s="70">
      <c r="A484" s="15" t="n"/>
      <c r="B484" s="15" t="n"/>
      <c r="C484" s="15" t="n"/>
    </row>
    <row r="485" customFormat="1" s="70">
      <c r="A485" s="15" t="n"/>
      <c r="B485" s="15" t="n"/>
      <c r="C485" s="15" t="n"/>
    </row>
    <row r="486" customFormat="1" s="70">
      <c r="A486" s="15" t="n"/>
      <c r="B486" s="15" t="n"/>
      <c r="C486" s="15" t="n"/>
    </row>
    <row r="487" customFormat="1" s="70">
      <c r="A487" s="15" t="n"/>
      <c r="B487" s="15" t="n"/>
      <c r="C487" s="15" t="n"/>
    </row>
    <row r="488" customFormat="1" s="70">
      <c r="A488" s="15" t="n"/>
      <c r="B488" s="15" t="n"/>
      <c r="C488" s="15" t="n"/>
    </row>
    <row r="489" customFormat="1" s="70">
      <c r="A489" s="15" t="n"/>
      <c r="B489" s="15" t="n"/>
      <c r="C489" s="15" t="n"/>
    </row>
    <row r="490" customFormat="1" s="70">
      <c r="A490" s="15" t="n"/>
      <c r="B490" s="15" t="n"/>
      <c r="C490" s="15" t="n"/>
    </row>
    <row r="491" customFormat="1" s="70">
      <c r="A491" s="15" t="n"/>
      <c r="B491" s="15" t="n"/>
      <c r="C491" s="15" t="n"/>
    </row>
    <row r="492" customFormat="1" s="70">
      <c r="A492" s="15" t="n"/>
      <c r="B492" s="15" t="n"/>
      <c r="C492" s="15" t="n"/>
    </row>
    <row r="493" customFormat="1" s="70">
      <c r="A493" s="15" t="n"/>
      <c r="B493" s="15" t="n"/>
      <c r="C493" s="15" t="n"/>
    </row>
    <row r="494" customFormat="1" s="70">
      <c r="A494" s="15" t="n"/>
      <c r="B494" s="15" t="n"/>
      <c r="C494" s="15" t="n"/>
    </row>
    <row r="495" customFormat="1" s="70">
      <c r="A495" s="15" t="n"/>
      <c r="B495" s="15" t="n"/>
      <c r="C495" s="15" t="n"/>
    </row>
    <row r="496" customFormat="1" s="70">
      <c r="A496" s="15" t="n"/>
      <c r="B496" s="15" t="n"/>
      <c r="C496" s="15" t="n"/>
    </row>
    <row r="497" customFormat="1" s="70">
      <c r="A497" s="15" t="n"/>
      <c r="B497" s="15" t="n"/>
      <c r="C497" s="15" t="n"/>
    </row>
    <row r="498" customFormat="1" s="70">
      <c r="A498" s="15" t="n"/>
      <c r="B498" s="15" t="n"/>
      <c r="C498" s="15" t="n"/>
    </row>
    <row r="499" customFormat="1" s="70">
      <c r="A499" s="15" t="n"/>
      <c r="B499" s="15" t="n"/>
      <c r="C499" s="15" t="n"/>
    </row>
    <row r="500" customFormat="1" s="70">
      <c r="A500" s="15" t="n"/>
      <c r="B500" s="15" t="n"/>
      <c r="C500" s="15" t="n"/>
    </row>
    <row r="501" customFormat="1" s="70">
      <c r="A501" s="15" t="n"/>
      <c r="B501" s="15" t="n"/>
      <c r="C501" s="15" t="n"/>
    </row>
    <row r="502" customFormat="1" s="70">
      <c r="A502" s="15" t="n"/>
      <c r="B502" s="15" t="n"/>
      <c r="C502" s="15" t="n"/>
    </row>
    <row r="503" customFormat="1" s="70">
      <c r="A503" s="15" t="n"/>
      <c r="B503" s="15" t="n"/>
      <c r="C503" s="15" t="n"/>
    </row>
    <row r="504" customFormat="1" s="70">
      <c r="A504" s="15" t="n"/>
      <c r="B504" s="15" t="n"/>
      <c r="C504" s="15" t="n"/>
    </row>
    <row r="505" customFormat="1" s="70">
      <c r="A505" s="15" t="n"/>
      <c r="B505" s="15" t="n"/>
      <c r="C505" s="15" t="n"/>
    </row>
    <row r="506" customFormat="1" s="70">
      <c r="A506" s="15" t="n"/>
      <c r="B506" s="15" t="n"/>
      <c r="C506" s="15" t="n"/>
    </row>
    <row r="507" customFormat="1" s="70">
      <c r="A507" s="15" t="n"/>
      <c r="B507" s="15" t="n"/>
      <c r="C507" s="15" t="n"/>
    </row>
    <row r="508" customFormat="1" s="70">
      <c r="A508" s="15" t="n"/>
      <c r="B508" s="15" t="n"/>
      <c r="C508" s="15" t="n"/>
    </row>
    <row r="509" customFormat="1" s="70">
      <c r="A509" s="15" t="n"/>
      <c r="B509" s="15" t="n"/>
      <c r="C509" s="15" t="n"/>
    </row>
    <row r="510" customFormat="1" s="70">
      <c r="A510" s="15" t="n"/>
      <c r="B510" s="15" t="n"/>
      <c r="C510" s="15" t="n"/>
    </row>
    <row r="511" customFormat="1" s="70">
      <c r="A511" s="15" t="n"/>
      <c r="B511" s="15" t="n"/>
      <c r="C511" s="15" t="n"/>
    </row>
    <row r="512" customFormat="1" s="70">
      <c r="A512" s="15" t="n"/>
      <c r="B512" s="15" t="n"/>
      <c r="C512" s="15" t="n"/>
    </row>
    <row r="513" customFormat="1" s="70">
      <c r="A513" s="15" t="n"/>
      <c r="B513" s="15" t="n"/>
      <c r="C513" s="15" t="n"/>
    </row>
    <row r="514" customFormat="1" s="70">
      <c r="A514" s="15" t="n"/>
      <c r="B514" s="15" t="n"/>
      <c r="C514" s="15" t="n"/>
    </row>
    <row r="515" customFormat="1" s="70">
      <c r="A515" s="15" t="n"/>
      <c r="B515" s="15" t="n"/>
      <c r="C515" s="15" t="n"/>
    </row>
    <row r="516" customFormat="1" s="70">
      <c r="A516" s="15" t="n"/>
      <c r="B516" s="15" t="n"/>
      <c r="C516" s="15" t="n"/>
    </row>
    <row r="517" customFormat="1" s="70">
      <c r="A517" s="15" t="n"/>
      <c r="B517" s="15" t="n"/>
      <c r="C517" s="15" t="n"/>
    </row>
    <row r="518" customFormat="1" s="70">
      <c r="A518" s="15" t="n"/>
      <c r="B518" s="15" t="n"/>
      <c r="C518" s="15" t="n"/>
    </row>
    <row r="519" customFormat="1" s="70">
      <c r="A519" s="15" t="n"/>
      <c r="B519" s="15" t="n"/>
      <c r="C519" s="15" t="n"/>
    </row>
    <row r="520" customFormat="1" s="70">
      <c r="A520" s="15" t="n"/>
      <c r="B520" s="15" t="n"/>
      <c r="C520" s="15" t="n"/>
    </row>
    <row r="521" customFormat="1" s="70">
      <c r="A521" s="15" t="n"/>
      <c r="B521" s="15" t="n"/>
      <c r="C521" s="15" t="n"/>
    </row>
    <row r="522" customFormat="1" s="70">
      <c r="A522" s="15" t="n"/>
      <c r="B522" s="15" t="n"/>
      <c r="C522" s="15" t="n"/>
    </row>
    <row r="523" customFormat="1" s="70">
      <c r="A523" s="15" t="n"/>
      <c r="B523" s="15" t="n"/>
      <c r="C523" s="15" t="n"/>
    </row>
    <row r="524" customFormat="1" s="70">
      <c r="A524" s="15" t="n"/>
      <c r="B524" s="15" t="n"/>
      <c r="C524" s="15" t="n"/>
    </row>
    <row r="525" customFormat="1" s="70">
      <c r="A525" s="15" t="n"/>
      <c r="B525" s="15" t="n"/>
      <c r="C525" s="15" t="n"/>
    </row>
    <row r="526" customFormat="1" s="70">
      <c r="A526" s="15" t="n"/>
      <c r="B526" s="15" t="n"/>
      <c r="C526" s="15" t="n"/>
    </row>
    <row r="527" customFormat="1" s="70">
      <c r="A527" s="15" t="n"/>
      <c r="B527" s="15" t="n"/>
      <c r="C527" s="15" t="n"/>
    </row>
    <row r="528" customFormat="1" s="70">
      <c r="A528" s="15" t="n"/>
      <c r="B528" s="15" t="n"/>
      <c r="C528" s="15" t="n"/>
    </row>
    <row r="529" customFormat="1" s="70">
      <c r="A529" s="15" t="n"/>
      <c r="B529" s="15" t="n"/>
      <c r="C529" s="15" t="n"/>
    </row>
    <row r="530" customFormat="1" s="70">
      <c r="A530" s="15" t="n"/>
      <c r="B530" s="15" t="n"/>
      <c r="C530" s="15" t="n"/>
    </row>
    <row r="531" customFormat="1" s="70">
      <c r="A531" s="15" t="n"/>
      <c r="B531" s="15" t="n"/>
      <c r="C531" s="15" t="n"/>
    </row>
    <row r="532" customFormat="1" s="70">
      <c r="A532" s="15" t="n"/>
      <c r="B532" s="15" t="n"/>
      <c r="C532" s="15" t="n"/>
    </row>
    <row r="533" customFormat="1" s="70">
      <c r="A533" s="15" t="n"/>
      <c r="B533" s="15" t="n"/>
      <c r="C533" s="15" t="n"/>
    </row>
    <row r="534" customFormat="1" s="70">
      <c r="A534" s="15" t="n"/>
      <c r="B534" s="15" t="n"/>
      <c r="C534" s="15" t="n"/>
    </row>
    <row r="535" customFormat="1" s="70">
      <c r="A535" s="15" t="n"/>
      <c r="B535" s="15" t="n"/>
      <c r="C535" s="15" t="n"/>
    </row>
    <row r="536" customFormat="1" s="70">
      <c r="A536" s="15" t="n"/>
      <c r="B536" s="15" t="n"/>
      <c r="C536" s="15" t="n"/>
    </row>
    <row r="537" customFormat="1" s="70">
      <c r="A537" s="15" t="n"/>
      <c r="B537" s="15" t="n"/>
      <c r="C537" s="15" t="n"/>
    </row>
    <row r="538" customFormat="1" s="70">
      <c r="A538" s="15" t="n"/>
      <c r="B538" s="15" t="n"/>
      <c r="C538" s="15" t="n"/>
    </row>
    <row r="539" customFormat="1" s="70">
      <c r="A539" s="15" t="n"/>
      <c r="B539" s="15" t="n"/>
      <c r="C539" s="15" t="n"/>
    </row>
    <row r="540" customFormat="1" s="70">
      <c r="A540" s="15" t="n"/>
      <c r="B540" s="15" t="n"/>
      <c r="C540" s="15" t="n"/>
    </row>
    <row r="541" customFormat="1" s="70">
      <c r="A541" s="15" t="n"/>
      <c r="B541" s="15" t="n"/>
      <c r="C541" s="15" t="n"/>
    </row>
    <row r="542" customFormat="1" s="70">
      <c r="A542" s="15" t="n"/>
      <c r="B542" s="15" t="n"/>
      <c r="C542" s="15" t="n"/>
    </row>
    <row r="543" customFormat="1" s="70">
      <c r="A543" s="15" t="n"/>
      <c r="B543" s="15" t="n"/>
      <c r="C543" s="15" t="n"/>
    </row>
    <row r="544" customFormat="1" s="70">
      <c r="A544" s="15" t="n"/>
      <c r="B544" s="15" t="n"/>
      <c r="C544" s="15" t="n"/>
    </row>
    <row r="545" customFormat="1" s="70">
      <c r="A545" s="15" t="n"/>
      <c r="B545" s="15" t="n"/>
      <c r="C545" s="15" t="n"/>
    </row>
    <row r="546" customFormat="1" s="70">
      <c r="A546" s="15" t="n"/>
      <c r="B546" s="15" t="n"/>
      <c r="C546" s="15" t="n"/>
    </row>
    <row r="547" customFormat="1" s="70">
      <c r="A547" s="15" t="n"/>
      <c r="B547" s="15" t="n"/>
      <c r="C547" s="15" t="n"/>
    </row>
    <row r="548" customFormat="1" s="70">
      <c r="A548" s="15" t="n"/>
      <c r="B548" s="15" t="n"/>
      <c r="C548" s="15" t="n"/>
    </row>
    <row r="549" customFormat="1" s="70">
      <c r="A549" s="15" t="n"/>
      <c r="B549" s="15" t="n"/>
      <c r="C549" s="15" t="n"/>
    </row>
    <row r="550" customFormat="1" s="70">
      <c r="A550" s="15" t="n"/>
      <c r="B550" s="15" t="n"/>
      <c r="C550" s="15" t="n"/>
    </row>
    <row r="551" customFormat="1" s="70">
      <c r="A551" s="15" t="n"/>
      <c r="B551" s="15" t="n"/>
      <c r="C551" s="15" t="n"/>
    </row>
    <row r="552" customFormat="1" s="70">
      <c r="A552" s="15" t="n"/>
      <c r="B552" s="15" t="n"/>
      <c r="C552"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9.xml><?xml version="1.0" encoding="utf-8"?>
<worksheet xmlns="http://schemas.openxmlformats.org/spreadsheetml/2006/main">
  <sheetPr codeName="Sheet7">
    <tabColor theme="9" tint="-0.249977111117893"/>
    <outlinePr summaryBelow="1" summaryRight="1"/>
    <pageSetUpPr/>
  </sheetPr>
  <dimension ref="A1:AL806"/>
  <sheetViews>
    <sheetView workbookViewId="0">
      <pane xSplit="1" ySplit="1" topLeftCell="B784"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cols>
    <col width="14.5" customWidth="1" style="50" min="1" max="1"/>
    <col width="16.33203125" customWidth="1" style="50" min="2" max="2"/>
    <col width="9.1640625" customWidth="1" style="50" min="3" max="4"/>
    <col width="10.6640625" bestFit="1" customWidth="1" style="50" min="5" max="5"/>
    <col width="10.6640625" customWidth="1" style="50" min="6" max="6"/>
    <col width="9.1640625" customWidth="1" style="50" min="7" max="16"/>
    <col width="9.1640625" customWidth="1" style="50" min="17"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62" t="n">
        <v>20090</v>
      </c>
      <c r="E2" t="n">
        <v>4.8</v>
      </c>
      <c r="X2" t="n">
        <v>2.6</v>
      </c>
      <c r="AL2" t="n">
        <v>4.9</v>
      </c>
    </row>
    <row r="3">
      <c r="A3" s="62" t="n">
        <v>20121</v>
      </c>
      <c r="E3" t="n">
        <v>4.7</v>
      </c>
      <c r="X3" t="n">
        <v>2.5</v>
      </c>
      <c r="AL3" t="n">
        <v>4.7</v>
      </c>
    </row>
    <row r="4">
      <c r="A4" s="62" t="n">
        <v>20149</v>
      </c>
      <c r="E4" t="n">
        <v>4.9</v>
      </c>
      <c r="X4" t="n">
        <v>2.3</v>
      </c>
      <c r="AL4" t="n">
        <v>4.6</v>
      </c>
    </row>
    <row r="5">
      <c r="A5" s="62" t="n">
        <v>20180</v>
      </c>
      <c r="E5" t="n">
        <v>4.5</v>
      </c>
      <c r="X5" t="n">
        <v>2.5</v>
      </c>
      <c r="AL5" t="n">
        <v>4.7</v>
      </c>
    </row>
    <row r="6">
      <c r="A6" s="62" t="n">
        <v>20210</v>
      </c>
      <c r="E6" t="n">
        <v>4.5</v>
      </c>
      <c r="X6" t="n">
        <v>2.4</v>
      </c>
      <c r="AL6" t="n">
        <v>4.3</v>
      </c>
    </row>
    <row r="7">
      <c r="A7" s="62" t="n">
        <v>20241</v>
      </c>
      <c r="E7" t="n">
        <v>4.3</v>
      </c>
      <c r="X7" t="n">
        <v>2.6</v>
      </c>
      <c r="AL7" t="n">
        <v>4.2</v>
      </c>
    </row>
    <row r="8">
      <c r="A8" s="62" t="n">
        <v>20271</v>
      </c>
      <c r="E8" t="n">
        <v>4.3</v>
      </c>
      <c r="X8" t="n">
        <v>2.6</v>
      </c>
      <c r="AL8" t="n">
        <v>4</v>
      </c>
    </row>
    <row r="9">
      <c r="A9" s="62" t="n">
        <v>20302</v>
      </c>
      <c r="E9" t="n">
        <v>3.8</v>
      </c>
      <c r="X9" t="n">
        <v>2.6</v>
      </c>
      <c r="AL9" t="n">
        <v>4.2</v>
      </c>
    </row>
    <row r="10">
      <c r="A10" s="62" t="n">
        <v>20333</v>
      </c>
      <c r="E10" t="n">
        <v>4.1</v>
      </c>
      <c r="X10" t="n">
        <v>2.6</v>
      </c>
      <c r="AL10" t="n">
        <v>4.1</v>
      </c>
    </row>
    <row r="11">
      <c r="A11" s="62" t="n">
        <v>20363</v>
      </c>
      <c r="E11" t="n">
        <v>4</v>
      </c>
      <c r="X11" t="n">
        <v>2.7</v>
      </c>
      <c r="AL11" t="n">
        <v>4.3</v>
      </c>
    </row>
    <row r="12">
      <c r="A12" s="62" t="n">
        <v>20394</v>
      </c>
      <c r="E12" t="n">
        <v>3.8</v>
      </c>
      <c r="X12" t="n">
        <v>2.4</v>
      </c>
      <c r="AL12" t="n">
        <v>4.2</v>
      </c>
    </row>
    <row r="13">
      <c r="A13" s="62" t="n">
        <v>20424</v>
      </c>
      <c r="E13" t="n">
        <v>3.7</v>
      </c>
      <c r="X13" t="n">
        <v>2.4</v>
      </c>
      <c r="AL13" t="n">
        <v>4.2</v>
      </c>
    </row>
    <row r="14">
      <c r="A14" s="62" t="n">
        <v>20455</v>
      </c>
      <c r="E14" t="n">
        <v>3.7</v>
      </c>
      <c r="X14" t="n">
        <v>2.5</v>
      </c>
      <c r="AL14" t="n">
        <v>4</v>
      </c>
    </row>
    <row r="15">
      <c r="A15" s="62" t="n">
        <v>20486</v>
      </c>
      <c r="E15" t="n">
        <v>3.8</v>
      </c>
      <c r="X15" t="n">
        <v>2.6</v>
      </c>
      <c r="AL15" t="n">
        <v>3.9</v>
      </c>
    </row>
    <row r="16">
      <c r="A16" s="62" t="n">
        <v>20515</v>
      </c>
      <c r="E16" t="n">
        <v>3.6</v>
      </c>
      <c r="X16" t="n">
        <v>2.7</v>
      </c>
      <c r="AL16" t="n">
        <v>4.2</v>
      </c>
    </row>
    <row r="17">
      <c r="A17" s="62" t="n">
        <v>20546</v>
      </c>
      <c r="E17" t="n">
        <v>3.5</v>
      </c>
      <c r="X17" t="n">
        <v>2.4</v>
      </c>
      <c r="AL17" t="n">
        <v>4</v>
      </c>
    </row>
    <row r="18">
      <c r="A18" s="62" t="n">
        <v>20576</v>
      </c>
      <c r="E18" t="n">
        <v>3.4</v>
      </c>
      <c r="X18" t="n">
        <v>2.3</v>
      </c>
      <c r="AL18" t="n">
        <v>4.3</v>
      </c>
    </row>
    <row r="19">
      <c r="A19" s="62" t="n">
        <v>20607</v>
      </c>
      <c r="E19" t="n">
        <v>3.2</v>
      </c>
      <c r="X19" t="n">
        <v>2.2</v>
      </c>
      <c r="AL19" t="n">
        <v>4.3</v>
      </c>
    </row>
    <row r="20">
      <c r="A20" s="62" t="n">
        <v>20637</v>
      </c>
      <c r="E20" t="n">
        <v>3</v>
      </c>
      <c r="X20" t="n">
        <v>2.1</v>
      </c>
      <c r="AL20" t="n">
        <v>4.4</v>
      </c>
    </row>
    <row r="21">
      <c r="A21" s="62" t="n">
        <v>20668</v>
      </c>
      <c r="E21" t="n">
        <v>3</v>
      </c>
      <c r="X21" t="n">
        <v>2.1</v>
      </c>
      <c r="AL21" t="n">
        <v>4.1</v>
      </c>
    </row>
    <row r="22">
      <c r="A22" s="62" t="n">
        <v>20699</v>
      </c>
      <c r="E22" t="n">
        <v>3.1</v>
      </c>
      <c r="X22" t="n">
        <v>2.2</v>
      </c>
      <c r="AL22" t="n">
        <v>3.9</v>
      </c>
    </row>
    <row r="23">
      <c r="A23" s="62" t="n">
        <v>20729</v>
      </c>
      <c r="E23" t="n">
        <v>2.8</v>
      </c>
      <c r="X23" t="n">
        <v>2</v>
      </c>
      <c r="AL23" t="n">
        <v>3.9</v>
      </c>
    </row>
    <row r="24">
      <c r="A24" s="62" t="n">
        <v>20760</v>
      </c>
      <c r="E24" t="n">
        <v>3.1</v>
      </c>
      <c r="X24" t="n">
        <v>2.2</v>
      </c>
      <c r="AL24" t="n">
        <v>4.3</v>
      </c>
    </row>
    <row r="25">
      <c r="A25" s="62" t="n">
        <v>20790</v>
      </c>
      <c r="E25" t="n">
        <v>3.4</v>
      </c>
      <c r="X25" t="n">
        <v>2.3</v>
      </c>
      <c r="AL25" t="n">
        <v>4.2</v>
      </c>
    </row>
    <row r="26">
      <c r="A26" s="62" t="n">
        <v>20821</v>
      </c>
      <c r="E26" t="n">
        <v>3.8</v>
      </c>
      <c r="X26" t="n">
        <v>2.1</v>
      </c>
      <c r="AL26" t="n">
        <v>4.2</v>
      </c>
    </row>
    <row r="27">
      <c r="A27" s="62" t="n">
        <v>20852</v>
      </c>
      <c r="E27" t="n">
        <v>3.9</v>
      </c>
      <c r="X27" t="n">
        <v>2</v>
      </c>
      <c r="AL27" t="n">
        <v>3.9</v>
      </c>
    </row>
    <row r="28">
      <c r="A28" s="62" t="n">
        <v>20880</v>
      </c>
      <c r="E28" t="n">
        <v>4.1</v>
      </c>
      <c r="X28" t="n">
        <v>2</v>
      </c>
      <c r="AL28" t="n">
        <v>3.7</v>
      </c>
    </row>
    <row r="29">
      <c r="A29" s="62" t="n">
        <v>20911</v>
      </c>
      <c r="E29" t="n">
        <v>4.2</v>
      </c>
      <c r="X29" t="n">
        <v>2</v>
      </c>
      <c r="AL29" t="n">
        <v>3.9</v>
      </c>
    </row>
    <row r="30">
      <c r="A30" s="62" t="n">
        <v>20941</v>
      </c>
      <c r="E30" t="n">
        <v>3.9</v>
      </c>
      <c r="X30" t="n">
        <v>1.9</v>
      </c>
      <c r="AL30" t="n">
        <v>4.1</v>
      </c>
    </row>
    <row r="31">
      <c r="A31" s="62" t="n">
        <v>20972</v>
      </c>
      <c r="E31" t="n">
        <v>4.3</v>
      </c>
      <c r="X31" t="n">
        <v>1.8</v>
      </c>
      <c r="AL31" t="n">
        <v>4.3</v>
      </c>
    </row>
    <row r="32">
      <c r="A32" s="62" t="n">
        <v>21002</v>
      </c>
      <c r="E32" t="n">
        <v>4.6</v>
      </c>
      <c r="X32" t="n">
        <v>1.8</v>
      </c>
      <c r="AL32" t="n">
        <v>4.2</v>
      </c>
    </row>
    <row r="33">
      <c r="A33" s="62" t="n">
        <v>21033</v>
      </c>
      <c r="E33" t="n">
        <v>4.8</v>
      </c>
      <c r="X33" t="n">
        <v>1.8</v>
      </c>
      <c r="AL33" t="n">
        <v>4.1</v>
      </c>
    </row>
    <row r="34">
      <c r="A34" s="62" t="n">
        <v>21064</v>
      </c>
      <c r="E34" t="n">
        <v>5.4</v>
      </c>
      <c r="X34" t="n">
        <v>2</v>
      </c>
      <c r="AL34" t="n">
        <v>4.4</v>
      </c>
    </row>
    <row r="35">
      <c r="A35" s="62" t="n">
        <v>21094</v>
      </c>
      <c r="E35" t="n">
        <v>5.3</v>
      </c>
      <c r="X35" t="n">
        <v>2</v>
      </c>
      <c r="AL35" t="n">
        <v>4.5</v>
      </c>
    </row>
    <row r="36">
      <c r="A36" s="62" t="n">
        <v>21125</v>
      </c>
      <c r="E36" t="n">
        <v>6.2</v>
      </c>
      <c r="X36" t="n">
        <v>1.9</v>
      </c>
      <c r="AL36" t="n">
        <v>5.1</v>
      </c>
    </row>
    <row r="37">
      <c r="A37" s="62" t="n">
        <v>21155</v>
      </c>
      <c r="E37" t="n">
        <v>6.5</v>
      </c>
      <c r="X37" t="n">
        <v>1.8</v>
      </c>
      <c r="AL37" t="n">
        <v>5.2</v>
      </c>
    </row>
    <row r="38">
      <c r="A38" s="62" t="n">
        <v>21186</v>
      </c>
      <c r="E38" t="n">
        <v>6.5</v>
      </c>
      <c r="X38" t="n">
        <v>1.9</v>
      </c>
      <c r="AL38" t="n">
        <v>5.8</v>
      </c>
    </row>
    <row r="39">
      <c r="A39" s="62" t="n">
        <v>21217</v>
      </c>
      <c r="E39" t="n">
        <v>6.6</v>
      </c>
      <c r="X39" t="n">
        <v>1.9</v>
      </c>
      <c r="AL39" t="n">
        <v>6.4</v>
      </c>
    </row>
    <row r="40">
      <c r="A40" s="62" t="n">
        <v>21245</v>
      </c>
      <c r="E40" t="n">
        <v>6.9</v>
      </c>
      <c r="X40" t="n">
        <v>2</v>
      </c>
      <c r="AL40" t="n">
        <v>6.7</v>
      </c>
    </row>
    <row r="41">
      <c r="A41" s="62" t="n">
        <v>21276</v>
      </c>
      <c r="E41" t="n">
        <v>6.9</v>
      </c>
      <c r="X41" t="n">
        <v>2</v>
      </c>
      <c r="AL41" t="n">
        <v>7.4</v>
      </c>
    </row>
    <row r="42">
      <c r="A42" s="62" t="n">
        <v>21306</v>
      </c>
      <c r="E42" t="n">
        <v>7</v>
      </c>
      <c r="X42" t="n">
        <v>2</v>
      </c>
      <c r="AL42" t="n">
        <v>7.4</v>
      </c>
    </row>
    <row r="43">
      <c r="A43" s="62" t="n">
        <v>21337</v>
      </c>
      <c r="E43" t="n">
        <v>7.9</v>
      </c>
      <c r="X43" t="n">
        <v>2.2</v>
      </c>
      <c r="AL43" t="n">
        <v>7.3</v>
      </c>
    </row>
    <row r="44">
      <c r="A44" s="62" t="n">
        <v>21367</v>
      </c>
      <c r="E44" t="n">
        <v>7.5</v>
      </c>
      <c r="X44" t="n">
        <v>2.1</v>
      </c>
      <c r="AL44" t="n">
        <v>7.5</v>
      </c>
    </row>
    <row r="45">
      <c r="A45" s="62" t="n">
        <v>21398</v>
      </c>
      <c r="E45" t="n">
        <v>7.5</v>
      </c>
      <c r="X45" t="n">
        <v>2.2</v>
      </c>
      <c r="AL45" t="n">
        <v>7.4</v>
      </c>
    </row>
    <row r="46">
      <c r="A46" s="62" t="n">
        <v>21429</v>
      </c>
      <c r="E46" t="n">
        <v>7.1</v>
      </c>
      <c r="X46" t="n">
        <v>2.2</v>
      </c>
      <c r="AL46" t="n">
        <v>7.1</v>
      </c>
    </row>
    <row r="47">
      <c r="A47" s="62" t="n">
        <v>21459</v>
      </c>
      <c r="E47" t="n">
        <v>7.5</v>
      </c>
      <c r="X47" t="n">
        <v>2.1</v>
      </c>
      <c r="AL47" t="n">
        <v>6.7</v>
      </c>
    </row>
    <row r="48">
      <c r="A48" s="62" t="n">
        <v>21490</v>
      </c>
      <c r="E48" t="n">
        <v>7.2</v>
      </c>
      <c r="X48" t="n">
        <v>2.1</v>
      </c>
      <c r="AL48" t="n">
        <v>6.2</v>
      </c>
    </row>
    <row r="49">
      <c r="A49" s="62" t="n">
        <v>21520</v>
      </c>
      <c r="E49" t="n">
        <v>7</v>
      </c>
      <c r="X49" t="n">
        <v>2.1</v>
      </c>
      <c r="AL49" t="n">
        <v>6.2</v>
      </c>
    </row>
    <row r="50">
      <c r="A50" s="62" t="n">
        <v>21551</v>
      </c>
      <c r="E50" t="n">
        <v>6.5</v>
      </c>
      <c r="X50" t="n">
        <v>2.4</v>
      </c>
      <c r="AL50" t="n">
        <v>6</v>
      </c>
    </row>
    <row r="51">
      <c r="A51" s="62" t="n">
        <v>21582</v>
      </c>
      <c r="E51" t="n">
        <v>6.2</v>
      </c>
      <c r="X51" t="n">
        <v>2.5</v>
      </c>
      <c r="AL51" t="n">
        <v>5.9</v>
      </c>
    </row>
    <row r="52">
      <c r="A52" s="62" t="n">
        <v>21610</v>
      </c>
      <c r="E52" t="n">
        <v>6</v>
      </c>
      <c r="X52" t="n">
        <v>2.4</v>
      </c>
      <c r="AL52" t="n">
        <v>5.6</v>
      </c>
    </row>
    <row r="53">
      <c r="A53" s="62" t="n">
        <v>21641</v>
      </c>
      <c r="E53" t="n">
        <v>5.8</v>
      </c>
      <c r="X53" t="n">
        <v>2.2</v>
      </c>
      <c r="AL53" t="n">
        <v>5.2</v>
      </c>
    </row>
    <row r="54">
      <c r="A54" s="62" t="n">
        <v>21671</v>
      </c>
      <c r="E54" t="n">
        <v>6.3</v>
      </c>
      <c r="X54" t="n">
        <v>2.2</v>
      </c>
      <c r="AL54" t="n">
        <v>5.1</v>
      </c>
    </row>
    <row r="55">
      <c r="A55" s="62" t="n">
        <v>21702</v>
      </c>
      <c r="E55" t="n">
        <v>5.6</v>
      </c>
      <c r="X55" t="n">
        <v>2.3</v>
      </c>
      <c r="AL55" t="n">
        <v>5</v>
      </c>
    </row>
    <row r="56">
      <c r="A56" s="62" t="n">
        <v>21732</v>
      </c>
      <c r="E56" t="n">
        <v>5.5</v>
      </c>
      <c r="X56" t="n">
        <v>2.3</v>
      </c>
      <c r="AL56" t="n">
        <v>5.1</v>
      </c>
    </row>
    <row r="57">
      <c r="A57" s="62" t="n">
        <v>21763</v>
      </c>
      <c r="E57" t="n">
        <v>5.9</v>
      </c>
      <c r="X57" t="n">
        <v>2.3</v>
      </c>
      <c r="AL57" t="n">
        <v>5.2</v>
      </c>
    </row>
    <row r="58">
      <c r="A58" s="62" t="n">
        <v>21794</v>
      </c>
      <c r="E58" t="n">
        <v>5.4</v>
      </c>
      <c r="X58" t="n">
        <v>2</v>
      </c>
      <c r="AL58" t="n">
        <v>5.5</v>
      </c>
    </row>
    <row r="59">
      <c r="A59" s="62" t="n">
        <v>21824</v>
      </c>
      <c r="E59" t="n">
        <v>5.5</v>
      </c>
      <c r="X59" t="n">
        <v>1.9</v>
      </c>
      <c r="AL59" t="n">
        <v>5.7</v>
      </c>
    </row>
    <row r="60">
      <c r="A60" s="62" t="n">
        <v>21855</v>
      </c>
      <c r="E60" t="n">
        <v>5.8</v>
      </c>
      <c r="X60" t="n">
        <v>2</v>
      </c>
      <c r="AL60" t="n">
        <v>5.8</v>
      </c>
    </row>
    <row r="61">
      <c r="A61" s="62" t="n">
        <v>21885</v>
      </c>
      <c r="E61" t="n">
        <v>6</v>
      </c>
      <c r="X61" t="n">
        <v>2</v>
      </c>
      <c r="AL61" t="n">
        <v>5.3</v>
      </c>
    </row>
    <row r="62">
      <c r="A62" s="62" t="n">
        <v>21916</v>
      </c>
      <c r="E62" t="n">
        <v>6.1</v>
      </c>
      <c r="X62" t="n">
        <v>1.9</v>
      </c>
      <c r="AL62" t="n">
        <v>5.2</v>
      </c>
    </row>
    <row r="63">
      <c r="A63" s="62" t="n">
        <v>21947</v>
      </c>
      <c r="E63" t="n">
        <v>6.4</v>
      </c>
      <c r="X63" t="n">
        <v>1.7</v>
      </c>
      <c r="AL63" t="n">
        <v>4.8</v>
      </c>
    </row>
    <row r="64">
      <c r="A64" s="62" t="n">
        <v>21976</v>
      </c>
      <c r="E64" t="n">
        <v>6.5</v>
      </c>
      <c r="X64" t="n">
        <v>1.7</v>
      </c>
      <c r="AL64" t="n">
        <v>5.4</v>
      </c>
    </row>
    <row r="65">
      <c r="A65" s="62" t="n">
        <v>22007</v>
      </c>
      <c r="E65" t="n">
        <v>6.8</v>
      </c>
      <c r="X65" t="n">
        <v>1.7</v>
      </c>
      <c r="AL65" t="n">
        <v>5.2</v>
      </c>
    </row>
    <row r="66">
      <c r="A66" s="62" t="n">
        <v>22037</v>
      </c>
      <c r="E66" t="n">
        <v>7.2</v>
      </c>
      <c r="X66" t="n">
        <v>1.7</v>
      </c>
      <c r="AL66" t="n">
        <v>5.1</v>
      </c>
    </row>
    <row r="67">
      <c r="A67" s="62" t="n">
        <v>22068</v>
      </c>
      <c r="E67" t="n">
        <v>6.7</v>
      </c>
      <c r="X67" t="n">
        <v>1.6</v>
      </c>
      <c r="AL67" t="n">
        <v>5.4</v>
      </c>
    </row>
    <row r="68">
      <c r="A68" s="62" t="n">
        <v>22098</v>
      </c>
      <c r="E68" t="n">
        <v>7.1</v>
      </c>
      <c r="X68" t="n">
        <v>1.5</v>
      </c>
      <c r="AL68" t="n">
        <v>5.5</v>
      </c>
    </row>
    <row r="69">
      <c r="A69" s="62" t="n">
        <v>22129</v>
      </c>
      <c r="E69" t="n">
        <v>7.6</v>
      </c>
      <c r="X69" t="n">
        <v>1.6</v>
      </c>
      <c r="AL69" t="n">
        <v>5.6</v>
      </c>
    </row>
    <row r="70">
      <c r="A70" s="62" t="n">
        <v>22160</v>
      </c>
      <c r="E70" t="n">
        <v>7.5</v>
      </c>
      <c r="X70" t="n">
        <v>1.6</v>
      </c>
      <c r="AL70" t="n">
        <v>5.5</v>
      </c>
    </row>
    <row r="71">
      <c r="A71" s="62" t="n">
        <v>22190</v>
      </c>
      <c r="E71" t="n">
        <v>7.6</v>
      </c>
      <c r="X71" t="n">
        <v>1.4</v>
      </c>
      <c r="AL71" t="n">
        <v>6.1</v>
      </c>
    </row>
    <row r="72">
      <c r="A72" s="62" t="n">
        <v>22221</v>
      </c>
      <c r="E72" t="n">
        <v>7.5</v>
      </c>
      <c r="X72" t="n">
        <v>1.5</v>
      </c>
      <c r="AL72" t="n">
        <v>6.1</v>
      </c>
    </row>
    <row r="73">
      <c r="A73" s="62" t="n">
        <v>22251</v>
      </c>
      <c r="E73" t="n">
        <v>7.6</v>
      </c>
      <c r="X73" t="n">
        <v>1.5</v>
      </c>
      <c r="AL73" t="n">
        <v>6.6</v>
      </c>
    </row>
    <row r="74">
      <c r="A74" s="62" t="n">
        <v>22282</v>
      </c>
      <c r="E74" t="n">
        <v>7.6</v>
      </c>
      <c r="X74" t="n">
        <v>1.5</v>
      </c>
      <c r="AL74" t="n">
        <v>6.6</v>
      </c>
    </row>
    <row r="75">
      <c r="A75" s="62" t="n">
        <v>22313</v>
      </c>
      <c r="E75" t="n">
        <v>7.7</v>
      </c>
      <c r="X75" t="n">
        <v>1.5</v>
      </c>
      <c r="AL75" t="n">
        <v>6.9</v>
      </c>
    </row>
    <row r="76">
      <c r="A76" s="62" t="n">
        <v>22341</v>
      </c>
      <c r="E76" t="n">
        <v>7.6</v>
      </c>
      <c r="X76" t="n">
        <v>1.3</v>
      </c>
      <c r="AL76" t="n">
        <v>6.9</v>
      </c>
    </row>
    <row r="77">
      <c r="A77" s="62" t="n">
        <v>22372</v>
      </c>
      <c r="E77" t="n">
        <v>7.6</v>
      </c>
      <c r="X77" t="n">
        <v>1.4</v>
      </c>
      <c r="AL77" t="n">
        <v>7</v>
      </c>
    </row>
    <row r="78">
      <c r="A78" s="62" t="n">
        <v>22402</v>
      </c>
      <c r="E78" t="n">
        <v>7.6</v>
      </c>
      <c r="X78" t="n">
        <v>1.5</v>
      </c>
      <c r="AL78" t="n">
        <v>7.1</v>
      </c>
    </row>
    <row r="79">
      <c r="A79" s="62" t="n">
        <v>22433</v>
      </c>
      <c r="E79" t="n">
        <v>7.4</v>
      </c>
      <c r="X79" t="n">
        <v>1.5</v>
      </c>
      <c r="AL79" t="n">
        <v>6.9</v>
      </c>
    </row>
    <row r="80">
      <c r="A80" s="62" t="n">
        <v>22463</v>
      </c>
      <c r="E80" t="n">
        <v>7.2</v>
      </c>
      <c r="X80" t="n">
        <v>1.5</v>
      </c>
      <c r="AL80" t="n">
        <v>7</v>
      </c>
    </row>
    <row r="81">
      <c r="A81" s="62" t="n">
        <v>22494</v>
      </c>
      <c r="E81" t="n">
        <v>6.8</v>
      </c>
      <c r="X81" t="n">
        <v>1.4</v>
      </c>
      <c r="AL81" t="n">
        <v>6.6</v>
      </c>
    </row>
    <row r="82">
      <c r="A82" s="62" t="n">
        <v>22525</v>
      </c>
      <c r="E82" t="n">
        <v>6.9</v>
      </c>
      <c r="X82" t="n">
        <v>1.4</v>
      </c>
      <c r="AL82" t="n">
        <v>6.7</v>
      </c>
    </row>
    <row r="83">
      <c r="A83" s="62" t="n">
        <v>22555</v>
      </c>
      <c r="E83" t="n">
        <v>6.5</v>
      </c>
      <c r="X83" t="n">
        <v>1.4</v>
      </c>
      <c r="AL83" t="n">
        <v>6.5</v>
      </c>
    </row>
    <row r="84">
      <c r="A84" s="62" t="n">
        <v>22586</v>
      </c>
      <c r="E84" t="n">
        <v>6.1</v>
      </c>
      <c r="X84" t="n">
        <v>1.5</v>
      </c>
      <c r="AL84" t="n">
        <v>6.1</v>
      </c>
    </row>
    <row r="85">
      <c r="A85" s="62" t="n">
        <v>22616</v>
      </c>
      <c r="E85" t="n">
        <v>6</v>
      </c>
      <c r="X85" t="n">
        <v>1.4</v>
      </c>
      <c r="AL85" t="n">
        <v>6</v>
      </c>
    </row>
    <row r="86">
      <c r="A86" s="62" t="n">
        <v>22647</v>
      </c>
      <c r="E86" t="n">
        <v>6</v>
      </c>
      <c r="X86" t="n">
        <v>1.3</v>
      </c>
      <c r="AL86" t="n">
        <v>5.8</v>
      </c>
    </row>
    <row r="87">
      <c r="A87" s="62" t="n">
        <v>22678</v>
      </c>
      <c r="E87" t="n">
        <v>6.2</v>
      </c>
      <c r="X87" t="n">
        <v>1.3</v>
      </c>
      <c r="AL87" t="n">
        <v>5.5</v>
      </c>
    </row>
    <row r="88">
      <c r="A88" s="62" t="n">
        <v>22706</v>
      </c>
      <c r="E88" t="n">
        <v>6</v>
      </c>
      <c r="X88" t="n">
        <v>1.3</v>
      </c>
      <c r="AL88" t="n">
        <v>5.6</v>
      </c>
    </row>
    <row r="89">
      <c r="A89" s="62" t="n">
        <v>22737</v>
      </c>
      <c r="E89" t="n">
        <v>5.9</v>
      </c>
      <c r="X89" t="n">
        <v>1.4</v>
      </c>
      <c r="AL89" t="n">
        <v>5.6</v>
      </c>
    </row>
    <row r="90">
      <c r="A90" s="62" t="n">
        <v>22767</v>
      </c>
      <c r="E90" t="n">
        <v>5.6</v>
      </c>
      <c r="X90" t="n">
        <v>1.2</v>
      </c>
      <c r="AL90" t="n">
        <v>5.5</v>
      </c>
    </row>
    <row r="91">
      <c r="A91" s="62" t="n">
        <v>22798</v>
      </c>
      <c r="E91" t="n">
        <v>5.7</v>
      </c>
      <c r="X91" t="n">
        <v>1.3</v>
      </c>
      <c r="AL91" t="n">
        <v>5.5</v>
      </c>
    </row>
    <row r="92">
      <c r="A92" s="62" t="n">
        <v>22828</v>
      </c>
      <c r="E92" t="n">
        <v>6</v>
      </c>
      <c r="X92" t="n">
        <v>1.3</v>
      </c>
      <c r="AL92" t="n">
        <v>5.4</v>
      </c>
    </row>
    <row r="93">
      <c r="A93" s="62" t="n">
        <v>22859</v>
      </c>
      <c r="E93" t="n">
        <v>5.7</v>
      </c>
      <c r="X93" t="n">
        <v>1.2</v>
      </c>
      <c r="AL93" t="n">
        <v>5.7</v>
      </c>
    </row>
    <row r="94">
      <c r="A94" s="62" t="n">
        <v>22890</v>
      </c>
      <c r="E94" t="n">
        <v>5.7</v>
      </c>
      <c r="X94" t="n">
        <v>1.2</v>
      </c>
      <c r="AL94" t="n">
        <v>5.6</v>
      </c>
    </row>
    <row r="95">
      <c r="A95" s="62" t="n">
        <v>22920</v>
      </c>
      <c r="E95" t="n">
        <v>5.7</v>
      </c>
      <c r="X95" t="n">
        <v>1.4</v>
      </c>
      <c r="AL95" t="n">
        <v>5.4</v>
      </c>
    </row>
    <row r="96">
      <c r="A96" s="62" t="n">
        <v>22951</v>
      </c>
      <c r="E96" t="n">
        <v>5.9</v>
      </c>
      <c r="X96" t="n">
        <v>1.3</v>
      </c>
      <c r="AL96" t="n">
        <v>5.7</v>
      </c>
    </row>
    <row r="97">
      <c r="A97" s="62" t="n">
        <v>22981</v>
      </c>
      <c r="E97" t="n">
        <v>6</v>
      </c>
      <c r="X97" t="n">
        <v>1.3</v>
      </c>
      <c r="AL97" t="n">
        <v>5.5</v>
      </c>
    </row>
    <row r="98">
      <c r="A98" s="62" t="n">
        <v>23012</v>
      </c>
      <c r="E98" t="n">
        <v>5.9</v>
      </c>
      <c r="X98" t="n">
        <v>1.4</v>
      </c>
      <c r="AL98" t="n">
        <v>5.7</v>
      </c>
    </row>
    <row r="99">
      <c r="A99" s="62" t="n">
        <v>23043</v>
      </c>
      <c r="E99" t="n">
        <v>5.8</v>
      </c>
      <c r="X99" t="n">
        <v>1.4</v>
      </c>
      <c r="AL99" t="n">
        <v>5.9</v>
      </c>
    </row>
    <row r="100">
      <c r="A100" s="62" t="n">
        <v>23071</v>
      </c>
      <c r="E100" t="n">
        <v>5.9</v>
      </c>
      <c r="X100" t="n">
        <v>1.4</v>
      </c>
      <c r="AL100" t="n">
        <v>5.7</v>
      </c>
    </row>
    <row r="101">
      <c r="A101" s="62" t="n">
        <v>23102</v>
      </c>
      <c r="E101" t="n">
        <v>5.7</v>
      </c>
      <c r="X101" t="n">
        <v>1.2</v>
      </c>
      <c r="AL101" t="n">
        <v>5.7</v>
      </c>
    </row>
    <row r="102">
      <c r="A102" s="62" t="n">
        <v>23132</v>
      </c>
      <c r="E102" t="n">
        <v>5.7</v>
      </c>
      <c r="X102" t="n">
        <v>1.3</v>
      </c>
      <c r="AL102" t="n">
        <v>5.9</v>
      </c>
    </row>
    <row r="103">
      <c r="A103" s="62" t="n">
        <v>23163</v>
      </c>
      <c r="E103" t="n">
        <v>5.5</v>
      </c>
      <c r="X103" t="n">
        <v>1.1</v>
      </c>
      <c r="AL103" t="n">
        <v>5.6</v>
      </c>
    </row>
    <row r="104">
      <c r="A104" s="62" t="n">
        <v>23193</v>
      </c>
      <c r="E104" t="n">
        <v>5.4</v>
      </c>
      <c r="X104" t="n">
        <v>1.1</v>
      </c>
      <c r="AL104" t="n">
        <v>5.6</v>
      </c>
    </row>
    <row r="105">
      <c r="A105" s="62" t="n">
        <v>23224</v>
      </c>
      <c r="E105" t="n">
        <v>5.3</v>
      </c>
      <c r="X105" t="n">
        <v>1.2</v>
      </c>
      <c r="AL105" t="n">
        <v>5.4</v>
      </c>
    </row>
    <row r="106">
      <c r="A106" s="62" t="n">
        <v>23255</v>
      </c>
      <c r="E106" t="n">
        <v>5.3</v>
      </c>
      <c r="X106" t="n">
        <v>1.3</v>
      </c>
      <c r="AL106" t="n">
        <v>5.5</v>
      </c>
    </row>
    <row r="107">
      <c r="A107" s="62" t="n">
        <v>23285</v>
      </c>
      <c r="E107" t="n">
        <v>5.2</v>
      </c>
      <c r="X107" t="n">
        <v>1.2</v>
      </c>
      <c r="AL107" t="n">
        <v>5.5</v>
      </c>
    </row>
    <row r="108">
      <c r="A108" s="62" t="n">
        <v>23316</v>
      </c>
      <c r="E108" t="n">
        <v>5.1</v>
      </c>
      <c r="X108" t="n">
        <v>1.2</v>
      </c>
      <c r="AL108" t="n">
        <v>5.7</v>
      </c>
    </row>
    <row r="109">
      <c r="A109" s="62" t="n">
        <v>23346</v>
      </c>
      <c r="E109" t="n">
        <v>5</v>
      </c>
      <c r="X109" t="n">
        <v>1.3</v>
      </c>
      <c r="AL109" t="n">
        <v>5.5</v>
      </c>
    </row>
    <row r="110">
      <c r="A110" s="62" t="n">
        <v>23377</v>
      </c>
      <c r="E110" t="n">
        <v>4.9</v>
      </c>
      <c r="X110" t="n">
        <v>1.2</v>
      </c>
      <c r="AL110" t="n">
        <v>5.6</v>
      </c>
    </row>
    <row r="111">
      <c r="A111" s="62" t="n">
        <v>23408</v>
      </c>
      <c r="E111" t="n">
        <v>4.9</v>
      </c>
      <c r="X111" t="n">
        <v>1.3</v>
      </c>
      <c r="AL111" t="n">
        <v>5.4</v>
      </c>
    </row>
    <row r="112">
      <c r="A112" s="62" t="n">
        <v>23437</v>
      </c>
      <c r="E112" t="n">
        <v>4.8</v>
      </c>
      <c r="X112" t="n">
        <v>1.2</v>
      </c>
      <c r="AL112" t="n">
        <v>5.4</v>
      </c>
    </row>
    <row r="113">
      <c r="A113" s="62" t="n">
        <v>23468</v>
      </c>
      <c r="E113" t="n">
        <v>4.9</v>
      </c>
      <c r="X113" t="n">
        <v>1.2</v>
      </c>
      <c r="AL113" t="n">
        <v>5.3</v>
      </c>
    </row>
    <row r="114">
      <c r="A114" s="62" t="n">
        <v>23498</v>
      </c>
      <c r="E114" t="n">
        <v>4.6</v>
      </c>
      <c r="X114" t="n">
        <v>1.1</v>
      </c>
      <c r="AL114" t="n">
        <v>5.1</v>
      </c>
    </row>
    <row r="115">
      <c r="A115" s="62" t="n">
        <v>23529</v>
      </c>
      <c r="E115" t="n">
        <v>4.8</v>
      </c>
      <c r="X115" t="n">
        <v>1.2</v>
      </c>
      <c r="AL115" t="n">
        <v>5.2</v>
      </c>
    </row>
    <row r="116">
      <c r="A116" s="62" t="n">
        <v>23559</v>
      </c>
      <c r="E116" t="n">
        <v>4.6</v>
      </c>
      <c r="X116" t="n">
        <v>1.2</v>
      </c>
      <c r="AL116" t="n">
        <v>4.9</v>
      </c>
    </row>
    <row r="117">
      <c r="A117" s="62" t="n">
        <v>23590</v>
      </c>
      <c r="E117" t="n">
        <v>4.6</v>
      </c>
      <c r="X117" t="n">
        <v>1.2</v>
      </c>
      <c r="AL117" t="n">
        <v>5</v>
      </c>
    </row>
    <row r="118">
      <c r="A118" s="62" t="n">
        <v>23621</v>
      </c>
      <c r="E118" t="n">
        <v>4.5</v>
      </c>
      <c r="X118" t="n">
        <v>1.1</v>
      </c>
      <c r="AL118" t="n">
        <v>5.1</v>
      </c>
    </row>
    <row r="119">
      <c r="A119" s="62" t="n">
        <v>23651</v>
      </c>
      <c r="E119" t="n">
        <v>4.9</v>
      </c>
      <c r="X119" t="n">
        <v>1.1</v>
      </c>
      <c r="AL119" t="n">
        <v>5.1</v>
      </c>
    </row>
    <row r="120">
      <c r="A120" s="62" t="n">
        <v>23682</v>
      </c>
      <c r="E120" t="n">
        <v>4.3</v>
      </c>
      <c r="X120" t="n">
        <v>1.1</v>
      </c>
      <c r="AL120" t="n">
        <v>4.8</v>
      </c>
    </row>
    <row r="121">
      <c r="A121" s="62" t="n">
        <v>23712</v>
      </c>
      <c r="E121" t="n">
        <v>4.1</v>
      </c>
      <c r="X121" t="n">
        <v>1.1</v>
      </c>
      <c r="AL121" t="n">
        <v>5</v>
      </c>
    </row>
    <row r="122">
      <c r="A122" s="62" t="n">
        <v>23743</v>
      </c>
      <c r="E122" t="n">
        <v>4.2</v>
      </c>
      <c r="X122" t="n">
        <v>1.1</v>
      </c>
      <c r="AL122" t="n">
        <v>4.9</v>
      </c>
    </row>
    <row r="123">
      <c r="A123" s="62" t="n">
        <v>23774</v>
      </c>
      <c r="E123" t="n">
        <v>4.1</v>
      </c>
      <c r="X123" t="n">
        <v>1.2</v>
      </c>
      <c r="AL123" t="n">
        <v>5.1</v>
      </c>
    </row>
    <row r="124">
      <c r="A124" s="62" t="n">
        <v>23802</v>
      </c>
      <c r="E124" t="n">
        <v>4.1</v>
      </c>
      <c r="X124" t="n">
        <v>1.1</v>
      </c>
      <c r="AL124" t="n">
        <v>4.7</v>
      </c>
    </row>
    <row r="125">
      <c r="A125" s="62" t="n">
        <v>23833</v>
      </c>
      <c r="E125" t="n">
        <v>4.4</v>
      </c>
      <c r="X125" t="n">
        <v>1.2</v>
      </c>
      <c r="AL125" t="n">
        <v>4.8</v>
      </c>
    </row>
    <row r="126">
      <c r="A126" s="62" t="n">
        <v>23863</v>
      </c>
      <c r="E126" t="n">
        <v>4</v>
      </c>
      <c r="X126" t="n">
        <v>1.2</v>
      </c>
      <c r="AL126" t="n">
        <v>4.6</v>
      </c>
    </row>
    <row r="127">
      <c r="A127" s="62" t="n">
        <v>23894</v>
      </c>
      <c r="E127" t="n">
        <v>4.1</v>
      </c>
      <c r="X127" t="n">
        <v>1.3</v>
      </c>
      <c r="AL127" t="n">
        <v>4.6</v>
      </c>
    </row>
    <row r="128">
      <c r="A128" s="62" t="n">
        <v>23924</v>
      </c>
      <c r="E128" t="n">
        <v>3.9</v>
      </c>
      <c r="X128" t="n">
        <v>1.3</v>
      </c>
      <c r="AL128" t="n">
        <v>4.4</v>
      </c>
    </row>
    <row r="129">
      <c r="A129" s="62" t="n">
        <v>23955</v>
      </c>
      <c r="E129" t="n">
        <v>3.8</v>
      </c>
      <c r="X129" t="n">
        <v>1.2</v>
      </c>
      <c r="AL129" t="n">
        <v>4.4</v>
      </c>
    </row>
    <row r="130">
      <c r="A130" s="62" t="n">
        <v>23986</v>
      </c>
      <c r="E130" t="n">
        <v>3.6</v>
      </c>
      <c r="X130" t="n">
        <v>1.3</v>
      </c>
      <c r="AL130" t="n">
        <v>4.3</v>
      </c>
    </row>
    <row r="131">
      <c r="A131" s="62" t="n">
        <v>24016</v>
      </c>
      <c r="E131" t="n">
        <v>3.1</v>
      </c>
      <c r="X131" t="n">
        <v>1.3</v>
      </c>
      <c r="AL131" t="n">
        <v>4.2</v>
      </c>
    </row>
    <row r="132">
      <c r="A132" s="62" t="n">
        <v>24047</v>
      </c>
      <c r="E132" t="n">
        <v>3.6</v>
      </c>
      <c r="X132" t="n">
        <v>1.3</v>
      </c>
      <c r="AL132" t="n">
        <v>4.1</v>
      </c>
    </row>
    <row r="133">
      <c r="A133" s="62" t="n">
        <v>24077</v>
      </c>
      <c r="E133" t="n">
        <v>3.5</v>
      </c>
      <c r="X133" t="n">
        <v>1.3</v>
      </c>
      <c r="AL133" t="n">
        <v>4</v>
      </c>
    </row>
    <row r="134">
      <c r="A134" s="62" t="n">
        <v>24108</v>
      </c>
      <c r="E134" t="n">
        <v>3.4</v>
      </c>
      <c r="X134" t="n">
        <v>1.4</v>
      </c>
      <c r="AL134" t="n">
        <v>4</v>
      </c>
    </row>
    <row r="135">
      <c r="A135" s="62" t="n">
        <v>24139</v>
      </c>
      <c r="E135" t="n">
        <v>3.4</v>
      </c>
      <c r="X135" t="n">
        <v>1.3</v>
      </c>
      <c r="AL135" t="n">
        <v>3.8</v>
      </c>
    </row>
    <row r="136">
      <c r="A136" s="62" t="n">
        <v>24167</v>
      </c>
      <c r="E136" t="n">
        <v>3.3</v>
      </c>
      <c r="X136" t="n">
        <v>1.4</v>
      </c>
      <c r="AL136" t="n">
        <v>3.8</v>
      </c>
    </row>
    <row r="137">
      <c r="A137" s="62" t="n">
        <v>24198</v>
      </c>
      <c r="E137" t="n">
        <v>3.2</v>
      </c>
      <c r="X137" t="n">
        <v>1.3</v>
      </c>
      <c r="AL137" t="n">
        <v>3.8</v>
      </c>
    </row>
    <row r="138">
      <c r="A138" s="62" t="n">
        <v>24228</v>
      </c>
      <c r="E138" t="n">
        <v>3.2</v>
      </c>
      <c r="X138" t="n">
        <v>1.4</v>
      </c>
      <c r="AL138" t="n">
        <v>3.9</v>
      </c>
    </row>
    <row r="139">
      <c r="A139" s="62" t="n">
        <v>24259</v>
      </c>
      <c r="E139" t="n">
        <v>2.9</v>
      </c>
      <c r="X139" t="n">
        <v>1.3</v>
      </c>
      <c r="AL139" t="n">
        <v>3.8</v>
      </c>
    </row>
    <row r="140">
      <c r="A140" s="62" t="n">
        <v>24289</v>
      </c>
      <c r="E140" t="n">
        <v>3.2</v>
      </c>
      <c r="X140" t="n">
        <v>1.2</v>
      </c>
      <c r="AL140" t="n">
        <v>3.8</v>
      </c>
    </row>
    <row r="141">
      <c r="A141" s="62" t="n">
        <v>24320</v>
      </c>
      <c r="E141" t="n">
        <v>3.5</v>
      </c>
      <c r="X141" t="n">
        <v>1.3</v>
      </c>
      <c r="AL141" t="n">
        <v>3.8</v>
      </c>
    </row>
    <row r="142">
      <c r="A142" s="62" t="n">
        <v>24351</v>
      </c>
      <c r="E142" t="n">
        <v>3.6</v>
      </c>
      <c r="X142" t="n">
        <v>1.4</v>
      </c>
      <c r="AL142" t="n">
        <v>3.7</v>
      </c>
    </row>
    <row r="143">
      <c r="A143" s="62" t="n">
        <v>24381</v>
      </c>
      <c r="E143" t="n">
        <v>3.3</v>
      </c>
      <c r="X143" t="n">
        <v>1.3</v>
      </c>
      <c r="AL143" t="n">
        <v>3.7</v>
      </c>
    </row>
    <row r="144">
      <c r="A144" s="62" t="n">
        <v>24412</v>
      </c>
      <c r="E144" t="n">
        <v>3.5</v>
      </c>
      <c r="X144" t="n">
        <v>1.3</v>
      </c>
      <c r="AL144" t="n">
        <v>3.6</v>
      </c>
    </row>
    <row r="145">
      <c r="A145" s="62" t="n">
        <v>24442</v>
      </c>
      <c r="E145" t="n">
        <v>3.4</v>
      </c>
      <c r="X145" t="n">
        <v>1.2</v>
      </c>
      <c r="AL145" t="n">
        <v>3.8</v>
      </c>
    </row>
    <row r="146">
      <c r="A146" s="62" t="n">
        <v>24473</v>
      </c>
      <c r="E146" t="n">
        <v>3.6</v>
      </c>
      <c r="X146" t="n">
        <v>1.2</v>
      </c>
      <c r="AL146" t="n">
        <v>3.9</v>
      </c>
    </row>
    <row r="147">
      <c r="A147" s="62" t="n">
        <v>24504</v>
      </c>
      <c r="E147" t="n">
        <v>3.7</v>
      </c>
      <c r="X147" t="n">
        <v>1.1</v>
      </c>
      <c r="AL147" t="n">
        <v>3.8</v>
      </c>
    </row>
    <row r="148">
      <c r="A148" s="62" t="n">
        <v>24532</v>
      </c>
      <c r="E148" t="n">
        <v>3.8</v>
      </c>
      <c r="X148" t="n">
        <v>1.6</v>
      </c>
      <c r="AL148" t="n">
        <v>3.8</v>
      </c>
    </row>
    <row r="149">
      <c r="A149" s="62" t="n">
        <v>24563</v>
      </c>
      <c r="E149" t="n">
        <v>3.9</v>
      </c>
      <c r="X149" t="n">
        <v>1.3</v>
      </c>
      <c r="AL149" t="n">
        <v>3.8</v>
      </c>
    </row>
    <row r="150">
      <c r="A150" s="62" t="n">
        <v>24593</v>
      </c>
      <c r="E150" t="n">
        <v>3.7</v>
      </c>
      <c r="X150" t="n">
        <v>1.2</v>
      </c>
      <c r="AL150" t="n">
        <v>3.8</v>
      </c>
    </row>
    <row r="151">
      <c r="A151" s="62" t="n">
        <v>24624</v>
      </c>
      <c r="E151" t="n">
        <v>3.6</v>
      </c>
      <c r="X151" t="n">
        <v>1.3</v>
      </c>
      <c r="AL151" t="n">
        <v>3.9</v>
      </c>
    </row>
    <row r="152">
      <c r="A152" s="62" t="n">
        <v>24654</v>
      </c>
      <c r="E152" t="n">
        <v>3.7</v>
      </c>
      <c r="X152" t="n">
        <v>1.2</v>
      </c>
      <c r="AL152" t="n">
        <v>3.8</v>
      </c>
    </row>
    <row r="153">
      <c r="A153" s="62" t="n">
        <v>24685</v>
      </c>
      <c r="E153" t="n">
        <v>3.6</v>
      </c>
      <c r="X153" t="n">
        <v>1.2</v>
      </c>
      <c r="AL153" t="n">
        <v>3.8</v>
      </c>
    </row>
    <row r="154">
      <c r="A154" s="62" t="n">
        <v>24716</v>
      </c>
      <c r="E154" t="n">
        <v>3.7</v>
      </c>
      <c r="X154" t="n">
        <v>1.1</v>
      </c>
      <c r="AL154" t="n">
        <v>3.8</v>
      </c>
    </row>
    <row r="155">
      <c r="A155" s="62" t="n">
        <v>24746</v>
      </c>
      <c r="E155" t="n">
        <v>4.1</v>
      </c>
      <c r="X155" t="n">
        <v>1.2</v>
      </c>
      <c r="AL155" t="n">
        <v>4</v>
      </c>
    </row>
    <row r="156">
      <c r="A156" s="62" t="n">
        <v>24777</v>
      </c>
      <c r="E156" t="n">
        <v>4</v>
      </c>
      <c r="X156" t="n">
        <v>1.3</v>
      </c>
      <c r="AL156" t="n">
        <v>3.9</v>
      </c>
    </row>
    <row r="157">
      <c r="A157" s="62" t="n">
        <v>24807</v>
      </c>
      <c r="E157" t="n">
        <v>4.4</v>
      </c>
      <c r="X157" t="n">
        <v>1.3</v>
      </c>
      <c r="AL157" t="n">
        <v>3.8</v>
      </c>
    </row>
    <row r="158">
      <c r="A158" s="62" t="n">
        <v>24838</v>
      </c>
      <c r="E158" t="n">
        <v>4.3</v>
      </c>
      <c r="X158" t="n">
        <v>1.3</v>
      </c>
      <c r="AL158" t="n">
        <v>3.7</v>
      </c>
    </row>
    <row r="159">
      <c r="A159" s="62" t="n">
        <v>24869</v>
      </c>
      <c r="E159" t="n">
        <v>4.4</v>
      </c>
      <c r="X159" t="n">
        <v>1.3</v>
      </c>
      <c r="AL159" t="n">
        <v>3.8</v>
      </c>
    </row>
    <row r="160">
      <c r="A160" s="62" t="n">
        <v>24898</v>
      </c>
      <c r="E160" t="n">
        <v>4.6</v>
      </c>
      <c r="X160" t="n">
        <v>1.2</v>
      </c>
      <c r="AL160" t="n">
        <v>3.7</v>
      </c>
    </row>
    <row r="161">
      <c r="A161" s="62" t="n">
        <v>24929</v>
      </c>
      <c r="E161" t="n">
        <v>4.5</v>
      </c>
      <c r="X161" t="n">
        <v>1.2</v>
      </c>
      <c r="AL161" t="n">
        <v>3.5</v>
      </c>
    </row>
    <row r="162">
      <c r="A162" s="62" t="n">
        <v>24959</v>
      </c>
      <c r="E162" t="n">
        <v>4.4</v>
      </c>
      <c r="X162" t="n">
        <v>1.2</v>
      </c>
      <c r="AL162" t="n">
        <v>3.5</v>
      </c>
    </row>
    <row r="163">
      <c r="A163" s="62" t="n">
        <v>24990</v>
      </c>
      <c r="E163" t="n">
        <v>4.7</v>
      </c>
      <c r="X163" t="n">
        <v>1.1</v>
      </c>
      <c r="AL163" t="n">
        <v>3.7</v>
      </c>
    </row>
    <row r="164">
      <c r="A164" s="62" t="n">
        <v>25020</v>
      </c>
      <c r="E164" t="n">
        <v>4.7</v>
      </c>
      <c r="X164" t="n">
        <v>1.3</v>
      </c>
      <c r="AL164" t="n">
        <v>3.7</v>
      </c>
    </row>
    <row r="165">
      <c r="A165" s="62" t="n">
        <v>25051</v>
      </c>
      <c r="E165" t="n">
        <v>4.6</v>
      </c>
      <c r="X165" t="n">
        <v>1.2</v>
      </c>
      <c r="AL165" t="n">
        <v>3.5</v>
      </c>
    </row>
    <row r="166">
      <c r="A166" s="62" t="n">
        <v>25082</v>
      </c>
      <c r="E166" t="n">
        <v>4.3</v>
      </c>
      <c r="X166" t="n">
        <v>1.1</v>
      </c>
      <c r="AL166" t="n">
        <v>3.4</v>
      </c>
    </row>
    <row r="167">
      <c r="A167" s="62" t="n">
        <v>25112</v>
      </c>
      <c r="E167" t="n">
        <v>4.4</v>
      </c>
      <c r="X167" t="n">
        <v>1.1</v>
      </c>
      <c r="AL167" t="n">
        <v>3.4</v>
      </c>
    </row>
    <row r="168">
      <c r="A168" s="62" t="n">
        <v>25143</v>
      </c>
      <c r="E168" t="n">
        <v>4.5</v>
      </c>
      <c r="X168" t="n">
        <v>1</v>
      </c>
      <c r="AL168" t="n">
        <v>3.4</v>
      </c>
    </row>
    <row r="169">
      <c r="A169" s="62" t="n">
        <v>25173</v>
      </c>
      <c r="E169" t="n">
        <v>4.5</v>
      </c>
      <c r="X169" t="n">
        <v>1.1</v>
      </c>
      <c r="AL169" t="n">
        <v>3.4</v>
      </c>
    </row>
    <row r="170">
      <c r="A170" s="62" t="n">
        <v>25204</v>
      </c>
      <c r="E170" t="n">
        <v>4.3</v>
      </c>
      <c r="X170" t="n">
        <v>1.1</v>
      </c>
      <c r="AL170" t="n">
        <v>3.4</v>
      </c>
    </row>
    <row r="171">
      <c r="A171" s="62" t="n">
        <v>25235</v>
      </c>
      <c r="E171" t="n">
        <v>4.3</v>
      </c>
      <c r="X171" t="n">
        <v>1.2</v>
      </c>
      <c r="AL171" t="n">
        <v>3.4</v>
      </c>
    </row>
    <row r="172">
      <c r="A172" s="62" t="n">
        <v>25263</v>
      </c>
      <c r="E172" t="n">
        <v>4.2</v>
      </c>
      <c r="X172" t="n">
        <v>1.1</v>
      </c>
      <c r="AL172" t="n">
        <v>3.4</v>
      </c>
    </row>
    <row r="173">
      <c r="A173" s="62" t="n">
        <v>25294</v>
      </c>
      <c r="E173" t="n">
        <v>4.3</v>
      </c>
      <c r="X173" t="n">
        <v>1.1</v>
      </c>
      <c r="AL173" t="n">
        <v>3.4</v>
      </c>
    </row>
    <row r="174">
      <c r="A174" s="62" t="n">
        <v>25324</v>
      </c>
      <c r="E174" t="n">
        <v>4.4</v>
      </c>
      <c r="X174" t="n">
        <v>1.2</v>
      </c>
      <c r="AL174" t="n">
        <v>3.4</v>
      </c>
    </row>
    <row r="175">
      <c r="A175" s="62" t="n">
        <v>25355</v>
      </c>
      <c r="E175" t="n">
        <v>4.4</v>
      </c>
      <c r="X175" t="n">
        <v>1.3</v>
      </c>
      <c r="AL175" t="n">
        <v>3.5</v>
      </c>
    </row>
    <row r="176">
      <c r="A176" s="62" t="n">
        <v>25385</v>
      </c>
      <c r="E176" t="n">
        <v>4.3</v>
      </c>
      <c r="X176" t="n">
        <v>1.2</v>
      </c>
      <c r="AL176" t="n">
        <v>3.5</v>
      </c>
    </row>
    <row r="177">
      <c r="A177" s="62" t="n">
        <v>25416</v>
      </c>
      <c r="E177" t="n">
        <v>4.5</v>
      </c>
      <c r="X177" t="n">
        <v>1.1</v>
      </c>
      <c r="AL177" t="n">
        <v>3.5</v>
      </c>
    </row>
    <row r="178">
      <c r="A178" s="62" t="n">
        <v>25447</v>
      </c>
      <c r="E178" t="n">
        <v>4.4</v>
      </c>
      <c r="X178" t="n">
        <v>1.1</v>
      </c>
      <c r="AL178" t="n">
        <v>3.7</v>
      </c>
    </row>
    <row r="179">
      <c r="A179" s="62" t="n">
        <v>25477</v>
      </c>
      <c r="E179" t="n">
        <v>4.7</v>
      </c>
      <c r="X179" t="n">
        <v>1.1</v>
      </c>
      <c r="AL179" t="n">
        <v>3.7</v>
      </c>
    </row>
    <row r="180">
      <c r="A180" s="62" t="n">
        <v>25508</v>
      </c>
      <c r="E180" t="n">
        <v>4.6</v>
      </c>
      <c r="X180" t="n">
        <v>1</v>
      </c>
      <c r="AL180" t="n">
        <v>3.5</v>
      </c>
    </row>
    <row r="181">
      <c r="A181" s="62" t="n">
        <v>25538</v>
      </c>
      <c r="E181" t="n">
        <v>4.5</v>
      </c>
      <c r="X181" t="n">
        <v>1.1</v>
      </c>
      <c r="AL181" t="n">
        <v>3.5</v>
      </c>
    </row>
    <row r="182">
      <c r="A182" s="62" t="n">
        <v>25569</v>
      </c>
      <c r="E182" t="n">
        <v>4.5</v>
      </c>
      <c r="X182" t="n">
        <v>1.1</v>
      </c>
      <c r="AL182" t="n">
        <v>3.9</v>
      </c>
    </row>
    <row r="183">
      <c r="A183" s="62" t="n">
        <v>25600</v>
      </c>
      <c r="E183" t="n">
        <v>4.9</v>
      </c>
      <c r="X183" t="n">
        <v>1.1</v>
      </c>
      <c r="AL183" t="n">
        <v>4.2</v>
      </c>
    </row>
    <row r="184">
      <c r="A184" s="62" t="n">
        <v>25628</v>
      </c>
      <c r="E184" t="n">
        <v>5.2</v>
      </c>
      <c r="X184" t="n">
        <v>1</v>
      </c>
      <c r="AL184" t="n">
        <v>4.4</v>
      </c>
    </row>
    <row r="185">
      <c r="A185" s="62" t="n">
        <v>25659</v>
      </c>
      <c r="E185" t="n">
        <v>5.4</v>
      </c>
      <c r="X185" t="n">
        <v>1.2</v>
      </c>
      <c r="AL185" t="n">
        <v>4.6</v>
      </c>
    </row>
    <row r="186">
      <c r="A186" s="62" t="n">
        <v>25689</v>
      </c>
      <c r="E186" t="n">
        <v>5.8</v>
      </c>
      <c r="X186" t="n">
        <v>1.1</v>
      </c>
      <c r="AL186" t="n">
        <v>4.8</v>
      </c>
    </row>
    <row r="187">
      <c r="A187" s="62" t="n">
        <v>25720</v>
      </c>
      <c r="E187" t="n">
        <v>6.1</v>
      </c>
      <c r="X187" t="n">
        <v>1.1</v>
      </c>
      <c r="AL187" t="n">
        <v>4.9</v>
      </c>
    </row>
    <row r="188">
      <c r="A188" s="62" t="n">
        <v>25750</v>
      </c>
      <c r="E188" t="n">
        <v>6.4</v>
      </c>
      <c r="X188" t="n">
        <v>1.2</v>
      </c>
      <c r="AL188" t="n">
        <v>5</v>
      </c>
    </row>
    <row r="189">
      <c r="A189" s="62" t="n">
        <v>25781</v>
      </c>
      <c r="E189" t="n">
        <v>6.1</v>
      </c>
      <c r="X189" t="n">
        <v>1.2</v>
      </c>
      <c r="AL189" t="n">
        <v>5.1</v>
      </c>
    </row>
    <row r="190">
      <c r="A190" s="62" t="n">
        <v>25812</v>
      </c>
      <c r="E190" t="n">
        <v>6</v>
      </c>
      <c r="X190" t="n">
        <v>1.3</v>
      </c>
      <c r="AL190" t="n">
        <v>5.4</v>
      </c>
    </row>
    <row r="191">
      <c r="A191" s="62" t="n">
        <v>25842</v>
      </c>
      <c r="E191" t="n">
        <v>6</v>
      </c>
      <c r="X191" t="n">
        <v>1.3</v>
      </c>
      <c r="AL191" t="n">
        <v>5.5</v>
      </c>
    </row>
    <row r="192">
      <c r="A192" s="62" t="n">
        <v>25873</v>
      </c>
      <c r="E192" t="n">
        <v>6.1</v>
      </c>
      <c r="X192" t="n">
        <v>1.3</v>
      </c>
      <c r="AL192" t="n">
        <v>5.9</v>
      </c>
    </row>
    <row r="193">
      <c r="A193" s="62" t="n">
        <v>25903</v>
      </c>
      <c r="E193" t="n">
        <v>6.2</v>
      </c>
      <c r="X193" t="n">
        <v>1.2</v>
      </c>
      <c r="AL193" t="n">
        <v>6.1</v>
      </c>
    </row>
    <row r="194">
      <c r="A194" s="62" t="n">
        <v>25934</v>
      </c>
      <c r="E194" t="n">
        <v>6.2</v>
      </c>
      <c r="X194" t="n">
        <v>1.1</v>
      </c>
      <c r="AL194" t="n">
        <v>5.9</v>
      </c>
    </row>
    <row r="195">
      <c r="A195" s="62" t="n">
        <v>25965</v>
      </c>
      <c r="E195" t="n">
        <v>6.3</v>
      </c>
      <c r="X195" t="n">
        <v>1.2</v>
      </c>
      <c r="AL195" t="n">
        <v>5.9</v>
      </c>
    </row>
    <row r="196">
      <c r="A196" s="62" t="n">
        <v>25993</v>
      </c>
      <c r="E196" t="n">
        <v>6.2</v>
      </c>
      <c r="X196" t="n">
        <v>1.2</v>
      </c>
      <c r="AL196" t="n">
        <v>6</v>
      </c>
    </row>
    <row r="197">
      <c r="A197" s="62" t="n">
        <v>26024</v>
      </c>
      <c r="E197" t="n">
        <v>6.6</v>
      </c>
      <c r="X197" t="n">
        <v>1.2</v>
      </c>
      <c r="AL197" t="n">
        <v>5.9</v>
      </c>
    </row>
    <row r="198">
      <c r="A198" s="62" t="n">
        <v>26054</v>
      </c>
      <c r="E198" t="n">
        <v>6.1</v>
      </c>
      <c r="X198" t="n">
        <v>1.2</v>
      </c>
      <c r="AL198" t="n">
        <v>5.9</v>
      </c>
    </row>
    <row r="199">
      <c r="A199" s="62" t="n">
        <v>26085</v>
      </c>
      <c r="E199" t="n">
        <v>6.1</v>
      </c>
      <c r="X199" t="n">
        <v>1.2</v>
      </c>
      <c r="AL199" t="n">
        <v>5.9</v>
      </c>
    </row>
    <row r="200">
      <c r="A200" s="62" t="n">
        <v>26115</v>
      </c>
      <c r="E200" t="n">
        <v>6.1</v>
      </c>
      <c r="X200" t="n">
        <v>1.2</v>
      </c>
      <c r="AL200" t="n">
        <v>6</v>
      </c>
    </row>
    <row r="201">
      <c r="A201" s="62" t="n">
        <v>26146</v>
      </c>
      <c r="E201" t="n">
        <v>6</v>
      </c>
      <c r="X201" t="n">
        <v>1.3</v>
      </c>
      <c r="AL201" t="n">
        <v>6.1</v>
      </c>
    </row>
    <row r="202">
      <c r="A202" s="62" t="n">
        <v>26177</v>
      </c>
      <c r="E202" t="n">
        <v>6.2</v>
      </c>
      <c r="X202" t="n">
        <v>1.2</v>
      </c>
      <c r="AL202" t="n">
        <v>6</v>
      </c>
    </row>
    <row r="203">
      <c r="A203" s="62" t="n">
        <v>26207</v>
      </c>
      <c r="E203" t="n">
        <v>6.3</v>
      </c>
      <c r="X203" t="n">
        <v>1.3</v>
      </c>
      <c r="AL203" t="n">
        <v>5.8</v>
      </c>
    </row>
    <row r="204">
      <c r="A204" s="62" t="n">
        <v>26238</v>
      </c>
      <c r="E204" t="n">
        <v>6.2</v>
      </c>
      <c r="X204" t="n">
        <v>1.3</v>
      </c>
      <c r="AL204" t="n">
        <v>6</v>
      </c>
    </row>
    <row r="205">
      <c r="A205" s="62" t="n">
        <v>26268</v>
      </c>
      <c r="E205" t="n">
        <v>5.9</v>
      </c>
      <c r="X205" t="n">
        <v>1.4</v>
      </c>
      <c r="AL205" t="n">
        <v>6</v>
      </c>
    </row>
    <row r="206">
      <c r="A206" s="62" t="n">
        <v>26299</v>
      </c>
      <c r="E206" t="n">
        <v>6</v>
      </c>
      <c r="X206" t="n">
        <v>1.4</v>
      </c>
      <c r="AL206" t="n">
        <v>5.8</v>
      </c>
    </row>
    <row r="207">
      <c r="A207" s="62" t="n">
        <v>26330</v>
      </c>
      <c r="E207" t="n">
        <v>5.8</v>
      </c>
      <c r="X207" t="n">
        <v>1.4</v>
      </c>
      <c r="AL207" t="n">
        <v>5.7</v>
      </c>
    </row>
    <row r="208">
      <c r="A208" s="62" t="n">
        <v>26359</v>
      </c>
      <c r="E208" t="n">
        <v>6.1</v>
      </c>
      <c r="X208" t="n">
        <v>1.4</v>
      </c>
      <c r="AL208" t="n">
        <v>5.8</v>
      </c>
    </row>
    <row r="209">
      <c r="A209" s="62" t="n">
        <v>26390</v>
      </c>
      <c r="E209" t="n">
        <v>5.8</v>
      </c>
      <c r="X209" t="n">
        <v>1.4</v>
      </c>
      <c r="AL209" t="n">
        <v>5.7</v>
      </c>
    </row>
    <row r="210">
      <c r="A210" s="62" t="n">
        <v>26420</v>
      </c>
      <c r="E210" t="n">
        <v>6.1</v>
      </c>
      <c r="X210" t="n">
        <v>1.4</v>
      </c>
      <c r="AL210" t="n">
        <v>5.7</v>
      </c>
    </row>
    <row r="211">
      <c r="A211" s="62" t="n">
        <v>26451</v>
      </c>
      <c r="E211" t="n">
        <v>6.3</v>
      </c>
      <c r="X211" t="n">
        <v>1.4</v>
      </c>
      <c r="AL211" t="n">
        <v>5.7</v>
      </c>
    </row>
    <row r="212">
      <c r="A212" s="62" t="n">
        <v>26481</v>
      </c>
      <c r="E212" t="n">
        <v>6.3</v>
      </c>
      <c r="X212" t="n">
        <v>1.4</v>
      </c>
      <c r="AL212" t="n">
        <v>5.6</v>
      </c>
    </row>
    <row r="213">
      <c r="A213" s="62" t="n">
        <v>26512</v>
      </c>
      <c r="E213" t="n">
        <v>6.4</v>
      </c>
      <c r="X213" t="n">
        <v>1.4</v>
      </c>
      <c r="AL213" t="n">
        <v>5.6</v>
      </c>
    </row>
    <row r="214">
      <c r="A214" s="62" t="n">
        <v>26543</v>
      </c>
      <c r="E214" t="n">
        <v>6.4</v>
      </c>
      <c r="X214" t="n">
        <v>1.5</v>
      </c>
      <c r="AL214" t="n">
        <v>5.5</v>
      </c>
    </row>
    <row r="215">
      <c r="A215" s="62" t="n">
        <v>26573</v>
      </c>
      <c r="E215" t="n">
        <v>6.6</v>
      </c>
      <c r="X215" t="n">
        <v>1.4</v>
      </c>
      <c r="AL215" t="n">
        <v>5.6</v>
      </c>
    </row>
    <row r="216">
      <c r="A216" s="62" t="n">
        <v>26604</v>
      </c>
      <c r="E216" t="n">
        <v>6.4</v>
      </c>
      <c r="X216" t="n">
        <v>1.4</v>
      </c>
      <c r="AL216" t="n">
        <v>5.3</v>
      </c>
    </row>
    <row r="217">
      <c r="A217" s="62" t="n">
        <v>26634</v>
      </c>
      <c r="E217" t="n">
        <v>6.4</v>
      </c>
      <c r="X217" t="n">
        <v>1.4</v>
      </c>
      <c r="AL217" t="n">
        <v>5.2</v>
      </c>
    </row>
    <row r="218">
      <c r="A218" s="62" t="n">
        <v>26665</v>
      </c>
      <c r="E218" t="n">
        <v>6.1</v>
      </c>
      <c r="X218" t="n">
        <v>1.3</v>
      </c>
      <c r="AL218" t="n">
        <v>4.9</v>
      </c>
    </row>
    <row r="219">
      <c r="A219" s="62" t="n">
        <v>26696</v>
      </c>
      <c r="E219" t="n">
        <v>5.9</v>
      </c>
      <c r="X219" t="n">
        <v>1.2</v>
      </c>
      <c r="AL219" t="n">
        <v>5</v>
      </c>
    </row>
    <row r="220">
      <c r="A220" s="62" t="n">
        <v>26724</v>
      </c>
      <c r="E220" t="n">
        <v>5.6</v>
      </c>
      <c r="X220" t="n">
        <v>1.2</v>
      </c>
      <c r="AL220" t="n">
        <v>4.9</v>
      </c>
    </row>
    <row r="221">
      <c r="A221" s="62" t="n">
        <v>26755</v>
      </c>
      <c r="E221" t="n">
        <v>5.5</v>
      </c>
      <c r="X221" t="n">
        <v>1.3</v>
      </c>
      <c r="AL221" t="n">
        <v>5</v>
      </c>
    </row>
    <row r="222">
      <c r="A222" s="62" t="n">
        <v>26785</v>
      </c>
      <c r="E222" t="n">
        <v>5.3</v>
      </c>
      <c r="X222" t="n">
        <v>1.4</v>
      </c>
      <c r="AL222" t="n">
        <v>4.9</v>
      </c>
    </row>
    <row r="223">
      <c r="A223" s="62" t="n">
        <v>26816</v>
      </c>
      <c r="E223" t="n">
        <v>5.4</v>
      </c>
      <c r="X223" t="n">
        <v>1.4</v>
      </c>
      <c r="AL223" t="n">
        <v>4.9</v>
      </c>
    </row>
    <row r="224">
      <c r="A224" s="62" t="n">
        <v>26846</v>
      </c>
      <c r="E224" t="n">
        <v>5.3</v>
      </c>
      <c r="X224" t="n">
        <v>1.3</v>
      </c>
      <c r="AL224" t="n">
        <v>4.8</v>
      </c>
    </row>
    <row r="225">
      <c r="A225" s="62" t="n">
        <v>26877</v>
      </c>
      <c r="E225" t="n">
        <v>5.3</v>
      </c>
      <c r="X225" t="n">
        <v>1.2</v>
      </c>
      <c r="AL225" t="n">
        <v>4.8</v>
      </c>
    </row>
    <row r="226">
      <c r="A226" s="62" t="n">
        <v>26908</v>
      </c>
      <c r="E226" t="n">
        <v>5.6</v>
      </c>
      <c r="X226" t="n">
        <v>1.3</v>
      </c>
      <c r="AL226" t="n">
        <v>4.8</v>
      </c>
    </row>
    <row r="227">
      <c r="A227" s="62" t="n">
        <v>26938</v>
      </c>
      <c r="E227" t="n">
        <v>5.7</v>
      </c>
      <c r="X227" t="n">
        <v>1.1</v>
      </c>
      <c r="AL227" t="n">
        <v>4.6</v>
      </c>
    </row>
    <row r="228">
      <c r="A228" s="62" t="n">
        <v>26969</v>
      </c>
      <c r="E228" t="n">
        <v>5.5</v>
      </c>
      <c r="X228" t="n">
        <v>1.2</v>
      </c>
      <c r="AL228" t="n">
        <v>4.8</v>
      </c>
    </row>
    <row r="229">
      <c r="A229" s="62" t="n">
        <v>26999</v>
      </c>
      <c r="E229" t="n">
        <v>5.4</v>
      </c>
      <c r="X229" t="n">
        <v>1.1</v>
      </c>
      <c r="AL229" t="n">
        <v>4.9</v>
      </c>
    </row>
    <row r="230">
      <c r="A230" s="62" t="n">
        <v>27030</v>
      </c>
      <c r="E230" t="n">
        <v>5.3</v>
      </c>
      <c r="X230" t="n">
        <v>1.2</v>
      </c>
      <c r="AL230" t="n">
        <v>5.1</v>
      </c>
    </row>
    <row r="231">
      <c r="A231" s="62" t="n">
        <v>27061</v>
      </c>
      <c r="E231" t="n">
        <v>5.2</v>
      </c>
      <c r="X231" t="n">
        <v>1.3</v>
      </c>
      <c r="AL231" t="n">
        <v>5.2</v>
      </c>
    </row>
    <row r="232">
      <c r="A232" s="62" t="n">
        <v>27089</v>
      </c>
      <c r="E232" t="n">
        <v>5.2</v>
      </c>
      <c r="X232" t="n">
        <v>1.4</v>
      </c>
      <c r="AL232" t="n">
        <v>5.1</v>
      </c>
    </row>
    <row r="233">
      <c r="A233" s="62" t="n">
        <v>27120</v>
      </c>
      <c r="E233" t="n">
        <v>5.2</v>
      </c>
      <c r="X233" t="n">
        <v>1.3</v>
      </c>
      <c r="AL233" t="n">
        <v>5.1</v>
      </c>
    </row>
    <row r="234">
      <c r="A234" s="62" t="n">
        <v>27150</v>
      </c>
      <c r="E234" t="n">
        <v>5.4</v>
      </c>
      <c r="X234" t="n">
        <v>1.3</v>
      </c>
      <c r="AL234" t="n">
        <v>5.1</v>
      </c>
    </row>
    <row r="235">
      <c r="A235" s="62" t="n">
        <v>27181</v>
      </c>
      <c r="E235" t="n">
        <v>5</v>
      </c>
      <c r="X235" t="n">
        <v>1.3</v>
      </c>
      <c r="AL235" t="n">
        <v>5.4</v>
      </c>
    </row>
    <row r="236">
      <c r="A236" s="62" t="n">
        <v>27211</v>
      </c>
      <c r="E236" t="n">
        <v>5.1</v>
      </c>
      <c r="X236" t="n">
        <v>1.3</v>
      </c>
      <c r="AL236" t="n">
        <v>5.5</v>
      </c>
    </row>
    <row r="237">
      <c r="A237" s="62" t="n">
        <v>27242</v>
      </c>
      <c r="E237" t="n">
        <v>5.3</v>
      </c>
      <c r="X237" t="n">
        <v>1.5</v>
      </c>
      <c r="AL237" t="n">
        <v>5.5</v>
      </c>
    </row>
    <row r="238">
      <c r="A238" s="62" t="n">
        <v>27273</v>
      </c>
      <c r="E238" t="n">
        <v>5.4</v>
      </c>
      <c r="X238" t="n">
        <v>1.4</v>
      </c>
      <c r="AL238" t="n">
        <v>5.9</v>
      </c>
    </row>
    <row r="239">
      <c r="A239" s="62" t="n">
        <v>27303</v>
      </c>
      <c r="E239" t="n">
        <v>5.4</v>
      </c>
      <c r="X239" t="n">
        <v>1.6</v>
      </c>
      <c r="AL239" t="n">
        <v>6</v>
      </c>
    </row>
    <row r="240">
      <c r="A240" s="62" t="n">
        <v>27334</v>
      </c>
      <c r="E240" t="n">
        <v>5.6</v>
      </c>
      <c r="X240" t="n">
        <v>1.5</v>
      </c>
      <c r="AL240" t="n">
        <v>6.6</v>
      </c>
    </row>
    <row r="241">
      <c r="A241" s="62" t="n">
        <v>27364</v>
      </c>
      <c r="E241" t="n">
        <v>6</v>
      </c>
      <c r="X241" t="n">
        <v>1.7</v>
      </c>
      <c r="AL241" t="n">
        <v>7.2</v>
      </c>
    </row>
    <row r="242">
      <c r="A242" s="62" t="n">
        <v>27395</v>
      </c>
      <c r="E242" t="n">
        <v>6.9</v>
      </c>
      <c r="X242" t="n">
        <v>1.7</v>
      </c>
      <c r="AL242" t="n">
        <v>8.1</v>
      </c>
    </row>
    <row r="243">
      <c r="A243" s="62" t="n">
        <v>27426</v>
      </c>
      <c r="E243" t="n">
        <v>6.6</v>
      </c>
      <c r="X243" t="n">
        <v>1.8</v>
      </c>
      <c r="AL243" t="n">
        <v>8.1</v>
      </c>
    </row>
    <row r="244">
      <c r="A244" s="62" t="n">
        <v>27454</v>
      </c>
      <c r="E244" t="n">
        <v>6.6</v>
      </c>
      <c r="X244" t="n">
        <v>1.8</v>
      </c>
      <c r="AL244" t="n">
        <v>8.6</v>
      </c>
    </row>
    <row r="245">
      <c r="A245" s="62" t="n">
        <v>27485</v>
      </c>
      <c r="E245" t="n">
        <v>6.5</v>
      </c>
      <c r="X245" t="n">
        <v>1.8</v>
      </c>
      <c r="AL245" t="n">
        <v>8.800000000000001</v>
      </c>
    </row>
    <row r="246">
      <c r="A246" s="62" t="n">
        <v>27515</v>
      </c>
      <c r="E246" t="n">
        <v>7</v>
      </c>
      <c r="X246" t="n">
        <v>1.8</v>
      </c>
      <c r="AL246" t="n">
        <v>9</v>
      </c>
    </row>
    <row r="247">
      <c r="A247" s="62" t="n">
        <v>27546</v>
      </c>
      <c r="E247" t="n">
        <v>7</v>
      </c>
      <c r="X247" t="n">
        <v>1.8</v>
      </c>
      <c r="AL247" t="n">
        <v>8.800000000000001</v>
      </c>
    </row>
    <row r="248">
      <c r="A248" s="62" t="n">
        <v>27576</v>
      </c>
      <c r="E248" t="n">
        <v>6.9</v>
      </c>
      <c r="X248" t="n">
        <v>1.8</v>
      </c>
      <c r="AL248" t="n">
        <v>8.6</v>
      </c>
    </row>
    <row r="249">
      <c r="A249" s="62" t="n">
        <v>27607</v>
      </c>
      <c r="E249" t="n">
        <v>7.1</v>
      </c>
      <c r="X249" t="n">
        <v>1.9</v>
      </c>
      <c r="AL249" t="n">
        <v>8.4</v>
      </c>
    </row>
    <row r="250">
      <c r="A250" s="62" t="n">
        <v>27638</v>
      </c>
      <c r="E250" t="n">
        <v>6.9</v>
      </c>
      <c r="X250" t="n">
        <v>2</v>
      </c>
      <c r="AL250" t="n">
        <v>8.4</v>
      </c>
    </row>
    <row r="251">
      <c r="A251" s="62" t="n">
        <v>27668</v>
      </c>
      <c r="E251" t="n">
        <v>7.2</v>
      </c>
      <c r="X251" t="n">
        <v>2.1</v>
      </c>
      <c r="AL251" t="n">
        <v>8.4</v>
      </c>
    </row>
    <row r="252">
      <c r="A252" s="62" t="n">
        <v>27699</v>
      </c>
      <c r="E252" t="n">
        <v>7.2</v>
      </c>
      <c r="X252" t="n">
        <v>2.1</v>
      </c>
      <c r="AL252" t="n">
        <v>8.300000000000001</v>
      </c>
    </row>
    <row r="253">
      <c r="A253" s="62" t="n">
        <v>27729</v>
      </c>
      <c r="E253" t="n">
        <v>7</v>
      </c>
      <c r="X253" t="n">
        <v>2.1</v>
      </c>
      <c r="AL253" t="n">
        <v>8.199999999999999</v>
      </c>
    </row>
    <row r="254">
      <c r="A254" s="62" t="n">
        <v>27760</v>
      </c>
      <c r="E254" t="n">
        <v>7.1</v>
      </c>
      <c r="X254" t="n">
        <v>2.1</v>
      </c>
      <c r="AL254" t="n">
        <v>7.9</v>
      </c>
    </row>
    <row r="255">
      <c r="A255" s="62" t="n">
        <v>27791</v>
      </c>
      <c r="E255" t="n">
        <v>7</v>
      </c>
      <c r="X255" t="n">
        <v>2</v>
      </c>
      <c r="AL255" t="n">
        <v>7.7</v>
      </c>
    </row>
    <row r="256">
      <c r="A256" s="62" t="n">
        <v>27820</v>
      </c>
      <c r="E256" t="n">
        <v>6.7</v>
      </c>
      <c r="X256" t="n">
        <v>2</v>
      </c>
      <c r="AL256" t="n">
        <v>7.6</v>
      </c>
    </row>
    <row r="257">
      <c r="A257" s="62" t="n">
        <v>27851</v>
      </c>
      <c r="E257" t="n">
        <v>6.8</v>
      </c>
      <c r="X257" t="n">
        <v>2.1</v>
      </c>
      <c r="AL257" t="n">
        <v>7.7</v>
      </c>
    </row>
    <row r="258">
      <c r="A258" s="62" t="n">
        <v>27881</v>
      </c>
      <c r="E258" t="n">
        <v>6.9</v>
      </c>
      <c r="X258" t="n">
        <v>2.1</v>
      </c>
      <c r="AL258" t="n">
        <v>7.4</v>
      </c>
    </row>
    <row r="259">
      <c r="A259" s="62" t="n">
        <v>27912</v>
      </c>
      <c r="E259" t="n">
        <v>6.9</v>
      </c>
      <c r="X259" t="n">
        <v>2</v>
      </c>
      <c r="AL259" t="n">
        <v>7.6</v>
      </c>
    </row>
    <row r="260">
      <c r="A260" s="62" t="n">
        <v>27942</v>
      </c>
      <c r="E260" t="n">
        <v>7.4</v>
      </c>
      <c r="X260" t="n">
        <v>2</v>
      </c>
      <c r="AL260" t="n">
        <v>7.8</v>
      </c>
    </row>
    <row r="261">
      <c r="A261" s="62" t="n">
        <v>27973</v>
      </c>
      <c r="E261" t="n">
        <v>7.1</v>
      </c>
      <c r="X261" t="n">
        <v>2</v>
      </c>
      <c r="AL261" t="n">
        <v>7.8</v>
      </c>
    </row>
    <row r="262">
      <c r="A262" s="62" t="n">
        <v>28004</v>
      </c>
      <c r="E262" t="n">
        <v>7</v>
      </c>
      <c r="X262" t="n">
        <v>2</v>
      </c>
      <c r="AL262" t="n">
        <v>7.6</v>
      </c>
    </row>
    <row r="263">
      <c r="A263" s="62" t="n">
        <v>28034</v>
      </c>
      <c r="E263" t="n">
        <v>7.4</v>
      </c>
      <c r="X263" t="n">
        <v>2</v>
      </c>
      <c r="AL263" t="n">
        <v>7.7</v>
      </c>
    </row>
    <row r="264">
      <c r="A264" s="62" t="n">
        <v>28065</v>
      </c>
      <c r="E264" t="n">
        <v>7.3</v>
      </c>
      <c r="X264" t="n">
        <v>2</v>
      </c>
      <c r="AL264" t="n">
        <v>7.8</v>
      </c>
    </row>
    <row r="265">
      <c r="A265" s="62" t="n">
        <v>28095</v>
      </c>
      <c r="E265" t="n">
        <v>7.4</v>
      </c>
      <c r="X265" t="n">
        <v>1.8</v>
      </c>
      <c r="AL265" t="n">
        <v>7.8</v>
      </c>
    </row>
    <row r="266">
      <c r="A266" s="62" t="n">
        <v>28126</v>
      </c>
      <c r="E266" t="n">
        <v>7.6</v>
      </c>
      <c r="X266" t="n">
        <v>1.9</v>
      </c>
      <c r="AL266" t="n">
        <v>7.5</v>
      </c>
    </row>
    <row r="267">
      <c r="A267" s="62" t="n">
        <v>28157</v>
      </c>
      <c r="E267" t="n">
        <v>7.8</v>
      </c>
      <c r="X267" t="n">
        <v>2</v>
      </c>
      <c r="AL267" t="n">
        <v>7.6</v>
      </c>
    </row>
    <row r="268">
      <c r="A268" s="62" t="n">
        <v>28185</v>
      </c>
      <c r="E268" t="n">
        <v>7.8</v>
      </c>
      <c r="X268" t="n">
        <v>2</v>
      </c>
      <c r="AL268" t="n">
        <v>7.4</v>
      </c>
    </row>
    <row r="269">
      <c r="A269" s="62" t="n">
        <v>28216</v>
      </c>
      <c r="E269" t="n">
        <v>7.9</v>
      </c>
      <c r="X269" t="n">
        <v>1.9</v>
      </c>
      <c r="AL269" t="n">
        <v>7.2</v>
      </c>
    </row>
    <row r="270">
      <c r="A270" s="62" t="n">
        <v>28246</v>
      </c>
      <c r="E270" t="n">
        <v>7.8</v>
      </c>
      <c r="X270" t="n">
        <v>2.1</v>
      </c>
      <c r="AL270" t="n">
        <v>7</v>
      </c>
    </row>
    <row r="271">
      <c r="A271" s="62" t="n">
        <v>28277</v>
      </c>
      <c r="E271" t="n">
        <v>7.9</v>
      </c>
      <c r="X271" t="n">
        <v>2.1</v>
      </c>
      <c r="AL271" t="n">
        <v>7.2</v>
      </c>
    </row>
    <row r="272">
      <c r="A272" s="62" t="n">
        <v>28307</v>
      </c>
      <c r="E272" t="n">
        <v>8.199999999999999</v>
      </c>
      <c r="X272" t="n">
        <v>2.1</v>
      </c>
      <c r="AL272" t="n">
        <v>6.9</v>
      </c>
    </row>
    <row r="273">
      <c r="A273" s="62" t="n">
        <v>28338</v>
      </c>
      <c r="E273" t="n">
        <v>8.199999999999999</v>
      </c>
      <c r="X273" t="n">
        <v>2</v>
      </c>
      <c r="AL273" t="n">
        <v>7</v>
      </c>
    </row>
    <row r="274">
      <c r="A274" s="62" t="n">
        <v>28369</v>
      </c>
      <c r="E274" t="n">
        <v>8.300000000000001</v>
      </c>
      <c r="X274" t="n">
        <v>2</v>
      </c>
      <c r="AL274" t="n">
        <v>6.8</v>
      </c>
    </row>
    <row r="275">
      <c r="A275" s="62" t="n">
        <v>28399</v>
      </c>
      <c r="E275" t="n">
        <v>8.300000000000001</v>
      </c>
      <c r="X275" t="n">
        <v>1.9</v>
      </c>
      <c r="AL275" t="n">
        <v>6.8</v>
      </c>
    </row>
    <row r="276">
      <c r="A276" s="62" t="n">
        <v>28430</v>
      </c>
      <c r="E276" t="n">
        <v>8.4</v>
      </c>
      <c r="X276" t="n">
        <v>2</v>
      </c>
      <c r="AL276" t="n">
        <v>6.8</v>
      </c>
    </row>
    <row r="277">
      <c r="A277" s="62" t="n">
        <v>28460</v>
      </c>
      <c r="E277" t="n">
        <v>8.5</v>
      </c>
      <c r="X277" t="n">
        <v>2.1</v>
      </c>
      <c r="AL277" t="n">
        <v>6.4</v>
      </c>
    </row>
    <row r="278">
      <c r="A278" s="62" t="n">
        <v>28491</v>
      </c>
      <c r="E278" t="n">
        <v>8.300000000000001</v>
      </c>
      <c r="X278" t="n">
        <v>2.1</v>
      </c>
      <c r="AL278" t="n">
        <v>6.4</v>
      </c>
    </row>
    <row r="279">
      <c r="A279" s="62" t="n">
        <v>28522</v>
      </c>
      <c r="B279" t="n">
        <v>6.644867</v>
      </c>
      <c r="E279" t="n">
        <v>8.300000000000001</v>
      </c>
      <c r="X279" t="n">
        <v>2.2</v>
      </c>
      <c r="AL279" t="n">
        <v>6.3</v>
      </c>
    </row>
    <row r="280">
      <c r="A280" s="62" t="n">
        <v>28550</v>
      </c>
      <c r="B280" t="n">
        <v>6.302329</v>
      </c>
      <c r="E280" t="n">
        <v>8.5</v>
      </c>
      <c r="X280" t="n">
        <v>2.2</v>
      </c>
      <c r="AL280" t="n">
        <v>6.3</v>
      </c>
    </row>
    <row r="281">
      <c r="A281" s="62" t="n">
        <v>28581</v>
      </c>
      <c r="B281" t="n">
        <v>6.267148</v>
      </c>
      <c r="E281" t="n">
        <v>8.4</v>
      </c>
      <c r="X281" t="n">
        <v>2.2</v>
      </c>
      <c r="AL281" t="n">
        <v>6.1</v>
      </c>
    </row>
    <row r="282">
      <c r="A282" s="62" t="n">
        <v>28611</v>
      </c>
      <c r="B282" t="n">
        <v>6.209167</v>
      </c>
      <c r="E282" t="n">
        <v>8.6</v>
      </c>
      <c r="X282" t="n">
        <v>2.3</v>
      </c>
      <c r="AL282" t="n">
        <v>6</v>
      </c>
    </row>
    <row r="283">
      <c r="A283" s="62" t="n">
        <v>28642</v>
      </c>
      <c r="B283" t="n">
        <v>6.303327</v>
      </c>
      <c r="E283" t="n">
        <v>8.4</v>
      </c>
      <c r="X283" t="n">
        <v>2.3</v>
      </c>
      <c r="AL283" t="n">
        <v>5.9</v>
      </c>
    </row>
    <row r="284">
      <c r="A284" s="62" t="n">
        <v>28672</v>
      </c>
      <c r="B284" t="n">
        <v>6.222891</v>
      </c>
      <c r="E284" t="n">
        <v>8.5</v>
      </c>
      <c r="X284" t="n">
        <v>2.2</v>
      </c>
      <c r="AL284" t="n">
        <v>6.2</v>
      </c>
    </row>
    <row r="285">
      <c r="A285" s="62" t="n">
        <v>28703</v>
      </c>
      <c r="B285" t="n">
        <v>6.490117</v>
      </c>
      <c r="E285" t="n">
        <v>8.5</v>
      </c>
      <c r="X285" t="n">
        <v>2.3</v>
      </c>
      <c r="AL285" t="n">
        <v>5.9</v>
      </c>
    </row>
    <row r="286">
      <c r="A286" s="62" t="n">
        <v>28734</v>
      </c>
      <c r="B286" t="n">
        <v>6.255816</v>
      </c>
      <c r="E286" t="n">
        <v>8.4</v>
      </c>
      <c r="X286" t="n">
        <v>2.4</v>
      </c>
      <c r="AL286" t="n">
        <v>6</v>
      </c>
    </row>
    <row r="287">
      <c r="A287" s="62" t="n">
        <v>28764</v>
      </c>
      <c r="B287" t="n">
        <v>6.163075</v>
      </c>
      <c r="E287" t="n">
        <v>8.1</v>
      </c>
      <c r="X287" t="n">
        <v>2.2</v>
      </c>
      <c r="AL287" t="n">
        <v>5.8</v>
      </c>
    </row>
    <row r="288">
      <c r="A288" s="62" t="n">
        <v>28795</v>
      </c>
      <c r="B288" t="n">
        <v>6.330316</v>
      </c>
      <c r="E288" t="n">
        <v>8.199999999999999</v>
      </c>
      <c r="X288" t="n">
        <v>2.2</v>
      </c>
      <c r="AL288" t="n">
        <v>5.9</v>
      </c>
    </row>
    <row r="289">
      <c r="A289" s="62" t="n">
        <v>28825</v>
      </c>
      <c r="B289" t="n">
        <v>6.404912</v>
      </c>
      <c r="E289" t="n">
        <v>8.300000000000001</v>
      </c>
      <c r="X289" t="n">
        <v>2.2</v>
      </c>
      <c r="AL289" t="n">
        <v>6</v>
      </c>
    </row>
    <row r="290">
      <c r="A290" s="62" t="n">
        <v>28856</v>
      </c>
      <c r="B290" t="n">
        <v>6.370493</v>
      </c>
      <c r="E290" t="n">
        <v>8.1</v>
      </c>
      <c r="X290" t="n">
        <v>2.2</v>
      </c>
      <c r="AL290" t="n">
        <v>5.9</v>
      </c>
    </row>
    <row r="291">
      <c r="A291" s="62" t="n">
        <v>28887</v>
      </c>
      <c r="B291" t="n">
        <v>6.257102</v>
      </c>
      <c r="E291" t="n">
        <v>8</v>
      </c>
      <c r="X291" t="n">
        <v>2</v>
      </c>
      <c r="AL291" t="n">
        <v>5.9</v>
      </c>
    </row>
    <row r="292">
      <c r="A292" s="62" t="n">
        <v>28915</v>
      </c>
      <c r="B292" t="n">
        <v>6.302608</v>
      </c>
      <c r="E292" t="n">
        <v>7.9</v>
      </c>
      <c r="X292" t="n">
        <v>2.1</v>
      </c>
      <c r="AL292" t="n">
        <v>5.8</v>
      </c>
    </row>
    <row r="293">
      <c r="A293" s="62" t="n">
        <v>28946</v>
      </c>
      <c r="B293" t="n">
        <v>6.497991</v>
      </c>
      <c r="E293" t="n">
        <v>7.9</v>
      </c>
      <c r="X293" t="n">
        <v>2.1</v>
      </c>
      <c r="AL293" t="n">
        <v>5.8</v>
      </c>
    </row>
    <row r="294">
      <c r="A294" s="62" t="n">
        <v>28976</v>
      </c>
      <c r="B294" t="n">
        <v>6.20331</v>
      </c>
      <c r="E294" t="n">
        <v>7.6</v>
      </c>
      <c r="X294" t="n">
        <v>2</v>
      </c>
      <c r="AL294" t="n">
        <v>5.6</v>
      </c>
    </row>
    <row r="295">
      <c r="A295" s="62" t="n">
        <v>29007</v>
      </c>
      <c r="B295" t="n">
        <v>6.250967</v>
      </c>
      <c r="E295" t="n">
        <v>7.4</v>
      </c>
      <c r="X295" t="n">
        <v>2</v>
      </c>
      <c r="AL295" t="n">
        <v>5.7</v>
      </c>
    </row>
    <row r="296">
      <c r="A296" s="62" t="n">
        <v>29037</v>
      </c>
      <c r="B296" t="n">
        <v>6.274221</v>
      </c>
      <c r="E296" t="n">
        <v>7.1</v>
      </c>
      <c r="X296" t="n">
        <v>2.2</v>
      </c>
      <c r="AL296" t="n">
        <v>5.7</v>
      </c>
    </row>
    <row r="297">
      <c r="A297" s="62" t="n">
        <v>29068</v>
      </c>
      <c r="B297" t="n">
        <v>6.11784</v>
      </c>
      <c r="E297" t="n">
        <v>7.1</v>
      </c>
      <c r="X297" t="n">
        <v>2.2</v>
      </c>
      <c r="AL297" t="n">
        <v>6</v>
      </c>
    </row>
    <row r="298">
      <c r="A298" s="62" t="n">
        <v>29099</v>
      </c>
      <c r="B298" t="n">
        <v>6.232357</v>
      </c>
      <c r="E298" t="n">
        <v>7</v>
      </c>
      <c r="X298" t="n">
        <v>2</v>
      </c>
      <c r="AL298" t="n">
        <v>5.9</v>
      </c>
    </row>
    <row r="299">
      <c r="A299" s="62" t="n">
        <v>29129</v>
      </c>
      <c r="B299" t="n">
        <v>6.383507</v>
      </c>
      <c r="E299" t="n">
        <v>7.3</v>
      </c>
      <c r="X299" t="n">
        <v>2.1</v>
      </c>
      <c r="AL299" t="n">
        <v>6</v>
      </c>
    </row>
    <row r="300">
      <c r="A300" s="62" t="n">
        <v>29160</v>
      </c>
      <c r="B300" t="n">
        <v>6.044292</v>
      </c>
      <c r="E300" t="n">
        <v>7.2</v>
      </c>
      <c r="X300" t="n">
        <v>2.1</v>
      </c>
      <c r="AL300" t="n">
        <v>5.9</v>
      </c>
    </row>
    <row r="301">
      <c r="A301" s="62" t="n">
        <v>29190</v>
      </c>
      <c r="B301" t="n">
        <v>6.119713</v>
      </c>
      <c r="E301" t="n">
        <v>7.2</v>
      </c>
      <c r="X301" t="n">
        <v>2</v>
      </c>
      <c r="AL301" t="n">
        <v>6</v>
      </c>
    </row>
    <row r="302">
      <c r="A302" s="62" t="n">
        <v>29221</v>
      </c>
      <c r="B302" t="n">
        <v>6.146189</v>
      </c>
      <c r="E302" t="n">
        <v>7.5</v>
      </c>
      <c r="X302" t="n">
        <v>1.9</v>
      </c>
      <c r="AL302" t="n">
        <v>6.3</v>
      </c>
    </row>
    <row r="303">
      <c r="A303" s="62" t="n">
        <v>29252</v>
      </c>
      <c r="B303" t="n">
        <v>5.998692</v>
      </c>
      <c r="E303" t="n">
        <v>7.6</v>
      </c>
      <c r="X303" t="n">
        <v>1.9</v>
      </c>
      <c r="AL303" t="n">
        <v>6.3</v>
      </c>
    </row>
    <row r="304">
      <c r="A304" s="62" t="n">
        <v>29281</v>
      </c>
      <c r="B304" t="n">
        <v>5.936146</v>
      </c>
      <c r="E304" t="n">
        <v>7.6</v>
      </c>
      <c r="X304" t="n">
        <v>1.9</v>
      </c>
      <c r="AL304" t="n">
        <v>6.3</v>
      </c>
    </row>
    <row r="305">
      <c r="A305" s="62" t="n">
        <v>29312</v>
      </c>
      <c r="B305" t="n">
        <v>6.114644</v>
      </c>
      <c r="E305" t="n">
        <v>7.6</v>
      </c>
      <c r="X305" t="n">
        <v>2</v>
      </c>
      <c r="AL305" t="n">
        <v>6.9</v>
      </c>
    </row>
    <row r="306">
      <c r="A306" s="62" t="n">
        <v>29342</v>
      </c>
      <c r="B306" t="n">
        <v>6.245418</v>
      </c>
      <c r="E306" t="n">
        <v>7.8</v>
      </c>
      <c r="X306" t="n">
        <v>2</v>
      </c>
      <c r="AL306" t="n">
        <v>7.5</v>
      </c>
    </row>
    <row r="307">
      <c r="A307" s="62" t="n">
        <v>29373</v>
      </c>
      <c r="B307" t="n">
        <v>6.322504</v>
      </c>
      <c r="E307" t="n">
        <v>7.8</v>
      </c>
      <c r="X307" t="n">
        <v>1.9</v>
      </c>
      <c r="AL307" t="n">
        <v>7.6</v>
      </c>
    </row>
    <row r="308">
      <c r="A308" s="62" t="n">
        <v>29403</v>
      </c>
      <c r="B308" t="n">
        <v>6.077494</v>
      </c>
      <c r="E308" t="n">
        <v>7.6</v>
      </c>
      <c r="X308" t="n">
        <v>2</v>
      </c>
      <c r="AL308" t="n">
        <v>7.8</v>
      </c>
    </row>
    <row r="309">
      <c r="A309" s="62" t="n">
        <v>29434</v>
      </c>
      <c r="B309" t="n">
        <v>6.176674</v>
      </c>
      <c r="E309" t="n">
        <v>7.6</v>
      </c>
      <c r="X309" t="n">
        <v>2.1</v>
      </c>
      <c r="AL309" t="n">
        <v>7.7</v>
      </c>
    </row>
    <row r="310">
      <c r="A310" s="62" t="n">
        <v>29465</v>
      </c>
      <c r="B310" t="n">
        <v>6.140678</v>
      </c>
      <c r="E310" t="n">
        <v>7.4</v>
      </c>
      <c r="X310" t="n">
        <v>2</v>
      </c>
      <c r="AL310" t="n">
        <v>7.5</v>
      </c>
    </row>
    <row r="311">
      <c r="A311" s="62" t="n">
        <v>29495</v>
      </c>
      <c r="B311" t="n">
        <v>6.054791</v>
      </c>
      <c r="E311" t="n">
        <v>7.3</v>
      </c>
      <c r="X311" t="n">
        <v>2.1</v>
      </c>
      <c r="AL311" t="n">
        <v>7.5</v>
      </c>
    </row>
    <row r="312">
      <c r="A312" s="62" t="n">
        <v>29526</v>
      </c>
      <c r="B312" t="n">
        <v>5.84972</v>
      </c>
      <c r="E312" t="n">
        <v>7.2</v>
      </c>
      <c r="X312" t="n">
        <v>2.2</v>
      </c>
      <c r="AL312" t="n">
        <v>7.5</v>
      </c>
    </row>
    <row r="313">
      <c r="A313" s="62" t="n">
        <v>29556</v>
      </c>
      <c r="B313" t="n">
        <v>6.050725</v>
      </c>
      <c r="E313" t="n">
        <v>7.2</v>
      </c>
      <c r="X313" t="n">
        <v>2.2</v>
      </c>
      <c r="AL313" t="n">
        <v>7.2</v>
      </c>
    </row>
    <row r="314">
      <c r="A314" s="62" t="n">
        <v>29587</v>
      </c>
      <c r="B314" t="n">
        <v>5.916251</v>
      </c>
      <c r="E314" t="n">
        <v>7.4</v>
      </c>
      <c r="X314" t="n">
        <v>2.1</v>
      </c>
      <c r="AL314" t="n">
        <v>7.5</v>
      </c>
    </row>
    <row r="315">
      <c r="A315" s="62" t="n">
        <v>29618</v>
      </c>
      <c r="B315" t="n">
        <v>5.616568</v>
      </c>
      <c r="E315" t="n">
        <v>7.3</v>
      </c>
      <c r="X315" t="n">
        <v>2.3</v>
      </c>
      <c r="AL315" t="n">
        <v>7.4</v>
      </c>
    </row>
    <row r="316">
      <c r="A316" s="62" t="n">
        <v>29646</v>
      </c>
      <c r="B316" t="n">
        <v>5.745607</v>
      </c>
      <c r="E316" t="n">
        <v>7.5</v>
      </c>
      <c r="X316" t="n">
        <v>2.2</v>
      </c>
      <c r="AL316" t="n">
        <v>7.4</v>
      </c>
    </row>
    <row r="317">
      <c r="A317" s="62" t="n">
        <v>29677</v>
      </c>
      <c r="B317" t="n">
        <v>5.554529</v>
      </c>
      <c r="E317" t="n">
        <v>7.1</v>
      </c>
      <c r="X317" t="n">
        <v>2.2</v>
      </c>
      <c r="AL317" t="n">
        <v>7.2</v>
      </c>
    </row>
    <row r="318">
      <c r="A318" s="62" t="n">
        <v>29707</v>
      </c>
      <c r="B318" t="n">
        <v>5.58832</v>
      </c>
      <c r="E318" t="n">
        <v>7.2</v>
      </c>
      <c r="X318" t="n">
        <v>2.3</v>
      </c>
      <c r="AL318" t="n">
        <v>7.5</v>
      </c>
    </row>
    <row r="319">
      <c r="A319" s="62" t="n">
        <v>29738</v>
      </c>
      <c r="B319" t="n">
        <v>5.373744</v>
      </c>
      <c r="E319" t="n">
        <v>7.3</v>
      </c>
      <c r="X319" t="n">
        <v>2.3</v>
      </c>
      <c r="AL319" t="n">
        <v>7.5</v>
      </c>
    </row>
    <row r="320">
      <c r="A320" s="62" t="n">
        <v>29768</v>
      </c>
      <c r="B320" t="n">
        <v>5.827485</v>
      </c>
      <c r="E320" t="n">
        <v>7.2</v>
      </c>
      <c r="X320" t="n">
        <v>2.2</v>
      </c>
      <c r="AL320" t="n">
        <v>7.2</v>
      </c>
    </row>
    <row r="321">
      <c r="A321" s="62" t="n">
        <v>29799</v>
      </c>
      <c r="B321" t="n">
        <v>5.845825</v>
      </c>
      <c r="E321" t="n">
        <v>7</v>
      </c>
      <c r="X321" t="n">
        <v>2.1</v>
      </c>
      <c r="AL321" t="n">
        <v>7.4</v>
      </c>
    </row>
    <row r="322">
      <c r="A322" s="62" t="n">
        <v>29830</v>
      </c>
      <c r="B322" t="n">
        <v>5.811767</v>
      </c>
      <c r="E322" t="n">
        <v>8.199999999999999</v>
      </c>
      <c r="X322" t="n">
        <v>2.2</v>
      </c>
      <c r="AL322" t="n">
        <v>7.6</v>
      </c>
    </row>
    <row r="323">
      <c r="A323" s="62" t="n">
        <v>29860</v>
      </c>
      <c r="B323" t="n">
        <v>5.872079</v>
      </c>
      <c r="E323" t="n">
        <v>8.300000000000001</v>
      </c>
      <c r="X323" t="n">
        <v>2.2</v>
      </c>
      <c r="AL323" t="n">
        <v>7.9</v>
      </c>
    </row>
    <row r="324">
      <c r="A324" s="62" t="n">
        <v>29891</v>
      </c>
      <c r="B324" t="n">
        <v>5.994548</v>
      </c>
      <c r="E324" t="n">
        <v>8.300000000000001</v>
      </c>
      <c r="X324" t="n">
        <v>2.2</v>
      </c>
      <c r="AL324" t="n">
        <v>8.300000000000001</v>
      </c>
    </row>
    <row r="325">
      <c r="A325" s="62" t="n">
        <v>29921</v>
      </c>
      <c r="B325" t="n">
        <v>6.026475</v>
      </c>
      <c r="E325" t="n">
        <v>8.699999999999999</v>
      </c>
      <c r="X325" t="n">
        <v>2.2</v>
      </c>
      <c r="AL325" t="n">
        <v>8.5</v>
      </c>
    </row>
    <row r="326">
      <c r="A326" s="62" t="n">
        <v>29952</v>
      </c>
      <c r="B326" t="n">
        <v>5.982417</v>
      </c>
      <c r="E326" t="n">
        <v>8.6</v>
      </c>
      <c r="X326" t="n">
        <v>2.2</v>
      </c>
      <c r="AL326" t="n">
        <v>8.6</v>
      </c>
    </row>
    <row r="327">
      <c r="A327" s="62" t="n">
        <v>29983</v>
      </c>
      <c r="B327" t="n">
        <v>6.308355</v>
      </c>
      <c r="E327" t="n">
        <v>8.9</v>
      </c>
      <c r="X327" t="n">
        <v>2.2</v>
      </c>
      <c r="AL327" t="n">
        <v>8.9</v>
      </c>
    </row>
    <row r="328">
      <c r="A328" s="62" t="n">
        <v>30011</v>
      </c>
      <c r="B328" t="n">
        <v>6.322474</v>
      </c>
      <c r="E328" t="n">
        <v>9.300000000000001</v>
      </c>
      <c r="X328" t="n">
        <v>2.3</v>
      </c>
      <c r="AL328" t="n">
        <v>9</v>
      </c>
    </row>
    <row r="329">
      <c r="A329" s="62" t="n">
        <v>30042</v>
      </c>
      <c r="B329" t="n">
        <v>6.333239</v>
      </c>
      <c r="E329" t="n">
        <v>9.800000000000001</v>
      </c>
      <c r="X329" t="n">
        <v>2.3</v>
      </c>
      <c r="AL329" t="n">
        <v>9.300000000000001</v>
      </c>
    </row>
    <row r="330">
      <c r="A330" s="62" t="n">
        <v>30072</v>
      </c>
      <c r="B330" t="n">
        <v>6.592115</v>
      </c>
      <c r="E330" t="n">
        <v>10.4</v>
      </c>
      <c r="X330" t="n">
        <v>2.3</v>
      </c>
      <c r="AL330" t="n">
        <v>9.4</v>
      </c>
    </row>
    <row r="331">
      <c r="A331" s="62" t="n">
        <v>30103</v>
      </c>
      <c r="B331" t="n">
        <v>6.766427</v>
      </c>
      <c r="E331" t="n">
        <v>11.1</v>
      </c>
      <c r="X331" t="n">
        <v>2.4</v>
      </c>
      <c r="AL331" t="n">
        <v>9.6</v>
      </c>
    </row>
    <row r="332">
      <c r="A332" s="62" t="n">
        <v>30133</v>
      </c>
      <c r="B332" t="n">
        <v>6.883143</v>
      </c>
      <c r="E332" t="n">
        <v>12</v>
      </c>
      <c r="X332" t="n">
        <v>2.4</v>
      </c>
      <c r="AL332" t="n">
        <v>9.800000000000001</v>
      </c>
    </row>
    <row r="333">
      <c r="A333" s="62" t="n">
        <v>30164</v>
      </c>
      <c r="B333" t="n">
        <v>7.011209</v>
      </c>
      <c r="E333" t="n">
        <v>12.1</v>
      </c>
      <c r="X333" t="n">
        <v>2.3</v>
      </c>
      <c r="AL333" t="n">
        <v>9.800000000000001</v>
      </c>
    </row>
    <row r="334">
      <c r="A334" s="62" t="n">
        <v>30195</v>
      </c>
      <c r="B334" t="n">
        <v>7.429191</v>
      </c>
      <c r="E334" t="n">
        <v>12.4</v>
      </c>
      <c r="X334" t="n">
        <v>2.4</v>
      </c>
      <c r="AL334" t="n">
        <v>10.1</v>
      </c>
    </row>
    <row r="335">
      <c r="A335" s="62" t="n">
        <v>30225</v>
      </c>
      <c r="B335" t="n">
        <v>8.294352999999999</v>
      </c>
      <c r="E335" t="n">
        <v>12.9</v>
      </c>
      <c r="X335" t="n">
        <v>2.5</v>
      </c>
      <c r="AL335" t="n">
        <v>10.4</v>
      </c>
    </row>
    <row r="336">
      <c r="A336" s="62" t="n">
        <v>30256</v>
      </c>
      <c r="B336" t="n">
        <v>8.678758999999999</v>
      </c>
      <c r="E336" t="n">
        <v>12.9</v>
      </c>
      <c r="X336" t="n">
        <v>2.4</v>
      </c>
      <c r="AL336" t="n">
        <v>10.8</v>
      </c>
    </row>
    <row r="337">
      <c r="A337" s="62" t="n">
        <v>30286</v>
      </c>
      <c r="B337" t="n">
        <v>9.401317000000001</v>
      </c>
      <c r="E337" t="n">
        <v>13</v>
      </c>
      <c r="X337" t="n">
        <v>2.5</v>
      </c>
      <c r="AL337" t="n">
        <v>10.8</v>
      </c>
    </row>
    <row r="338">
      <c r="A338" s="62"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62"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62"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62"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62"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62"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62"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62"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62"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62"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62"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62"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62"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62"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62"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62"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62"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62"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62"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62"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62"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62"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62"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62"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62"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62"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62"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62"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62"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62"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62"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62"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62"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62"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62"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62"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62"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62"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62"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62"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62"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62"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62"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62"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62"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62"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62"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62"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62"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62"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62"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62"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62"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62"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62"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62"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62"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62"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62"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62"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62"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62"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62"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62"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62"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62"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62"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62"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62"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62"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62"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62"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62"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62"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62"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62"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62"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62"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62"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62"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62"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62"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62"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62"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62"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62"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62"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62"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62"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62"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62"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62"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62"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62"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62"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62"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62"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62"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62"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62"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62"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62"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62"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62"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62"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62"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62"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62"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62"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62"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62"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62"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62"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62"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62"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62"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62"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62"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62"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62"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62"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62"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62"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62"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62"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62"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62"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62"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62"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62"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62"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62"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62"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62"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62"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62"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62"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62"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62"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62"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62"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62"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62"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62"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62"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62"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62"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62"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62"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62"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62"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62"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62"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62"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62"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62"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62"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62"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62"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62"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62"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62"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62"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62"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62"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62"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62"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62"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62"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62"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62"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62"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62"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62"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62"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62"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62"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62"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62"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62"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62"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62"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62"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62"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62"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62"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62"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62"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62"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62"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62"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62"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62"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62"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62"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62"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62"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62"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62"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62"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62"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62"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62"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62"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62"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62"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62"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62"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62"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62"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62"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62"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62"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62"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62"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62"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62"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62"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62"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62"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62"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62"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62"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62"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62"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62"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62"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62"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62"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62"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62"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62"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62"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62"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62"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62"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62"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62"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62"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62"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62"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62"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62"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62"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62"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62"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62"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62"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62"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62"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62"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62"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62"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62"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62"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62"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62"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62"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62"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62"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62"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62"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62"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62"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62"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62"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62"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62"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62"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62"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62"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62"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62"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62"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62"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62"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62"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62"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62"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62"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62"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62"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62"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62"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62"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62"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62"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62"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62"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62"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62"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62"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62"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62"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62"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62"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62"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62"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62"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62"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62"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62"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62"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62"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62"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62"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62"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62"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62"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62"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62"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62"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62"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62"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62"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62"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62"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62"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62"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62"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62"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62"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62"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62"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62"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62"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62"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62"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62"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62"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62"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62"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62"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62"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62"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62"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62"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62"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62"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62"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62"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62"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62"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62"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62"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62"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62"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62"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62"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62"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62"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62"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62"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62"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62"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62"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62"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62"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62"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62"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62"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62"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62"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62"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62"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62"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62"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62"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62"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62"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62"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62"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62"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62"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62"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62"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62"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62"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62"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62"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62"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62"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62"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62"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62"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62"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62"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62"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62"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62"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62"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62"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62"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62"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62"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62"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62"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62"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62"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62"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62"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62"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62"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62"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62"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62"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62"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62"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62"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62"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62"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62"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62"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62"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62"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62"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62"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62"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62"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62"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62"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62"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62"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62"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62"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62"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62"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62"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62"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62"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62"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62"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62"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62"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62"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62"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62"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62"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62"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62"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62"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62"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62"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62"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62"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62"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62"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62"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62"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62"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62"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62"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62"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62"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62"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62"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62"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62"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62"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62"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62"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62"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62"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62"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62"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62" t="n">
        <v>44470</v>
      </c>
      <c r="B803" t="n">
        <v>5.222845</v>
      </c>
      <c r="C803" t="n">
        <v>5.8</v>
      </c>
      <c r="D803" t="n">
        <v>6.3</v>
      </c>
      <c r="E803" t="n">
        <v>6.7</v>
      </c>
      <c r="H803" t="n">
        <v>2.6</v>
      </c>
      <c r="I803" t="n">
        <v>3.3</v>
      </c>
      <c r="J803" t="n">
        <v>5.1</v>
      </c>
      <c r="K803" t="n">
        <v>7.3</v>
      </c>
      <c r="L803" t="n">
        <v>14.5</v>
      </c>
      <c r="M803" t="n">
        <v>5.7</v>
      </c>
      <c r="N803" t="n">
        <v>6.7</v>
      </c>
      <c r="O803" t="n">
        <v>7.6</v>
      </c>
      <c r="P803" t="n">
        <v>4.738881</v>
      </c>
      <c r="R803" t="n">
        <v>12.9</v>
      </c>
      <c r="S803" t="n">
        <v>3.9</v>
      </c>
      <c r="T803" t="n">
        <v>5.2</v>
      </c>
      <c r="U803" t="n">
        <v>5.3</v>
      </c>
      <c r="V803" t="n">
        <v>5.013416</v>
      </c>
      <c r="W803" t="n">
        <v>9.4</v>
      </c>
      <c r="X803" t="n">
        <v>2.7</v>
      </c>
      <c r="Y803" t="n">
        <v>3.2</v>
      </c>
      <c r="Z803" t="n">
        <v>5.1</v>
      </c>
      <c r="AA803" t="n">
        <v>7</v>
      </c>
      <c r="AB803" t="n">
        <v>3.891146</v>
      </c>
      <c r="AC803" t="n">
        <v>2.9</v>
      </c>
      <c r="AE803" t="n">
        <v>5.728198</v>
      </c>
      <c r="AF803" t="n">
        <v>3.4</v>
      </c>
      <c r="AG803" t="n">
        <v>6.4</v>
      </c>
      <c r="AH803" t="n">
        <v>6.3</v>
      </c>
      <c r="AI803" t="n">
        <v>4.8</v>
      </c>
      <c r="AJ803" t="n">
        <v>8.5</v>
      </c>
      <c r="AL803" t="n">
        <v>4.6</v>
      </c>
    </row>
    <row r="804">
      <c r="A804" s="62" t="n">
        <v>44501</v>
      </c>
      <c r="E804" t="n">
        <v>6</v>
      </c>
      <c r="Y804" t="n">
        <v>3.1</v>
      </c>
      <c r="AL804" t="n">
        <v>4.2</v>
      </c>
    </row>
    <row r="805">
      <c r="A805" s="62" t="n">
        <v>44531</v>
      </c>
    </row>
    <row r="806">
      <c r="A806" s="62" t="n">
        <v>44562</v>
      </c>
    </row>
  </sheetData>
  <pageMargins left="0.7" right="0.7" top="0.75" bottom="0.75" header="0.3" footer="0.3"/>
</worksheet>
</file>

<file path=xl/worksheets/sheet10.xml><?xml version="1.0" encoding="utf-8"?>
<worksheet xmlns="http://schemas.openxmlformats.org/spreadsheetml/2006/main">
  <sheetPr codeName="Sheet8">
    <tabColor theme="9" tint="-0.249977111117893"/>
    <outlinePr summaryBelow="1" summaryRight="1"/>
    <pageSetUpPr/>
  </sheetPr>
  <dimension ref="B1:T84"/>
  <sheetViews>
    <sheetView zoomScale="140" zoomScaleNormal="140" workbookViewId="0">
      <pane xSplit="2" ySplit="3" topLeftCell="C66" activePane="bottomRight" state="frozen"/>
      <selection activeCell="AI835" sqref="AI835"/>
      <selection pane="topRight" activeCell="AI835" sqref="AI835"/>
      <selection pane="bottomLeft" activeCell="AI835" sqref="AI835"/>
      <selection pane="bottomRight" activeCell="V86" sqref="V86"/>
    </sheetView>
  </sheetViews>
  <sheetFormatPr baseColWidth="10" defaultColWidth="8.83203125" defaultRowHeight="15"/>
  <cols>
    <col width="9.1640625" customWidth="1" style="70" min="1" max="1"/>
    <col width="13.6640625" customWidth="1" style="50" min="2" max="2"/>
    <col width="6.1640625" customWidth="1" style="50" min="3" max="20"/>
    <col width="6.1640625" customWidth="1" style="70" min="21" max="21"/>
    <col width="9.1640625" customWidth="1" style="70"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70"/>
    <row r="3" ht="75.75" customHeight="1" s="50">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VLOOKUP(B5,'Data World'!$A:$AL,MATCH(World!$C$1,'Data World'!$A$1:$AL$1,))</f>
        <v/>
      </c>
      <c r="D5" s="13">
        <f>VLOOKUP(B5,'Data World'!$A:$AL,MATCH(World!$D$1,'Data World'!$A$1:$AL$1,))</f>
        <v/>
      </c>
      <c r="E5" s="13">
        <f>VLOOKUP(B5,'Data World'!$A:$AL,MATCH(World!$E$1,'Data World'!$A$1:$AL$1,))</f>
        <v/>
      </c>
      <c r="F5" s="13">
        <f>VLOOKUP(B5,'Data World'!$A:$AL,MATCH(World!$F$1,'Data World'!$A$1:$AL$1,))</f>
        <v/>
      </c>
      <c r="G5" s="13">
        <f>VLOOKUP(B5,'Data World'!$A:$AL,MATCH(World!$G$1,'Data World'!$A$1:$AL$1,))</f>
        <v/>
      </c>
      <c r="H5" s="13">
        <f>VLOOKUP(B5,'Data World'!$A:$AL,MATCH(World!$H$1,'Data World'!$A$1:$AL$1,))</f>
        <v/>
      </c>
      <c r="I5" s="13">
        <f>VLOOKUP(B5,'Data World'!$A:$AL,MATCH(World!$I$1,'Data World'!$A$1:$AL$1,))</f>
        <v/>
      </c>
      <c r="J5" s="13">
        <f>VLOOKUP(B5,'Data World'!$A:$AL,MATCH(World!$J$1,'Data World'!$A$1:$AL$1,))</f>
        <v/>
      </c>
      <c r="K5" s="13">
        <f>VLOOKUP(B5,'Data World'!$A:$AL,MATCH(World!$K$1,'Data World'!$A$1:$AL$1,))</f>
        <v/>
      </c>
      <c r="L5" s="13">
        <f>VLOOKUP(B5,'Data World'!$A:$AL,MATCH(World!$L$1,'Data World'!$A$1:$AL$1,))</f>
        <v/>
      </c>
      <c r="M5" s="13">
        <f>VLOOKUP(B5,'Data World'!$A:$AL,MATCH(World!$M$1,'Data World'!$A$1:$AL$1,))</f>
        <v/>
      </c>
      <c r="N5" s="13">
        <f>VLOOKUP(B5,'Data World'!$A:$AL,MATCH(World!$N$1,'Data World'!$A$1:$AL$1,))</f>
        <v/>
      </c>
      <c r="O5" s="13">
        <f>VLOOKUP(B5,'Data World'!$A:$AL,MATCH(World!$O$1,'Data World'!$A$1:$AL$1,))</f>
        <v/>
      </c>
      <c r="P5" s="13">
        <f>VLOOKUP(B5,'Data World'!$A:$AL,MATCH(World!$P$1,'Data World'!$A$1:$AL$1,))</f>
        <v/>
      </c>
      <c r="Q5" s="13">
        <f>VLOOKUP(B5,'Data World'!$A:$AL,MATCH(World!$Q$1,'Data World'!$A$1:$AL$1,))</f>
        <v/>
      </c>
      <c r="R5" s="13">
        <f>VLOOKUP(B5,'Data World'!$A:$AL,MATCH(World!$R$1,'Data World'!$A$1:$AL$1,))</f>
        <v/>
      </c>
      <c r="S5" s="13">
        <f>VLOOKUP(B5,'Data World'!$A:$AL,MATCH(World!$S$1,'Data World'!$A$1:$AL$1,))</f>
        <v/>
      </c>
      <c r="T5" s="13">
        <f>VLOOKUP(B5,'Data World'!$A:$AL,MATCH(World!$T$1,'Data World'!$A$1:$AL$1,))</f>
        <v/>
      </c>
    </row>
    <row r="6">
      <c r="B6" s="12" t="n">
        <v>42124</v>
      </c>
      <c r="C6" s="13">
        <f>VLOOKUP(B6,'Data World'!$A:$AL,MATCH(World!$C$1,'Data World'!$A$1:$AL$1,))</f>
        <v/>
      </c>
      <c r="D6" s="13">
        <f>VLOOKUP(B6,'Data World'!$A:$AL,MATCH(World!$D$1,'Data World'!$A$1:$AL$1,))</f>
        <v/>
      </c>
      <c r="E6" s="13">
        <f>VLOOKUP(B6,'Data World'!$A:$AL,MATCH(World!$E$1,'Data World'!$A$1:$AL$1,))</f>
        <v/>
      </c>
      <c r="F6" s="13">
        <f>VLOOKUP(B6,'Data World'!$A:$AL,MATCH(World!$F$1,'Data World'!$A$1:$AL$1,))</f>
        <v/>
      </c>
      <c r="G6" s="13">
        <f>VLOOKUP(B6,'Data World'!$A:$AL,MATCH(World!$G$1,'Data World'!$A$1:$AL$1,))</f>
        <v/>
      </c>
      <c r="H6" s="13">
        <f>VLOOKUP(B6,'Data World'!$A:$AL,MATCH(World!$H$1,'Data World'!$A$1:$AL$1,))</f>
        <v/>
      </c>
      <c r="I6" s="13">
        <f>VLOOKUP(B6,'Data World'!$A:$AL,MATCH(World!$I$1,'Data World'!$A$1:$AL$1,))</f>
        <v/>
      </c>
      <c r="J6" s="13">
        <f>VLOOKUP(B6,'Data World'!$A:$AL,MATCH(World!$J$1,'Data World'!$A$1:$AL$1,))</f>
        <v/>
      </c>
      <c r="K6" s="13">
        <f>VLOOKUP(B6,'Data World'!$A:$AL,MATCH(World!$K$1,'Data World'!$A$1:$AL$1,))</f>
        <v/>
      </c>
      <c r="L6" s="13">
        <f>VLOOKUP(B6,'Data World'!$A:$AL,MATCH(World!$L$1,'Data World'!$A$1:$AL$1,))</f>
        <v/>
      </c>
      <c r="M6" s="13">
        <f>VLOOKUP(B6,'Data World'!$A:$AL,MATCH(World!$M$1,'Data World'!$A$1:$AL$1,))</f>
        <v/>
      </c>
      <c r="N6" s="13">
        <f>VLOOKUP(B6,'Data World'!$A:$AL,MATCH(World!$N$1,'Data World'!$A$1:$AL$1,))</f>
        <v/>
      </c>
      <c r="O6" s="13">
        <f>VLOOKUP(B6,'Data World'!$A:$AL,MATCH(World!$O$1,'Data World'!$A$1:$AL$1,))</f>
        <v/>
      </c>
      <c r="P6" s="13">
        <f>VLOOKUP(B6,'Data World'!$A:$AL,MATCH(World!$P$1,'Data World'!$A$1:$AL$1,))</f>
        <v/>
      </c>
      <c r="Q6" s="13">
        <f>VLOOKUP(B6,'Data World'!$A:$AL,MATCH(World!$Q$1,'Data World'!$A$1:$AL$1,))</f>
        <v/>
      </c>
      <c r="R6" s="13">
        <f>VLOOKUP(B6,'Data World'!$A:$AL,MATCH(World!$R$1,'Data World'!$A$1:$AL$1,))</f>
        <v/>
      </c>
      <c r="S6" s="13">
        <f>VLOOKUP(B6,'Data World'!$A:$AL,MATCH(World!$S$1,'Data World'!$A$1:$AL$1,))</f>
        <v/>
      </c>
      <c r="T6" s="13">
        <f>VLOOKUP(B6,'Data World'!$A:$AL,MATCH(World!$T$1,'Data World'!$A$1:$AL$1,))</f>
        <v/>
      </c>
    </row>
    <row r="7">
      <c r="B7" s="12" t="n">
        <v>42155</v>
      </c>
      <c r="C7" s="13">
        <f>VLOOKUP(B7,'Data World'!$A:$AL,MATCH(World!$C$1,'Data World'!$A$1:$AL$1,))</f>
        <v/>
      </c>
      <c r="D7" s="13">
        <f>VLOOKUP(B7,'Data World'!$A:$AL,MATCH(World!$D$1,'Data World'!$A$1:$AL$1,))</f>
        <v/>
      </c>
      <c r="E7" s="13">
        <f>VLOOKUP(B7,'Data World'!$A:$AL,MATCH(World!$E$1,'Data World'!$A$1:$AL$1,))</f>
        <v/>
      </c>
      <c r="F7" s="13">
        <f>VLOOKUP(B7,'Data World'!$A:$AL,MATCH(World!$F$1,'Data World'!$A$1:$AL$1,))</f>
        <v/>
      </c>
      <c r="G7" s="13">
        <f>VLOOKUP(B7,'Data World'!$A:$AL,MATCH(World!$G$1,'Data World'!$A$1:$AL$1,))</f>
        <v/>
      </c>
      <c r="H7" s="13">
        <f>VLOOKUP(B7,'Data World'!$A:$AL,MATCH(World!$H$1,'Data World'!$A$1:$AL$1,))</f>
        <v/>
      </c>
      <c r="I7" s="13">
        <f>VLOOKUP(B7,'Data World'!$A:$AL,MATCH(World!$I$1,'Data World'!$A$1:$AL$1,))</f>
        <v/>
      </c>
      <c r="J7" s="13">
        <f>VLOOKUP(B7,'Data World'!$A:$AL,MATCH(World!$J$1,'Data World'!$A$1:$AL$1,))</f>
        <v/>
      </c>
      <c r="K7" s="13">
        <f>VLOOKUP(B7,'Data World'!$A:$AL,MATCH(World!$K$1,'Data World'!$A$1:$AL$1,))</f>
        <v/>
      </c>
      <c r="L7" s="13">
        <f>VLOOKUP(B7,'Data World'!$A:$AL,MATCH(World!$L$1,'Data World'!$A$1:$AL$1,))</f>
        <v/>
      </c>
      <c r="M7" s="13">
        <f>VLOOKUP(B7,'Data World'!$A:$AL,MATCH(World!$M$1,'Data World'!$A$1:$AL$1,))</f>
        <v/>
      </c>
      <c r="N7" s="13">
        <f>VLOOKUP(B7,'Data World'!$A:$AL,MATCH(World!$N$1,'Data World'!$A$1:$AL$1,))</f>
        <v/>
      </c>
      <c r="O7" s="13">
        <f>VLOOKUP(B7,'Data World'!$A:$AL,MATCH(World!$O$1,'Data World'!$A$1:$AL$1,))</f>
        <v/>
      </c>
      <c r="P7" s="13">
        <f>VLOOKUP(B7,'Data World'!$A:$AL,MATCH(World!$P$1,'Data World'!$A$1:$AL$1,))</f>
        <v/>
      </c>
      <c r="Q7" s="13">
        <f>VLOOKUP(B7,'Data World'!$A:$AL,MATCH(World!$Q$1,'Data World'!$A$1:$AL$1,))</f>
        <v/>
      </c>
      <c r="R7" s="13">
        <f>VLOOKUP(B7,'Data World'!$A:$AL,MATCH(World!$R$1,'Data World'!$A$1:$AL$1,))</f>
        <v/>
      </c>
      <c r="S7" s="13">
        <f>VLOOKUP(B7,'Data World'!$A:$AL,MATCH(World!$S$1,'Data World'!$A$1:$AL$1,))</f>
        <v/>
      </c>
      <c r="T7" s="13">
        <f>VLOOKUP(B7,'Data World'!$A:$AL,MATCH(World!$T$1,'Data World'!$A$1:$AL$1,))</f>
        <v/>
      </c>
    </row>
    <row r="8">
      <c r="B8" s="12" t="n">
        <v>42185</v>
      </c>
      <c r="C8" s="13">
        <f>VLOOKUP(B8,'Data World'!$A:$AL,MATCH(World!$C$1,'Data World'!$A$1:$AL$1,))</f>
        <v/>
      </c>
      <c r="D8" s="13">
        <f>VLOOKUP(B8,'Data World'!$A:$AL,MATCH(World!$D$1,'Data World'!$A$1:$AL$1,))</f>
        <v/>
      </c>
      <c r="E8" s="13">
        <f>VLOOKUP(B8,'Data World'!$A:$AL,MATCH(World!$E$1,'Data World'!$A$1:$AL$1,))</f>
        <v/>
      </c>
      <c r="F8" s="13">
        <f>VLOOKUP(B8,'Data World'!$A:$AL,MATCH(World!$F$1,'Data World'!$A$1:$AL$1,))</f>
        <v/>
      </c>
      <c r="G8" s="13">
        <f>VLOOKUP(B8,'Data World'!$A:$AL,MATCH(World!$G$1,'Data World'!$A$1:$AL$1,))</f>
        <v/>
      </c>
      <c r="H8" s="13">
        <f>VLOOKUP(B8,'Data World'!$A:$AL,MATCH(World!$H$1,'Data World'!$A$1:$AL$1,))</f>
        <v/>
      </c>
      <c r="I8" s="13">
        <f>VLOOKUP(B8,'Data World'!$A:$AL,MATCH(World!$I$1,'Data World'!$A$1:$AL$1,))</f>
        <v/>
      </c>
      <c r="J8" s="13">
        <f>VLOOKUP(B8,'Data World'!$A:$AL,MATCH(World!$J$1,'Data World'!$A$1:$AL$1,))</f>
        <v/>
      </c>
      <c r="K8" s="13">
        <f>VLOOKUP(B8,'Data World'!$A:$AL,MATCH(World!$K$1,'Data World'!$A$1:$AL$1,))</f>
        <v/>
      </c>
      <c r="L8" s="13">
        <f>VLOOKUP(B8,'Data World'!$A:$AL,MATCH(World!$L$1,'Data World'!$A$1:$AL$1,))</f>
        <v/>
      </c>
      <c r="M8" s="13">
        <f>VLOOKUP(B8,'Data World'!$A:$AL,MATCH(World!$M$1,'Data World'!$A$1:$AL$1,))</f>
        <v/>
      </c>
      <c r="N8" s="13">
        <f>VLOOKUP(B8,'Data World'!$A:$AL,MATCH(World!$N$1,'Data World'!$A$1:$AL$1,))</f>
        <v/>
      </c>
      <c r="O8" s="13">
        <f>VLOOKUP(B8,'Data World'!$A:$AL,MATCH(World!$O$1,'Data World'!$A$1:$AL$1,))</f>
        <v/>
      </c>
      <c r="P8" s="13">
        <f>VLOOKUP(B8,'Data World'!$A:$AL,MATCH(World!$P$1,'Data World'!$A$1:$AL$1,))</f>
        <v/>
      </c>
      <c r="Q8" s="13">
        <f>VLOOKUP(B8,'Data World'!$A:$AL,MATCH(World!$Q$1,'Data World'!$A$1:$AL$1,))</f>
        <v/>
      </c>
      <c r="R8" s="13">
        <f>VLOOKUP(B8,'Data World'!$A:$AL,MATCH(World!$R$1,'Data World'!$A$1:$AL$1,))</f>
        <v/>
      </c>
      <c r="S8" s="13">
        <f>VLOOKUP(B8,'Data World'!$A:$AL,MATCH(World!$S$1,'Data World'!$A$1:$AL$1,))</f>
        <v/>
      </c>
      <c r="T8" s="13">
        <f>VLOOKUP(B8,'Data World'!$A:$AL,MATCH(World!$T$1,'Data World'!$A$1:$AL$1,))</f>
        <v/>
      </c>
    </row>
    <row r="9">
      <c r="B9" s="12" t="n">
        <v>42216</v>
      </c>
      <c r="C9" s="13">
        <f>VLOOKUP(B9,'Data World'!$A:$AL,MATCH(World!$C$1,'Data World'!$A$1:$AL$1,))</f>
        <v/>
      </c>
      <c r="D9" s="13">
        <f>VLOOKUP(B9,'Data World'!$A:$AL,MATCH(World!$D$1,'Data World'!$A$1:$AL$1,))</f>
        <v/>
      </c>
      <c r="E9" s="13">
        <f>VLOOKUP(B9,'Data World'!$A:$AL,MATCH(World!$E$1,'Data World'!$A$1:$AL$1,))</f>
        <v/>
      </c>
      <c r="F9" s="13">
        <f>VLOOKUP(B9,'Data World'!$A:$AL,MATCH(World!$F$1,'Data World'!$A$1:$AL$1,))</f>
        <v/>
      </c>
      <c r="G9" s="13">
        <f>VLOOKUP(B9,'Data World'!$A:$AL,MATCH(World!$G$1,'Data World'!$A$1:$AL$1,))</f>
        <v/>
      </c>
      <c r="H9" s="13">
        <f>VLOOKUP(B9,'Data World'!$A:$AL,MATCH(World!$H$1,'Data World'!$A$1:$AL$1,))</f>
        <v/>
      </c>
      <c r="I9" s="13">
        <f>VLOOKUP(B9,'Data World'!$A:$AL,MATCH(World!$I$1,'Data World'!$A$1:$AL$1,))</f>
        <v/>
      </c>
      <c r="J9" s="13">
        <f>VLOOKUP(B9,'Data World'!$A:$AL,MATCH(World!$J$1,'Data World'!$A$1:$AL$1,))</f>
        <v/>
      </c>
      <c r="K9" s="13">
        <f>VLOOKUP(B9,'Data World'!$A:$AL,MATCH(World!$K$1,'Data World'!$A$1:$AL$1,))</f>
        <v/>
      </c>
      <c r="L9" s="13">
        <f>VLOOKUP(B9,'Data World'!$A:$AL,MATCH(World!$L$1,'Data World'!$A$1:$AL$1,))</f>
        <v/>
      </c>
      <c r="M9" s="13">
        <f>VLOOKUP(B9,'Data World'!$A:$AL,MATCH(World!$M$1,'Data World'!$A$1:$AL$1,))</f>
        <v/>
      </c>
      <c r="N9" s="13">
        <f>VLOOKUP(B9,'Data World'!$A:$AL,MATCH(World!$N$1,'Data World'!$A$1:$AL$1,))</f>
        <v/>
      </c>
      <c r="O9" s="13">
        <f>VLOOKUP(B9,'Data World'!$A:$AL,MATCH(World!$O$1,'Data World'!$A$1:$AL$1,))</f>
        <v/>
      </c>
      <c r="P9" s="13">
        <f>VLOOKUP(B9,'Data World'!$A:$AL,MATCH(World!$P$1,'Data World'!$A$1:$AL$1,))</f>
        <v/>
      </c>
      <c r="Q9" s="13">
        <f>VLOOKUP(B9,'Data World'!$A:$AL,MATCH(World!$Q$1,'Data World'!$A$1:$AL$1,))</f>
        <v/>
      </c>
      <c r="R9" s="13">
        <f>VLOOKUP(B9,'Data World'!$A:$AL,MATCH(World!$R$1,'Data World'!$A$1:$AL$1,))</f>
        <v/>
      </c>
      <c r="S9" s="13">
        <f>VLOOKUP(B9,'Data World'!$A:$AL,MATCH(World!$S$1,'Data World'!$A$1:$AL$1,))</f>
        <v/>
      </c>
      <c r="T9" s="13">
        <f>VLOOKUP(B9,'Data World'!$A:$AL,MATCH(World!$T$1,'Data World'!$A$1:$AL$1,))</f>
        <v/>
      </c>
    </row>
    <row r="10">
      <c r="B10" s="12" t="n">
        <v>42247</v>
      </c>
      <c r="C10" s="13">
        <f>VLOOKUP(B10,'Data World'!$A:$AL,MATCH(World!$C$1,'Data World'!$A$1:$AL$1,))</f>
        <v/>
      </c>
      <c r="D10" s="13">
        <f>VLOOKUP(B10,'Data World'!$A:$AL,MATCH(World!$D$1,'Data World'!$A$1:$AL$1,))</f>
        <v/>
      </c>
      <c r="E10" s="13">
        <f>VLOOKUP(B10,'Data World'!$A:$AL,MATCH(World!$E$1,'Data World'!$A$1:$AL$1,))</f>
        <v/>
      </c>
      <c r="F10" s="13">
        <f>VLOOKUP(B10,'Data World'!$A:$AL,MATCH(World!$F$1,'Data World'!$A$1:$AL$1,))</f>
        <v/>
      </c>
      <c r="G10" s="13">
        <f>VLOOKUP(B10,'Data World'!$A:$AL,MATCH(World!$G$1,'Data World'!$A$1:$AL$1,))</f>
        <v/>
      </c>
      <c r="H10" s="13">
        <f>VLOOKUP(B10,'Data World'!$A:$AL,MATCH(World!$H$1,'Data World'!$A$1:$AL$1,))</f>
        <v/>
      </c>
      <c r="I10" s="13">
        <f>VLOOKUP(B10,'Data World'!$A:$AL,MATCH(World!$I$1,'Data World'!$A$1:$AL$1,))</f>
        <v/>
      </c>
      <c r="J10" s="13">
        <f>VLOOKUP(B10,'Data World'!$A:$AL,MATCH(World!$J$1,'Data World'!$A$1:$AL$1,))</f>
        <v/>
      </c>
      <c r="K10" s="13">
        <f>VLOOKUP(B10,'Data World'!$A:$AL,MATCH(World!$K$1,'Data World'!$A$1:$AL$1,))</f>
        <v/>
      </c>
      <c r="L10" s="13">
        <f>VLOOKUP(B10,'Data World'!$A:$AL,MATCH(World!$L$1,'Data World'!$A$1:$AL$1,))</f>
        <v/>
      </c>
      <c r="M10" s="13">
        <f>VLOOKUP(B10,'Data World'!$A:$AL,MATCH(World!$M$1,'Data World'!$A$1:$AL$1,))</f>
        <v/>
      </c>
      <c r="N10" s="13">
        <f>VLOOKUP(B10,'Data World'!$A:$AL,MATCH(World!$N$1,'Data World'!$A$1:$AL$1,))</f>
        <v/>
      </c>
      <c r="O10" s="13">
        <f>VLOOKUP(B10,'Data World'!$A:$AL,MATCH(World!$O$1,'Data World'!$A$1:$AL$1,))</f>
        <v/>
      </c>
      <c r="P10" s="13">
        <f>VLOOKUP(B10,'Data World'!$A:$AL,MATCH(World!$P$1,'Data World'!$A$1:$AL$1,))</f>
        <v/>
      </c>
      <c r="Q10" s="13">
        <f>VLOOKUP(B10,'Data World'!$A:$AL,MATCH(World!$Q$1,'Data World'!$A$1:$AL$1,))</f>
        <v/>
      </c>
      <c r="R10" s="13">
        <f>VLOOKUP(B10,'Data World'!$A:$AL,MATCH(World!$R$1,'Data World'!$A$1:$AL$1,))</f>
        <v/>
      </c>
      <c r="S10" s="13">
        <f>VLOOKUP(B10,'Data World'!$A:$AL,MATCH(World!$S$1,'Data World'!$A$1:$AL$1,))</f>
        <v/>
      </c>
      <c r="T10" s="13">
        <f>VLOOKUP(B10,'Data World'!$A:$AL,MATCH(World!$T$1,'Data World'!$A$1:$AL$1,))</f>
        <v/>
      </c>
    </row>
    <row r="11">
      <c r="B11" s="12" t="n">
        <v>42277</v>
      </c>
      <c r="C11" s="13">
        <f>VLOOKUP(B11,'Data World'!$A:$AL,MATCH(World!$C$1,'Data World'!$A$1:$AL$1,))</f>
        <v/>
      </c>
      <c r="D11" s="13">
        <f>VLOOKUP(B11,'Data World'!$A:$AL,MATCH(World!$D$1,'Data World'!$A$1:$AL$1,))</f>
        <v/>
      </c>
      <c r="E11" s="13">
        <f>VLOOKUP(B11,'Data World'!$A:$AL,MATCH(World!$E$1,'Data World'!$A$1:$AL$1,))</f>
        <v/>
      </c>
      <c r="F11" s="13">
        <f>VLOOKUP(B11,'Data World'!$A:$AL,MATCH(World!$F$1,'Data World'!$A$1:$AL$1,))</f>
        <v/>
      </c>
      <c r="G11" s="13">
        <f>VLOOKUP(B11,'Data World'!$A:$AL,MATCH(World!$G$1,'Data World'!$A$1:$AL$1,))</f>
        <v/>
      </c>
      <c r="H11" s="13">
        <f>VLOOKUP(B11,'Data World'!$A:$AL,MATCH(World!$H$1,'Data World'!$A$1:$AL$1,))</f>
        <v/>
      </c>
      <c r="I11" s="13">
        <f>VLOOKUP(B11,'Data World'!$A:$AL,MATCH(World!$I$1,'Data World'!$A$1:$AL$1,))</f>
        <v/>
      </c>
      <c r="J11" s="13">
        <f>VLOOKUP(B11,'Data World'!$A:$AL,MATCH(World!$J$1,'Data World'!$A$1:$AL$1,))</f>
        <v/>
      </c>
      <c r="K11" s="13">
        <f>VLOOKUP(B11,'Data World'!$A:$AL,MATCH(World!$K$1,'Data World'!$A$1:$AL$1,))</f>
        <v/>
      </c>
      <c r="L11" s="13">
        <f>VLOOKUP(B11,'Data World'!$A:$AL,MATCH(World!$L$1,'Data World'!$A$1:$AL$1,))</f>
        <v/>
      </c>
      <c r="M11" s="13">
        <f>VLOOKUP(B11,'Data World'!$A:$AL,MATCH(World!$M$1,'Data World'!$A$1:$AL$1,))</f>
        <v/>
      </c>
      <c r="N11" s="13">
        <f>VLOOKUP(B11,'Data World'!$A:$AL,MATCH(World!$N$1,'Data World'!$A$1:$AL$1,))</f>
        <v/>
      </c>
      <c r="O11" s="13">
        <f>VLOOKUP(B11,'Data World'!$A:$AL,MATCH(World!$O$1,'Data World'!$A$1:$AL$1,))</f>
        <v/>
      </c>
      <c r="P11" s="13">
        <f>VLOOKUP(B11,'Data World'!$A:$AL,MATCH(World!$P$1,'Data World'!$A$1:$AL$1,))</f>
        <v/>
      </c>
      <c r="Q11" s="13">
        <f>VLOOKUP(B11,'Data World'!$A:$AL,MATCH(World!$Q$1,'Data World'!$A$1:$AL$1,))</f>
        <v/>
      </c>
      <c r="R11" s="13">
        <f>VLOOKUP(B11,'Data World'!$A:$AL,MATCH(World!$R$1,'Data World'!$A$1:$AL$1,))</f>
        <v/>
      </c>
      <c r="S11" s="13">
        <f>VLOOKUP(B11,'Data World'!$A:$AL,MATCH(World!$S$1,'Data World'!$A$1:$AL$1,))</f>
        <v/>
      </c>
      <c r="T11" s="13">
        <f>VLOOKUP(B11,'Data World'!$A:$AL,MATCH(World!$T$1,'Data World'!$A$1:$AL$1,))</f>
        <v/>
      </c>
    </row>
    <row r="12">
      <c r="B12" s="12" t="n">
        <v>42308</v>
      </c>
      <c r="C12" s="13">
        <f>VLOOKUP(B12,'Data World'!$A:$AL,MATCH(World!$C$1,'Data World'!$A$1:$AL$1,))</f>
        <v/>
      </c>
      <c r="D12" s="13">
        <f>VLOOKUP(B12,'Data World'!$A:$AL,MATCH(World!$D$1,'Data World'!$A$1:$AL$1,))</f>
        <v/>
      </c>
      <c r="E12" s="13">
        <f>VLOOKUP(B12,'Data World'!$A:$AL,MATCH(World!$E$1,'Data World'!$A$1:$AL$1,))</f>
        <v/>
      </c>
      <c r="F12" s="13">
        <f>VLOOKUP(B12,'Data World'!$A:$AL,MATCH(World!$F$1,'Data World'!$A$1:$AL$1,))</f>
        <v/>
      </c>
      <c r="G12" s="13">
        <f>VLOOKUP(B12,'Data World'!$A:$AL,MATCH(World!$G$1,'Data World'!$A$1:$AL$1,))</f>
        <v/>
      </c>
      <c r="H12" s="13">
        <f>VLOOKUP(B12,'Data World'!$A:$AL,MATCH(World!$H$1,'Data World'!$A$1:$AL$1,))</f>
        <v/>
      </c>
      <c r="I12" s="13">
        <f>VLOOKUP(B12,'Data World'!$A:$AL,MATCH(World!$I$1,'Data World'!$A$1:$AL$1,))</f>
        <v/>
      </c>
      <c r="J12" s="13">
        <f>VLOOKUP(B12,'Data World'!$A:$AL,MATCH(World!$J$1,'Data World'!$A$1:$AL$1,))</f>
        <v/>
      </c>
      <c r="K12" s="13">
        <f>VLOOKUP(B12,'Data World'!$A:$AL,MATCH(World!$K$1,'Data World'!$A$1:$AL$1,))</f>
        <v/>
      </c>
      <c r="L12" s="13">
        <f>VLOOKUP(B12,'Data World'!$A:$AL,MATCH(World!$L$1,'Data World'!$A$1:$AL$1,))</f>
        <v/>
      </c>
      <c r="M12" s="13">
        <f>VLOOKUP(B12,'Data World'!$A:$AL,MATCH(World!$M$1,'Data World'!$A$1:$AL$1,))</f>
        <v/>
      </c>
      <c r="N12" s="13">
        <f>VLOOKUP(B12,'Data World'!$A:$AL,MATCH(World!$N$1,'Data World'!$A$1:$AL$1,))</f>
        <v/>
      </c>
      <c r="O12" s="13">
        <f>VLOOKUP(B12,'Data World'!$A:$AL,MATCH(World!$O$1,'Data World'!$A$1:$AL$1,))</f>
        <v/>
      </c>
      <c r="P12" s="13">
        <f>VLOOKUP(B12,'Data World'!$A:$AL,MATCH(World!$P$1,'Data World'!$A$1:$AL$1,))</f>
        <v/>
      </c>
      <c r="Q12" s="13">
        <f>VLOOKUP(B12,'Data World'!$A:$AL,MATCH(World!$Q$1,'Data World'!$A$1:$AL$1,))</f>
        <v/>
      </c>
      <c r="R12" s="13">
        <f>VLOOKUP(B12,'Data World'!$A:$AL,MATCH(World!$R$1,'Data World'!$A$1:$AL$1,))</f>
        <v/>
      </c>
      <c r="S12" s="13">
        <f>VLOOKUP(B12,'Data World'!$A:$AL,MATCH(World!$S$1,'Data World'!$A$1:$AL$1,))</f>
        <v/>
      </c>
      <c r="T12" s="13">
        <f>VLOOKUP(B12,'Data World'!$A:$AL,MATCH(World!$T$1,'Data World'!$A$1:$AL$1,))</f>
        <v/>
      </c>
    </row>
    <row r="13">
      <c r="B13" s="12" t="n">
        <v>42338</v>
      </c>
      <c r="C13" s="13">
        <f>VLOOKUP(B13,'Data World'!$A:$AL,MATCH(World!$C$1,'Data World'!$A$1:$AL$1,))</f>
        <v/>
      </c>
      <c r="D13" s="13">
        <f>VLOOKUP(B13,'Data World'!$A:$AL,MATCH(World!$D$1,'Data World'!$A$1:$AL$1,))</f>
        <v/>
      </c>
      <c r="E13" s="13">
        <f>VLOOKUP(B13,'Data World'!$A:$AL,MATCH(World!$E$1,'Data World'!$A$1:$AL$1,))</f>
        <v/>
      </c>
      <c r="F13" s="13">
        <f>VLOOKUP(B13,'Data World'!$A:$AL,MATCH(World!$F$1,'Data World'!$A$1:$AL$1,))</f>
        <v/>
      </c>
      <c r="G13" s="13">
        <f>VLOOKUP(B13,'Data World'!$A:$AL,MATCH(World!$G$1,'Data World'!$A$1:$AL$1,))</f>
        <v/>
      </c>
      <c r="H13" s="13">
        <f>VLOOKUP(B13,'Data World'!$A:$AL,MATCH(World!$H$1,'Data World'!$A$1:$AL$1,))</f>
        <v/>
      </c>
      <c r="I13" s="13">
        <f>VLOOKUP(B13,'Data World'!$A:$AL,MATCH(World!$I$1,'Data World'!$A$1:$AL$1,))</f>
        <v/>
      </c>
      <c r="J13" s="13">
        <f>VLOOKUP(B13,'Data World'!$A:$AL,MATCH(World!$J$1,'Data World'!$A$1:$AL$1,))</f>
        <v/>
      </c>
      <c r="K13" s="13">
        <f>VLOOKUP(B13,'Data World'!$A:$AL,MATCH(World!$K$1,'Data World'!$A$1:$AL$1,))</f>
        <v/>
      </c>
      <c r="L13" s="13">
        <f>VLOOKUP(B13,'Data World'!$A:$AL,MATCH(World!$L$1,'Data World'!$A$1:$AL$1,))</f>
        <v/>
      </c>
      <c r="M13" s="13">
        <f>VLOOKUP(B13,'Data World'!$A:$AL,MATCH(World!$M$1,'Data World'!$A$1:$AL$1,))</f>
        <v/>
      </c>
      <c r="N13" s="13">
        <f>VLOOKUP(B13,'Data World'!$A:$AL,MATCH(World!$N$1,'Data World'!$A$1:$AL$1,))</f>
        <v/>
      </c>
      <c r="O13" s="13">
        <f>VLOOKUP(B13,'Data World'!$A:$AL,MATCH(World!$O$1,'Data World'!$A$1:$AL$1,))</f>
        <v/>
      </c>
      <c r="P13" s="13">
        <f>VLOOKUP(B13,'Data World'!$A:$AL,MATCH(World!$P$1,'Data World'!$A$1:$AL$1,))</f>
        <v/>
      </c>
      <c r="Q13" s="13">
        <f>VLOOKUP(B13,'Data World'!$A:$AL,MATCH(World!$Q$1,'Data World'!$A$1:$AL$1,))</f>
        <v/>
      </c>
      <c r="R13" s="13">
        <f>VLOOKUP(B13,'Data World'!$A:$AL,MATCH(World!$R$1,'Data World'!$A$1:$AL$1,))</f>
        <v/>
      </c>
      <c r="S13" s="13">
        <f>VLOOKUP(B13,'Data World'!$A:$AL,MATCH(World!$S$1,'Data World'!$A$1:$AL$1,))</f>
        <v/>
      </c>
      <c r="T13" s="13">
        <f>VLOOKUP(B13,'Data World'!$A:$AL,MATCH(World!$T$1,'Data World'!$A$1:$AL$1,))</f>
        <v/>
      </c>
    </row>
    <row r="14">
      <c r="B14" s="12" t="n">
        <v>42369</v>
      </c>
      <c r="C14" s="13">
        <f>VLOOKUP(B14,'Data World'!$A:$AL,MATCH(World!$C$1,'Data World'!$A$1:$AL$1,))</f>
        <v/>
      </c>
      <c r="D14" s="13">
        <f>VLOOKUP(B14,'Data World'!$A:$AL,MATCH(World!$D$1,'Data World'!$A$1:$AL$1,))</f>
        <v/>
      </c>
      <c r="E14" s="13">
        <f>VLOOKUP(B14,'Data World'!$A:$AL,MATCH(World!$E$1,'Data World'!$A$1:$AL$1,))</f>
        <v/>
      </c>
      <c r="F14" s="13">
        <f>VLOOKUP(B14,'Data World'!$A:$AL,MATCH(World!$F$1,'Data World'!$A$1:$AL$1,))</f>
        <v/>
      </c>
      <c r="G14" s="13">
        <f>VLOOKUP(B14,'Data World'!$A:$AL,MATCH(World!$G$1,'Data World'!$A$1:$AL$1,))</f>
        <v/>
      </c>
      <c r="H14" s="13">
        <f>VLOOKUP(B14,'Data World'!$A:$AL,MATCH(World!$H$1,'Data World'!$A$1:$AL$1,))</f>
        <v/>
      </c>
      <c r="I14" s="13">
        <f>VLOOKUP(B14,'Data World'!$A:$AL,MATCH(World!$I$1,'Data World'!$A$1:$AL$1,))</f>
        <v/>
      </c>
      <c r="J14" s="13">
        <f>VLOOKUP(B14,'Data World'!$A:$AL,MATCH(World!$J$1,'Data World'!$A$1:$AL$1,))</f>
        <v/>
      </c>
      <c r="K14" s="13">
        <f>VLOOKUP(B14,'Data World'!$A:$AL,MATCH(World!$K$1,'Data World'!$A$1:$AL$1,))</f>
        <v/>
      </c>
      <c r="L14" s="13">
        <f>VLOOKUP(B14,'Data World'!$A:$AL,MATCH(World!$L$1,'Data World'!$A$1:$AL$1,))</f>
        <v/>
      </c>
      <c r="M14" s="13">
        <f>VLOOKUP(B14,'Data World'!$A:$AL,MATCH(World!$M$1,'Data World'!$A$1:$AL$1,))</f>
        <v/>
      </c>
      <c r="N14" s="13">
        <f>VLOOKUP(B14,'Data World'!$A:$AL,MATCH(World!$N$1,'Data World'!$A$1:$AL$1,))</f>
        <v/>
      </c>
      <c r="O14" s="13">
        <f>VLOOKUP(B14,'Data World'!$A:$AL,MATCH(World!$O$1,'Data World'!$A$1:$AL$1,))</f>
        <v/>
      </c>
      <c r="P14" s="13">
        <f>VLOOKUP(B14,'Data World'!$A:$AL,MATCH(World!$P$1,'Data World'!$A$1:$AL$1,))</f>
        <v/>
      </c>
      <c r="Q14" s="13">
        <f>VLOOKUP(B14,'Data World'!$A:$AL,MATCH(World!$Q$1,'Data World'!$A$1:$AL$1,))</f>
        <v/>
      </c>
      <c r="R14" s="13">
        <f>VLOOKUP(B14,'Data World'!$A:$AL,MATCH(World!$R$1,'Data World'!$A$1:$AL$1,))</f>
        <v/>
      </c>
      <c r="S14" s="13">
        <f>VLOOKUP(B14,'Data World'!$A:$AL,MATCH(World!$S$1,'Data World'!$A$1:$AL$1,))</f>
        <v/>
      </c>
      <c r="T14" s="13">
        <f>VLOOKUP(B14,'Data World'!$A:$AL,MATCH(World!$T$1,'Data World'!$A$1:$AL$1,))</f>
        <v/>
      </c>
    </row>
    <row r="15">
      <c r="B15" s="12" t="n">
        <v>42400</v>
      </c>
      <c r="C15" s="13">
        <f>VLOOKUP(B15,'Data World'!$A:$AL,MATCH(World!$C$1,'Data World'!$A$1:$AL$1,))</f>
        <v/>
      </c>
      <c r="D15" s="13">
        <f>VLOOKUP(B15,'Data World'!$A:$AL,MATCH(World!$D$1,'Data World'!$A$1:$AL$1,))</f>
        <v/>
      </c>
      <c r="E15" s="13">
        <f>VLOOKUP(B15,'Data World'!$A:$AL,MATCH(World!$E$1,'Data World'!$A$1:$AL$1,))</f>
        <v/>
      </c>
      <c r="F15" s="13">
        <f>VLOOKUP(B15,'Data World'!$A:$AL,MATCH(World!$F$1,'Data World'!$A$1:$AL$1,))</f>
        <v/>
      </c>
      <c r="G15" s="13">
        <f>VLOOKUP(B15,'Data World'!$A:$AL,MATCH(World!$G$1,'Data World'!$A$1:$AL$1,))</f>
        <v/>
      </c>
      <c r="H15" s="13">
        <f>VLOOKUP(B15,'Data World'!$A:$AL,MATCH(World!$H$1,'Data World'!$A$1:$AL$1,))</f>
        <v/>
      </c>
      <c r="I15" s="13">
        <f>VLOOKUP(B15,'Data World'!$A:$AL,MATCH(World!$I$1,'Data World'!$A$1:$AL$1,))</f>
        <v/>
      </c>
      <c r="J15" s="13">
        <f>VLOOKUP(B15,'Data World'!$A:$AL,MATCH(World!$J$1,'Data World'!$A$1:$AL$1,))</f>
        <v/>
      </c>
      <c r="K15" s="13">
        <f>VLOOKUP(B15,'Data World'!$A:$AL,MATCH(World!$K$1,'Data World'!$A$1:$AL$1,))</f>
        <v/>
      </c>
      <c r="L15" s="13">
        <f>VLOOKUP(B15,'Data World'!$A:$AL,MATCH(World!$L$1,'Data World'!$A$1:$AL$1,))</f>
        <v/>
      </c>
      <c r="M15" s="13">
        <f>VLOOKUP(B15,'Data World'!$A:$AL,MATCH(World!$M$1,'Data World'!$A$1:$AL$1,))</f>
        <v/>
      </c>
      <c r="N15" s="13">
        <f>VLOOKUP(B15,'Data World'!$A:$AL,MATCH(World!$N$1,'Data World'!$A$1:$AL$1,))</f>
        <v/>
      </c>
      <c r="O15" s="13">
        <f>VLOOKUP(B15,'Data World'!$A:$AL,MATCH(World!$O$1,'Data World'!$A$1:$AL$1,))</f>
        <v/>
      </c>
      <c r="P15" s="13">
        <f>VLOOKUP(B15,'Data World'!$A:$AL,MATCH(World!$P$1,'Data World'!$A$1:$AL$1,))</f>
        <v/>
      </c>
      <c r="Q15" s="13">
        <f>VLOOKUP(B15,'Data World'!$A:$AL,MATCH(World!$Q$1,'Data World'!$A$1:$AL$1,))</f>
        <v/>
      </c>
      <c r="R15" s="13">
        <f>VLOOKUP(B15,'Data World'!$A:$AL,MATCH(World!$R$1,'Data World'!$A$1:$AL$1,))</f>
        <v/>
      </c>
      <c r="S15" s="13">
        <f>VLOOKUP(B15,'Data World'!$A:$AL,MATCH(World!$S$1,'Data World'!$A$1:$AL$1,))</f>
        <v/>
      </c>
      <c r="T15" s="13">
        <f>VLOOKUP(B15,'Data World'!$A:$AL,MATCH(World!$T$1,'Data World'!$A$1:$AL$1,))</f>
        <v/>
      </c>
    </row>
    <row r="16">
      <c r="B16" s="12" t="n">
        <v>42429</v>
      </c>
      <c r="C16" s="13">
        <f>VLOOKUP(B16,'Data World'!$A:$AL,MATCH(World!$C$1,'Data World'!$A$1:$AL$1,))</f>
        <v/>
      </c>
      <c r="D16" s="13">
        <f>VLOOKUP(B16,'Data World'!$A:$AL,MATCH(World!$D$1,'Data World'!$A$1:$AL$1,))</f>
        <v/>
      </c>
      <c r="E16" s="13">
        <f>VLOOKUP(B16,'Data World'!$A:$AL,MATCH(World!$E$1,'Data World'!$A$1:$AL$1,))</f>
        <v/>
      </c>
      <c r="F16" s="13">
        <f>VLOOKUP(B16,'Data World'!$A:$AL,MATCH(World!$F$1,'Data World'!$A$1:$AL$1,))</f>
        <v/>
      </c>
      <c r="G16" s="13">
        <f>VLOOKUP(B16,'Data World'!$A:$AL,MATCH(World!$G$1,'Data World'!$A$1:$AL$1,))</f>
        <v/>
      </c>
      <c r="H16" s="13">
        <f>VLOOKUP(B16,'Data World'!$A:$AL,MATCH(World!$H$1,'Data World'!$A$1:$AL$1,))</f>
        <v/>
      </c>
      <c r="I16" s="13">
        <f>VLOOKUP(B16,'Data World'!$A:$AL,MATCH(World!$I$1,'Data World'!$A$1:$AL$1,))</f>
        <v/>
      </c>
      <c r="J16" s="13">
        <f>VLOOKUP(B16,'Data World'!$A:$AL,MATCH(World!$J$1,'Data World'!$A$1:$AL$1,))</f>
        <v/>
      </c>
      <c r="K16" s="13">
        <f>VLOOKUP(B16,'Data World'!$A:$AL,MATCH(World!$K$1,'Data World'!$A$1:$AL$1,))</f>
        <v/>
      </c>
      <c r="L16" s="13">
        <f>VLOOKUP(B16,'Data World'!$A:$AL,MATCH(World!$L$1,'Data World'!$A$1:$AL$1,))</f>
        <v/>
      </c>
      <c r="M16" s="13">
        <f>VLOOKUP(B16,'Data World'!$A:$AL,MATCH(World!$M$1,'Data World'!$A$1:$AL$1,))</f>
        <v/>
      </c>
      <c r="N16" s="13">
        <f>VLOOKUP(B16,'Data World'!$A:$AL,MATCH(World!$N$1,'Data World'!$A$1:$AL$1,))</f>
        <v/>
      </c>
      <c r="O16" s="13">
        <f>VLOOKUP(B16,'Data World'!$A:$AL,MATCH(World!$O$1,'Data World'!$A$1:$AL$1,))</f>
        <v/>
      </c>
      <c r="P16" s="13">
        <f>VLOOKUP(B16,'Data World'!$A:$AL,MATCH(World!$P$1,'Data World'!$A$1:$AL$1,))</f>
        <v/>
      </c>
      <c r="Q16" s="13">
        <f>VLOOKUP(B16,'Data World'!$A:$AL,MATCH(World!$Q$1,'Data World'!$A$1:$AL$1,))</f>
        <v/>
      </c>
      <c r="R16" s="13">
        <f>VLOOKUP(B16,'Data World'!$A:$AL,MATCH(World!$R$1,'Data World'!$A$1:$AL$1,))</f>
        <v/>
      </c>
      <c r="S16" s="13">
        <f>VLOOKUP(B16,'Data World'!$A:$AL,MATCH(World!$S$1,'Data World'!$A$1:$AL$1,))</f>
        <v/>
      </c>
      <c r="T16" s="13">
        <f>VLOOKUP(B16,'Data World'!$A:$AL,MATCH(World!$T$1,'Data World'!$A$1:$AL$1,))</f>
        <v/>
      </c>
    </row>
    <row r="17">
      <c r="B17" s="12" t="n">
        <v>42460</v>
      </c>
      <c r="C17" s="13">
        <f>VLOOKUP(B17,'Data World'!$A:$AL,MATCH(World!$C$1,'Data World'!$A$1:$AL$1,))</f>
        <v/>
      </c>
      <c r="D17" s="13">
        <f>VLOOKUP(B17,'Data World'!$A:$AL,MATCH(World!$D$1,'Data World'!$A$1:$AL$1,))</f>
        <v/>
      </c>
      <c r="E17" s="13">
        <f>VLOOKUP(B17,'Data World'!$A:$AL,MATCH(World!$E$1,'Data World'!$A$1:$AL$1,))</f>
        <v/>
      </c>
      <c r="F17" s="13">
        <f>VLOOKUP(B17,'Data World'!$A:$AL,MATCH(World!$F$1,'Data World'!$A$1:$AL$1,))</f>
        <v/>
      </c>
      <c r="G17" s="13">
        <f>VLOOKUP(B17,'Data World'!$A:$AL,MATCH(World!$G$1,'Data World'!$A$1:$AL$1,))</f>
        <v/>
      </c>
      <c r="H17" s="13">
        <f>VLOOKUP(B17,'Data World'!$A:$AL,MATCH(World!$H$1,'Data World'!$A$1:$AL$1,))</f>
        <v/>
      </c>
      <c r="I17" s="13">
        <f>VLOOKUP(B17,'Data World'!$A:$AL,MATCH(World!$I$1,'Data World'!$A$1:$AL$1,))</f>
        <v/>
      </c>
      <c r="J17" s="13">
        <f>VLOOKUP(B17,'Data World'!$A:$AL,MATCH(World!$J$1,'Data World'!$A$1:$AL$1,))</f>
        <v/>
      </c>
      <c r="K17" s="13">
        <f>VLOOKUP(B17,'Data World'!$A:$AL,MATCH(World!$K$1,'Data World'!$A$1:$AL$1,))</f>
        <v/>
      </c>
      <c r="L17" s="13">
        <f>VLOOKUP(B17,'Data World'!$A:$AL,MATCH(World!$L$1,'Data World'!$A$1:$AL$1,))</f>
        <v/>
      </c>
      <c r="M17" s="13">
        <f>VLOOKUP(B17,'Data World'!$A:$AL,MATCH(World!$M$1,'Data World'!$A$1:$AL$1,))</f>
        <v/>
      </c>
      <c r="N17" s="13">
        <f>VLOOKUP(B17,'Data World'!$A:$AL,MATCH(World!$N$1,'Data World'!$A$1:$AL$1,))</f>
        <v/>
      </c>
      <c r="O17" s="13">
        <f>VLOOKUP(B17,'Data World'!$A:$AL,MATCH(World!$O$1,'Data World'!$A$1:$AL$1,))</f>
        <v/>
      </c>
      <c r="P17" s="13">
        <f>VLOOKUP(B17,'Data World'!$A:$AL,MATCH(World!$P$1,'Data World'!$A$1:$AL$1,))</f>
        <v/>
      </c>
      <c r="Q17" s="13">
        <f>VLOOKUP(B17,'Data World'!$A:$AL,MATCH(World!$Q$1,'Data World'!$A$1:$AL$1,))</f>
        <v/>
      </c>
      <c r="R17" s="13">
        <f>VLOOKUP(B17,'Data World'!$A:$AL,MATCH(World!$R$1,'Data World'!$A$1:$AL$1,))</f>
        <v/>
      </c>
      <c r="S17" s="13">
        <f>VLOOKUP(B17,'Data World'!$A:$AL,MATCH(World!$S$1,'Data World'!$A$1:$AL$1,))</f>
        <v/>
      </c>
      <c r="T17" s="13">
        <f>VLOOKUP(B17,'Data World'!$A:$AL,MATCH(World!$T$1,'Data World'!$A$1:$AL$1,))</f>
        <v/>
      </c>
    </row>
    <row r="18">
      <c r="B18" s="12" t="n">
        <v>42490</v>
      </c>
      <c r="C18" s="13">
        <f>VLOOKUP(B18,'Data World'!$A:$AL,MATCH(World!$C$1,'Data World'!$A$1:$AL$1,))</f>
        <v/>
      </c>
      <c r="D18" s="13">
        <f>VLOOKUP(B18,'Data World'!$A:$AL,MATCH(World!$D$1,'Data World'!$A$1:$AL$1,))</f>
        <v/>
      </c>
      <c r="E18" s="13">
        <f>VLOOKUP(B18,'Data World'!$A:$AL,MATCH(World!$E$1,'Data World'!$A$1:$AL$1,))</f>
        <v/>
      </c>
      <c r="F18" s="13">
        <f>VLOOKUP(B18,'Data World'!$A:$AL,MATCH(World!$F$1,'Data World'!$A$1:$AL$1,))</f>
        <v/>
      </c>
      <c r="G18" s="13">
        <f>VLOOKUP(B18,'Data World'!$A:$AL,MATCH(World!$G$1,'Data World'!$A$1:$AL$1,))</f>
        <v/>
      </c>
      <c r="H18" s="13">
        <f>VLOOKUP(B18,'Data World'!$A:$AL,MATCH(World!$H$1,'Data World'!$A$1:$AL$1,))</f>
        <v/>
      </c>
      <c r="I18" s="13">
        <f>VLOOKUP(B18,'Data World'!$A:$AL,MATCH(World!$I$1,'Data World'!$A$1:$AL$1,))</f>
        <v/>
      </c>
      <c r="J18" s="13">
        <f>VLOOKUP(B18,'Data World'!$A:$AL,MATCH(World!$J$1,'Data World'!$A$1:$AL$1,))</f>
        <v/>
      </c>
      <c r="K18" s="13">
        <f>VLOOKUP(B18,'Data World'!$A:$AL,MATCH(World!$K$1,'Data World'!$A$1:$AL$1,))</f>
        <v/>
      </c>
      <c r="L18" s="13">
        <f>VLOOKUP(B18,'Data World'!$A:$AL,MATCH(World!$L$1,'Data World'!$A$1:$AL$1,))</f>
        <v/>
      </c>
      <c r="M18" s="13">
        <f>VLOOKUP(B18,'Data World'!$A:$AL,MATCH(World!$M$1,'Data World'!$A$1:$AL$1,))</f>
        <v/>
      </c>
      <c r="N18" s="13">
        <f>VLOOKUP(B18,'Data World'!$A:$AL,MATCH(World!$N$1,'Data World'!$A$1:$AL$1,))</f>
        <v/>
      </c>
      <c r="O18" s="13">
        <f>VLOOKUP(B18,'Data World'!$A:$AL,MATCH(World!$O$1,'Data World'!$A$1:$AL$1,))</f>
        <v/>
      </c>
      <c r="P18" s="13">
        <f>VLOOKUP(B18,'Data World'!$A:$AL,MATCH(World!$P$1,'Data World'!$A$1:$AL$1,))</f>
        <v/>
      </c>
      <c r="Q18" s="13">
        <f>VLOOKUP(B18,'Data World'!$A:$AL,MATCH(World!$Q$1,'Data World'!$A$1:$AL$1,))</f>
        <v/>
      </c>
      <c r="R18" s="13">
        <f>VLOOKUP(B18,'Data World'!$A:$AL,MATCH(World!$R$1,'Data World'!$A$1:$AL$1,))</f>
        <v/>
      </c>
      <c r="S18" s="13">
        <f>VLOOKUP(B18,'Data World'!$A:$AL,MATCH(World!$S$1,'Data World'!$A$1:$AL$1,))</f>
        <v/>
      </c>
      <c r="T18" s="13">
        <f>VLOOKUP(B18,'Data World'!$A:$AL,MATCH(World!$T$1,'Data World'!$A$1:$AL$1,))</f>
        <v/>
      </c>
    </row>
    <row r="19">
      <c r="B19" s="12" t="n">
        <v>42521</v>
      </c>
      <c r="C19" s="13">
        <f>VLOOKUP(B19,'Data World'!$A:$AL,MATCH(World!$C$1,'Data World'!$A$1:$AL$1,))</f>
        <v/>
      </c>
      <c r="D19" s="13">
        <f>VLOOKUP(B19,'Data World'!$A:$AL,MATCH(World!$D$1,'Data World'!$A$1:$AL$1,))</f>
        <v/>
      </c>
      <c r="E19" s="13">
        <f>VLOOKUP(B19,'Data World'!$A:$AL,MATCH(World!$E$1,'Data World'!$A$1:$AL$1,))</f>
        <v/>
      </c>
      <c r="F19" s="13">
        <f>VLOOKUP(B19,'Data World'!$A:$AL,MATCH(World!$F$1,'Data World'!$A$1:$AL$1,))</f>
        <v/>
      </c>
      <c r="G19" s="13">
        <f>VLOOKUP(B19,'Data World'!$A:$AL,MATCH(World!$G$1,'Data World'!$A$1:$AL$1,))</f>
        <v/>
      </c>
      <c r="H19" s="13">
        <f>VLOOKUP(B19,'Data World'!$A:$AL,MATCH(World!$H$1,'Data World'!$A$1:$AL$1,))</f>
        <v/>
      </c>
      <c r="I19" s="13">
        <f>VLOOKUP(B19,'Data World'!$A:$AL,MATCH(World!$I$1,'Data World'!$A$1:$AL$1,))</f>
        <v/>
      </c>
      <c r="J19" s="13">
        <f>VLOOKUP(B19,'Data World'!$A:$AL,MATCH(World!$J$1,'Data World'!$A$1:$AL$1,))</f>
        <v/>
      </c>
      <c r="K19" s="13">
        <f>VLOOKUP(B19,'Data World'!$A:$AL,MATCH(World!$K$1,'Data World'!$A$1:$AL$1,))</f>
        <v/>
      </c>
      <c r="L19" s="13">
        <f>VLOOKUP(B19,'Data World'!$A:$AL,MATCH(World!$L$1,'Data World'!$A$1:$AL$1,))</f>
        <v/>
      </c>
      <c r="M19" s="13">
        <f>VLOOKUP(B19,'Data World'!$A:$AL,MATCH(World!$M$1,'Data World'!$A$1:$AL$1,))</f>
        <v/>
      </c>
      <c r="N19" s="13">
        <f>VLOOKUP(B19,'Data World'!$A:$AL,MATCH(World!$N$1,'Data World'!$A$1:$AL$1,))</f>
        <v/>
      </c>
      <c r="O19" s="13">
        <f>VLOOKUP(B19,'Data World'!$A:$AL,MATCH(World!$O$1,'Data World'!$A$1:$AL$1,))</f>
        <v/>
      </c>
      <c r="P19" s="13">
        <f>VLOOKUP(B19,'Data World'!$A:$AL,MATCH(World!$P$1,'Data World'!$A$1:$AL$1,))</f>
        <v/>
      </c>
      <c r="Q19" s="13">
        <f>VLOOKUP(B19,'Data World'!$A:$AL,MATCH(World!$Q$1,'Data World'!$A$1:$AL$1,))</f>
        <v/>
      </c>
      <c r="R19" s="13">
        <f>VLOOKUP(B19,'Data World'!$A:$AL,MATCH(World!$R$1,'Data World'!$A$1:$AL$1,))</f>
        <v/>
      </c>
      <c r="S19" s="13">
        <f>VLOOKUP(B19,'Data World'!$A:$AL,MATCH(World!$S$1,'Data World'!$A$1:$AL$1,))</f>
        <v/>
      </c>
      <c r="T19" s="13">
        <f>VLOOKUP(B19,'Data World'!$A:$AL,MATCH(World!$T$1,'Data World'!$A$1:$AL$1,))</f>
        <v/>
      </c>
    </row>
    <row r="20">
      <c r="B20" s="12" t="n">
        <v>42551</v>
      </c>
      <c r="C20" s="13">
        <f>VLOOKUP(B20,'Data World'!$A:$AL,MATCH(World!$C$1,'Data World'!$A$1:$AL$1,))</f>
        <v/>
      </c>
      <c r="D20" s="13">
        <f>VLOOKUP(B20,'Data World'!$A:$AL,MATCH(World!$D$1,'Data World'!$A$1:$AL$1,))</f>
        <v/>
      </c>
      <c r="E20" s="13">
        <f>VLOOKUP(B20,'Data World'!$A:$AL,MATCH(World!$E$1,'Data World'!$A$1:$AL$1,))</f>
        <v/>
      </c>
      <c r="F20" s="13">
        <f>VLOOKUP(B20,'Data World'!$A:$AL,MATCH(World!$F$1,'Data World'!$A$1:$AL$1,))</f>
        <v/>
      </c>
      <c r="G20" s="13">
        <f>VLOOKUP(B20,'Data World'!$A:$AL,MATCH(World!$G$1,'Data World'!$A$1:$AL$1,))</f>
        <v/>
      </c>
      <c r="H20" s="13">
        <f>VLOOKUP(B20,'Data World'!$A:$AL,MATCH(World!$H$1,'Data World'!$A$1:$AL$1,))</f>
        <v/>
      </c>
      <c r="I20" s="13">
        <f>VLOOKUP(B20,'Data World'!$A:$AL,MATCH(World!$I$1,'Data World'!$A$1:$AL$1,))</f>
        <v/>
      </c>
      <c r="J20" s="13">
        <f>VLOOKUP(B20,'Data World'!$A:$AL,MATCH(World!$J$1,'Data World'!$A$1:$AL$1,))</f>
        <v/>
      </c>
      <c r="K20" s="13">
        <f>VLOOKUP(B20,'Data World'!$A:$AL,MATCH(World!$K$1,'Data World'!$A$1:$AL$1,))</f>
        <v/>
      </c>
      <c r="L20" s="13">
        <f>VLOOKUP(B20,'Data World'!$A:$AL,MATCH(World!$L$1,'Data World'!$A$1:$AL$1,))</f>
        <v/>
      </c>
      <c r="M20" s="13">
        <f>VLOOKUP(B20,'Data World'!$A:$AL,MATCH(World!$M$1,'Data World'!$A$1:$AL$1,))</f>
        <v/>
      </c>
      <c r="N20" s="13">
        <f>VLOOKUP(B20,'Data World'!$A:$AL,MATCH(World!$N$1,'Data World'!$A$1:$AL$1,))</f>
        <v/>
      </c>
      <c r="O20" s="13">
        <f>VLOOKUP(B20,'Data World'!$A:$AL,MATCH(World!$O$1,'Data World'!$A$1:$AL$1,))</f>
        <v/>
      </c>
      <c r="P20" s="13">
        <f>VLOOKUP(B20,'Data World'!$A:$AL,MATCH(World!$P$1,'Data World'!$A$1:$AL$1,))</f>
        <v/>
      </c>
      <c r="Q20" s="13">
        <f>VLOOKUP(B20,'Data World'!$A:$AL,MATCH(World!$Q$1,'Data World'!$A$1:$AL$1,))</f>
        <v/>
      </c>
      <c r="R20" s="13">
        <f>VLOOKUP(B20,'Data World'!$A:$AL,MATCH(World!$R$1,'Data World'!$A$1:$AL$1,))</f>
        <v/>
      </c>
      <c r="S20" s="13">
        <f>VLOOKUP(B20,'Data World'!$A:$AL,MATCH(World!$S$1,'Data World'!$A$1:$AL$1,))</f>
        <v/>
      </c>
      <c r="T20" s="13">
        <f>VLOOKUP(B20,'Data World'!$A:$AL,MATCH(World!$T$1,'Data World'!$A$1:$AL$1,))</f>
        <v/>
      </c>
    </row>
    <row r="21">
      <c r="B21" s="12" t="n">
        <v>42582</v>
      </c>
      <c r="C21" s="13">
        <f>VLOOKUP(B21,'Data World'!$A:$AL,MATCH(World!$C$1,'Data World'!$A$1:$AL$1,))</f>
        <v/>
      </c>
      <c r="D21" s="13">
        <f>VLOOKUP(B21,'Data World'!$A:$AL,MATCH(World!$D$1,'Data World'!$A$1:$AL$1,))</f>
        <v/>
      </c>
      <c r="E21" s="13">
        <f>VLOOKUP(B21,'Data World'!$A:$AL,MATCH(World!$E$1,'Data World'!$A$1:$AL$1,))</f>
        <v/>
      </c>
      <c r="F21" s="13">
        <f>VLOOKUP(B21,'Data World'!$A:$AL,MATCH(World!$F$1,'Data World'!$A$1:$AL$1,))</f>
        <v/>
      </c>
      <c r="G21" s="13">
        <f>VLOOKUP(B21,'Data World'!$A:$AL,MATCH(World!$G$1,'Data World'!$A$1:$AL$1,))</f>
        <v/>
      </c>
      <c r="H21" s="13">
        <f>VLOOKUP(B21,'Data World'!$A:$AL,MATCH(World!$H$1,'Data World'!$A$1:$AL$1,))</f>
        <v/>
      </c>
      <c r="I21" s="13">
        <f>VLOOKUP(B21,'Data World'!$A:$AL,MATCH(World!$I$1,'Data World'!$A$1:$AL$1,))</f>
        <v/>
      </c>
      <c r="J21" s="13">
        <f>VLOOKUP(B21,'Data World'!$A:$AL,MATCH(World!$J$1,'Data World'!$A$1:$AL$1,))</f>
        <v/>
      </c>
      <c r="K21" s="13">
        <f>VLOOKUP(B21,'Data World'!$A:$AL,MATCH(World!$K$1,'Data World'!$A$1:$AL$1,))</f>
        <v/>
      </c>
      <c r="L21" s="13">
        <f>VLOOKUP(B21,'Data World'!$A:$AL,MATCH(World!$L$1,'Data World'!$A$1:$AL$1,))</f>
        <v/>
      </c>
      <c r="M21" s="13">
        <f>VLOOKUP(B21,'Data World'!$A:$AL,MATCH(World!$M$1,'Data World'!$A$1:$AL$1,))</f>
        <v/>
      </c>
      <c r="N21" s="13">
        <f>VLOOKUP(B21,'Data World'!$A:$AL,MATCH(World!$N$1,'Data World'!$A$1:$AL$1,))</f>
        <v/>
      </c>
      <c r="O21" s="13">
        <f>VLOOKUP(B21,'Data World'!$A:$AL,MATCH(World!$O$1,'Data World'!$A$1:$AL$1,))</f>
        <v/>
      </c>
      <c r="P21" s="13">
        <f>VLOOKUP(B21,'Data World'!$A:$AL,MATCH(World!$P$1,'Data World'!$A$1:$AL$1,))</f>
        <v/>
      </c>
      <c r="Q21" s="13">
        <f>VLOOKUP(B21,'Data World'!$A:$AL,MATCH(World!$Q$1,'Data World'!$A$1:$AL$1,))</f>
        <v/>
      </c>
      <c r="R21" s="13">
        <f>VLOOKUP(B21,'Data World'!$A:$AL,MATCH(World!$R$1,'Data World'!$A$1:$AL$1,))</f>
        <v/>
      </c>
      <c r="S21" s="13">
        <f>VLOOKUP(B21,'Data World'!$A:$AL,MATCH(World!$S$1,'Data World'!$A$1:$AL$1,))</f>
        <v/>
      </c>
      <c r="T21" s="13">
        <f>VLOOKUP(B21,'Data World'!$A:$AL,MATCH(World!$T$1,'Data World'!$A$1:$AL$1,))</f>
        <v/>
      </c>
    </row>
    <row r="22">
      <c r="B22" s="12" t="n">
        <v>42613</v>
      </c>
      <c r="C22" s="13">
        <f>VLOOKUP(B22,'Data World'!$A:$AL,MATCH(World!$C$1,'Data World'!$A$1:$AL$1,))</f>
        <v/>
      </c>
      <c r="D22" s="13">
        <f>VLOOKUP(B22,'Data World'!$A:$AL,MATCH(World!$D$1,'Data World'!$A$1:$AL$1,))</f>
        <v/>
      </c>
      <c r="E22" s="13">
        <f>VLOOKUP(B22,'Data World'!$A:$AL,MATCH(World!$E$1,'Data World'!$A$1:$AL$1,))</f>
        <v/>
      </c>
      <c r="F22" s="13">
        <f>VLOOKUP(B22,'Data World'!$A:$AL,MATCH(World!$F$1,'Data World'!$A$1:$AL$1,))</f>
        <v/>
      </c>
      <c r="G22" s="13">
        <f>VLOOKUP(B22,'Data World'!$A:$AL,MATCH(World!$G$1,'Data World'!$A$1:$AL$1,))</f>
        <v/>
      </c>
      <c r="H22" s="13">
        <f>VLOOKUP(B22,'Data World'!$A:$AL,MATCH(World!$H$1,'Data World'!$A$1:$AL$1,))</f>
        <v/>
      </c>
      <c r="I22" s="13">
        <f>VLOOKUP(B22,'Data World'!$A:$AL,MATCH(World!$I$1,'Data World'!$A$1:$AL$1,))</f>
        <v/>
      </c>
      <c r="J22" s="13">
        <f>VLOOKUP(B22,'Data World'!$A:$AL,MATCH(World!$J$1,'Data World'!$A$1:$AL$1,))</f>
        <v/>
      </c>
      <c r="K22" s="13">
        <f>VLOOKUP(B22,'Data World'!$A:$AL,MATCH(World!$K$1,'Data World'!$A$1:$AL$1,))</f>
        <v/>
      </c>
      <c r="L22" s="13">
        <f>VLOOKUP(B22,'Data World'!$A:$AL,MATCH(World!$L$1,'Data World'!$A$1:$AL$1,))</f>
        <v/>
      </c>
      <c r="M22" s="13">
        <f>VLOOKUP(B22,'Data World'!$A:$AL,MATCH(World!$M$1,'Data World'!$A$1:$AL$1,))</f>
        <v/>
      </c>
      <c r="N22" s="13">
        <f>VLOOKUP(B22,'Data World'!$A:$AL,MATCH(World!$N$1,'Data World'!$A$1:$AL$1,))</f>
        <v/>
      </c>
      <c r="O22" s="13">
        <f>VLOOKUP(B22,'Data World'!$A:$AL,MATCH(World!$O$1,'Data World'!$A$1:$AL$1,))</f>
        <v/>
      </c>
      <c r="P22" s="13">
        <f>VLOOKUP(B22,'Data World'!$A:$AL,MATCH(World!$P$1,'Data World'!$A$1:$AL$1,))</f>
        <v/>
      </c>
      <c r="Q22" s="13">
        <f>VLOOKUP(B22,'Data World'!$A:$AL,MATCH(World!$Q$1,'Data World'!$A$1:$AL$1,))</f>
        <v/>
      </c>
      <c r="R22" s="13">
        <f>VLOOKUP(B22,'Data World'!$A:$AL,MATCH(World!$R$1,'Data World'!$A$1:$AL$1,))</f>
        <v/>
      </c>
      <c r="S22" s="13">
        <f>VLOOKUP(B22,'Data World'!$A:$AL,MATCH(World!$S$1,'Data World'!$A$1:$AL$1,))</f>
        <v/>
      </c>
      <c r="T22" s="13">
        <f>VLOOKUP(B22,'Data World'!$A:$AL,MATCH(World!$T$1,'Data World'!$A$1:$AL$1,))</f>
        <v/>
      </c>
    </row>
    <row r="23">
      <c r="B23" s="12" t="n">
        <v>42643</v>
      </c>
      <c r="C23" s="13">
        <f>VLOOKUP(B23,'Data World'!$A:$AL,MATCH(World!$C$1,'Data World'!$A$1:$AL$1,))</f>
        <v/>
      </c>
      <c r="D23" s="13">
        <f>VLOOKUP(B23,'Data World'!$A:$AL,MATCH(World!$D$1,'Data World'!$A$1:$AL$1,))</f>
        <v/>
      </c>
      <c r="E23" s="13">
        <f>VLOOKUP(B23,'Data World'!$A:$AL,MATCH(World!$E$1,'Data World'!$A$1:$AL$1,))</f>
        <v/>
      </c>
      <c r="F23" s="13">
        <f>VLOOKUP(B23,'Data World'!$A:$AL,MATCH(World!$F$1,'Data World'!$A$1:$AL$1,))</f>
        <v/>
      </c>
      <c r="G23" s="13">
        <f>VLOOKUP(B23,'Data World'!$A:$AL,MATCH(World!$G$1,'Data World'!$A$1:$AL$1,))</f>
        <v/>
      </c>
      <c r="H23" s="13">
        <f>VLOOKUP(B23,'Data World'!$A:$AL,MATCH(World!$H$1,'Data World'!$A$1:$AL$1,))</f>
        <v/>
      </c>
      <c r="I23" s="13">
        <f>VLOOKUP(B23,'Data World'!$A:$AL,MATCH(World!$I$1,'Data World'!$A$1:$AL$1,))</f>
        <v/>
      </c>
      <c r="J23" s="13">
        <f>VLOOKUP(B23,'Data World'!$A:$AL,MATCH(World!$J$1,'Data World'!$A$1:$AL$1,))</f>
        <v/>
      </c>
      <c r="K23" s="13">
        <f>VLOOKUP(B23,'Data World'!$A:$AL,MATCH(World!$K$1,'Data World'!$A$1:$AL$1,))</f>
        <v/>
      </c>
      <c r="L23" s="13">
        <f>VLOOKUP(B23,'Data World'!$A:$AL,MATCH(World!$L$1,'Data World'!$A$1:$AL$1,))</f>
        <v/>
      </c>
      <c r="M23" s="13">
        <f>VLOOKUP(B23,'Data World'!$A:$AL,MATCH(World!$M$1,'Data World'!$A$1:$AL$1,))</f>
        <v/>
      </c>
      <c r="N23" s="13">
        <f>VLOOKUP(B23,'Data World'!$A:$AL,MATCH(World!$N$1,'Data World'!$A$1:$AL$1,))</f>
        <v/>
      </c>
      <c r="O23" s="13">
        <f>VLOOKUP(B23,'Data World'!$A:$AL,MATCH(World!$O$1,'Data World'!$A$1:$AL$1,))</f>
        <v/>
      </c>
      <c r="P23" s="13">
        <f>VLOOKUP(B23,'Data World'!$A:$AL,MATCH(World!$P$1,'Data World'!$A$1:$AL$1,))</f>
        <v/>
      </c>
      <c r="Q23" s="13">
        <f>VLOOKUP(B23,'Data World'!$A:$AL,MATCH(World!$Q$1,'Data World'!$A$1:$AL$1,))</f>
        <v/>
      </c>
      <c r="R23" s="13">
        <f>VLOOKUP(B23,'Data World'!$A:$AL,MATCH(World!$R$1,'Data World'!$A$1:$AL$1,))</f>
        <v/>
      </c>
      <c r="S23" s="13">
        <f>VLOOKUP(B23,'Data World'!$A:$AL,MATCH(World!$S$1,'Data World'!$A$1:$AL$1,))</f>
        <v/>
      </c>
      <c r="T23" s="13">
        <f>VLOOKUP(B23,'Data World'!$A:$AL,MATCH(World!$T$1,'Data World'!$A$1:$AL$1,))</f>
        <v/>
      </c>
    </row>
    <row r="24">
      <c r="B24" s="12" t="n">
        <v>42674</v>
      </c>
      <c r="C24" s="13">
        <f>VLOOKUP(B24,'Data World'!$A:$AL,MATCH(World!$C$1,'Data World'!$A$1:$AL$1,))</f>
        <v/>
      </c>
      <c r="D24" s="13">
        <f>VLOOKUP(B24,'Data World'!$A:$AL,MATCH(World!$D$1,'Data World'!$A$1:$AL$1,))</f>
        <v/>
      </c>
      <c r="E24" s="13">
        <f>VLOOKUP(B24,'Data World'!$A:$AL,MATCH(World!$E$1,'Data World'!$A$1:$AL$1,))</f>
        <v/>
      </c>
      <c r="F24" s="13">
        <f>VLOOKUP(B24,'Data World'!$A:$AL,MATCH(World!$F$1,'Data World'!$A$1:$AL$1,))</f>
        <v/>
      </c>
      <c r="G24" s="13">
        <f>VLOOKUP(B24,'Data World'!$A:$AL,MATCH(World!$G$1,'Data World'!$A$1:$AL$1,))</f>
        <v/>
      </c>
      <c r="H24" s="13">
        <f>VLOOKUP(B24,'Data World'!$A:$AL,MATCH(World!$H$1,'Data World'!$A$1:$AL$1,))</f>
        <v/>
      </c>
      <c r="I24" s="13">
        <f>VLOOKUP(B24,'Data World'!$A:$AL,MATCH(World!$I$1,'Data World'!$A$1:$AL$1,))</f>
        <v/>
      </c>
      <c r="J24" s="13">
        <f>VLOOKUP(B24,'Data World'!$A:$AL,MATCH(World!$J$1,'Data World'!$A$1:$AL$1,))</f>
        <v/>
      </c>
      <c r="K24" s="13">
        <f>VLOOKUP(B24,'Data World'!$A:$AL,MATCH(World!$K$1,'Data World'!$A$1:$AL$1,))</f>
        <v/>
      </c>
      <c r="L24" s="13">
        <f>VLOOKUP(B24,'Data World'!$A:$AL,MATCH(World!$L$1,'Data World'!$A$1:$AL$1,))</f>
        <v/>
      </c>
      <c r="M24" s="13">
        <f>VLOOKUP(B24,'Data World'!$A:$AL,MATCH(World!$M$1,'Data World'!$A$1:$AL$1,))</f>
        <v/>
      </c>
      <c r="N24" s="13">
        <f>VLOOKUP(B24,'Data World'!$A:$AL,MATCH(World!$N$1,'Data World'!$A$1:$AL$1,))</f>
        <v/>
      </c>
      <c r="O24" s="13">
        <f>VLOOKUP(B24,'Data World'!$A:$AL,MATCH(World!$O$1,'Data World'!$A$1:$AL$1,))</f>
        <v/>
      </c>
      <c r="P24" s="13">
        <f>VLOOKUP(B24,'Data World'!$A:$AL,MATCH(World!$P$1,'Data World'!$A$1:$AL$1,))</f>
        <v/>
      </c>
      <c r="Q24" s="13">
        <f>VLOOKUP(B24,'Data World'!$A:$AL,MATCH(World!$Q$1,'Data World'!$A$1:$AL$1,))</f>
        <v/>
      </c>
      <c r="R24" s="13">
        <f>VLOOKUP(B24,'Data World'!$A:$AL,MATCH(World!$R$1,'Data World'!$A$1:$AL$1,))</f>
        <v/>
      </c>
      <c r="S24" s="13">
        <f>VLOOKUP(B24,'Data World'!$A:$AL,MATCH(World!$S$1,'Data World'!$A$1:$AL$1,))</f>
        <v/>
      </c>
      <c r="T24" s="13">
        <f>VLOOKUP(B24,'Data World'!$A:$AL,MATCH(World!$T$1,'Data World'!$A$1:$AL$1,))</f>
        <v/>
      </c>
    </row>
    <row r="25">
      <c r="B25" s="12" t="n">
        <v>42704</v>
      </c>
      <c r="C25" s="13">
        <f>VLOOKUP(B25,'Data World'!$A:$AL,MATCH(World!$C$1,'Data World'!$A$1:$AL$1,))</f>
        <v/>
      </c>
      <c r="D25" s="13">
        <f>VLOOKUP(B25,'Data World'!$A:$AL,MATCH(World!$D$1,'Data World'!$A$1:$AL$1,))</f>
        <v/>
      </c>
      <c r="E25" s="13">
        <f>VLOOKUP(B25,'Data World'!$A:$AL,MATCH(World!$E$1,'Data World'!$A$1:$AL$1,))</f>
        <v/>
      </c>
      <c r="F25" s="13">
        <f>VLOOKUP(B25,'Data World'!$A:$AL,MATCH(World!$F$1,'Data World'!$A$1:$AL$1,))</f>
        <v/>
      </c>
      <c r="G25" s="13">
        <f>VLOOKUP(B25,'Data World'!$A:$AL,MATCH(World!$G$1,'Data World'!$A$1:$AL$1,))</f>
        <v/>
      </c>
      <c r="H25" s="13">
        <f>VLOOKUP(B25,'Data World'!$A:$AL,MATCH(World!$H$1,'Data World'!$A$1:$AL$1,))</f>
        <v/>
      </c>
      <c r="I25" s="13">
        <f>VLOOKUP(B25,'Data World'!$A:$AL,MATCH(World!$I$1,'Data World'!$A$1:$AL$1,))</f>
        <v/>
      </c>
      <c r="J25" s="13">
        <f>VLOOKUP(B25,'Data World'!$A:$AL,MATCH(World!$J$1,'Data World'!$A$1:$AL$1,))</f>
        <v/>
      </c>
      <c r="K25" s="13">
        <f>VLOOKUP(B25,'Data World'!$A:$AL,MATCH(World!$K$1,'Data World'!$A$1:$AL$1,))</f>
        <v/>
      </c>
      <c r="L25" s="13">
        <f>VLOOKUP(B25,'Data World'!$A:$AL,MATCH(World!$L$1,'Data World'!$A$1:$AL$1,))</f>
        <v/>
      </c>
      <c r="M25" s="13">
        <f>VLOOKUP(B25,'Data World'!$A:$AL,MATCH(World!$M$1,'Data World'!$A$1:$AL$1,))</f>
        <v/>
      </c>
      <c r="N25" s="13">
        <f>VLOOKUP(B25,'Data World'!$A:$AL,MATCH(World!$N$1,'Data World'!$A$1:$AL$1,))</f>
        <v/>
      </c>
      <c r="O25" s="13">
        <f>VLOOKUP(B25,'Data World'!$A:$AL,MATCH(World!$O$1,'Data World'!$A$1:$AL$1,))</f>
        <v/>
      </c>
      <c r="P25" s="13">
        <f>VLOOKUP(B25,'Data World'!$A:$AL,MATCH(World!$P$1,'Data World'!$A$1:$AL$1,))</f>
        <v/>
      </c>
      <c r="Q25" s="13">
        <f>VLOOKUP(B25,'Data World'!$A:$AL,MATCH(World!$Q$1,'Data World'!$A$1:$AL$1,))</f>
        <v/>
      </c>
      <c r="R25" s="13">
        <f>VLOOKUP(B25,'Data World'!$A:$AL,MATCH(World!$R$1,'Data World'!$A$1:$AL$1,))</f>
        <v/>
      </c>
      <c r="S25" s="13">
        <f>VLOOKUP(B25,'Data World'!$A:$AL,MATCH(World!$S$1,'Data World'!$A$1:$AL$1,))</f>
        <v/>
      </c>
      <c r="T25" s="13">
        <f>VLOOKUP(B25,'Data World'!$A:$AL,MATCH(World!$T$1,'Data World'!$A$1:$AL$1,))</f>
        <v/>
      </c>
    </row>
    <row r="26">
      <c r="B26" s="12" t="n">
        <v>42735</v>
      </c>
      <c r="C26" s="13">
        <f>VLOOKUP(B26,'Data World'!$A:$AL,MATCH(World!$C$1,'Data World'!$A$1:$AL$1,))</f>
        <v/>
      </c>
      <c r="D26" s="13">
        <f>VLOOKUP(B26,'Data World'!$A:$AL,MATCH(World!$D$1,'Data World'!$A$1:$AL$1,))</f>
        <v/>
      </c>
      <c r="E26" s="13">
        <f>VLOOKUP(B26,'Data World'!$A:$AL,MATCH(World!$E$1,'Data World'!$A$1:$AL$1,))</f>
        <v/>
      </c>
      <c r="F26" s="13">
        <f>VLOOKUP(B26,'Data World'!$A:$AL,MATCH(World!$F$1,'Data World'!$A$1:$AL$1,))</f>
        <v/>
      </c>
      <c r="G26" s="13">
        <f>VLOOKUP(B26,'Data World'!$A:$AL,MATCH(World!$G$1,'Data World'!$A$1:$AL$1,))</f>
        <v/>
      </c>
      <c r="H26" s="13">
        <f>VLOOKUP(B26,'Data World'!$A:$AL,MATCH(World!$H$1,'Data World'!$A$1:$AL$1,))</f>
        <v/>
      </c>
      <c r="I26" s="13">
        <f>VLOOKUP(B26,'Data World'!$A:$AL,MATCH(World!$I$1,'Data World'!$A$1:$AL$1,))</f>
        <v/>
      </c>
      <c r="J26" s="13">
        <f>VLOOKUP(B26,'Data World'!$A:$AL,MATCH(World!$J$1,'Data World'!$A$1:$AL$1,))</f>
        <v/>
      </c>
      <c r="K26" s="13">
        <f>VLOOKUP(B26,'Data World'!$A:$AL,MATCH(World!$K$1,'Data World'!$A$1:$AL$1,))</f>
        <v/>
      </c>
      <c r="L26" s="13">
        <f>VLOOKUP(B26,'Data World'!$A:$AL,MATCH(World!$L$1,'Data World'!$A$1:$AL$1,))</f>
        <v/>
      </c>
      <c r="M26" s="13">
        <f>VLOOKUP(B26,'Data World'!$A:$AL,MATCH(World!$M$1,'Data World'!$A$1:$AL$1,))</f>
        <v/>
      </c>
      <c r="N26" s="13">
        <f>VLOOKUP(B26,'Data World'!$A:$AL,MATCH(World!$N$1,'Data World'!$A$1:$AL$1,))</f>
        <v/>
      </c>
      <c r="O26" s="13">
        <f>VLOOKUP(B26,'Data World'!$A:$AL,MATCH(World!$O$1,'Data World'!$A$1:$AL$1,))</f>
        <v/>
      </c>
      <c r="P26" s="13">
        <f>VLOOKUP(B26,'Data World'!$A:$AL,MATCH(World!$P$1,'Data World'!$A$1:$AL$1,))</f>
        <v/>
      </c>
      <c r="Q26" s="13">
        <f>VLOOKUP(B26,'Data World'!$A:$AL,MATCH(World!$Q$1,'Data World'!$A$1:$AL$1,))</f>
        <v/>
      </c>
      <c r="R26" s="13">
        <f>VLOOKUP(B26,'Data World'!$A:$AL,MATCH(World!$R$1,'Data World'!$A$1:$AL$1,))</f>
        <v/>
      </c>
      <c r="S26" s="13">
        <f>VLOOKUP(B26,'Data World'!$A:$AL,MATCH(World!$S$1,'Data World'!$A$1:$AL$1,))</f>
        <v/>
      </c>
      <c r="T26" s="13">
        <f>VLOOKUP(B26,'Data World'!$A:$AL,MATCH(World!$T$1,'Data World'!$A$1:$AL$1,))</f>
        <v/>
      </c>
    </row>
    <row r="27">
      <c r="B27" s="12" t="n">
        <v>42766</v>
      </c>
      <c r="C27" s="13">
        <f>VLOOKUP(B27,'Data World'!$A:$AL,MATCH(World!$C$1,'Data World'!$A$1:$AL$1,))</f>
        <v/>
      </c>
      <c r="D27" s="13">
        <f>VLOOKUP(B27,'Data World'!$A:$AL,MATCH(World!$D$1,'Data World'!$A$1:$AL$1,))</f>
        <v/>
      </c>
      <c r="E27" s="13">
        <f>VLOOKUP(B27,'Data World'!$A:$AL,MATCH(World!$E$1,'Data World'!$A$1:$AL$1,))</f>
        <v/>
      </c>
      <c r="F27" s="13">
        <f>VLOOKUP(B27,'Data World'!$A:$AL,MATCH(World!$F$1,'Data World'!$A$1:$AL$1,))</f>
        <v/>
      </c>
      <c r="G27" s="13">
        <f>VLOOKUP(B27,'Data World'!$A:$AL,MATCH(World!$G$1,'Data World'!$A$1:$AL$1,))</f>
        <v/>
      </c>
      <c r="H27" s="13">
        <f>VLOOKUP(B27,'Data World'!$A:$AL,MATCH(World!$H$1,'Data World'!$A$1:$AL$1,))</f>
        <v/>
      </c>
      <c r="I27" s="13">
        <f>VLOOKUP(B27,'Data World'!$A:$AL,MATCH(World!$I$1,'Data World'!$A$1:$AL$1,))</f>
        <v/>
      </c>
      <c r="J27" s="13">
        <f>VLOOKUP(B27,'Data World'!$A:$AL,MATCH(World!$J$1,'Data World'!$A$1:$AL$1,))</f>
        <v/>
      </c>
      <c r="K27" s="13">
        <f>VLOOKUP(B27,'Data World'!$A:$AL,MATCH(World!$K$1,'Data World'!$A$1:$AL$1,))</f>
        <v/>
      </c>
      <c r="L27" s="13">
        <f>VLOOKUP(B27,'Data World'!$A:$AL,MATCH(World!$L$1,'Data World'!$A$1:$AL$1,))</f>
        <v/>
      </c>
      <c r="M27" s="13">
        <f>VLOOKUP(B27,'Data World'!$A:$AL,MATCH(World!$M$1,'Data World'!$A$1:$AL$1,))</f>
        <v/>
      </c>
      <c r="N27" s="13">
        <f>VLOOKUP(B27,'Data World'!$A:$AL,MATCH(World!$N$1,'Data World'!$A$1:$AL$1,))</f>
        <v/>
      </c>
      <c r="O27" s="13">
        <f>VLOOKUP(B27,'Data World'!$A:$AL,MATCH(World!$O$1,'Data World'!$A$1:$AL$1,))</f>
        <v/>
      </c>
      <c r="P27" s="13">
        <f>VLOOKUP(B27,'Data World'!$A:$AL,MATCH(World!$P$1,'Data World'!$A$1:$AL$1,))</f>
        <v/>
      </c>
      <c r="Q27" s="13">
        <f>VLOOKUP(B27,'Data World'!$A:$AL,MATCH(World!$Q$1,'Data World'!$A$1:$AL$1,))</f>
        <v/>
      </c>
      <c r="R27" s="13">
        <f>VLOOKUP(B27,'Data World'!$A:$AL,MATCH(World!$R$1,'Data World'!$A$1:$AL$1,))</f>
        <v/>
      </c>
      <c r="S27" s="13">
        <f>VLOOKUP(B27,'Data World'!$A:$AL,MATCH(World!$S$1,'Data World'!$A$1:$AL$1,))</f>
        <v/>
      </c>
      <c r="T27" s="13">
        <f>VLOOKUP(B27,'Data World'!$A:$AL,MATCH(World!$T$1,'Data World'!$A$1:$AL$1,))</f>
        <v/>
      </c>
    </row>
    <row r="28">
      <c r="B28" s="12" t="n">
        <v>42794</v>
      </c>
      <c r="C28" s="13">
        <f>VLOOKUP(B28,'Data World'!$A:$AL,MATCH(World!$C$1,'Data World'!$A$1:$AL$1,))</f>
        <v/>
      </c>
      <c r="D28" s="13">
        <f>VLOOKUP(B28,'Data World'!$A:$AL,MATCH(World!$D$1,'Data World'!$A$1:$AL$1,))</f>
        <v/>
      </c>
      <c r="E28" s="13">
        <f>VLOOKUP(B28,'Data World'!$A:$AL,MATCH(World!$E$1,'Data World'!$A$1:$AL$1,))</f>
        <v/>
      </c>
      <c r="F28" s="13">
        <f>VLOOKUP(B28,'Data World'!$A:$AL,MATCH(World!$F$1,'Data World'!$A$1:$AL$1,))</f>
        <v/>
      </c>
      <c r="G28" s="13">
        <f>VLOOKUP(B28,'Data World'!$A:$AL,MATCH(World!$G$1,'Data World'!$A$1:$AL$1,))</f>
        <v/>
      </c>
      <c r="H28" s="13">
        <f>VLOOKUP(B28,'Data World'!$A:$AL,MATCH(World!$H$1,'Data World'!$A$1:$AL$1,))</f>
        <v/>
      </c>
      <c r="I28" s="13">
        <f>VLOOKUP(B28,'Data World'!$A:$AL,MATCH(World!$I$1,'Data World'!$A$1:$AL$1,))</f>
        <v/>
      </c>
      <c r="J28" s="13">
        <f>VLOOKUP(B28,'Data World'!$A:$AL,MATCH(World!$J$1,'Data World'!$A$1:$AL$1,))</f>
        <v/>
      </c>
      <c r="K28" s="13">
        <f>VLOOKUP(B28,'Data World'!$A:$AL,MATCH(World!$K$1,'Data World'!$A$1:$AL$1,))</f>
        <v/>
      </c>
      <c r="L28" s="13">
        <f>VLOOKUP(B28,'Data World'!$A:$AL,MATCH(World!$L$1,'Data World'!$A$1:$AL$1,))</f>
        <v/>
      </c>
      <c r="M28" s="13">
        <f>VLOOKUP(B28,'Data World'!$A:$AL,MATCH(World!$M$1,'Data World'!$A$1:$AL$1,))</f>
        <v/>
      </c>
      <c r="N28" s="13">
        <f>VLOOKUP(B28,'Data World'!$A:$AL,MATCH(World!$N$1,'Data World'!$A$1:$AL$1,))</f>
        <v/>
      </c>
      <c r="O28" s="13">
        <f>VLOOKUP(B28,'Data World'!$A:$AL,MATCH(World!$O$1,'Data World'!$A$1:$AL$1,))</f>
        <v/>
      </c>
      <c r="P28" s="13">
        <f>VLOOKUP(B28,'Data World'!$A:$AL,MATCH(World!$P$1,'Data World'!$A$1:$AL$1,))</f>
        <v/>
      </c>
      <c r="Q28" s="13">
        <f>VLOOKUP(B28,'Data World'!$A:$AL,MATCH(World!$Q$1,'Data World'!$A$1:$AL$1,))</f>
        <v/>
      </c>
      <c r="R28" s="13">
        <f>VLOOKUP(B28,'Data World'!$A:$AL,MATCH(World!$R$1,'Data World'!$A$1:$AL$1,))</f>
        <v/>
      </c>
      <c r="S28" s="13">
        <f>VLOOKUP(B28,'Data World'!$A:$AL,MATCH(World!$S$1,'Data World'!$A$1:$AL$1,))</f>
        <v/>
      </c>
      <c r="T28" s="13">
        <f>VLOOKUP(B28,'Data World'!$A:$AL,MATCH(World!$T$1,'Data World'!$A$1:$AL$1,))</f>
        <v/>
      </c>
    </row>
    <row r="29">
      <c r="B29" s="12" t="n">
        <v>42825</v>
      </c>
      <c r="C29" s="13">
        <f>VLOOKUP(B29,'Data World'!$A:$AL,MATCH(World!$C$1,'Data World'!$A$1:$AL$1,))</f>
        <v/>
      </c>
      <c r="D29" s="13">
        <f>VLOOKUP(B29,'Data World'!$A:$AL,MATCH(World!$D$1,'Data World'!$A$1:$AL$1,))</f>
        <v/>
      </c>
      <c r="E29" s="13">
        <f>VLOOKUP(B29,'Data World'!$A:$AL,MATCH(World!$E$1,'Data World'!$A$1:$AL$1,))</f>
        <v/>
      </c>
      <c r="F29" s="13">
        <f>VLOOKUP(B29,'Data World'!$A:$AL,MATCH(World!$F$1,'Data World'!$A$1:$AL$1,))</f>
        <v/>
      </c>
      <c r="G29" s="13">
        <f>VLOOKUP(B29,'Data World'!$A:$AL,MATCH(World!$G$1,'Data World'!$A$1:$AL$1,))</f>
        <v/>
      </c>
      <c r="H29" s="13">
        <f>VLOOKUP(B29,'Data World'!$A:$AL,MATCH(World!$H$1,'Data World'!$A$1:$AL$1,))</f>
        <v/>
      </c>
      <c r="I29" s="13">
        <f>VLOOKUP(B29,'Data World'!$A:$AL,MATCH(World!$I$1,'Data World'!$A$1:$AL$1,))</f>
        <v/>
      </c>
      <c r="J29" s="13">
        <f>VLOOKUP(B29,'Data World'!$A:$AL,MATCH(World!$J$1,'Data World'!$A$1:$AL$1,))</f>
        <v/>
      </c>
      <c r="K29" s="13">
        <f>VLOOKUP(B29,'Data World'!$A:$AL,MATCH(World!$K$1,'Data World'!$A$1:$AL$1,))</f>
        <v/>
      </c>
      <c r="L29" s="13">
        <f>VLOOKUP(B29,'Data World'!$A:$AL,MATCH(World!$L$1,'Data World'!$A$1:$AL$1,))</f>
        <v/>
      </c>
      <c r="M29" s="13">
        <f>VLOOKUP(B29,'Data World'!$A:$AL,MATCH(World!$M$1,'Data World'!$A$1:$AL$1,))</f>
        <v/>
      </c>
      <c r="N29" s="13">
        <f>VLOOKUP(B29,'Data World'!$A:$AL,MATCH(World!$N$1,'Data World'!$A$1:$AL$1,))</f>
        <v/>
      </c>
      <c r="O29" s="13">
        <f>VLOOKUP(B29,'Data World'!$A:$AL,MATCH(World!$O$1,'Data World'!$A$1:$AL$1,))</f>
        <v/>
      </c>
      <c r="P29" s="13">
        <f>VLOOKUP(B29,'Data World'!$A:$AL,MATCH(World!$P$1,'Data World'!$A$1:$AL$1,))</f>
        <v/>
      </c>
      <c r="Q29" s="13">
        <f>VLOOKUP(B29,'Data World'!$A:$AL,MATCH(World!$Q$1,'Data World'!$A$1:$AL$1,))</f>
        <v/>
      </c>
      <c r="R29" s="13">
        <f>VLOOKUP(B29,'Data World'!$A:$AL,MATCH(World!$R$1,'Data World'!$A$1:$AL$1,))</f>
        <v/>
      </c>
      <c r="S29" s="13">
        <f>VLOOKUP(B29,'Data World'!$A:$AL,MATCH(World!$S$1,'Data World'!$A$1:$AL$1,))</f>
        <v/>
      </c>
      <c r="T29" s="13">
        <f>VLOOKUP(B29,'Data World'!$A:$AL,MATCH(World!$T$1,'Data World'!$A$1:$AL$1,))</f>
        <v/>
      </c>
    </row>
    <row r="30">
      <c r="B30" s="12" t="n">
        <v>42855</v>
      </c>
      <c r="C30" s="13">
        <f>VLOOKUP(B30,'Data World'!$A:$AL,MATCH(World!$C$1,'Data World'!$A$1:$AL$1,))</f>
        <v/>
      </c>
      <c r="D30" s="13">
        <f>VLOOKUP(B30,'Data World'!$A:$AL,MATCH(World!$D$1,'Data World'!$A$1:$AL$1,))</f>
        <v/>
      </c>
      <c r="E30" s="13">
        <f>VLOOKUP(B30,'Data World'!$A:$AL,MATCH(World!$E$1,'Data World'!$A$1:$AL$1,))</f>
        <v/>
      </c>
      <c r="F30" s="13">
        <f>VLOOKUP(B30,'Data World'!$A:$AL,MATCH(World!$F$1,'Data World'!$A$1:$AL$1,))</f>
        <v/>
      </c>
      <c r="G30" s="13">
        <f>VLOOKUP(B30,'Data World'!$A:$AL,MATCH(World!$G$1,'Data World'!$A$1:$AL$1,))</f>
        <v/>
      </c>
      <c r="H30" s="13">
        <f>VLOOKUP(B30,'Data World'!$A:$AL,MATCH(World!$H$1,'Data World'!$A$1:$AL$1,))</f>
        <v/>
      </c>
      <c r="I30" s="13">
        <f>VLOOKUP(B30,'Data World'!$A:$AL,MATCH(World!$I$1,'Data World'!$A$1:$AL$1,))</f>
        <v/>
      </c>
      <c r="J30" s="13">
        <f>VLOOKUP(B30,'Data World'!$A:$AL,MATCH(World!$J$1,'Data World'!$A$1:$AL$1,))</f>
        <v/>
      </c>
      <c r="K30" s="13">
        <f>VLOOKUP(B30,'Data World'!$A:$AL,MATCH(World!$K$1,'Data World'!$A$1:$AL$1,))</f>
        <v/>
      </c>
      <c r="L30" s="13">
        <f>VLOOKUP(B30,'Data World'!$A:$AL,MATCH(World!$L$1,'Data World'!$A$1:$AL$1,))</f>
        <v/>
      </c>
      <c r="M30" s="13">
        <f>VLOOKUP(B30,'Data World'!$A:$AL,MATCH(World!$M$1,'Data World'!$A$1:$AL$1,))</f>
        <v/>
      </c>
      <c r="N30" s="13">
        <f>VLOOKUP(B30,'Data World'!$A:$AL,MATCH(World!$N$1,'Data World'!$A$1:$AL$1,))</f>
        <v/>
      </c>
      <c r="O30" s="13">
        <f>VLOOKUP(B30,'Data World'!$A:$AL,MATCH(World!$O$1,'Data World'!$A$1:$AL$1,))</f>
        <v/>
      </c>
      <c r="P30" s="13">
        <f>VLOOKUP(B30,'Data World'!$A:$AL,MATCH(World!$P$1,'Data World'!$A$1:$AL$1,))</f>
        <v/>
      </c>
      <c r="Q30" s="13">
        <f>VLOOKUP(B30,'Data World'!$A:$AL,MATCH(World!$Q$1,'Data World'!$A$1:$AL$1,))</f>
        <v/>
      </c>
      <c r="R30" s="13">
        <f>VLOOKUP(B30,'Data World'!$A:$AL,MATCH(World!$R$1,'Data World'!$A$1:$AL$1,))</f>
        <v/>
      </c>
      <c r="S30" s="13">
        <f>VLOOKUP(B30,'Data World'!$A:$AL,MATCH(World!$S$1,'Data World'!$A$1:$AL$1,))</f>
        <v/>
      </c>
      <c r="T30" s="13">
        <f>VLOOKUP(B30,'Data World'!$A:$AL,MATCH(World!$T$1,'Data World'!$A$1:$AL$1,))</f>
        <v/>
      </c>
    </row>
    <row r="31">
      <c r="B31" s="12" t="n">
        <v>42886</v>
      </c>
      <c r="C31" s="13">
        <f>VLOOKUP(B31,'Data World'!$A:$AL,MATCH(World!$C$1,'Data World'!$A$1:$AL$1,))</f>
        <v/>
      </c>
      <c r="D31" s="13">
        <f>VLOOKUP(B31,'Data World'!$A:$AL,MATCH(World!$D$1,'Data World'!$A$1:$AL$1,))</f>
        <v/>
      </c>
      <c r="E31" s="13">
        <f>VLOOKUP(B31,'Data World'!$A:$AL,MATCH(World!$E$1,'Data World'!$A$1:$AL$1,))</f>
        <v/>
      </c>
      <c r="F31" s="13">
        <f>VLOOKUP(B31,'Data World'!$A:$AL,MATCH(World!$F$1,'Data World'!$A$1:$AL$1,))</f>
        <v/>
      </c>
      <c r="G31" s="13">
        <f>VLOOKUP(B31,'Data World'!$A:$AL,MATCH(World!$G$1,'Data World'!$A$1:$AL$1,))</f>
        <v/>
      </c>
      <c r="H31" s="13">
        <f>VLOOKUP(B31,'Data World'!$A:$AL,MATCH(World!$H$1,'Data World'!$A$1:$AL$1,))</f>
        <v/>
      </c>
      <c r="I31" s="13">
        <f>VLOOKUP(B31,'Data World'!$A:$AL,MATCH(World!$I$1,'Data World'!$A$1:$AL$1,))</f>
        <v/>
      </c>
      <c r="J31" s="13">
        <f>VLOOKUP(B31,'Data World'!$A:$AL,MATCH(World!$J$1,'Data World'!$A$1:$AL$1,))</f>
        <v/>
      </c>
      <c r="K31" s="13">
        <f>VLOOKUP(B31,'Data World'!$A:$AL,MATCH(World!$K$1,'Data World'!$A$1:$AL$1,))</f>
        <v/>
      </c>
      <c r="L31" s="13">
        <f>VLOOKUP(B31,'Data World'!$A:$AL,MATCH(World!$L$1,'Data World'!$A$1:$AL$1,))</f>
        <v/>
      </c>
      <c r="M31" s="13">
        <f>VLOOKUP(B31,'Data World'!$A:$AL,MATCH(World!$M$1,'Data World'!$A$1:$AL$1,))</f>
        <v/>
      </c>
      <c r="N31" s="13">
        <f>VLOOKUP(B31,'Data World'!$A:$AL,MATCH(World!$N$1,'Data World'!$A$1:$AL$1,))</f>
        <v/>
      </c>
      <c r="O31" s="13">
        <f>VLOOKUP(B31,'Data World'!$A:$AL,MATCH(World!$O$1,'Data World'!$A$1:$AL$1,))</f>
        <v/>
      </c>
      <c r="P31" s="13">
        <f>VLOOKUP(B31,'Data World'!$A:$AL,MATCH(World!$P$1,'Data World'!$A$1:$AL$1,))</f>
        <v/>
      </c>
      <c r="Q31" s="13">
        <f>VLOOKUP(B31,'Data World'!$A:$AL,MATCH(World!$Q$1,'Data World'!$A$1:$AL$1,))</f>
        <v/>
      </c>
      <c r="R31" s="13">
        <f>VLOOKUP(B31,'Data World'!$A:$AL,MATCH(World!$R$1,'Data World'!$A$1:$AL$1,))</f>
        <v/>
      </c>
      <c r="S31" s="13">
        <f>VLOOKUP(B31,'Data World'!$A:$AL,MATCH(World!$S$1,'Data World'!$A$1:$AL$1,))</f>
        <v/>
      </c>
      <c r="T31" s="13">
        <f>VLOOKUP(B31,'Data World'!$A:$AL,MATCH(World!$T$1,'Data World'!$A$1:$AL$1,))</f>
        <v/>
      </c>
    </row>
    <row r="32">
      <c r="B32" s="12" t="n">
        <v>42916</v>
      </c>
      <c r="C32" s="13">
        <f>VLOOKUP(B32,'Data World'!$A:$AL,MATCH(World!$C$1,'Data World'!$A$1:$AL$1,))</f>
        <v/>
      </c>
      <c r="D32" s="13">
        <f>VLOOKUP(B32,'Data World'!$A:$AL,MATCH(World!$D$1,'Data World'!$A$1:$AL$1,))</f>
        <v/>
      </c>
      <c r="E32" s="13">
        <f>VLOOKUP(B32,'Data World'!$A:$AL,MATCH(World!$E$1,'Data World'!$A$1:$AL$1,))</f>
        <v/>
      </c>
      <c r="F32" s="13">
        <f>VLOOKUP(B32,'Data World'!$A:$AL,MATCH(World!$F$1,'Data World'!$A$1:$AL$1,))</f>
        <v/>
      </c>
      <c r="G32" s="13">
        <f>VLOOKUP(B32,'Data World'!$A:$AL,MATCH(World!$G$1,'Data World'!$A$1:$AL$1,))</f>
        <v/>
      </c>
      <c r="H32" s="13">
        <f>VLOOKUP(B32,'Data World'!$A:$AL,MATCH(World!$H$1,'Data World'!$A$1:$AL$1,))</f>
        <v/>
      </c>
      <c r="I32" s="13">
        <f>VLOOKUP(B32,'Data World'!$A:$AL,MATCH(World!$I$1,'Data World'!$A$1:$AL$1,))</f>
        <v/>
      </c>
      <c r="J32" s="13">
        <f>VLOOKUP(B32,'Data World'!$A:$AL,MATCH(World!$J$1,'Data World'!$A$1:$AL$1,))</f>
        <v/>
      </c>
      <c r="K32" s="13">
        <f>VLOOKUP(B32,'Data World'!$A:$AL,MATCH(World!$K$1,'Data World'!$A$1:$AL$1,))</f>
        <v/>
      </c>
      <c r="L32" s="13">
        <f>VLOOKUP(B32,'Data World'!$A:$AL,MATCH(World!$L$1,'Data World'!$A$1:$AL$1,))</f>
        <v/>
      </c>
      <c r="M32" s="13">
        <f>VLOOKUP(B32,'Data World'!$A:$AL,MATCH(World!$M$1,'Data World'!$A$1:$AL$1,))</f>
        <v/>
      </c>
      <c r="N32" s="13">
        <f>VLOOKUP(B32,'Data World'!$A:$AL,MATCH(World!$N$1,'Data World'!$A$1:$AL$1,))</f>
        <v/>
      </c>
      <c r="O32" s="13">
        <f>VLOOKUP(B32,'Data World'!$A:$AL,MATCH(World!$O$1,'Data World'!$A$1:$AL$1,))</f>
        <v/>
      </c>
      <c r="P32" s="13">
        <f>VLOOKUP(B32,'Data World'!$A:$AL,MATCH(World!$P$1,'Data World'!$A$1:$AL$1,))</f>
        <v/>
      </c>
      <c r="Q32" s="13">
        <f>VLOOKUP(B32,'Data World'!$A:$AL,MATCH(World!$Q$1,'Data World'!$A$1:$AL$1,))</f>
        <v/>
      </c>
      <c r="R32" s="13">
        <f>VLOOKUP(B32,'Data World'!$A:$AL,MATCH(World!$R$1,'Data World'!$A$1:$AL$1,))</f>
        <v/>
      </c>
      <c r="S32" s="13">
        <f>VLOOKUP(B32,'Data World'!$A:$AL,MATCH(World!$S$1,'Data World'!$A$1:$AL$1,))</f>
        <v/>
      </c>
      <c r="T32" s="13">
        <f>VLOOKUP(B32,'Data World'!$A:$AL,MATCH(World!$T$1,'Data World'!$A$1:$AL$1,))</f>
        <v/>
      </c>
    </row>
    <row r="33">
      <c r="B33" s="12" t="n">
        <v>42947</v>
      </c>
      <c r="C33" s="13">
        <f>VLOOKUP(B33,'Data World'!$A:$AL,MATCH(World!$C$1,'Data World'!$A$1:$AL$1,))</f>
        <v/>
      </c>
      <c r="D33" s="13">
        <f>VLOOKUP(B33,'Data World'!$A:$AL,MATCH(World!$D$1,'Data World'!$A$1:$AL$1,))</f>
        <v/>
      </c>
      <c r="E33" s="13">
        <f>VLOOKUP(B33,'Data World'!$A:$AL,MATCH(World!$E$1,'Data World'!$A$1:$AL$1,))</f>
        <v/>
      </c>
      <c r="F33" s="13">
        <f>VLOOKUP(B33,'Data World'!$A:$AL,MATCH(World!$F$1,'Data World'!$A$1:$AL$1,))</f>
        <v/>
      </c>
      <c r="G33" s="13">
        <f>VLOOKUP(B33,'Data World'!$A:$AL,MATCH(World!$G$1,'Data World'!$A$1:$AL$1,))</f>
        <v/>
      </c>
      <c r="H33" s="13">
        <f>VLOOKUP(B33,'Data World'!$A:$AL,MATCH(World!$H$1,'Data World'!$A$1:$AL$1,))</f>
        <v/>
      </c>
      <c r="I33" s="13">
        <f>VLOOKUP(B33,'Data World'!$A:$AL,MATCH(World!$I$1,'Data World'!$A$1:$AL$1,))</f>
        <v/>
      </c>
      <c r="J33" s="13">
        <f>VLOOKUP(B33,'Data World'!$A:$AL,MATCH(World!$J$1,'Data World'!$A$1:$AL$1,))</f>
        <v/>
      </c>
      <c r="K33" s="13">
        <f>VLOOKUP(B33,'Data World'!$A:$AL,MATCH(World!$K$1,'Data World'!$A$1:$AL$1,))</f>
        <v/>
      </c>
      <c r="L33" s="13">
        <f>VLOOKUP(B33,'Data World'!$A:$AL,MATCH(World!$L$1,'Data World'!$A$1:$AL$1,))</f>
        <v/>
      </c>
      <c r="M33" s="13">
        <f>VLOOKUP(B33,'Data World'!$A:$AL,MATCH(World!$M$1,'Data World'!$A$1:$AL$1,))</f>
        <v/>
      </c>
      <c r="N33" s="13">
        <f>VLOOKUP(B33,'Data World'!$A:$AL,MATCH(World!$N$1,'Data World'!$A$1:$AL$1,))</f>
        <v/>
      </c>
      <c r="O33" s="13">
        <f>VLOOKUP(B33,'Data World'!$A:$AL,MATCH(World!$O$1,'Data World'!$A$1:$AL$1,))</f>
        <v/>
      </c>
      <c r="P33" s="13">
        <f>VLOOKUP(B33,'Data World'!$A:$AL,MATCH(World!$P$1,'Data World'!$A$1:$AL$1,))</f>
        <v/>
      </c>
      <c r="Q33" s="13">
        <f>VLOOKUP(B33,'Data World'!$A:$AL,MATCH(World!$Q$1,'Data World'!$A$1:$AL$1,))</f>
        <v/>
      </c>
      <c r="R33" s="13">
        <f>VLOOKUP(B33,'Data World'!$A:$AL,MATCH(World!$R$1,'Data World'!$A$1:$AL$1,))</f>
        <v/>
      </c>
      <c r="S33" s="13">
        <f>VLOOKUP(B33,'Data World'!$A:$AL,MATCH(World!$S$1,'Data World'!$A$1:$AL$1,))</f>
        <v/>
      </c>
      <c r="T33" s="13">
        <f>VLOOKUP(B33,'Data World'!$A:$AL,MATCH(World!$T$1,'Data World'!$A$1:$AL$1,))</f>
        <v/>
      </c>
    </row>
    <row r="34">
      <c r="B34" s="12" t="n">
        <v>42978</v>
      </c>
      <c r="C34" s="13">
        <f>VLOOKUP(B34,'Data World'!$A:$AL,MATCH(World!$C$1,'Data World'!$A$1:$AL$1,))</f>
        <v/>
      </c>
      <c r="D34" s="13">
        <f>VLOOKUP(B34,'Data World'!$A:$AL,MATCH(World!$D$1,'Data World'!$A$1:$AL$1,))</f>
        <v/>
      </c>
      <c r="E34" s="13">
        <f>VLOOKUP(B34,'Data World'!$A:$AL,MATCH(World!$E$1,'Data World'!$A$1:$AL$1,))</f>
        <v/>
      </c>
      <c r="F34" s="13">
        <f>VLOOKUP(B34,'Data World'!$A:$AL,MATCH(World!$F$1,'Data World'!$A$1:$AL$1,))</f>
        <v/>
      </c>
      <c r="G34" s="13">
        <f>VLOOKUP(B34,'Data World'!$A:$AL,MATCH(World!$G$1,'Data World'!$A$1:$AL$1,))</f>
        <v/>
      </c>
      <c r="H34" s="13">
        <f>VLOOKUP(B34,'Data World'!$A:$AL,MATCH(World!$H$1,'Data World'!$A$1:$AL$1,))</f>
        <v/>
      </c>
      <c r="I34" s="13">
        <f>VLOOKUP(B34,'Data World'!$A:$AL,MATCH(World!$I$1,'Data World'!$A$1:$AL$1,))</f>
        <v/>
      </c>
      <c r="J34" s="13">
        <f>VLOOKUP(B34,'Data World'!$A:$AL,MATCH(World!$J$1,'Data World'!$A$1:$AL$1,))</f>
        <v/>
      </c>
      <c r="K34" s="13">
        <f>VLOOKUP(B34,'Data World'!$A:$AL,MATCH(World!$K$1,'Data World'!$A$1:$AL$1,))</f>
        <v/>
      </c>
      <c r="L34" s="13">
        <f>VLOOKUP(B34,'Data World'!$A:$AL,MATCH(World!$L$1,'Data World'!$A$1:$AL$1,))</f>
        <v/>
      </c>
      <c r="M34" s="13">
        <f>VLOOKUP(B34,'Data World'!$A:$AL,MATCH(World!$M$1,'Data World'!$A$1:$AL$1,))</f>
        <v/>
      </c>
      <c r="N34" s="13">
        <f>VLOOKUP(B34,'Data World'!$A:$AL,MATCH(World!$N$1,'Data World'!$A$1:$AL$1,))</f>
        <v/>
      </c>
      <c r="O34" s="13">
        <f>VLOOKUP(B34,'Data World'!$A:$AL,MATCH(World!$O$1,'Data World'!$A$1:$AL$1,))</f>
        <v/>
      </c>
      <c r="P34" s="13">
        <f>VLOOKUP(B34,'Data World'!$A:$AL,MATCH(World!$P$1,'Data World'!$A$1:$AL$1,))</f>
        <v/>
      </c>
      <c r="Q34" s="13">
        <f>VLOOKUP(B34,'Data World'!$A:$AL,MATCH(World!$Q$1,'Data World'!$A$1:$AL$1,))</f>
        <v/>
      </c>
      <c r="R34" s="13">
        <f>VLOOKUP(B34,'Data World'!$A:$AL,MATCH(World!$R$1,'Data World'!$A$1:$AL$1,))</f>
        <v/>
      </c>
      <c r="S34" s="13">
        <f>VLOOKUP(B34,'Data World'!$A:$AL,MATCH(World!$S$1,'Data World'!$A$1:$AL$1,))</f>
        <v/>
      </c>
      <c r="T34" s="13">
        <f>VLOOKUP(B34,'Data World'!$A:$AL,MATCH(World!$T$1,'Data World'!$A$1:$AL$1,))</f>
        <v/>
      </c>
    </row>
    <row r="35">
      <c r="B35" s="12" t="n">
        <v>43008</v>
      </c>
      <c r="C35" s="13">
        <f>VLOOKUP(B35,'Data World'!$A:$AL,MATCH(World!$C$1,'Data World'!$A$1:$AL$1,))</f>
        <v/>
      </c>
      <c r="D35" s="13">
        <f>VLOOKUP(B35,'Data World'!$A:$AL,MATCH(World!$D$1,'Data World'!$A$1:$AL$1,))</f>
        <v/>
      </c>
      <c r="E35" s="13">
        <f>VLOOKUP(B35,'Data World'!$A:$AL,MATCH(World!$E$1,'Data World'!$A$1:$AL$1,))</f>
        <v/>
      </c>
      <c r="F35" s="13">
        <f>VLOOKUP(B35,'Data World'!$A:$AL,MATCH(World!$F$1,'Data World'!$A$1:$AL$1,))</f>
        <v/>
      </c>
      <c r="G35" s="13">
        <f>VLOOKUP(B35,'Data World'!$A:$AL,MATCH(World!$G$1,'Data World'!$A$1:$AL$1,))</f>
        <v/>
      </c>
      <c r="H35" s="13">
        <f>VLOOKUP(B35,'Data World'!$A:$AL,MATCH(World!$H$1,'Data World'!$A$1:$AL$1,))</f>
        <v/>
      </c>
      <c r="I35" s="13">
        <f>VLOOKUP(B35,'Data World'!$A:$AL,MATCH(World!$I$1,'Data World'!$A$1:$AL$1,))</f>
        <v/>
      </c>
      <c r="J35" s="13">
        <f>VLOOKUP(B35,'Data World'!$A:$AL,MATCH(World!$J$1,'Data World'!$A$1:$AL$1,))</f>
        <v/>
      </c>
      <c r="K35" s="13">
        <f>VLOOKUP(B35,'Data World'!$A:$AL,MATCH(World!$K$1,'Data World'!$A$1:$AL$1,))</f>
        <v/>
      </c>
      <c r="L35" s="13">
        <f>VLOOKUP(B35,'Data World'!$A:$AL,MATCH(World!$L$1,'Data World'!$A$1:$AL$1,))</f>
        <v/>
      </c>
      <c r="M35" s="13">
        <f>VLOOKUP(B35,'Data World'!$A:$AL,MATCH(World!$M$1,'Data World'!$A$1:$AL$1,))</f>
        <v/>
      </c>
      <c r="N35" s="13">
        <f>VLOOKUP(B35,'Data World'!$A:$AL,MATCH(World!$N$1,'Data World'!$A$1:$AL$1,))</f>
        <v/>
      </c>
      <c r="O35" s="13">
        <f>VLOOKUP(B35,'Data World'!$A:$AL,MATCH(World!$O$1,'Data World'!$A$1:$AL$1,))</f>
        <v/>
      </c>
      <c r="P35" s="13">
        <f>VLOOKUP(B35,'Data World'!$A:$AL,MATCH(World!$P$1,'Data World'!$A$1:$AL$1,))</f>
        <v/>
      </c>
      <c r="Q35" s="13">
        <f>VLOOKUP(B35,'Data World'!$A:$AL,MATCH(World!$Q$1,'Data World'!$A$1:$AL$1,))</f>
        <v/>
      </c>
      <c r="R35" s="13">
        <f>VLOOKUP(B35,'Data World'!$A:$AL,MATCH(World!$R$1,'Data World'!$A$1:$AL$1,))</f>
        <v/>
      </c>
      <c r="S35" s="13">
        <f>VLOOKUP(B35,'Data World'!$A:$AL,MATCH(World!$S$1,'Data World'!$A$1:$AL$1,))</f>
        <v/>
      </c>
      <c r="T35" s="13">
        <f>VLOOKUP(B35,'Data World'!$A:$AL,MATCH(World!$T$1,'Data World'!$A$1:$AL$1,))</f>
        <v/>
      </c>
    </row>
    <row r="36">
      <c r="B36" s="12" t="n">
        <v>43039</v>
      </c>
      <c r="C36" s="13">
        <f>VLOOKUP(B36,'Data World'!$A:$AL,MATCH(World!$C$1,'Data World'!$A$1:$AL$1,))</f>
        <v/>
      </c>
      <c r="D36" s="13">
        <f>VLOOKUP(B36,'Data World'!$A:$AL,MATCH(World!$D$1,'Data World'!$A$1:$AL$1,))</f>
        <v/>
      </c>
      <c r="E36" s="13">
        <f>VLOOKUP(B36,'Data World'!$A:$AL,MATCH(World!$E$1,'Data World'!$A$1:$AL$1,))</f>
        <v/>
      </c>
      <c r="F36" s="13">
        <f>VLOOKUP(B36,'Data World'!$A:$AL,MATCH(World!$F$1,'Data World'!$A$1:$AL$1,))</f>
        <v/>
      </c>
      <c r="G36" s="13">
        <f>VLOOKUP(B36,'Data World'!$A:$AL,MATCH(World!$G$1,'Data World'!$A$1:$AL$1,))</f>
        <v/>
      </c>
      <c r="H36" s="13">
        <f>VLOOKUP(B36,'Data World'!$A:$AL,MATCH(World!$H$1,'Data World'!$A$1:$AL$1,))</f>
        <v/>
      </c>
      <c r="I36" s="13">
        <f>VLOOKUP(B36,'Data World'!$A:$AL,MATCH(World!$I$1,'Data World'!$A$1:$AL$1,))</f>
        <v/>
      </c>
      <c r="J36" s="13">
        <f>VLOOKUP(B36,'Data World'!$A:$AL,MATCH(World!$J$1,'Data World'!$A$1:$AL$1,))</f>
        <v/>
      </c>
      <c r="K36" s="13">
        <f>VLOOKUP(B36,'Data World'!$A:$AL,MATCH(World!$K$1,'Data World'!$A$1:$AL$1,))</f>
        <v/>
      </c>
      <c r="L36" s="13">
        <f>VLOOKUP(B36,'Data World'!$A:$AL,MATCH(World!$L$1,'Data World'!$A$1:$AL$1,))</f>
        <v/>
      </c>
      <c r="M36" s="13">
        <f>VLOOKUP(B36,'Data World'!$A:$AL,MATCH(World!$M$1,'Data World'!$A$1:$AL$1,))</f>
        <v/>
      </c>
      <c r="N36" s="13">
        <f>VLOOKUP(B36,'Data World'!$A:$AL,MATCH(World!$N$1,'Data World'!$A$1:$AL$1,))</f>
        <v/>
      </c>
      <c r="O36" s="13">
        <f>VLOOKUP(B36,'Data World'!$A:$AL,MATCH(World!$O$1,'Data World'!$A$1:$AL$1,))</f>
        <v/>
      </c>
      <c r="P36" s="13">
        <f>VLOOKUP(B36,'Data World'!$A:$AL,MATCH(World!$P$1,'Data World'!$A$1:$AL$1,))</f>
        <v/>
      </c>
      <c r="Q36" s="13">
        <f>VLOOKUP(B36,'Data World'!$A:$AL,MATCH(World!$Q$1,'Data World'!$A$1:$AL$1,))</f>
        <v/>
      </c>
      <c r="R36" s="13">
        <f>VLOOKUP(B36,'Data World'!$A:$AL,MATCH(World!$R$1,'Data World'!$A$1:$AL$1,))</f>
        <v/>
      </c>
      <c r="S36" s="13">
        <f>VLOOKUP(B36,'Data World'!$A:$AL,MATCH(World!$S$1,'Data World'!$A$1:$AL$1,))</f>
        <v/>
      </c>
      <c r="T36" s="13">
        <f>VLOOKUP(B36,'Data World'!$A:$AL,MATCH(World!$T$1,'Data World'!$A$1:$AL$1,))</f>
        <v/>
      </c>
    </row>
    <row r="37">
      <c r="B37" s="12" t="n">
        <v>43069</v>
      </c>
      <c r="C37" s="13">
        <f>VLOOKUP(B37,'Data World'!$A:$AL,MATCH(World!$C$1,'Data World'!$A$1:$AL$1,))</f>
        <v/>
      </c>
      <c r="D37" s="13">
        <f>VLOOKUP(B37,'Data World'!$A:$AL,MATCH(World!$D$1,'Data World'!$A$1:$AL$1,))</f>
        <v/>
      </c>
      <c r="E37" s="13">
        <f>VLOOKUP(B37,'Data World'!$A:$AL,MATCH(World!$E$1,'Data World'!$A$1:$AL$1,))</f>
        <v/>
      </c>
      <c r="F37" s="13">
        <f>VLOOKUP(B37,'Data World'!$A:$AL,MATCH(World!$F$1,'Data World'!$A$1:$AL$1,))</f>
        <v/>
      </c>
      <c r="G37" s="13">
        <f>VLOOKUP(B37,'Data World'!$A:$AL,MATCH(World!$G$1,'Data World'!$A$1:$AL$1,))</f>
        <v/>
      </c>
      <c r="H37" s="13">
        <f>VLOOKUP(B37,'Data World'!$A:$AL,MATCH(World!$H$1,'Data World'!$A$1:$AL$1,))</f>
        <v/>
      </c>
      <c r="I37" s="13">
        <f>VLOOKUP(B37,'Data World'!$A:$AL,MATCH(World!$I$1,'Data World'!$A$1:$AL$1,))</f>
        <v/>
      </c>
      <c r="J37" s="13">
        <f>VLOOKUP(B37,'Data World'!$A:$AL,MATCH(World!$J$1,'Data World'!$A$1:$AL$1,))</f>
        <v/>
      </c>
      <c r="K37" s="13">
        <f>VLOOKUP(B37,'Data World'!$A:$AL,MATCH(World!$K$1,'Data World'!$A$1:$AL$1,))</f>
        <v/>
      </c>
      <c r="L37" s="13">
        <f>VLOOKUP(B37,'Data World'!$A:$AL,MATCH(World!$L$1,'Data World'!$A$1:$AL$1,))</f>
        <v/>
      </c>
      <c r="M37" s="13">
        <f>VLOOKUP(B37,'Data World'!$A:$AL,MATCH(World!$M$1,'Data World'!$A$1:$AL$1,))</f>
        <v/>
      </c>
      <c r="N37" s="13">
        <f>VLOOKUP(B37,'Data World'!$A:$AL,MATCH(World!$N$1,'Data World'!$A$1:$AL$1,))</f>
        <v/>
      </c>
      <c r="O37" s="13">
        <f>VLOOKUP(B37,'Data World'!$A:$AL,MATCH(World!$O$1,'Data World'!$A$1:$AL$1,))</f>
        <v/>
      </c>
      <c r="P37" s="13">
        <f>VLOOKUP(B37,'Data World'!$A:$AL,MATCH(World!$P$1,'Data World'!$A$1:$AL$1,))</f>
        <v/>
      </c>
      <c r="Q37" s="13">
        <f>VLOOKUP(B37,'Data World'!$A:$AL,MATCH(World!$Q$1,'Data World'!$A$1:$AL$1,))</f>
        <v/>
      </c>
      <c r="R37" s="13">
        <f>VLOOKUP(B37,'Data World'!$A:$AL,MATCH(World!$R$1,'Data World'!$A$1:$AL$1,))</f>
        <v/>
      </c>
      <c r="S37" s="13">
        <f>VLOOKUP(B37,'Data World'!$A:$AL,MATCH(World!$S$1,'Data World'!$A$1:$AL$1,))</f>
        <v/>
      </c>
      <c r="T37" s="13">
        <f>VLOOKUP(B37,'Data World'!$A:$AL,MATCH(World!$T$1,'Data World'!$A$1:$AL$1,))</f>
        <v/>
      </c>
    </row>
    <row r="38">
      <c r="B38" s="12" t="n">
        <v>43100</v>
      </c>
      <c r="C38" s="13">
        <f>VLOOKUP(B38,'Data World'!$A:$AL,MATCH(World!$C$1,'Data World'!$A$1:$AL$1,))</f>
        <v/>
      </c>
      <c r="D38" s="13">
        <f>VLOOKUP(B38,'Data World'!$A:$AL,MATCH(World!$D$1,'Data World'!$A$1:$AL$1,))</f>
        <v/>
      </c>
      <c r="E38" s="13">
        <f>VLOOKUP(B38,'Data World'!$A:$AL,MATCH(World!$E$1,'Data World'!$A$1:$AL$1,))</f>
        <v/>
      </c>
      <c r="F38" s="13">
        <f>VLOOKUP(B38,'Data World'!$A:$AL,MATCH(World!$F$1,'Data World'!$A$1:$AL$1,))</f>
        <v/>
      </c>
      <c r="G38" s="13">
        <f>VLOOKUP(B38,'Data World'!$A:$AL,MATCH(World!$G$1,'Data World'!$A$1:$AL$1,))</f>
        <v/>
      </c>
      <c r="H38" s="13">
        <f>VLOOKUP(B38,'Data World'!$A:$AL,MATCH(World!$H$1,'Data World'!$A$1:$AL$1,))</f>
        <v/>
      </c>
      <c r="I38" s="13">
        <f>VLOOKUP(B38,'Data World'!$A:$AL,MATCH(World!$I$1,'Data World'!$A$1:$AL$1,))</f>
        <v/>
      </c>
      <c r="J38" s="13">
        <f>VLOOKUP(B38,'Data World'!$A:$AL,MATCH(World!$J$1,'Data World'!$A$1:$AL$1,))</f>
        <v/>
      </c>
      <c r="K38" s="13">
        <f>VLOOKUP(B38,'Data World'!$A:$AL,MATCH(World!$K$1,'Data World'!$A$1:$AL$1,))</f>
        <v/>
      </c>
      <c r="L38" s="13">
        <f>VLOOKUP(B38,'Data World'!$A:$AL,MATCH(World!$L$1,'Data World'!$A$1:$AL$1,))</f>
        <v/>
      </c>
      <c r="M38" s="13">
        <f>VLOOKUP(B38,'Data World'!$A:$AL,MATCH(World!$M$1,'Data World'!$A$1:$AL$1,))</f>
        <v/>
      </c>
      <c r="N38" s="13">
        <f>VLOOKUP(B38,'Data World'!$A:$AL,MATCH(World!$N$1,'Data World'!$A$1:$AL$1,))</f>
        <v/>
      </c>
      <c r="O38" s="13">
        <f>VLOOKUP(B38,'Data World'!$A:$AL,MATCH(World!$O$1,'Data World'!$A$1:$AL$1,))</f>
        <v/>
      </c>
      <c r="P38" s="13">
        <f>VLOOKUP(B38,'Data World'!$A:$AL,MATCH(World!$P$1,'Data World'!$A$1:$AL$1,))</f>
        <v/>
      </c>
      <c r="Q38" s="13">
        <f>VLOOKUP(B38,'Data World'!$A:$AL,MATCH(World!$Q$1,'Data World'!$A$1:$AL$1,))</f>
        <v/>
      </c>
      <c r="R38" s="13">
        <f>VLOOKUP(B38,'Data World'!$A:$AL,MATCH(World!$R$1,'Data World'!$A$1:$AL$1,))</f>
        <v/>
      </c>
      <c r="S38" s="13">
        <f>VLOOKUP(B38,'Data World'!$A:$AL,MATCH(World!$S$1,'Data World'!$A$1:$AL$1,))</f>
        <v/>
      </c>
      <c r="T38" s="13">
        <f>VLOOKUP(B38,'Data World'!$A:$AL,MATCH(World!$T$1,'Data World'!$A$1:$AL$1,))</f>
        <v/>
      </c>
    </row>
    <row r="39">
      <c r="B39" s="12" t="n">
        <v>43131</v>
      </c>
      <c r="C39" s="13">
        <f>VLOOKUP(B39,'Data World'!$A:$AL,MATCH(World!$C$1,'Data World'!$A$1:$AL$1,))</f>
        <v/>
      </c>
      <c r="D39" s="13">
        <f>VLOOKUP(B39,'Data World'!$A:$AL,MATCH(World!$D$1,'Data World'!$A$1:$AL$1,))</f>
        <v/>
      </c>
      <c r="E39" s="13">
        <f>VLOOKUP(B39,'Data World'!$A:$AL,MATCH(World!$E$1,'Data World'!$A$1:$AL$1,))</f>
        <v/>
      </c>
      <c r="F39" s="13">
        <f>VLOOKUP(B39,'Data World'!$A:$AL,MATCH(World!$F$1,'Data World'!$A$1:$AL$1,))</f>
        <v/>
      </c>
      <c r="G39" s="13">
        <f>VLOOKUP(B39,'Data World'!$A:$AL,MATCH(World!$G$1,'Data World'!$A$1:$AL$1,))</f>
        <v/>
      </c>
      <c r="H39" s="13">
        <f>VLOOKUP(B39,'Data World'!$A:$AL,MATCH(World!$H$1,'Data World'!$A$1:$AL$1,))</f>
        <v/>
      </c>
      <c r="I39" s="13">
        <f>VLOOKUP(B39,'Data World'!$A:$AL,MATCH(World!$I$1,'Data World'!$A$1:$AL$1,))</f>
        <v/>
      </c>
      <c r="J39" s="13">
        <f>VLOOKUP(B39,'Data World'!$A:$AL,MATCH(World!$J$1,'Data World'!$A$1:$AL$1,))</f>
        <v/>
      </c>
      <c r="K39" s="13">
        <f>VLOOKUP(B39,'Data World'!$A:$AL,MATCH(World!$K$1,'Data World'!$A$1:$AL$1,))</f>
        <v/>
      </c>
      <c r="L39" s="13">
        <f>VLOOKUP(B39,'Data World'!$A:$AL,MATCH(World!$L$1,'Data World'!$A$1:$AL$1,))</f>
        <v/>
      </c>
      <c r="M39" s="13">
        <f>VLOOKUP(B39,'Data World'!$A:$AL,MATCH(World!$M$1,'Data World'!$A$1:$AL$1,))</f>
        <v/>
      </c>
      <c r="N39" s="13">
        <f>VLOOKUP(B39,'Data World'!$A:$AL,MATCH(World!$N$1,'Data World'!$A$1:$AL$1,))</f>
        <v/>
      </c>
      <c r="O39" s="13">
        <f>VLOOKUP(B39,'Data World'!$A:$AL,MATCH(World!$O$1,'Data World'!$A$1:$AL$1,))</f>
        <v/>
      </c>
      <c r="P39" s="13">
        <f>VLOOKUP(B39,'Data World'!$A:$AL,MATCH(World!$P$1,'Data World'!$A$1:$AL$1,))</f>
        <v/>
      </c>
      <c r="Q39" s="13">
        <f>VLOOKUP(B39,'Data World'!$A:$AL,MATCH(World!$Q$1,'Data World'!$A$1:$AL$1,))</f>
        <v/>
      </c>
      <c r="R39" s="13">
        <f>VLOOKUP(B39,'Data World'!$A:$AL,MATCH(World!$R$1,'Data World'!$A$1:$AL$1,))</f>
        <v/>
      </c>
      <c r="S39" s="13">
        <f>VLOOKUP(B39,'Data World'!$A:$AL,MATCH(World!$S$1,'Data World'!$A$1:$AL$1,))</f>
        <v/>
      </c>
      <c r="T39" s="13">
        <f>VLOOKUP(B39,'Data World'!$A:$AL,MATCH(World!$T$1,'Data World'!$A$1:$AL$1,))</f>
        <v/>
      </c>
    </row>
    <row r="40">
      <c r="B40" s="12" t="n">
        <v>43159</v>
      </c>
      <c r="C40" s="13">
        <f>VLOOKUP(B40,'Data World'!$A:$AL,MATCH(World!$C$1,'Data World'!$A$1:$AL$1,))</f>
        <v/>
      </c>
      <c r="D40" s="13">
        <f>VLOOKUP(B40,'Data World'!$A:$AL,MATCH(World!$D$1,'Data World'!$A$1:$AL$1,))</f>
        <v/>
      </c>
      <c r="E40" s="13">
        <f>VLOOKUP(B40,'Data World'!$A:$AL,MATCH(World!$E$1,'Data World'!$A$1:$AL$1,))</f>
        <v/>
      </c>
      <c r="F40" s="13">
        <f>VLOOKUP(B40,'Data World'!$A:$AL,MATCH(World!$F$1,'Data World'!$A$1:$AL$1,))</f>
        <v/>
      </c>
      <c r="G40" s="13">
        <f>VLOOKUP(B40,'Data World'!$A:$AL,MATCH(World!$G$1,'Data World'!$A$1:$AL$1,))</f>
        <v/>
      </c>
      <c r="H40" s="13">
        <f>VLOOKUP(B40,'Data World'!$A:$AL,MATCH(World!$H$1,'Data World'!$A$1:$AL$1,))</f>
        <v/>
      </c>
      <c r="I40" s="13">
        <f>VLOOKUP(B40,'Data World'!$A:$AL,MATCH(World!$I$1,'Data World'!$A$1:$AL$1,))</f>
        <v/>
      </c>
      <c r="J40" s="13">
        <f>VLOOKUP(B40,'Data World'!$A:$AL,MATCH(World!$J$1,'Data World'!$A$1:$AL$1,))</f>
        <v/>
      </c>
      <c r="K40" s="13">
        <f>VLOOKUP(B40,'Data World'!$A:$AL,MATCH(World!$K$1,'Data World'!$A$1:$AL$1,))</f>
        <v/>
      </c>
      <c r="L40" s="13">
        <f>VLOOKUP(B40,'Data World'!$A:$AL,MATCH(World!$L$1,'Data World'!$A$1:$AL$1,))</f>
        <v/>
      </c>
      <c r="M40" s="13">
        <f>VLOOKUP(B40,'Data World'!$A:$AL,MATCH(World!$M$1,'Data World'!$A$1:$AL$1,))</f>
        <v/>
      </c>
      <c r="N40" s="13">
        <f>VLOOKUP(B40,'Data World'!$A:$AL,MATCH(World!$N$1,'Data World'!$A$1:$AL$1,))</f>
        <v/>
      </c>
      <c r="O40" s="13">
        <f>VLOOKUP(B40,'Data World'!$A:$AL,MATCH(World!$O$1,'Data World'!$A$1:$AL$1,))</f>
        <v/>
      </c>
      <c r="P40" s="13">
        <f>VLOOKUP(B40,'Data World'!$A:$AL,MATCH(World!$P$1,'Data World'!$A$1:$AL$1,))</f>
        <v/>
      </c>
      <c r="Q40" s="13">
        <f>VLOOKUP(B40,'Data World'!$A:$AL,MATCH(World!$Q$1,'Data World'!$A$1:$AL$1,))</f>
        <v/>
      </c>
      <c r="R40" s="13">
        <f>VLOOKUP(B40,'Data World'!$A:$AL,MATCH(World!$R$1,'Data World'!$A$1:$AL$1,))</f>
        <v/>
      </c>
      <c r="S40" s="13">
        <f>VLOOKUP(B40,'Data World'!$A:$AL,MATCH(World!$S$1,'Data World'!$A$1:$AL$1,))</f>
        <v/>
      </c>
      <c r="T40" s="13">
        <f>VLOOKUP(B40,'Data World'!$A:$AL,MATCH(World!$T$1,'Data World'!$A$1:$AL$1,))</f>
        <v/>
      </c>
    </row>
    <row r="41">
      <c r="B41" s="12" t="n">
        <v>43190</v>
      </c>
      <c r="C41" s="13">
        <f>VLOOKUP(B41,'Data World'!$A:$AL,MATCH(World!$C$1,'Data World'!$A$1:$AL$1,))</f>
        <v/>
      </c>
      <c r="D41" s="13">
        <f>VLOOKUP(B41,'Data World'!$A:$AL,MATCH(World!$D$1,'Data World'!$A$1:$AL$1,))</f>
        <v/>
      </c>
      <c r="E41" s="13">
        <f>VLOOKUP(B41,'Data World'!$A:$AL,MATCH(World!$E$1,'Data World'!$A$1:$AL$1,))</f>
        <v/>
      </c>
      <c r="F41" s="13">
        <f>VLOOKUP(B41,'Data World'!$A:$AL,MATCH(World!$F$1,'Data World'!$A$1:$AL$1,))</f>
        <v/>
      </c>
      <c r="G41" s="13">
        <f>VLOOKUP(B41,'Data World'!$A:$AL,MATCH(World!$G$1,'Data World'!$A$1:$AL$1,))</f>
        <v/>
      </c>
      <c r="H41" s="13">
        <f>VLOOKUP(B41,'Data World'!$A:$AL,MATCH(World!$H$1,'Data World'!$A$1:$AL$1,))</f>
        <v/>
      </c>
      <c r="I41" s="13">
        <f>VLOOKUP(B41,'Data World'!$A:$AL,MATCH(World!$I$1,'Data World'!$A$1:$AL$1,))</f>
        <v/>
      </c>
      <c r="J41" s="13">
        <f>VLOOKUP(B41,'Data World'!$A:$AL,MATCH(World!$J$1,'Data World'!$A$1:$AL$1,))</f>
        <v/>
      </c>
      <c r="K41" s="13">
        <f>VLOOKUP(B41,'Data World'!$A:$AL,MATCH(World!$K$1,'Data World'!$A$1:$AL$1,))</f>
        <v/>
      </c>
      <c r="L41" s="13">
        <f>VLOOKUP(B41,'Data World'!$A:$AL,MATCH(World!$L$1,'Data World'!$A$1:$AL$1,))</f>
        <v/>
      </c>
      <c r="M41" s="13">
        <f>VLOOKUP(B41,'Data World'!$A:$AL,MATCH(World!$M$1,'Data World'!$A$1:$AL$1,))</f>
        <v/>
      </c>
      <c r="N41" s="13">
        <f>VLOOKUP(B41,'Data World'!$A:$AL,MATCH(World!$N$1,'Data World'!$A$1:$AL$1,))</f>
        <v/>
      </c>
      <c r="O41" s="13">
        <f>VLOOKUP(B41,'Data World'!$A:$AL,MATCH(World!$O$1,'Data World'!$A$1:$AL$1,))</f>
        <v/>
      </c>
      <c r="P41" s="13">
        <f>VLOOKUP(B41,'Data World'!$A:$AL,MATCH(World!$P$1,'Data World'!$A$1:$AL$1,))</f>
        <v/>
      </c>
      <c r="Q41" s="13">
        <f>VLOOKUP(B41,'Data World'!$A:$AL,MATCH(World!$Q$1,'Data World'!$A$1:$AL$1,))</f>
        <v/>
      </c>
      <c r="R41" s="13">
        <f>VLOOKUP(B41,'Data World'!$A:$AL,MATCH(World!$R$1,'Data World'!$A$1:$AL$1,))</f>
        <v/>
      </c>
      <c r="S41" s="13">
        <f>VLOOKUP(B41,'Data World'!$A:$AL,MATCH(World!$S$1,'Data World'!$A$1:$AL$1,))</f>
        <v/>
      </c>
      <c r="T41" s="13">
        <f>VLOOKUP(B41,'Data World'!$A:$AL,MATCH(World!$T$1,'Data World'!$A$1:$AL$1,))</f>
        <v/>
      </c>
    </row>
    <row r="42">
      <c r="B42" s="12" t="n">
        <v>43220</v>
      </c>
      <c r="C42" s="13">
        <f>VLOOKUP(B42,'Data World'!$A:$AL,MATCH(World!$C$1,'Data World'!$A$1:$AL$1,))</f>
        <v/>
      </c>
      <c r="D42" s="13">
        <f>VLOOKUP(B42,'Data World'!$A:$AL,MATCH(World!$D$1,'Data World'!$A$1:$AL$1,))</f>
        <v/>
      </c>
      <c r="E42" s="13">
        <f>VLOOKUP(B42,'Data World'!$A:$AL,MATCH(World!$E$1,'Data World'!$A$1:$AL$1,))</f>
        <v/>
      </c>
      <c r="F42" s="13">
        <f>VLOOKUP(B42,'Data World'!$A:$AL,MATCH(World!$F$1,'Data World'!$A$1:$AL$1,))</f>
        <v/>
      </c>
      <c r="G42" s="13">
        <f>VLOOKUP(B42,'Data World'!$A:$AL,MATCH(World!$G$1,'Data World'!$A$1:$AL$1,))</f>
        <v/>
      </c>
      <c r="H42" s="13">
        <f>VLOOKUP(B42,'Data World'!$A:$AL,MATCH(World!$H$1,'Data World'!$A$1:$AL$1,))</f>
        <v/>
      </c>
      <c r="I42" s="13">
        <f>VLOOKUP(B42,'Data World'!$A:$AL,MATCH(World!$I$1,'Data World'!$A$1:$AL$1,))</f>
        <v/>
      </c>
      <c r="J42" s="13">
        <f>VLOOKUP(B42,'Data World'!$A:$AL,MATCH(World!$J$1,'Data World'!$A$1:$AL$1,))</f>
        <v/>
      </c>
      <c r="K42" s="13">
        <f>VLOOKUP(B42,'Data World'!$A:$AL,MATCH(World!$K$1,'Data World'!$A$1:$AL$1,))</f>
        <v/>
      </c>
      <c r="L42" s="13">
        <f>VLOOKUP(B42,'Data World'!$A:$AL,MATCH(World!$L$1,'Data World'!$A$1:$AL$1,))</f>
        <v/>
      </c>
      <c r="M42" s="13">
        <f>VLOOKUP(B42,'Data World'!$A:$AL,MATCH(World!$M$1,'Data World'!$A$1:$AL$1,))</f>
        <v/>
      </c>
      <c r="N42" s="13">
        <f>VLOOKUP(B42,'Data World'!$A:$AL,MATCH(World!$N$1,'Data World'!$A$1:$AL$1,))</f>
        <v/>
      </c>
      <c r="O42" s="13">
        <f>VLOOKUP(B42,'Data World'!$A:$AL,MATCH(World!$O$1,'Data World'!$A$1:$AL$1,))</f>
        <v/>
      </c>
      <c r="P42" s="13">
        <f>VLOOKUP(B42,'Data World'!$A:$AL,MATCH(World!$P$1,'Data World'!$A$1:$AL$1,))</f>
        <v/>
      </c>
      <c r="Q42" s="13">
        <f>VLOOKUP(B42,'Data World'!$A:$AL,MATCH(World!$Q$1,'Data World'!$A$1:$AL$1,))</f>
        <v/>
      </c>
      <c r="R42" s="13">
        <f>VLOOKUP(B42,'Data World'!$A:$AL,MATCH(World!$R$1,'Data World'!$A$1:$AL$1,))</f>
        <v/>
      </c>
      <c r="S42" s="13">
        <f>VLOOKUP(B42,'Data World'!$A:$AL,MATCH(World!$S$1,'Data World'!$A$1:$AL$1,))</f>
        <v/>
      </c>
      <c r="T42" s="13">
        <f>VLOOKUP(B42,'Data World'!$A:$AL,MATCH(World!$T$1,'Data World'!$A$1:$AL$1,))</f>
        <v/>
      </c>
    </row>
    <row r="43" customFormat="1" s="70">
      <c r="B43" s="12" t="n">
        <v>43251</v>
      </c>
      <c r="C43" s="13">
        <f>VLOOKUP(B43,'Data World'!$A:$AL,MATCH(World!$C$1,'Data World'!$A$1:$AL$1,))</f>
        <v/>
      </c>
      <c r="D43" s="13">
        <f>VLOOKUP(B43,'Data World'!$A:$AL,MATCH(World!$D$1,'Data World'!$A$1:$AL$1,))</f>
        <v/>
      </c>
      <c r="E43" s="13">
        <f>VLOOKUP(B43,'Data World'!$A:$AL,MATCH(World!$E$1,'Data World'!$A$1:$AL$1,))</f>
        <v/>
      </c>
      <c r="F43" s="13">
        <f>VLOOKUP(B43,'Data World'!$A:$AL,MATCH(World!$F$1,'Data World'!$A$1:$AL$1,))</f>
        <v/>
      </c>
      <c r="G43" s="13">
        <f>VLOOKUP(B43,'Data World'!$A:$AL,MATCH(World!$G$1,'Data World'!$A$1:$AL$1,))</f>
        <v/>
      </c>
      <c r="H43" s="13">
        <f>VLOOKUP(B43,'Data World'!$A:$AL,MATCH(World!$H$1,'Data World'!$A$1:$AL$1,))</f>
        <v/>
      </c>
      <c r="I43" s="13">
        <f>VLOOKUP(B43,'Data World'!$A:$AL,MATCH(World!$I$1,'Data World'!$A$1:$AL$1,))</f>
        <v/>
      </c>
      <c r="J43" s="13">
        <f>VLOOKUP(B43,'Data World'!$A:$AL,MATCH(World!$J$1,'Data World'!$A$1:$AL$1,))</f>
        <v/>
      </c>
      <c r="K43" s="13">
        <f>VLOOKUP(B43,'Data World'!$A:$AL,MATCH(World!$K$1,'Data World'!$A$1:$AL$1,))</f>
        <v/>
      </c>
      <c r="L43" s="13">
        <f>VLOOKUP(B43,'Data World'!$A:$AL,MATCH(World!$L$1,'Data World'!$A$1:$AL$1,))</f>
        <v/>
      </c>
      <c r="M43" s="13">
        <f>VLOOKUP(B43,'Data World'!$A:$AL,MATCH(World!$M$1,'Data World'!$A$1:$AL$1,))</f>
        <v/>
      </c>
      <c r="N43" s="13">
        <f>VLOOKUP(B43,'Data World'!$A:$AL,MATCH(World!$N$1,'Data World'!$A$1:$AL$1,))</f>
        <v/>
      </c>
      <c r="O43" s="13">
        <f>VLOOKUP(B43,'Data World'!$A:$AL,MATCH(World!$O$1,'Data World'!$A$1:$AL$1,))</f>
        <v/>
      </c>
      <c r="P43" s="13">
        <f>VLOOKUP(B43,'Data World'!$A:$AL,MATCH(World!$P$1,'Data World'!$A$1:$AL$1,))</f>
        <v/>
      </c>
      <c r="Q43" s="13">
        <f>VLOOKUP(B43,'Data World'!$A:$AL,MATCH(World!$Q$1,'Data World'!$A$1:$AL$1,))</f>
        <v/>
      </c>
      <c r="R43" s="13">
        <f>VLOOKUP(B43,'Data World'!$A:$AL,MATCH(World!$R$1,'Data World'!$A$1:$AL$1,))</f>
        <v/>
      </c>
      <c r="S43" s="13">
        <f>VLOOKUP(B43,'Data World'!$A:$AL,MATCH(World!$S$1,'Data World'!$A$1:$AL$1,))</f>
        <v/>
      </c>
      <c r="T43" s="13">
        <f>VLOOKUP(B43,'Data World'!$A:$AL,MATCH(World!$T$1,'Data World'!$A$1:$AL$1,))</f>
        <v/>
      </c>
    </row>
    <row r="44" customFormat="1" s="70">
      <c r="B44" s="12" t="n">
        <v>43281</v>
      </c>
      <c r="C44" s="13">
        <f>VLOOKUP(B44,'Data World'!$A:$AL,MATCH(World!$C$1,'Data World'!$A$1:$AL$1,))</f>
        <v/>
      </c>
      <c r="D44" s="13">
        <f>VLOOKUP(B44,'Data World'!$A:$AL,MATCH(World!$D$1,'Data World'!$A$1:$AL$1,))</f>
        <v/>
      </c>
      <c r="E44" s="13">
        <f>VLOOKUP(B44,'Data World'!$A:$AL,MATCH(World!$E$1,'Data World'!$A$1:$AL$1,))</f>
        <v/>
      </c>
      <c r="F44" s="13">
        <f>VLOOKUP(B44,'Data World'!$A:$AL,MATCH(World!$F$1,'Data World'!$A$1:$AL$1,))</f>
        <v/>
      </c>
      <c r="G44" s="13">
        <f>VLOOKUP(B44,'Data World'!$A:$AL,MATCH(World!$G$1,'Data World'!$A$1:$AL$1,))</f>
        <v/>
      </c>
      <c r="H44" s="13">
        <f>VLOOKUP(B44,'Data World'!$A:$AL,MATCH(World!$H$1,'Data World'!$A$1:$AL$1,))</f>
        <v/>
      </c>
      <c r="I44" s="13">
        <f>VLOOKUP(B44,'Data World'!$A:$AL,MATCH(World!$I$1,'Data World'!$A$1:$AL$1,))</f>
        <v/>
      </c>
      <c r="J44" s="13">
        <f>VLOOKUP(B44,'Data World'!$A:$AL,MATCH(World!$J$1,'Data World'!$A$1:$AL$1,))</f>
        <v/>
      </c>
      <c r="K44" s="13">
        <f>VLOOKUP(B44,'Data World'!$A:$AL,MATCH(World!$K$1,'Data World'!$A$1:$AL$1,))</f>
        <v/>
      </c>
      <c r="L44" s="13">
        <f>VLOOKUP(B44,'Data World'!$A:$AL,MATCH(World!$L$1,'Data World'!$A$1:$AL$1,))</f>
        <v/>
      </c>
      <c r="M44" s="13">
        <f>VLOOKUP(B44,'Data World'!$A:$AL,MATCH(World!$M$1,'Data World'!$A$1:$AL$1,))</f>
        <v/>
      </c>
      <c r="N44" s="13">
        <f>VLOOKUP(B44,'Data World'!$A:$AL,MATCH(World!$N$1,'Data World'!$A$1:$AL$1,))</f>
        <v/>
      </c>
      <c r="O44" s="13">
        <f>VLOOKUP(B44,'Data World'!$A:$AL,MATCH(World!$O$1,'Data World'!$A$1:$AL$1,))</f>
        <v/>
      </c>
      <c r="P44" s="13">
        <f>VLOOKUP(B44,'Data World'!$A:$AL,MATCH(World!$P$1,'Data World'!$A$1:$AL$1,))</f>
        <v/>
      </c>
      <c r="Q44" s="13">
        <f>VLOOKUP(B44,'Data World'!$A:$AL,MATCH(World!$Q$1,'Data World'!$A$1:$AL$1,))</f>
        <v/>
      </c>
      <c r="R44" s="13">
        <f>VLOOKUP(B44,'Data World'!$A:$AL,MATCH(World!$R$1,'Data World'!$A$1:$AL$1,))</f>
        <v/>
      </c>
      <c r="S44" s="13">
        <f>VLOOKUP(B44,'Data World'!$A:$AL,MATCH(World!$S$1,'Data World'!$A$1:$AL$1,))</f>
        <v/>
      </c>
      <c r="T44" s="13">
        <f>VLOOKUP(B44,'Data World'!$A:$AL,MATCH(World!$T$1,'Data World'!$A$1:$AL$1,))</f>
        <v/>
      </c>
    </row>
    <row r="45" customFormat="1" s="70">
      <c r="B45" s="12" t="n">
        <v>43312</v>
      </c>
      <c r="C45" s="13">
        <f>VLOOKUP(B45,'Data World'!$A:$AL,MATCH(World!$C$1,'Data World'!$A$1:$AL$1,))</f>
        <v/>
      </c>
      <c r="D45" s="13">
        <f>VLOOKUP(B45,'Data World'!$A:$AL,MATCH(World!$D$1,'Data World'!$A$1:$AL$1,))</f>
        <v/>
      </c>
      <c r="E45" s="13">
        <f>VLOOKUP(B45,'Data World'!$A:$AL,MATCH(World!$E$1,'Data World'!$A$1:$AL$1,))</f>
        <v/>
      </c>
      <c r="F45" s="13">
        <f>VLOOKUP(B45,'Data World'!$A:$AL,MATCH(World!$F$1,'Data World'!$A$1:$AL$1,))</f>
        <v/>
      </c>
      <c r="G45" s="13">
        <f>VLOOKUP(B45,'Data World'!$A:$AL,MATCH(World!$G$1,'Data World'!$A$1:$AL$1,))</f>
        <v/>
      </c>
      <c r="H45" s="13">
        <f>VLOOKUP(B45,'Data World'!$A:$AL,MATCH(World!$H$1,'Data World'!$A$1:$AL$1,))</f>
        <v/>
      </c>
      <c r="I45" s="13">
        <f>VLOOKUP(B45,'Data World'!$A:$AL,MATCH(World!$I$1,'Data World'!$A$1:$AL$1,))</f>
        <v/>
      </c>
      <c r="J45" s="13">
        <f>VLOOKUP(B45,'Data World'!$A:$AL,MATCH(World!$J$1,'Data World'!$A$1:$AL$1,))</f>
        <v/>
      </c>
      <c r="K45" s="13">
        <f>VLOOKUP(B45,'Data World'!$A:$AL,MATCH(World!$K$1,'Data World'!$A$1:$AL$1,))</f>
        <v/>
      </c>
      <c r="L45" s="13">
        <f>VLOOKUP(B45,'Data World'!$A:$AL,MATCH(World!$L$1,'Data World'!$A$1:$AL$1,))</f>
        <v/>
      </c>
      <c r="M45" s="13">
        <f>VLOOKUP(B45,'Data World'!$A:$AL,MATCH(World!$M$1,'Data World'!$A$1:$AL$1,))</f>
        <v/>
      </c>
      <c r="N45" s="13">
        <f>VLOOKUP(B45,'Data World'!$A:$AL,MATCH(World!$N$1,'Data World'!$A$1:$AL$1,))</f>
        <v/>
      </c>
      <c r="O45" s="13">
        <f>VLOOKUP(B45,'Data World'!$A:$AL,MATCH(World!$O$1,'Data World'!$A$1:$AL$1,))</f>
        <v/>
      </c>
      <c r="P45" s="13">
        <f>VLOOKUP(B45,'Data World'!$A:$AL,MATCH(World!$P$1,'Data World'!$A$1:$AL$1,))</f>
        <v/>
      </c>
      <c r="Q45" s="13">
        <f>VLOOKUP(B45,'Data World'!$A:$AL,MATCH(World!$Q$1,'Data World'!$A$1:$AL$1,))</f>
        <v/>
      </c>
      <c r="R45" s="13">
        <f>VLOOKUP(B45,'Data World'!$A:$AL,MATCH(World!$R$1,'Data World'!$A$1:$AL$1,))</f>
        <v/>
      </c>
      <c r="S45" s="13">
        <f>VLOOKUP(B45,'Data World'!$A:$AL,MATCH(World!$S$1,'Data World'!$A$1:$AL$1,))</f>
        <v/>
      </c>
      <c r="T45" s="13">
        <f>VLOOKUP(B45,'Data World'!$A:$AL,MATCH(World!$T$1,'Data World'!$A$1:$AL$1,))</f>
        <v/>
      </c>
    </row>
    <row r="46" customFormat="1" s="70">
      <c r="B46" s="12" t="n">
        <v>43343</v>
      </c>
      <c r="C46" s="13">
        <f>VLOOKUP(B46,'Data World'!$A:$AL,MATCH(World!$C$1,'Data World'!$A$1:$AL$1,))</f>
        <v/>
      </c>
      <c r="D46" s="13">
        <f>VLOOKUP(B46,'Data World'!$A:$AL,MATCH(World!$D$1,'Data World'!$A$1:$AL$1,))</f>
        <v/>
      </c>
      <c r="E46" s="13">
        <f>VLOOKUP(B46,'Data World'!$A:$AL,MATCH(World!$E$1,'Data World'!$A$1:$AL$1,))</f>
        <v/>
      </c>
      <c r="F46" s="13">
        <f>VLOOKUP(B46,'Data World'!$A:$AL,MATCH(World!$F$1,'Data World'!$A$1:$AL$1,))</f>
        <v/>
      </c>
      <c r="G46" s="13">
        <f>VLOOKUP(B46,'Data World'!$A:$AL,MATCH(World!$G$1,'Data World'!$A$1:$AL$1,))</f>
        <v/>
      </c>
      <c r="H46" s="13">
        <f>VLOOKUP(B46,'Data World'!$A:$AL,MATCH(World!$H$1,'Data World'!$A$1:$AL$1,))</f>
        <v/>
      </c>
      <c r="I46" s="13">
        <f>VLOOKUP(B46,'Data World'!$A:$AL,MATCH(World!$I$1,'Data World'!$A$1:$AL$1,))</f>
        <v/>
      </c>
      <c r="J46" s="13">
        <f>VLOOKUP(B46,'Data World'!$A:$AL,MATCH(World!$J$1,'Data World'!$A$1:$AL$1,))</f>
        <v/>
      </c>
      <c r="K46" s="13">
        <f>VLOOKUP(B46,'Data World'!$A:$AL,MATCH(World!$K$1,'Data World'!$A$1:$AL$1,))</f>
        <v/>
      </c>
      <c r="L46" s="13">
        <f>VLOOKUP(B46,'Data World'!$A:$AL,MATCH(World!$L$1,'Data World'!$A$1:$AL$1,))</f>
        <v/>
      </c>
      <c r="M46" s="13">
        <f>VLOOKUP(B46,'Data World'!$A:$AL,MATCH(World!$M$1,'Data World'!$A$1:$AL$1,))</f>
        <v/>
      </c>
      <c r="N46" s="13">
        <f>VLOOKUP(B46,'Data World'!$A:$AL,MATCH(World!$N$1,'Data World'!$A$1:$AL$1,))</f>
        <v/>
      </c>
      <c r="O46" s="13">
        <f>VLOOKUP(B46,'Data World'!$A:$AL,MATCH(World!$O$1,'Data World'!$A$1:$AL$1,))</f>
        <v/>
      </c>
      <c r="P46" s="13">
        <f>VLOOKUP(B46,'Data World'!$A:$AL,MATCH(World!$P$1,'Data World'!$A$1:$AL$1,))</f>
        <v/>
      </c>
      <c r="Q46" s="13">
        <f>VLOOKUP(B46,'Data World'!$A:$AL,MATCH(World!$Q$1,'Data World'!$A$1:$AL$1,))</f>
        <v/>
      </c>
      <c r="R46" s="13">
        <f>VLOOKUP(B46,'Data World'!$A:$AL,MATCH(World!$R$1,'Data World'!$A$1:$AL$1,))</f>
        <v/>
      </c>
      <c r="S46" s="13">
        <f>VLOOKUP(B46,'Data World'!$A:$AL,MATCH(World!$S$1,'Data World'!$A$1:$AL$1,))</f>
        <v/>
      </c>
      <c r="T46" s="13">
        <f>VLOOKUP(B46,'Data World'!$A:$AL,MATCH(World!$T$1,'Data World'!$A$1:$AL$1,))</f>
        <v/>
      </c>
    </row>
    <row r="47" customFormat="1" s="70">
      <c r="B47" s="12" t="n">
        <v>43373</v>
      </c>
      <c r="C47" s="13">
        <f>VLOOKUP(B47,'Data World'!$A:$AL,MATCH(World!$C$1,'Data World'!$A$1:$AL$1,))</f>
        <v/>
      </c>
      <c r="D47" s="13">
        <f>VLOOKUP(B47,'Data World'!$A:$AL,MATCH(World!$D$1,'Data World'!$A$1:$AL$1,))</f>
        <v/>
      </c>
      <c r="E47" s="13">
        <f>VLOOKUP(B47,'Data World'!$A:$AL,MATCH(World!$E$1,'Data World'!$A$1:$AL$1,))</f>
        <v/>
      </c>
      <c r="F47" s="13">
        <f>VLOOKUP(B47,'Data World'!$A:$AL,MATCH(World!$F$1,'Data World'!$A$1:$AL$1,))</f>
        <v/>
      </c>
      <c r="G47" s="13">
        <f>VLOOKUP(B47,'Data World'!$A:$AL,MATCH(World!$G$1,'Data World'!$A$1:$AL$1,))</f>
        <v/>
      </c>
      <c r="H47" s="13">
        <f>VLOOKUP(B47,'Data World'!$A:$AL,MATCH(World!$H$1,'Data World'!$A$1:$AL$1,))</f>
        <v/>
      </c>
      <c r="I47" s="13">
        <f>VLOOKUP(B47,'Data World'!$A:$AL,MATCH(World!$I$1,'Data World'!$A$1:$AL$1,))</f>
        <v/>
      </c>
      <c r="J47" s="13">
        <f>VLOOKUP(B47,'Data World'!$A:$AL,MATCH(World!$J$1,'Data World'!$A$1:$AL$1,))</f>
        <v/>
      </c>
      <c r="K47" s="13">
        <f>VLOOKUP(B47,'Data World'!$A:$AL,MATCH(World!$K$1,'Data World'!$A$1:$AL$1,))</f>
        <v/>
      </c>
      <c r="L47" s="13">
        <f>VLOOKUP(B47,'Data World'!$A:$AL,MATCH(World!$L$1,'Data World'!$A$1:$AL$1,))</f>
        <v/>
      </c>
      <c r="M47" s="13">
        <f>VLOOKUP(B47,'Data World'!$A:$AL,MATCH(World!$M$1,'Data World'!$A$1:$AL$1,))</f>
        <v/>
      </c>
      <c r="N47" s="13">
        <f>VLOOKUP(B47,'Data World'!$A:$AL,MATCH(World!$N$1,'Data World'!$A$1:$AL$1,))</f>
        <v/>
      </c>
      <c r="O47" s="13">
        <f>VLOOKUP(B47,'Data World'!$A:$AL,MATCH(World!$O$1,'Data World'!$A$1:$AL$1,))</f>
        <v/>
      </c>
      <c r="P47" s="13">
        <f>VLOOKUP(B47,'Data World'!$A:$AL,MATCH(World!$P$1,'Data World'!$A$1:$AL$1,))</f>
        <v/>
      </c>
      <c r="Q47" s="13">
        <f>VLOOKUP(B47,'Data World'!$A:$AL,MATCH(World!$Q$1,'Data World'!$A$1:$AL$1,))</f>
        <v/>
      </c>
      <c r="R47" s="13">
        <f>VLOOKUP(B47,'Data World'!$A:$AL,MATCH(World!$R$1,'Data World'!$A$1:$AL$1,))</f>
        <v/>
      </c>
      <c r="S47" s="13">
        <f>VLOOKUP(B47,'Data World'!$A:$AL,MATCH(World!$S$1,'Data World'!$A$1:$AL$1,))</f>
        <v/>
      </c>
      <c r="T47" s="13">
        <f>VLOOKUP(B47,'Data World'!$A:$AL,MATCH(World!$T$1,'Data World'!$A$1:$AL$1,))</f>
        <v/>
      </c>
    </row>
    <row r="48" customFormat="1" s="70">
      <c r="B48" s="12" t="n">
        <v>43404</v>
      </c>
      <c r="C48" s="13">
        <f>VLOOKUP(B48,'Data World'!$A:$AL,MATCH(World!$C$1,'Data World'!$A$1:$AL$1,))</f>
        <v/>
      </c>
      <c r="D48" s="13">
        <f>VLOOKUP(B48,'Data World'!$A:$AL,MATCH(World!$D$1,'Data World'!$A$1:$AL$1,))</f>
        <v/>
      </c>
      <c r="E48" s="13">
        <f>VLOOKUP(B48,'Data World'!$A:$AL,MATCH(World!$E$1,'Data World'!$A$1:$AL$1,))</f>
        <v/>
      </c>
      <c r="F48" s="13">
        <f>VLOOKUP(B48,'Data World'!$A:$AL,MATCH(World!$F$1,'Data World'!$A$1:$AL$1,))</f>
        <v/>
      </c>
      <c r="G48" s="13">
        <f>VLOOKUP(B48,'Data World'!$A:$AL,MATCH(World!$G$1,'Data World'!$A$1:$AL$1,))</f>
        <v/>
      </c>
      <c r="H48" s="13">
        <f>VLOOKUP(B48,'Data World'!$A:$AL,MATCH(World!$H$1,'Data World'!$A$1:$AL$1,))</f>
        <v/>
      </c>
      <c r="I48" s="13">
        <f>VLOOKUP(B48,'Data World'!$A:$AL,MATCH(World!$I$1,'Data World'!$A$1:$AL$1,))</f>
        <v/>
      </c>
      <c r="J48" s="13">
        <f>VLOOKUP(B48,'Data World'!$A:$AL,MATCH(World!$J$1,'Data World'!$A$1:$AL$1,))</f>
        <v/>
      </c>
      <c r="K48" s="13">
        <f>VLOOKUP(B48,'Data World'!$A:$AL,MATCH(World!$K$1,'Data World'!$A$1:$AL$1,))</f>
        <v/>
      </c>
      <c r="L48" s="13">
        <f>VLOOKUP(B48,'Data World'!$A:$AL,MATCH(World!$L$1,'Data World'!$A$1:$AL$1,))</f>
        <v/>
      </c>
      <c r="M48" s="13">
        <f>VLOOKUP(B48,'Data World'!$A:$AL,MATCH(World!$M$1,'Data World'!$A$1:$AL$1,))</f>
        <v/>
      </c>
      <c r="N48" s="13">
        <f>VLOOKUP(B48,'Data World'!$A:$AL,MATCH(World!$N$1,'Data World'!$A$1:$AL$1,))</f>
        <v/>
      </c>
      <c r="O48" s="13">
        <f>VLOOKUP(B48,'Data World'!$A:$AL,MATCH(World!$O$1,'Data World'!$A$1:$AL$1,))</f>
        <v/>
      </c>
      <c r="P48" s="13">
        <f>VLOOKUP(B48,'Data World'!$A:$AL,MATCH(World!$P$1,'Data World'!$A$1:$AL$1,))</f>
        <v/>
      </c>
      <c r="Q48" s="13">
        <f>VLOOKUP(B48,'Data World'!$A:$AL,MATCH(World!$Q$1,'Data World'!$A$1:$AL$1,))</f>
        <v/>
      </c>
      <c r="R48" s="13">
        <f>VLOOKUP(B48,'Data World'!$A:$AL,MATCH(World!$R$1,'Data World'!$A$1:$AL$1,))</f>
        <v/>
      </c>
      <c r="S48" s="13">
        <f>VLOOKUP(B48,'Data World'!$A:$AL,MATCH(World!$S$1,'Data World'!$A$1:$AL$1,))</f>
        <v/>
      </c>
      <c r="T48" s="13">
        <f>VLOOKUP(B48,'Data World'!$A:$AL,MATCH(World!$T$1,'Data World'!$A$1:$AL$1,))</f>
        <v/>
      </c>
    </row>
    <row r="49" customFormat="1" s="70">
      <c r="B49" s="12" t="n">
        <v>43434</v>
      </c>
      <c r="C49" s="13">
        <f>VLOOKUP(B49,'Data World'!$A:$AL,MATCH(World!$C$1,'Data World'!$A$1:$AL$1,))</f>
        <v/>
      </c>
      <c r="D49" s="13">
        <f>VLOOKUP(B49,'Data World'!$A:$AL,MATCH(World!$D$1,'Data World'!$A$1:$AL$1,))</f>
        <v/>
      </c>
      <c r="E49" s="13">
        <f>VLOOKUP(B49,'Data World'!$A:$AL,MATCH(World!$E$1,'Data World'!$A$1:$AL$1,))</f>
        <v/>
      </c>
      <c r="F49" s="13">
        <f>VLOOKUP(B49,'Data World'!$A:$AL,MATCH(World!$F$1,'Data World'!$A$1:$AL$1,))</f>
        <v/>
      </c>
      <c r="G49" s="13">
        <f>VLOOKUP(B49,'Data World'!$A:$AL,MATCH(World!$G$1,'Data World'!$A$1:$AL$1,))</f>
        <v/>
      </c>
      <c r="H49" s="13">
        <f>VLOOKUP(B49,'Data World'!$A:$AL,MATCH(World!$H$1,'Data World'!$A$1:$AL$1,))</f>
        <v/>
      </c>
      <c r="I49" s="13">
        <f>VLOOKUP(B49,'Data World'!$A:$AL,MATCH(World!$I$1,'Data World'!$A$1:$AL$1,))</f>
        <v/>
      </c>
      <c r="J49" s="13">
        <f>VLOOKUP(B49,'Data World'!$A:$AL,MATCH(World!$J$1,'Data World'!$A$1:$AL$1,))</f>
        <v/>
      </c>
      <c r="K49" s="13">
        <f>VLOOKUP(B49,'Data World'!$A:$AL,MATCH(World!$K$1,'Data World'!$A$1:$AL$1,))</f>
        <v/>
      </c>
      <c r="L49" s="13">
        <f>VLOOKUP(B49,'Data World'!$A:$AL,MATCH(World!$L$1,'Data World'!$A$1:$AL$1,))</f>
        <v/>
      </c>
      <c r="M49" s="13">
        <f>VLOOKUP(B49,'Data World'!$A:$AL,MATCH(World!$M$1,'Data World'!$A$1:$AL$1,))</f>
        <v/>
      </c>
      <c r="N49" s="13">
        <f>VLOOKUP(B49,'Data World'!$A:$AL,MATCH(World!$N$1,'Data World'!$A$1:$AL$1,))</f>
        <v/>
      </c>
      <c r="O49" s="13">
        <f>VLOOKUP(B49,'Data World'!$A:$AL,MATCH(World!$O$1,'Data World'!$A$1:$AL$1,))</f>
        <v/>
      </c>
      <c r="P49" s="13">
        <f>VLOOKUP(B49,'Data World'!$A:$AL,MATCH(World!$P$1,'Data World'!$A$1:$AL$1,))</f>
        <v/>
      </c>
      <c r="Q49" s="13">
        <f>VLOOKUP(B49,'Data World'!$A:$AL,MATCH(World!$Q$1,'Data World'!$A$1:$AL$1,))</f>
        <v/>
      </c>
      <c r="R49" s="13">
        <f>VLOOKUP(B49,'Data World'!$A:$AL,MATCH(World!$R$1,'Data World'!$A$1:$AL$1,))</f>
        <v/>
      </c>
      <c r="S49" s="13">
        <f>VLOOKUP(B49,'Data World'!$A:$AL,MATCH(World!$S$1,'Data World'!$A$1:$AL$1,))</f>
        <v/>
      </c>
      <c r="T49" s="13">
        <f>VLOOKUP(B49,'Data World'!$A:$AL,MATCH(World!$T$1,'Data World'!$A$1:$AL$1,))</f>
        <v/>
      </c>
    </row>
    <row r="50" customFormat="1" s="70">
      <c r="B50" s="12" t="n">
        <v>43465</v>
      </c>
      <c r="C50" s="13">
        <f>VLOOKUP(B50,'Data World'!$A:$AL,MATCH(World!$C$1,'Data World'!$A$1:$AL$1,))</f>
        <v/>
      </c>
      <c r="D50" s="13">
        <f>VLOOKUP(B50,'Data World'!$A:$AL,MATCH(World!$D$1,'Data World'!$A$1:$AL$1,))</f>
        <v/>
      </c>
      <c r="E50" s="13">
        <f>VLOOKUP(B50,'Data World'!$A:$AL,MATCH(World!$E$1,'Data World'!$A$1:$AL$1,))</f>
        <v/>
      </c>
      <c r="F50" s="13">
        <f>VLOOKUP(B50,'Data World'!$A:$AL,MATCH(World!$F$1,'Data World'!$A$1:$AL$1,))</f>
        <v/>
      </c>
      <c r="G50" s="13">
        <f>VLOOKUP(B50,'Data World'!$A:$AL,MATCH(World!$G$1,'Data World'!$A$1:$AL$1,))</f>
        <v/>
      </c>
      <c r="H50" s="13">
        <f>VLOOKUP(B50,'Data World'!$A:$AL,MATCH(World!$H$1,'Data World'!$A$1:$AL$1,))</f>
        <v/>
      </c>
      <c r="I50" s="13">
        <f>VLOOKUP(B50,'Data World'!$A:$AL,MATCH(World!$I$1,'Data World'!$A$1:$AL$1,))</f>
        <v/>
      </c>
      <c r="J50" s="13">
        <f>VLOOKUP(B50,'Data World'!$A:$AL,MATCH(World!$J$1,'Data World'!$A$1:$AL$1,))</f>
        <v/>
      </c>
      <c r="K50" s="13">
        <f>VLOOKUP(B50,'Data World'!$A:$AL,MATCH(World!$K$1,'Data World'!$A$1:$AL$1,))</f>
        <v/>
      </c>
      <c r="L50" s="13">
        <f>VLOOKUP(B50,'Data World'!$A:$AL,MATCH(World!$L$1,'Data World'!$A$1:$AL$1,))</f>
        <v/>
      </c>
      <c r="M50" s="13">
        <f>VLOOKUP(B50,'Data World'!$A:$AL,MATCH(World!$M$1,'Data World'!$A$1:$AL$1,))</f>
        <v/>
      </c>
      <c r="N50" s="13">
        <f>VLOOKUP(B50,'Data World'!$A:$AL,MATCH(World!$N$1,'Data World'!$A$1:$AL$1,))</f>
        <v/>
      </c>
      <c r="O50" s="13">
        <f>VLOOKUP(B50,'Data World'!$A:$AL,MATCH(World!$O$1,'Data World'!$A$1:$AL$1,))</f>
        <v/>
      </c>
      <c r="P50" s="13">
        <f>VLOOKUP(B50,'Data World'!$A:$AL,MATCH(World!$P$1,'Data World'!$A$1:$AL$1,))</f>
        <v/>
      </c>
      <c r="Q50" s="13">
        <f>VLOOKUP(B50,'Data World'!$A:$AL,MATCH(World!$Q$1,'Data World'!$A$1:$AL$1,))</f>
        <v/>
      </c>
      <c r="R50" s="13">
        <f>VLOOKUP(B50,'Data World'!$A:$AL,MATCH(World!$R$1,'Data World'!$A$1:$AL$1,))</f>
        <v/>
      </c>
      <c r="S50" s="13">
        <f>VLOOKUP(B50,'Data World'!$A:$AL,MATCH(World!$S$1,'Data World'!$A$1:$AL$1,))</f>
        <v/>
      </c>
      <c r="T50" s="13">
        <f>VLOOKUP(B50,'Data World'!$A:$AL,MATCH(World!$T$1,'Data World'!$A$1:$AL$1,))</f>
        <v/>
      </c>
    </row>
    <row r="51" customFormat="1" s="70">
      <c r="B51" s="12" t="n">
        <v>43496</v>
      </c>
      <c r="C51" s="13">
        <f>VLOOKUP(B51,'Data World'!$A:$AL,MATCH(World!$C$1,'Data World'!$A$1:$AL$1,))</f>
        <v/>
      </c>
      <c r="D51" s="13">
        <f>VLOOKUP(B51,'Data World'!$A:$AL,MATCH(World!$D$1,'Data World'!$A$1:$AL$1,))</f>
        <v/>
      </c>
      <c r="E51" s="13">
        <f>VLOOKUP(B51,'Data World'!$A:$AL,MATCH(World!$E$1,'Data World'!$A$1:$AL$1,))</f>
        <v/>
      </c>
      <c r="F51" s="13">
        <f>VLOOKUP(B51,'Data World'!$A:$AL,MATCH(World!$F$1,'Data World'!$A$1:$AL$1,))</f>
        <v/>
      </c>
      <c r="G51" s="13">
        <f>VLOOKUP(B51,'Data World'!$A:$AL,MATCH(World!$G$1,'Data World'!$A$1:$AL$1,))</f>
        <v/>
      </c>
      <c r="H51" s="13">
        <f>VLOOKUP(B51,'Data World'!$A:$AL,MATCH(World!$H$1,'Data World'!$A$1:$AL$1,))</f>
        <v/>
      </c>
      <c r="I51" s="13">
        <f>VLOOKUP(B51,'Data World'!$A:$AL,MATCH(World!$I$1,'Data World'!$A$1:$AL$1,))</f>
        <v/>
      </c>
      <c r="J51" s="13">
        <f>VLOOKUP(B51,'Data World'!$A:$AL,MATCH(World!$J$1,'Data World'!$A$1:$AL$1,))</f>
        <v/>
      </c>
      <c r="K51" s="13">
        <f>VLOOKUP(B51,'Data World'!$A:$AL,MATCH(World!$K$1,'Data World'!$A$1:$AL$1,))</f>
        <v/>
      </c>
      <c r="L51" s="13">
        <f>VLOOKUP(B51,'Data World'!$A:$AL,MATCH(World!$L$1,'Data World'!$A$1:$AL$1,))</f>
        <v/>
      </c>
      <c r="M51" s="13">
        <f>VLOOKUP(B51,'Data World'!$A:$AL,MATCH(World!$M$1,'Data World'!$A$1:$AL$1,))</f>
        <v/>
      </c>
      <c r="N51" s="13">
        <f>VLOOKUP(B51,'Data World'!$A:$AL,MATCH(World!$N$1,'Data World'!$A$1:$AL$1,))</f>
        <v/>
      </c>
      <c r="O51" s="13">
        <f>VLOOKUP(B51,'Data World'!$A:$AL,MATCH(World!$O$1,'Data World'!$A$1:$AL$1,))</f>
        <v/>
      </c>
      <c r="P51" s="13">
        <f>VLOOKUP(B51,'Data World'!$A:$AL,MATCH(World!$P$1,'Data World'!$A$1:$AL$1,))</f>
        <v/>
      </c>
      <c r="Q51" s="13">
        <f>VLOOKUP(B51,'Data World'!$A:$AL,MATCH(World!$Q$1,'Data World'!$A$1:$AL$1,))</f>
        <v/>
      </c>
      <c r="R51" s="13">
        <f>VLOOKUP(B51,'Data World'!$A:$AL,MATCH(World!$R$1,'Data World'!$A$1:$AL$1,))</f>
        <v/>
      </c>
      <c r="S51" s="13">
        <f>VLOOKUP(B51,'Data World'!$A:$AL,MATCH(World!$S$1,'Data World'!$A$1:$AL$1,))</f>
        <v/>
      </c>
      <c r="T51" s="13">
        <f>VLOOKUP(B51,'Data World'!$A:$AL,MATCH(World!$T$1,'Data World'!$A$1:$AL$1,))</f>
        <v/>
      </c>
    </row>
    <row r="52" customFormat="1" s="70">
      <c r="B52" s="12" t="n">
        <v>43524</v>
      </c>
      <c r="C52" s="13">
        <f>VLOOKUP(B52,'Data World'!$A:$AL,MATCH(World!$C$1,'Data World'!$A$1:$AL$1,))</f>
        <v/>
      </c>
      <c r="D52" s="13">
        <f>VLOOKUP(B52,'Data World'!$A:$AL,MATCH(World!$D$1,'Data World'!$A$1:$AL$1,))</f>
        <v/>
      </c>
      <c r="E52" s="13">
        <f>VLOOKUP(B52,'Data World'!$A:$AL,MATCH(World!$E$1,'Data World'!$A$1:$AL$1,))</f>
        <v/>
      </c>
      <c r="F52" s="13">
        <f>VLOOKUP(B52,'Data World'!$A:$AL,MATCH(World!$F$1,'Data World'!$A$1:$AL$1,))</f>
        <v/>
      </c>
      <c r="G52" s="13">
        <f>VLOOKUP(B52,'Data World'!$A:$AL,MATCH(World!$G$1,'Data World'!$A$1:$AL$1,))</f>
        <v/>
      </c>
      <c r="H52" s="13">
        <f>VLOOKUP(B52,'Data World'!$A:$AL,MATCH(World!$H$1,'Data World'!$A$1:$AL$1,))</f>
        <v/>
      </c>
      <c r="I52" s="13">
        <f>VLOOKUP(B52,'Data World'!$A:$AL,MATCH(World!$I$1,'Data World'!$A$1:$AL$1,))</f>
        <v/>
      </c>
      <c r="J52" s="13">
        <f>VLOOKUP(B52,'Data World'!$A:$AL,MATCH(World!$J$1,'Data World'!$A$1:$AL$1,))</f>
        <v/>
      </c>
      <c r="K52" s="13">
        <f>VLOOKUP(B52,'Data World'!$A:$AL,MATCH(World!$K$1,'Data World'!$A$1:$AL$1,))</f>
        <v/>
      </c>
      <c r="L52" s="13">
        <f>VLOOKUP(B52,'Data World'!$A:$AL,MATCH(World!$L$1,'Data World'!$A$1:$AL$1,))</f>
        <v/>
      </c>
      <c r="M52" s="13">
        <f>VLOOKUP(B52,'Data World'!$A:$AL,MATCH(World!$M$1,'Data World'!$A$1:$AL$1,))</f>
        <v/>
      </c>
      <c r="N52" s="13">
        <f>VLOOKUP(B52,'Data World'!$A:$AL,MATCH(World!$N$1,'Data World'!$A$1:$AL$1,))</f>
        <v/>
      </c>
      <c r="O52" s="13">
        <f>VLOOKUP(B52,'Data World'!$A:$AL,MATCH(World!$O$1,'Data World'!$A$1:$AL$1,))</f>
        <v/>
      </c>
      <c r="P52" s="13">
        <f>VLOOKUP(B52,'Data World'!$A:$AL,MATCH(World!$P$1,'Data World'!$A$1:$AL$1,))</f>
        <v/>
      </c>
      <c r="Q52" s="13">
        <f>VLOOKUP(B52,'Data World'!$A:$AL,MATCH(World!$Q$1,'Data World'!$A$1:$AL$1,))</f>
        <v/>
      </c>
      <c r="R52" s="13">
        <f>VLOOKUP(B52,'Data World'!$A:$AL,MATCH(World!$R$1,'Data World'!$A$1:$AL$1,))</f>
        <v/>
      </c>
      <c r="S52" s="13">
        <f>VLOOKUP(B52,'Data World'!$A:$AL,MATCH(World!$S$1,'Data World'!$A$1:$AL$1,))</f>
        <v/>
      </c>
      <c r="T52" s="13">
        <f>VLOOKUP(B52,'Data World'!$A:$AL,MATCH(World!$T$1,'Data World'!$A$1:$AL$1,))</f>
        <v/>
      </c>
    </row>
    <row r="53" customFormat="1" s="70">
      <c r="B53" s="12" t="n">
        <v>43555</v>
      </c>
      <c r="C53" s="13">
        <f>VLOOKUP(B53,'Data World'!$A:$AL,MATCH(World!$C$1,'Data World'!$A$1:$AL$1,))</f>
        <v/>
      </c>
      <c r="D53" s="13">
        <f>VLOOKUP(B53,'Data World'!$A:$AL,MATCH(World!$D$1,'Data World'!$A$1:$AL$1,))</f>
        <v/>
      </c>
      <c r="E53" s="13">
        <f>VLOOKUP(B53,'Data World'!$A:$AL,MATCH(World!$E$1,'Data World'!$A$1:$AL$1,))</f>
        <v/>
      </c>
      <c r="F53" s="13">
        <f>VLOOKUP(B53,'Data World'!$A:$AL,MATCH(World!$F$1,'Data World'!$A$1:$AL$1,))</f>
        <v/>
      </c>
      <c r="G53" s="13">
        <f>VLOOKUP(B53,'Data World'!$A:$AL,MATCH(World!$G$1,'Data World'!$A$1:$AL$1,))</f>
        <v/>
      </c>
      <c r="H53" s="13">
        <f>VLOOKUP(B53,'Data World'!$A:$AL,MATCH(World!$H$1,'Data World'!$A$1:$AL$1,))</f>
        <v/>
      </c>
      <c r="I53" s="13">
        <f>VLOOKUP(B53,'Data World'!$A:$AL,MATCH(World!$I$1,'Data World'!$A$1:$AL$1,))</f>
        <v/>
      </c>
      <c r="J53" s="13">
        <f>VLOOKUP(B53,'Data World'!$A:$AL,MATCH(World!$J$1,'Data World'!$A$1:$AL$1,))</f>
        <v/>
      </c>
      <c r="K53" s="13">
        <f>VLOOKUP(B53,'Data World'!$A:$AL,MATCH(World!$K$1,'Data World'!$A$1:$AL$1,))</f>
        <v/>
      </c>
      <c r="L53" s="13">
        <f>VLOOKUP(B53,'Data World'!$A:$AL,MATCH(World!$L$1,'Data World'!$A$1:$AL$1,))</f>
        <v/>
      </c>
      <c r="M53" s="13">
        <f>VLOOKUP(B53,'Data World'!$A:$AL,MATCH(World!$M$1,'Data World'!$A$1:$AL$1,))</f>
        <v/>
      </c>
      <c r="N53" s="13">
        <f>VLOOKUP(B53,'Data World'!$A:$AL,MATCH(World!$N$1,'Data World'!$A$1:$AL$1,))</f>
        <v/>
      </c>
      <c r="O53" s="13">
        <f>VLOOKUP(B53,'Data World'!$A:$AL,MATCH(World!$O$1,'Data World'!$A$1:$AL$1,))</f>
        <v/>
      </c>
      <c r="P53" s="13">
        <f>VLOOKUP(B53,'Data World'!$A:$AL,MATCH(World!$P$1,'Data World'!$A$1:$AL$1,))</f>
        <v/>
      </c>
      <c r="Q53" s="13">
        <f>VLOOKUP(B53,'Data World'!$A:$AL,MATCH(World!$Q$1,'Data World'!$A$1:$AL$1,))</f>
        <v/>
      </c>
      <c r="R53" s="13">
        <f>VLOOKUP(B53,'Data World'!$A:$AL,MATCH(World!$R$1,'Data World'!$A$1:$AL$1,))</f>
        <v/>
      </c>
      <c r="S53" s="13">
        <f>VLOOKUP(B53,'Data World'!$A:$AL,MATCH(World!$S$1,'Data World'!$A$1:$AL$1,))</f>
        <v/>
      </c>
      <c r="T53" s="13">
        <f>VLOOKUP(B53,'Data World'!$A:$AL,MATCH(World!$T$1,'Data World'!$A$1:$AL$1,))</f>
        <v/>
      </c>
    </row>
    <row r="54" customFormat="1" s="70">
      <c r="B54" s="12" t="n">
        <v>43585</v>
      </c>
      <c r="C54" s="13">
        <f>VLOOKUP(B54,'Data World'!$A:$AL,MATCH(World!$C$1,'Data World'!$A$1:$AL$1,))</f>
        <v/>
      </c>
      <c r="D54" s="13">
        <f>VLOOKUP(B54,'Data World'!$A:$AL,MATCH(World!$D$1,'Data World'!$A$1:$AL$1,))</f>
        <v/>
      </c>
      <c r="E54" s="13">
        <f>VLOOKUP(B54,'Data World'!$A:$AL,MATCH(World!$E$1,'Data World'!$A$1:$AL$1,))</f>
        <v/>
      </c>
      <c r="F54" s="13">
        <f>VLOOKUP(B54,'Data World'!$A:$AL,MATCH(World!$F$1,'Data World'!$A$1:$AL$1,))</f>
        <v/>
      </c>
      <c r="G54" s="13">
        <f>VLOOKUP(B54,'Data World'!$A:$AL,MATCH(World!$G$1,'Data World'!$A$1:$AL$1,))</f>
        <v/>
      </c>
      <c r="H54" s="13">
        <f>VLOOKUP(B54,'Data World'!$A:$AL,MATCH(World!$H$1,'Data World'!$A$1:$AL$1,))</f>
        <v/>
      </c>
      <c r="I54" s="13">
        <f>VLOOKUP(B54,'Data World'!$A:$AL,MATCH(World!$I$1,'Data World'!$A$1:$AL$1,))</f>
        <v/>
      </c>
      <c r="J54" s="13">
        <f>VLOOKUP(B54,'Data World'!$A:$AL,MATCH(World!$J$1,'Data World'!$A$1:$AL$1,))</f>
        <v/>
      </c>
      <c r="K54" s="13">
        <f>VLOOKUP(B54,'Data World'!$A:$AL,MATCH(World!$K$1,'Data World'!$A$1:$AL$1,))</f>
        <v/>
      </c>
      <c r="L54" s="13">
        <f>VLOOKUP(B54,'Data World'!$A:$AL,MATCH(World!$L$1,'Data World'!$A$1:$AL$1,))</f>
        <v/>
      </c>
      <c r="M54" s="13">
        <f>VLOOKUP(B54,'Data World'!$A:$AL,MATCH(World!$M$1,'Data World'!$A$1:$AL$1,))</f>
        <v/>
      </c>
      <c r="N54" s="13">
        <f>VLOOKUP(B54,'Data World'!$A:$AL,MATCH(World!$N$1,'Data World'!$A$1:$AL$1,))</f>
        <v/>
      </c>
      <c r="O54" s="13">
        <f>VLOOKUP(B54,'Data World'!$A:$AL,MATCH(World!$O$1,'Data World'!$A$1:$AL$1,))</f>
        <v/>
      </c>
      <c r="P54" s="13">
        <f>VLOOKUP(B54,'Data World'!$A:$AL,MATCH(World!$P$1,'Data World'!$A$1:$AL$1,))</f>
        <v/>
      </c>
      <c r="Q54" s="13">
        <f>VLOOKUP(B54,'Data World'!$A:$AL,MATCH(World!$Q$1,'Data World'!$A$1:$AL$1,))</f>
        <v/>
      </c>
      <c r="R54" s="13">
        <f>VLOOKUP(B54,'Data World'!$A:$AL,MATCH(World!$R$1,'Data World'!$A$1:$AL$1,))</f>
        <v/>
      </c>
      <c r="S54" s="13">
        <f>VLOOKUP(B54,'Data World'!$A:$AL,MATCH(World!$S$1,'Data World'!$A$1:$AL$1,))</f>
        <v/>
      </c>
      <c r="T54" s="13">
        <f>VLOOKUP(B54,'Data World'!$A:$AL,MATCH(World!$T$1,'Data World'!$A$1:$AL$1,))</f>
        <v/>
      </c>
    </row>
    <row r="55" customFormat="1" s="70">
      <c r="B55" s="12" t="n">
        <v>43616</v>
      </c>
      <c r="C55" s="13">
        <f>VLOOKUP(B55,'Data World'!$A:$AL,MATCH(World!$C$1,'Data World'!$A$1:$AL$1,))</f>
        <v/>
      </c>
      <c r="D55" s="13">
        <f>VLOOKUP(B55,'Data World'!$A:$AL,MATCH(World!$D$1,'Data World'!$A$1:$AL$1,))</f>
        <v/>
      </c>
      <c r="E55" s="13">
        <f>VLOOKUP(B55,'Data World'!$A:$AL,MATCH(World!$E$1,'Data World'!$A$1:$AL$1,))</f>
        <v/>
      </c>
      <c r="F55" s="13">
        <f>VLOOKUP(B55,'Data World'!$A:$AL,MATCH(World!$F$1,'Data World'!$A$1:$AL$1,))</f>
        <v/>
      </c>
      <c r="G55" s="13">
        <f>VLOOKUP(B55,'Data World'!$A:$AL,MATCH(World!$G$1,'Data World'!$A$1:$AL$1,))</f>
        <v/>
      </c>
      <c r="H55" s="13">
        <f>VLOOKUP(B55,'Data World'!$A:$AL,MATCH(World!$H$1,'Data World'!$A$1:$AL$1,))</f>
        <v/>
      </c>
      <c r="I55" s="13">
        <f>VLOOKUP(B55,'Data World'!$A:$AL,MATCH(World!$I$1,'Data World'!$A$1:$AL$1,))</f>
        <v/>
      </c>
      <c r="J55" s="13">
        <f>VLOOKUP(B55,'Data World'!$A:$AL,MATCH(World!$J$1,'Data World'!$A$1:$AL$1,))</f>
        <v/>
      </c>
      <c r="K55" s="13">
        <f>VLOOKUP(B55,'Data World'!$A:$AL,MATCH(World!$K$1,'Data World'!$A$1:$AL$1,))</f>
        <v/>
      </c>
      <c r="L55" s="13">
        <f>VLOOKUP(B55,'Data World'!$A:$AL,MATCH(World!$L$1,'Data World'!$A$1:$AL$1,))</f>
        <v/>
      </c>
      <c r="M55" s="13">
        <f>VLOOKUP(B55,'Data World'!$A:$AL,MATCH(World!$M$1,'Data World'!$A$1:$AL$1,))</f>
        <v/>
      </c>
      <c r="N55" s="13">
        <f>VLOOKUP(B55,'Data World'!$A:$AL,MATCH(World!$N$1,'Data World'!$A$1:$AL$1,))</f>
        <v/>
      </c>
      <c r="O55" s="13">
        <f>VLOOKUP(B55,'Data World'!$A:$AL,MATCH(World!$O$1,'Data World'!$A$1:$AL$1,))</f>
        <v/>
      </c>
      <c r="P55" s="13">
        <f>VLOOKUP(B55,'Data World'!$A:$AL,MATCH(World!$P$1,'Data World'!$A$1:$AL$1,))</f>
        <v/>
      </c>
      <c r="Q55" s="13">
        <f>VLOOKUP(B55,'Data World'!$A:$AL,MATCH(World!$Q$1,'Data World'!$A$1:$AL$1,))</f>
        <v/>
      </c>
      <c r="R55" s="13">
        <f>VLOOKUP(B55,'Data World'!$A:$AL,MATCH(World!$R$1,'Data World'!$A$1:$AL$1,))</f>
        <v/>
      </c>
      <c r="S55" s="13">
        <f>VLOOKUP(B55,'Data World'!$A:$AL,MATCH(World!$S$1,'Data World'!$A$1:$AL$1,))</f>
        <v/>
      </c>
      <c r="T55" s="13">
        <f>VLOOKUP(B55,'Data World'!$A:$AL,MATCH(World!$T$1,'Data World'!$A$1:$AL$1,))</f>
        <v/>
      </c>
    </row>
    <row r="56" customFormat="1" s="70">
      <c r="B56" s="12" t="n">
        <v>43646</v>
      </c>
      <c r="C56" s="13">
        <f>VLOOKUP(B56,'Data World'!$A:$AL,MATCH(World!$C$1,'Data World'!$A$1:$AL$1,))</f>
        <v/>
      </c>
      <c r="D56" s="13">
        <f>VLOOKUP(B56,'Data World'!$A:$AL,MATCH(World!$D$1,'Data World'!$A$1:$AL$1,))</f>
        <v/>
      </c>
      <c r="E56" s="13">
        <f>VLOOKUP(B56,'Data World'!$A:$AL,MATCH(World!$E$1,'Data World'!$A$1:$AL$1,))</f>
        <v/>
      </c>
      <c r="F56" s="13">
        <f>VLOOKUP(B56,'Data World'!$A:$AL,MATCH(World!$F$1,'Data World'!$A$1:$AL$1,))</f>
        <v/>
      </c>
      <c r="G56" s="13">
        <f>VLOOKUP(B56,'Data World'!$A:$AL,MATCH(World!$G$1,'Data World'!$A$1:$AL$1,))</f>
        <v/>
      </c>
      <c r="H56" s="13">
        <f>VLOOKUP(B56,'Data World'!$A:$AL,MATCH(World!$H$1,'Data World'!$A$1:$AL$1,))</f>
        <v/>
      </c>
      <c r="I56" s="13">
        <f>VLOOKUP(B56,'Data World'!$A:$AL,MATCH(World!$I$1,'Data World'!$A$1:$AL$1,))</f>
        <v/>
      </c>
      <c r="J56" s="13">
        <f>VLOOKUP(B56,'Data World'!$A:$AL,MATCH(World!$J$1,'Data World'!$A$1:$AL$1,))</f>
        <v/>
      </c>
      <c r="K56" s="13">
        <f>VLOOKUP(B56,'Data World'!$A:$AL,MATCH(World!$K$1,'Data World'!$A$1:$AL$1,))</f>
        <v/>
      </c>
      <c r="L56" s="13">
        <f>VLOOKUP(B56,'Data World'!$A:$AL,MATCH(World!$L$1,'Data World'!$A$1:$AL$1,))</f>
        <v/>
      </c>
      <c r="M56" s="13">
        <f>VLOOKUP(B56,'Data World'!$A:$AL,MATCH(World!$M$1,'Data World'!$A$1:$AL$1,))</f>
        <v/>
      </c>
      <c r="N56" s="13">
        <f>VLOOKUP(B56,'Data World'!$A:$AL,MATCH(World!$N$1,'Data World'!$A$1:$AL$1,))</f>
        <v/>
      </c>
      <c r="O56" s="13">
        <f>VLOOKUP(B56,'Data World'!$A:$AL,MATCH(World!$O$1,'Data World'!$A$1:$AL$1,))</f>
        <v/>
      </c>
      <c r="P56" s="13">
        <f>VLOOKUP(B56,'Data World'!$A:$AL,MATCH(World!$P$1,'Data World'!$A$1:$AL$1,))</f>
        <v/>
      </c>
      <c r="Q56" s="13">
        <f>VLOOKUP(B56,'Data World'!$A:$AL,MATCH(World!$Q$1,'Data World'!$A$1:$AL$1,))</f>
        <v/>
      </c>
      <c r="R56" s="13">
        <f>VLOOKUP(B56,'Data World'!$A:$AL,MATCH(World!$R$1,'Data World'!$A$1:$AL$1,))</f>
        <v/>
      </c>
      <c r="S56" s="13">
        <f>VLOOKUP(B56,'Data World'!$A:$AL,MATCH(World!$S$1,'Data World'!$A$1:$AL$1,))</f>
        <v/>
      </c>
      <c r="T56" s="13">
        <f>VLOOKUP(B56,'Data World'!$A:$AL,MATCH(World!$T$1,'Data World'!$A$1:$AL$1,))</f>
        <v/>
      </c>
    </row>
    <row r="57" customFormat="1" s="70">
      <c r="B57" s="12" t="n">
        <v>43677</v>
      </c>
      <c r="C57" s="13">
        <f>VLOOKUP(B57,'Data World'!$A:$AL,MATCH(World!$C$1,'Data World'!$A$1:$AL$1,))</f>
        <v/>
      </c>
      <c r="D57" s="13">
        <f>VLOOKUP(B57,'Data World'!$A:$AL,MATCH(World!$D$1,'Data World'!$A$1:$AL$1,))</f>
        <v/>
      </c>
      <c r="E57" s="13">
        <f>VLOOKUP(B57,'Data World'!$A:$AL,MATCH(World!$E$1,'Data World'!$A$1:$AL$1,))</f>
        <v/>
      </c>
      <c r="F57" s="13">
        <f>VLOOKUP(B57,'Data World'!$A:$AL,MATCH(World!$F$1,'Data World'!$A$1:$AL$1,))</f>
        <v/>
      </c>
      <c r="G57" s="13">
        <f>VLOOKUP(B57,'Data World'!$A:$AL,MATCH(World!$G$1,'Data World'!$A$1:$AL$1,))</f>
        <v/>
      </c>
      <c r="H57" s="13">
        <f>VLOOKUP(B57,'Data World'!$A:$AL,MATCH(World!$H$1,'Data World'!$A$1:$AL$1,))</f>
        <v/>
      </c>
      <c r="I57" s="13">
        <f>VLOOKUP(B57,'Data World'!$A:$AL,MATCH(World!$I$1,'Data World'!$A$1:$AL$1,))</f>
        <v/>
      </c>
      <c r="J57" s="13">
        <f>VLOOKUP(B57,'Data World'!$A:$AL,MATCH(World!$J$1,'Data World'!$A$1:$AL$1,))</f>
        <v/>
      </c>
      <c r="K57" s="13">
        <f>VLOOKUP(B57,'Data World'!$A:$AL,MATCH(World!$K$1,'Data World'!$A$1:$AL$1,))</f>
        <v/>
      </c>
      <c r="L57" s="13">
        <f>VLOOKUP(B57,'Data World'!$A:$AL,MATCH(World!$L$1,'Data World'!$A$1:$AL$1,))</f>
        <v/>
      </c>
      <c r="M57" s="13">
        <f>VLOOKUP(B57,'Data World'!$A:$AL,MATCH(World!$M$1,'Data World'!$A$1:$AL$1,))</f>
        <v/>
      </c>
      <c r="N57" s="13">
        <f>VLOOKUP(B57,'Data World'!$A:$AL,MATCH(World!$N$1,'Data World'!$A$1:$AL$1,))</f>
        <v/>
      </c>
      <c r="O57" s="13">
        <f>VLOOKUP(B57,'Data World'!$A:$AL,MATCH(World!$O$1,'Data World'!$A$1:$AL$1,))</f>
        <v/>
      </c>
      <c r="P57" s="13">
        <f>VLOOKUP(B57,'Data World'!$A:$AL,MATCH(World!$P$1,'Data World'!$A$1:$AL$1,))</f>
        <v/>
      </c>
      <c r="Q57" s="13">
        <f>VLOOKUP(B57,'Data World'!$A:$AL,MATCH(World!$Q$1,'Data World'!$A$1:$AL$1,))</f>
        <v/>
      </c>
      <c r="R57" s="13">
        <f>VLOOKUP(B57,'Data World'!$A:$AL,MATCH(World!$R$1,'Data World'!$A$1:$AL$1,))</f>
        <v/>
      </c>
      <c r="S57" s="13">
        <f>VLOOKUP(B57,'Data World'!$A:$AL,MATCH(World!$S$1,'Data World'!$A$1:$AL$1,))</f>
        <v/>
      </c>
      <c r="T57" s="13">
        <f>VLOOKUP(B57,'Data World'!$A:$AL,MATCH(World!$T$1,'Data World'!$A$1:$AL$1,))</f>
        <v/>
      </c>
    </row>
    <row r="58" customFormat="1" s="70">
      <c r="B58" s="12" t="n">
        <v>43708</v>
      </c>
      <c r="C58" s="13">
        <f>VLOOKUP(B58,'Data World'!$A:$AL,MATCH(World!$C$1,'Data World'!$A$1:$AL$1,))</f>
        <v/>
      </c>
      <c r="D58" s="13">
        <f>VLOOKUP(B58,'Data World'!$A:$AL,MATCH(World!$D$1,'Data World'!$A$1:$AL$1,))</f>
        <v/>
      </c>
      <c r="E58" s="13">
        <f>VLOOKUP(B58,'Data World'!$A:$AL,MATCH(World!$E$1,'Data World'!$A$1:$AL$1,))</f>
        <v/>
      </c>
      <c r="F58" s="13">
        <f>VLOOKUP(B58,'Data World'!$A:$AL,MATCH(World!$F$1,'Data World'!$A$1:$AL$1,))</f>
        <v/>
      </c>
      <c r="G58" s="13">
        <f>VLOOKUP(B58,'Data World'!$A:$AL,MATCH(World!$G$1,'Data World'!$A$1:$AL$1,))</f>
        <v/>
      </c>
      <c r="H58" s="13">
        <f>VLOOKUP(B58,'Data World'!$A:$AL,MATCH(World!$H$1,'Data World'!$A$1:$AL$1,))</f>
        <v/>
      </c>
      <c r="I58" s="13">
        <f>VLOOKUP(B58,'Data World'!$A:$AL,MATCH(World!$I$1,'Data World'!$A$1:$AL$1,))</f>
        <v/>
      </c>
      <c r="J58" s="13">
        <f>VLOOKUP(B58,'Data World'!$A:$AL,MATCH(World!$J$1,'Data World'!$A$1:$AL$1,))</f>
        <v/>
      </c>
      <c r="K58" s="13">
        <f>VLOOKUP(B58,'Data World'!$A:$AL,MATCH(World!$K$1,'Data World'!$A$1:$AL$1,))</f>
        <v/>
      </c>
      <c r="L58" s="13">
        <f>VLOOKUP(B58,'Data World'!$A:$AL,MATCH(World!$L$1,'Data World'!$A$1:$AL$1,))</f>
        <v/>
      </c>
      <c r="M58" s="13">
        <f>VLOOKUP(B58,'Data World'!$A:$AL,MATCH(World!$M$1,'Data World'!$A$1:$AL$1,))</f>
        <v/>
      </c>
      <c r="N58" s="13">
        <f>VLOOKUP(B58,'Data World'!$A:$AL,MATCH(World!$N$1,'Data World'!$A$1:$AL$1,))</f>
        <v/>
      </c>
      <c r="O58" s="13">
        <f>VLOOKUP(B58,'Data World'!$A:$AL,MATCH(World!$O$1,'Data World'!$A$1:$AL$1,))</f>
        <v/>
      </c>
      <c r="P58" s="13">
        <f>VLOOKUP(B58,'Data World'!$A:$AL,MATCH(World!$P$1,'Data World'!$A$1:$AL$1,))</f>
        <v/>
      </c>
      <c r="Q58" s="13">
        <f>VLOOKUP(B58,'Data World'!$A:$AL,MATCH(World!$Q$1,'Data World'!$A$1:$AL$1,))</f>
        <v/>
      </c>
      <c r="R58" s="13">
        <f>VLOOKUP(B58,'Data World'!$A:$AL,MATCH(World!$R$1,'Data World'!$A$1:$AL$1,))</f>
        <v/>
      </c>
      <c r="S58" s="13">
        <f>VLOOKUP(B58,'Data World'!$A:$AL,MATCH(World!$S$1,'Data World'!$A$1:$AL$1,))</f>
        <v/>
      </c>
      <c r="T58" s="13">
        <f>VLOOKUP(B58,'Data World'!$A:$AL,MATCH(World!$T$1,'Data World'!$A$1:$AL$1,))</f>
        <v/>
      </c>
    </row>
    <row r="59" customFormat="1" s="70">
      <c r="B59" s="12" t="n">
        <v>43738</v>
      </c>
      <c r="C59" s="13">
        <f>VLOOKUP(B59,'Data World'!$A:$AL,MATCH(World!$C$1,'Data World'!$A$1:$AL$1,))</f>
        <v/>
      </c>
      <c r="D59" s="13">
        <f>VLOOKUP(B59,'Data World'!$A:$AL,MATCH(World!$D$1,'Data World'!$A$1:$AL$1,))</f>
        <v/>
      </c>
      <c r="E59" s="13">
        <f>VLOOKUP(B59,'Data World'!$A:$AL,MATCH(World!$E$1,'Data World'!$A$1:$AL$1,))</f>
        <v/>
      </c>
      <c r="F59" s="13">
        <f>VLOOKUP(B59,'Data World'!$A:$AL,MATCH(World!$F$1,'Data World'!$A$1:$AL$1,))</f>
        <v/>
      </c>
      <c r="G59" s="13">
        <f>VLOOKUP(B59,'Data World'!$A:$AL,MATCH(World!$G$1,'Data World'!$A$1:$AL$1,))</f>
        <v/>
      </c>
      <c r="H59" s="13">
        <f>VLOOKUP(B59,'Data World'!$A:$AL,MATCH(World!$H$1,'Data World'!$A$1:$AL$1,))</f>
        <v/>
      </c>
      <c r="I59" s="13">
        <f>VLOOKUP(B59,'Data World'!$A:$AL,MATCH(World!$I$1,'Data World'!$A$1:$AL$1,))</f>
        <v/>
      </c>
      <c r="J59" s="13">
        <f>VLOOKUP(B59,'Data World'!$A:$AL,MATCH(World!$J$1,'Data World'!$A$1:$AL$1,))</f>
        <v/>
      </c>
      <c r="K59" s="13">
        <f>VLOOKUP(B59,'Data World'!$A:$AL,MATCH(World!$K$1,'Data World'!$A$1:$AL$1,))</f>
        <v/>
      </c>
      <c r="L59" s="13">
        <f>VLOOKUP(B59,'Data World'!$A:$AL,MATCH(World!$L$1,'Data World'!$A$1:$AL$1,))</f>
        <v/>
      </c>
      <c r="M59" s="13">
        <f>VLOOKUP(B59,'Data World'!$A:$AL,MATCH(World!$M$1,'Data World'!$A$1:$AL$1,))</f>
        <v/>
      </c>
      <c r="N59" s="13">
        <f>VLOOKUP(B59,'Data World'!$A:$AL,MATCH(World!$N$1,'Data World'!$A$1:$AL$1,))</f>
        <v/>
      </c>
      <c r="O59" s="13">
        <f>VLOOKUP(B59,'Data World'!$A:$AL,MATCH(World!$O$1,'Data World'!$A$1:$AL$1,))</f>
        <v/>
      </c>
      <c r="P59" s="13">
        <f>VLOOKUP(B59,'Data World'!$A:$AL,MATCH(World!$P$1,'Data World'!$A$1:$AL$1,))</f>
        <v/>
      </c>
      <c r="Q59" s="13">
        <f>VLOOKUP(B59,'Data World'!$A:$AL,MATCH(World!$Q$1,'Data World'!$A$1:$AL$1,))</f>
        <v/>
      </c>
      <c r="R59" s="13">
        <f>VLOOKUP(B59,'Data World'!$A:$AL,MATCH(World!$R$1,'Data World'!$A$1:$AL$1,))</f>
        <v/>
      </c>
      <c r="S59" s="13">
        <f>VLOOKUP(B59,'Data World'!$A:$AL,MATCH(World!$S$1,'Data World'!$A$1:$AL$1,))</f>
        <v/>
      </c>
      <c r="T59" s="13">
        <f>VLOOKUP(B59,'Data World'!$A:$AL,MATCH(World!$T$1,'Data World'!$A$1:$AL$1,))</f>
        <v/>
      </c>
    </row>
    <row r="60" customFormat="1" s="70">
      <c r="B60" s="12" t="n">
        <v>43769</v>
      </c>
      <c r="C60" s="13">
        <f>VLOOKUP(B60,'Data World'!$A:$AL,MATCH(World!$C$1,'Data World'!$A$1:$AL$1,))</f>
        <v/>
      </c>
      <c r="D60" s="13">
        <f>VLOOKUP(B60,'Data World'!$A:$AL,MATCH(World!$D$1,'Data World'!$A$1:$AL$1,))</f>
        <v/>
      </c>
      <c r="E60" s="13">
        <f>VLOOKUP(B60,'Data World'!$A:$AL,MATCH(World!$E$1,'Data World'!$A$1:$AL$1,))</f>
        <v/>
      </c>
      <c r="F60" s="13">
        <f>VLOOKUP(B60,'Data World'!$A:$AL,MATCH(World!$F$1,'Data World'!$A$1:$AL$1,))</f>
        <v/>
      </c>
      <c r="G60" s="13">
        <f>VLOOKUP(B60,'Data World'!$A:$AL,MATCH(World!$G$1,'Data World'!$A$1:$AL$1,))</f>
        <v/>
      </c>
      <c r="H60" s="13">
        <f>VLOOKUP(B60,'Data World'!$A:$AL,MATCH(World!$H$1,'Data World'!$A$1:$AL$1,))</f>
        <v/>
      </c>
      <c r="I60" s="13">
        <f>VLOOKUP(B60,'Data World'!$A:$AL,MATCH(World!$I$1,'Data World'!$A$1:$AL$1,))</f>
        <v/>
      </c>
      <c r="J60" s="13">
        <f>VLOOKUP(B60,'Data World'!$A:$AL,MATCH(World!$J$1,'Data World'!$A$1:$AL$1,))</f>
        <v/>
      </c>
      <c r="K60" s="13">
        <f>VLOOKUP(B60,'Data World'!$A:$AL,MATCH(World!$K$1,'Data World'!$A$1:$AL$1,))</f>
        <v/>
      </c>
      <c r="L60" s="13">
        <f>VLOOKUP(B60,'Data World'!$A:$AL,MATCH(World!$L$1,'Data World'!$A$1:$AL$1,))</f>
        <v/>
      </c>
      <c r="M60" s="13">
        <f>VLOOKUP(B60,'Data World'!$A:$AL,MATCH(World!$M$1,'Data World'!$A$1:$AL$1,))</f>
        <v/>
      </c>
      <c r="N60" s="13">
        <f>VLOOKUP(B60,'Data World'!$A:$AL,MATCH(World!$N$1,'Data World'!$A$1:$AL$1,))</f>
        <v/>
      </c>
      <c r="O60" s="13">
        <f>VLOOKUP(B60,'Data World'!$A:$AL,MATCH(World!$O$1,'Data World'!$A$1:$AL$1,))</f>
        <v/>
      </c>
      <c r="P60" s="13">
        <f>VLOOKUP(B60,'Data World'!$A:$AL,MATCH(World!$P$1,'Data World'!$A$1:$AL$1,))</f>
        <v/>
      </c>
      <c r="Q60" s="13">
        <f>VLOOKUP(B60,'Data World'!$A:$AL,MATCH(World!$Q$1,'Data World'!$A$1:$AL$1,))</f>
        <v/>
      </c>
      <c r="R60" s="13">
        <f>VLOOKUP(B60,'Data World'!$A:$AL,MATCH(World!$R$1,'Data World'!$A$1:$AL$1,))</f>
        <v/>
      </c>
      <c r="S60" s="13">
        <f>VLOOKUP(B60,'Data World'!$A:$AL,MATCH(World!$S$1,'Data World'!$A$1:$AL$1,))</f>
        <v/>
      </c>
      <c r="T60" s="13">
        <f>VLOOKUP(B60,'Data World'!$A:$AL,MATCH(World!$T$1,'Data World'!$A$1:$AL$1,))</f>
        <v/>
      </c>
    </row>
    <row r="61" customFormat="1" s="70">
      <c r="B61" s="12" t="n">
        <v>43799</v>
      </c>
      <c r="C61" s="13">
        <f>VLOOKUP(B61,'Data World'!$A:$AL,MATCH(World!$C$1,'Data World'!$A$1:$AL$1,))</f>
        <v/>
      </c>
      <c r="D61" s="13">
        <f>VLOOKUP(B61,'Data World'!$A:$AL,MATCH(World!$D$1,'Data World'!$A$1:$AL$1,))</f>
        <v/>
      </c>
      <c r="E61" s="13">
        <f>VLOOKUP(B61,'Data World'!$A:$AL,MATCH(World!$E$1,'Data World'!$A$1:$AL$1,))</f>
        <v/>
      </c>
      <c r="F61" s="13">
        <f>VLOOKUP(B61,'Data World'!$A:$AL,MATCH(World!$F$1,'Data World'!$A$1:$AL$1,))</f>
        <v/>
      </c>
      <c r="G61" s="13">
        <f>VLOOKUP(B61,'Data World'!$A:$AL,MATCH(World!$G$1,'Data World'!$A$1:$AL$1,))</f>
        <v/>
      </c>
      <c r="H61" s="13">
        <f>VLOOKUP(B61,'Data World'!$A:$AL,MATCH(World!$H$1,'Data World'!$A$1:$AL$1,))</f>
        <v/>
      </c>
      <c r="I61" s="13">
        <f>VLOOKUP(B61,'Data World'!$A:$AL,MATCH(World!$I$1,'Data World'!$A$1:$AL$1,))</f>
        <v/>
      </c>
      <c r="J61" s="13">
        <f>VLOOKUP(B61,'Data World'!$A:$AL,MATCH(World!$J$1,'Data World'!$A$1:$AL$1,))</f>
        <v/>
      </c>
      <c r="K61" s="13">
        <f>VLOOKUP(B61,'Data World'!$A:$AL,MATCH(World!$K$1,'Data World'!$A$1:$AL$1,))</f>
        <v/>
      </c>
      <c r="L61" s="13">
        <f>VLOOKUP(B61,'Data World'!$A:$AL,MATCH(World!$L$1,'Data World'!$A$1:$AL$1,))</f>
        <v/>
      </c>
      <c r="M61" s="13">
        <f>VLOOKUP(B61,'Data World'!$A:$AL,MATCH(World!$M$1,'Data World'!$A$1:$AL$1,))</f>
        <v/>
      </c>
      <c r="N61" s="13">
        <f>VLOOKUP(B61,'Data World'!$A:$AL,MATCH(World!$N$1,'Data World'!$A$1:$AL$1,))</f>
        <v/>
      </c>
      <c r="O61" s="13">
        <f>VLOOKUP(B61,'Data World'!$A:$AL,MATCH(World!$O$1,'Data World'!$A$1:$AL$1,))</f>
        <v/>
      </c>
      <c r="P61" s="13">
        <f>VLOOKUP(B61,'Data World'!$A:$AL,MATCH(World!$P$1,'Data World'!$A$1:$AL$1,))</f>
        <v/>
      </c>
      <c r="Q61" s="13">
        <f>VLOOKUP(B61,'Data World'!$A:$AL,MATCH(World!$Q$1,'Data World'!$A$1:$AL$1,))</f>
        <v/>
      </c>
      <c r="R61" s="13">
        <f>VLOOKUP(B61,'Data World'!$A:$AL,MATCH(World!$R$1,'Data World'!$A$1:$AL$1,))</f>
        <v/>
      </c>
      <c r="S61" s="13">
        <f>VLOOKUP(B61,'Data World'!$A:$AL,MATCH(World!$S$1,'Data World'!$A$1:$AL$1,))</f>
        <v/>
      </c>
      <c r="T61" s="13">
        <f>VLOOKUP(B61,'Data World'!$A:$AL,MATCH(World!$T$1,'Data World'!$A$1:$AL$1,))</f>
        <v/>
      </c>
    </row>
    <row r="62" customFormat="1" s="70">
      <c r="B62" s="12" t="n">
        <v>43830</v>
      </c>
      <c r="C62" s="13">
        <f>VLOOKUP(B62,'Data World'!$A:$AL,MATCH(World!$C$1,'Data World'!$A$1:$AL$1,))</f>
        <v/>
      </c>
      <c r="D62" s="13">
        <f>VLOOKUP(B62,'Data World'!$A:$AL,MATCH(World!$D$1,'Data World'!$A$1:$AL$1,))</f>
        <v/>
      </c>
      <c r="E62" s="13">
        <f>VLOOKUP(B62,'Data World'!$A:$AL,MATCH(World!$E$1,'Data World'!$A$1:$AL$1,))</f>
        <v/>
      </c>
      <c r="F62" s="13">
        <f>VLOOKUP(B62,'Data World'!$A:$AL,MATCH(World!$F$1,'Data World'!$A$1:$AL$1,))</f>
        <v/>
      </c>
      <c r="G62" s="13">
        <f>VLOOKUP(B62,'Data World'!$A:$AL,MATCH(World!$G$1,'Data World'!$A$1:$AL$1,))</f>
        <v/>
      </c>
      <c r="H62" s="13">
        <f>VLOOKUP(B62,'Data World'!$A:$AL,MATCH(World!$H$1,'Data World'!$A$1:$AL$1,))</f>
        <v/>
      </c>
      <c r="I62" s="13">
        <f>VLOOKUP(B62,'Data World'!$A:$AL,MATCH(World!$I$1,'Data World'!$A$1:$AL$1,))</f>
        <v/>
      </c>
      <c r="J62" s="13">
        <f>VLOOKUP(B62,'Data World'!$A:$AL,MATCH(World!$J$1,'Data World'!$A$1:$AL$1,))</f>
        <v/>
      </c>
      <c r="K62" s="13">
        <f>VLOOKUP(B62,'Data World'!$A:$AL,MATCH(World!$K$1,'Data World'!$A$1:$AL$1,))</f>
        <v/>
      </c>
      <c r="L62" s="13">
        <f>VLOOKUP(B62,'Data World'!$A:$AL,MATCH(World!$L$1,'Data World'!$A$1:$AL$1,))</f>
        <v/>
      </c>
      <c r="M62" s="13">
        <f>VLOOKUP(B62,'Data World'!$A:$AL,MATCH(World!$M$1,'Data World'!$A$1:$AL$1,))</f>
        <v/>
      </c>
      <c r="N62" s="13">
        <f>VLOOKUP(B62,'Data World'!$A:$AL,MATCH(World!$N$1,'Data World'!$A$1:$AL$1,))</f>
        <v/>
      </c>
      <c r="O62" s="13">
        <f>VLOOKUP(B62,'Data World'!$A:$AL,MATCH(World!$O$1,'Data World'!$A$1:$AL$1,))</f>
        <v/>
      </c>
      <c r="P62" s="13">
        <f>VLOOKUP(B62,'Data World'!$A:$AL,MATCH(World!$P$1,'Data World'!$A$1:$AL$1,))</f>
        <v/>
      </c>
      <c r="Q62" s="13">
        <f>VLOOKUP(B62,'Data World'!$A:$AL,MATCH(World!$Q$1,'Data World'!$A$1:$AL$1,))</f>
        <v/>
      </c>
      <c r="R62" s="13">
        <f>VLOOKUP(B62,'Data World'!$A:$AL,MATCH(World!$R$1,'Data World'!$A$1:$AL$1,))</f>
        <v/>
      </c>
      <c r="S62" s="13">
        <f>VLOOKUP(B62,'Data World'!$A:$AL,MATCH(World!$S$1,'Data World'!$A$1:$AL$1,))</f>
        <v/>
      </c>
      <c r="T62" s="13">
        <f>VLOOKUP(B62,'Data World'!$A:$AL,MATCH(World!$T$1,'Data World'!$A$1:$AL$1,))</f>
        <v/>
      </c>
    </row>
    <row r="63" customFormat="1" s="70">
      <c r="B63" s="12" t="n">
        <v>43861</v>
      </c>
      <c r="C63" s="13">
        <f>VLOOKUP(B63,'Data World'!$A:$AL,MATCH(World!$C$1,'Data World'!$A$1:$AL$1,))</f>
        <v/>
      </c>
      <c r="D63" s="13">
        <f>VLOOKUP(B63,'Data World'!$A:$AL,MATCH(World!$D$1,'Data World'!$A$1:$AL$1,))</f>
        <v/>
      </c>
      <c r="E63" s="13">
        <f>VLOOKUP(B63,'Data World'!$A:$AL,MATCH(World!$E$1,'Data World'!$A$1:$AL$1,))</f>
        <v/>
      </c>
      <c r="F63" s="13">
        <f>VLOOKUP(B63,'Data World'!$A:$AL,MATCH(World!$F$1,'Data World'!$A$1:$AL$1,))</f>
        <v/>
      </c>
      <c r="G63" s="13">
        <f>VLOOKUP(B63,'Data World'!$A:$AL,MATCH(World!$G$1,'Data World'!$A$1:$AL$1,))</f>
        <v/>
      </c>
      <c r="H63" s="13">
        <f>VLOOKUP(B63,'Data World'!$A:$AL,MATCH(World!$H$1,'Data World'!$A$1:$AL$1,))</f>
        <v/>
      </c>
      <c r="I63" s="13">
        <f>VLOOKUP(B63,'Data World'!$A:$AL,MATCH(World!$I$1,'Data World'!$A$1:$AL$1,))</f>
        <v/>
      </c>
      <c r="J63" s="13">
        <f>VLOOKUP(B63,'Data World'!$A:$AL,MATCH(World!$J$1,'Data World'!$A$1:$AL$1,))</f>
        <v/>
      </c>
      <c r="K63" s="13">
        <f>VLOOKUP(B63,'Data World'!$A:$AL,MATCH(World!$K$1,'Data World'!$A$1:$AL$1,))</f>
        <v/>
      </c>
      <c r="L63" s="13">
        <f>VLOOKUP(B63,'Data World'!$A:$AL,MATCH(World!$L$1,'Data World'!$A$1:$AL$1,))</f>
        <v/>
      </c>
      <c r="M63" s="13">
        <f>VLOOKUP(B63,'Data World'!$A:$AL,MATCH(World!$M$1,'Data World'!$A$1:$AL$1,))</f>
        <v/>
      </c>
      <c r="N63" s="13">
        <f>VLOOKUP(B63,'Data World'!$A:$AL,MATCH(World!$N$1,'Data World'!$A$1:$AL$1,))</f>
        <v/>
      </c>
      <c r="O63" s="13">
        <f>VLOOKUP(B63,'Data World'!$A:$AL,MATCH(World!$O$1,'Data World'!$A$1:$AL$1,))</f>
        <v/>
      </c>
      <c r="P63" s="13">
        <f>VLOOKUP(B63,'Data World'!$A:$AL,MATCH(World!$P$1,'Data World'!$A$1:$AL$1,))</f>
        <v/>
      </c>
      <c r="Q63" s="13">
        <f>VLOOKUP(B63,'Data World'!$A:$AL,MATCH(World!$Q$1,'Data World'!$A$1:$AL$1,))</f>
        <v/>
      </c>
      <c r="R63" s="13">
        <f>VLOOKUP(B63,'Data World'!$A:$AL,MATCH(World!$R$1,'Data World'!$A$1:$AL$1,))</f>
        <v/>
      </c>
      <c r="S63" s="13">
        <f>VLOOKUP(B63,'Data World'!$A:$AL,MATCH(World!$S$1,'Data World'!$A$1:$AL$1,))</f>
        <v/>
      </c>
      <c r="T63" s="13">
        <f>VLOOKUP(B63,'Data World'!$A:$AL,MATCH(World!$T$1,'Data World'!$A$1:$AL$1,))</f>
        <v/>
      </c>
    </row>
    <row r="64" customFormat="1" s="70">
      <c r="B64" s="12" t="n">
        <v>43890</v>
      </c>
      <c r="C64" s="13">
        <f>VLOOKUP(B64,'Data World'!$A:$AL,MATCH(World!$C$1,'Data World'!$A$1:$AL$1,))</f>
        <v/>
      </c>
      <c r="D64" s="13">
        <f>VLOOKUP(B64,'Data World'!$A:$AL,MATCH(World!$D$1,'Data World'!$A$1:$AL$1,))</f>
        <v/>
      </c>
      <c r="E64" s="13">
        <f>VLOOKUP(B64,'Data World'!$A:$AL,MATCH(World!$E$1,'Data World'!$A$1:$AL$1,))</f>
        <v/>
      </c>
      <c r="F64" s="13">
        <f>VLOOKUP(B64,'Data World'!$A:$AL,MATCH(World!$F$1,'Data World'!$A$1:$AL$1,))</f>
        <v/>
      </c>
      <c r="G64" s="13">
        <f>VLOOKUP(B64,'Data World'!$A:$AL,MATCH(World!$G$1,'Data World'!$A$1:$AL$1,))</f>
        <v/>
      </c>
      <c r="H64" s="13">
        <f>VLOOKUP(B64,'Data World'!$A:$AL,MATCH(World!$H$1,'Data World'!$A$1:$AL$1,))</f>
        <v/>
      </c>
      <c r="I64" s="13">
        <f>VLOOKUP(B64,'Data World'!$A:$AL,MATCH(World!$I$1,'Data World'!$A$1:$AL$1,))</f>
        <v/>
      </c>
      <c r="J64" s="13">
        <f>VLOOKUP(B64,'Data World'!$A:$AL,MATCH(World!$J$1,'Data World'!$A$1:$AL$1,))</f>
        <v/>
      </c>
      <c r="K64" s="13">
        <f>VLOOKUP(B64,'Data World'!$A:$AL,MATCH(World!$K$1,'Data World'!$A$1:$AL$1,))</f>
        <v/>
      </c>
      <c r="L64" s="13">
        <f>VLOOKUP(B64,'Data World'!$A:$AL,MATCH(World!$L$1,'Data World'!$A$1:$AL$1,))</f>
        <v/>
      </c>
      <c r="M64" s="13">
        <f>VLOOKUP(B64,'Data World'!$A:$AL,MATCH(World!$M$1,'Data World'!$A$1:$AL$1,))</f>
        <v/>
      </c>
      <c r="N64" s="13">
        <f>VLOOKUP(B64,'Data World'!$A:$AL,MATCH(World!$N$1,'Data World'!$A$1:$AL$1,))</f>
        <v/>
      </c>
      <c r="O64" s="13">
        <f>VLOOKUP(B64,'Data World'!$A:$AL,MATCH(World!$O$1,'Data World'!$A$1:$AL$1,))</f>
        <v/>
      </c>
      <c r="P64" s="13">
        <f>VLOOKUP(B64,'Data World'!$A:$AL,MATCH(World!$P$1,'Data World'!$A$1:$AL$1,))</f>
        <v/>
      </c>
      <c r="Q64" s="13">
        <f>VLOOKUP(B64,'Data World'!$A:$AL,MATCH(World!$Q$1,'Data World'!$A$1:$AL$1,))</f>
        <v/>
      </c>
      <c r="R64" s="13">
        <f>VLOOKUP(B64,'Data World'!$A:$AL,MATCH(World!$R$1,'Data World'!$A$1:$AL$1,))</f>
        <v/>
      </c>
      <c r="S64" s="13">
        <f>VLOOKUP(B64,'Data World'!$A:$AL,MATCH(World!$S$1,'Data World'!$A$1:$AL$1,))</f>
        <v/>
      </c>
      <c r="T64" s="13">
        <f>VLOOKUP(B64,'Data World'!$A:$AL,MATCH(World!$T$1,'Data World'!$A$1:$AL$1,))</f>
        <v/>
      </c>
    </row>
    <row r="65" customFormat="1" s="70">
      <c r="B65" s="12" t="n">
        <v>43921</v>
      </c>
      <c r="C65" s="13">
        <f>VLOOKUP(B65,'Data World'!$A:$AL,MATCH(World!$C$1,'Data World'!$A$1:$AL$1,))</f>
        <v/>
      </c>
      <c r="D65" s="13">
        <f>VLOOKUP(B65,'Data World'!$A:$AL,MATCH(World!$D$1,'Data World'!$A$1:$AL$1,))</f>
        <v/>
      </c>
      <c r="E65" s="13">
        <f>VLOOKUP(B65,'Data World'!$A:$AL,MATCH(World!$E$1,'Data World'!$A$1:$AL$1,))</f>
        <v/>
      </c>
      <c r="F65" s="13">
        <f>VLOOKUP(B65,'Data World'!$A:$AL,MATCH(World!$F$1,'Data World'!$A$1:$AL$1,))</f>
        <v/>
      </c>
      <c r="G65" s="13">
        <f>VLOOKUP(B65,'Data World'!$A:$AL,MATCH(World!$G$1,'Data World'!$A$1:$AL$1,))</f>
        <v/>
      </c>
      <c r="H65" s="13">
        <f>VLOOKUP(B65,'Data World'!$A:$AL,MATCH(World!$H$1,'Data World'!$A$1:$AL$1,))</f>
        <v/>
      </c>
      <c r="I65" s="13">
        <f>VLOOKUP(B65,'Data World'!$A:$AL,MATCH(World!$I$1,'Data World'!$A$1:$AL$1,))</f>
        <v/>
      </c>
      <c r="J65" s="13">
        <f>VLOOKUP(B65,'Data World'!$A:$AL,MATCH(World!$J$1,'Data World'!$A$1:$AL$1,))</f>
        <v/>
      </c>
      <c r="K65" s="13">
        <f>VLOOKUP(B65,'Data World'!$A:$AL,MATCH(World!$K$1,'Data World'!$A$1:$AL$1,))</f>
        <v/>
      </c>
      <c r="L65" s="13">
        <f>VLOOKUP(B65,'Data World'!$A:$AL,MATCH(World!$L$1,'Data World'!$A$1:$AL$1,))</f>
        <v/>
      </c>
      <c r="M65" s="13">
        <f>VLOOKUP(B65,'Data World'!$A:$AL,MATCH(World!$M$1,'Data World'!$A$1:$AL$1,))</f>
        <v/>
      </c>
      <c r="N65" s="13">
        <f>VLOOKUP(B65,'Data World'!$A:$AL,MATCH(World!$N$1,'Data World'!$A$1:$AL$1,))</f>
        <v/>
      </c>
      <c r="O65" s="13">
        <f>VLOOKUP(B65,'Data World'!$A:$AL,MATCH(World!$O$1,'Data World'!$A$1:$AL$1,))</f>
        <v/>
      </c>
      <c r="P65" s="13">
        <f>VLOOKUP(B65,'Data World'!$A:$AL,MATCH(World!$P$1,'Data World'!$A$1:$AL$1,))</f>
        <v/>
      </c>
      <c r="Q65" s="13">
        <f>VLOOKUP(B65,'Data World'!$A:$AL,MATCH(World!$Q$1,'Data World'!$A$1:$AL$1,))</f>
        <v/>
      </c>
      <c r="R65" s="13">
        <f>VLOOKUP(B65,'Data World'!$A:$AL,MATCH(World!$R$1,'Data World'!$A$1:$AL$1,))</f>
        <v/>
      </c>
      <c r="S65" s="13">
        <f>VLOOKUP(B65,'Data World'!$A:$AL,MATCH(World!$S$1,'Data World'!$A$1:$AL$1,))</f>
        <v/>
      </c>
      <c r="T65" s="13">
        <f>VLOOKUP(B65,'Data World'!$A:$AL,MATCH(World!$T$1,'Data World'!$A$1:$AL$1,))</f>
        <v/>
      </c>
    </row>
    <row r="66" customFormat="1" s="70">
      <c r="B66" s="12" t="n">
        <v>43951</v>
      </c>
      <c r="C66" s="13">
        <f>VLOOKUP(B66,'Data World'!$A:$AL,MATCH(World!$C$1,'Data World'!$A$1:$AL$1,))</f>
        <v/>
      </c>
      <c r="D66" s="13">
        <f>VLOOKUP(B66,'Data World'!$A:$AL,MATCH(World!$D$1,'Data World'!$A$1:$AL$1,))</f>
        <v/>
      </c>
      <c r="E66" s="13">
        <f>VLOOKUP(B66,'Data World'!$A:$AL,MATCH(World!$E$1,'Data World'!$A$1:$AL$1,))</f>
        <v/>
      </c>
      <c r="F66" s="13">
        <f>VLOOKUP(B66,'Data World'!$A:$AL,MATCH(World!$F$1,'Data World'!$A$1:$AL$1,))</f>
        <v/>
      </c>
      <c r="G66" s="13">
        <f>VLOOKUP(B66,'Data World'!$A:$AL,MATCH(World!$G$1,'Data World'!$A$1:$AL$1,))</f>
        <v/>
      </c>
      <c r="H66" s="13">
        <f>VLOOKUP(B66,'Data World'!$A:$AL,MATCH(World!$H$1,'Data World'!$A$1:$AL$1,))</f>
        <v/>
      </c>
      <c r="I66" s="13">
        <f>VLOOKUP(B66,'Data World'!$A:$AL,MATCH(World!$I$1,'Data World'!$A$1:$AL$1,))</f>
        <v/>
      </c>
      <c r="J66" s="13">
        <f>VLOOKUP(B66,'Data World'!$A:$AL,MATCH(World!$J$1,'Data World'!$A$1:$AL$1,))</f>
        <v/>
      </c>
      <c r="K66" s="13">
        <f>VLOOKUP(B66,'Data World'!$A:$AL,MATCH(World!$K$1,'Data World'!$A$1:$AL$1,))</f>
        <v/>
      </c>
      <c r="L66" s="13">
        <f>VLOOKUP(B66,'Data World'!$A:$AL,MATCH(World!$L$1,'Data World'!$A$1:$AL$1,))</f>
        <v/>
      </c>
      <c r="M66" s="13">
        <f>VLOOKUP(B66,'Data World'!$A:$AL,MATCH(World!$M$1,'Data World'!$A$1:$AL$1,))</f>
        <v/>
      </c>
      <c r="N66" s="13">
        <f>VLOOKUP(B66,'Data World'!$A:$AL,MATCH(World!$N$1,'Data World'!$A$1:$AL$1,))</f>
        <v/>
      </c>
      <c r="O66" s="13">
        <f>VLOOKUP(B66,'Data World'!$A:$AL,MATCH(World!$O$1,'Data World'!$A$1:$AL$1,))</f>
        <v/>
      </c>
      <c r="P66" s="13">
        <f>VLOOKUP(B66,'Data World'!$A:$AL,MATCH(World!$P$1,'Data World'!$A$1:$AL$1,))</f>
        <v/>
      </c>
      <c r="Q66" s="13">
        <f>VLOOKUP(B66,'Data World'!$A:$AL,MATCH(World!$Q$1,'Data World'!$A$1:$AL$1,))</f>
        <v/>
      </c>
      <c r="R66" s="13">
        <f>VLOOKUP(B66,'Data World'!$A:$AL,MATCH(World!$R$1,'Data World'!$A$1:$AL$1,))</f>
        <v/>
      </c>
      <c r="S66" s="13">
        <f>VLOOKUP(B66,'Data World'!$A:$AL,MATCH(World!$S$1,'Data World'!$A$1:$AL$1,))</f>
        <v/>
      </c>
      <c r="T66" s="13">
        <f>VLOOKUP(B66,'Data World'!$A:$AL,MATCH(World!$T$1,'Data World'!$A$1:$AL$1,))</f>
        <v/>
      </c>
    </row>
    <row r="67" customFormat="1" s="70">
      <c r="B67" s="12" t="n">
        <v>43982</v>
      </c>
      <c r="C67" s="13">
        <f>VLOOKUP(B67,'Data World'!$A:$AL,MATCH(World!$C$1,'Data World'!$A$1:$AL$1,))</f>
        <v/>
      </c>
      <c r="D67" s="13">
        <f>VLOOKUP(B67,'Data World'!$A:$AL,MATCH(World!$D$1,'Data World'!$A$1:$AL$1,))</f>
        <v/>
      </c>
      <c r="E67" s="13">
        <f>VLOOKUP(B67,'Data World'!$A:$AL,MATCH(World!$E$1,'Data World'!$A$1:$AL$1,))</f>
        <v/>
      </c>
      <c r="F67" s="13">
        <f>VLOOKUP(B67,'Data World'!$A:$AL,MATCH(World!$F$1,'Data World'!$A$1:$AL$1,))</f>
        <v/>
      </c>
      <c r="G67" s="13">
        <f>VLOOKUP(B67,'Data World'!$A:$AL,MATCH(World!$G$1,'Data World'!$A$1:$AL$1,))</f>
        <v/>
      </c>
      <c r="H67" s="13">
        <f>VLOOKUP(B67,'Data World'!$A:$AL,MATCH(World!$H$1,'Data World'!$A$1:$AL$1,))</f>
        <v/>
      </c>
      <c r="I67" s="13">
        <f>VLOOKUP(B67,'Data World'!$A:$AL,MATCH(World!$I$1,'Data World'!$A$1:$AL$1,))</f>
        <v/>
      </c>
      <c r="J67" s="13">
        <f>VLOOKUP(B67,'Data World'!$A:$AL,MATCH(World!$J$1,'Data World'!$A$1:$AL$1,))</f>
        <v/>
      </c>
      <c r="K67" s="13">
        <f>VLOOKUP(B67,'Data World'!$A:$AL,MATCH(World!$K$1,'Data World'!$A$1:$AL$1,))</f>
        <v/>
      </c>
      <c r="L67" s="13">
        <f>VLOOKUP(B67,'Data World'!$A:$AL,MATCH(World!$L$1,'Data World'!$A$1:$AL$1,))</f>
        <v/>
      </c>
      <c r="M67" s="13">
        <f>VLOOKUP(B67,'Data World'!$A:$AL,MATCH(World!$M$1,'Data World'!$A$1:$AL$1,))</f>
        <v/>
      </c>
      <c r="N67" s="13">
        <f>VLOOKUP(B67,'Data World'!$A:$AL,MATCH(World!$N$1,'Data World'!$A$1:$AL$1,))</f>
        <v/>
      </c>
      <c r="O67" s="13">
        <f>VLOOKUP(B67,'Data World'!$A:$AL,MATCH(World!$O$1,'Data World'!$A$1:$AL$1,))</f>
        <v/>
      </c>
      <c r="P67" s="13">
        <f>VLOOKUP(B67,'Data World'!$A:$AL,MATCH(World!$P$1,'Data World'!$A$1:$AL$1,))</f>
        <v/>
      </c>
      <c r="Q67" s="13">
        <f>VLOOKUP(B67,'Data World'!$A:$AL,MATCH(World!$Q$1,'Data World'!$A$1:$AL$1,))</f>
        <v/>
      </c>
      <c r="R67" s="13">
        <f>VLOOKUP(B67,'Data World'!$A:$AL,MATCH(World!$R$1,'Data World'!$A$1:$AL$1,))</f>
        <v/>
      </c>
      <c r="S67" s="13">
        <f>VLOOKUP(B67,'Data World'!$A:$AL,MATCH(World!$S$1,'Data World'!$A$1:$AL$1,))</f>
        <v/>
      </c>
      <c r="T67" s="13">
        <f>VLOOKUP(B67,'Data World'!$A:$AL,MATCH(World!$T$1,'Data World'!$A$1:$AL$1,))</f>
        <v/>
      </c>
    </row>
    <row r="68" customFormat="1" s="70">
      <c r="B68" s="12" t="n">
        <v>44012</v>
      </c>
      <c r="C68" s="13">
        <f>VLOOKUP(B68,'Data World'!$A:$AL,MATCH(World!$C$1,'Data World'!$A$1:$AL$1,))</f>
        <v/>
      </c>
      <c r="D68" s="13">
        <f>VLOOKUP(B68,'Data World'!$A:$AL,MATCH(World!$D$1,'Data World'!$A$1:$AL$1,))</f>
        <v/>
      </c>
      <c r="E68" s="13">
        <f>VLOOKUP(B68,'Data World'!$A:$AL,MATCH(World!$E$1,'Data World'!$A$1:$AL$1,))</f>
        <v/>
      </c>
      <c r="F68" s="13">
        <f>VLOOKUP(B68,'Data World'!$A:$AL,MATCH(World!$F$1,'Data World'!$A$1:$AL$1,))</f>
        <v/>
      </c>
      <c r="G68" s="13">
        <f>VLOOKUP(B68,'Data World'!$A:$AL,MATCH(World!$G$1,'Data World'!$A$1:$AL$1,))</f>
        <v/>
      </c>
      <c r="H68" s="13">
        <f>VLOOKUP(B68,'Data World'!$A:$AL,MATCH(World!$H$1,'Data World'!$A$1:$AL$1,))</f>
        <v/>
      </c>
      <c r="I68" s="13">
        <f>VLOOKUP(B68,'Data World'!$A:$AL,MATCH(World!$I$1,'Data World'!$A$1:$AL$1,))</f>
        <v/>
      </c>
      <c r="J68" s="13">
        <f>VLOOKUP(B68,'Data World'!$A:$AL,MATCH(World!$J$1,'Data World'!$A$1:$AL$1,))</f>
        <v/>
      </c>
      <c r="K68" s="13">
        <f>VLOOKUP(B68,'Data World'!$A:$AL,MATCH(World!$K$1,'Data World'!$A$1:$AL$1,))</f>
        <v/>
      </c>
      <c r="L68" s="13">
        <f>VLOOKUP(B68,'Data World'!$A:$AL,MATCH(World!$L$1,'Data World'!$A$1:$AL$1,))</f>
        <v/>
      </c>
      <c r="M68" s="13">
        <f>VLOOKUP(B68,'Data World'!$A:$AL,MATCH(World!$M$1,'Data World'!$A$1:$AL$1,))</f>
        <v/>
      </c>
      <c r="N68" s="13">
        <f>VLOOKUP(B68,'Data World'!$A:$AL,MATCH(World!$N$1,'Data World'!$A$1:$AL$1,))</f>
        <v/>
      </c>
      <c r="O68" s="13">
        <f>VLOOKUP(B68,'Data World'!$A:$AL,MATCH(World!$O$1,'Data World'!$A$1:$AL$1,))</f>
        <v/>
      </c>
      <c r="P68" s="13">
        <f>VLOOKUP(B68,'Data World'!$A:$AL,MATCH(World!$P$1,'Data World'!$A$1:$AL$1,))</f>
        <v/>
      </c>
      <c r="Q68" s="13">
        <f>VLOOKUP(B68,'Data World'!$A:$AL,MATCH(World!$Q$1,'Data World'!$A$1:$AL$1,))</f>
        <v/>
      </c>
      <c r="R68" s="13">
        <f>VLOOKUP(B68,'Data World'!$A:$AL,MATCH(World!$R$1,'Data World'!$A$1:$AL$1,))</f>
        <v/>
      </c>
      <c r="S68" s="13">
        <f>VLOOKUP(B68,'Data World'!$A:$AL,MATCH(World!$S$1,'Data World'!$A$1:$AL$1,))</f>
        <v/>
      </c>
      <c r="T68" s="13">
        <f>VLOOKUP(B68,'Data World'!$A:$AL,MATCH(World!$T$1,'Data World'!$A$1:$AL$1,))</f>
        <v/>
      </c>
    </row>
    <row r="69" customFormat="1" s="70">
      <c r="B69" s="12" t="n">
        <v>44043</v>
      </c>
      <c r="C69" s="13">
        <f>VLOOKUP(B69,'Data World'!$A:$AL,MATCH(World!$C$1,'Data World'!$A$1:$AL$1,))</f>
        <v/>
      </c>
      <c r="D69" s="13">
        <f>VLOOKUP(B69,'Data World'!$A:$AL,MATCH(World!$D$1,'Data World'!$A$1:$AL$1,))</f>
        <v/>
      </c>
      <c r="E69" s="13">
        <f>VLOOKUP(B69,'Data World'!$A:$AL,MATCH(World!$E$1,'Data World'!$A$1:$AL$1,))</f>
        <v/>
      </c>
      <c r="F69" s="13">
        <f>VLOOKUP(B69,'Data World'!$A:$AL,MATCH(World!$F$1,'Data World'!$A$1:$AL$1,))</f>
        <v/>
      </c>
      <c r="G69" s="13">
        <f>VLOOKUP(B69,'Data World'!$A:$AL,MATCH(World!$G$1,'Data World'!$A$1:$AL$1,))</f>
        <v/>
      </c>
      <c r="H69" s="13">
        <f>VLOOKUP(B69,'Data World'!$A:$AL,MATCH(World!$H$1,'Data World'!$A$1:$AL$1,))</f>
        <v/>
      </c>
      <c r="I69" s="13">
        <f>VLOOKUP(B69,'Data World'!$A:$AL,MATCH(World!$I$1,'Data World'!$A$1:$AL$1,))</f>
        <v/>
      </c>
      <c r="J69" s="13">
        <f>VLOOKUP(B69,'Data World'!$A:$AL,MATCH(World!$J$1,'Data World'!$A$1:$AL$1,))</f>
        <v/>
      </c>
      <c r="K69" s="13">
        <f>VLOOKUP(B69,'Data World'!$A:$AL,MATCH(World!$K$1,'Data World'!$A$1:$AL$1,))</f>
        <v/>
      </c>
      <c r="L69" s="13">
        <f>VLOOKUP(B69,'Data World'!$A:$AL,MATCH(World!$L$1,'Data World'!$A$1:$AL$1,))</f>
        <v/>
      </c>
      <c r="M69" s="13">
        <f>VLOOKUP(B69,'Data World'!$A:$AL,MATCH(World!$M$1,'Data World'!$A$1:$AL$1,))</f>
        <v/>
      </c>
      <c r="N69" s="13">
        <f>VLOOKUP(B69,'Data World'!$A:$AL,MATCH(World!$N$1,'Data World'!$A$1:$AL$1,))</f>
        <v/>
      </c>
      <c r="O69" s="13">
        <f>VLOOKUP(B69,'Data World'!$A:$AL,MATCH(World!$O$1,'Data World'!$A$1:$AL$1,))</f>
        <v/>
      </c>
      <c r="P69" s="13">
        <f>VLOOKUP(B69,'Data World'!$A:$AL,MATCH(World!$P$1,'Data World'!$A$1:$AL$1,))</f>
        <v/>
      </c>
      <c r="Q69" s="13">
        <f>VLOOKUP(B69,'Data World'!$A:$AL,MATCH(World!$Q$1,'Data World'!$A$1:$AL$1,))</f>
        <v/>
      </c>
      <c r="R69" s="13">
        <f>VLOOKUP(B69,'Data World'!$A:$AL,MATCH(World!$R$1,'Data World'!$A$1:$AL$1,))</f>
        <v/>
      </c>
      <c r="S69" s="13">
        <f>VLOOKUP(B69,'Data World'!$A:$AL,MATCH(World!$S$1,'Data World'!$A$1:$AL$1,))</f>
        <v/>
      </c>
      <c r="T69" s="13">
        <f>VLOOKUP(B69,'Data World'!$A:$AL,MATCH(World!$T$1,'Data World'!$A$1:$AL$1,))</f>
        <v/>
      </c>
    </row>
    <row r="70" customFormat="1" s="70">
      <c r="B70" s="12" t="n">
        <v>44074</v>
      </c>
      <c r="C70" s="13">
        <f>VLOOKUP(B70,'Data World'!$A:$AL,MATCH(World!$C$1,'Data World'!$A$1:$AL$1,))</f>
        <v/>
      </c>
      <c r="D70" s="13">
        <f>VLOOKUP(B70,'Data World'!$A:$AL,MATCH(World!$D$1,'Data World'!$A$1:$AL$1,))</f>
        <v/>
      </c>
      <c r="E70" s="13">
        <f>VLOOKUP(B70,'Data World'!$A:$AL,MATCH(World!$E$1,'Data World'!$A$1:$AL$1,))</f>
        <v/>
      </c>
      <c r="F70" s="13">
        <f>VLOOKUP(B70,'Data World'!$A:$AL,MATCH(World!$F$1,'Data World'!$A$1:$AL$1,))</f>
        <v/>
      </c>
      <c r="G70" s="13">
        <f>VLOOKUP(B70,'Data World'!$A:$AL,MATCH(World!$G$1,'Data World'!$A$1:$AL$1,))</f>
        <v/>
      </c>
      <c r="H70" s="13">
        <f>VLOOKUP(B70,'Data World'!$A:$AL,MATCH(World!$H$1,'Data World'!$A$1:$AL$1,))</f>
        <v/>
      </c>
      <c r="I70" s="13">
        <f>VLOOKUP(B70,'Data World'!$A:$AL,MATCH(World!$I$1,'Data World'!$A$1:$AL$1,))</f>
        <v/>
      </c>
      <c r="J70" s="13">
        <f>VLOOKUP(B70,'Data World'!$A:$AL,MATCH(World!$J$1,'Data World'!$A$1:$AL$1,))</f>
        <v/>
      </c>
      <c r="K70" s="13">
        <f>VLOOKUP(B70,'Data World'!$A:$AL,MATCH(World!$K$1,'Data World'!$A$1:$AL$1,))</f>
        <v/>
      </c>
      <c r="L70" s="13">
        <f>VLOOKUP(B70,'Data World'!$A:$AL,MATCH(World!$L$1,'Data World'!$A$1:$AL$1,))</f>
        <v/>
      </c>
      <c r="M70" s="13">
        <f>VLOOKUP(B70,'Data World'!$A:$AL,MATCH(World!$M$1,'Data World'!$A$1:$AL$1,))</f>
        <v/>
      </c>
      <c r="N70" s="13">
        <f>VLOOKUP(B70,'Data World'!$A:$AL,MATCH(World!$N$1,'Data World'!$A$1:$AL$1,))</f>
        <v/>
      </c>
      <c r="O70" s="13">
        <f>VLOOKUP(B70,'Data World'!$A:$AL,MATCH(World!$O$1,'Data World'!$A$1:$AL$1,))</f>
        <v/>
      </c>
      <c r="P70" s="13">
        <f>VLOOKUP(B70,'Data World'!$A:$AL,MATCH(World!$P$1,'Data World'!$A$1:$AL$1,))</f>
        <v/>
      </c>
      <c r="Q70" s="13">
        <f>VLOOKUP(B70,'Data World'!$A:$AL,MATCH(World!$Q$1,'Data World'!$A$1:$AL$1,))</f>
        <v/>
      </c>
      <c r="R70" s="13">
        <f>VLOOKUP(B70,'Data World'!$A:$AL,MATCH(World!$R$1,'Data World'!$A$1:$AL$1,))</f>
        <v/>
      </c>
      <c r="S70" s="13">
        <f>VLOOKUP(B70,'Data World'!$A:$AL,MATCH(World!$S$1,'Data World'!$A$1:$AL$1,))</f>
        <v/>
      </c>
      <c r="T70" s="13">
        <f>VLOOKUP(B70,'Data World'!$A:$AL,MATCH(World!$T$1,'Data World'!$A$1:$AL$1,))</f>
        <v/>
      </c>
    </row>
    <row r="71" customFormat="1" s="70">
      <c r="B71" s="12" t="n">
        <v>44104</v>
      </c>
      <c r="C71" s="13">
        <f>VLOOKUP(B71,'Data World'!$A:$AL,MATCH(World!$C$1,'Data World'!$A$1:$AL$1,))</f>
        <v/>
      </c>
      <c r="D71" s="13">
        <f>VLOOKUP(B71,'Data World'!$A:$AL,MATCH(World!$D$1,'Data World'!$A$1:$AL$1,))</f>
        <v/>
      </c>
      <c r="E71" s="13">
        <f>VLOOKUP(B71,'Data World'!$A:$AL,MATCH(World!$E$1,'Data World'!$A$1:$AL$1,))</f>
        <v/>
      </c>
      <c r="F71" s="13">
        <f>VLOOKUP(B71,'Data World'!$A:$AL,MATCH(World!$F$1,'Data World'!$A$1:$AL$1,))</f>
        <v/>
      </c>
      <c r="G71" s="13">
        <f>VLOOKUP(B71,'Data World'!$A:$AL,MATCH(World!$G$1,'Data World'!$A$1:$AL$1,))</f>
        <v/>
      </c>
      <c r="H71" s="13">
        <f>VLOOKUP(B71,'Data World'!$A:$AL,MATCH(World!$H$1,'Data World'!$A$1:$AL$1,))</f>
        <v/>
      </c>
      <c r="I71" s="13">
        <f>VLOOKUP(B71,'Data World'!$A:$AL,MATCH(World!$I$1,'Data World'!$A$1:$AL$1,))</f>
        <v/>
      </c>
      <c r="J71" s="13">
        <f>VLOOKUP(B71,'Data World'!$A:$AL,MATCH(World!$J$1,'Data World'!$A$1:$AL$1,))</f>
        <v/>
      </c>
      <c r="K71" s="13">
        <f>VLOOKUP(B71,'Data World'!$A:$AL,MATCH(World!$K$1,'Data World'!$A$1:$AL$1,))</f>
        <v/>
      </c>
      <c r="L71" s="13">
        <f>VLOOKUP(B71,'Data World'!$A:$AL,MATCH(World!$L$1,'Data World'!$A$1:$AL$1,))</f>
        <v/>
      </c>
      <c r="M71" s="13">
        <f>VLOOKUP(B71,'Data World'!$A:$AL,MATCH(World!$M$1,'Data World'!$A$1:$AL$1,))</f>
        <v/>
      </c>
      <c r="N71" s="13">
        <f>VLOOKUP(B71,'Data World'!$A:$AL,MATCH(World!$N$1,'Data World'!$A$1:$AL$1,))</f>
        <v/>
      </c>
      <c r="O71" s="13">
        <f>VLOOKUP(B71,'Data World'!$A:$AL,MATCH(World!$O$1,'Data World'!$A$1:$AL$1,))</f>
        <v/>
      </c>
      <c r="P71" s="13">
        <f>VLOOKUP(B71,'Data World'!$A:$AL,MATCH(World!$P$1,'Data World'!$A$1:$AL$1,))</f>
        <v/>
      </c>
      <c r="Q71" s="13">
        <f>VLOOKUP(B71,'Data World'!$A:$AL,MATCH(World!$Q$1,'Data World'!$A$1:$AL$1,))</f>
        <v/>
      </c>
      <c r="R71" s="13">
        <f>VLOOKUP(B71,'Data World'!$A:$AL,MATCH(World!$R$1,'Data World'!$A$1:$AL$1,))</f>
        <v/>
      </c>
      <c r="S71" s="13">
        <f>VLOOKUP(B71,'Data World'!$A:$AL,MATCH(World!$S$1,'Data World'!$A$1:$AL$1,))</f>
        <v/>
      </c>
      <c r="T71" s="13">
        <f>VLOOKUP(B71,'Data World'!$A:$AL,MATCH(World!$T$1,'Data World'!$A$1:$AL$1,))</f>
        <v/>
      </c>
    </row>
    <row r="72" customFormat="1" s="70">
      <c r="B72" s="12" t="n">
        <v>44135</v>
      </c>
      <c r="C72" s="13">
        <f>VLOOKUP(B72,'Data World'!$A:$AL,MATCH(World!$C$1,'Data World'!$A$1:$AL$1,))</f>
        <v/>
      </c>
      <c r="D72" s="13">
        <f>VLOOKUP(B72,'Data World'!$A:$AL,MATCH(World!$D$1,'Data World'!$A$1:$AL$1,))</f>
        <v/>
      </c>
      <c r="E72" s="13">
        <f>VLOOKUP(B72,'Data World'!$A:$AL,MATCH(World!$E$1,'Data World'!$A$1:$AL$1,))</f>
        <v/>
      </c>
      <c r="F72" s="13">
        <f>VLOOKUP(B72,'Data World'!$A:$AL,MATCH(World!$F$1,'Data World'!$A$1:$AL$1,))</f>
        <v/>
      </c>
      <c r="G72" s="13">
        <f>VLOOKUP(B72,'Data World'!$A:$AL,MATCH(World!$G$1,'Data World'!$A$1:$AL$1,))</f>
        <v/>
      </c>
      <c r="H72" s="13">
        <f>VLOOKUP(B72,'Data World'!$A:$AL,MATCH(World!$H$1,'Data World'!$A$1:$AL$1,))</f>
        <v/>
      </c>
      <c r="I72" s="13">
        <f>VLOOKUP(B72,'Data World'!$A:$AL,MATCH(World!$I$1,'Data World'!$A$1:$AL$1,))</f>
        <v/>
      </c>
      <c r="J72" s="13">
        <f>VLOOKUP(B72,'Data World'!$A:$AL,MATCH(World!$J$1,'Data World'!$A$1:$AL$1,))</f>
        <v/>
      </c>
      <c r="K72" s="13">
        <f>VLOOKUP(B72,'Data World'!$A:$AL,MATCH(World!$K$1,'Data World'!$A$1:$AL$1,))</f>
        <v/>
      </c>
      <c r="L72" s="13">
        <f>VLOOKUP(B72,'Data World'!$A:$AL,MATCH(World!$L$1,'Data World'!$A$1:$AL$1,))</f>
        <v/>
      </c>
      <c r="M72" s="13">
        <f>VLOOKUP(B72,'Data World'!$A:$AL,MATCH(World!$M$1,'Data World'!$A$1:$AL$1,))</f>
        <v/>
      </c>
      <c r="N72" s="13">
        <f>VLOOKUP(B72,'Data World'!$A:$AL,MATCH(World!$N$1,'Data World'!$A$1:$AL$1,))</f>
        <v/>
      </c>
      <c r="O72" s="13">
        <f>VLOOKUP(B72,'Data World'!$A:$AL,MATCH(World!$O$1,'Data World'!$A$1:$AL$1,))</f>
        <v/>
      </c>
      <c r="P72" s="13">
        <f>VLOOKUP(B72,'Data World'!$A:$AL,MATCH(World!$P$1,'Data World'!$A$1:$AL$1,))</f>
        <v/>
      </c>
      <c r="Q72" s="13">
        <f>VLOOKUP(B72,'Data World'!$A:$AL,MATCH(World!$Q$1,'Data World'!$A$1:$AL$1,))</f>
        <v/>
      </c>
      <c r="R72" s="13">
        <f>VLOOKUP(B72,'Data World'!$A:$AL,MATCH(World!$R$1,'Data World'!$A$1:$AL$1,))</f>
        <v/>
      </c>
      <c r="S72" s="13">
        <f>VLOOKUP(B72,'Data World'!$A:$AL,MATCH(World!$S$1,'Data World'!$A$1:$AL$1,))</f>
        <v/>
      </c>
      <c r="T72" s="13">
        <f>VLOOKUP(B72,'Data World'!$A:$AL,MATCH(World!$T$1,'Data World'!$A$1:$AL$1,))</f>
        <v/>
      </c>
    </row>
    <row r="73" customFormat="1" s="70">
      <c r="B73" s="12" t="n">
        <v>44165</v>
      </c>
      <c r="C73" s="13">
        <f>VLOOKUP(B73,'Data World'!$A:$AL,MATCH(World!$C$1,'Data World'!$A$1:$AL$1,))</f>
        <v/>
      </c>
      <c r="D73" s="13">
        <f>VLOOKUP(B73,'Data World'!$A:$AL,MATCH(World!$D$1,'Data World'!$A$1:$AL$1,))</f>
        <v/>
      </c>
      <c r="E73" s="13">
        <f>VLOOKUP(B73,'Data World'!$A:$AL,MATCH(World!$E$1,'Data World'!$A$1:$AL$1,))</f>
        <v/>
      </c>
      <c r="F73" s="13">
        <f>VLOOKUP(B73,'Data World'!$A:$AL,MATCH(World!$F$1,'Data World'!$A$1:$AL$1,))</f>
        <v/>
      </c>
      <c r="G73" s="13">
        <f>VLOOKUP(B73,'Data World'!$A:$AL,MATCH(World!$G$1,'Data World'!$A$1:$AL$1,))</f>
        <v/>
      </c>
      <c r="H73" s="13">
        <f>VLOOKUP(B73,'Data World'!$A:$AL,MATCH(World!$H$1,'Data World'!$A$1:$AL$1,))</f>
        <v/>
      </c>
      <c r="I73" s="13">
        <f>VLOOKUP(B73,'Data World'!$A:$AL,MATCH(World!$I$1,'Data World'!$A$1:$AL$1,))</f>
        <v/>
      </c>
      <c r="J73" s="13">
        <f>VLOOKUP(B73,'Data World'!$A:$AL,MATCH(World!$J$1,'Data World'!$A$1:$AL$1,))</f>
        <v/>
      </c>
      <c r="K73" s="13">
        <f>VLOOKUP(B73,'Data World'!$A:$AL,MATCH(World!$K$1,'Data World'!$A$1:$AL$1,))</f>
        <v/>
      </c>
      <c r="L73" s="13">
        <f>VLOOKUP(B73,'Data World'!$A:$AL,MATCH(World!$L$1,'Data World'!$A$1:$AL$1,))</f>
        <v/>
      </c>
      <c r="M73" s="13">
        <f>VLOOKUP(B73,'Data World'!$A:$AL,MATCH(World!$M$1,'Data World'!$A$1:$AL$1,))</f>
        <v/>
      </c>
      <c r="N73" s="13">
        <f>VLOOKUP(B73,'Data World'!$A:$AL,MATCH(World!$N$1,'Data World'!$A$1:$AL$1,))</f>
        <v/>
      </c>
      <c r="O73" s="13">
        <f>VLOOKUP(B73,'Data World'!$A:$AL,MATCH(World!$O$1,'Data World'!$A$1:$AL$1,))</f>
        <v/>
      </c>
      <c r="P73" s="13">
        <f>VLOOKUP(B73,'Data World'!$A:$AL,MATCH(World!$P$1,'Data World'!$A$1:$AL$1,))</f>
        <v/>
      </c>
      <c r="Q73" s="13">
        <f>VLOOKUP(B73,'Data World'!$A:$AL,MATCH(World!$Q$1,'Data World'!$A$1:$AL$1,))</f>
        <v/>
      </c>
      <c r="R73" s="13">
        <f>VLOOKUP(B73,'Data World'!$A:$AL,MATCH(World!$R$1,'Data World'!$A$1:$AL$1,))</f>
        <v/>
      </c>
      <c r="S73" s="13">
        <f>VLOOKUP(B73,'Data World'!$A:$AL,MATCH(World!$S$1,'Data World'!$A$1:$AL$1,))</f>
        <v/>
      </c>
      <c r="T73" s="13">
        <f>VLOOKUP(B73,'Data World'!$A:$AL,MATCH(World!$T$1,'Data World'!$A$1:$AL$1,))</f>
        <v/>
      </c>
    </row>
    <row r="74" customFormat="1" s="70">
      <c r="B74" s="12" t="n">
        <v>44196</v>
      </c>
      <c r="C74" s="13">
        <f>VLOOKUP(B74,'Data World'!$A:$AL,MATCH(World!$C$1,'Data World'!$A$1:$AL$1,))</f>
        <v/>
      </c>
      <c r="D74" s="13">
        <f>VLOOKUP(B74,'Data World'!$A:$AL,MATCH(World!$D$1,'Data World'!$A$1:$AL$1,))</f>
        <v/>
      </c>
      <c r="E74" s="13">
        <f>VLOOKUP(B74,'Data World'!$A:$AL,MATCH(World!$E$1,'Data World'!$A$1:$AL$1,))</f>
        <v/>
      </c>
      <c r="F74" s="13">
        <f>VLOOKUP(B74,'Data World'!$A:$AL,MATCH(World!$F$1,'Data World'!$A$1:$AL$1,))</f>
        <v/>
      </c>
      <c r="G74" s="13">
        <f>VLOOKUP(B74,'Data World'!$A:$AL,MATCH(World!$G$1,'Data World'!$A$1:$AL$1,))</f>
        <v/>
      </c>
      <c r="H74" s="13">
        <f>VLOOKUP(B74,'Data World'!$A:$AL,MATCH(World!$H$1,'Data World'!$A$1:$AL$1,))</f>
        <v/>
      </c>
      <c r="I74" s="13">
        <f>VLOOKUP(B74,'Data World'!$A:$AL,MATCH(World!$I$1,'Data World'!$A$1:$AL$1,))</f>
        <v/>
      </c>
      <c r="J74" s="13">
        <f>VLOOKUP(B74,'Data World'!$A:$AL,MATCH(World!$J$1,'Data World'!$A$1:$AL$1,))</f>
        <v/>
      </c>
      <c r="K74" s="13">
        <f>VLOOKUP(B74,'Data World'!$A:$AL,MATCH(World!$K$1,'Data World'!$A$1:$AL$1,))</f>
        <v/>
      </c>
      <c r="L74" s="13">
        <f>VLOOKUP(B74,'Data World'!$A:$AL,MATCH(World!$L$1,'Data World'!$A$1:$AL$1,))</f>
        <v/>
      </c>
      <c r="M74" s="13">
        <f>VLOOKUP(B74,'Data World'!$A:$AL,MATCH(World!$M$1,'Data World'!$A$1:$AL$1,))</f>
        <v/>
      </c>
      <c r="N74" s="13">
        <f>VLOOKUP(B74,'Data World'!$A:$AL,MATCH(World!$N$1,'Data World'!$A$1:$AL$1,))</f>
        <v/>
      </c>
      <c r="O74" s="13">
        <f>VLOOKUP(B74,'Data World'!$A:$AL,MATCH(World!$O$1,'Data World'!$A$1:$AL$1,))</f>
        <v/>
      </c>
      <c r="P74" s="13">
        <f>VLOOKUP(B74,'Data World'!$A:$AL,MATCH(World!$P$1,'Data World'!$A$1:$AL$1,))</f>
        <v/>
      </c>
      <c r="Q74" s="13">
        <f>VLOOKUP(B74,'Data World'!$A:$AL,MATCH(World!$Q$1,'Data World'!$A$1:$AL$1,))</f>
        <v/>
      </c>
      <c r="R74" s="13">
        <f>VLOOKUP(B74,'Data World'!$A:$AL,MATCH(World!$R$1,'Data World'!$A$1:$AL$1,))</f>
        <v/>
      </c>
      <c r="S74" s="13">
        <f>VLOOKUP(B74,'Data World'!$A:$AL,MATCH(World!$S$1,'Data World'!$A$1:$AL$1,))</f>
        <v/>
      </c>
      <c r="T74" s="13">
        <f>VLOOKUP(B74,'Data World'!$A:$AL,MATCH(World!$T$1,'Data World'!$A$1:$AL$1,))</f>
        <v/>
      </c>
    </row>
    <row r="75" customFormat="1" s="70">
      <c r="B75" s="12" t="n">
        <v>44227</v>
      </c>
      <c r="C75" s="13">
        <f>VLOOKUP(B75,'Data World'!$A:$AL,MATCH(World!$C$1,'Data World'!$A$1:$AL$1,))</f>
        <v/>
      </c>
      <c r="D75" s="13">
        <f>VLOOKUP(B75,'Data World'!$A:$AL,MATCH(World!$D$1,'Data World'!$A$1:$AL$1,))</f>
        <v/>
      </c>
      <c r="E75" s="13">
        <f>VLOOKUP(B75,'Data World'!$A:$AL,MATCH(World!$E$1,'Data World'!$A$1:$AL$1,))</f>
        <v/>
      </c>
      <c r="F75" s="13">
        <f>VLOOKUP(B75,'Data World'!$A:$AL,MATCH(World!$F$1,'Data World'!$A$1:$AL$1,))</f>
        <v/>
      </c>
      <c r="G75" s="13">
        <f>VLOOKUP(B75,'Data World'!$A:$AL,MATCH(World!$G$1,'Data World'!$A$1:$AL$1,))</f>
        <v/>
      </c>
      <c r="H75" s="13">
        <f>VLOOKUP(B75,'Data World'!$A:$AL,MATCH(World!$H$1,'Data World'!$A$1:$AL$1,))</f>
        <v/>
      </c>
      <c r="I75" s="13">
        <f>VLOOKUP(B75,'Data World'!$A:$AL,MATCH(World!$I$1,'Data World'!$A$1:$AL$1,))</f>
        <v/>
      </c>
      <c r="J75" s="13">
        <f>VLOOKUP(B75,'Data World'!$A:$AL,MATCH(World!$J$1,'Data World'!$A$1:$AL$1,))</f>
        <v/>
      </c>
      <c r="K75" s="13">
        <f>VLOOKUP(B75,'Data World'!$A:$AL,MATCH(World!$K$1,'Data World'!$A$1:$AL$1,))</f>
        <v/>
      </c>
      <c r="L75" s="13">
        <f>VLOOKUP(B75,'Data World'!$A:$AL,MATCH(World!$L$1,'Data World'!$A$1:$AL$1,))</f>
        <v/>
      </c>
      <c r="M75" s="13">
        <f>VLOOKUP(B75,'Data World'!$A:$AL,MATCH(World!$M$1,'Data World'!$A$1:$AL$1,))</f>
        <v/>
      </c>
      <c r="N75" s="13">
        <f>VLOOKUP(B75,'Data World'!$A:$AL,MATCH(World!$N$1,'Data World'!$A$1:$AL$1,))</f>
        <v/>
      </c>
      <c r="O75" s="13">
        <f>VLOOKUP(B75,'Data World'!$A:$AL,MATCH(World!$O$1,'Data World'!$A$1:$AL$1,))</f>
        <v/>
      </c>
      <c r="P75" s="13">
        <f>VLOOKUP(B75,'Data World'!$A:$AL,MATCH(World!$P$1,'Data World'!$A$1:$AL$1,))</f>
        <v/>
      </c>
      <c r="Q75" s="13">
        <f>VLOOKUP(B75,'Data World'!$A:$AL,MATCH(World!$Q$1,'Data World'!$A$1:$AL$1,))</f>
        <v/>
      </c>
      <c r="R75" s="13">
        <f>VLOOKUP(B75,'Data World'!$A:$AL,MATCH(World!$R$1,'Data World'!$A$1:$AL$1,))</f>
        <v/>
      </c>
      <c r="S75" s="13">
        <f>VLOOKUP(B75,'Data World'!$A:$AL,MATCH(World!$S$1,'Data World'!$A$1:$AL$1,))</f>
        <v/>
      </c>
      <c r="T75" s="13">
        <f>VLOOKUP(B75,'Data World'!$A:$AL,MATCH(World!$T$1,'Data World'!$A$1:$AL$1,))</f>
        <v/>
      </c>
    </row>
    <row r="76" customFormat="1" s="70">
      <c r="B76" s="12" t="n">
        <v>44255</v>
      </c>
      <c r="C76" s="13">
        <f>VLOOKUP(B76,'Data World'!$A:$AL,MATCH(World!$C$1,'Data World'!$A$1:$AL$1,))</f>
        <v/>
      </c>
      <c r="D76" s="13">
        <f>VLOOKUP(B76,'Data World'!$A:$AL,MATCH(World!$D$1,'Data World'!$A$1:$AL$1,))</f>
        <v/>
      </c>
      <c r="E76" s="13">
        <f>VLOOKUP(B76,'Data World'!$A:$AL,MATCH(World!$E$1,'Data World'!$A$1:$AL$1,))</f>
        <v/>
      </c>
      <c r="F76" s="13">
        <f>VLOOKUP(B76,'Data World'!$A:$AL,MATCH(World!$F$1,'Data World'!$A$1:$AL$1,))</f>
        <v/>
      </c>
      <c r="G76" s="13">
        <f>VLOOKUP(B76,'Data World'!$A:$AL,MATCH(World!$G$1,'Data World'!$A$1:$AL$1,))</f>
        <v/>
      </c>
      <c r="H76" s="13">
        <f>VLOOKUP(B76,'Data World'!$A:$AL,MATCH(World!$H$1,'Data World'!$A$1:$AL$1,))</f>
        <v/>
      </c>
      <c r="I76" s="13">
        <f>VLOOKUP(B76,'Data World'!$A:$AL,MATCH(World!$I$1,'Data World'!$A$1:$AL$1,))</f>
        <v/>
      </c>
      <c r="J76" s="13">
        <f>VLOOKUP(B76,'Data World'!$A:$AL,MATCH(World!$J$1,'Data World'!$A$1:$AL$1,))</f>
        <v/>
      </c>
      <c r="K76" s="13">
        <f>VLOOKUP(B76,'Data World'!$A:$AL,MATCH(World!$K$1,'Data World'!$A$1:$AL$1,))</f>
        <v/>
      </c>
      <c r="L76" s="13">
        <f>VLOOKUP(B76,'Data World'!$A:$AL,MATCH(World!$L$1,'Data World'!$A$1:$AL$1,))</f>
        <v/>
      </c>
      <c r="M76" s="13">
        <f>VLOOKUP(B76,'Data World'!$A:$AL,MATCH(World!$M$1,'Data World'!$A$1:$AL$1,))</f>
        <v/>
      </c>
      <c r="N76" s="13">
        <f>VLOOKUP(B76,'Data World'!$A:$AL,MATCH(World!$N$1,'Data World'!$A$1:$AL$1,))</f>
        <v/>
      </c>
      <c r="O76" s="13">
        <f>VLOOKUP(B76,'Data World'!$A:$AL,MATCH(World!$O$1,'Data World'!$A$1:$AL$1,))</f>
        <v/>
      </c>
      <c r="P76" s="13">
        <f>VLOOKUP(B76,'Data World'!$A:$AL,MATCH(World!$P$1,'Data World'!$A$1:$AL$1,))</f>
        <v/>
      </c>
      <c r="Q76" s="13">
        <f>VLOOKUP(B76,'Data World'!$A:$AL,MATCH(World!$Q$1,'Data World'!$A$1:$AL$1,))</f>
        <v/>
      </c>
      <c r="R76" s="13">
        <f>VLOOKUP(B76,'Data World'!$A:$AL,MATCH(World!$R$1,'Data World'!$A$1:$AL$1,))</f>
        <v/>
      </c>
      <c r="S76" s="13">
        <f>VLOOKUP(B76,'Data World'!$A:$AL,MATCH(World!$S$1,'Data World'!$A$1:$AL$1,))</f>
        <v/>
      </c>
      <c r="T76" s="13">
        <f>VLOOKUP(B76,'Data World'!$A:$AL,MATCH(World!$T$1,'Data World'!$A$1:$AL$1,))</f>
        <v/>
      </c>
    </row>
    <row r="77" customFormat="1" s="70">
      <c r="B77" s="12" t="n">
        <v>44286</v>
      </c>
      <c r="C77" s="13">
        <f>VLOOKUP(B77,'Data World'!$A:$AL,MATCH(World!$C$1,'Data World'!$A$1:$AL$1,))</f>
        <v/>
      </c>
      <c r="D77" s="13">
        <f>VLOOKUP(B77,'Data World'!$A:$AL,MATCH(World!$D$1,'Data World'!$A$1:$AL$1,))</f>
        <v/>
      </c>
      <c r="E77" s="13">
        <f>VLOOKUP(B77,'Data World'!$A:$AL,MATCH(World!$E$1,'Data World'!$A$1:$AL$1,))</f>
        <v/>
      </c>
      <c r="F77" s="13">
        <f>VLOOKUP(B77,'Data World'!$A:$AL,MATCH(World!$F$1,'Data World'!$A$1:$AL$1,))</f>
        <v/>
      </c>
      <c r="G77" s="13">
        <f>VLOOKUP(B77,'Data World'!$A:$AL,MATCH(World!$G$1,'Data World'!$A$1:$AL$1,))</f>
        <v/>
      </c>
      <c r="H77" s="13">
        <f>VLOOKUP(B77,'Data World'!$A:$AL,MATCH(World!$H$1,'Data World'!$A$1:$AL$1,))</f>
        <v/>
      </c>
      <c r="I77" s="13">
        <f>VLOOKUP(B77,'Data World'!$A:$AL,MATCH(World!$I$1,'Data World'!$A$1:$AL$1,))</f>
        <v/>
      </c>
      <c r="J77" s="13">
        <f>VLOOKUP(B77,'Data World'!$A:$AL,MATCH(World!$J$1,'Data World'!$A$1:$AL$1,))</f>
        <v/>
      </c>
      <c r="K77" s="13">
        <f>VLOOKUP(B77,'Data World'!$A:$AL,MATCH(World!$K$1,'Data World'!$A$1:$AL$1,))</f>
        <v/>
      </c>
      <c r="L77" s="13">
        <f>VLOOKUP(B77,'Data World'!$A:$AL,MATCH(World!$L$1,'Data World'!$A$1:$AL$1,))</f>
        <v/>
      </c>
      <c r="M77" s="13">
        <f>VLOOKUP(B77,'Data World'!$A:$AL,MATCH(World!$M$1,'Data World'!$A$1:$AL$1,))</f>
        <v/>
      </c>
      <c r="N77" s="13">
        <f>VLOOKUP(B77,'Data World'!$A:$AL,MATCH(World!$N$1,'Data World'!$A$1:$AL$1,))</f>
        <v/>
      </c>
      <c r="O77" s="13">
        <f>VLOOKUP(B77,'Data World'!$A:$AL,MATCH(World!$O$1,'Data World'!$A$1:$AL$1,))</f>
        <v/>
      </c>
      <c r="P77" s="13">
        <f>VLOOKUP(B77,'Data World'!$A:$AL,MATCH(World!$P$1,'Data World'!$A$1:$AL$1,))</f>
        <v/>
      </c>
      <c r="Q77" s="13">
        <f>VLOOKUP(B77,'Data World'!$A:$AL,MATCH(World!$Q$1,'Data World'!$A$1:$AL$1,))</f>
        <v/>
      </c>
      <c r="R77" s="13">
        <f>VLOOKUP(B77,'Data World'!$A:$AL,MATCH(World!$R$1,'Data World'!$A$1:$AL$1,))</f>
        <v/>
      </c>
      <c r="S77" s="13">
        <f>VLOOKUP(B77,'Data World'!$A:$AL,MATCH(World!$S$1,'Data World'!$A$1:$AL$1,))</f>
        <v/>
      </c>
      <c r="T77" s="13">
        <f>VLOOKUP(B77,'Data World'!$A:$AL,MATCH(World!$T$1,'Data World'!$A$1:$AL$1,))</f>
        <v/>
      </c>
    </row>
    <row r="78" customFormat="1" s="70">
      <c r="B78" s="12" t="n">
        <v>44316</v>
      </c>
      <c r="C78" s="13">
        <f>VLOOKUP(B78,'Data World'!$A:$AL,MATCH(World!$C$1,'Data World'!$A$1:$AL$1,))</f>
        <v/>
      </c>
      <c r="D78" s="13">
        <f>VLOOKUP(B78,'Data World'!$A:$AL,MATCH(World!$D$1,'Data World'!$A$1:$AL$1,))</f>
        <v/>
      </c>
      <c r="E78" s="13">
        <f>VLOOKUP(B78,'Data World'!$A:$AL,MATCH(World!$E$1,'Data World'!$A$1:$AL$1,))</f>
        <v/>
      </c>
      <c r="F78" s="13">
        <f>VLOOKUP(B78,'Data World'!$A:$AL,MATCH(World!$F$1,'Data World'!$A$1:$AL$1,))</f>
        <v/>
      </c>
      <c r="G78" s="13">
        <f>VLOOKUP(B78,'Data World'!$A:$AL,MATCH(World!$G$1,'Data World'!$A$1:$AL$1,))</f>
        <v/>
      </c>
      <c r="H78" s="13">
        <f>VLOOKUP(B78,'Data World'!$A:$AL,MATCH(World!$H$1,'Data World'!$A$1:$AL$1,))</f>
        <v/>
      </c>
      <c r="I78" s="13">
        <f>VLOOKUP(B78,'Data World'!$A:$AL,MATCH(World!$I$1,'Data World'!$A$1:$AL$1,))</f>
        <v/>
      </c>
      <c r="J78" s="13">
        <f>VLOOKUP(B78,'Data World'!$A:$AL,MATCH(World!$J$1,'Data World'!$A$1:$AL$1,))</f>
        <v/>
      </c>
      <c r="K78" s="13">
        <f>VLOOKUP(B78,'Data World'!$A:$AL,MATCH(World!$K$1,'Data World'!$A$1:$AL$1,))</f>
        <v/>
      </c>
      <c r="L78" s="13">
        <f>VLOOKUP(B78,'Data World'!$A:$AL,MATCH(World!$L$1,'Data World'!$A$1:$AL$1,))</f>
        <v/>
      </c>
      <c r="M78" s="13">
        <f>VLOOKUP(B78,'Data World'!$A:$AL,MATCH(World!$M$1,'Data World'!$A$1:$AL$1,))</f>
        <v/>
      </c>
      <c r="N78" s="13">
        <f>VLOOKUP(B78,'Data World'!$A:$AL,MATCH(World!$N$1,'Data World'!$A$1:$AL$1,))</f>
        <v/>
      </c>
      <c r="O78" s="13">
        <f>VLOOKUP(B78,'Data World'!$A:$AL,MATCH(World!$O$1,'Data World'!$A$1:$AL$1,))</f>
        <v/>
      </c>
      <c r="P78" s="13">
        <f>VLOOKUP(B78,'Data World'!$A:$AL,MATCH(World!$P$1,'Data World'!$A$1:$AL$1,))</f>
        <v/>
      </c>
      <c r="Q78" s="13">
        <f>VLOOKUP(B78,'Data World'!$A:$AL,MATCH(World!$Q$1,'Data World'!$A$1:$AL$1,))</f>
        <v/>
      </c>
      <c r="R78" s="13">
        <f>VLOOKUP(B78,'Data World'!$A:$AL,MATCH(World!$R$1,'Data World'!$A$1:$AL$1,))</f>
        <v/>
      </c>
      <c r="S78" s="13">
        <f>VLOOKUP(B78,'Data World'!$A:$AL,MATCH(World!$S$1,'Data World'!$A$1:$AL$1,))</f>
        <v/>
      </c>
      <c r="T78" s="13">
        <f>VLOOKUP(B78,'Data World'!$A:$AL,MATCH(World!$T$1,'Data World'!$A$1:$AL$1,))</f>
        <v/>
      </c>
    </row>
    <row r="79" customFormat="1" s="70">
      <c r="B79" s="12" t="n">
        <v>44347</v>
      </c>
      <c r="C79" s="13">
        <f>VLOOKUP(B79,'Data World'!$A:$AL,MATCH(World!$C$1,'Data World'!$A$1:$AL$1,))</f>
        <v/>
      </c>
      <c r="D79" s="13">
        <f>VLOOKUP(B79,'Data World'!$A:$AL,MATCH(World!$D$1,'Data World'!$A$1:$AL$1,))</f>
        <v/>
      </c>
      <c r="E79" s="13">
        <f>VLOOKUP(B79,'Data World'!$A:$AL,MATCH(World!$E$1,'Data World'!$A$1:$AL$1,))</f>
        <v/>
      </c>
      <c r="F79" s="13">
        <f>VLOOKUP(B79,'Data World'!$A:$AL,MATCH(World!$F$1,'Data World'!$A$1:$AL$1,))</f>
        <v/>
      </c>
      <c r="G79" s="13">
        <f>VLOOKUP(B79,'Data World'!$A:$AL,MATCH(World!$G$1,'Data World'!$A$1:$AL$1,))</f>
        <v/>
      </c>
      <c r="H79" s="13">
        <f>VLOOKUP(B79,'Data World'!$A:$AL,MATCH(World!$H$1,'Data World'!$A$1:$AL$1,))</f>
        <v/>
      </c>
      <c r="I79" s="13">
        <f>VLOOKUP(B79,'Data World'!$A:$AL,MATCH(World!$I$1,'Data World'!$A$1:$AL$1,))</f>
        <v/>
      </c>
      <c r="J79" s="13">
        <f>VLOOKUP(B79,'Data World'!$A:$AL,MATCH(World!$J$1,'Data World'!$A$1:$AL$1,))</f>
        <v/>
      </c>
      <c r="K79" s="13">
        <f>VLOOKUP(B79,'Data World'!$A:$AL,MATCH(World!$K$1,'Data World'!$A$1:$AL$1,))</f>
        <v/>
      </c>
      <c r="L79" s="13">
        <f>VLOOKUP(B79,'Data World'!$A:$AL,MATCH(World!$L$1,'Data World'!$A$1:$AL$1,))</f>
        <v/>
      </c>
      <c r="M79" s="13">
        <f>VLOOKUP(B79,'Data World'!$A:$AL,MATCH(World!$M$1,'Data World'!$A$1:$AL$1,))</f>
        <v/>
      </c>
      <c r="N79" s="13">
        <f>VLOOKUP(B79,'Data World'!$A:$AL,MATCH(World!$N$1,'Data World'!$A$1:$AL$1,))</f>
        <v/>
      </c>
      <c r="O79" s="13">
        <f>VLOOKUP(B79,'Data World'!$A:$AL,MATCH(World!$O$1,'Data World'!$A$1:$AL$1,))</f>
        <v/>
      </c>
      <c r="P79" s="13">
        <f>VLOOKUP(B79,'Data World'!$A:$AL,MATCH(World!$P$1,'Data World'!$A$1:$AL$1,))</f>
        <v/>
      </c>
      <c r="Q79" s="13">
        <f>VLOOKUP(B79,'Data World'!$A:$AL,MATCH(World!$Q$1,'Data World'!$A$1:$AL$1,))</f>
        <v/>
      </c>
      <c r="R79" s="13">
        <f>VLOOKUP(B79,'Data World'!$A:$AL,MATCH(World!$R$1,'Data World'!$A$1:$AL$1,))</f>
        <v/>
      </c>
      <c r="S79" s="13">
        <f>VLOOKUP(B79,'Data World'!$A:$AL,MATCH(World!$S$1,'Data World'!$A$1:$AL$1,))</f>
        <v/>
      </c>
      <c r="T79" s="13">
        <f>VLOOKUP(B79,'Data World'!$A:$AL,MATCH(World!$T$1,'Data World'!$A$1:$AL$1,))</f>
        <v/>
      </c>
    </row>
    <row r="80" customFormat="1" s="70">
      <c r="B80" s="12" t="n">
        <v>44377</v>
      </c>
      <c r="C80" s="13">
        <f>VLOOKUP(B80,'Data World'!$A:$AL,MATCH(World!$C$1,'Data World'!$A$1:$AL$1,))</f>
        <v/>
      </c>
      <c r="D80" s="13">
        <f>VLOOKUP(B80,'Data World'!$A:$AL,MATCH(World!$D$1,'Data World'!$A$1:$AL$1,))</f>
        <v/>
      </c>
      <c r="E80" s="13">
        <f>VLOOKUP(B80,'Data World'!$A:$AL,MATCH(World!$E$1,'Data World'!$A$1:$AL$1,))</f>
        <v/>
      </c>
      <c r="F80" s="13">
        <f>VLOOKUP(B80,'Data World'!$A:$AL,MATCH(World!$F$1,'Data World'!$A$1:$AL$1,))</f>
        <v/>
      </c>
      <c r="G80" s="13">
        <f>VLOOKUP(B80,'Data World'!$A:$AL,MATCH(World!$G$1,'Data World'!$A$1:$AL$1,))</f>
        <v/>
      </c>
      <c r="H80" s="13">
        <f>VLOOKUP(B80,'Data World'!$A:$AL,MATCH(World!$H$1,'Data World'!$A$1:$AL$1,))</f>
        <v/>
      </c>
      <c r="I80" s="13">
        <f>VLOOKUP(B80,'Data World'!$A:$AL,MATCH(World!$I$1,'Data World'!$A$1:$AL$1,))</f>
        <v/>
      </c>
      <c r="J80" s="13">
        <f>VLOOKUP(B80,'Data World'!$A:$AL,MATCH(World!$J$1,'Data World'!$A$1:$AL$1,))</f>
        <v/>
      </c>
      <c r="K80" s="13">
        <f>VLOOKUP(B80,'Data World'!$A:$AL,MATCH(World!$K$1,'Data World'!$A$1:$AL$1,))</f>
        <v/>
      </c>
      <c r="L80" s="13">
        <f>VLOOKUP(B80,'Data World'!$A:$AL,MATCH(World!$L$1,'Data World'!$A$1:$AL$1,))</f>
        <v/>
      </c>
      <c r="M80" s="13">
        <f>VLOOKUP(B80,'Data World'!$A:$AL,MATCH(World!$M$1,'Data World'!$A$1:$AL$1,))</f>
        <v/>
      </c>
      <c r="N80" s="13">
        <f>VLOOKUP(B80,'Data World'!$A:$AL,MATCH(World!$N$1,'Data World'!$A$1:$AL$1,))</f>
        <v/>
      </c>
      <c r="O80" s="13">
        <f>VLOOKUP(B80,'Data World'!$A:$AL,MATCH(World!$O$1,'Data World'!$A$1:$AL$1,))</f>
        <v/>
      </c>
      <c r="P80" s="13">
        <f>VLOOKUP(B80,'Data World'!$A:$AL,MATCH(World!$P$1,'Data World'!$A$1:$AL$1,))</f>
        <v/>
      </c>
      <c r="Q80" s="13">
        <f>VLOOKUP(B80,'Data World'!$A:$AL,MATCH(World!$Q$1,'Data World'!$A$1:$AL$1,))</f>
        <v/>
      </c>
      <c r="R80" s="13">
        <f>VLOOKUP(B80,'Data World'!$A:$AL,MATCH(World!$R$1,'Data World'!$A$1:$AL$1,))</f>
        <v/>
      </c>
      <c r="S80" s="13">
        <f>VLOOKUP(B80,'Data World'!$A:$AL,MATCH(World!$S$1,'Data World'!$A$1:$AL$1,))</f>
        <v/>
      </c>
      <c r="T80" s="13">
        <f>VLOOKUP(B80,'Data World'!$A:$AL,MATCH(World!$T$1,'Data World'!$A$1:$AL$1,))</f>
        <v/>
      </c>
    </row>
    <row r="81" customFormat="1" s="70">
      <c r="B81" s="12" t="n">
        <v>44408</v>
      </c>
      <c r="C81" s="13">
        <f>VLOOKUP(B81,'Data World'!$A:$AL,MATCH(World!$C$1,'Data World'!$A$1:$AL$1,))</f>
        <v/>
      </c>
      <c r="D81" s="13">
        <f>VLOOKUP(B81,'Data World'!$A:$AL,MATCH(World!$D$1,'Data World'!$A$1:$AL$1,))</f>
        <v/>
      </c>
      <c r="E81" s="13">
        <f>VLOOKUP(B81,'Data World'!$A:$AL,MATCH(World!$E$1,'Data World'!$A$1:$AL$1,))</f>
        <v/>
      </c>
      <c r="F81" s="13">
        <f>VLOOKUP(B81,'Data World'!$A:$AL,MATCH(World!$F$1,'Data World'!$A$1:$AL$1,))</f>
        <v/>
      </c>
      <c r="G81" s="13">
        <f>VLOOKUP(B81,'Data World'!$A:$AL,MATCH(World!$G$1,'Data World'!$A$1:$AL$1,))</f>
        <v/>
      </c>
      <c r="H81" s="13">
        <f>VLOOKUP(B81,'Data World'!$A:$AL,MATCH(World!$H$1,'Data World'!$A$1:$AL$1,))</f>
        <v/>
      </c>
      <c r="I81" s="13">
        <f>VLOOKUP(B81,'Data World'!$A:$AL,MATCH(World!$I$1,'Data World'!$A$1:$AL$1,))</f>
        <v/>
      </c>
      <c r="J81" s="13">
        <f>VLOOKUP(B81,'Data World'!$A:$AL,MATCH(World!$J$1,'Data World'!$A$1:$AL$1,))</f>
        <v/>
      </c>
      <c r="K81" s="13">
        <f>VLOOKUP(B81,'Data World'!$A:$AL,MATCH(World!$K$1,'Data World'!$A$1:$AL$1,))</f>
        <v/>
      </c>
      <c r="L81" s="13">
        <f>VLOOKUP(B81,'Data World'!$A:$AL,MATCH(World!$L$1,'Data World'!$A$1:$AL$1,))</f>
        <v/>
      </c>
      <c r="M81" s="13">
        <f>VLOOKUP(B81,'Data World'!$A:$AL,MATCH(World!$M$1,'Data World'!$A$1:$AL$1,))</f>
        <v/>
      </c>
      <c r="N81" s="13">
        <f>VLOOKUP(B81,'Data World'!$A:$AL,MATCH(World!$N$1,'Data World'!$A$1:$AL$1,))</f>
        <v/>
      </c>
      <c r="O81" s="13">
        <f>VLOOKUP(B81,'Data World'!$A:$AL,MATCH(World!$O$1,'Data World'!$A$1:$AL$1,))</f>
        <v/>
      </c>
      <c r="P81" s="13">
        <f>VLOOKUP(B81,'Data World'!$A:$AL,MATCH(World!$P$1,'Data World'!$A$1:$AL$1,))</f>
        <v/>
      </c>
      <c r="Q81" s="13">
        <f>VLOOKUP(B81,'Data World'!$A:$AL,MATCH(World!$Q$1,'Data World'!$A$1:$AL$1,))</f>
        <v/>
      </c>
      <c r="R81" s="13">
        <f>VLOOKUP(B81,'Data World'!$A:$AL,MATCH(World!$R$1,'Data World'!$A$1:$AL$1,))</f>
        <v/>
      </c>
      <c r="S81" s="13">
        <f>VLOOKUP(B81,'Data World'!$A:$AL,MATCH(World!$S$1,'Data World'!$A$1:$AL$1,))</f>
        <v/>
      </c>
      <c r="T81" s="13">
        <f>VLOOKUP(B81,'Data World'!$A:$AL,MATCH(World!$T$1,'Data World'!$A$1:$AL$1,))</f>
        <v/>
      </c>
    </row>
    <row r="82" customFormat="1" s="70">
      <c r="B82" s="12" t="n">
        <v>44439</v>
      </c>
      <c r="C82" s="13">
        <f>VLOOKUP(B82,'Data World'!$A:$AL,MATCH(World!$C$1,'Data World'!$A$1:$AL$1,))</f>
        <v/>
      </c>
      <c r="D82" s="13">
        <f>VLOOKUP(B82,'Data World'!$A:$AL,MATCH(World!$D$1,'Data World'!$A$1:$AL$1,))</f>
        <v/>
      </c>
      <c r="E82" s="13">
        <f>VLOOKUP(B82,'Data World'!$A:$AL,MATCH(World!$E$1,'Data World'!$A$1:$AL$1,))</f>
        <v/>
      </c>
      <c r="F82" s="13">
        <f>VLOOKUP(B82,'Data World'!$A:$AL,MATCH(World!$F$1,'Data World'!$A$1:$AL$1,))</f>
        <v/>
      </c>
      <c r="G82" s="13">
        <f>VLOOKUP(B82,'Data World'!$A:$AL,MATCH(World!$G$1,'Data World'!$A$1:$AL$1,))</f>
        <v/>
      </c>
      <c r="H82" s="13">
        <f>VLOOKUP(B82,'Data World'!$A:$AL,MATCH(World!$H$1,'Data World'!$A$1:$AL$1,))</f>
        <v/>
      </c>
      <c r="I82" s="13">
        <f>VLOOKUP(B82,'Data World'!$A:$AL,MATCH(World!$I$1,'Data World'!$A$1:$AL$1,))</f>
        <v/>
      </c>
      <c r="J82" s="13">
        <f>VLOOKUP(B82,'Data World'!$A:$AL,MATCH(World!$J$1,'Data World'!$A$1:$AL$1,))</f>
        <v/>
      </c>
      <c r="K82" s="13">
        <f>VLOOKUP(B82,'Data World'!$A:$AL,MATCH(World!$K$1,'Data World'!$A$1:$AL$1,))</f>
        <v/>
      </c>
      <c r="L82" s="13">
        <f>VLOOKUP(B82,'Data World'!$A:$AL,MATCH(World!$L$1,'Data World'!$A$1:$AL$1,))</f>
        <v/>
      </c>
      <c r="M82" s="13">
        <f>VLOOKUP(B82,'Data World'!$A:$AL,MATCH(World!$M$1,'Data World'!$A$1:$AL$1,))</f>
        <v/>
      </c>
      <c r="N82" s="13">
        <f>VLOOKUP(B82,'Data World'!$A:$AL,MATCH(World!$N$1,'Data World'!$A$1:$AL$1,))</f>
        <v/>
      </c>
      <c r="O82" s="13">
        <f>VLOOKUP(B82,'Data World'!$A:$AL,MATCH(World!$O$1,'Data World'!$A$1:$AL$1,))</f>
        <v/>
      </c>
      <c r="P82" s="13">
        <f>VLOOKUP(B82,'Data World'!$A:$AL,MATCH(World!$P$1,'Data World'!$A$1:$AL$1,))</f>
        <v/>
      </c>
      <c r="Q82" s="13">
        <f>VLOOKUP(B82,'Data World'!$A:$AL,MATCH(World!$Q$1,'Data World'!$A$1:$AL$1,))</f>
        <v/>
      </c>
      <c r="R82" s="13">
        <f>VLOOKUP(B82,'Data World'!$A:$AL,MATCH(World!$R$1,'Data World'!$A$1:$AL$1,))</f>
        <v/>
      </c>
      <c r="S82" s="13">
        <f>VLOOKUP(B82,'Data World'!$A:$AL,MATCH(World!$S$1,'Data World'!$A$1:$AL$1,))</f>
        <v/>
      </c>
      <c r="T82" s="13">
        <f>VLOOKUP(B82,'Data World'!$A:$AL,MATCH(World!$T$1,'Data World'!$A$1:$AL$1,))</f>
        <v/>
      </c>
    </row>
    <row r="83" customFormat="1" s="70">
      <c r="B83" s="12" t="n">
        <v>44469</v>
      </c>
      <c r="C83" s="13">
        <f>VLOOKUP(B83,'Data World'!$A:$AL,MATCH(World!$C$1,'Data World'!$A$1:$AL$1,))</f>
        <v/>
      </c>
      <c r="D83" s="13">
        <f>VLOOKUP(B83,'Data World'!$A:$AL,MATCH(World!$D$1,'Data World'!$A$1:$AL$1,))</f>
        <v/>
      </c>
      <c r="E83" s="13">
        <f>VLOOKUP(B83,'Data World'!$A:$AL,MATCH(World!$E$1,'Data World'!$A$1:$AL$1,))</f>
        <v/>
      </c>
      <c r="F83" s="13">
        <f>VLOOKUP(B83,'Data World'!$A:$AL,MATCH(World!$F$1,'Data World'!$A$1:$AL$1,))</f>
        <v/>
      </c>
      <c r="G83" s="13">
        <f>VLOOKUP(B83,'Data World'!$A:$AL,MATCH(World!$G$1,'Data World'!$A$1:$AL$1,))</f>
        <v/>
      </c>
      <c r="H83" s="13">
        <f>VLOOKUP(B83,'Data World'!$A:$AL,MATCH(World!$H$1,'Data World'!$A$1:$AL$1,))</f>
        <v/>
      </c>
      <c r="I83" s="13">
        <f>VLOOKUP(B83,'Data World'!$A:$AL,MATCH(World!$I$1,'Data World'!$A$1:$AL$1,))</f>
        <v/>
      </c>
      <c r="J83" s="13">
        <f>VLOOKUP(B83,'Data World'!$A:$AL,MATCH(World!$J$1,'Data World'!$A$1:$AL$1,))</f>
        <v/>
      </c>
      <c r="K83" s="13">
        <f>VLOOKUP(B83,'Data World'!$A:$AL,MATCH(World!$K$1,'Data World'!$A$1:$AL$1,))</f>
        <v/>
      </c>
      <c r="L83" s="13">
        <f>VLOOKUP(B83,'Data World'!$A:$AL,MATCH(World!$L$1,'Data World'!$A$1:$AL$1,))</f>
        <v/>
      </c>
      <c r="M83" s="13">
        <f>VLOOKUP(B83,'Data World'!$A:$AL,MATCH(World!$M$1,'Data World'!$A$1:$AL$1,))</f>
        <v/>
      </c>
      <c r="N83" s="13">
        <f>VLOOKUP(B83,'Data World'!$A:$AL,MATCH(World!$N$1,'Data World'!$A$1:$AL$1,))</f>
        <v/>
      </c>
      <c r="O83" s="13">
        <f>VLOOKUP(B83,'Data World'!$A:$AL,MATCH(World!$O$1,'Data World'!$A$1:$AL$1,))</f>
        <v/>
      </c>
      <c r="P83" s="13">
        <f>VLOOKUP(B83,'Data World'!$A:$AL,MATCH(World!$P$1,'Data World'!$A$1:$AL$1,))</f>
        <v/>
      </c>
      <c r="Q83" s="13">
        <f>VLOOKUP(B83,'Data World'!$A:$AL,MATCH(World!$Q$1,'Data World'!$A$1:$AL$1,))</f>
        <v/>
      </c>
      <c r="R83" s="13">
        <f>VLOOKUP(B83,'Data World'!$A:$AL,MATCH(World!$R$1,'Data World'!$A$1:$AL$1,))</f>
        <v/>
      </c>
      <c r="S83" s="13">
        <f>VLOOKUP(B83,'Data World'!$A:$AL,MATCH(World!$S$1,'Data World'!$A$1:$AL$1,))</f>
        <v/>
      </c>
      <c r="T83" s="13">
        <f>VLOOKUP(B83,'Data World'!$A:$AL,MATCH(World!$T$1,'Data World'!$A$1:$AL$1,))</f>
        <v/>
      </c>
    </row>
    <row r="84" customFormat="1" s="70">
      <c r="B84" s="12" t="n">
        <v>44500</v>
      </c>
      <c r="C84" s="13">
        <f>VLOOKUP(B84,'Data World'!$A:$AL,MATCH(World!$C$1,'Data World'!$A$1:$AL$1,))</f>
        <v/>
      </c>
      <c r="D84" s="13">
        <f>VLOOKUP(B84,'Data World'!$A:$AL,MATCH(World!$D$1,'Data World'!$A$1:$AL$1,))</f>
        <v/>
      </c>
      <c r="E84" s="13">
        <f>VLOOKUP(B84,'Data World'!$A:$AL,MATCH(World!$E$1,'Data World'!$A$1:$AL$1,))</f>
        <v/>
      </c>
      <c r="F84" s="13">
        <f>VLOOKUP(B84,'Data World'!$A:$AL,MATCH(World!$F$1,'Data World'!$A$1:$AL$1,))</f>
        <v/>
      </c>
      <c r="G84" s="13">
        <f>VLOOKUP(B84,'Data World'!$A:$AL,MATCH(World!$G$1,'Data World'!$A$1:$AL$1,))</f>
        <v/>
      </c>
      <c r="H84" s="13">
        <f>VLOOKUP(B84,'Data World'!$A:$AL,MATCH(World!$H$1,'Data World'!$A$1:$AL$1,))</f>
        <v/>
      </c>
      <c r="I84" s="13">
        <f>VLOOKUP(B84,'Data World'!$A:$AL,MATCH(World!$I$1,'Data World'!$A$1:$AL$1,))</f>
        <v/>
      </c>
      <c r="J84" s="13">
        <f>VLOOKUP(B84,'Data World'!$A:$AL,MATCH(World!$J$1,'Data World'!$A$1:$AL$1,))</f>
        <v/>
      </c>
      <c r="K84" s="13">
        <f>VLOOKUP(B84,'Data World'!$A:$AL,MATCH(World!$K$1,'Data World'!$A$1:$AL$1,))</f>
        <v/>
      </c>
      <c r="L84" s="13">
        <f>VLOOKUP(B84,'Data World'!$A:$AL,MATCH(World!$L$1,'Data World'!$A$1:$AL$1,))</f>
        <v/>
      </c>
      <c r="M84" s="13">
        <f>VLOOKUP(B84,'Data World'!$A:$AL,MATCH(World!$M$1,'Data World'!$A$1:$AL$1,))</f>
        <v/>
      </c>
      <c r="N84" s="13">
        <f>VLOOKUP(B84,'Data World'!$A:$AL,MATCH(World!$N$1,'Data World'!$A$1:$AL$1,))</f>
        <v/>
      </c>
      <c r="O84" s="13">
        <f>VLOOKUP(B84,'Data World'!$A:$AL,MATCH(World!$O$1,'Data World'!$A$1:$AL$1,))</f>
        <v/>
      </c>
      <c r="P84" s="13">
        <f>VLOOKUP(B84,'Data World'!$A:$AL,MATCH(World!$P$1,'Data World'!$A$1:$AL$1,))</f>
        <v/>
      </c>
      <c r="Q84" s="13">
        <f>VLOOKUP(B84,'Data World'!$A:$AL,MATCH(World!$Q$1,'Data World'!$A$1:$AL$1,))</f>
        <v/>
      </c>
      <c r="R84" s="13">
        <f>VLOOKUP(B84,'Data World'!$A:$AL,MATCH(World!$R$1,'Data World'!$A$1:$AL$1,))</f>
        <v/>
      </c>
      <c r="S84" s="13">
        <f>VLOOKUP(B84,'Data World'!$A:$AL,MATCH(World!$S$1,'Data World'!$A$1:$AL$1,))</f>
        <v/>
      </c>
      <c r="T84" s="13">
        <f>VLOOKUP(B84,'Data World'!$A:$AL,MATCH(World!$T$1,'Data World'!$A$1:$AL$1,))</f>
        <v/>
      </c>
    </row>
    <row r="85" customFormat="1" s="70"/>
    <row r="86" customFormat="1" s="70"/>
    <row r="87" customFormat="1" s="70"/>
    <row r="88" customFormat="1" s="70"/>
    <row r="89" customFormat="1" s="70"/>
    <row r="90" customFormat="1" s="70"/>
    <row r="91" customFormat="1" s="70"/>
    <row r="92" customFormat="1" s="70"/>
    <row r="93" customFormat="1" s="70"/>
    <row r="94" customFormat="1" s="70"/>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sheetData>
  <conditionalFormatting sqref="C5:D8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4">
    <cfRule type="colorScale" priority="115">
      <colorScale>
        <cfvo type="min"/>
        <cfvo type="percentile" val="50"/>
        <cfvo type="max"/>
        <color rgb="FF63BE7B"/>
        <color rgb="FFFFEB84"/>
        <color rgb="FFF8696B"/>
      </colorScale>
    </cfRule>
  </conditionalFormatting>
  <conditionalFormatting sqref="D5:D84">
    <cfRule type="colorScale" priority="116">
      <colorScale>
        <cfvo type="min"/>
        <cfvo type="percentile" val="50"/>
        <cfvo type="max"/>
        <color rgb="FF63BE7B"/>
        <color rgb="FFFFEB84"/>
        <color rgb="FFF8696B"/>
      </colorScale>
    </cfRule>
  </conditionalFormatting>
  <conditionalFormatting sqref="E5:E8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2021-12-19T07:22:51Z</dcterms:modified>
  <cp:lastModifiedBy>Mark Mukherjee</cp:lastModifiedBy>
</cp:coreProperties>
</file>