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applyAlignment="1" pivotButton="0" quotePrefix="0" xfId="0">
      <alignment wrapText="1"/>
    </xf>
    <xf numFmtId="0" fontId="0" fillId="2" borderId="0" pivotButton="0" quotePrefix="0" xfId="0"/>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NFP!$A$120:$A$1013</f>
              <numCache>
                <formatCode>yyyy\-mm\-dd</formatCode>
                <ptCount val="89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NFP!$E$120:$E$1013</f>
              <numCache>
                <formatCode>General</formatCode>
                <ptCount val="894"/>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NFP!$E$120:$E$1019</f>
              <numCache>
                <formatCode>General</formatCode>
                <ptCount val="90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NFP!$F$120:$F$1019</f>
              <numCache>
                <formatCode>General</formatCode>
                <ptCount val="90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pt idx="890">
                  <v>62.4</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pt idx="2870">
                  <v>44576</v>
                </pt>
                <pt idx="2871">
                  <v>44583</v>
                </pt>
                <pt idx="2872">
                  <v>44590</v>
                </pt>
                <pt idx="2873">
                  <v>44597</v>
                </pt>
                <pt idx="2874">
                  <v>44604</v>
                </pt>
                <pt idx="2875">
                  <v>44611</v>
                </pt>
                <pt idx="2876">
                  <v>44618</v>
                </pt>
                <pt idx="2877">
                  <v>44625</v>
                </pt>
                <pt idx="2878">
                  <v>44632</v>
                </pt>
                <pt idx="2879">
                  <v>44639</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pt idx="2871">
                  <v>286000</v>
                </pt>
                <pt idx="2872">
                  <v>261000</v>
                </pt>
                <pt idx="2873">
                  <v>238000</v>
                </pt>
                <pt idx="2874">
                  <v>223000</v>
                </pt>
                <pt idx="2875">
                  <v>248000</v>
                </pt>
                <pt idx="2876">
                  <v>232000</v>
                </pt>
                <pt idx="2877">
                  <v>215000</v>
                </pt>
                <pt idx="2878">
                  <v>227000</v>
                </pt>
                <pt idx="2879">
                  <v>214000</v>
                </pt>
                <pt idx="2880">
                  <v>187000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65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NFP!$A$300:$A$1028</f>
              <numCache>
                <formatCode>yyyy\-mm\-dd</formatCode>
                <ptCount val="729"/>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numCache>
            </numRef>
          </cat>
          <val>
            <numRef>
              <f>NFP!$C$300:$C$1028</f>
              <numCache>
                <formatCode>0</formatCode>
                <ptCount val="729"/>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pt idx="709">
                  <v>770</v>
                </pt>
                <pt idx="710">
                  <v>526</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652"/>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NFP!$A$800:$A$1028</f>
              <numCache>
                <formatCode>yyyy\-mm\-dd</formatCode>
                <ptCount val="229"/>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numCache>
            </numRef>
          </cat>
          <val>
            <numRef>
              <f>NFP!$C$800:$C$1028</f>
              <numCache>
                <formatCode>0</formatCode>
                <ptCount val="229"/>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pt idx="209">
                  <v>770</v>
                </pt>
                <pt idx="210">
                  <v>526</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682"/>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ADP!$B$6:$B$255</f>
              <numCache>
                <formatCode>0.00</formatCode>
                <ptCount val="250"/>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ADP!$C$6:$C$255</f>
              <numCache>
                <formatCode>0.00</formatCode>
                <ptCount val="250"/>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770</v>
                </pt>
                <pt idx="249">
                  <v>526</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0" headerRowCount="1" totalsRowShown="0" headerRowDxfId="21" dataDxfId="20">
  <autoFilter ref="A11:F1010"/>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5" headerRowCount="1" totalsRowShown="0" headerRowDxfId="6" dataDxfId="5">
  <autoFilter ref="A5:C255"/>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zoomScale="140" zoomScaleNormal="140" workbookViewId="0">
      <selection activeCell="L243" sqref="L243"/>
    </sheetView>
  </sheetViews>
  <sheetFormatPr baseColWidth="10" defaultColWidth="9.1640625" defaultRowHeight="15"/>
  <cols>
    <col width="14.5" customWidth="1" style="69" min="1" max="1"/>
    <col width="12.83203125" customWidth="1" style="69" min="2" max="10"/>
    <col width="3.6640625" customWidth="1" style="69" min="11" max="13"/>
    <col width="14" customWidth="1" style="69" min="14" max="15"/>
    <col width="11" customWidth="1" style="69" min="16" max="19"/>
    <col width="9.1640625" customWidth="1" style="69" min="20" max="38"/>
    <col width="9.1640625" customWidth="1" style="69" min="39" max="16384"/>
  </cols>
  <sheetData>
    <row r="1">
      <c r="B1" s="68" t="n"/>
    </row>
    <row r="2" ht="16" customHeight="1" s="49" thickBot="1">
      <c r="B2" s="70" t="n"/>
      <c r="C2" s="70" t="n"/>
      <c r="D2" s="70" t="n"/>
      <c r="E2" s="70" t="n"/>
      <c r="F2" s="70" t="n"/>
      <c r="G2" s="70" t="n"/>
      <c r="H2" s="70" t="n"/>
      <c r="I2" s="70" t="n"/>
      <c r="J2" s="70" t="n"/>
    </row>
    <row r="3" ht="16" customHeight="1" s="49" thickBot="1">
      <c r="B3" s="71" t="inlineStr">
        <is>
          <t>Job Market</t>
        </is>
      </c>
      <c r="C3" s="72" t="n"/>
      <c r="D3" s="72" t="n"/>
      <c r="E3" s="72" t="n"/>
      <c r="F3" s="72" t="n"/>
      <c r="G3" s="72" t="n"/>
      <c r="H3" s="72" t="n"/>
      <c r="I3" s="72" t="n"/>
      <c r="J3" s="73" t="n"/>
    </row>
    <row r="5">
      <c r="B5" s="74" t="inlineStr">
        <is>
          <t>Definition</t>
        </is>
      </c>
      <c r="C5" s="75" t="n"/>
      <c r="D5" s="75" t="n"/>
      <c r="E5" s="75" t="n"/>
      <c r="F5" s="75" t="n"/>
      <c r="G5" s="75" t="n"/>
      <c r="H5" s="75" t="n"/>
      <c r="I5" s="75" t="n"/>
      <c r="J5" s="65" t="n"/>
    </row>
    <row r="7" ht="237.75" customHeight="1" s="49">
      <c r="B7" s="76"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4" t="inlineStr">
        <is>
          <t>Process / TO DO LIST</t>
        </is>
      </c>
      <c r="C9" s="75" t="n"/>
      <c r="D9" s="75" t="n"/>
      <c r="E9" s="75" t="n"/>
      <c r="F9" s="75" t="n"/>
      <c r="G9" s="75" t="n"/>
      <c r="H9" s="75" t="n"/>
      <c r="I9" s="75" t="n"/>
      <c r="J9" s="65" t="n"/>
      <c r="N9" s="74" t="inlineStr">
        <is>
          <t>Summary</t>
        </is>
      </c>
      <c r="O9" s="75" t="n"/>
      <c r="P9" s="75" t="n"/>
      <c r="Q9" s="75" t="n"/>
      <c r="R9" s="75" t="n"/>
      <c r="S9" s="65" t="n"/>
    </row>
    <row r="11">
      <c r="B11" s="74" t="inlineStr">
        <is>
          <t>TO DO LIST</t>
        </is>
      </c>
      <c r="C11" s="75" t="n"/>
      <c r="D11" s="75" t="n"/>
      <c r="E11" s="75" t="n"/>
      <c r="F11" s="65" t="n"/>
      <c r="G11" s="74" t="inlineStr">
        <is>
          <t>Comments</t>
        </is>
      </c>
      <c r="H11" s="75" t="n"/>
      <c r="I11" s="75" t="n"/>
      <c r="J11" s="65" t="n"/>
    </row>
    <row r="13" ht="16" customHeight="1" s="49" thickBot="1">
      <c r="B13" s="69" t="inlineStr">
        <is>
          <t>Database</t>
        </is>
      </c>
      <c r="G13" s="69" t="inlineStr">
        <is>
          <t>U.S. Job Market</t>
        </is>
      </c>
    </row>
    <row r="14">
      <c r="B14" s="69" t="inlineStr">
        <is>
          <t>Create data on Fred</t>
        </is>
      </c>
      <c r="G14" s="69" t="n"/>
      <c r="P14" s="36" t="n">
        <v>44470</v>
      </c>
      <c r="Q14" s="37">
        <f>DATE(YEAR(P14),MONTH(P14)-1,DAY(P14))</f>
        <v/>
      </c>
      <c r="R14" s="38" t="n"/>
    </row>
    <row r="15" ht="16" customHeight="1" s="49" thickBot="1">
      <c r="B15" s="69" t="inlineStr">
        <is>
          <t>https://research.stlouisfed.org/useraccount/datalists</t>
        </is>
      </c>
      <c r="G15" s="69" t="n"/>
      <c r="P15" s="39" t="inlineStr">
        <is>
          <t>Last</t>
        </is>
      </c>
      <c r="Q15" s="39" t="inlineStr">
        <is>
          <t>Last</t>
        </is>
      </c>
      <c r="R15" s="40" t="inlineStr">
        <is>
          <t>Var.</t>
        </is>
      </c>
    </row>
    <row r="16">
      <c r="B16" s="4" t="inlineStr">
        <is>
          <t>CIVPART</t>
        </is>
      </c>
      <c r="G16" s="69" t="inlineStr">
        <is>
          <t>Civilian Labor Force Participation Rate</t>
        </is>
      </c>
      <c r="N16" s="62" t="inlineStr">
        <is>
          <t>NFP</t>
        </is>
      </c>
      <c r="O16" s="63" t="n"/>
      <c r="P16" s="41">
        <f>VLOOKUP($P$14,Database!A:D,MATCH(Note!S16,Database!A1:D1,),)</f>
        <v/>
      </c>
      <c r="Q16" s="41">
        <f>VLOOKUP($Q$14,Database!A:D,MATCH(Note!S16,Database!A1:D1,),)</f>
        <v/>
      </c>
      <c r="R16" s="44">
        <f>P16-Q16</f>
        <v/>
      </c>
      <c r="S16" s="42" t="inlineStr">
        <is>
          <t>PAYEMS</t>
        </is>
      </c>
    </row>
    <row r="17">
      <c r="B17" s="4" t="inlineStr">
        <is>
          <t>PAYEMS</t>
        </is>
      </c>
      <c r="G17" s="69" t="inlineStr">
        <is>
          <t>All Employees: Total Nonfarm Payrolls</t>
        </is>
      </c>
      <c r="N17" s="64" t="inlineStr">
        <is>
          <t>Unemployment Rate</t>
        </is>
      </c>
      <c r="O17" s="65"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9" t="inlineStr">
        <is>
          <t>Civilian Unemployment Rate</t>
        </is>
      </c>
      <c r="N18" s="66" t="inlineStr">
        <is>
          <t>Participation Rate</t>
        </is>
      </c>
      <c r="O18" s="67" t="n"/>
      <c r="P18" s="52">
        <f>VLOOKUP($P$14,Database!A:D,MATCH(Note!S18,Database!A1:D1,),)</f>
        <v/>
      </c>
      <c r="Q18" s="52">
        <f>VLOOKUP($Q$14,Database!A:D,MATCH(Note!S18,Database!A1:D1,),)</f>
        <v/>
      </c>
      <c r="R18" s="53">
        <f>P18-Q18</f>
        <v/>
      </c>
      <c r="S18" s="45" t="inlineStr">
        <is>
          <t>CIVPART</t>
        </is>
      </c>
    </row>
    <row r="19">
      <c r="B19" s="4" t="inlineStr">
        <is>
          <t>CCSA</t>
        </is>
      </c>
      <c r="G19" s="69" t="inlineStr">
        <is>
          <t>Continued Claims (Insured Unemployment)</t>
        </is>
      </c>
    </row>
    <row r="20">
      <c r="B20" s="2" t="inlineStr">
        <is>
          <t>ICSA</t>
        </is>
      </c>
      <c r="G20" s="69" t="inlineStr">
        <is>
          <t>Initial Claims</t>
        </is>
      </c>
    </row>
    <row r="21">
      <c r="B21" s="69" t="inlineStr">
        <is>
          <t>Copy Monthly in Database A:C</t>
        </is>
      </c>
      <c r="G21" s="69" t="n"/>
    </row>
    <row r="22">
      <c r="B22" s="69" t="inlineStr">
        <is>
          <t>Copy Weekly, Ending Saturday in Database F:H</t>
        </is>
      </c>
    </row>
    <row r="24" ht="33" customHeight="1" s="49">
      <c r="B24" s="76" t="inlineStr">
        <is>
          <t>https://data.oecd.org/unemp/harmonised-unemployment-rate-hur.htm#indicator-chart</t>
        </is>
      </c>
      <c r="G24" s="69" t="inlineStr">
        <is>
          <t>World Job data</t>
        </is>
      </c>
    </row>
    <row r="25">
      <c r="B25" s="69" t="inlineStr">
        <is>
          <t>Table</t>
        </is>
      </c>
    </row>
    <row r="26">
      <c r="B26" s="69" t="inlineStr">
        <is>
          <t>monthly</t>
        </is>
      </c>
    </row>
    <row r="27">
      <c r="B27" s="69" t="inlineStr">
        <is>
          <t>from beginning</t>
        </is>
      </c>
    </row>
    <row r="28">
      <c r="B28" s="69" t="inlineStr">
        <is>
          <t>download</t>
        </is>
      </c>
      <c r="G28" s="69" t="n"/>
    </row>
    <row r="30">
      <c r="B30" t="inlineStr">
        <is>
          <t>https://tradingeconomics.com/country-list/unemployment-rate</t>
        </is>
      </c>
      <c r="G30" s="69" t="inlineStr">
        <is>
          <t>Other data</t>
        </is>
      </c>
    </row>
    <row r="31">
      <c r="G31" s="69" t="n"/>
    </row>
    <row r="32">
      <c r="B32" s="34" t="n"/>
    </row>
    <row r="33" ht="30" customHeight="1" s="49">
      <c r="B33" s="76"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3"/>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row r="999">
      <c r="A999" s="78" t="n">
        <v>44593</v>
      </c>
      <c r="B999" t="n">
        <v>62.3</v>
      </c>
      <c r="C999" t="n">
        <v>150399</v>
      </c>
      <c r="D999" t="n">
        <v>3.8</v>
      </c>
    </row>
    <row r="1000">
      <c r="A1000" s="78" t="n">
        <v>44621</v>
      </c>
      <c r="B1000" t="n">
        <v>62.4</v>
      </c>
      <c r="C1000" t="n">
        <v>150925</v>
      </c>
      <c r="D1000" t="n">
        <v>3.6</v>
      </c>
    </row>
    <row r="1001">
      <c r="A1001" s="78" t="n">
        <v>44652</v>
      </c>
      <c r="B1001" t="n">
        <v>62.2</v>
      </c>
      <c r="C1001" t="n">
        <v>151314</v>
      </c>
      <c r="D1001" t="n">
        <v>3.6</v>
      </c>
    </row>
    <row r="1002">
      <c r="A1002" s="78" t="n">
        <v>44682</v>
      </c>
      <c r="B1002" t="n">
        <v>62.3</v>
      </c>
      <c r="C1002" t="n">
        <v>151682</v>
      </c>
      <c r="D1002" t="n">
        <v>3.6</v>
      </c>
    </row>
    <row r="1003">
      <c r="A1003" s="78" t="n">
        <v>44713</v>
      </c>
      <c r="B1003" t="n">
        <v>62.2</v>
      </c>
      <c r="C1003" t="n">
        <v>151980</v>
      </c>
      <c r="D1003" t="n">
        <v>3.6</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98"/>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9"/>
    <col width="8.83203125" customWidth="1" style="49" min="20"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B2876" t="n">
        <v>1593000</v>
      </c>
      <c r="C2876" t="n">
        <v>223000</v>
      </c>
    </row>
    <row r="2877">
      <c r="A2877" s="78" t="n">
        <v>44604</v>
      </c>
      <c r="B2877" t="n">
        <v>1476000</v>
      </c>
      <c r="C2877" t="n">
        <v>248000</v>
      </c>
    </row>
    <row r="2878">
      <c r="A2878" s="78" t="n">
        <v>44611</v>
      </c>
      <c r="B2878" t="n">
        <v>1476000</v>
      </c>
      <c r="C2878" t="n">
        <v>232000</v>
      </c>
    </row>
    <row r="2879">
      <c r="A2879" s="78" t="n">
        <v>44618</v>
      </c>
      <c r="B2879" t="n">
        <v>1494000</v>
      </c>
      <c r="C2879" t="n">
        <v>215000</v>
      </c>
    </row>
    <row r="2880">
      <c r="A2880" s="78" t="n">
        <v>44625</v>
      </c>
      <c r="B2880" t="n">
        <v>1419000</v>
      </c>
      <c r="C2880" t="n">
        <v>227000</v>
      </c>
    </row>
    <row r="2881">
      <c r="A2881" s="78" t="n">
        <v>44632</v>
      </c>
      <c r="B2881" t="n">
        <v>1350000</v>
      </c>
      <c r="C2881" t="n">
        <v>214000</v>
      </c>
    </row>
    <row r="2882">
      <c r="A2882" s="78" t="n">
        <v>44639</v>
      </c>
      <c r="B2882" t="n">
        <v>1307000</v>
      </c>
      <c r="C2882" t="n">
        <v>187000</v>
      </c>
    </row>
    <row r="2883">
      <c r="A2883" s="78" t="n">
        <v>44646</v>
      </c>
      <c r="B2883" t="n">
        <v>1523000</v>
      </c>
      <c r="C2883" t="n">
        <v>202000</v>
      </c>
    </row>
    <row r="2884">
      <c r="A2884" s="78" t="n">
        <v>44653</v>
      </c>
      <c r="B2884" t="n">
        <v>1475000</v>
      </c>
      <c r="C2884" t="n">
        <v>166000</v>
      </c>
    </row>
    <row r="2885">
      <c r="A2885" s="78" t="n">
        <v>44660</v>
      </c>
      <c r="B2885" t="n">
        <v>1409000</v>
      </c>
      <c r="C2885" t="n">
        <v>185000</v>
      </c>
    </row>
    <row r="2886">
      <c r="A2886" s="78" t="n">
        <v>44667</v>
      </c>
      <c r="B2886" t="n">
        <v>1408000</v>
      </c>
      <c r="C2886" t="n">
        <v>185000</v>
      </c>
    </row>
    <row r="2887">
      <c r="A2887" s="78" t="n">
        <v>44674</v>
      </c>
      <c r="B2887" t="n">
        <v>1387000</v>
      </c>
      <c r="C2887" t="n">
        <v>180000</v>
      </c>
    </row>
    <row r="2888">
      <c r="A2888" s="78" t="n">
        <v>44681</v>
      </c>
      <c r="B2888" t="n">
        <v>1343000</v>
      </c>
      <c r="C2888" t="n">
        <v>202000</v>
      </c>
    </row>
    <row r="2889">
      <c r="A2889" s="78" t="n">
        <v>44688</v>
      </c>
      <c r="B2889" t="n">
        <v>1317000</v>
      </c>
      <c r="C2889" t="n">
        <v>203000</v>
      </c>
    </row>
    <row r="2890">
      <c r="A2890" s="78" t="n">
        <v>44695</v>
      </c>
      <c r="B2890" t="n">
        <v>1346000</v>
      </c>
      <c r="C2890" t="n">
        <v>218000</v>
      </c>
    </row>
    <row r="2891">
      <c r="A2891" s="78" t="n">
        <v>44702</v>
      </c>
      <c r="B2891" t="n">
        <v>1309000</v>
      </c>
      <c r="C2891" t="n">
        <v>210000</v>
      </c>
    </row>
    <row r="2892">
      <c r="A2892" s="78" t="n">
        <v>44709</v>
      </c>
      <c r="B2892" t="n">
        <v>1306000</v>
      </c>
      <c r="C2892" t="n">
        <v>200000</v>
      </c>
    </row>
    <row r="2893">
      <c r="A2893" s="78" t="n">
        <v>44716</v>
      </c>
      <c r="B2893" t="n">
        <v>1312000</v>
      </c>
      <c r="C2893" t="n">
        <v>229000</v>
      </c>
    </row>
    <row r="2894">
      <c r="A2894" s="78" t="n">
        <v>44723</v>
      </c>
      <c r="B2894" t="n">
        <v>1315000</v>
      </c>
      <c r="C2894" t="n">
        <v>229000</v>
      </c>
    </row>
    <row r="2895">
      <c r="A2895" s="78" t="n">
        <v>44730</v>
      </c>
      <c r="B2895" t="n">
        <v>1328000</v>
      </c>
      <c r="C2895" t="n">
        <v>229000</v>
      </c>
    </row>
    <row r="2896">
      <c r="A2896" s="78" t="n">
        <v>44737</v>
      </c>
      <c r="B2896" t="n">
        <v>1375000</v>
      </c>
      <c r="C2896" t="n">
        <v>231000</v>
      </c>
    </row>
    <row r="2897">
      <c r="A2897" s="78" t="n">
        <v>44744</v>
      </c>
      <c r="B2897" t="n">
        <v>1331000</v>
      </c>
      <c r="C2897" t="n">
        <v>235000</v>
      </c>
    </row>
    <row r="2898">
      <c r="A2898" s="78" t="n">
        <v>44751</v>
      </c>
      <c r="C2898" t="n">
        <v>244000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4"/>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8"/>
    <col width="8.83203125" customWidth="1" style="49" min="19"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5"/>
    <col width="9.1640625" customWidth="1" style="49" min="26"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E554" t="n">
        <v>6.454348</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E555" t="n">
        <v>6.47496</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E556" t="n">
        <v>6.473846</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E557" t="n">
        <v>6.497456</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E558" t="n">
        <v>6.519886</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E559" t="n">
        <v>6.573687</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E560" t="n">
        <v>6.650158</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E561" t="n">
        <v>6.750522</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E562" t="n">
        <v>6.793249</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E563" t="n">
        <v>6.969244</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E564" t="n">
        <v>7.04677</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E565" t="n">
        <v>7.123071</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E566" t="n">
        <v>7.133211</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E567" t="n">
        <v>7.144804</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E568" t="n">
        <v>7.144999</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E569" t="n">
        <v>7.213676</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E570" t="n">
        <v>7.193434</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E571" t="n">
        <v>7.209605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E572" t="n">
        <v>7.232786</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E573" t="n">
        <v>7.257328</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E574" t="n">
        <v>7.239282</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E575" t="n">
        <v>7.256131</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E576" t="n">
        <v>7.280499</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E577" t="n">
        <v>7.310102</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E578" t="n">
        <v>7.293443</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E579" t="n">
        <v>7.283137</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E580" t="n">
        <v>7.316953</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E581" t="n">
        <v>7.360269</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E582" t="n">
        <v>7.3941</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E583" t="n">
        <v>7.452475</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E584" t="n">
        <v>7.383012</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E585" t="n">
        <v>7.346274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E586" t="n">
        <v>7.353694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E587" t="n">
        <v>7.291718</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E588" t="n">
        <v>7.266641</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E589" t="n">
        <v>7.209632</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E590" t="n">
        <v>7.295123</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E591" t="n">
        <v>7.270811</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E592" t="n">
        <v>7.314859</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E593" t="n">
        <v>7.220308</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E594" t="n">
        <v>7.207173</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E595" t="n">
        <v>7.201496</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E596" t="n">
        <v>7.181015</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E597" t="n">
        <v>7.155056</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E598" t="n">
        <v>7.129323</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E599" t="n">
        <v>7.116437</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E600" t="n">
        <v>7.088283</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E601" t="n">
        <v>7.050797</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Q804" t="n">
        <v>4.1</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G805" t="n">
        <v>7.683922</v>
      </c>
      <c r="H805" t="n">
        <v>2.1</v>
      </c>
      <c r="I805" t="n">
        <v>3.2</v>
      </c>
      <c r="J805" t="n">
        <v>5.1</v>
      </c>
      <c r="K805" t="n">
        <v>7</v>
      </c>
      <c r="L805" t="n">
        <v>13</v>
      </c>
      <c r="M805" t="n">
        <v>5.2</v>
      </c>
      <c r="N805" t="n">
        <v>7.2</v>
      </c>
      <c r="O805" t="n">
        <v>7.4</v>
      </c>
      <c r="P805" t="n">
        <v>4.342466</v>
      </c>
      <c r="Q805" t="n">
        <v>3.9</v>
      </c>
      <c r="R805" t="n">
        <v>12.7</v>
      </c>
      <c r="S805" t="n">
        <v>3.7</v>
      </c>
      <c r="T805" t="n">
        <v>5.1</v>
      </c>
      <c r="U805" t="n">
        <v>4.9</v>
      </c>
      <c r="V805" t="n">
        <v>4.264764</v>
      </c>
      <c r="W805" t="n">
        <v>9</v>
      </c>
      <c r="X805" t="n">
        <v>2.7</v>
      </c>
      <c r="Y805" t="n">
        <v>3.8</v>
      </c>
      <c r="Z805" t="n">
        <v>5</v>
      </c>
      <c r="AA805" t="n">
        <v>7.5</v>
      </c>
      <c r="AB805" t="n">
        <v>3.887654</v>
      </c>
      <c r="AC805" t="n">
        <v>3.8</v>
      </c>
      <c r="AD805" t="n">
        <v>3.3</v>
      </c>
      <c r="AE805" t="n">
        <v>5.372316</v>
      </c>
      <c r="AF805" t="n">
        <v>2.9</v>
      </c>
      <c r="AG805" t="n">
        <v>5.9</v>
      </c>
      <c r="AH805" t="n">
        <v>6.4</v>
      </c>
      <c r="AI805" t="n">
        <v>4.6</v>
      </c>
      <c r="AJ805" t="n">
        <v>8</v>
      </c>
      <c r="AK805" t="n">
        <v>11.2</v>
      </c>
      <c r="AL805" t="n">
        <v>3.9</v>
      </c>
    </row>
    <row r="806">
      <c r="A806" s="78" t="n">
        <v>44562</v>
      </c>
      <c r="B806" t="n">
        <v>4.192616</v>
      </c>
      <c r="C806" t="n">
        <v>4.9</v>
      </c>
      <c r="D806" t="n">
        <v>5.6</v>
      </c>
      <c r="E806" t="n">
        <v>6.5</v>
      </c>
      <c r="G806" t="n">
        <v>7.765368</v>
      </c>
      <c r="H806" t="n">
        <v>2.2</v>
      </c>
      <c r="I806" t="n">
        <v>3.1</v>
      </c>
      <c r="J806" t="n">
        <v>4.7</v>
      </c>
      <c r="K806" t="n">
        <v>6.8</v>
      </c>
      <c r="L806" t="n">
        <v>12.7</v>
      </c>
      <c r="M806" t="n">
        <v>5.3</v>
      </c>
      <c r="N806" t="n">
        <v>7.1</v>
      </c>
      <c r="O806" t="n">
        <v>7</v>
      </c>
      <c r="P806" t="n">
        <v>4.354779</v>
      </c>
      <c r="Q806" t="n">
        <v>3.8</v>
      </c>
      <c r="R806" t="n">
        <v>13.3</v>
      </c>
      <c r="S806" t="n">
        <v>3.8</v>
      </c>
      <c r="T806" t="n">
        <v>5.3</v>
      </c>
      <c r="U806" t="n">
        <v>4.2</v>
      </c>
      <c r="V806" t="n">
        <v>3.887385</v>
      </c>
      <c r="W806" t="n">
        <v>8.800000000000001</v>
      </c>
      <c r="X806" t="n">
        <v>2.8</v>
      </c>
      <c r="Y806" t="n">
        <v>3.6</v>
      </c>
      <c r="Z806" t="n">
        <v>4.7</v>
      </c>
      <c r="AA806" t="n">
        <v>7.3</v>
      </c>
      <c r="AB806" t="n">
        <v>3.538229</v>
      </c>
      <c r="AC806" t="n">
        <v>3.6</v>
      </c>
      <c r="AD806" t="n">
        <v>3.2</v>
      </c>
      <c r="AE806" t="n">
        <v>5.32679</v>
      </c>
      <c r="AF806" t="n">
        <v>2.8</v>
      </c>
      <c r="AG806" t="n">
        <v>6</v>
      </c>
      <c r="AH806" t="n">
        <v>6.4</v>
      </c>
      <c r="AI806" t="n">
        <v>4.2</v>
      </c>
      <c r="AJ806" t="n">
        <v>8.1</v>
      </c>
      <c r="AK806" t="n">
        <v>11.4</v>
      </c>
      <c r="AL806" t="n">
        <v>4</v>
      </c>
    </row>
    <row r="807">
      <c r="A807" s="78" t="n">
        <v>44593</v>
      </c>
      <c r="B807" t="n">
        <v>4.042395</v>
      </c>
      <c r="C807" t="n">
        <v>4.8</v>
      </c>
      <c r="D807" t="n">
        <v>5.6</v>
      </c>
      <c r="E807" t="n">
        <v>5.5</v>
      </c>
      <c r="G807" t="n">
        <v>7.775239</v>
      </c>
      <c r="H807" t="n">
        <v>2.4</v>
      </c>
      <c r="I807" t="n">
        <v>3.1</v>
      </c>
      <c r="J807" t="n">
        <v>4.6</v>
      </c>
      <c r="K807" t="n">
        <v>6.8</v>
      </c>
      <c r="L807" t="n">
        <v>12.6</v>
      </c>
      <c r="M807" t="n">
        <v>5.9</v>
      </c>
      <c r="N807" t="n">
        <v>6.5</v>
      </c>
      <c r="O807" t="n">
        <v>7.4</v>
      </c>
      <c r="P807" t="n">
        <v>4.233253</v>
      </c>
      <c r="Q807" t="n">
        <v>3.9</v>
      </c>
      <c r="R807" t="n">
        <v>11.9</v>
      </c>
      <c r="S807" t="n">
        <v>3.7</v>
      </c>
      <c r="T807" t="n">
        <v>5.2</v>
      </c>
      <c r="U807" t="n">
        <v>4.4</v>
      </c>
      <c r="V807" t="n">
        <v>3.89747</v>
      </c>
      <c r="W807" t="n">
        <v>8.5</v>
      </c>
      <c r="X807" t="n">
        <v>2.7</v>
      </c>
      <c r="Y807" t="n">
        <v>2.7</v>
      </c>
      <c r="Z807" t="n">
        <v>4.6</v>
      </c>
      <c r="AA807" t="n">
        <v>7.2</v>
      </c>
      <c r="AB807" t="n">
        <v>3.733121</v>
      </c>
      <c r="AC807" t="n">
        <v>3.4</v>
      </c>
      <c r="AD807" t="n">
        <v>3.1</v>
      </c>
      <c r="AE807" t="n">
        <v>5.210691</v>
      </c>
      <c r="AF807" t="n">
        <v>3</v>
      </c>
      <c r="AG807" t="n">
        <v>5.8</v>
      </c>
      <c r="AH807" t="n">
        <v>6.5</v>
      </c>
      <c r="AI807" t="n">
        <v>4.1</v>
      </c>
      <c r="AJ807" t="n">
        <v>7.3</v>
      </c>
      <c r="AK807" t="n">
        <v>10.7</v>
      </c>
      <c r="AL807" t="n">
        <v>3.8</v>
      </c>
    </row>
    <row r="808">
      <c r="A808" s="78" t="n">
        <v>44621</v>
      </c>
      <c r="B808" t="n">
        <v>3.954238</v>
      </c>
      <c r="C808" t="n">
        <v>4.2</v>
      </c>
      <c r="D808" t="n">
        <v>5.6</v>
      </c>
      <c r="E808" t="n">
        <v>5.3</v>
      </c>
      <c r="G808" t="n">
        <v>7.730588</v>
      </c>
      <c r="H808" t="n">
        <v>2.3</v>
      </c>
      <c r="I808" t="n">
        <v>2.9</v>
      </c>
      <c r="J808" t="n">
        <v>4.5</v>
      </c>
      <c r="K808" t="n">
        <v>6.8</v>
      </c>
      <c r="L808" t="n">
        <v>13.5</v>
      </c>
      <c r="M808" t="n">
        <v>5.4</v>
      </c>
      <c r="N808" t="n">
        <v>6.4</v>
      </c>
      <c r="O808" t="n">
        <v>7.4</v>
      </c>
      <c r="P808" t="n">
        <v>4.061958</v>
      </c>
      <c r="Q808" t="n">
        <v>3.8</v>
      </c>
      <c r="R808" t="n">
        <v>12.9</v>
      </c>
      <c r="S808" t="n">
        <v>3.2</v>
      </c>
      <c r="T808" t="n">
        <v>5.5</v>
      </c>
      <c r="U808" t="n">
        <v>4.3</v>
      </c>
      <c r="V808" t="n">
        <v>3.797659</v>
      </c>
      <c r="W808" t="n">
        <v>8.300000000000001</v>
      </c>
      <c r="X808" t="n">
        <v>2.6</v>
      </c>
      <c r="Y808" t="n">
        <v>2.7</v>
      </c>
      <c r="Z808" t="n">
        <v>4.5</v>
      </c>
      <c r="AA808" t="n">
        <v>7</v>
      </c>
      <c r="AB808" t="n">
        <v>3.340287</v>
      </c>
      <c r="AC808" t="n">
        <v>3.3</v>
      </c>
      <c r="AD808" t="n">
        <v>2.9</v>
      </c>
      <c r="AE808" t="n">
        <v>5.115351</v>
      </c>
      <c r="AF808" t="n">
        <v>3</v>
      </c>
      <c r="AG808" t="n">
        <v>5.7</v>
      </c>
      <c r="AH808" t="n">
        <v>6.5</v>
      </c>
      <c r="AI808" t="n">
        <v>4</v>
      </c>
      <c r="AJ808" t="n">
        <v>7.6</v>
      </c>
      <c r="AK808" t="n">
        <v>11.5</v>
      </c>
      <c r="AL808" t="n">
        <v>3.6</v>
      </c>
    </row>
    <row r="809">
      <c r="A809" s="78" t="n">
        <v>44652</v>
      </c>
      <c r="B809" t="n">
        <v>3.853041</v>
      </c>
      <c r="C809" t="n">
        <v>4.4</v>
      </c>
      <c r="D809" t="n">
        <v>5.7</v>
      </c>
      <c r="E809" t="n">
        <v>5.2</v>
      </c>
      <c r="G809" t="n">
        <v>7.551967</v>
      </c>
      <c r="H809" t="n">
        <v>2.4</v>
      </c>
      <c r="I809" t="n">
        <v>3</v>
      </c>
      <c r="J809" t="n">
        <v>4.3</v>
      </c>
      <c r="K809" t="n">
        <v>6.8</v>
      </c>
      <c r="L809" t="n">
        <v>13.3</v>
      </c>
      <c r="M809" t="n">
        <v>5.6</v>
      </c>
      <c r="N809" t="n">
        <v>6.2</v>
      </c>
      <c r="O809" t="n">
        <v>7.2</v>
      </c>
      <c r="P809" t="n">
        <v>4.046041</v>
      </c>
      <c r="R809" t="n">
        <v>12.7</v>
      </c>
      <c r="S809" t="n">
        <v>3.4</v>
      </c>
      <c r="T809" t="n">
        <v>4.8</v>
      </c>
      <c r="U809" t="n">
        <v>3.7</v>
      </c>
      <c r="V809" t="n">
        <v>3.504444</v>
      </c>
      <c r="W809" t="n">
        <v>8.4</v>
      </c>
      <c r="X809" t="n">
        <v>2.5</v>
      </c>
      <c r="Y809" t="n">
        <v>2.7</v>
      </c>
      <c r="Z809" t="n">
        <v>4.2</v>
      </c>
      <c r="AA809" t="n">
        <v>6.6</v>
      </c>
      <c r="AB809" t="n">
        <v>3.178537</v>
      </c>
      <c r="AC809" t="n">
        <v>3.2</v>
      </c>
      <c r="AD809" t="n">
        <v>2.7</v>
      </c>
      <c r="AE809" t="n">
        <v>5.023884</v>
      </c>
      <c r="AF809" t="n">
        <v>3</v>
      </c>
      <c r="AG809" t="n">
        <v>5.8</v>
      </c>
      <c r="AH809" t="n">
        <v>6.3</v>
      </c>
      <c r="AI809" t="n">
        <v>4</v>
      </c>
      <c r="AJ809" t="n">
        <v>7.7</v>
      </c>
      <c r="AK809" t="n">
        <v>11.3</v>
      </c>
      <c r="AL809" t="n">
        <v>3.6</v>
      </c>
    </row>
    <row r="810">
      <c r="A810" s="78" t="n">
        <v>44682</v>
      </c>
      <c r="B810" t="n">
        <v>3.898791</v>
      </c>
      <c r="C810" t="n">
        <v>4.8</v>
      </c>
      <c r="D810" t="n">
        <v>5.5</v>
      </c>
      <c r="E810" t="n">
        <v>5.1</v>
      </c>
      <c r="H810" t="n">
        <v>2.5</v>
      </c>
      <c r="I810" t="n">
        <v>2.8</v>
      </c>
      <c r="J810" t="n">
        <v>4.8</v>
      </c>
      <c r="K810" t="n">
        <v>6.6</v>
      </c>
      <c r="L810" t="n">
        <v>13.1</v>
      </c>
      <c r="M810" t="n">
        <v>5.5</v>
      </c>
      <c r="N810" t="n">
        <v>6.2</v>
      </c>
      <c r="O810" t="n">
        <v>7.2</v>
      </c>
      <c r="P810" t="n">
        <v>4.014157</v>
      </c>
      <c r="S810" t="n">
        <v>3.6</v>
      </c>
      <c r="T810" t="n">
        <v>4.7</v>
      </c>
      <c r="U810" t="n">
        <v>3.5</v>
      </c>
      <c r="V810" t="n">
        <v>3.736119</v>
      </c>
      <c r="W810" t="n">
        <v>8.1</v>
      </c>
      <c r="X810" t="n">
        <v>2.6</v>
      </c>
      <c r="Y810" t="n">
        <v>2.8</v>
      </c>
      <c r="Z810" t="n">
        <v>4.2</v>
      </c>
      <c r="AA810" t="n">
        <v>6.5</v>
      </c>
      <c r="AB810" t="n">
        <v>3.373938</v>
      </c>
      <c r="AC810" t="n">
        <v>3.3</v>
      </c>
      <c r="AD810" t="n">
        <v>3.7</v>
      </c>
      <c r="AE810" t="n">
        <v>4.99285</v>
      </c>
      <c r="AF810" t="n">
        <v>2.7</v>
      </c>
      <c r="AG810" t="n">
        <v>6.1</v>
      </c>
      <c r="AH810" t="n">
        <v>6.2</v>
      </c>
      <c r="AI810" t="n">
        <v>3.9</v>
      </c>
      <c r="AJ810" t="n">
        <v>7.8</v>
      </c>
      <c r="AL810" t="n">
        <v>3.6</v>
      </c>
    </row>
    <row r="811">
      <c r="A811" s="78" t="n">
        <v>44713</v>
      </c>
      <c r="E811" t="n">
        <v>4.9</v>
      </c>
      <c r="AL811" t="n">
        <v>3.6</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0"/>
  <sheetViews>
    <sheetView zoomScale="120" zoomScaleNormal="120" workbookViewId="0">
      <pane ySplit="11" topLeftCell="A986" activePane="bottomLeft" state="frozen"/>
      <selection activeCell="F8" sqref="F8"/>
      <selection pane="bottomLeft" activeCell="H1012" sqref="H1012"/>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9" min="7" max="36"/>
  </cols>
  <sheetData>
    <row r="1" customFormat="1" s="69">
      <c r="A1" s="69" t="inlineStr">
        <is>
          <t>PAYEMS</t>
        </is>
      </c>
      <c r="B1" s="15" t="inlineStr">
        <is>
          <t>All Employees: Total Nonfarm Payrolls, Thousands of Persons, Monthly, Seasonally Adjusted</t>
        </is>
      </c>
      <c r="C1" s="15" t="n"/>
      <c r="D1" s="15" t="n"/>
      <c r="E1" s="15" t="n"/>
      <c r="F1" s="15" t="n"/>
    </row>
    <row r="2" ht="16" customFormat="1" customHeight="1" s="69" thickBot="1">
      <c r="B2" s="15" t="n"/>
      <c r="C2" s="15" t="n"/>
      <c r="D2" s="15" t="n"/>
      <c r="E2" s="15" t="n"/>
      <c r="F2" s="15" t="n"/>
    </row>
    <row r="3" customFormat="1" s="69">
      <c r="B3" s="15" t="n"/>
      <c r="C3" s="22" t="inlineStr">
        <is>
          <t>Max</t>
        </is>
      </c>
      <c r="D3" s="18">
        <f>MAX(C13:C1033)</f>
        <v/>
      </c>
      <c r="E3" s="15" t="n"/>
      <c r="F3" s="16" t="n"/>
    </row>
    <row r="4" customFormat="1" s="69">
      <c r="A4" s="17" t="n"/>
      <c r="B4" s="15" t="n"/>
      <c r="C4" s="23" t="inlineStr">
        <is>
          <t>Min</t>
        </is>
      </c>
      <c r="D4" s="19">
        <f>MIN(C13:C1033)</f>
        <v/>
      </c>
      <c r="E4" s="15" t="n"/>
      <c r="F4" s="15" t="n"/>
    </row>
    <row r="5" customFormat="1" s="69">
      <c r="B5" s="15" t="n"/>
      <c r="C5" s="23" t="inlineStr">
        <is>
          <t>Average</t>
        </is>
      </c>
      <c r="D5" s="20">
        <f>AVERAGE(C13:C1533)</f>
        <v/>
      </c>
      <c r="E5" s="15" t="n"/>
      <c r="F5" s="15" t="n"/>
    </row>
    <row r="6" ht="16" customFormat="1" customHeight="1" s="69" thickBot="1">
      <c r="B6" s="15" t="n"/>
      <c r="C6" s="24" t="inlineStr">
        <is>
          <t>Avg. since 2010</t>
        </is>
      </c>
      <c r="D6" s="21">
        <f>AVERAGE(C864:C1033)</f>
        <v/>
      </c>
      <c r="E6" s="15" t="n"/>
      <c r="F6" s="15" t="n"/>
    </row>
    <row r="7" customFormat="1" s="69">
      <c r="B7" s="15" t="n"/>
      <c r="C7" s="15" t="n"/>
      <c r="D7" s="15" t="n"/>
      <c r="E7" s="15" t="n"/>
      <c r="F7" s="15" t="n"/>
    </row>
    <row r="8" customFormat="1" s="69">
      <c r="C8" s="15" t="n"/>
      <c r="D8" s="15" t="n"/>
      <c r="E8" s="15" t="n"/>
      <c r="F8" s="15" t="n"/>
    </row>
    <row r="9" customFormat="1" s="69">
      <c r="B9" s="15" t="n"/>
      <c r="C9" s="15" t="n"/>
      <c r="D9" s="15" t="n"/>
      <c r="E9" s="15" t="n"/>
      <c r="F9" s="15" t="n"/>
    </row>
    <row r="10" customFormat="1" s="69">
      <c r="A10" s="69"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6" t="n"/>
      <c r="H11" s="76" t="n"/>
      <c r="I11" s="76" t="n"/>
      <c r="J11" s="76" t="n"/>
      <c r="K11" s="76" t="n"/>
      <c r="L11" s="76" t="n"/>
      <c r="M11" s="76" t="n"/>
      <c r="N11" s="76" t="n"/>
      <c r="O11" s="76" t="n"/>
      <c r="P11" s="76" t="n"/>
      <c r="Q11" s="76" t="n"/>
      <c r="R11" s="76" t="n"/>
      <c r="S11" s="76" t="n"/>
      <c r="T11" s="76" t="n"/>
      <c r="U11" s="76" t="n"/>
      <c r="V11" s="76" t="n"/>
      <c r="W11" s="76" t="n"/>
      <c r="X11" s="76" t="n"/>
      <c r="Y11" s="76" t="n"/>
      <c r="Z11" s="76" t="n"/>
      <c r="AA11" s="76" t="n"/>
      <c r="AB11" s="76" t="n"/>
      <c r="AC11" s="76" t="n"/>
      <c r="AD11" s="76" t="n"/>
      <c r="AE11" s="76" t="n"/>
      <c r="AF11" s="76" t="n"/>
      <c r="AG11" s="76" t="n"/>
      <c r="AH11" s="76" t="n"/>
      <c r="AI11" s="76" t="n"/>
      <c r="AJ11" s="76"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9"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9"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9"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9"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9"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9"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9"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9"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9"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9"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9"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9"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9"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9"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9"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9"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9"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9"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9"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9"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9"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sheetData>
  <conditionalFormatting sqref="C864:C1010">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85"/>
  <sheetViews>
    <sheetView zoomScale="130" zoomScaleNormal="130" workbookViewId="0">
      <pane ySplit="4" topLeftCell="A2865" activePane="bottomLeft" state="frozen"/>
      <selection activeCell="K1" sqref="K1"/>
      <selection pane="bottomLeft" activeCell="Q2885" sqref="Q2885"/>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9" min="6" max="168"/>
  </cols>
  <sheetData>
    <row r="1" customFormat="1" s="69">
      <c r="B1" s="69" t="inlineStr">
        <is>
          <t>ICSA</t>
        </is>
      </c>
      <c r="D1" s="69" t="inlineStr">
        <is>
          <t>CCSA</t>
        </is>
      </c>
    </row>
    <row r="2" customFormat="1" s="69"/>
    <row r="3" customFormat="1" s="69"/>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9">
      <c r="A2745" s="28" t="n">
        <v>43659</v>
      </c>
      <c r="B2745" s="25">
        <f>VLOOKUP(A2745,'Database Claims'!$A:$C,3,)</f>
        <v/>
      </c>
      <c r="C2745" s="29">
        <f>B2745-B2744</f>
        <v/>
      </c>
      <c r="D2745" s="25">
        <f>VLOOKUP(A2745,'Database Claims'!$A:$C,2,)</f>
        <v/>
      </c>
      <c r="E2745" s="29">
        <f>D2745-D2744</f>
        <v/>
      </c>
    </row>
    <row r="2746" customFormat="1" s="69">
      <c r="A2746" s="28" t="n">
        <v>43666</v>
      </c>
      <c r="B2746" s="29">
        <f>VLOOKUP(A2746,'Database Claims'!$A:$C,3,)</f>
        <v/>
      </c>
      <c r="C2746" s="29">
        <f>B2746-B2745</f>
        <v/>
      </c>
      <c r="D2746" s="29">
        <f>VLOOKUP(A2746,'Database Claims'!$A:$C,2,)</f>
        <v/>
      </c>
      <c r="E2746" s="29">
        <f>D2746-D2745</f>
        <v/>
      </c>
    </row>
    <row r="2747" customFormat="1" s="69">
      <c r="A2747" s="28" t="n">
        <v>43673</v>
      </c>
      <c r="B2747" s="25">
        <f>VLOOKUP(A2747,'Database Claims'!$A:$C,3,)</f>
        <v/>
      </c>
      <c r="C2747" s="29">
        <f>B2747-B2746</f>
        <v/>
      </c>
      <c r="D2747" s="25">
        <f>VLOOKUP(A2747,'Database Claims'!$A:$C,2,)</f>
        <v/>
      </c>
      <c r="E2747" s="29">
        <f>D2747-D2746</f>
        <v/>
      </c>
    </row>
    <row r="2748" customFormat="1" s="69">
      <c r="A2748" s="28" t="n">
        <v>43680</v>
      </c>
      <c r="B2748" s="29">
        <f>VLOOKUP(A2748,'Database Claims'!$A:$C,3,)</f>
        <v/>
      </c>
      <c r="C2748" s="29">
        <f>B2748-B2747</f>
        <v/>
      </c>
      <c r="D2748" s="29">
        <f>VLOOKUP(A2748,'Database Claims'!$A:$C,2,)</f>
        <v/>
      </c>
      <c r="E2748" s="29">
        <f>D2748-D2747</f>
        <v/>
      </c>
    </row>
    <row r="2749" customFormat="1" s="69">
      <c r="A2749" s="28" t="n">
        <v>43687</v>
      </c>
      <c r="B2749" s="25">
        <f>VLOOKUP(A2749,'Database Claims'!$A:$C,3,)</f>
        <v/>
      </c>
      <c r="C2749" s="29">
        <f>B2749-B2748</f>
        <v/>
      </c>
      <c r="D2749" s="25">
        <f>VLOOKUP(A2749,'Database Claims'!$A:$C,2,)</f>
        <v/>
      </c>
      <c r="E2749" s="29">
        <f>D2749-D2748</f>
        <v/>
      </c>
    </row>
    <row r="2750" customFormat="1" s="69">
      <c r="A2750" s="28" t="n">
        <v>43694</v>
      </c>
      <c r="B2750" s="29">
        <f>VLOOKUP(A2750,'Database Claims'!$A:$C,3,)</f>
        <v/>
      </c>
      <c r="C2750" s="29">
        <f>B2750-B2749</f>
        <v/>
      </c>
      <c r="D2750" s="29">
        <f>VLOOKUP(A2750,'Database Claims'!$A:$C,2,)</f>
        <v/>
      </c>
      <c r="E2750" s="29">
        <f>D2750-D2749</f>
        <v/>
      </c>
    </row>
    <row r="2751" customFormat="1" s="69">
      <c r="A2751" s="28" t="n">
        <v>43701</v>
      </c>
      <c r="B2751" s="25">
        <f>VLOOKUP(A2751,'Database Claims'!$A:$C,3,)</f>
        <v/>
      </c>
      <c r="C2751" s="29">
        <f>B2751-B2750</f>
        <v/>
      </c>
      <c r="D2751" s="25">
        <f>VLOOKUP(A2751,'Database Claims'!$A:$C,2,)</f>
        <v/>
      </c>
      <c r="E2751" s="29">
        <f>D2751-D2750</f>
        <v/>
      </c>
    </row>
    <row r="2752" customFormat="1" s="69">
      <c r="A2752" s="28" t="n">
        <v>43708</v>
      </c>
      <c r="B2752" s="29">
        <f>VLOOKUP(A2752,'Database Claims'!$A:$C,3,)</f>
        <v/>
      </c>
      <c r="C2752" s="29">
        <f>B2752-B2751</f>
        <v/>
      </c>
      <c r="D2752" s="29">
        <f>VLOOKUP(A2752,'Database Claims'!$A:$C,2,)</f>
        <v/>
      </c>
      <c r="E2752" s="29">
        <f>D2752-D2751</f>
        <v/>
      </c>
    </row>
    <row r="2753" customFormat="1" s="69">
      <c r="A2753" s="28" t="n">
        <v>43715</v>
      </c>
      <c r="B2753" s="25">
        <f>VLOOKUP(A2753,'Database Claims'!$A:$C,3,)</f>
        <v/>
      </c>
      <c r="C2753" s="29">
        <f>B2753-B2752</f>
        <v/>
      </c>
      <c r="D2753" s="25">
        <f>VLOOKUP(A2753,'Database Claims'!$A:$C,2,)</f>
        <v/>
      </c>
      <c r="E2753" s="29">
        <f>D2753-D2752</f>
        <v/>
      </c>
    </row>
    <row r="2754" customFormat="1" s="69">
      <c r="A2754" s="28" t="n">
        <v>43722</v>
      </c>
      <c r="B2754" s="29">
        <f>VLOOKUP(A2754,'Database Claims'!$A:$C,3,)</f>
        <v/>
      </c>
      <c r="C2754" s="29">
        <f>B2754-B2753</f>
        <v/>
      </c>
      <c r="D2754" s="29">
        <f>VLOOKUP(A2754,'Database Claims'!$A:$C,2,)</f>
        <v/>
      </c>
      <c r="E2754" s="29">
        <f>D2754-D2753</f>
        <v/>
      </c>
    </row>
    <row r="2755" customFormat="1" s="69">
      <c r="A2755" s="28" t="n">
        <v>43729</v>
      </c>
      <c r="B2755" s="25">
        <f>VLOOKUP(A2755,'Database Claims'!$A:$C,3,)</f>
        <v/>
      </c>
      <c r="C2755" s="29">
        <f>B2755-B2754</f>
        <v/>
      </c>
      <c r="D2755" s="25">
        <f>VLOOKUP(A2755,'Database Claims'!$A:$C,2,)</f>
        <v/>
      </c>
      <c r="E2755" s="29">
        <f>D2755-D2754</f>
        <v/>
      </c>
    </row>
    <row r="2756" customFormat="1" s="69">
      <c r="A2756" s="28" t="n">
        <v>43736</v>
      </c>
      <c r="B2756" s="29">
        <f>VLOOKUP(A2756,'Database Claims'!$A:$C,3,)</f>
        <v/>
      </c>
      <c r="C2756" s="29">
        <f>B2756-B2755</f>
        <v/>
      </c>
      <c r="D2756" s="29">
        <f>VLOOKUP(A2756,'Database Claims'!$A:$C,2,)</f>
        <v/>
      </c>
      <c r="E2756" s="29">
        <f>D2756-D2755</f>
        <v/>
      </c>
    </row>
    <row r="2757" customFormat="1" s="69">
      <c r="A2757" s="28" t="n">
        <v>43743</v>
      </c>
      <c r="B2757" s="25">
        <f>VLOOKUP(A2757,'Database Claims'!$A:$C,3,)</f>
        <v/>
      </c>
      <c r="C2757" s="29">
        <f>B2757-B2756</f>
        <v/>
      </c>
      <c r="D2757" s="25">
        <f>VLOOKUP(A2757,'Database Claims'!$A:$C,2,)</f>
        <v/>
      </c>
      <c r="E2757" s="29">
        <f>D2757-D2756</f>
        <v/>
      </c>
    </row>
    <row r="2758" customFormat="1" s="69">
      <c r="A2758" s="28" t="n">
        <v>43750</v>
      </c>
      <c r="B2758" s="29">
        <f>VLOOKUP(A2758,'Database Claims'!$A:$C,3,)</f>
        <v/>
      </c>
      <c r="C2758" s="29">
        <f>B2758-B2757</f>
        <v/>
      </c>
      <c r="D2758" s="29">
        <f>VLOOKUP(A2758,'Database Claims'!$A:$C,2,)</f>
        <v/>
      </c>
      <c r="E2758" s="29">
        <f>D2758-D2757</f>
        <v/>
      </c>
    </row>
    <row r="2759" customFormat="1" s="69">
      <c r="A2759" s="28" t="n">
        <v>43757</v>
      </c>
      <c r="B2759" s="25">
        <f>VLOOKUP(A2759,'Database Claims'!$A:$C,3,)</f>
        <v/>
      </c>
      <c r="C2759" s="29">
        <f>B2759-B2758</f>
        <v/>
      </c>
      <c r="D2759" s="25">
        <f>VLOOKUP(A2759,'Database Claims'!$A:$C,2,)</f>
        <v/>
      </c>
      <c r="E2759" s="29">
        <f>D2759-D2758</f>
        <v/>
      </c>
    </row>
    <row r="2760" customFormat="1" s="69">
      <c r="A2760" s="28" t="n">
        <v>43764</v>
      </c>
      <c r="B2760" s="29">
        <f>VLOOKUP(A2760,'Database Claims'!$A:$C,3,)</f>
        <v/>
      </c>
      <c r="C2760" s="29">
        <f>B2760-B2759</f>
        <v/>
      </c>
      <c r="D2760" s="29">
        <f>VLOOKUP(A2760,'Database Claims'!$A:$C,2,)</f>
        <v/>
      </c>
      <c r="E2760" s="29">
        <f>D2760-D2759</f>
        <v/>
      </c>
    </row>
    <row r="2761" customFormat="1" s="69">
      <c r="A2761" s="28" t="n">
        <v>43771</v>
      </c>
      <c r="B2761" s="25">
        <f>VLOOKUP(A2761,'Database Claims'!$A:$C,3,)</f>
        <v/>
      </c>
      <c r="C2761" s="29">
        <f>B2761-B2760</f>
        <v/>
      </c>
      <c r="D2761" s="25">
        <f>VLOOKUP(A2761,'Database Claims'!$A:$C,2,)</f>
        <v/>
      </c>
      <c r="E2761" s="29">
        <f>D2761-D2760</f>
        <v/>
      </c>
    </row>
    <row r="2762" customFormat="1" s="69">
      <c r="A2762" s="28" t="n">
        <v>43778</v>
      </c>
      <c r="B2762" s="29">
        <f>VLOOKUP(A2762,'Database Claims'!$A:$C,3,)</f>
        <v/>
      </c>
      <c r="C2762" s="29">
        <f>B2762-B2761</f>
        <v/>
      </c>
      <c r="D2762" s="29">
        <f>VLOOKUP(A2762,'Database Claims'!$A:$C,2,)</f>
        <v/>
      </c>
      <c r="E2762" s="29">
        <f>D2762-D2761</f>
        <v/>
      </c>
    </row>
    <row r="2763" customFormat="1" s="69">
      <c r="A2763" s="28" t="n">
        <v>43785</v>
      </c>
      <c r="B2763" s="25">
        <f>VLOOKUP(A2763,'Database Claims'!$A:$C,3,)</f>
        <v/>
      </c>
      <c r="C2763" s="29">
        <f>B2763-B2762</f>
        <v/>
      </c>
      <c r="D2763" s="25">
        <f>VLOOKUP(A2763,'Database Claims'!$A:$C,2,)</f>
        <v/>
      </c>
      <c r="E2763" s="29">
        <f>D2763-D2762</f>
        <v/>
      </c>
    </row>
    <row r="2764" customFormat="1" s="69">
      <c r="A2764" s="28" t="n">
        <v>43792</v>
      </c>
      <c r="B2764" s="29">
        <f>VLOOKUP(A2764,'Database Claims'!$A:$C,3,)</f>
        <v/>
      </c>
      <c r="C2764" s="29">
        <f>B2764-B2763</f>
        <v/>
      </c>
      <c r="D2764" s="29">
        <f>VLOOKUP(A2764,'Database Claims'!$A:$C,2,)</f>
        <v/>
      </c>
      <c r="E2764" s="29">
        <f>D2764-D2763</f>
        <v/>
      </c>
    </row>
    <row r="2765" customFormat="1" s="69">
      <c r="A2765" s="28" t="n">
        <v>43799</v>
      </c>
      <c r="B2765" s="25">
        <f>VLOOKUP(A2765,'Database Claims'!$A:$C,3,)</f>
        <v/>
      </c>
      <c r="C2765" s="29">
        <f>B2765-B2764</f>
        <v/>
      </c>
      <c r="D2765" s="25">
        <f>VLOOKUP(A2765,'Database Claims'!$A:$C,2,)</f>
        <v/>
      </c>
      <c r="E2765" s="29">
        <f>D2765-D2764</f>
        <v/>
      </c>
    </row>
    <row r="2766" customFormat="1" s="69">
      <c r="A2766" s="28" t="n">
        <v>43806</v>
      </c>
      <c r="B2766" s="29">
        <f>VLOOKUP(A2766,'Database Claims'!$A:$C,3,)</f>
        <v/>
      </c>
      <c r="C2766" s="29">
        <f>B2766-B2765</f>
        <v/>
      </c>
      <c r="D2766" s="29">
        <f>VLOOKUP(A2766,'Database Claims'!$A:$C,2,)</f>
        <v/>
      </c>
      <c r="E2766" s="29">
        <f>D2766-D2765</f>
        <v/>
      </c>
    </row>
    <row r="2767" customFormat="1" s="69">
      <c r="A2767" s="28" t="n">
        <v>43813</v>
      </c>
      <c r="B2767" s="25">
        <f>VLOOKUP(A2767,'Database Claims'!$A:$C,3,)</f>
        <v/>
      </c>
      <c r="C2767" s="29">
        <f>B2767-B2766</f>
        <v/>
      </c>
      <c r="D2767" s="25">
        <f>VLOOKUP(A2767,'Database Claims'!$A:$C,2,)</f>
        <v/>
      </c>
      <c r="E2767" s="29">
        <f>D2767-D2766</f>
        <v/>
      </c>
    </row>
    <row r="2768" customFormat="1" s="69">
      <c r="A2768" s="28" t="n">
        <v>43820</v>
      </c>
      <c r="B2768" s="29">
        <f>VLOOKUP(A2768,'Database Claims'!$A:$C,3,)</f>
        <v/>
      </c>
      <c r="C2768" s="29">
        <f>B2768-B2767</f>
        <v/>
      </c>
      <c r="D2768" s="29">
        <f>VLOOKUP(A2768,'Database Claims'!$A:$C,2,)</f>
        <v/>
      </c>
      <c r="E2768" s="29">
        <f>D2768-D2767</f>
        <v/>
      </c>
    </row>
    <row r="2769" customFormat="1" s="69">
      <c r="A2769" s="28" t="n">
        <v>43827</v>
      </c>
      <c r="B2769" s="25">
        <f>VLOOKUP(A2769,'Database Claims'!$A:$C,3,)</f>
        <v/>
      </c>
      <c r="C2769" s="29">
        <f>B2769-B2768</f>
        <v/>
      </c>
      <c r="D2769" s="25">
        <f>VLOOKUP(A2769,'Database Claims'!$A:$C,2,)</f>
        <v/>
      </c>
      <c r="E2769" s="29">
        <f>D2769-D2768</f>
        <v/>
      </c>
    </row>
    <row r="2770" customFormat="1" s="69">
      <c r="A2770" s="28" t="n">
        <v>43834</v>
      </c>
      <c r="B2770" s="29">
        <f>VLOOKUP(A2770,'Database Claims'!$A:$C,3,)</f>
        <v/>
      </c>
      <c r="C2770" s="29">
        <f>B2770-B2769</f>
        <v/>
      </c>
      <c r="D2770" s="29">
        <f>VLOOKUP(A2770,'Database Claims'!$A:$C,2,)</f>
        <v/>
      </c>
      <c r="E2770" s="29">
        <f>D2770-D2769</f>
        <v/>
      </c>
    </row>
    <row r="2771" customFormat="1" s="69">
      <c r="A2771" s="28" t="n">
        <v>43841</v>
      </c>
      <c r="B2771" s="25">
        <f>VLOOKUP(A2771,'Database Claims'!$A:$C,3,)</f>
        <v/>
      </c>
      <c r="C2771" s="29">
        <f>B2771-B2770</f>
        <v/>
      </c>
      <c r="D2771" s="25">
        <f>VLOOKUP(A2771,'Database Claims'!$A:$C,2,)</f>
        <v/>
      </c>
      <c r="E2771" s="29">
        <f>D2771-D2770</f>
        <v/>
      </c>
    </row>
    <row r="2772" customFormat="1" s="69">
      <c r="A2772" s="28" t="n">
        <v>43848</v>
      </c>
      <c r="B2772" s="29">
        <f>VLOOKUP(A2772,'Database Claims'!$A:$C,3,)</f>
        <v/>
      </c>
      <c r="C2772" s="29">
        <f>B2772-B2771</f>
        <v/>
      </c>
      <c r="D2772" s="29">
        <f>VLOOKUP(A2772,'Database Claims'!$A:$C,2,)</f>
        <v/>
      </c>
      <c r="E2772" s="29">
        <f>D2772-D2771</f>
        <v/>
      </c>
    </row>
    <row r="2773" customFormat="1" s="69">
      <c r="A2773" s="28" t="n">
        <v>43855</v>
      </c>
      <c r="B2773" s="25">
        <f>VLOOKUP(A2773,'Database Claims'!$A:$C,3,)</f>
        <v/>
      </c>
      <c r="C2773" s="29">
        <f>B2773-B2772</f>
        <v/>
      </c>
      <c r="D2773" s="25">
        <f>VLOOKUP(A2773,'Database Claims'!$A:$C,2,)</f>
        <v/>
      </c>
      <c r="E2773" s="29">
        <f>D2773-D2772</f>
        <v/>
      </c>
    </row>
    <row r="2774" customFormat="1" s="69">
      <c r="A2774" s="28" t="n">
        <v>43862</v>
      </c>
      <c r="B2774" s="29">
        <f>VLOOKUP(A2774,'Database Claims'!$A:$C,3,)</f>
        <v/>
      </c>
      <c r="C2774" s="29">
        <f>B2774-B2773</f>
        <v/>
      </c>
      <c r="D2774" s="29">
        <f>VLOOKUP(A2774,'Database Claims'!$A:$C,2,)</f>
        <v/>
      </c>
      <c r="E2774" s="29">
        <f>D2774-D2773</f>
        <v/>
      </c>
    </row>
    <row r="2775" customFormat="1" s="69">
      <c r="A2775" s="28" t="n">
        <v>43869</v>
      </c>
      <c r="B2775" s="25">
        <f>VLOOKUP(A2775,'Database Claims'!$A:$C,3,)</f>
        <v/>
      </c>
      <c r="C2775" s="29">
        <f>B2775-B2774</f>
        <v/>
      </c>
      <c r="D2775" s="25">
        <f>VLOOKUP(A2775,'Database Claims'!$A:$C,2,)</f>
        <v/>
      </c>
      <c r="E2775" s="29">
        <f>D2775-D2774</f>
        <v/>
      </c>
    </row>
    <row r="2776" customFormat="1" s="69">
      <c r="A2776" s="28" t="n">
        <v>43876</v>
      </c>
      <c r="B2776" s="29">
        <f>VLOOKUP(A2776,'Database Claims'!$A:$C,3,)</f>
        <v/>
      </c>
      <c r="C2776" s="29">
        <f>B2776-B2775</f>
        <v/>
      </c>
      <c r="D2776" s="29">
        <f>VLOOKUP(A2776,'Database Claims'!$A:$C,2,)</f>
        <v/>
      </c>
      <c r="E2776" s="29">
        <f>D2776-D2775</f>
        <v/>
      </c>
    </row>
    <row r="2777" customFormat="1" s="69">
      <c r="A2777" s="28" t="n">
        <v>43883</v>
      </c>
      <c r="B2777" s="25">
        <f>VLOOKUP(A2777,'Database Claims'!$A:$C,3,)</f>
        <v/>
      </c>
      <c r="C2777" s="29">
        <f>B2777-B2776</f>
        <v/>
      </c>
      <c r="D2777" s="25">
        <f>VLOOKUP(A2777,'Database Claims'!$A:$C,2,)</f>
        <v/>
      </c>
      <c r="E2777" s="29">
        <f>D2777-D2776</f>
        <v/>
      </c>
    </row>
    <row r="2778" customFormat="1" s="69">
      <c r="A2778" s="28" t="n">
        <v>43890</v>
      </c>
      <c r="B2778" s="29">
        <f>VLOOKUP(A2778,'Database Claims'!$A:$C,3,)</f>
        <v/>
      </c>
      <c r="C2778" s="29">
        <f>B2778-B2777</f>
        <v/>
      </c>
      <c r="D2778" s="29">
        <f>VLOOKUP(A2778,'Database Claims'!$A:$C,2,)</f>
        <v/>
      </c>
      <c r="E2778" s="29">
        <f>D2778-D2777</f>
        <v/>
      </c>
    </row>
    <row r="2779" customFormat="1" s="69">
      <c r="A2779" s="28" t="n">
        <v>43897</v>
      </c>
      <c r="B2779" s="25">
        <f>VLOOKUP(A2779,'Database Claims'!$A:$C,3,)</f>
        <v/>
      </c>
      <c r="C2779" s="29">
        <f>B2779-B2778</f>
        <v/>
      </c>
      <c r="D2779" s="25">
        <f>VLOOKUP(A2779,'Database Claims'!$A:$C,2,)</f>
        <v/>
      </c>
      <c r="E2779" s="29">
        <f>D2779-D2778</f>
        <v/>
      </c>
    </row>
    <row r="2780" customFormat="1" s="69">
      <c r="A2780" s="28" t="n">
        <v>43904</v>
      </c>
      <c r="B2780" s="29">
        <f>VLOOKUP(A2780,'Database Claims'!$A:$C,3,)</f>
        <v/>
      </c>
      <c r="C2780" s="29">
        <f>B2780-B2779</f>
        <v/>
      </c>
      <c r="D2780" s="29">
        <f>VLOOKUP(A2780,'Database Claims'!$A:$C,2,)</f>
        <v/>
      </c>
      <c r="E2780" s="29">
        <f>D2780-D2779</f>
        <v/>
      </c>
    </row>
    <row r="2781" customFormat="1" s="69">
      <c r="A2781" s="28" t="n">
        <v>43911</v>
      </c>
      <c r="B2781" s="25">
        <f>VLOOKUP(A2781,'Database Claims'!$A:$C,3,)</f>
        <v/>
      </c>
      <c r="C2781" s="29">
        <f>B2781-B2780</f>
        <v/>
      </c>
      <c r="D2781" s="25">
        <f>VLOOKUP(A2781,'Database Claims'!$A:$C,2,)</f>
        <v/>
      </c>
      <c r="E2781" s="29">
        <f>D2781-D2780</f>
        <v/>
      </c>
    </row>
    <row r="2782" customFormat="1" s="69">
      <c r="A2782" s="28" t="n">
        <v>43918</v>
      </c>
      <c r="B2782" s="29">
        <f>VLOOKUP(A2782,'Database Claims'!$A:$C,3,)</f>
        <v/>
      </c>
      <c r="C2782" s="29">
        <f>B2782-B2781</f>
        <v/>
      </c>
      <c r="D2782" s="29">
        <f>VLOOKUP(A2782,'Database Claims'!$A:$C,2,)</f>
        <v/>
      </c>
      <c r="E2782" s="29">
        <f>D2782-D2781</f>
        <v/>
      </c>
    </row>
    <row r="2783" customFormat="1" s="69">
      <c r="A2783" s="28" t="n">
        <v>43925</v>
      </c>
      <c r="B2783" s="25">
        <f>VLOOKUP(A2783,'Database Claims'!$A:$C,3,)</f>
        <v/>
      </c>
      <c r="C2783" s="29">
        <f>B2783-B2782</f>
        <v/>
      </c>
      <c r="D2783" s="25">
        <f>VLOOKUP(A2783,'Database Claims'!$A:$C,2,)</f>
        <v/>
      </c>
      <c r="E2783" s="29">
        <f>D2783-D2782</f>
        <v/>
      </c>
    </row>
    <row r="2784" customFormat="1" s="69">
      <c r="A2784" s="28" t="n">
        <v>43932</v>
      </c>
      <c r="B2784" s="29">
        <f>VLOOKUP(A2784,'Database Claims'!$A:$C,3,)</f>
        <v/>
      </c>
      <c r="C2784" s="29">
        <f>B2784-B2783</f>
        <v/>
      </c>
      <c r="D2784" s="29">
        <f>VLOOKUP(A2784,'Database Claims'!$A:$C,2,)</f>
        <v/>
      </c>
      <c r="E2784" s="29">
        <f>D2784-D2783</f>
        <v/>
      </c>
    </row>
    <row r="2785" customFormat="1" s="69">
      <c r="A2785" s="28" t="n">
        <v>43939</v>
      </c>
      <c r="B2785" s="25">
        <f>VLOOKUP(A2785,'Database Claims'!$A:$C,3,)</f>
        <v/>
      </c>
      <c r="C2785" s="29">
        <f>B2785-B2784</f>
        <v/>
      </c>
      <c r="D2785" s="25">
        <f>VLOOKUP(A2785,'Database Claims'!$A:$C,2,)</f>
        <v/>
      </c>
      <c r="E2785" s="29">
        <f>D2785-D2784</f>
        <v/>
      </c>
    </row>
    <row r="2786" customFormat="1" s="69">
      <c r="A2786" s="28" t="n">
        <v>43946</v>
      </c>
      <c r="B2786" s="29">
        <f>VLOOKUP(A2786,'Database Claims'!$A:$C,3,)</f>
        <v/>
      </c>
      <c r="C2786" s="29">
        <f>B2786-B2785</f>
        <v/>
      </c>
      <c r="D2786" s="29">
        <f>VLOOKUP(A2786,'Database Claims'!$A:$C,2,)</f>
        <v/>
      </c>
      <c r="E2786" s="29">
        <f>D2786-D2785</f>
        <v/>
      </c>
    </row>
    <row r="2787" customFormat="1" s="69">
      <c r="A2787" s="28" t="n">
        <v>43953</v>
      </c>
      <c r="B2787" s="25">
        <f>VLOOKUP(A2787,'Database Claims'!$A:$C,3,)</f>
        <v/>
      </c>
      <c r="C2787" s="29">
        <f>B2787-B2786</f>
        <v/>
      </c>
      <c r="D2787" s="25">
        <f>VLOOKUP(A2787,'Database Claims'!$A:$C,2,)</f>
        <v/>
      </c>
      <c r="E2787" s="29">
        <f>D2787-D2786</f>
        <v/>
      </c>
    </row>
    <row r="2788" customFormat="1" s="69">
      <c r="A2788" s="28" t="n">
        <v>43960</v>
      </c>
      <c r="B2788" s="29">
        <f>VLOOKUP(A2788,'Database Claims'!$A:$C,3,)</f>
        <v/>
      </c>
      <c r="C2788" s="29">
        <f>B2788-B2787</f>
        <v/>
      </c>
      <c r="D2788" s="29">
        <f>VLOOKUP(A2788,'Database Claims'!$A:$C,2,)</f>
        <v/>
      </c>
      <c r="E2788" s="29">
        <f>D2788-D2787</f>
        <v/>
      </c>
    </row>
    <row r="2789" customFormat="1" s="69">
      <c r="A2789" s="28" t="n">
        <v>43967</v>
      </c>
      <c r="B2789" s="25">
        <f>VLOOKUP(A2789,'Database Claims'!$A:$C,3,)</f>
        <v/>
      </c>
      <c r="C2789" s="29">
        <f>B2789-B2788</f>
        <v/>
      </c>
      <c r="D2789" s="25">
        <f>VLOOKUP(A2789,'Database Claims'!$A:$C,2,)</f>
        <v/>
      </c>
      <c r="E2789" s="29">
        <f>D2789-D2788</f>
        <v/>
      </c>
    </row>
    <row r="2790" customFormat="1" s="69">
      <c r="A2790" s="28" t="n">
        <v>43974</v>
      </c>
      <c r="B2790" s="29">
        <f>VLOOKUP(A2790,'Database Claims'!$A:$C,3,)</f>
        <v/>
      </c>
      <c r="C2790" s="29">
        <f>B2790-B2789</f>
        <v/>
      </c>
      <c r="D2790" s="29">
        <f>VLOOKUP(A2790,'Database Claims'!$A:$C,2,)</f>
        <v/>
      </c>
      <c r="E2790" s="29">
        <f>D2790-D2789</f>
        <v/>
      </c>
    </row>
    <row r="2791" customFormat="1" s="69">
      <c r="A2791" s="28" t="n">
        <v>43981</v>
      </c>
      <c r="B2791" s="25">
        <f>VLOOKUP(A2791,'Database Claims'!$A:$C,3,)</f>
        <v/>
      </c>
      <c r="C2791" s="29">
        <f>B2791-B2790</f>
        <v/>
      </c>
      <c r="D2791" s="25">
        <f>VLOOKUP(A2791,'Database Claims'!$A:$C,2,)</f>
        <v/>
      </c>
      <c r="E2791" s="29">
        <f>D2791-D2790</f>
        <v/>
      </c>
    </row>
    <row r="2792" customFormat="1" s="69">
      <c r="A2792" s="28" t="n">
        <v>43988</v>
      </c>
      <c r="B2792" s="29">
        <f>VLOOKUP(A2792,'Database Claims'!$A:$C,3,)</f>
        <v/>
      </c>
      <c r="C2792" s="29">
        <f>B2792-B2791</f>
        <v/>
      </c>
      <c r="D2792" s="29">
        <f>VLOOKUP(A2792,'Database Claims'!$A:$C,2,)</f>
        <v/>
      </c>
      <c r="E2792" s="29">
        <f>D2792-D2791</f>
        <v/>
      </c>
    </row>
    <row r="2793" customFormat="1" s="69">
      <c r="A2793" s="28" t="n">
        <v>43995</v>
      </c>
      <c r="B2793" s="25">
        <f>VLOOKUP(A2793,'Database Claims'!$A:$C,3,)</f>
        <v/>
      </c>
      <c r="C2793" s="29">
        <f>B2793-B2792</f>
        <v/>
      </c>
      <c r="D2793" s="25">
        <f>VLOOKUP(A2793,'Database Claims'!$A:$C,2,)</f>
        <v/>
      </c>
      <c r="E2793" s="29">
        <f>D2793-D2792</f>
        <v/>
      </c>
    </row>
    <row r="2794" customFormat="1" s="69">
      <c r="A2794" s="28" t="n">
        <v>44002</v>
      </c>
      <c r="B2794" s="29">
        <f>VLOOKUP(A2794,'Database Claims'!$A:$C,3,)</f>
        <v/>
      </c>
      <c r="C2794" s="29">
        <f>B2794-B2793</f>
        <v/>
      </c>
      <c r="D2794" s="29">
        <f>VLOOKUP(A2794,'Database Claims'!$A:$C,2,)</f>
        <v/>
      </c>
      <c r="E2794" s="29">
        <f>D2794-D2793</f>
        <v/>
      </c>
    </row>
    <row r="2795" customFormat="1" s="69">
      <c r="A2795" s="28" t="n">
        <v>44009</v>
      </c>
      <c r="B2795" s="25">
        <f>VLOOKUP(A2795,'Database Claims'!$A:$C,3,)</f>
        <v/>
      </c>
      <c r="C2795" s="29">
        <f>B2795-B2794</f>
        <v/>
      </c>
      <c r="D2795" s="25">
        <f>VLOOKUP(A2795,'Database Claims'!$A:$C,2,)</f>
        <v/>
      </c>
      <c r="E2795" s="29">
        <f>D2795-D2794</f>
        <v/>
      </c>
    </row>
    <row r="2796" customFormat="1" s="69">
      <c r="A2796" s="28" t="n">
        <v>44016</v>
      </c>
      <c r="B2796" s="29">
        <f>VLOOKUP(A2796,'Database Claims'!$A:$C,3,)</f>
        <v/>
      </c>
      <c r="C2796" s="29">
        <f>B2796-B2795</f>
        <v/>
      </c>
      <c r="D2796" s="29">
        <f>VLOOKUP(A2796,'Database Claims'!$A:$C,2,)</f>
        <v/>
      </c>
      <c r="E2796" s="29">
        <f>D2796-D2795</f>
        <v/>
      </c>
    </row>
    <row r="2797" customFormat="1" s="69">
      <c r="A2797" s="28" t="n">
        <v>44023</v>
      </c>
      <c r="B2797" s="25">
        <f>VLOOKUP(A2797,'Database Claims'!$A:$C,3,)</f>
        <v/>
      </c>
      <c r="C2797" s="29">
        <f>B2797-B2796</f>
        <v/>
      </c>
      <c r="D2797" s="25">
        <f>VLOOKUP(A2797,'Database Claims'!$A:$C,2,)</f>
        <v/>
      </c>
      <c r="E2797" s="29">
        <f>D2797-D2796</f>
        <v/>
      </c>
    </row>
    <row r="2798" customFormat="1" s="69">
      <c r="A2798" s="28" t="n">
        <v>44030</v>
      </c>
      <c r="B2798" s="29">
        <f>VLOOKUP(A2798,'Database Claims'!$A:$C,3,)</f>
        <v/>
      </c>
      <c r="C2798" s="29">
        <f>B2798-B2797</f>
        <v/>
      </c>
      <c r="D2798" s="29">
        <f>VLOOKUP(A2798,'Database Claims'!$A:$C,2,)</f>
        <v/>
      </c>
      <c r="E2798" s="29">
        <f>D2798-D2797</f>
        <v/>
      </c>
    </row>
    <row r="2799" customFormat="1" s="69">
      <c r="A2799" s="28" t="n">
        <v>44037</v>
      </c>
      <c r="B2799" s="25">
        <f>VLOOKUP(A2799,'Database Claims'!$A:$C,3,)</f>
        <v/>
      </c>
      <c r="C2799" s="29">
        <f>B2799-B2798</f>
        <v/>
      </c>
      <c r="D2799" s="25">
        <f>VLOOKUP(A2799,'Database Claims'!$A:$C,2,)</f>
        <v/>
      </c>
      <c r="E2799" s="29">
        <f>D2799-D2798</f>
        <v/>
      </c>
    </row>
    <row r="2800" customFormat="1" s="69">
      <c r="A2800" s="28" t="n">
        <v>44044</v>
      </c>
      <c r="B2800" s="29">
        <f>VLOOKUP(A2800,'Database Claims'!$A:$C,3,)</f>
        <v/>
      </c>
      <c r="C2800" s="29">
        <f>B2800-B2799</f>
        <v/>
      </c>
      <c r="D2800" s="29">
        <f>VLOOKUP(A2800,'Database Claims'!$A:$C,2,)</f>
        <v/>
      </c>
      <c r="E2800" s="29">
        <f>D2800-D2799</f>
        <v/>
      </c>
    </row>
    <row r="2801" customFormat="1" s="69">
      <c r="A2801" s="28" t="n">
        <v>44051</v>
      </c>
      <c r="B2801" s="25">
        <f>VLOOKUP(A2801,'Database Claims'!$A:$C,3,)</f>
        <v/>
      </c>
      <c r="C2801" s="29">
        <f>B2801-B2800</f>
        <v/>
      </c>
      <c r="D2801" s="25">
        <f>VLOOKUP(A2801,'Database Claims'!$A:$C,2,)</f>
        <v/>
      </c>
      <c r="E2801" s="29">
        <f>D2801-D2800</f>
        <v/>
      </c>
    </row>
    <row r="2802" customFormat="1" s="69">
      <c r="A2802" s="28" t="n">
        <v>44058</v>
      </c>
      <c r="B2802" s="29">
        <f>VLOOKUP(A2802,'Database Claims'!$A:$C,3,)</f>
        <v/>
      </c>
      <c r="C2802" s="29">
        <f>B2802-B2801</f>
        <v/>
      </c>
      <c r="D2802" s="29">
        <f>VLOOKUP(A2802,'Database Claims'!$A:$C,2,)</f>
        <v/>
      </c>
      <c r="E2802" s="29">
        <f>D2802-D2801</f>
        <v/>
      </c>
    </row>
    <row r="2803" customFormat="1" s="69">
      <c r="A2803" s="28" t="n">
        <v>44065</v>
      </c>
      <c r="B2803" s="25">
        <f>VLOOKUP(A2803,'Database Claims'!$A:$C,3,)</f>
        <v/>
      </c>
      <c r="C2803" s="29">
        <f>B2803-B2802</f>
        <v/>
      </c>
      <c r="D2803" s="25">
        <f>VLOOKUP(A2803,'Database Claims'!$A:$C,2,)</f>
        <v/>
      </c>
      <c r="E2803" s="29">
        <f>D2803-D2802</f>
        <v/>
      </c>
    </row>
    <row r="2804" customFormat="1" s="69">
      <c r="A2804" s="28" t="n">
        <v>44072</v>
      </c>
      <c r="B2804" s="29">
        <f>VLOOKUP(A2804,'Database Claims'!$A:$C,3,)</f>
        <v/>
      </c>
      <c r="C2804" s="29">
        <f>B2804-B2803</f>
        <v/>
      </c>
      <c r="D2804" s="29">
        <f>VLOOKUP(A2804,'Database Claims'!$A:$C,2,)</f>
        <v/>
      </c>
      <c r="E2804" s="29">
        <f>D2804-D2803</f>
        <v/>
      </c>
    </row>
    <row r="2805" customFormat="1" s="69">
      <c r="A2805" s="28" t="n">
        <v>44079</v>
      </c>
      <c r="B2805" s="25">
        <f>VLOOKUP(A2805,'Database Claims'!$A:$C,3,)</f>
        <v/>
      </c>
      <c r="C2805" s="29">
        <f>B2805-B2804</f>
        <v/>
      </c>
      <c r="D2805" s="25">
        <f>VLOOKUP(A2805,'Database Claims'!$A:$C,2,)</f>
        <v/>
      </c>
      <c r="E2805" s="29">
        <f>D2805-D2804</f>
        <v/>
      </c>
    </row>
    <row r="2806" customFormat="1" s="69">
      <c r="A2806" s="28" t="n">
        <v>44086</v>
      </c>
      <c r="B2806" s="29">
        <f>VLOOKUP(A2806,'Database Claims'!$A:$C,3,)</f>
        <v/>
      </c>
      <c r="C2806" s="29">
        <f>B2806-B2805</f>
        <v/>
      </c>
      <c r="D2806" s="29">
        <f>VLOOKUP(A2806,'Database Claims'!$A:$C,2,)</f>
        <v/>
      </c>
      <c r="E2806" s="29">
        <f>D2806-D2805</f>
        <v/>
      </c>
    </row>
    <row r="2807" customFormat="1" s="69">
      <c r="A2807" s="28" t="n">
        <v>44093</v>
      </c>
      <c r="B2807" s="25">
        <f>VLOOKUP(A2807,'Database Claims'!$A:$C,3,)</f>
        <v/>
      </c>
      <c r="C2807" s="29">
        <f>B2807-B2806</f>
        <v/>
      </c>
      <c r="D2807" s="25">
        <f>VLOOKUP(A2807,'Database Claims'!$A:$C,2,)</f>
        <v/>
      </c>
      <c r="E2807" s="29">
        <f>D2807-D2806</f>
        <v/>
      </c>
    </row>
    <row r="2808" customFormat="1" s="69">
      <c r="A2808" s="28" t="n">
        <v>44100</v>
      </c>
      <c r="B2808" s="29">
        <f>VLOOKUP(A2808,'Database Claims'!$A:$C,3,)</f>
        <v/>
      </c>
      <c r="C2808" s="29">
        <f>B2808-B2807</f>
        <v/>
      </c>
      <c r="D2808" s="29">
        <f>VLOOKUP(A2808,'Database Claims'!$A:$C,2,)</f>
        <v/>
      </c>
      <c r="E2808" s="29">
        <f>D2808-D2807</f>
        <v/>
      </c>
    </row>
    <row r="2809" customFormat="1" s="69">
      <c r="A2809" s="28" t="n">
        <v>44107</v>
      </c>
      <c r="B2809" s="25">
        <f>VLOOKUP(A2809,'Database Claims'!$A:$C,3,)</f>
        <v/>
      </c>
      <c r="C2809" s="29">
        <f>B2809-B2808</f>
        <v/>
      </c>
      <c r="D2809" s="25">
        <f>VLOOKUP(A2809,'Database Claims'!$A:$C,2,)</f>
        <v/>
      </c>
      <c r="E2809" s="29">
        <f>D2809-D2808</f>
        <v/>
      </c>
    </row>
    <row r="2810" customFormat="1" s="69">
      <c r="A2810" s="28" t="n">
        <v>44114</v>
      </c>
      <c r="B2810" s="29">
        <f>VLOOKUP(A2810,'Database Claims'!$A:$C,3,)</f>
        <v/>
      </c>
      <c r="C2810" s="29">
        <f>B2810-B2809</f>
        <v/>
      </c>
      <c r="D2810" s="29">
        <f>VLOOKUP(A2810,'Database Claims'!$A:$C,2,)</f>
        <v/>
      </c>
      <c r="E2810" s="29">
        <f>D2810-D2809</f>
        <v/>
      </c>
    </row>
    <row r="2811" customFormat="1" s="69">
      <c r="A2811" s="28" t="n">
        <v>44121</v>
      </c>
      <c r="B2811" s="25">
        <f>VLOOKUP(A2811,'Database Claims'!$A:$C,3,)</f>
        <v/>
      </c>
      <c r="C2811" s="29">
        <f>B2811-B2810</f>
        <v/>
      </c>
      <c r="D2811" s="25">
        <f>VLOOKUP(A2811,'Database Claims'!$A:$C,2,)</f>
        <v/>
      </c>
      <c r="E2811" s="29">
        <f>D2811-D2810</f>
        <v/>
      </c>
    </row>
    <row r="2812" customFormat="1" s="69">
      <c r="A2812" s="28" t="n">
        <v>44128</v>
      </c>
      <c r="B2812" s="29">
        <f>VLOOKUP(A2812,'Database Claims'!$A:$C,3,)</f>
        <v/>
      </c>
      <c r="C2812" s="29">
        <f>B2812-B2811</f>
        <v/>
      </c>
      <c r="D2812" s="29">
        <f>VLOOKUP(A2812,'Database Claims'!$A:$C,2,)</f>
        <v/>
      </c>
      <c r="E2812" s="29">
        <f>D2812-D2811</f>
        <v/>
      </c>
    </row>
    <row r="2813" customFormat="1" s="69">
      <c r="A2813" s="28" t="n">
        <v>44135</v>
      </c>
      <c r="B2813" s="25">
        <f>VLOOKUP(A2813,'Database Claims'!$A:$C,3,)</f>
        <v/>
      </c>
      <c r="C2813" s="29">
        <f>B2813-B2812</f>
        <v/>
      </c>
      <c r="D2813" s="25">
        <f>VLOOKUP(A2813,'Database Claims'!$A:$C,2,)</f>
        <v/>
      </c>
      <c r="E2813" s="29">
        <f>D2813-D2812</f>
        <v/>
      </c>
    </row>
    <row r="2814" customFormat="1" s="69">
      <c r="A2814" s="28" t="n">
        <v>44142</v>
      </c>
      <c r="B2814" s="29">
        <f>VLOOKUP(A2814,'Database Claims'!$A:$C,3,)</f>
        <v/>
      </c>
      <c r="C2814" s="29">
        <f>B2814-B2813</f>
        <v/>
      </c>
      <c r="D2814" s="29">
        <f>VLOOKUP(A2814,'Database Claims'!$A:$C,2,)</f>
        <v/>
      </c>
      <c r="E2814" s="29">
        <f>D2814-D2813</f>
        <v/>
      </c>
    </row>
    <row r="2815" customFormat="1" s="69">
      <c r="A2815" s="28" t="n">
        <v>44149</v>
      </c>
      <c r="B2815" s="25">
        <f>VLOOKUP(A2815,'Database Claims'!$A:$C,3,)</f>
        <v/>
      </c>
      <c r="C2815" s="29">
        <f>B2815-B2814</f>
        <v/>
      </c>
      <c r="D2815" s="25">
        <f>VLOOKUP(A2815,'Database Claims'!$A:$C,2,)</f>
        <v/>
      </c>
      <c r="E2815" s="29">
        <f>D2815-D2814</f>
        <v/>
      </c>
    </row>
    <row r="2816" customFormat="1" s="69">
      <c r="A2816" s="28" t="n">
        <v>44156</v>
      </c>
      <c r="B2816" s="29">
        <f>VLOOKUP(A2816,'Database Claims'!$A:$C,3,)</f>
        <v/>
      </c>
      <c r="C2816" s="29">
        <f>B2816-B2815</f>
        <v/>
      </c>
      <c r="D2816" s="29">
        <f>VLOOKUP(A2816,'Database Claims'!$A:$C,2,)</f>
        <v/>
      </c>
      <c r="E2816" s="29">
        <f>D2816-D2815</f>
        <v/>
      </c>
    </row>
    <row r="2817" customFormat="1" s="69">
      <c r="A2817" s="28" t="n">
        <v>44163</v>
      </c>
      <c r="B2817" s="25">
        <f>VLOOKUP(A2817,'Database Claims'!$A:$C,3,)</f>
        <v/>
      </c>
      <c r="C2817" s="29">
        <f>B2817-B2816</f>
        <v/>
      </c>
      <c r="D2817" s="25">
        <f>VLOOKUP(A2817,'Database Claims'!$A:$C,2,)</f>
        <v/>
      </c>
      <c r="E2817" s="29">
        <f>D2817-D2816</f>
        <v/>
      </c>
    </row>
    <row r="2818" customFormat="1" s="69">
      <c r="A2818" s="28" t="n">
        <v>44170</v>
      </c>
      <c r="B2818" s="29">
        <f>VLOOKUP(A2818,'Database Claims'!$A:$C,3,)</f>
        <v/>
      </c>
      <c r="C2818" s="29">
        <f>B2818-B2817</f>
        <v/>
      </c>
      <c r="D2818" s="29">
        <f>VLOOKUP(A2818,'Database Claims'!$A:$C,2,)</f>
        <v/>
      </c>
      <c r="E2818" s="29">
        <f>D2818-D2817</f>
        <v/>
      </c>
    </row>
    <row r="2819" customFormat="1" s="69">
      <c r="A2819" s="28" t="n">
        <v>44177</v>
      </c>
      <c r="B2819" s="25">
        <f>VLOOKUP(A2819,'Database Claims'!$A:$C,3,)</f>
        <v/>
      </c>
      <c r="C2819" s="29">
        <f>B2819-B2818</f>
        <v/>
      </c>
      <c r="D2819" s="25">
        <f>VLOOKUP(A2819,'Database Claims'!$A:$C,2,)</f>
        <v/>
      </c>
      <c r="E2819" s="29">
        <f>D2819-D2818</f>
        <v/>
      </c>
    </row>
    <row r="2820" customFormat="1" s="69">
      <c r="A2820" s="28" t="n">
        <v>44184</v>
      </c>
      <c r="B2820" s="29">
        <f>VLOOKUP(A2820,'Database Claims'!$A:$C,3,)</f>
        <v/>
      </c>
      <c r="C2820" s="29">
        <f>B2820-B2819</f>
        <v/>
      </c>
      <c r="D2820" s="29">
        <f>VLOOKUP(A2820,'Database Claims'!$A:$C,2,)</f>
        <v/>
      </c>
      <c r="E2820" s="29">
        <f>D2820-D2819</f>
        <v/>
      </c>
    </row>
    <row r="2821" customFormat="1" s="69">
      <c r="A2821" s="28" t="n">
        <v>44191</v>
      </c>
      <c r="B2821" s="25">
        <f>VLOOKUP(A2821,'Database Claims'!$A:$C,3,)</f>
        <v/>
      </c>
      <c r="C2821" s="29">
        <f>B2821-B2820</f>
        <v/>
      </c>
      <c r="D2821" s="25">
        <f>VLOOKUP(A2821,'Database Claims'!$A:$C,2,)</f>
        <v/>
      </c>
      <c r="E2821" s="29">
        <f>D2821-D2820</f>
        <v/>
      </c>
    </row>
    <row r="2822" customFormat="1" s="69">
      <c r="A2822" s="28" t="n">
        <v>44198</v>
      </c>
      <c r="B2822" s="29">
        <f>VLOOKUP(A2822,'Database Claims'!$A:$C,3,)</f>
        <v/>
      </c>
      <c r="C2822" s="29">
        <f>B2822-B2821</f>
        <v/>
      </c>
      <c r="D2822" s="29">
        <f>VLOOKUP(A2822,'Database Claims'!$A:$C,2,)</f>
        <v/>
      </c>
      <c r="E2822" s="29">
        <f>D2822-D2821</f>
        <v/>
      </c>
    </row>
    <row r="2823" customFormat="1" s="69">
      <c r="A2823" s="28" t="n">
        <v>44205</v>
      </c>
      <c r="B2823" s="25">
        <f>VLOOKUP(A2823,'Database Claims'!$A:$C,3,)</f>
        <v/>
      </c>
      <c r="C2823" s="29">
        <f>B2823-B2822</f>
        <v/>
      </c>
      <c r="D2823" s="25">
        <f>VLOOKUP(A2823,'Database Claims'!$A:$C,2,)</f>
        <v/>
      </c>
      <c r="E2823" s="29">
        <f>D2823-D2822</f>
        <v/>
      </c>
    </row>
    <row r="2824" customFormat="1" s="69">
      <c r="A2824" s="28" t="n">
        <v>44212</v>
      </c>
      <c r="B2824" s="29">
        <f>VLOOKUP(A2824,'Database Claims'!$A:$C,3,)</f>
        <v/>
      </c>
      <c r="C2824" s="29">
        <f>B2824-B2823</f>
        <v/>
      </c>
      <c r="D2824" s="29">
        <f>VLOOKUP(A2824,'Database Claims'!$A:$C,2,)</f>
        <v/>
      </c>
      <c r="E2824" s="29">
        <f>D2824-D2823</f>
        <v/>
      </c>
    </row>
    <row r="2825" customFormat="1" s="69">
      <c r="A2825" s="28" t="n">
        <v>44219</v>
      </c>
      <c r="B2825" s="25">
        <f>VLOOKUP(A2825,'Database Claims'!$A:$C,3,)</f>
        <v/>
      </c>
      <c r="C2825" s="29">
        <f>B2825-B2824</f>
        <v/>
      </c>
      <c r="D2825" s="25">
        <f>VLOOKUP(A2825,'Database Claims'!$A:$C,2,)</f>
        <v/>
      </c>
      <c r="E2825" s="29">
        <f>D2825-D2824</f>
        <v/>
      </c>
    </row>
    <row r="2826" customFormat="1" s="69">
      <c r="A2826" s="28" t="n">
        <v>44226</v>
      </c>
      <c r="B2826" s="29">
        <f>VLOOKUP(A2826,'Database Claims'!$A:$C,3,)</f>
        <v/>
      </c>
      <c r="C2826" s="29">
        <f>B2826-B2825</f>
        <v/>
      </c>
      <c r="D2826" s="29">
        <f>VLOOKUP(A2826,'Database Claims'!$A:$C,2,)</f>
        <v/>
      </c>
      <c r="E2826" s="29">
        <f>D2826-D2825</f>
        <v/>
      </c>
    </row>
    <row r="2827" customFormat="1" s="69">
      <c r="A2827" s="28" t="n">
        <v>44233</v>
      </c>
      <c r="B2827" s="25">
        <f>VLOOKUP(A2827,'Database Claims'!$A:$C,3,)</f>
        <v/>
      </c>
      <c r="C2827" s="29">
        <f>B2827-B2826</f>
        <v/>
      </c>
      <c r="D2827" s="25">
        <f>VLOOKUP(A2827,'Database Claims'!$A:$C,2,)</f>
        <v/>
      </c>
      <c r="E2827" s="29">
        <f>D2827-D2826</f>
        <v/>
      </c>
    </row>
    <row r="2828" customFormat="1" s="69">
      <c r="A2828" s="28" t="n">
        <v>44240</v>
      </c>
      <c r="B2828" s="29">
        <f>VLOOKUP(A2828,'Database Claims'!$A:$C,3,)</f>
        <v/>
      </c>
      <c r="C2828" s="29">
        <f>B2828-B2827</f>
        <v/>
      </c>
      <c r="D2828" s="29">
        <f>VLOOKUP(A2828,'Database Claims'!$A:$C,2,)</f>
        <v/>
      </c>
      <c r="E2828" s="29">
        <f>D2828-D2827</f>
        <v/>
      </c>
    </row>
    <row r="2829" customFormat="1" s="69">
      <c r="A2829" s="28" t="n">
        <v>44247</v>
      </c>
      <c r="B2829" s="25">
        <f>VLOOKUP(A2829,'Database Claims'!$A:$C,3,)</f>
        <v/>
      </c>
      <c r="C2829" s="29">
        <f>B2829-B2828</f>
        <v/>
      </c>
      <c r="D2829" s="25">
        <f>VLOOKUP(A2829,'Database Claims'!$A:$C,2,)</f>
        <v/>
      </c>
      <c r="E2829" s="29">
        <f>D2829-D2828</f>
        <v/>
      </c>
    </row>
    <row r="2830" customFormat="1" s="69">
      <c r="A2830" s="28" t="n">
        <v>44254</v>
      </c>
      <c r="B2830" s="29">
        <f>VLOOKUP(A2830,'Database Claims'!$A:$C,3,)</f>
        <v/>
      </c>
      <c r="C2830" s="29">
        <f>B2830-B2829</f>
        <v/>
      </c>
      <c r="D2830" s="29">
        <f>VLOOKUP(A2830,'Database Claims'!$A:$C,2,)</f>
        <v/>
      </c>
      <c r="E2830" s="29">
        <f>D2830-D2829</f>
        <v/>
      </c>
    </row>
    <row r="2831" customFormat="1" s="69">
      <c r="A2831" s="28" t="n">
        <v>44261</v>
      </c>
      <c r="B2831" s="25">
        <f>VLOOKUP(A2831,'Database Claims'!$A:$C,3,)</f>
        <v/>
      </c>
      <c r="C2831" s="29">
        <f>B2831-B2830</f>
        <v/>
      </c>
      <c r="D2831" s="25">
        <f>VLOOKUP(A2831,'Database Claims'!$A:$C,2,)</f>
        <v/>
      </c>
      <c r="E2831" s="29">
        <f>D2831-D2830</f>
        <v/>
      </c>
    </row>
    <row r="2832" customFormat="1" s="69">
      <c r="A2832" s="28" t="n">
        <v>44268</v>
      </c>
      <c r="B2832" s="29">
        <f>VLOOKUP(A2832,'Database Claims'!$A:$C,3,)</f>
        <v/>
      </c>
      <c r="C2832" s="29">
        <f>B2832-B2831</f>
        <v/>
      </c>
      <c r="D2832" s="29">
        <f>VLOOKUP(A2832,'Database Claims'!$A:$C,2,)</f>
        <v/>
      </c>
      <c r="E2832" s="29">
        <f>D2832-D2831</f>
        <v/>
      </c>
    </row>
    <row r="2833" customFormat="1" s="69">
      <c r="A2833" s="28" t="n">
        <v>44275</v>
      </c>
      <c r="B2833" s="25">
        <f>VLOOKUP(A2833,'Database Claims'!$A:$C,3,)</f>
        <v/>
      </c>
      <c r="C2833" s="29">
        <f>B2833-B2832</f>
        <v/>
      </c>
      <c r="D2833" s="25">
        <f>VLOOKUP(A2833,'Database Claims'!$A:$C,2,)</f>
        <v/>
      </c>
      <c r="E2833" s="29">
        <f>D2833-D2832</f>
        <v/>
      </c>
    </row>
    <row r="2834" customFormat="1" s="69">
      <c r="A2834" s="28" t="n">
        <v>44282</v>
      </c>
      <c r="B2834" s="29">
        <f>VLOOKUP(A2834,'Database Claims'!$A:$C,3,)</f>
        <v/>
      </c>
      <c r="C2834" s="29">
        <f>B2834-B2833</f>
        <v/>
      </c>
      <c r="D2834" s="29">
        <f>VLOOKUP(A2834,'Database Claims'!$A:$C,2,)</f>
        <v/>
      </c>
      <c r="E2834" s="29">
        <f>D2834-D2833</f>
        <v/>
      </c>
    </row>
    <row r="2835" customFormat="1" s="69">
      <c r="A2835" s="28" t="n">
        <v>44289</v>
      </c>
      <c r="B2835" s="25">
        <f>VLOOKUP(A2835,'Database Claims'!$A:$C,3,)</f>
        <v/>
      </c>
      <c r="C2835" s="29">
        <f>B2835-B2834</f>
        <v/>
      </c>
      <c r="D2835" s="25">
        <f>VLOOKUP(A2835,'Database Claims'!$A:$C,2,)</f>
        <v/>
      </c>
      <c r="E2835" s="29">
        <f>D2835-D2834</f>
        <v/>
      </c>
    </row>
    <row r="2836" customFormat="1" s="69">
      <c r="A2836" s="28" t="n">
        <v>44296</v>
      </c>
      <c r="B2836" s="29">
        <f>VLOOKUP(A2836,'Database Claims'!$A:$C,3,)</f>
        <v/>
      </c>
      <c r="C2836" s="29">
        <f>B2836-B2835</f>
        <v/>
      </c>
      <c r="D2836" s="29">
        <f>VLOOKUP(A2836,'Database Claims'!$A:$C,2,)</f>
        <v/>
      </c>
      <c r="E2836" s="29">
        <f>D2836-D2835</f>
        <v/>
      </c>
    </row>
    <row r="2837" customFormat="1" s="69">
      <c r="A2837" s="28" t="n">
        <v>44303</v>
      </c>
      <c r="B2837" s="25">
        <f>VLOOKUP(A2837,'Database Claims'!$A:$C,3,)</f>
        <v/>
      </c>
      <c r="C2837" s="29">
        <f>B2837-B2836</f>
        <v/>
      </c>
      <c r="D2837" s="25">
        <f>VLOOKUP(A2837,'Database Claims'!$A:$C,2,)</f>
        <v/>
      </c>
      <c r="E2837" s="29">
        <f>D2837-D2836</f>
        <v/>
      </c>
    </row>
    <row r="2838" customFormat="1" s="69">
      <c r="A2838" s="28" t="n">
        <v>44310</v>
      </c>
      <c r="B2838" s="29">
        <f>VLOOKUP(A2838,'Database Claims'!$A:$C,3,)</f>
        <v/>
      </c>
      <c r="C2838" s="29">
        <f>B2838-B2837</f>
        <v/>
      </c>
      <c r="D2838" s="29">
        <f>VLOOKUP(A2838,'Database Claims'!$A:$C,2,)</f>
        <v/>
      </c>
      <c r="E2838" s="29">
        <f>D2838-D2837</f>
        <v/>
      </c>
    </row>
    <row r="2839" customFormat="1" s="69">
      <c r="A2839" s="28" t="n">
        <v>44317</v>
      </c>
      <c r="B2839" s="25">
        <f>VLOOKUP(A2839,'Database Claims'!$A:$C,3,)</f>
        <v/>
      </c>
      <c r="C2839" s="29">
        <f>B2839-B2838</f>
        <v/>
      </c>
      <c r="D2839" s="25">
        <f>VLOOKUP(A2839,'Database Claims'!$A:$C,2,)</f>
        <v/>
      </c>
      <c r="E2839" s="29">
        <f>D2839-D2838</f>
        <v/>
      </c>
    </row>
    <row r="2840" customFormat="1" s="69">
      <c r="A2840" s="28" t="n">
        <v>44324</v>
      </c>
      <c r="B2840" s="29">
        <f>VLOOKUP(A2840,'Database Claims'!$A:$C,3,)</f>
        <v/>
      </c>
      <c r="C2840" s="29">
        <f>B2840-B2839</f>
        <v/>
      </c>
      <c r="D2840" s="29">
        <f>VLOOKUP(A2840,'Database Claims'!$A:$C,2,)</f>
        <v/>
      </c>
      <c r="E2840" s="29">
        <f>D2840-D2839</f>
        <v/>
      </c>
    </row>
    <row r="2841" customFormat="1" s="69">
      <c r="A2841" s="28" t="n">
        <v>44331</v>
      </c>
      <c r="B2841" s="25">
        <f>VLOOKUP(A2841,'Database Claims'!$A:$C,3,)</f>
        <v/>
      </c>
      <c r="C2841" s="29">
        <f>B2841-B2840</f>
        <v/>
      </c>
      <c r="D2841" s="25">
        <f>VLOOKUP(A2841,'Database Claims'!$A:$C,2,)</f>
        <v/>
      </c>
      <c r="E2841" s="29">
        <f>D2841-D2840</f>
        <v/>
      </c>
    </row>
    <row r="2842" customFormat="1" s="69">
      <c r="A2842" s="28" t="n">
        <v>44338</v>
      </c>
      <c r="B2842" s="29">
        <f>VLOOKUP(A2842,'Database Claims'!$A:$C,3,)</f>
        <v/>
      </c>
      <c r="C2842" s="29">
        <f>B2842-B2841</f>
        <v/>
      </c>
      <c r="D2842" s="29">
        <f>VLOOKUP(A2842,'Database Claims'!$A:$C,2,)</f>
        <v/>
      </c>
      <c r="E2842" s="29">
        <f>D2842-D2841</f>
        <v/>
      </c>
    </row>
    <row r="2843" customFormat="1" s="69">
      <c r="A2843" s="28" t="n">
        <v>44345</v>
      </c>
      <c r="B2843" s="25">
        <f>VLOOKUP(A2843,'Database Claims'!$A:$C,3,)</f>
        <v/>
      </c>
      <c r="C2843" s="29">
        <f>B2843-B2842</f>
        <v/>
      </c>
      <c r="D2843" s="25">
        <f>VLOOKUP(A2843,'Database Claims'!$A:$C,2,)</f>
        <v/>
      </c>
      <c r="E2843" s="29">
        <f>D2843-D2842</f>
        <v/>
      </c>
    </row>
    <row r="2844" customFormat="1" s="69">
      <c r="A2844" s="28" t="n">
        <v>44352</v>
      </c>
      <c r="B2844" s="29">
        <f>VLOOKUP(A2844,'Database Claims'!$A:$C,3,)</f>
        <v/>
      </c>
      <c r="C2844" s="29">
        <f>B2844-B2843</f>
        <v/>
      </c>
      <c r="D2844" s="29">
        <f>VLOOKUP(A2844,'Database Claims'!$A:$C,2,)</f>
        <v/>
      </c>
      <c r="E2844" s="29">
        <f>D2844-D2843</f>
        <v/>
      </c>
    </row>
    <row r="2845" customFormat="1" s="69">
      <c r="A2845" s="28" t="n">
        <v>44359</v>
      </c>
      <c r="B2845" s="25">
        <f>VLOOKUP(A2845,'Database Claims'!$A:$C,3,)</f>
        <v/>
      </c>
      <c r="C2845" s="29">
        <f>B2845-B2844</f>
        <v/>
      </c>
      <c r="D2845" s="25">
        <f>VLOOKUP(A2845,'Database Claims'!$A:$C,2,)</f>
        <v/>
      </c>
      <c r="E2845" s="29">
        <f>D2845-D2844</f>
        <v/>
      </c>
    </row>
    <row r="2846" customFormat="1" s="69">
      <c r="A2846" s="28" t="n">
        <v>44366</v>
      </c>
      <c r="B2846" s="29">
        <f>VLOOKUP(A2846,'Database Claims'!$A:$C,3,)</f>
        <v/>
      </c>
      <c r="C2846" s="29">
        <f>B2846-B2845</f>
        <v/>
      </c>
      <c r="D2846" s="29">
        <f>VLOOKUP(A2846,'Database Claims'!$A:$C,2,)</f>
        <v/>
      </c>
      <c r="E2846" s="29">
        <f>D2846-D2845</f>
        <v/>
      </c>
    </row>
    <row r="2847" customFormat="1" s="69">
      <c r="A2847" s="28" t="n">
        <v>44373</v>
      </c>
      <c r="B2847" s="25">
        <f>VLOOKUP(A2847,'Database Claims'!$A:$C,3,)</f>
        <v/>
      </c>
      <c r="C2847" s="29">
        <f>B2847-B2846</f>
        <v/>
      </c>
      <c r="D2847" s="25">
        <f>VLOOKUP(A2847,'Database Claims'!$A:$C,2,)</f>
        <v/>
      </c>
      <c r="E2847" s="29">
        <f>D2847-D2846</f>
        <v/>
      </c>
    </row>
    <row r="2848" customFormat="1" s="69">
      <c r="A2848" s="28" t="n">
        <v>44380</v>
      </c>
      <c r="B2848" s="29">
        <f>VLOOKUP(A2848,'Database Claims'!$A:$C,3,)</f>
        <v/>
      </c>
      <c r="C2848" s="29">
        <f>B2848-B2847</f>
        <v/>
      </c>
      <c r="D2848" s="29">
        <f>VLOOKUP(A2848,'Database Claims'!$A:$C,2,)</f>
        <v/>
      </c>
      <c r="E2848" s="29">
        <f>D2848-D2847</f>
        <v/>
      </c>
    </row>
    <row r="2849" customFormat="1" s="69">
      <c r="A2849" s="28" t="n">
        <v>44387</v>
      </c>
      <c r="B2849" s="25">
        <f>VLOOKUP(A2849,'Database Claims'!$A:$C,3,)</f>
        <v/>
      </c>
      <c r="C2849" s="29">
        <f>B2849-B2848</f>
        <v/>
      </c>
      <c r="D2849" s="25">
        <f>VLOOKUP(A2849,'Database Claims'!$A:$C,2,)</f>
        <v/>
      </c>
      <c r="E2849" s="29">
        <f>D2849-D2848</f>
        <v/>
      </c>
    </row>
    <row r="2850" customFormat="1" s="69">
      <c r="A2850" s="28" t="n">
        <v>44394</v>
      </c>
      <c r="B2850" s="29">
        <f>VLOOKUP(A2850,'Database Claims'!$A:$C,3,)</f>
        <v/>
      </c>
      <c r="C2850" s="29">
        <f>B2850-B2849</f>
        <v/>
      </c>
      <c r="D2850" s="29">
        <f>VLOOKUP(A2850,'Database Claims'!$A:$C,2,)</f>
        <v/>
      </c>
      <c r="E2850" s="29">
        <f>D2850-D2849</f>
        <v/>
      </c>
    </row>
    <row r="2851" customFormat="1" s="69">
      <c r="A2851" s="28" t="n">
        <v>44401</v>
      </c>
      <c r="B2851" s="25">
        <f>VLOOKUP(A2851,'Database Claims'!$A:$C,3,)</f>
        <v/>
      </c>
      <c r="C2851" s="29">
        <f>B2851-B2850</f>
        <v/>
      </c>
      <c r="D2851" s="25">
        <f>VLOOKUP(A2851,'Database Claims'!$A:$C,2,)</f>
        <v/>
      </c>
      <c r="E2851" s="29">
        <f>D2851-D2850</f>
        <v/>
      </c>
    </row>
    <row r="2852" customFormat="1" s="69">
      <c r="A2852" s="28" t="n">
        <v>44408</v>
      </c>
      <c r="B2852" s="29">
        <f>VLOOKUP(A2852,'Database Claims'!$A:$C,3,)</f>
        <v/>
      </c>
      <c r="C2852" s="29">
        <f>B2852-B2851</f>
        <v/>
      </c>
      <c r="D2852" s="29">
        <f>VLOOKUP(A2852,'Database Claims'!$A:$C,2,)</f>
        <v/>
      </c>
      <c r="E2852" s="29">
        <f>D2852-D2851</f>
        <v/>
      </c>
    </row>
    <row r="2853" customFormat="1" s="69">
      <c r="A2853" s="28" t="n">
        <v>44415</v>
      </c>
      <c r="B2853" s="25">
        <f>VLOOKUP(A2853,'Database Claims'!$A:$C,3,)</f>
        <v/>
      </c>
      <c r="C2853" s="29">
        <f>B2853-B2852</f>
        <v/>
      </c>
      <c r="D2853" s="25">
        <f>VLOOKUP(A2853,'Database Claims'!$A:$C,2,)</f>
        <v/>
      </c>
      <c r="E2853" s="29">
        <f>D2853-D2852</f>
        <v/>
      </c>
    </row>
    <row r="2854" customFormat="1" s="69">
      <c r="A2854" s="28" t="n">
        <v>44422</v>
      </c>
      <c r="B2854" s="29">
        <f>VLOOKUP(A2854,'Database Claims'!$A:$C,3,)</f>
        <v/>
      </c>
      <c r="C2854" s="29">
        <f>B2854-B2853</f>
        <v/>
      </c>
      <c r="D2854" s="29">
        <f>VLOOKUP(A2854,'Database Claims'!$A:$C,2,)</f>
        <v/>
      </c>
      <c r="E2854" s="29">
        <f>D2854-D2853</f>
        <v/>
      </c>
    </row>
    <row r="2855" customFormat="1" s="69">
      <c r="A2855" s="28" t="n">
        <v>44429</v>
      </c>
      <c r="B2855" s="25">
        <f>VLOOKUP(A2855,'Database Claims'!$A:$C,3,)</f>
        <v/>
      </c>
      <c r="C2855" s="29">
        <f>B2855-B2854</f>
        <v/>
      </c>
      <c r="D2855" s="25">
        <f>VLOOKUP(A2855,'Database Claims'!$A:$C,2,)</f>
        <v/>
      </c>
      <c r="E2855" s="29">
        <f>D2855-D2854</f>
        <v/>
      </c>
    </row>
    <row r="2856" customFormat="1" s="69">
      <c r="A2856" s="28" t="n">
        <v>44436</v>
      </c>
      <c r="B2856" s="29">
        <f>VLOOKUP(A2856,'Database Claims'!$A:$C,3,)</f>
        <v/>
      </c>
      <c r="C2856" s="29">
        <f>B2856-B2855</f>
        <v/>
      </c>
      <c r="D2856" s="29">
        <f>VLOOKUP(A2856,'Database Claims'!$A:$C,2,)</f>
        <v/>
      </c>
      <c r="E2856" s="29">
        <f>D2856-D2855</f>
        <v/>
      </c>
    </row>
    <row r="2857" customFormat="1" s="69">
      <c r="A2857" s="28" t="n">
        <v>44443</v>
      </c>
      <c r="B2857" s="25">
        <f>VLOOKUP(A2857,'Database Claims'!$A:$C,3,)</f>
        <v/>
      </c>
      <c r="C2857" s="29">
        <f>B2857-B2856</f>
        <v/>
      </c>
      <c r="D2857" s="25">
        <f>VLOOKUP(A2857,'Database Claims'!$A:$C,2,)</f>
        <v/>
      </c>
      <c r="E2857" s="29">
        <f>D2857-D2856</f>
        <v/>
      </c>
    </row>
    <row r="2858" customFormat="1" s="69">
      <c r="A2858" s="28" t="n">
        <v>44450</v>
      </c>
      <c r="B2858" s="29">
        <f>VLOOKUP(A2858,'Database Claims'!$A:$C,3,)</f>
        <v/>
      </c>
      <c r="C2858" s="29">
        <f>B2858-B2857</f>
        <v/>
      </c>
      <c r="D2858" s="29">
        <f>VLOOKUP(A2858,'Database Claims'!$A:$C,2,)</f>
        <v/>
      </c>
      <c r="E2858" s="29">
        <f>D2858-D2857</f>
        <v/>
      </c>
    </row>
    <row r="2859" customFormat="1" s="69">
      <c r="A2859" s="28" t="n">
        <v>44457</v>
      </c>
      <c r="B2859" s="29">
        <f>VLOOKUP(A2859,'Database Claims'!$A:$C,3,)</f>
        <v/>
      </c>
      <c r="C2859" s="29">
        <f>B2859-B2858</f>
        <v/>
      </c>
      <c r="D2859" s="29">
        <f>VLOOKUP(A2859,'Database Claims'!$A:$C,2,)</f>
        <v/>
      </c>
      <c r="E2859" s="29">
        <f>D2859-D2858</f>
        <v/>
      </c>
    </row>
    <row r="2860" customFormat="1" s="69">
      <c r="A2860" s="28" t="n">
        <v>44464</v>
      </c>
      <c r="B2860" s="29">
        <f>VLOOKUP(A2860,'Database Claims'!$A:$C,3,)</f>
        <v/>
      </c>
      <c r="C2860" s="29">
        <f>B2860-B2859</f>
        <v/>
      </c>
      <c r="D2860" s="29">
        <f>VLOOKUP(A2860,'Database Claims'!$A:$C,2,)</f>
        <v/>
      </c>
      <c r="E2860" s="29">
        <f>D2860-D2859</f>
        <v/>
      </c>
    </row>
    <row r="2861" customFormat="1" s="69">
      <c r="A2861" s="28" t="n">
        <v>44471</v>
      </c>
      <c r="B2861" s="25">
        <f>VLOOKUP(A2861,'Database Claims'!$A:$C,3,)</f>
        <v/>
      </c>
      <c r="C2861" s="29">
        <f>B2861-B2860</f>
        <v/>
      </c>
      <c r="D2861" s="25">
        <f>VLOOKUP(A2861,'Database Claims'!$A:$C,2,)</f>
        <v/>
      </c>
      <c r="E2861" s="29">
        <f>D2861-D2860</f>
        <v/>
      </c>
    </row>
    <row r="2862" customFormat="1" s="69">
      <c r="A2862" s="28" t="n">
        <v>44478</v>
      </c>
      <c r="B2862" s="29">
        <f>VLOOKUP(A2862,'Database Claims'!$A:$C,3,)</f>
        <v/>
      </c>
      <c r="C2862" s="29">
        <f>B2862-B2861</f>
        <v/>
      </c>
      <c r="D2862" s="29">
        <f>VLOOKUP(A2862,'Database Claims'!$A:$C,2,)</f>
        <v/>
      </c>
      <c r="E2862" s="29">
        <f>D2862-D2861</f>
        <v/>
      </c>
    </row>
    <row r="2863" customFormat="1" s="69">
      <c r="A2863" s="28" t="n">
        <v>44485</v>
      </c>
      <c r="B2863" s="25">
        <f>VLOOKUP(A2863,'Database Claims'!$A:$C,3,)</f>
        <v/>
      </c>
      <c r="C2863" s="29">
        <f>B2863-B2862</f>
        <v/>
      </c>
      <c r="D2863" s="25">
        <f>VLOOKUP(A2863,'Database Claims'!$A:$C,2,)</f>
        <v/>
      </c>
      <c r="E2863" s="29">
        <f>D2863-D2862</f>
        <v/>
      </c>
    </row>
    <row r="2864" customFormat="1" s="69">
      <c r="A2864" s="28" t="n">
        <v>44492</v>
      </c>
      <c r="B2864" s="29">
        <f>VLOOKUP(A2864,'Database Claims'!$A:$C,3,)</f>
        <v/>
      </c>
      <c r="C2864" s="29">
        <f>B2864-B2863</f>
        <v/>
      </c>
      <c r="D2864" s="29">
        <f>VLOOKUP(A2864,'Database Claims'!$A:$C,2,)</f>
        <v/>
      </c>
      <c r="E2864" s="29">
        <f>D2864-D2863</f>
        <v/>
      </c>
    </row>
    <row r="2865" customFormat="1" s="69">
      <c r="A2865" s="28" t="n">
        <v>44499</v>
      </c>
      <c r="B2865" s="25">
        <f>VLOOKUP(A2865,'Database Claims'!$A:$C,3,)</f>
        <v/>
      </c>
      <c r="C2865" s="29">
        <f>B2865-B2864</f>
        <v/>
      </c>
      <c r="D2865" s="25">
        <f>VLOOKUP(A2865,'Database Claims'!$A:$C,2,)</f>
        <v/>
      </c>
      <c r="E2865" s="29">
        <f>D2865-D2864</f>
        <v/>
      </c>
    </row>
    <row r="2866" customFormat="1" s="69">
      <c r="A2866" s="28" t="n">
        <v>44506</v>
      </c>
      <c r="B2866" s="29">
        <f>VLOOKUP(A2866,'Database Claims'!$A:$C,3,)</f>
        <v/>
      </c>
      <c r="C2866" s="29">
        <f>B2866-B2865</f>
        <v/>
      </c>
      <c r="D2866" s="29">
        <f>VLOOKUP(A2866,'Database Claims'!$A:$C,2,)</f>
        <v/>
      </c>
      <c r="E2866" s="29">
        <f>D2866-D2865</f>
        <v/>
      </c>
    </row>
    <row r="2867" customFormat="1" s="69">
      <c r="A2867" s="28" t="n">
        <v>44513</v>
      </c>
      <c r="B2867" s="25">
        <f>VLOOKUP(A2867,'Database Claims'!$A:$C,3,)</f>
        <v/>
      </c>
      <c r="C2867" s="29">
        <f>B2867-B2866</f>
        <v/>
      </c>
      <c r="D2867" s="25">
        <f>VLOOKUP(A2867,'Database Claims'!$A:$C,2,)</f>
        <v/>
      </c>
      <c r="E2867" s="29">
        <f>D2867-D2866</f>
        <v/>
      </c>
    </row>
    <row r="2868" customFormat="1" s="69">
      <c r="A2868" s="28" t="n">
        <v>44520</v>
      </c>
      <c r="B2868" s="29">
        <f>VLOOKUP(A2868,'Database Claims'!$A:$C,3,)</f>
        <v/>
      </c>
      <c r="C2868" s="29">
        <f>B2868-B2867</f>
        <v/>
      </c>
      <c r="D2868" s="29">
        <f>VLOOKUP(A2868,'Database Claims'!$A:$C,2,)</f>
        <v/>
      </c>
      <c r="E2868" s="29">
        <f>D2868-D2867</f>
        <v/>
      </c>
    </row>
    <row r="2869" customFormat="1" s="69">
      <c r="A2869" s="28" t="n">
        <v>44527</v>
      </c>
      <c r="B2869" s="29">
        <f>VLOOKUP(A2869,'Database Claims'!$A:$C,3,)</f>
        <v/>
      </c>
      <c r="C2869" s="29">
        <f>B2869-B2868</f>
        <v/>
      </c>
      <c r="D2869" s="29">
        <f>VLOOKUP(A2869,'Database Claims'!$A:$C,2,)</f>
        <v/>
      </c>
      <c r="E2869" s="29">
        <f>D2869-D2868</f>
        <v/>
      </c>
    </row>
    <row r="2870" customFormat="1" s="69">
      <c r="A2870" s="28" t="n">
        <v>44534</v>
      </c>
      <c r="B2870" s="25">
        <f>VLOOKUP(A2870,'Database Claims'!$A:$C,3,)</f>
        <v/>
      </c>
      <c r="C2870" s="29">
        <f>B2870-B2869</f>
        <v/>
      </c>
      <c r="D2870" s="25">
        <f>VLOOKUP(A2870,'Database Claims'!$A:$C,2,)</f>
        <v/>
      </c>
      <c r="E2870" s="29">
        <f>D2870-D2869</f>
        <v/>
      </c>
    </row>
    <row r="2871" customFormat="1" s="69">
      <c r="A2871" s="28" t="n">
        <v>44541</v>
      </c>
      <c r="B2871" s="29">
        <f>VLOOKUP(A2871,'Database Claims'!$A:$C,3,)</f>
        <v/>
      </c>
      <c r="C2871" s="29">
        <f>B2871-B2870</f>
        <v/>
      </c>
      <c r="D2871" s="29">
        <f>VLOOKUP(A2871,'Database Claims'!$A:$C,2,)</f>
        <v/>
      </c>
      <c r="E2871" s="29">
        <f>D2871-D2870</f>
        <v/>
      </c>
    </row>
    <row r="2872" customFormat="1" s="69">
      <c r="A2872" s="28" t="n">
        <v>44548</v>
      </c>
      <c r="B2872" s="29">
        <f>VLOOKUP(A2872,'Database Claims'!$A:$C,3,)</f>
        <v/>
      </c>
      <c r="C2872" s="29">
        <f>B2872-B2871</f>
        <v/>
      </c>
      <c r="D2872" s="29">
        <f>VLOOKUP(A2872,'Database Claims'!$A:$C,2,)</f>
        <v/>
      </c>
      <c r="E2872" s="29">
        <f>D2872-D2871</f>
        <v/>
      </c>
    </row>
    <row r="2873" customFormat="1" s="69">
      <c r="A2873" s="28" t="n">
        <v>44555</v>
      </c>
      <c r="B2873" s="29">
        <f>VLOOKUP(A2873,'Database Claims'!$A:$C,3,)</f>
        <v/>
      </c>
      <c r="C2873" s="29">
        <f>B2873-B2872</f>
        <v/>
      </c>
      <c r="D2873" s="29">
        <f>VLOOKUP(A2873,'Database Claims'!$A:$C,2,)</f>
        <v/>
      </c>
      <c r="E2873" s="29">
        <f>D2873-D2872</f>
        <v/>
      </c>
    </row>
    <row r="2874" customFormat="1" s="69">
      <c r="A2874" s="28" t="n">
        <v>44562</v>
      </c>
      <c r="B2874" s="29">
        <f>VLOOKUP(A2874,'Database Claims'!$A:$C,3,)</f>
        <v/>
      </c>
      <c r="C2874" s="29">
        <f>B2874-B2873</f>
        <v/>
      </c>
      <c r="D2874" s="29">
        <f>VLOOKUP(A2874,'Database Claims'!$A:$C,2,)</f>
        <v/>
      </c>
      <c r="E2874" s="29">
        <f>D2874-D2873</f>
        <v/>
      </c>
    </row>
    <row r="2875" customFormat="1" s="69">
      <c r="A2875" s="28" t="n">
        <v>44569</v>
      </c>
      <c r="B2875" s="29">
        <f>VLOOKUP(A2875,'Database Claims'!$A:$C,3,)</f>
        <v/>
      </c>
      <c r="C2875" s="29">
        <f>B2875-B2874</f>
        <v/>
      </c>
      <c r="D2875" s="29">
        <f>VLOOKUP(A2875,'Database Claims'!$A:$C,2,)</f>
        <v/>
      </c>
      <c r="E2875" s="29">
        <f>D2875-D2874</f>
        <v/>
      </c>
    </row>
    <row r="2876" customFormat="1" s="69">
      <c r="A2876" s="28" t="n">
        <v>44576</v>
      </c>
      <c r="B2876" s="29">
        <f>VLOOKUP(A2876,'Database Claims'!$A:$C,3,)</f>
        <v/>
      </c>
      <c r="C2876" s="29">
        <f>B2876-B2875</f>
        <v/>
      </c>
      <c r="D2876" s="29">
        <f>VLOOKUP(A2876,'Database Claims'!$A:$C,2,)</f>
        <v/>
      </c>
      <c r="E2876" s="29">
        <f>D2876-D2875</f>
        <v/>
      </c>
    </row>
    <row r="2877" customFormat="1" s="69">
      <c r="A2877" s="28" t="n">
        <v>44583</v>
      </c>
      <c r="B2877" s="29">
        <f>VLOOKUP(A2877,'Database Claims'!$A:$C,3,)</f>
        <v/>
      </c>
      <c r="C2877" s="29">
        <f>B2877-B2876</f>
        <v/>
      </c>
      <c r="D2877" s="29">
        <f>VLOOKUP(A2877,'Database Claims'!$A:$C,2,)</f>
        <v/>
      </c>
      <c r="E2877" s="29">
        <f>D2877-D2876</f>
        <v/>
      </c>
    </row>
    <row r="2878" customFormat="1" s="69">
      <c r="A2878" s="28" t="n">
        <v>44590</v>
      </c>
      <c r="B2878" s="29">
        <f>VLOOKUP(A2878,'Database Claims'!$A:$C,3,)</f>
        <v/>
      </c>
      <c r="C2878" s="29">
        <f>B2878-B2877</f>
        <v/>
      </c>
      <c r="D2878" s="29">
        <f>VLOOKUP(A2878,'Database Claims'!$A:$C,2,)</f>
        <v/>
      </c>
      <c r="E2878" s="29">
        <f>D2878-D2877</f>
        <v/>
      </c>
    </row>
    <row r="2879" customFormat="1" s="69">
      <c r="A2879" s="28" t="n">
        <v>44597</v>
      </c>
      <c r="B2879" s="25">
        <f>VLOOKUP(A2879,'Database Claims'!$A:$C,3,)</f>
        <v/>
      </c>
      <c r="C2879" s="29">
        <f>B2879-B2878</f>
        <v/>
      </c>
      <c r="D2879" s="25">
        <f>VLOOKUP(A2879,'Database Claims'!$A:$C,2,)</f>
        <v/>
      </c>
      <c r="E2879" s="29">
        <f>D2879-D2878</f>
        <v/>
      </c>
    </row>
    <row r="2880" customFormat="1" s="69">
      <c r="A2880" s="28" t="n">
        <v>44604</v>
      </c>
      <c r="B2880" s="29">
        <f>VLOOKUP(A2880,'Database Claims'!$A:$C,3,)</f>
        <v/>
      </c>
      <c r="C2880" s="29">
        <f>B2880-B2879</f>
        <v/>
      </c>
      <c r="D2880" s="29">
        <f>VLOOKUP(A2880,'Database Claims'!$A:$C,2,)</f>
        <v/>
      </c>
      <c r="E2880" s="29">
        <f>D2880-D2879</f>
        <v/>
      </c>
    </row>
    <row r="2881" customFormat="1" s="69">
      <c r="A2881" s="28" t="n">
        <v>44611</v>
      </c>
      <c r="B2881" s="29">
        <f>VLOOKUP(A2881,'Database Claims'!$A:$C,3,)</f>
        <v/>
      </c>
      <c r="C2881" s="29">
        <f>B2881-B2880</f>
        <v/>
      </c>
      <c r="D2881" s="29">
        <f>VLOOKUP(A2881,'Database Claims'!$A:$C,2,)</f>
        <v/>
      </c>
      <c r="E2881" s="29">
        <f>D2881-D2880</f>
        <v/>
      </c>
    </row>
    <row r="2882" customFormat="1" s="69">
      <c r="A2882" s="28" t="n">
        <v>44618</v>
      </c>
      <c r="B2882" s="29">
        <f>VLOOKUP(A2882,'Database Claims'!$A:$C,3,)</f>
        <v/>
      </c>
      <c r="C2882" s="29">
        <f>B2882-B2881</f>
        <v/>
      </c>
      <c r="D2882" s="29">
        <f>VLOOKUP(A2882,'Database Claims'!$A:$C,2,)</f>
        <v/>
      </c>
      <c r="E2882" s="29">
        <f>D2882-D2881</f>
        <v/>
      </c>
    </row>
    <row r="2883" customFormat="1" s="69">
      <c r="A2883" s="28" t="n">
        <v>44625</v>
      </c>
      <c r="B2883" s="29">
        <f>VLOOKUP(A2883,'Database Claims'!$A:$C,3,)</f>
        <v/>
      </c>
      <c r="C2883" s="29">
        <f>B2883-B2882</f>
        <v/>
      </c>
      <c r="D2883" s="29">
        <f>VLOOKUP(A2883,'Database Claims'!$A:$C,2,)</f>
        <v/>
      </c>
      <c r="E2883" s="29">
        <f>D2883-D2882</f>
        <v/>
      </c>
    </row>
    <row r="2884" customFormat="1" s="69">
      <c r="A2884" s="28" t="n">
        <v>44632</v>
      </c>
      <c r="B2884" s="29">
        <f>VLOOKUP(A2884,'Database Claims'!$A:$C,3,)</f>
        <v/>
      </c>
      <c r="C2884" s="29">
        <f>B2884-B2883</f>
        <v/>
      </c>
      <c r="D2884" s="29">
        <f>VLOOKUP(A2884,'Database Claims'!$A:$C,2,)</f>
        <v/>
      </c>
      <c r="E2884" s="29">
        <f>D2884-D2883</f>
        <v/>
      </c>
    </row>
    <row r="2885" customFormat="1" s="69">
      <c r="A2885" s="28" t="n">
        <v>44639</v>
      </c>
      <c r="B2885" s="29">
        <f>VLOOKUP(A2885,'Database Claims'!$A:$C,3,)</f>
        <v/>
      </c>
      <c r="C2885" s="29">
        <f>B2885-B2884</f>
        <v/>
      </c>
      <c r="D2885" s="29">
        <f>VLOOKUP(A2885,'Database Claims'!$A:$C,2,)</f>
        <v/>
      </c>
      <c r="E2885" s="29">
        <f>D2885-D2884</f>
        <v/>
      </c>
    </row>
    <row r="2886" customFormat="1" s="69"/>
    <row r="2887" customFormat="1" s="69"/>
    <row r="2888" customFormat="1" s="69"/>
    <row r="2889" customFormat="1" s="69"/>
    <row r="2890" customFormat="1" s="69"/>
    <row r="2891" customFormat="1" s="69"/>
    <row r="2892" customFormat="1" s="69"/>
    <row r="2893" customFormat="1" s="69"/>
    <row r="2894" customFormat="1" s="69"/>
    <row r="2895" customFormat="1" s="69"/>
    <row r="2896" customFormat="1" s="69"/>
    <row r="2897" customFormat="1" s="69"/>
    <row r="2898" customFormat="1" s="69"/>
    <row r="2899" customFormat="1" s="69"/>
    <row r="2900" customFormat="1" s="69"/>
    <row r="2901" customFormat="1" s="69"/>
    <row r="2902" customFormat="1" s="69"/>
    <row r="2903" customFormat="1" s="69"/>
    <row r="2904" customFormat="1" s="69"/>
    <row r="2905" customFormat="1" s="69"/>
    <row r="2906" customFormat="1" s="69"/>
    <row r="2907" customFormat="1" s="69"/>
    <row r="2908" customFormat="1" s="69"/>
    <row r="2909" customFormat="1" s="69"/>
    <row r="2910" customFormat="1" s="69"/>
    <row r="2911" customFormat="1" s="69"/>
    <row r="2912" customFormat="1" s="69"/>
    <row r="2913" customFormat="1" s="69"/>
    <row r="2914" customFormat="1" s="69"/>
    <row r="2915" customFormat="1" s="69"/>
    <row r="2916" customFormat="1" s="69"/>
    <row r="2917" customFormat="1" s="69"/>
    <row r="2918" customFormat="1" s="69"/>
    <row r="2919" customFormat="1" s="69"/>
    <row r="2920" customFormat="1" s="69"/>
    <row r="2921" customFormat="1" s="69"/>
    <row r="2922" customFormat="1" s="69"/>
    <row r="2923" customFormat="1" s="69"/>
    <row r="2924" customFormat="1" s="69"/>
    <row r="2925" customFormat="1" s="69"/>
    <row r="2926" customFormat="1" s="69"/>
    <row r="2927" customFormat="1" s="69"/>
    <row r="2928" customFormat="1" s="69"/>
    <row r="2929" customFormat="1" s="69"/>
    <row r="2930" customFormat="1" s="69"/>
    <row r="2931" customFormat="1" s="69"/>
    <row r="2932" customFormat="1" s="69"/>
    <row r="2933" customFormat="1" s="69"/>
    <row r="2934" customFormat="1" s="69"/>
    <row r="2935" customFormat="1" s="69"/>
    <row r="2936" customFormat="1" s="69"/>
    <row r="2937" customFormat="1" s="69"/>
    <row r="2938" customFormat="1" s="69"/>
    <row r="2939" customFormat="1" s="69"/>
    <row r="2940" customFormat="1" s="69"/>
    <row r="2941" customFormat="1" s="69"/>
    <row r="2942" customFormat="1" s="69"/>
    <row r="2943" customFormat="1" s="69"/>
    <row r="2944" customFormat="1" s="69"/>
    <row r="2945" customFormat="1" s="69"/>
    <row r="2946" customFormat="1" s="69"/>
    <row r="2947" customFormat="1" s="69"/>
    <row r="2948" customFormat="1" s="69"/>
    <row r="2949" customFormat="1" s="69"/>
    <row r="2950" customFormat="1" s="69"/>
    <row r="2951" customFormat="1" s="69"/>
    <row r="2952" customFormat="1" s="69"/>
    <row r="2953" customFormat="1" s="69"/>
    <row r="2954" customFormat="1" s="69"/>
    <row r="2955" customFormat="1" s="69"/>
    <row r="2956" customFormat="1" s="69"/>
    <row r="2957" customFormat="1" s="69"/>
    <row r="2958" customFormat="1" s="69"/>
    <row r="2959" customFormat="1" s="69"/>
    <row r="2960" customFormat="1" s="69"/>
    <row r="2961" customFormat="1" s="69"/>
    <row r="2962" customFormat="1" s="69"/>
    <row r="2963" customFormat="1" s="69"/>
    <row r="2964" customFormat="1" s="69"/>
    <row r="2965" customFormat="1" s="69"/>
    <row r="2966" customFormat="1" s="69"/>
    <row r="2967" customFormat="1" s="69"/>
    <row r="2968" customFormat="1" s="69"/>
    <row r="2969" customFormat="1" s="69"/>
    <row r="2970" customFormat="1" s="69"/>
    <row r="2971" customFormat="1" s="69"/>
    <row r="2972" customFormat="1" s="69"/>
    <row r="2973" customFormat="1" s="69"/>
    <row r="2974" customFormat="1" s="69"/>
    <row r="2975" customFormat="1" s="69"/>
    <row r="2976" customFormat="1" s="69"/>
    <row r="2977" customFormat="1" s="69"/>
    <row r="2978" customFormat="1" s="69"/>
    <row r="2979" customFormat="1" s="69"/>
    <row r="2980" customFormat="1" s="69"/>
    <row r="2981" customFormat="1" s="69"/>
    <row r="2982" customFormat="1" s="69"/>
    <row r="2983" customFormat="1" s="69"/>
    <row r="2984" customFormat="1" s="69"/>
    <row r="2985" customFormat="1" s="69"/>
    <row r="2986" customFormat="1" s="69"/>
    <row r="2987" customFormat="1" s="69"/>
    <row r="2988" customFormat="1" s="69"/>
    <row r="2989" customFormat="1" s="69"/>
    <row r="2990" customFormat="1" s="69"/>
    <row r="2991" customFormat="1" s="69"/>
    <row r="2992" customFormat="1" s="69"/>
    <row r="2993" customFormat="1" s="69"/>
    <row r="2994" customFormat="1" s="69"/>
    <row r="2995" customFormat="1" s="69"/>
    <row r="2996" customFormat="1" s="69"/>
    <row r="2997" customFormat="1" s="69"/>
    <row r="2998" customFormat="1" s="69"/>
    <row r="2999" customFormat="1" s="69"/>
    <row r="3000" customFormat="1" s="69"/>
    <row r="3001" customFormat="1" s="69"/>
    <row r="3002" customFormat="1" s="69"/>
    <row r="3003" customFormat="1" s="69"/>
    <row r="3004" customFormat="1" s="69"/>
    <row r="3005" customFormat="1" s="69"/>
    <row r="3006" customFormat="1" s="69"/>
    <row r="3007" customFormat="1" s="69"/>
    <row r="3008" customFormat="1" s="69"/>
    <row r="3009" customFormat="1" s="69"/>
    <row r="3010" customFormat="1" s="69"/>
    <row r="3011" customFormat="1" s="69"/>
    <row r="3012" customFormat="1" s="69"/>
    <row r="3013" customFormat="1" s="69"/>
    <row r="3014" customFormat="1" s="69"/>
    <row r="3015" customFormat="1" s="69"/>
    <row r="3016" customFormat="1" s="69"/>
    <row r="3017" customFormat="1" s="69"/>
    <row r="3018" customFormat="1" s="69"/>
    <row r="3019" customFormat="1" s="69"/>
    <row r="3020" customFormat="1" s="69"/>
    <row r="3021" customFormat="1" s="69"/>
    <row r="3022" customFormat="1" s="69"/>
    <row r="3023" customFormat="1" s="69"/>
    <row r="3024" customFormat="1" s="69"/>
    <row r="3025" customFormat="1" s="69"/>
    <row r="3026" customFormat="1" s="69"/>
    <row r="3027" customFormat="1" s="69"/>
    <row r="3028" customFormat="1" s="69"/>
    <row r="3029" customFormat="1" s="69"/>
    <row r="3030" customFormat="1" s="69"/>
    <row r="3031" customFormat="1" s="69"/>
    <row r="3032" customFormat="1" s="69"/>
    <row r="3033" customFormat="1" s="69"/>
    <row r="3034" customFormat="1" s="69"/>
    <row r="3035" customFormat="1" s="69"/>
    <row r="3036" customFormat="1" s="69"/>
    <row r="3037" customFormat="1" s="69"/>
    <row r="3038" customFormat="1" s="69"/>
    <row r="3039" customFormat="1" s="69"/>
    <row r="3040" customFormat="1" s="69"/>
    <row r="3041" customFormat="1" s="69"/>
    <row r="3042" customFormat="1" s="69"/>
    <row r="3043" customFormat="1" s="69"/>
    <row r="3044" customFormat="1" s="69"/>
    <row r="3045" customFormat="1" s="69"/>
    <row r="3046" customFormat="1" s="69"/>
    <row r="3047" customFormat="1" s="69"/>
    <row r="3048" customFormat="1" s="69"/>
    <row r="3049" customFormat="1" s="69"/>
    <row r="3050" customFormat="1" s="69"/>
    <row r="3051" customFormat="1" s="69"/>
    <row r="3052" customFormat="1" s="69"/>
    <row r="3053" customFormat="1" s="69"/>
    <row r="3054" customFormat="1" s="69"/>
    <row r="3055" customFormat="1" s="69"/>
    <row r="3056" customFormat="1" s="69"/>
    <row r="3057" customFormat="1" s="69"/>
    <row r="3058" customFormat="1" s="69"/>
    <row r="3059" customFormat="1" s="69"/>
    <row r="3060" customFormat="1" s="69"/>
    <row r="3061" customFormat="1" s="69"/>
    <row r="3062" customFormat="1" s="69"/>
  </sheetData>
  <conditionalFormatting sqref="B1726:B288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50" zoomScale="110" zoomScaleNormal="110" workbookViewId="0">
      <selection activeCell="V83" sqref="V83"/>
    </sheetView>
  </sheetViews>
  <sheetFormatPr baseColWidth="10" defaultColWidth="9.1640625" defaultRowHeight="15"/>
  <cols>
    <col width="9.1640625" customWidth="1" style="69" min="1" max="19"/>
    <col width="9.1640625" customWidth="1" style="69" min="20"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28" activePane="bottomLeft" state="frozen"/>
      <selection activeCell="L243" sqref="L243"/>
      <selection pane="bottomLeft" activeCell="F256" sqref="F256"/>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9" min="4" max="162"/>
  </cols>
  <sheetData>
    <row r="1" customFormat="1" s="69">
      <c r="A1" s="32" t="inlineStr">
        <is>
          <t>http://www.adpemploymentreport.com/</t>
        </is>
      </c>
      <c r="B1" s="15" t="n"/>
      <c r="C1" s="15" t="n"/>
      <c r="I1" s="17" t="n"/>
    </row>
    <row r="2" customFormat="1" s="69">
      <c r="A2" s="1" t="inlineStr">
        <is>
          <t>https://tradingeconomics.com/united-states/adp-employment-change</t>
        </is>
      </c>
      <c r="B2" s="15" t="n"/>
      <c r="C2" s="15" t="n"/>
    </row>
    <row r="3" customFormat="1" s="69">
      <c r="A3" s="1" t="inlineStr">
        <is>
          <t>https://uk.investing.com/economic-calendar/adp-nonfarm-employment-change-1</t>
        </is>
      </c>
      <c r="B3" s="15" t="n"/>
      <c r="C3" s="15" t="n"/>
    </row>
    <row r="4" customFormat="1" s="69">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9">
      <c r="A222" s="56" t="n">
        <v>43617</v>
      </c>
      <c r="B222" s="57">
        <f>VLOOKUP(A222,'Database ADP'!A:B,2)</f>
        <v/>
      </c>
      <c r="C222" s="57">
        <f>VLOOKUP(A222,NFP!A:C,3)</f>
        <v/>
      </c>
    </row>
    <row r="223" customFormat="1" s="69">
      <c r="A223" s="56" t="n">
        <v>43647</v>
      </c>
      <c r="B223" s="57">
        <f>VLOOKUP(A223,'Database ADP'!A:B,2)</f>
        <v/>
      </c>
      <c r="C223" s="57">
        <f>VLOOKUP(A223,NFP!A:C,3)</f>
        <v/>
      </c>
    </row>
    <row r="224" customFormat="1" s="69">
      <c r="A224" s="56" t="n">
        <v>43678</v>
      </c>
      <c r="B224" s="57">
        <f>VLOOKUP(A224,'Database ADP'!A:B,2)</f>
        <v/>
      </c>
      <c r="C224" s="57">
        <f>VLOOKUP(A224,NFP!A:C,3)</f>
        <v/>
      </c>
    </row>
    <row r="225" customFormat="1" s="69">
      <c r="A225" s="56" t="n">
        <v>43709</v>
      </c>
      <c r="B225" s="57">
        <f>VLOOKUP(A225,'Database ADP'!A:B,2)</f>
        <v/>
      </c>
      <c r="C225" s="57">
        <f>VLOOKUP(A225,NFP!A:C,3)</f>
        <v/>
      </c>
    </row>
    <row r="226" customFormat="1" s="69">
      <c r="A226" s="56" t="n">
        <v>43739</v>
      </c>
      <c r="B226" s="57">
        <f>VLOOKUP(A226,'Database ADP'!A:B,2)</f>
        <v/>
      </c>
      <c r="C226" s="57">
        <f>VLOOKUP(A226,NFP!A:C,3)</f>
        <v/>
      </c>
    </row>
    <row r="227" customFormat="1" s="69">
      <c r="A227" s="56" t="n">
        <v>43770</v>
      </c>
      <c r="B227" s="57">
        <f>VLOOKUP(A227,'Database ADP'!A:B,2)</f>
        <v/>
      </c>
      <c r="C227" s="57">
        <f>VLOOKUP(A227,NFP!A:C,3)</f>
        <v/>
      </c>
    </row>
    <row r="228" customFormat="1" s="69">
      <c r="A228" s="56" t="n">
        <v>43800</v>
      </c>
      <c r="B228" s="57">
        <f>VLOOKUP(A228,'Database ADP'!A:B,2)</f>
        <v/>
      </c>
      <c r="C228" s="57">
        <f>VLOOKUP(A228,NFP!A:C,3)</f>
        <v/>
      </c>
    </row>
    <row r="229" customFormat="1" s="69">
      <c r="A229" s="56" t="n">
        <v>43831</v>
      </c>
      <c r="B229" s="57">
        <f>VLOOKUP(A229,'Database ADP'!A:B,2)</f>
        <v/>
      </c>
      <c r="C229" s="57">
        <f>VLOOKUP(A229,NFP!A:C,3)</f>
        <v/>
      </c>
    </row>
    <row r="230" customFormat="1" s="69">
      <c r="A230" s="56" t="n">
        <v>43862</v>
      </c>
      <c r="B230" s="57">
        <f>VLOOKUP(A230,'Database ADP'!A:B,2)</f>
        <v/>
      </c>
      <c r="C230" s="57">
        <f>VLOOKUP(A230,NFP!A:C,3)</f>
        <v/>
      </c>
    </row>
    <row r="231" customFormat="1" s="69">
      <c r="A231" s="56" t="n">
        <v>43891</v>
      </c>
      <c r="B231" s="57">
        <f>VLOOKUP(A231,'Database ADP'!A:B,2)</f>
        <v/>
      </c>
      <c r="C231" s="57">
        <f>VLOOKUP(A231,NFP!A:C,3)</f>
        <v/>
      </c>
    </row>
    <row r="232" customFormat="1" s="69">
      <c r="A232" s="56" t="n">
        <v>43922</v>
      </c>
      <c r="B232" s="57">
        <f>VLOOKUP(A232,'Database ADP'!A:B,2)</f>
        <v/>
      </c>
      <c r="C232" s="57">
        <f>VLOOKUP(A232,NFP!A:C,3)</f>
        <v/>
      </c>
    </row>
    <row r="233" customFormat="1" s="69">
      <c r="A233" s="56" t="n">
        <v>43952</v>
      </c>
      <c r="B233" s="57">
        <f>VLOOKUP(A233,'Database ADP'!A:B,2)</f>
        <v/>
      </c>
      <c r="C233" s="57">
        <f>VLOOKUP(A233,NFP!A:C,3)</f>
        <v/>
      </c>
    </row>
    <row r="234" customFormat="1" s="69">
      <c r="A234" s="56" t="n">
        <v>43983</v>
      </c>
      <c r="B234" s="57">
        <f>VLOOKUP(A234,'Database ADP'!A:B,2)</f>
        <v/>
      </c>
      <c r="C234" s="57">
        <f>VLOOKUP(A234,NFP!A:C,3)</f>
        <v/>
      </c>
    </row>
    <row r="235" customFormat="1" s="69">
      <c r="A235" s="56" t="n">
        <v>44013</v>
      </c>
      <c r="B235" s="57">
        <f>VLOOKUP(A235,'Database ADP'!A:B,2)</f>
        <v/>
      </c>
      <c r="C235" s="57">
        <f>VLOOKUP(A235,NFP!A:C,3)</f>
        <v/>
      </c>
    </row>
    <row r="236" customFormat="1" s="69">
      <c r="A236" s="56" t="n">
        <v>44044</v>
      </c>
      <c r="B236" s="57">
        <f>VLOOKUP(A236,'Database ADP'!A:B,2)</f>
        <v/>
      </c>
      <c r="C236" s="57">
        <f>VLOOKUP(A236,NFP!A:C,3)</f>
        <v/>
      </c>
    </row>
    <row r="237" customFormat="1" s="69">
      <c r="A237" s="56" t="n">
        <v>44075</v>
      </c>
      <c r="B237" s="57">
        <f>VLOOKUP(A237,'Database ADP'!A:B,2)</f>
        <v/>
      </c>
      <c r="C237" s="57">
        <f>VLOOKUP(A237,NFP!A:C,3)</f>
        <v/>
      </c>
    </row>
    <row r="238" customFormat="1" s="69">
      <c r="A238" s="56" t="n">
        <v>44105</v>
      </c>
      <c r="B238" s="57">
        <f>VLOOKUP(A238,'Database ADP'!A:B,2)</f>
        <v/>
      </c>
      <c r="C238" s="57">
        <f>VLOOKUP(A238,NFP!A:C,3)</f>
        <v/>
      </c>
    </row>
    <row r="239" customFormat="1" s="69">
      <c r="A239" s="56" t="n">
        <v>44136</v>
      </c>
      <c r="B239" s="57">
        <f>VLOOKUP(A239,'Database ADP'!A:B,2)</f>
        <v/>
      </c>
      <c r="C239" s="57">
        <f>VLOOKUP(A239,NFP!A:C,3)</f>
        <v/>
      </c>
    </row>
    <row r="240" customFormat="1" s="69">
      <c r="A240" s="56" t="n">
        <v>44166</v>
      </c>
      <c r="B240" s="57">
        <f>VLOOKUP(A240,'Database ADP'!A:B,2)</f>
        <v/>
      </c>
      <c r="C240" s="57">
        <f>VLOOKUP(A240,NFP!A:C,3)</f>
        <v/>
      </c>
    </row>
    <row r="241" customFormat="1" s="69">
      <c r="A241" s="56" t="n">
        <v>44197</v>
      </c>
      <c r="B241" s="57">
        <f>VLOOKUP(A241,'Database ADP'!A:B,2)</f>
        <v/>
      </c>
      <c r="C241" s="57">
        <f>VLOOKUP(A241,NFP!A:C,3)</f>
        <v/>
      </c>
    </row>
    <row r="242" customFormat="1" s="69">
      <c r="A242" s="56" t="n">
        <v>44228</v>
      </c>
      <c r="B242" s="57">
        <f>VLOOKUP(A242,'Database ADP'!A:B,2)</f>
        <v/>
      </c>
      <c r="C242" s="57">
        <f>VLOOKUP(A242,NFP!A:C,3)</f>
        <v/>
      </c>
    </row>
    <row r="243" customFormat="1" s="69">
      <c r="A243" s="56" t="n">
        <v>44256</v>
      </c>
      <c r="B243" s="57">
        <f>VLOOKUP(A243,'Database ADP'!A:B,2)</f>
        <v/>
      </c>
      <c r="C243" s="57">
        <f>VLOOKUP(A243,NFP!A:C,3)</f>
        <v/>
      </c>
    </row>
    <row r="244" customFormat="1" s="69">
      <c r="A244" s="56" t="n">
        <v>44287</v>
      </c>
      <c r="B244" s="57">
        <f>VLOOKUP(A244,'Database ADP'!A:B,2)</f>
        <v/>
      </c>
      <c r="C244" s="57">
        <f>VLOOKUP(A244,NFP!A:C,3)</f>
        <v/>
      </c>
    </row>
    <row r="245" customFormat="1" s="69">
      <c r="A245" s="56" t="n">
        <v>44317</v>
      </c>
      <c r="B245" s="57">
        <f>VLOOKUP(A245,'Database ADP'!A:B,2)</f>
        <v/>
      </c>
      <c r="C245" s="57">
        <f>VLOOKUP(A245,NFP!A:C,3)</f>
        <v/>
      </c>
    </row>
    <row r="246" customFormat="1" s="69">
      <c r="A246" s="56" t="n">
        <v>44348</v>
      </c>
      <c r="B246" s="57">
        <f>VLOOKUP(A246,'Database ADP'!A:B,2)</f>
        <v/>
      </c>
      <c r="C246" s="57">
        <f>VLOOKUP(A246,NFP!A:C,3)</f>
        <v/>
      </c>
    </row>
    <row r="247" customFormat="1" s="69">
      <c r="A247" s="56" t="n">
        <v>44378</v>
      </c>
      <c r="B247" s="57">
        <f>VLOOKUP(A247,'Database ADP'!A:B,2)</f>
        <v/>
      </c>
      <c r="C247" s="57">
        <f>VLOOKUP(A247,NFP!A:C,3)</f>
        <v/>
      </c>
    </row>
    <row r="248" customFormat="1" s="69">
      <c r="A248" s="56" t="n">
        <v>44409</v>
      </c>
      <c r="B248" s="57">
        <f>VLOOKUP(A248,'Database ADP'!A:B,2)</f>
        <v/>
      </c>
      <c r="C248" s="57">
        <f>VLOOKUP(A248,NFP!A:C,3)</f>
        <v/>
      </c>
    </row>
    <row r="249" customFormat="1" s="69">
      <c r="A249" s="56" t="n">
        <v>44440</v>
      </c>
      <c r="B249" s="57">
        <f>VLOOKUP(A249,'Database ADP'!A:B,2)</f>
        <v/>
      </c>
      <c r="C249" s="57">
        <f>VLOOKUP(A249,NFP!A:C,3)</f>
        <v/>
      </c>
    </row>
    <row r="250" customFormat="1" s="69">
      <c r="A250" s="56" t="n">
        <v>44470</v>
      </c>
      <c r="B250" s="57">
        <f>VLOOKUP(A250,'Database ADP'!A:B,2)</f>
        <v/>
      </c>
      <c r="C250" s="57">
        <f>VLOOKUP(A250,NFP!A:C,3)</f>
        <v/>
      </c>
    </row>
    <row r="251" customFormat="1" s="69">
      <c r="A251" s="56" t="n">
        <v>44501</v>
      </c>
      <c r="B251" s="57">
        <f>VLOOKUP(A251,'Database ADP'!A:B,2)</f>
        <v/>
      </c>
      <c r="C251" s="57">
        <f>VLOOKUP(A251,NFP!A:C,3)</f>
        <v/>
      </c>
    </row>
    <row r="252" customFormat="1" s="69">
      <c r="A252" s="56" t="n">
        <v>44531</v>
      </c>
      <c r="B252" s="57">
        <f>VLOOKUP(A252,'Database ADP'!A:B,2)</f>
        <v/>
      </c>
      <c r="C252" s="57">
        <f>VLOOKUP(A252,NFP!A:C,3)</f>
        <v/>
      </c>
    </row>
    <row r="253" customFormat="1" s="69">
      <c r="A253" s="56" t="n">
        <v>44562</v>
      </c>
      <c r="B253" s="57">
        <f>VLOOKUP(A253,'Database ADP'!A:B,2)</f>
        <v/>
      </c>
      <c r="C253" s="57">
        <f>VLOOKUP(A253,NFP!A:C,3)</f>
        <v/>
      </c>
    </row>
    <row r="254" customFormat="1" s="69">
      <c r="A254" s="56" t="n">
        <v>44593</v>
      </c>
      <c r="B254" s="57">
        <f>VLOOKUP(A254,'Database ADP'!A:B,2)</f>
        <v/>
      </c>
      <c r="C254" s="57">
        <f>VLOOKUP(A254,NFP!A:C,3)</f>
        <v/>
      </c>
    </row>
    <row r="255" customFormat="1" s="69">
      <c r="A255" s="56" t="n">
        <v>44621</v>
      </c>
      <c r="B255" s="57">
        <f>VLOOKUP(A255,'Database ADP'!A:B,2)</f>
        <v/>
      </c>
      <c r="C255" s="57">
        <f>VLOOKUP(A255,NFP!A:C,3)</f>
        <v/>
      </c>
    </row>
    <row r="256" customFormat="1" s="69">
      <c r="A256" s="15" t="n"/>
      <c r="B256" s="15" t="n"/>
      <c r="C256" s="15" t="n"/>
    </row>
    <row r="257" customFormat="1" s="69">
      <c r="A257" s="15" t="n"/>
      <c r="B257" s="15" t="n"/>
      <c r="C257" s="15" t="n"/>
    </row>
    <row r="258" customFormat="1" s="69">
      <c r="A258" s="15" t="n"/>
      <c r="B258" s="15" t="n"/>
      <c r="C258" s="15" t="n"/>
    </row>
    <row r="259" customFormat="1" s="69">
      <c r="A259" s="15" t="n"/>
      <c r="B259" s="15" t="n"/>
      <c r="C259" s="15" t="n"/>
    </row>
    <row r="260" customFormat="1" s="69">
      <c r="A260" s="15" t="n"/>
      <c r="B260" s="15" t="n"/>
      <c r="C260" s="15" t="n"/>
    </row>
    <row r="261" customFormat="1" s="69">
      <c r="A261" s="15" t="n"/>
      <c r="B261" s="15" t="n"/>
      <c r="C261" s="15" t="n"/>
    </row>
    <row r="262" customFormat="1" s="69">
      <c r="A262" s="15" t="n"/>
      <c r="B262" s="15" t="n"/>
      <c r="C262" s="15" t="n"/>
    </row>
    <row r="263" customFormat="1" s="69">
      <c r="A263" s="15" t="n"/>
      <c r="B263" s="15" t="n"/>
      <c r="C263" s="15" t="n"/>
    </row>
    <row r="264" customFormat="1" s="69">
      <c r="A264" s="15" t="n"/>
      <c r="B264" s="15" t="n"/>
      <c r="C264" s="15" t="n"/>
    </row>
    <row r="265" customFormat="1" s="69">
      <c r="A265" s="15" t="n"/>
      <c r="B265" s="15" t="n"/>
      <c r="C265" s="15" t="n"/>
    </row>
    <row r="266" customFormat="1" s="69">
      <c r="A266" s="15" t="n"/>
      <c r="B266" s="15" t="n"/>
      <c r="C266" s="15" t="n"/>
    </row>
    <row r="267" customFormat="1" s="69">
      <c r="A267" s="15" t="n"/>
      <c r="B267" s="15" t="n"/>
      <c r="C267" s="15" t="n"/>
    </row>
    <row r="268" customFormat="1" s="69">
      <c r="A268" s="15" t="n"/>
      <c r="B268" s="15" t="n"/>
      <c r="C268" s="15" t="n"/>
    </row>
    <row r="269" customFormat="1" s="69">
      <c r="A269" s="15" t="n"/>
      <c r="B269" s="15" t="n"/>
      <c r="C269" s="15" t="n"/>
    </row>
    <row r="270" customFormat="1" s="69">
      <c r="A270" s="15" t="n"/>
      <c r="B270" s="15" t="n"/>
      <c r="C270" s="15" t="n"/>
    </row>
    <row r="271" customFormat="1" s="69">
      <c r="A271" s="15" t="n"/>
      <c r="B271" s="15" t="n"/>
      <c r="C271" s="15" t="n"/>
    </row>
    <row r="272" customFormat="1" s="69">
      <c r="A272" s="15" t="n"/>
      <c r="B272" s="15" t="n"/>
      <c r="C272" s="15" t="n"/>
    </row>
    <row r="273" customFormat="1" s="69">
      <c r="A273" s="15" t="n"/>
      <c r="B273" s="15" t="n"/>
      <c r="C273" s="15" t="n"/>
    </row>
    <row r="274" customFormat="1" s="69">
      <c r="A274" s="15" t="n"/>
      <c r="B274" s="15" t="n"/>
      <c r="C274" s="15" t="n"/>
    </row>
    <row r="275" customFormat="1" s="69">
      <c r="A275" s="15" t="n"/>
      <c r="B275" s="15" t="n"/>
      <c r="C275" s="15" t="n"/>
    </row>
    <row r="276" customFormat="1" s="69">
      <c r="A276" s="15" t="n"/>
      <c r="B276" s="15" t="n"/>
      <c r="C276" s="15" t="n"/>
    </row>
    <row r="277" customFormat="1" s="69">
      <c r="A277" s="15" t="n"/>
      <c r="B277" s="15" t="n"/>
      <c r="C277" s="15" t="n"/>
    </row>
    <row r="278" customFormat="1" s="69">
      <c r="A278" s="15" t="n"/>
      <c r="B278" s="15" t="n"/>
      <c r="C278" s="15" t="n"/>
    </row>
    <row r="279" customFormat="1" s="69">
      <c r="A279" s="15" t="n"/>
      <c r="B279" s="15" t="n"/>
      <c r="C279" s="15" t="n"/>
    </row>
    <row r="280" customFormat="1" s="69">
      <c r="A280" s="15" t="n"/>
      <c r="B280" s="15" t="n"/>
      <c r="C280" s="15" t="n"/>
    </row>
    <row r="281" customFormat="1" s="69">
      <c r="A281" s="15" t="n"/>
      <c r="B281" s="15" t="n"/>
      <c r="C281" s="15" t="n"/>
    </row>
    <row r="282" customFormat="1" s="69">
      <c r="A282" s="15" t="n"/>
      <c r="B282" s="15" t="n"/>
      <c r="C282" s="15" t="n"/>
    </row>
    <row r="283" customFormat="1" s="69">
      <c r="A283" s="15" t="n"/>
      <c r="B283" s="15" t="n"/>
      <c r="C283" s="15" t="n"/>
    </row>
    <row r="284" customFormat="1" s="69">
      <c r="A284" s="15" t="n"/>
      <c r="B284" s="15" t="n"/>
      <c r="C284" s="15" t="n"/>
    </row>
    <row r="285" customFormat="1" s="69">
      <c r="A285" s="15" t="n"/>
      <c r="B285" s="15" t="n"/>
      <c r="C285" s="15" t="n"/>
    </row>
    <row r="286" customFormat="1" s="69">
      <c r="A286" s="15" t="n"/>
      <c r="B286" s="15" t="n"/>
      <c r="C286" s="15" t="n"/>
    </row>
    <row r="287" customFormat="1" s="69">
      <c r="A287" s="15" t="n"/>
      <c r="B287" s="15" t="n"/>
      <c r="C287" s="15" t="n"/>
    </row>
    <row r="288" customFormat="1" s="69">
      <c r="A288" s="15" t="n"/>
      <c r="B288" s="15" t="n"/>
      <c r="C288" s="15" t="n"/>
    </row>
    <row r="289" customFormat="1" s="69">
      <c r="A289" s="15" t="n"/>
      <c r="B289" s="15" t="n"/>
      <c r="C289" s="15" t="n"/>
    </row>
    <row r="290" customFormat="1" s="69">
      <c r="A290" s="15" t="n"/>
      <c r="B290" s="15" t="n"/>
      <c r="C290" s="15" t="n"/>
    </row>
    <row r="291" customFormat="1" s="69">
      <c r="A291" s="15" t="n"/>
      <c r="B291" s="15" t="n"/>
      <c r="C291" s="15" t="n"/>
    </row>
    <row r="292" customFormat="1" s="69">
      <c r="A292" s="15" t="n"/>
      <c r="B292" s="15" t="n"/>
      <c r="C292" s="15" t="n"/>
    </row>
    <row r="293" customFormat="1" s="69">
      <c r="A293" s="15" t="n"/>
      <c r="B293" s="15" t="n"/>
      <c r="C293" s="15" t="n"/>
    </row>
    <row r="294" customFormat="1" s="69">
      <c r="A294" s="15" t="n"/>
      <c r="B294" s="15" t="n"/>
      <c r="C294" s="15" t="n"/>
    </row>
    <row r="295" customFormat="1" s="69">
      <c r="A295" s="15" t="n"/>
      <c r="B295" s="15" t="n"/>
      <c r="C295" s="15" t="n"/>
    </row>
    <row r="296" customFormat="1" s="69">
      <c r="A296" s="15" t="n"/>
      <c r="B296" s="15" t="n"/>
      <c r="C296" s="15" t="n"/>
    </row>
    <row r="297" customFormat="1" s="69">
      <c r="A297" s="15" t="n"/>
      <c r="B297" s="15" t="n"/>
      <c r="C297" s="15" t="n"/>
    </row>
    <row r="298" customFormat="1" s="69">
      <c r="A298" s="15" t="n"/>
      <c r="B298" s="15" t="n"/>
      <c r="C298" s="15" t="n"/>
    </row>
    <row r="299" customFormat="1" s="69">
      <c r="A299" s="15" t="n"/>
      <c r="B299" s="15" t="n"/>
      <c r="C299" s="15" t="n"/>
    </row>
    <row r="300" customFormat="1" s="69">
      <c r="A300" s="15" t="n"/>
      <c r="B300" s="15" t="n"/>
      <c r="C300" s="15" t="n"/>
    </row>
    <row r="301" customFormat="1" s="69">
      <c r="A301" s="15" t="n"/>
      <c r="B301" s="15" t="n"/>
      <c r="C301" s="15" t="n"/>
    </row>
    <row r="302" customFormat="1" s="69">
      <c r="A302" s="15" t="n"/>
      <c r="B302" s="15" t="n"/>
      <c r="C302" s="15" t="n"/>
    </row>
    <row r="303" customFormat="1" s="69">
      <c r="A303" s="15" t="n"/>
      <c r="B303" s="15" t="n"/>
      <c r="C303" s="15" t="n"/>
    </row>
    <row r="304" customFormat="1" s="69">
      <c r="A304" s="15" t="n"/>
      <c r="B304" s="15" t="n"/>
      <c r="C304" s="15" t="n"/>
    </row>
    <row r="305" customFormat="1" s="69">
      <c r="A305" s="15" t="n"/>
      <c r="B305" s="15" t="n"/>
      <c r="C305" s="15" t="n"/>
    </row>
    <row r="306" customFormat="1" s="69">
      <c r="A306" s="15" t="n"/>
      <c r="B306" s="15" t="n"/>
      <c r="C306" s="15" t="n"/>
    </row>
    <row r="307" customFormat="1" s="69">
      <c r="A307" s="15" t="n"/>
      <c r="B307" s="15" t="n"/>
      <c r="C307" s="15" t="n"/>
    </row>
    <row r="308" customFormat="1" s="69">
      <c r="A308" s="15" t="n"/>
      <c r="B308" s="15" t="n"/>
      <c r="C308" s="15" t="n"/>
    </row>
    <row r="309" customFormat="1" s="69">
      <c r="A309" s="15" t="n"/>
      <c r="B309" s="15" t="n"/>
      <c r="C309" s="15" t="n"/>
    </row>
    <row r="310" customFormat="1" s="69">
      <c r="A310" s="15" t="n"/>
      <c r="B310" s="15" t="n"/>
      <c r="C310" s="15" t="n"/>
    </row>
    <row r="311" customFormat="1" s="69">
      <c r="A311" s="15" t="n"/>
      <c r="B311" s="15" t="n"/>
      <c r="C311" s="15" t="n"/>
    </row>
    <row r="312" customFormat="1" s="69">
      <c r="A312" s="15" t="n"/>
      <c r="B312" s="15" t="n"/>
      <c r="C312" s="15" t="n"/>
    </row>
    <row r="313" customFormat="1" s="69">
      <c r="A313" s="15" t="n"/>
      <c r="B313" s="15" t="n"/>
      <c r="C313" s="15" t="n"/>
    </row>
    <row r="314" customFormat="1" s="69">
      <c r="A314" s="15" t="n"/>
      <c r="B314" s="15" t="n"/>
      <c r="C314" s="15" t="n"/>
    </row>
    <row r="315" customFormat="1" s="69">
      <c r="A315" s="15" t="n"/>
      <c r="B315" s="15" t="n"/>
      <c r="C315" s="15" t="n"/>
    </row>
    <row r="316" customFormat="1" s="69">
      <c r="A316" s="15" t="n"/>
      <c r="B316" s="15" t="n"/>
      <c r="C316" s="15" t="n"/>
    </row>
    <row r="317" customFormat="1" s="69">
      <c r="A317" s="15" t="n"/>
      <c r="B317" s="15" t="n"/>
      <c r="C317" s="15" t="n"/>
    </row>
    <row r="318" customFormat="1" s="69">
      <c r="A318" s="15" t="n"/>
      <c r="B318" s="15" t="n"/>
      <c r="C318" s="15" t="n"/>
    </row>
    <row r="319" customFormat="1" s="69">
      <c r="A319" s="15" t="n"/>
      <c r="B319" s="15" t="n"/>
      <c r="C319" s="15" t="n"/>
    </row>
    <row r="320" customFormat="1" s="69">
      <c r="A320" s="15" t="n"/>
      <c r="B320" s="15" t="n"/>
      <c r="C320" s="15" t="n"/>
    </row>
    <row r="321" customFormat="1" s="69">
      <c r="A321" s="15" t="n"/>
      <c r="B321" s="15" t="n"/>
      <c r="C321" s="15" t="n"/>
    </row>
    <row r="322" customFormat="1" s="69">
      <c r="A322" s="15" t="n"/>
      <c r="B322" s="15" t="n"/>
      <c r="C322" s="15" t="n"/>
    </row>
    <row r="323" customFormat="1" s="69">
      <c r="A323" s="15" t="n"/>
      <c r="B323" s="15" t="n"/>
      <c r="C323" s="15" t="n"/>
    </row>
    <row r="324" customFormat="1" s="69">
      <c r="A324" s="15" t="n"/>
      <c r="B324" s="15" t="n"/>
      <c r="C324" s="15" t="n"/>
    </row>
    <row r="325" customFormat="1" s="69">
      <c r="A325" s="15" t="n"/>
      <c r="B325" s="15" t="n"/>
      <c r="C325" s="15" t="n"/>
    </row>
    <row r="326" customFormat="1" s="69">
      <c r="A326" s="15" t="n"/>
      <c r="B326" s="15" t="n"/>
      <c r="C326" s="15" t="n"/>
    </row>
    <row r="327" customFormat="1" s="69">
      <c r="A327" s="15" t="n"/>
      <c r="B327" s="15" t="n"/>
      <c r="C327" s="15" t="n"/>
    </row>
    <row r="328" customFormat="1" s="69">
      <c r="A328" s="15" t="n"/>
      <c r="B328" s="15" t="n"/>
      <c r="C328" s="15" t="n"/>
    </row>
    <row r="329" customFormat="1" s="69">
      <c r="A329" s="15" t="n"/>
      <c r="B329" s="15" t="n"/>
      <c r="C329" s="15" t="n"/>
    </row>
    <row r="330" customFormat="1" s="69">
      <c r="A330" s="15" t="n"/>
      <c r="B330" s="15" t="n"/>
      <c r="C330" s="15" t="n"/>
    </row>
    <row r="331" customFormat="1" s="69">
      <c r="A331" s="15" t="n"/>
      <c r="B331" s="15" t="n"/>
      <c r="C331" s="15" t="n"/>
    </row>
    <row r="332" customFormat="1" s="69">
      <c r="A332" s="15" t="n"/>
      <c r="B332" s="15" t="n"/>
      <c r="C332" s="15" t="n"/>
    </row>
    <row r="333" customFormat="1" s="69">
      <c r="A333" s="15" t="n"/>
      <c r="B333" s="15" t="n"/>
      <c r="C333" s="15" t="n"/>
    </row>
    <row r="334" customFormat="1" s="69">
      <c r="A334" s="15" t="n"/>
      <c r="B334" s="15" t="n"/>
      <c r="C334" s="15" t="n"/>
    </row>
    <row r="335" customFormat="1" s="69">
      <c r="A335" s="15" t="n"/>
      <c r="B335" s="15" t="n"/>
      <c r="C335" s="15" t="n"/>
    </row>
    <row r="336" customFormat="1" s="69">
      <c r="A336" s="15" t="n"/>
      <c r="B336" s="15" t="n"/>
      <c r="C336" s="15" t="n"/>
    </row>
    <row r="337" customFormat="1" s="69">
      <c r="A337" s="15" t="n"/>
      <c r="B337" s="15" t="n"/>
      <c r="C337" s="15" t="n"/>
    </row>
    <row r="338" customFormat="1" s="69">
      <c r="A338" s="15" t="n"/>
      <c r="B338" s="15" t="n"/>
      <c r="C338" s="15" t="n"/>
    </row>
    <row r="339" customFormat="1" s="69">
      <c r="A339" s="15" t="n"/>
      <c r="B339" s="15" t="n"/>
      <c r="C339" s="15" t="n"/>
    </row>
    <row r="340" customFormat="1" s="69">
      <c r="A340" s="15" t="n"/>
      <c r="B340" s="15" t="n"/>
      <c r="C340" s="15" t="n"/>
    </row>
    <row r="341" customFormat="1" s="69">
      <c r="A341" s="15" t="n"/>
      <c r="B341" s="15" t="n"/>
      <c r="C341" s="15" t="n"/>
    </row>
    <row r="342" customFormat="1" s="69">
      <c r="A342" s="15" t="n"/>
      <c r="B342" s="15" t="n"/>
      <c r="C342" s="15" t="n"/>
    </row>
    <row r="343" customFormat="1" s="69">
      <c r="A343" s="15" t="n"/>
      <c r="B343" s="15" t="n"/>
      <c r="C343" s="15" t="n"/>
    </row>
    <row r="344" customFormat="1" s="69">
      <c r="A344" s="15" t="n"/>
      <c r="B344" s="15" t="n"/>
      <c r="C344" s="15" t="n"/>
    </row>
    <row r="345" customFormat="1" s="69">
      <c r="A345" s="15" t="n"/>
      <c r="B345" s="15" t="n"/>
      <c r="C345" s="15" t="n"/>
    </row>
    <row r="346" customFormat="1" s="69">
      <c r="A346" s="15" t="n"/>
      <c r="B346" s="15" t="n"/>
      <c r="C346" s="15" t="n"/>
    </row>
    <row r="347" customFormat="1" s="69">
      <c r="A347" s="15" t="n"/>
      <c r="B347" s="15" t="n"/>
      <c r="C347" s="15" t="n"/>
    </row>
    <row r="348" customFormat="1" s="69">
      <c r="A348" s="15" t="n"/>
      <c r="B348" s="15" t="n"/>
      <c r="C348" s="15" t="n"/>
    </row>
    <row r="349" customFormat="1" s="69">
      <c r="A349" s="15" t="n"/>
      <c r="B349" s="15" t="n"/>
      <c r="C349" s="15" t="n"/>
    </row>
    <row r="350" customFormat="1" s="69">
      <c r="A350" s="15" t="n"/>
      <c r="B350" s="15" t="n"/>
      <c r="C350" s="15" t="n"/>
    </row>
    <row r="351" customFormat="1" s="69">
      <c r="A351" s="15" t="n"/>
      <c r="B351" s="15" t="n"/>
      <c r="C351" s="15" t="n"/>
    </row>
    <row r="352" customFormat="1" s="69">
      <c r="A352" s="15" t="n"/>
      <c r="B352" s="15" t="n"/>
      <c r="C352" s="15" t="n"/>
    </row>
    <row r="353" customFormat="1" s="69">
      <c r="A353" s="15" t="n"/>
      <c r="B353" s="15" t="n"/>
      <c r="C353" s="15" t="n"/>
    </row>
    <row r="354" customFormat="1" s="69">
      <c r="A354" s="15" t="n"/>
      <c r="B354" s="15" t="n"/>
      <c r="C354" s="15" t="n"/>
    </row>
    <row r="355" customFormat="1" s="69">
      <c r="A355" s="15" t="n"/>
      <c r="B355" s="15" t="n"/>
      <c r="C355" s="15" t="n"/>
    </row>
    <row r="356" customFormat="1" s="69">
      <c r="A356" s="15" t="n"/>
      <c r="B356" s="15" t="n"/>
      <c r="C356" s="15" t="n"/>
    </row>
    <row r="357" customFormat="1" s="69">
      <c r="A357" s="15" t="n"/>
      <c r="B357" s="15" t="n"/>
      <c r="C357" s="15" t="n"/>
    </row>
    <row r="358" customFormat="1" s="69">
      <c r="A358" s="15" t="n"/>
      <c r="B358" s="15" t="n"/>
      <c r="C358" s="15" t="n"/>
    </row>
    <row r="359" customFormat="1" s="69">
      <c r="A359" s="15" t="n"/>
      <c r="B359" s="15" t="n"/>
      <c r="C359" s="15" t="n"/>
    </row>
    <row r="360" customFormat="1" s="69">
      <c r="A360" s="15" t="n"/>
      <c r="B360" s="15" t="n"/>
      <c r="C360" s="15" t="n"/>
    </row>
    <row r="361" customFormat="1" s="69">
      <c r="A361" s="15" t="n"/>
      <c r="B361" s="15" t="n"/>
      <c r="C361" s="15" t="n"/>
    </row>
    <row r="362" customFormat="1" s="69">
      <c r="A362" s="15" t="n"/>
      <c r="B362" s="15" t="n"/>
      <c r="C362" s="15" t="n"/>
    </row>
    <row r="363" customFormat="1" s="69">
      <c r="A363" s="15" t="n"/>
      <c r="B363" s="15" t="n"/>
      <c r="C363" s="15" t="n"/>
    </row>
    <row r="364" customFormat="1" s="69">
      <c r="A364" s="15" t="n"/>
      <c r="B364" s="15" t="n"/>
      <c r="C364" s="15" t="n"/>
    </row>
    <row r="365" customFormat="1" s="69">
      <c r="A365" s="15" t="n"/>
      <c r="B365" s="15" t="n"/>
      <c r="C365" s="15" t="n"/>
    </row>
    <row r="366" customFormat="1" s="69">
      <c r="A366" s="15" t="n"/>
      <c r="B366" s="15" t="n"/>
      <c r="C366" s="15" t="n"/>
    </row>
    <row r="367" customFormat="1" s="69">
      <c r="A367" s="15" t="n"/>
      <c r="B367" s="15" t="n"/>
      <c r="C367" s="15" t="n"/>
    </row>
    <row r="368" customFormat="1" s="69">
      <c r="A368" s="15" t="n"/>
      <c r="B368" s="15" t="n"/>
      <c r="C368" s="15" t="n"/>
    </row>
    <row r="369" customFormat="1" s="69">
      <c r="A369" s="15" t="n"/>
      <c r="B369" s="15" t="n"/>
      <c r="C369" s="15" t="n"/>
    </row>
    <row r="370" customFormat="1" s="69">
      <c r="A370" s="15" t="n"/>
      <c r="B370" s="15" t="n"/>
      <c r="C370" s="15" t="n"/>
    </row>
    <row r="371" customFormat="1" s="69">
      <c r="A371" s="15" t="n"/>
      <c r="B371" s="15" t="n"/>
      <c r="C371" s="15" t="n"/>
    </row>
    <row r="372" customFormat="1" s="69">
      <c r="A372" s="15" t="n"/>
      <c r="B372" s="15" t="n"/>
      <c r="C372" s="15" t="n"/>
    </row>
    <row r="373" customFormat="1" s="69">
      <c r="A373" s="15" t="n"/>
      <c r="B373" s="15" t="n"/>
      <c r="C373" s="15" t="n"/>
    </row>
    <row r="374" customFormat="1" s="69">
      <c r="A374" s="15" t="n"/>
      <c r="B374" s="15" t="n"/>
      <c r="C374" s="15" t="n"/>
    </row>
    <row r="375" customFormat="1" s="69">
      <c r="A375" s="15" t="n"/>
      <c r="B375" s="15" t="n"/>
      <c r="C375" s="15" t="n"/>
    </row>
    <row r="376" customFormat="1" s="69">
      <c r="A376" s="15" t="n"/>
      <c r="B376" s="15" t="n"/>
      <c r="C376" s="15" t="n"/>
    </row>
    <row r="377" customFormat="1" s="69">
      <c r="A377" s="15" t="n"/>
      <c r="B377" s="15" t="n"/>
      <c r="C377" s="15" t="n"/>
    </row>
    <row r="378" customFormat="1" s="69">
      <c r="A378" s="15" t="n"/>
      <c r="B378" s="15" t="n"/>
      <c r="C378" s="15" t="n"/>
    </row>
    <row r="379" customFormat="1" s="69">
      <c r="A379" s="15" t="n"/>
      <c r="B379" s="15" t="n"/>
      <c r="C379" s="15" t="n"/>
    </row>
    <row r="380" customFormat="1" s="69">
      <c r="A380" s="15" t="n"/>
      <c r="B380" s="15" t="n"/>
      <c r="C380" s="15" t="n"/>
    </row>
    <row r="381" customFormat="1" s="69">
      <c r="A381" s="15" t="n"/>
      <c r="B381" s="15" t="n"/>
      <c r="C381" s="15" t="n"/>
    </row>
    <row r="382" customFormat="1" s="69">
      <c r="A382" s="15" t="n"/>
      <c r="B382" s="15" t="n"/>
      <c r="C382" s="15" t="n"/>
    </row>
    <row r="383" customFormat="1" s="69">
      <c r="A383" s="15" t="n"/>
      <c r="B383" s="15" t="n"/>
      <c r="C383" s="15" t="n"/>
    </row>
    <row r="384" customFormat="1" s="69">
      <c r="A384" s="15" t="n"/>
      <c r="B384" s="15" t="n"/>
      <c r="C384" s="15" t="n"/>
    </row>
    <row r="385" customFormat="1" s="69">
      <c r="A385" s="15" t="n"/>
      <c r="B385" s="15" t="n"/>
      <c r="C385" s="15" t="n"/>
    </row>
    <row r="386" customFormat="1" s="69">
      <c r="A386" s="15" t="n"/>
      <c r="B386" s="15" t="n"/>
      <c r="C386" s="15" t="n"/>
    </row>
    <row r="387" customFormat="1" s="69">
      <c r="A387" s="15" t="n"/>
      <c r="B387" s="15" t="n"/>
      <c r="C387" s="15" t="n"/>
    </row>
    <row r="388" customFormat="1" s="69">
      <c r="A388" s="15" t="n"/>
      <c r="B388" s="15" t="n"/>
      <c r="C388" s="15" t="n"/>
    </row>
    <row r="389" customFormat="1" s="69">
      <c r="A389" s="15" t="n"/>
      <c r="B389" s="15" t="n"/>
      <c r="C389" s="15" t="n"/>
    </row>
    <row r="390" customFormat="1" s="69">
      <c r="A390" s="15" t="n"/>
      <c r="B390" s="15" t="n"/>
      <c r="C390" s="15" t="n"/>
    </row>
    <row r="391" customFormat="1" s="69">
      <c r="A391" s="15" t="n"/>
      <c r="B391" s="15" t="n"/>
      <c r="C391" s="15" t="n"/>
    </row>
    <row r="392" customFormat="1" s="69">
      <c r="A392" s="15" t="n"/>
      <c r="B392" s="15" t="n"/>
      <c r="C392" s="15" t="n"/>
    </row>
    <row r="393" customFormat="1" s="69">
      <c r="A393" s="15" t="n"/>
      <c r="B393" s="15" t="n"/>
      <c r="C393" s="15" t="n"/>
    </row>
    <row r="394" customFormat="1" s="69">
      <c r="A394" s="15" t="n"/>
      <c r="B394" s="15" t="n"/>
      <c r="C394" s="15" t="n"/>
    </row>
    <row r="395" customFormat="1" s="69">
      <c r="A395" s="15" t="n"/>
      <c r="B395" s="15" t="n"/>
      <c r="C395" s="15" t="n"/>
    </row>
    <row r="396" customFormat="1" s="69">
      <c r="A396" s="15" t="n"/>
      <c r="B396" s="15" t="n"/>
      <c r="C396" s="15" t="n"/>
    </row>
    <row r="397" customFormat="1" s="69">
      <c r="A397" s="15" t="n"/>
      <c r="B397" s="15" t="n"/>
      <c r="C397" s="15" t="n"/>
    </row>
    <row r="398" customFormat="1" s="69">
      <c r="A398" s="15" t="n"/>
      <c r="B398" s="15" t="n"/>
      <c r="C398" s="15" t="n"/>
    </row>
    <row r="399" customFormat="1" s="69">
      <c r="A399" s="15" t="n"/>
      <c r="B399" s="15" t="n"/>
      <c r="C399" s="15" t="n"/>
    </row>
    <row r="400" customFormat="1" s="69">
      <c r="A400" s="15" t="n"/>
      <c r="B400" s="15" t="n"/>
      <c r="C400" s="15" t="n"/>
    </row>
    <row r="401" customFormat="1" s="69">
      <c r="A401" s="15" t="n"/>
      <c r="B401" s="15" t="n"/>
      <c r="C401" s="15" t="n"/>
    </row>
    <row r="402" customFormat="1" s="69">
      <c r="A402" s="15" t="n"/>
      <c r="B402" s="15" t="n"/>
      <c r="C402" s="15" t="n"/>
    </row>
    <row r="403" customFormat="1" s="69">
      <c r="A403" s="15" t="n"/>
      <c r="B403" s="15" t="n"/>
      <c r="C403" s="15" t="n"/>
    </row>
    <row r="404" customFormat="1" s="69">
      <c r="A404" s="15" t="n"/>
      <c r="B404" s="15" t="n"/>
      <c r="C404" s="15" t="n"/>
    </row>
    <row r="405" customFormat="1" s="69">
      <c r="A405" s="15" t="n"/>
      <c r="B405" s="15" t="n"/>
      <c r="C405" s="15" t="n"/>
    </row>
    <row r="406" customFormat="1" s="69">
      <c r="A406" s="15" t="n"/>
      <c r="B406" s="15" t="n"/>
      <c r="C406" s="15" t="n"/>
    </row>
    <row r="407" customFormat="1" s="69">
      <c r="A407" s="15" t="n"/>
      <c r="B407" s="15" t="n"/>
      <c r="C407" s="15" t="n"/>
    </row>
    <row r="408" customFormat="1" s="69">
      <c r="A408" s="15" t="n"/>
      <c r="B408" s="15" t="n"/>
      <c r="C408" s="15" t="n"/>
    </row>
    <row r="409" customFormat="1" s="69">
      <c r="A409" s="15" t="n"/>
      <c r="B409" s="15" t="n"/>
      <c r="C409" s="15" t="n"/>
    </row>
    <row r="410" customFormat="1" s="69">
      <c r="A410" s="15" t="n"/>
      <c r="B410" s="15" t="n"/>
      <c r="C410" s="15" t="n"/>
    </row>
    <row r="411" customFormat="1" s="69">
      <c r="A411" s="15" t="n"/>
      <c r="B411" s="15" t="n"/>
      <c r="C411" s="15" t="n"/>
    </row>
    <row r="412" customFormat="1" s="69">
      <c r="A412" s="15" t="n"/>
      <c r="B412" s="15" t="n"/>
      <c r="C412" s="15" t="n"/>
    </row>
    <row r="413" customFormat="1" s="69">
      <c r="A413" s="15" t="n"/>
      <c r="B413" s="15" t="n"/>
      <c r="C413" s="15" t="n"/>
    </row>
    <row r="414" customFormat="1" s="69">
      <c r="A414" s="15" t="n"/>
      <c r="B414" s="15" t="n"/>
      <c r="C414" s="15" t="n"/>
    </row>
    <row r="415" customFormat="1" s="69">
      <c r="A415" s="15" t="n"/>
      <c r="B415" s="15" t="n"/>
      <c r="C415" s="15" t="n"/>
    </row>
    <row r="416" customFormat="1" s="69">
      <c r="A416" s="15" t="n"/>
      <c r="B416" s="15" t="n"/>
      <c r="C416" s="15" t="n"/>
    </row>
    <row r="417" customFormat="1" s="69">
      <c r="A417" s="15" t="n"/>
      <c r="B417" s="15" t="n"/>
      <c r="C417" s="15" t="n"/>
    </row>
    <row r="418" customFormat="1" s="69">
      <c r="A418" s="15" t="n"/>
      <c r="B418" s="15" t="n"/>
      <c r="C418" s="15" t="n"/>
    </row>
    <row r="419" customFormat="1" s="69">
      <c r="A419" s="15" t="n"/>
      <c r="B419" s="15" t="n"/>
      <c r="C419" s="15" t="n"/>
    </row>
    <row r="420" customFormat="1" s="69">
      <c r="A420" s="15" t="n"/>
      <c r="B420" s="15" t="n"/>
      <c r="C420" s="15" t="n"/>
    </row>
    <row r="421" customFormat="1" s="69">
      <c r="A421" s="15" t="n"/>
      <c r="B421" s="15" t="n"/>
      <c r="C421" s="15" t="n"/>
    </row>
    <row r="422" customFormat="1" s="69">
      <c r="A422" s="15" t="n"/>
      <c r="B422" s="15" t="n"/>
      <c r="C422" s="15" t="n"/>
    </row>
    <row r="423" customFormat="1" s="69">
      <c r="A423" s="15" t="n"/>
      <c r="B423" s="15" t="n"/>
      <c r="C423" s="15" t="n"/>
    </row>
    <row r="424" customFormat="1" s="69">
      <c r="A424" s="15" t="n"/>
      <c r="B424" s="15" t="n"/>
      <c r="C424" s="15" t="n"/>
    </row>
    <row r="425" customFormat="1" s="69">
      <c r="A425" s="15" t="n"/>
      <c r="B425" s="15" t="n"/>
      <c r="C425" s="15" t="n"/>
    </row>
    <row r="426" customFormat="1" s="69">
      <c r="A426" s="15" t="n"/>
      <c r="B426" s="15" t="n"/>
      <c r="C426" s="15" t="n"/>
    </row>
    <row r="427" customFormat="1" s="69">
      <c r="A427" s="15" t="n"/>
      <c r="B427" s="15" t="n"/>
      <c r="C427" s="15" t="n"/>
    </row>
    <row r="428" customFormat="1" s="69">
      <c r="A428" s="15" t="n"/>
      <c r="B428" s="15" t="n"/>
      <c r="C428" s="15" t="n"/>
    </row>
    <row r="429" customFormat="1" s="69">
      <c r="A429" s="15" t="n"/>
      <c r="B429" s="15" t="n"/>
      <c r="C429" s="15" t="n"/>
    </row>
    <row r="430" customFormat="1" s="69">
      <c r="A430" s="15" t="n"/>
      <c r="B430" s="15" t="n"/>
      <c r="C430" s="15" t="n"/>
    </row>
    <row r="431" customFormat="1" s="69">
      <c r="A431" s="15" t="n"/>
      <c r="B431" s="15" t="n"/>
      <c r="C431" s="15" t="n"/>
    </row>
    <row r="432" customFormat="1" s="69">
      <c r="A432" s="15" t="n"/>
      <c r="B432" s="15" t="n"/>
      <c r="C432" s="15" t="n"/>
    </row>
    <row r="433" customFormat="1" s="69">
      <c r="A433" s="15" t="n"/>
      <c r="B433" s="15" t="n"/>
      <c r="C433" s="15" t="n"/>
    </row>
    <row r="434" customFormat="1" s="69">
      <c r="A434" s="15" t="n"/>
      <c r="B434" s="15" t="n"/>
      <c r="C434" s="15" t="n"/>
    </row>
    <row r="435" customFormat="1" s="69">
      <c r="A435" s="15" t="n"/>
      <c r="B435" s="15" t="n"/>
      <c r="C435" s="15" t="n"/>
    </row>
    <row r="436" customFormat="1" s="69">
      <c r="A436" s="15" t="n"/>
      <c r="B436" s="15" t="n"/>
      <c r="C436" s="15" t="n"/>
    </row>
    <row r="437" customFormat="1" s="69">
      <c r="A437" s="15" t="n"/>
      <c r="B437" s="15" t="n"/>
      <c r="C437" s="15" t="n"/>
    </row>
    <row r="438" customFormat="1" s="69">
      <c r="A438" s="15" t="n"/>
      <c r="B438" s="15" t="n"/>
      <c r="C438" s="15" t="n"/>
    </row>
    <row r="439" customFormat="1" s="69">
      <c r="A439" s="15" t="n"/>
      <c r="B439" s="15" t="n"/>
      <c r="C439" s="15" t="n"/>
    </row>
    <row r="440" customFormat="1" s="69">
      <c r="A440" s="15" t="n"/>
      <c r="B440" s="15" t="n"/>
      <c r="C440" s="15" t="n"/>
    </row>
    <row r="441" customFormat="1" s="69">
      <c r="A441" s="15" t="n"/>
      <c r="B441" s="15" t="n"/>
      <c r="C441" s="15" t="n"/>
    </row>
    <row r="442" customFormat="1" s="69">
      <c r="A442" s="15" t="n"/>
      <c r="B442" s="15" t="n"/>
      <c r="C442" s="15" t="n"/>
    </row>
    <row r="443" customFormat="1" s="69">
      <c r="A443" s="15" t="n"/>
      <c r="B443" s="15" t="n"/>
      <c r="C443" s="15" t="n"/>
    </row>
    <row r="444" customFormat="1" s="69">
      <c r="A444" s="15" t="n"/>
      <c r="B444" s="15" t="n"/>
      <c r="C444" s="15" t="n"/>
    </row>
    <row r="445" customFormat="1" s="69">
      <c r="A445" s="15" t="n"/>
      <c r="B445" s="15" t="n"/>
      <c r="C445" s="15" t="n"/>
    </row>
    <row r="446" customFormat="1" s="69">
      <c r="A446" s="15" t="n"/>
      <c r="B446" s="15" t="n"/>
      <c r="C446" s="15" t="n"/>
    </row>
    <row r="447" customFormat="1" s="69">
      <c r="A447" s="15" t="n"/>
      <c r="B447" s="15" t="n"/>
      <c r="C447" s="15" t="n"/>
    </row>
    <row r="448" customFormat="1" s="69">
      <c r="A448" s="15" t="n"/>
      <c r="B448" s="15" t="n"/>
      <c r="C448" s="15" t="n"/>
    </row>
    <row r="449" customFormat="1" s="69">
      <c r="A449" s="15" t="n"/>
      <c r="B449" s="15" t="n"/>
      <c r="C449" s="15" t="n"/>
    </row>
    <row r="450" customFormat="1" s="69">
      <c r="A450" s="15" t="n"/>
      <c r="B450" s="15" t="n"/>
      <c r="C450" s="15" t="n"/>
    </row>
    <row r="451" customFormat="1" s="69">
      <c r="A451" s="15" t="n"/>
      <c r="B451" s="15" t="n"/>
      <c r="C451" s="15" t="n"/>
    </row>
    <row r="452" customFormat="1" s="69">
      <c r="A452" s="15" t="n"/>
      <c r="B452" s="15" t="n"/>
      <c r="C452" s="15" t="n"/>
    </row>
    <row r="453" customFormat="1" s="69">
      <c r="A453" s="15" t="n"/>
      <c r="B453" s="15" t="n"/>
      <c r="C453" s="15" t="n"/>
    </row>
    <row r="454" customFormat="1" s="69">
      <c r="A454" s="15" t="n"/>
      <c r="B454" s="15" t="n"/>
      <c r="C454" s="15" t="n"/>
    </row>
    <row r="455" customFormat="1" s="69">
      <c r="A455" s="15" t="n"/>
      <c r="B455" s="15" t="n"/>
      <c r="C455" s="15" t="n"/>
    </row>
    <row r="456" customFormat="1" s="69">
      <c r="A456" s="15" t="n"/>
      <c r="B456" s="15" t="n"/>
      <c r="C456" s="15" t="n"/>
    </row>
    <row r="457" customFormat="1" s="69">
      <c r="A457" s="15" t="n"/>
      <c r="B457" s="15" t="n"/>
      <c r="C457" s="15" t="n"/>
    </row>
    <row r="458" customFormat="1" s="69">
      <c r="A458" s="15" t="n"/>
      <c r="B458" s="15" t="n"/>
      <c r="C458" s="15" t="n"/>
    </row>
    <row r="459" customFormat="1" s="69">
      <c r="A459" s="15" t="n"/>
      <c r="B459" s="15" t="n"/>
      <c r="C459" s="15" t="n"/>
    </row>
    <row r="460" customFormat="1" s="69">
      <c r="A460" s="15" t="n"/>
      <c r="B460" s="15" t="n"/>
      <c r="C460" s="15" t="n"/>
    </row>
    <row r="461" customFormat="1" s="69">
      <c r="A461" s="15" t="n"/>
      <c r="B461" s="15" t="n"/>
      <c r="C461" s="15" t="n"/>
    </row>
    <row r="462" customFormat="1" s="69">
      <c r="A462" s="15" t="n"/>
      <c r="B462" s="15" t="n"/>
      <c r="C462" s="15" t="n"/>
    </row>
    <row r="463" customFormat="1" s="69">
      <c r="A463" s="15" t="n"/>
      <c r="B463" s="15" t="n"/>
      <c r="C463" s="15" t="n"/>
    </row>
    <row r="464" customFormat="1" s="69">
      <c r="A464" s="15" t="n"/>
      <c r="B464" s="15" t="n"/>
      <c r="C464" s="15" t="n"/>
    </row>
    <row r="465" customFormat="1" s="69">
      <c r="A465" s="15" t="n"/>
      <c r="B465" s="15" t="n"/>
      <c r="C465" s="15" t="n"/>
    </row>
    <row r="466" customFormat="1" s="69">
      <c r="A466" s="15" t="n"/>
      <c r="B466" s="15" t="n"/>
      <c r="C466" s="15" t="n"/>
    </row>
    <row r="467" customFormat="1" s="69">
      <c r="A467" s="15" t="n"/>
      <c r="B467" s="15" t="n"/>
      <c r="C467" s="15" t="n"/>
    </row>
    <row r="468" customFormat="1" s="69">
      <c r="A468" s="15" t="n"/>
      <c r="B468" s="15" t="n"/>
      <c r="C468" s="15" t="n"/>
    </row>
    <row r="469" customFormat="1" s="69">
      <c r="A469" s="15" t="n"/>
      <c r="B469" s="15" t="n"/>
      <c r="C469" s="15" t="n"/>
    </row>
    <row r="470" customFormat="1" s="69">
      <c r="A470" s="15" t="n"/>
      <c r="B470" s="15" t="n"/>
      <c r="C470" s="15" t="n"/>
    </row>
    <row r="471" customFormat="1" s="69">
      <c r="A471" s="15" t="n"/>
      <c r="B471" s="15" t="n"/>
      <c r="C471" s="15" t="n"/>
    </row>
    <row r="472" customFormat="1" s="69">
      <c r="A472" s="15" t="n"/>
      <c r="B472" s="15" t="n"/>
      <c r="C472" s="15" t="n"/>
    </row>
    <row r="473" customFormat="1" s="69">
      <c r="A473" s="15" t="n"/>
      <c r="B473" s="15" t="n"/>
      <c r="C473" s="15" t="n"/>
    </row>
    <row r="474" customFormat="1" s="69">
      <c r="A474" s="15" t="n"/>
      <c r="B474" s="15" t="n"/>
      <c r="C474" s="15" t="n"/>
    </row>
    <row r="475" customFormat="1" s="69">
      <c r="A475" s="15" t="n"/>
      <c r="B475" s="15" t="n"/>
      <c r="C475" s="15" t="n"/>
    </row>
    <row r="476" customFormat="1" s="69">
      <c r="A476" s="15" t="n"/>
      <c r="B476" s="15" t="n"/>
      <c r="C476" s="15" t="n"/>
    </row>
    <row r="477" customFormat="1" s="69">
      <c r="A477" s="15" t="n"/>
      <c r="B477" s="15" t="n"/>
      <c r="C477" s="15" t="n"/>
    </row>
    <row r="478" customFormat="1" s="69">
      <c r="A478" s="15" t="n"/>
      <c r="B478" s="15" t="n"/>
      <c r="C478" s="15" t="n"/>
    </row>
    <row r="479" customFormat="1" s="69">
      <c r="A479" s="15" t="n"/>
      <c r="B479" s="15" t="n"/>
      <c r="C479" s="15" t="n"/>
    </row>
    <row r="480" customFormat="1" s="69">
      <c r="A480" s="15" t="n"/>
      <c r="B480" s="15" t="n"/>
      <c r="C480" s="15" t="n"/>
    </row>
    <row r="481" customFormat="1" s="69">
      <c r="A481" s="15" t="n"/>
      <c r="B481" s="15" t="n"/>
      <c r="C481" s="15" t="n"/>
    </row>
    <row r="482" customFormat="1" s="69">
      <c r="A482" s="15" t="n"/>
      <c r="B482" s="15" t="n"/>
      <c r="C482" s="15" t="n"/>
    </row>
    <row r="483" customFormat="1" s="69">
      <c r="A483" s="15" t="n"/>
      <c r="B483" s="15" t="n"/>
      <c r="C483" s="15" t="n"/>
    </row>
    <row r="484" customFormat="1" s="69">
      <c r="A484" s="15" t="n"/>
      <c r="B484" s="15" t="n"/>
      <c r="C484" s="15" t="n"/>
    </row>
    <row r="485" customFormat="1" s="69">
      <c r="A485" s="15" t="n"/>
      <c r="B485" s="15" t="n"/>
      <c r="C485" s="15" t="n"/>
    </row>
    <row r="486" customFormat="1" s="69">
      <c r="A486" s="15" t="n"/>
      <c r="B486" s="15" t="n"/>
      <c r="C486" s="15" t="n"/>
    </row>
    <row r="487" customFormat="1" s="69">
      <c r="A487" s="15" t="n"/>
      <c r="B487" s="15" t="n"/>
      <c r="C487" s="15" t="n"/>
    </row>
    <row r="488" customFormat="1" s="69">
      <c r="A488" s="15" t="n"/>
      <c r="B488" s="15" t="n"/>
      <c r="C488" s="15" t="n"/>
    </row>
    <row r="489" customFormat="1" s="69">
      <c r="A489" s="15" t="n"/>
      <c r="B489" s="15" t="n"/>
      <c r="C489" s="15" t="n"/>
    </row>
    <row r="490" customFormat="1" s="69">
      <c r="A490" s="15" t="n"/>
      <c r="B490" s="15" t="n"/>
      <c r="C490" s="15" t="n"/>
    </row>
    <row r="491" customFormat="1" s="69">
      <c r="A491" s="15" t="n"/>
      <c r="B491" s="15" t="n"/>
      <c r="C491" s="15" t="n"/>
    </row>
    <row r="492" customFormat="1" s="69">
      <c r="A492" s="15" t="n"/>
      <c r="B492" s="15" t="n"/>
      <c r="C492" s="15" t="n"/>
    </row>
    <row r="493" customFormat="1" s="69">
      <c r="A493" s="15" t="n"/>
      <c r="B493" s="15" t="n"/>
      <c r="C493" s="15" t="n"/>
    </row>
    <row r="494" customFormat="1" s="69">
      <c r="A494" s="15" t="n"/>
      <c r="B494" s="15" t="n"/>
      <c r="C494" s="15" t="n"/>
    </row>
    <row r="495" customFormat="1" s="69">
      <c r="A495" s="15" t="n"/>
      <c r="B495" s="15" t="n"/>
      <c r="C495" s="15" t="n"/>
    </row>
    <row r="496" customFormat="1" s="69">
      <c r="A496" s="15" t="n"/>
      <c r="B496" s="15" t="n"/>
      <c r="C496" s="15" t="n"/>
    </row>
    <row r="497" customFormat="1" s="69">
      <c r="A497" s="15" t="n"/>
      <c r="B497" s="15" t="n"/>
      <c r="C497" s="15" t="n"/>
    </row>
    <row r="498" customFormat="1" s="69">
      <c r="A498" s="15" t="n"/>
      <c r="B498" s="15" t="n"/>
      <c r="C498" s="15" t="n"/>
    </row>
    <row r="499" customFormat="1" s="69">
      <c r="A499" s="15" t="n"/>
      <c r="B499" s="15" t="n"/>
      <c r="C499" s="15" t="n"/>
    </row>
    <row r="500" customFormat="1" s="69">
      <c r="A500" s="15" t="n"/>
      <c r="B500" s="15" t="n"/>
      <c r="C500" s="15" t="n"/>
    </row>
    <row r="501" customFormat="1" s="69">
      <c r="A501" s="15" t="n"/>
      <c r="B501" s="15" t="n"/>
      <c r="C501" s="15" t="n"/>
    </row>
    <row r="502" customFormat="1" s="69">
      <c r="A502" s="15" t="n"/>
      <c r="B502" s="15" t="n"/>
      <c r="C502" s="15" t="n"/>
    </row>
    <row r="503" customFormat="1" s="69">
      <c r="A503" s="15" t="n"/>
      <c r="B503" s="15" t="n"/>
      <c r="C503" s="15" t="n"/>
    </row>
    <row r="504" customFormat="1" s="69">
      <c r="A504" s="15" t="n"/>
      <c r="B504" s="15" t="n"/>
      <c r="C504" s="15" t="n"/>
    </row>
    <row r="505" customFormat="1" s="69">
      <c r="A505" s="15" t="n"/>
      <c r="B505" s="15" t="n"/>
      <c r="C505" s="15" t="n"/>
    </row>
    <row r="506" customFormat="1" s="69">
      <c r="A506" s="15" t="n"/>
      <c r="B506" s="15" t="n"/>
      <c r="C506" s="15" t="n"/>
    </row>
    <row r="507" customFormat="1" s="69">
      <c r="A507" s="15" t="n"/>
      <c r="B507" s="15" t="n"/>
      <c r="C507" s="15" t="n"/>
    </row>
    <row r="508" customFormat="1" s="69">
      <c r="A508" s="15" t="n"/>
      <c r="B508" s="15" t="n"/>
      <c r="C508" s="15" t="n"/>
    </row>
    <row r="509" customFormat="1" s="69">
      <c r="A509" s="15" t="n"/>
      <c r="B509" s="15" t="n"/>
      <c r="C509" s="15" t="n"/>
    </row>
    <row r="510" customFormat="1" s="69">
      <c r="A510" s="15" t="n"/>
      <c r="B510" s="15" t="n"/>
      <c r="C510" s="15" t="n"/>
    </row>
    <row r="511" customFormat="1" s="69">
      <c r="A511" s="15" t="n"/>
      <c r="B511" s="15" t="n"/>
      <c r="C511" s="15" t="n"/>
    </row>
    <row r="512" customFormat="1" s="69">
      <c r="A512" s="15" t="n"/>
      <c r="B512" s="15" t="n"/>
      <c r="C512" s="15" t="n"/>
    </row>
    <row r="513" customFormat="1" s="69">
      <c r="A513" s="15" t="n"/>
      <c r="B513" s="15" t="n"/>
      <c r="C513" s="15" t="n"/>
    </row>
    <row r="514" customFormat="1" s="69">
      <c r="A514" s="15" t="n"/>
      <c r="B514" s="15" t="n"/>
      <c r="C514" s="15" t="n"/>
    </row>
    <row r="515" customFormat="1" s="69">
      <c r="A515" s="15" t="n"/>
      <c r="B515" s="15" t="n"/>
      <c r="C515" s="15" t="n"/>
    </row>
    <row r="516" customFormat="1" s="69">
      <c r="A516" s="15" t="n"/>
      <c r="B516" s="15" t="n"/>
      <c r="C516" s="15" t="n"/>
    </row>
    <row r="517" customFormat="1" s="69">
      <c r="A517" s="15" t="n"/>
      <c r="B517" s="15" t="n"/>
      <c r="C517" s="15" t="n"/>
    </row>
    <row r="518" customFormat="1" s="69">
      <c r="A518" s="15" t="n"/>
      <c r="B518" s="15" t="n"/>
      <c r="C518" s="15" t="n"/>
    </row>
    <row r="519" customFormat="1" s="69">
      <c r="A519" s="15" t="n"/>
      <c r="B519" s="15" t="n"/>
      <c r="C519" s="15" t="n"/>
    </row>
    <row r="520" customFormat="1" s="69">
      <c r="A520" s="15" t="n"/>
      <c r="B520" s="15" t="n"/>
      <c r="C520" s="15" t="n"/>
    </row>
    <row r="521" customFormat="1" s="69">
      <c r="A521" s="15" t="n"/>
      <c r="B521" s="15" t="n"/>
      <c r="C521" s="15" t="n"/>
    </row>
    <row r="522" customFormat="1" s="69">
      <c r="A522" s="15" t="n"/>
      <c r="B522" s="15" t="n"/>
      <c r="C522" s="15" t="n"/>
    </row>
    <row r="523" customFormat="1" s="69">
      <c r="A523" s="15" t="n"/>
      <c r="B523" s="15" t="n"/>
      <c r="C523" s="15" t="n"/>
    </row>
    <row r="524" customFormat="1" s="69">
      <c r="A524" s="15" t="n"/>
      <c r="B524" s="15" t="n"/>
      <c r="C524" s="15" t="n"/>
    </row>
    <row r="525" customFormat="1" s="69">
      <c r="A525" s="15" t="n"/>
      <c r="B525" s="15" t="n"/>
      <c r="C525" s="15" t="n"/>
    </row>
    <row r="526" customFormat="1" s="69">
      <c r="A526" s="15" t="n"/>
      <c r="B526" s="15" t="n"/>
      <c r="C526" s="15" t="n"/>
    </row>
    <row r="527" customFormat="1" s="69">
      <c r="A527" s="15" t="n"/>
      <c r="B527" s="15" t="n"/>
      <c r="C527" s="15" t="n"/>
    </row>
    <row r="528" customFormat="1" s="69">
      <c r="A528" s="15" t="n"/>
      <c r="B528" s="15" t="n"/>
      <c r="C528" s="15" t="n"/>
    </row>
    <row r="529" customFormat="1" s="69">
      <c r="A529" s="15" t="n"/>
      <c r="B529" s="15" t="n"/>
      <c r="C529" s="15" t="n"/>
    </row>
    <row r="530" customFormat="1" s="69">
      <c r="A530" s="15" t="n"/>
      <c r="B530" s="15" t="n"/>
      <c r="C530" s="15" t="n"/>
    </row>
    <row r="531" customFormat="1" s="69">
      <c r="A531" s="15" t="n"/>
      <c r="B531" s="15" t="n"/>
      <c r="C531" s="15" t="n"/>
    </row>
    <row r="532" customFormat="1" s="69">
      <c r="A532" s="15" t="n"/>
      <c r="B532" s="15" t="n"/>
      <c r="C532" s="15" t="n"/>
    </row>
    <row r="533" customFormat="1" s="69">
      <c r="A533" s="15" t="n"/>
      <c r="B533" s="15" t="n"/>
      <c r="C533" s="15" t="n"/>
    </row>
    <row r="534" customFormat="1" s="69">
      <c r="A534" s="15" t="n"/>
      <c r="B534" s="15" t="n"/>
      <c r="C534" s="15" t="n"/>
    </row>
    <row r="535" customFormat="1" s="69">
      <c r="A535" s="15" t="n"/>
      <c r="B535" s="15" t="n"/>
      <c r="C535" s="15" t="n"/>
    </row>
    <row r="536" customFormat="1" s="69">
      <c r="A536" s="15" t="n"/>
      <c r="B536" s="15" t="n"/>
      <c r="C536" s="15" t="n"/>
    </row>
    <row r="537" customFormat="1" s="69">
      <c r="A537" s="15" t="n"/>
      <c r="B537" s="15" t="n"/>
      <c r="C537" s="15" t="n"/>
    </row>
    <row r="538" customFormat="1" s="69">
      <c r="A538" s="15" t="n"/>
      <c r="B538" s="15" t="n"/>
      <c r="C538" s="15" t="n"/>
    </row>
    <row r="539" customFormat="1" s="69">
      <c r="A539" s="15" t="n"/>
      <c r="B539" s="15" t="n"/>
      <c r="C539" s="15" t="n"/>
    </row>
    <row r="540" customFormat="1" s="69">
      <c r="A540" s="15" t="n"/>
      <c r="B540" s="15" t="n"/>
      <c r="C540" s="15" t="n"/>
    </row>
    <row r="541" customFormat="1" s="69">
      <c r="A541" s="15" t="n"/>
      <c r="B541" s="15" t="n"/>
      <c r="C541" s="15" t="n"/>
    </row>
    <row r="542" customFormat="1" s="69">
      <c r="A542" s="15" t="n"/>
      <c r="B542" s="15" t="n"/>
      <c r="C542" s="15" t="n"/>
    </row>
    <row r="543" customFormat="1" s="69">
      <c r="A543" s="15" t="n"/>
      <c r="B543" s="15" t="n"/>
      <c r="C543" s="15" t="n"/>
    </row>
    <row r="544" customFormat="1" s="69">
      <c r="A544" s="15" t="n"/>
      <c r="B544" s="15" t="n"/>
      <c r="C544" s="15" t="n"/>
    </row>
    <row r="545" customFormat="1" s="69">
      <c r="A545" s="15" t="n"/>
      <c r="B545" s="15" t="n"/>
      <c r="C545" s="15" t="n"/>
    </row>
    <row r="546" customFormat="1" s="69">
      <c r="A546" s="15" t="n"/>
      <c r="B546" s="15" t="n"/>
      <c r="C546" s="15" t="n"/>
    </row>
    <row r="547" customFormat="1" s="69">
      <c r="A547" s="15" t="n"/>
      <c r="B547" s="15" t="n"/>
      <c r="C547" s="15" t="n"/>
    </row>
    <row r="548" customFormat="1" s="69">
      <c r="A548" s="15" t="n"/>
      <c r="B548" s="15" t="n"/>
      <c r="C548" s="15" t="n"/>
    </row>
    <row r="549" customFormat="1" s="69">
      <c r="A549" s="15" t="n"/>
      <c r="B549" s="15" t="n"/>
      <c r="C549" s="15" t="n"/>
    </row>
    <row r="550" customFormat="1" s="69">
      <c r="A550" s="15" t="n"/>
      <c r="B550" s="15" t="n"/>
      <c r="C550" s="15" t="n"/>
    </row>
    <row r="551" customFormat="1" s="69">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8"/>
  <sheetViews>
    <sheetView tabSelected="1" zoomScale="190" zoomScaleNormal="190" workbookViewId="0">
      <pane xSplit="2" ySplit="3" topLeftCell="E80" activePane="bottomRight" state="frozen"/>
      <selection activeCell="L243" sqref="L243"/>
      <selection pane="topRight" activeCell="L243" sqref="L243"/>
      <selection pane="bottomLeft" activeCell="L243" sqref="L243"/>
      <selection pane="bottomRight" activeCell="N90" sqref="N90"/>
    </sheetView>
  </sheetViews>
  <sheetFormatPr baseColWidth="10" defaultColWidth="8.83203125" defaultRowHeight="15"/>
  <cols>
    <col width="9.1640625" customWidth="1" style="69" min="1" max="1"/>
    <col width="13.6640625" customWidth="1" style="49" min="2" max="2"/>
    <col width="6.1640625" customWidth="1" style="49" min="3" max="20"/>
    <col width="6.1640625" customWidth="1" style="69" min="21" max="21"/>
    <col width="9.1640625" customWidth="1" style="69"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9"/>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9">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9">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9">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9">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9">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9">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9">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9">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9">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9">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9">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9">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9">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9">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9">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9">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9">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9">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9">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9">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9">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9">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9">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9">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9">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9">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9">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9">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9">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9">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9">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9">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9">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9">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9">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9">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9">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9">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9">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9">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9">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9">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9">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9">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9">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9">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9"/>
    <row r="90" customFormat="1" s="69"/>
    <row r="91" customFormat="1" s="69"/>
    <row r="92" customFormat="1" s="69"/>
    <row r="93" customFormat="1" s="69"/>
    <row r="94" customFormat="1" s="69"/>
    <row r="95" customFormat="1" s="69"/>
    <row r="96" customFormat="1" s="69"/>
    <row r="97" customFormat="1" s="69"/>
    <row r="98" customFormat="1" s="69"/>
    <row r="99" customFormat="1" s="69"/>
    <row r="100" customFormat="1" s="69"/>
    <row r="101" customFormat="1" s="69"/>
    <row r="102" customFormat="1" s="69"/>
    <row r="103" customFormat="1" s="69"/>
    <row r="104" customFormat="1" s="69"/>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sheetData>
  <conditionalFormatting sqref="C5:D8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8">
    <cfRule type="colorScale" priority="115">
      <colorScale>
        <cfvo type="min"/>
        <cfvo type="percentile" val="50"/>
        <cfvo type="max"/>
        <color rgb="FF63BE7B"/>
        <color rgb="FFFFEB84"/>
        <color rgb="FFF8696B"/>
      </colorScale>
    </cfRule>
  </conditionalFormatting>
  <conditionalFormatting sqref="D5:D88">
    <cfRule type="colorScale" priority="116">
      <colorScale>
        <cfvo type="min"/>
        <cfvo type="percentile" val="50"/>
        <cfvo type="max"/>
        <color rgb="FF63BE7B"/>
        <color rgb="FFFFEB84"/>
        <color rgb="FFF8696B"/>
      </colorScale>
    </cfRule>
  </conditionalFormatting>
  <conditionalFormatting sqref="E5:E8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2022-04-02T12:33:09Z</dcterms:modified>
  <cp:lastModifiedBy>Mark Mukherjee</cp:lastModifiedBy>
</cp:coreProperties>
</file>